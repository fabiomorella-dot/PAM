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w to use" sheetId="1" state="visible" r:id="rId3"/>
    <sheet name="Column guide" sheetId="2" state="visible" r:id="rId4"/>
    <sheet name="Simulations" sheetId="3" state="visible" r:id="rId5"/>
    <sheet name="Lists" sheetId="4" state="hidden" r:id="rId6"/>
    <sheet name="Calc" sheetId="5" state="hidden" r:id="rId7"/>
  </sheets>
  <definedNames>
    <definedName function="false" hidden="true" localSheetId="2" name="_xlnm._FilterDatabase" vbProcedure="false">Simulations!$A$3:$ER$63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Unique short ID, e.g. S12</t>
        </r>
      </text>
    </comment>
    <comment ref="B3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</comment>
    <comment ref="F3" authorId="0">
      <text>
        <r>
          <rPr>
            <sz val="10"/>
            <rFont val="Arial"/>
            <family val="2"/>
          </rPr>
          <t xml:space="preserve">1 = highest</t>
        </r>
      </text>
    </comment>
    <comment ref="I3" authorId="0">
      <text>
        <r>
          <rPr>
            <sz val="10"/>
            <rFont val="Arial"/>
            <family val="2"/>
          </rPr>
          <t xml:space="preserve">0 = 2D (membrane)</t>
        </r>
      </text>
    </comment>
    <comment ref="O3" authorId="0">
      <text>
        <r>
          <rPr>
            <sz val="10"/>
            <rFont val="Arial"/>
            <family val="2"/>
          </rPr>
          <t xml:space="preserve">Number of colours / PIE lasers (1-3 in this planner)</t>
        </r>
      </text>
    </comment>
    <comment ref="T3" authorId="0">
      <text>
        <r>
          <rPr>
            <sz val="10"/>
            <rFont val="Arial"/>
            <family val="2"/>
          </rPr>
          <t xml:space="preserve">1/e² radius, same for all colours here</t>
        </r>
      </text>
    </comment>
    <comment ref="V3" authorId="0">
      <text>
        <r>
          <rPr>
            <sz val="10"/>
            <rFont val="Arial"/>
            <family val="2"/>
          </rPr>
          <t xml:space="preserve">Förster radius donor colour 1 → acceptor colour 2 (Å or nm)</t>
        </r>
      </text>
    </comment>
    <comment ref="AB3" authorId="0">
      <text>
        <r>
          <rPr>
            <sz val="10"/>
            <rFont val="Arial"/>
            <family val="2"/>
          </rPr>
          <t xml:space="preserve">Brightness 0 = no dye of this colour</t>
        </r>
      </text>
    </comment>
    <comment ref="EL3" authorId="0">
      <text>
        <r>
          <rPr>
            <sz val="10"/>
            <rFont val="Arial"/>
            <family val="2"/>
          </rPr>
          <t xml:space="preserve">Empty = random</t>
        </r>
      </text>
    </comment>
  </commentList>
</comments>
</file>

<file path=xl/sharedStrings.xml><?xml version="1.0" encoding="utf-8"?>
<sst xmlns="http://schemas.openxmlformats.org/spreadsheetml/2006/main" count="615" uniqueCount="284">
  <si>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</si>
  <si>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</si>
  <si>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</si>
  <si>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•  Sheet 'Simulations': ONE ROW PER SIMULATION. Left: identification and measurement settings.</t>
  </si>
  <si>
    <t xml:space="preserve">•  Then 6 species blocks side by side (Species 1, Species 2, ...). Each species has its own name, D, number of</t>
  </si>
  <si>
    <t xml:space="preserve">    molecules N, brightness and lifetime per colour, and FRET (type and dye distances R). Leave unused species blocks empty.</t>
  </si>
  <si>
    <t xml:space="preserve">•  Brightness 0 = this species carries no dye of that colour (e.g. a green-red complex: B1 = 0, B2 = 70, B3 = 50).</t>
  </si>
  <si>
    <t xml:space="preserve">•  FRET: Förster radii R0 are set once per simulation (purple block); per species choose FRET type and distances R.</t>
  </si>
  <si>
    <t xml:space="preserve">    The FRET efficiency E = 1 / (1 + (R/R0)^6) is calculated for you (grey cells).</t>
  </si>
  <si>
    <t xml:space="preserve">•  Grey cells are calculated: concentration, FRET efficiency, a check per species, expected count rates, photons, memory.</t>
  </si>
  <si>
    <t xml:space="preserve">•  Use the + / - buttons above the columns (Excel grouping) to fold species blocks away.</t>
  </si>
  <si>
    <t xml:space="preserve">•  Fix every red check before running a simulation; orange checks bias the results slightly.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</si>
  <si>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</si>
  <si>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</si>
  <si>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</si>
  <si>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</si>
  <si>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</si>
  <si>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</si>
  <si>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</si>
  <si>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</si>
  <si>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panel). FRET and crosstalk are ignored,</t>
  </si>
  <si>
    <t xml:space="preserve">    so with FRET the donor channel gets fewer and the acceptor channel more photons than estimated.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</si>
  <si>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</si>
  <si>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</si>
  <si>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Å or nm for R0 and R (use the same unit for both) · kHz (count rates) · million photons · GB</t>
  </si>
  <si>
    <t xml:space="preserve">Example rows</t>
  </si>
  <si>
    <t xml:space="preserve">S00 is a worked example (realistic 3-colour FCCS mixture with a FRET pair). S01-S11 are the simulations from your earlier</t>
  </si>
  <si>
    <t xml:space="preserve">spreadsheet (box 5000 nm, wr 200 nm, wz 1000 nm assumed) - the checks show which of them saturate. Overwrite or delete rows freely.</t>
  </si>
  <si>
    <t xml:space="preserve">More than 6 species? Run  python make_planner.py --species 10 -o new_planner.xlsx  (see the README).</t>
  </si>
  <si>
    <t xml:space="preserve">Column</t>
  </si>
  <si>
    <t xml:space="preserve">Meaning</t>
  </si>
  <si>
    <t xml:space="preserve">Unit</t>
  </si>
  <si>
    <t xml:space="preserve">Required?</t>
  </si>
  <si>
    <t xml:space="preserve">If left blank</t>
  </si>
  <si>
    <t xml:space="preserve">Identification</t>
  </si>
  <si>
    <t xml:space="preserve">Sim ID</t>
  </si>
  <si>
    <t xml:space="preserve">Unique short name of the simulation (e.g. S12)</t>
  </si>
  <si>
    <t xml:space="preserve">-</t>
  </si>
  <si>
    <t xml:space="preserve">Required</t>
  </si>
  <si>
    <t xml:space="preserve">row is skipped</t>
  </si>
  <si>
    <t xml:space="preserve">File name</t>
  </si>
  <si>
    <t xml:space="preserve">Files are written as &lt;name&gt;_1.sim, &lt;name&gt;_2.sim, ...</t>
  </si>
  <si>
    <t xml:space="preserve">Optional</t>
  </si>
  <si>
    <t xml:space="preserve">the Sim ID</t>
  </si>
  <si>
    <t xml:space="preserve">Purpose / question</t>
  </si>
  <si>
    <t xml:space="preserve">What you want to learn from this simulation</t>
  </si>
  <si>
    <t xml:space="preserve">Not used</t>
  </si>
  <si>
    <t xml:space="preserve">Output folder</t>
  </si>
  <si>
    <t xml:space="preserve">Folder for the files; must exist on the PC that runs PAMsim</t>
  </si>
  <si>
    <t xml:space="preserve">PAMsim's output folder</t>
  </si>
  <si>
    <t xml:space="preserve">Status, Priority</t>
  </si>
  <si>
    <t xml:space="preserve">Your bookkeeping</t>
  </si>
  <si>
    <t xml:space="preserve">Measurement</t>
  </si>
  <si>
    <t xml:space="preserve">Box x, y, z</t>
  </si>
  <si>
    <t xml:space="preserve">Size of the simulation box; z = 0 gives 2D (membrane)</t>
  </si>
  <si>
    <t xml:space="preserve">nm</t>
  </si>
  <si>
    <t xml:space="preserve">5000 each</t>
  </si>
  <si>
    <t xml:space="preserve">Sampling freq.</t>
  </si>
  <si>
    <t xml:space="preserve">Time resolution of the random walk (time step = 1/frequency)</t>
  </si>
  <si>
    <t xml:space="preserve">kHz</t>
  </si>
  <si>
    <t xml:space="preserve">1000</t>
  </si>
  <si>
    <t xml:space="preserve">Duration</t>
  </si>
  <si>
    <t xml:space="preserve">Simulated measurement time per file</t>
  </si>
  <si>
    <t xml:space="preserve">s</t>
  </si>
  <si>
    <t xml:space="preserve">10</t>
  </si>
  <si>
    <t xml:space="preserve">Frames</t>
  </si>
  <si>
    <t xml:space="preserve">Number of frames (relevant for scanning)</t>
  </si>
  <si>
    <t xml:space="preserve">1</t>
  </si>
  <si>
    <t xml:space="preserve">Microtime range</t>
  </si>
  <si>
    <t xml:space="preserve">TCSPC range (PIE period)</t>
  </si>
  <si>
    <t xml:space="preserve">ns</t>
  </si>
  <si>
    <t xml:space="preserve">80</t>
  </si>
  <si>
    <t xml:space="preserve">Scan type</t>
  </si>
  <si>
    <t xml:space="preserve">Point / Raster scan / Line scan / Circle scan</t>
  </si>
  <si>
    <t xml:space="preserve">Point</t>
  </si>
  <si>
    <t xml:space="preserve">Colours</t>
  </si>
  <si>
    <t xml:space="preserve">Number of colours = PIE lasers = detection channels (1-3)</t>
  </si>
  <si>
    <t xml:space="preserve">1 (brightness 2/3 ignored!)</t>
  </si>
  <si>
    <t xml:space="preserve">Background? / Background</t>
  </si>
  <si>
    <t xml:space="preserve">Uncorrelated background and its count rate per channel</t>
  </si>
  <si>
    <t xml:space="preserve">No / 0</t>
  </si>
  <si>
    <t xml:space="preserve">IRF? / IRF width</t>
  </si>
  <si>
    <t xml:space="preserve">Simulate an instrument response function</t>
  </si>
  <si>
    <t xml:space="preserve">ps</t>
  </si>
  <si>
    <t xml:space="preserve">No / 250</t>
  </si>
  <si>
    <t xml:space="preserve">Focus and Förster radii</t>
  </si>
  <si>
    <t xml:space="preserve">wr / wz</t>
  </si>
  <si>
    <t xml:space="preserve">Lateral / axial 1/e² radius of the focus (all colours)</t>
  </si>
  <si>
    <t xml:space="preserve">200 / 1000</t>
  </si>
  <si>
    <t xml:space="preserve">R0 1→2, 1→3, 2→3</t>
  </si>
  <si>
    <t xml:space="preserve">Förster radius per dye pair (donor colour → acceptor colour)</t>
  </si>
  <si>
    <t xml:space="preserve">Å or nm</t>
  </si>
  <si>
    <t xml:space="preserve">63, 51, 68</t>
  </si>
  <si>
    <t xml:space="preserve">Species blocks (one block per species; leave unused blocks empty)</t>
  </si>
  <si>
    <t xml:space="preserve">Name</t>
  </si>
  <si>
    <t xml:space="preserve">Name of the species</t>
  </si>
  <si>
    <t xml:space="preserve">Species 1, 2, ...</t>
  </si>
  <si>
    <t xml:space="preserve">D</t>
  </si>
  <si>
    <t xml:space="preserve">Diffusion coefficient</t>
  </si>
  <si>
    <t xml:space="preserve">µm²/s</t>
  </si>
  <si>
    <t xml:space="preserve">Molecules N</t>
  </si>
  <si>
    <t xml:space="preserve">Number of molecules in the box</t>
  </si>
  <si>
    <t xml:space="preserve">0 = species absent</t>
  </si>
  <si>
    <t xml:space="preserve">Brightness 1/2/3</t>
  </si>
  <si>
    <t xml:space="preserve">Count rate of one molecule in the focus centre per colour; 0 = no dye of this colour</t>
  </si>
  <si>
    <t xml:space="preserve">0</t>
  </si>
  <si>
    <t xml:space="preserve">Lifetime 1/2/3</t>
  </si>
  <si>
    <t xml:space="preserve">Fluorescence lifetime per colour</t>
  </si>
  <si>
    <t xml:space="preserve">4</t>
  </si>
  <si>
    <t xml:space="preserve">FRET</t>
  </si>
  <si>
    <t xml:space="preserve">No FRET / Static FRET / Dynamic FRET</t>
  </si>
  <si>
    <t xml:space="preserve">No FRET</t>
  </si>
  <si>
    <t xml:space="preserve">R 1→2, 1→3, 2→3</t>
  </si>
  <si>
    <t xml:space="preserve">Dye distances for FRET (same unit as R0)</t>
  </si>
  <si>
    <t xml:space="preserve">50</t>
  </si>
  <si>
    <t xml:space="preserve">E, Conc., Check (grey)</t>
  </si>
  <si>
    <t xml:space="preserve">FRET efficiency 1/(1+(R/R0)^6), concentration, check of the species</t>
  </si>
  <si>
    <t xml:space="preserve">-, nM</t>
  </si>
  <si>
    <t xml:space="preserve">Calculated</t>
  </si>
  <si>
    <t xml:space="preserve">Totals, output and results</t>
  </si>
  <si>
    <t xml:space="preserve">Exp. rates, Photons, Memory, Check (grey)</t>
  </si>
  <si>
    <t xml:space="preserve">Expected count rate per channel (incl. saturation), photons and memory per file, overall check</t>
  </si>
  <si>
    <t xml:space="preserve">kHz, M, GB</t>
  </si>
  <si>
    <t xml:space="preserve">Number of files</t>
  </si>
  <si>
    <t xml:space="preserve">Independent repeats with the same parameters</t>
  </si>
  <si>
    <t xml:space="preserve">Seed</t>
  </si>
  <si>
    <t xml:space="preserve">Random seed; file k uses seed + k - 1</t>
  </si>
  <si>
    <t xml:space="preserve">random</t>
  </si>
  <si>
    <t xml:space="preserve">Format</t>
  </si>
  <si>
    <t xml:space="preserve">.sim (PAM) / .npz / both</t>
  </si>
  <si>
    <t xml:space="preserve">.sim</t>
  </si>
  <si>
    <t xml:space="preserve">Date run ... Result notes</t>
  </si>
  <si>
    <t xml:space="preserve">Your notes after running and analysing</t>
  </si>
  <si>
    <t xml:space="preserve">Not in the planner (set them in PAMsim after 'Load into editor'): crosstalk, detection efficiency, bleaching, anisotropy, dynamic FRET rates, barrier maps.</t>
  </si>
  <si>
    <t xml:space="preserve">Full explanation: planning/PAMsim_planner_guide.docx</t>
  </si>
  <si>
    <t xml:space="preserve">Focus</t>
  </si>
  <si>
    <t xml:space="preserve">Förster radii R0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</si>
  <si>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</si>
  <si>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</si>
  <si>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</si>
  <si>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</si>
  <si>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</si>
  <si>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</si>
  <si>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Totals and checks (automatic)</t>
  </si>
  <si>
    <t xml:space="preserve">Output</t>
  </si>
  <si>
    <t xml:space="preserve">Results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</si>
  <si>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</si>
  <si>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</si>
  <si>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</si>
  <si>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</si>
  <si>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</si>
  <si>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</si>
  <si>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</si>
  <si>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Microtime range [ns]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</si>
  <si>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</si>
  <si>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</si>
  <si>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</si>
  <si>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</si>
  <si>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[nm]</t>
  </si>
  <si>
    <t xml:space="preserve">wz [nm]</t>
  </si>
  <si>
    <t xml:space="preserve">R0 1→2</t>
  </si>
  <si>
    <t xml:space="preserve">R0 1→3</t>
  </si>
  <si>
    <t xml:space="preserve">R0 2→3</t>
  </si>
  <si>
    <t xml:space="preserve">D [µm²/s]</t>
  </si>
  <si>
    <t xml:space="preserve">Bright. 1 [kHz]</t>
  </si>
  <si>
    <t xml:space="preserve">Bright. 2 [kHz]</t>
  </si>
  <si>
    <t xml:space="preserve">Bright. 3 [kHz]</t>
  </si>
  <si>
    <t xml:space="preserve">Lifetime 1 [ns]</t>
  </si>
  <si>
    <t xml:space="preserve">Lifetime 2 [ns]</t>
  </si>
  <si>
    <t xml:space="preserve">Lifetime 3 [ns]</t>
  </si>
  <si>
    <t xml:space="preserve">R 1→2</t>
  </si>
  <si>
    <t xml:space="preserve">R 1→3</t>
  </si>
  <si>
    <t xml:space="preserve">R 2→3</t>
  </si>
  <si>
    <t xml:space="preserve">E 1→2</t>
  </si>
  <si>
    <t xml:space="preserve">E 1→3</t>
  </si>
  <si>
    <t xml:space="preserve">E 2→3</t>
  </si>
  <si>
    <t xml:space="preserve">Conc. [nM]</t>
  </si>
  <si>
    <t xml:space="preserve">Check</t>
  </si>
  <si>
    <t xml:space="preserve">Species used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</si>
  <si>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</si>
  <si>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</si>
  <si>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</si>
  <si>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</si>
  <si>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Photons per file [M]</t>
  </si>
  <si>
    <t xml:space="preserve">Memory per file [GB]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</si>
  <si>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</si>
  <si>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</si>
  <si>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</si>
  <si>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</si>
  <si>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</si>
  <si>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</si>
  <si>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</si>
  <si>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mixture incl. a static FRET pair (brightness &lt; 10% of freq.)</t>
  </si>
  <si>
    <t xml:space="preserve">/Fablab 4/Users/Fabio/PhD/Projects/3C_FCCS/Simulation</t>
  </si>
  <si>
    <t xml:space="preserve">Idea</t>
  </si>
  <si>
    <t xml:space="preserve">No</t>
  </si>
  <si>
    <t xml:space="preserve">triple complex</t>
  </si>
  <si>
    <t xml:space="preserve">blue-green</t>
  </si>
  <si>
    <t xml:space="preserve">green-red</t>
  </si>
  <si>
    <t xml:space="preserve">FRET pair 1-2</t>
  </si>
  <si>
    <t xml:space="preserve">Static FRET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</si>
  <si>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</si>
  <si>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</si>
  <si>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</si>
  <si>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</si>
  <si>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</si>
  <si>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</si>
  <si>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</si>
  <si>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</si>
  <si>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</si>
  <si>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</si>
  <si>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</si>
  <si>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</si>
  <si>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</si>
  <si>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</si>
  <si>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</si>
  <si>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</si>
  <si>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</si>
  <si>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</si>
  <si>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</si>
  <si>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</si>
  <si>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</si>
  <si>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</si>
  <si>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</si>
  <si>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</si>
  <si>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</si>
  <si>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</si>
  <si>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</si>
  <si>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</si>
  <si>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</si>
  <si>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</si>
  <si>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</si>
  <si>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</si>
  <si>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</si>
  <si>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</si>
  <si>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Yes/No</t>
  </si>
  <si>
    <t xml:space="preserve">Yes</t>
  </si>
  <si>
    <t xml:space="preserve">Raster scan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</si>
  <si>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</si>
  <si>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</si>
  <si>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</si>
  <si>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</si>
  <si>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</si>
  <si>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</si>
  <si>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</si>
  <si>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</si>
  <si>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</si>
  <si>
    <t xml:space="preserve">Per-species helper values for the Simulations sheet (do not edit)</t>
  </si>
  <si>
    <t xml:space="preserve">S1 rate1</t>
  </si>
  <si>
    <t xml:space="preserve">S1 rate2</t>
  </si>
  <si>
    <t xml:space="preserve">S1 rate3</t>
  </si>
  <si>
    <t xml:space="preserve">S1 maxb</t>
  </si>
  <si>
    <t xml:space="preserve">S1 step</t>
  </si>
  <si>
    <t xml:space="preserve">S1 used</t>
  </si>
  <si>
    <t xml:space="preserve">S2 rate1</t>
  </si>
  <si>
    <t xml:space="preserve">S2 rate2</t>
  </si>
  <si>
    <t xml:space="preserve">S2 rate3</t>
  </si>
  <si>
    <t xml:space="preserve">S2 maxb</t>
  </si>
  <si>
    <t xml:space="preserve">S2 step</t>
  </si>
  <si>
    <t xml:space="preserve">S2 used</t>
  </si>
  <si>
    <t xml:space="preserve">S3 rate1</t>
  </si>
  <si>
    <t xml:space="preserve">S3 rate2</t>
  </si>
  <si>
    <t xml:space="preserve">S3 rate3</t>
  </si>
  <si>
    <t xml:space="preserve">S3 maxb</t>
  </si>
  <si>
    <t xml:space="preserve">S3 step</t>
  </si>
  <si>
    <t xml:space="preserve">S3 used</t>
  </si>
  <si>
    <t xml:space="preserve">S4 rate1</t>
  </si>
  <si>
    <t xml:space="preserve">S4 rate2</t>
  </si>
  <si>
    <t xml:space="preserve">S4 rate3</t>
  </si>
  <si>
    <t xml:space="preserve">S4 maxb</t>
  </si>
  <si>
    <t xml:space="preserve">S4 step</t>
  </si>
  <si>
    <t xml:space="preserve">S4 used</t>
  </si>
  <si>
    <t xml:space="preserve">S5 rate1</t>
  </si>
  <si>
    <t xml:space="preserve">S5 rate2</t>
  </si>
  <si>
    <t xml:space="preserve">S5 rate3</t>
  </si>
  <si>
    <t xml:space="preserve">S5 maxb</t>
  </si>
  <si>
    <t xml:space="preserve">S5 step</t>
  </si>
  <si>
    <t xml:space="preserve">S5 used</t>
  </si>
  <si>
    <t xml:space="preserve">S6 rate1</t>
  </si>
  <si>
    <t xml:space="preserve">S6 rate2</t>
  </si>
  <si>
    <t xml:space="preserve">S6 rate3</t>
  </si>
  <si>
    <t xml:space="preserve">S6 maxb</t>
  </si>
  <si>
    <t xml:space="preserve">S6 step</t>
  </si>
  <si>
    <t xml:space="preserve">S6 used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</si>
</sst>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General"/>
    <numFmt numFmtId="168" formatCode="0.0;\-0.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1C1C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1F3A5F"/>
        <bgColor rgb="FF4F4F8A"/>
      </patternFill>
    </fill>
    <fill>
      <patternFill patternType="solid">
        <fgColor rgb="FF5A7FA8"/>
        <bgColor rgb="FF6C8EAF"/>
      </patternFill>
    </fill>
    <fill>
      <patternFill patternType="solid">
        <fgColor rgb="FFFDE2E2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1B6F8A"/>
      </patternFill>
    </fill>
    <fill>
      <patternFill patternType="solid">
        <fgColor rgb="FF7D5BA6"/>
        <bgColor rgb="FF6E6E6E"/>
      </patternFill>
    </fill>
    <fill>
      <patternFill patternType="solid">
        <fgColor rgb="FF1B6F8A"/>
        <bgColor rgb="FF3D6B9E"/>
      </patternFill>
    </fill>
    <fill>
      <patternFill patternType="solid">
        <fgColor rgb="FF8A5A1B"/>
        <bgColor rgb="FF8A4B00"/>
      </patternFill>
    </fill>
    <fill>
      <patternFill patternType="solid">
        <fgColor rgb="FF2E7D4F"/>
        <bgColor rgb="FF4E8A5B"/>
      </patternFill>
    </fill>
    <fill>
      <patternFill patternType="solid">
        <fgColor rgb="FF7A2E5E"/>
        <bgColor rgb="FF9C1C1C"/>
      </patternFill>
    </fill>
    <fill>
      <patternFill patternType="solid">
        <fgColor rgb="FF4F4F8A"/>
        <bgColor rgb="FF555555"/>
      </patternFill>
    </fill>
    <fill>
      <patternFill patternType="solid">
        <fgColor rgb="FF6B6B1B"/>
        <bgColor rgb="FF8A5A1B"/>
      </patternFill>
    </fill>
    <fill>
      <patternFill patternType="solid">
        <fgColor rgb="FF6E6E6E"/>
        <bgColor rgb="FF7D5BA6"/>
      </patternFill>
    </fill>
    <fill>
      <patternFill patternType="solid">
        <fgColor rgb="FF6C8EAF"/>
        <bgColor rgb="FF5A7FA8"/>
      </patternFill>
    </fill>
    <fill>
      <patternFill patternType="solid">
        <fgColor rgb="FF4E8A5B"/>
        <bgColor rgb="FF2E7D4F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6B6B1B"/>
      <rgbColor rgb="FF800080"/>
      <rgbColor rgb="FF1B6F8A"/>
      <rgbColor rgb="FFBFE3C6"/>
      <rgbColor rgb="FF6E6E6E"/>
      <rgbColor rgb="FF5A7FA8"/>
      <rgbColor rgb="FF7A2E5E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2E7D4F"/>
      <rgbColor rgb="FF0000FF"/>
      <rgbColor rgb="FF00CCFF"/>
      <rgbColor rgb="FFEEF2F6"/>
      <rgbColor rgb="FFD5EFD5"/>
      <rgbColor rgb="FFFCE6C4"/>
      <rgbColor rgb="FFE3E3E3"/>
      <rgbColor rgb="FFFDE2E2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7D5BA6"/>
      <rgbColor rgb="FF6C8EAF"/>
      <rgbColor rgb="FF1F3A5F"/>
      <rgbColor rgb="FF4E8A5B"/>
      <rgbColor rgb="FF003300"/>
      <rgbColor rgb="FF8A5A1B"/>
      <rgbColor rgb="FF9C1C1C"/>
      <rgbColor rgb="FF8A4B00"/>
      <rgbColor rgb="FF4F4F8A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5" t="s">
        <v>13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3" customFormat="false" ht="15" hidden="false" customHeight="false" outlineLevel="0" collapsed="false">
      <c r="B23" s="3" t="s">
        <v>19</v>
      </c>
    </row>
    <row r="24" customFormat="false" ht="15" hidden="false" customHeight="false" outlineLevel="0" collapsed="false">
      <c r="B24" s="3" t="s">
        <v>20</v>
      </c>
    </row>
    <row r="25" customFormat="false" ht="15" hidden="false" customHeight="false" outlineLevel="0" collapsed="false">
      <c r="B25" s="3" t="s">
        <v>21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3" t="s">
        <v>23</v>
      </c>
    </row>
    <row r="29" customFormat="false" ht="15" hidden="false" customHeight="false" outlineLevel="0" collapsed="false">
      <c r="B29" s="3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3" t="s">
        <v>27</v>
      </c>
    </row>
    <row r="34" customFormat="false" ht="15" hidden="false" customHeight="false" outlineLevel="0" collapsed="false">
      <c r="B34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</row>
    <row r="2" customFormat="false" ht="15" hidden="false" customHeight="false" outlineLevel="0" collapsed="false">
      <c r="A2" s="7" t="s">
        <v>34</v>
      </c>
      <c r="B2" s="7"/>
      <c r="C2" s="7"/>
      <c r="D2" s="7"/>
      <c r="E2" s="7"/>
    </row>
    <row r="3" customFormat="false" ht="15" hidden="false" customHeight="false" outlineLevel="0" collapsed="false">
      <c r="A3" s="8" t="s">
        <v>35</v>
      </c>
      <c r="B3" s="8" t="s">
        <v>36</v>
      </c>
      <c r="C3" s="8" t="s">
        <v>37</v>
      </c>
      <c r="D3" s="9" t="s">
        <v>38</v>
      </c>
      <c r="E3" s="8" t="s">
        <v>39</v>
      </c>
    </row>
    <row r="4" customFormat="false" ht="15" hidden="false" customHeight="false" outlineLevel="0" collapsed="false">
      <c r="A4" s="8" t="s">
        <v>40</v>
      </c>
      <c r="B4" s="8" t="s">
        <v>41</v>
      </c>
      <c r="C4" s="8" t="s">
        <v>37</v>
      </c>
      <c r="D4" s="8" t="s">
        <v>42</v>
      </c>
      <c r="E4" s="8" t="s">
        <v>43</v>
      </c>
    </row>
    <row r="5" customFormat="false" ht="15" hidden="false" customHeight="false" outlineLevel="0" collapsed="false">
      <c r="A5" s="8" t="s">
        <v>44</v>
      </c>
      <c r="B5" s="8" t="s">
        <v>45</v>
      </c>
      <c r="C5" s="8" t="s">
        <v>37</v>
      </c>
      <c r="D5" s="8" t="s">
        <v>46</v>
      </c>
      <c r="E5" s="8" t="s">
        <v>37</v>
      </c>
    </row>
    <row r="6" customFormat="false" ht="15" hidden="false" customHeight="false" outlineLevel="0" collapsed="false">
      <c r="A6" s="8" t="s">
        <v>47</v>
      </c>
      <c r="B6" s="8" t="s">
        <v>48</v>
      </c>
      <c r="C6" s="8" t="s">
        <v>37</v>
      </c>
      <c r="D6" s="8" t="s">
        <v>42</v>
      </c>
      <c r="E6" s="8" t="s">
        <v>49</v>
      </c>
    </row>
    <row r="7" customFormat="false" ht="15" hidden="false" customHeight="false" outlineLevel="0" collapsed="false">
      <c r="A7" s="8" t="s">
        <v>50</v>
      </c>
      <c r="B7" s="8" t="s">
        <v>51</v>
      </c>
      <c r="C7" s="8" t="s">
        <v>37</v>
      </c>
      <c r="D7" s="8" t="s">
        <v>46</v>
      </c>
      <c r="E7" s="8" t="s">
        <v>37</v>
      </c>
    </row>
    <row r="8" customFormat="false" ht="15" hidden="false" customHeight="false" outlineLevel="0" collapsed="false">
      <c r="A8" s="7" t="s">
        <v>52</v>
      </c>
      <c r="B8" s="7"/>
      <c r="C8" s="7"/>
      <c r="D8" s="7"/>
      <c r="E8" s="7"/>
    </row>
    <row r="9" customFormat="false" ht="15" hidden="false" customHeight="false" outlineLevel="0" collapsed="false">
      <c r="A9" s="8" t="s">
        <v>53</v>
      </c>
      <c r="B9" s="8" t="s">
        <v>54</v>
      </c>
      <c r="C9" s="8" t="s">
        <v>55</v>
      </c>
      <c r="D9" s="8" t="s">
        <v>42</v>
      </c>
      <c r="E9" s="8" t="s">
        <v>56</v>
      </c>
    </row>
    <row r="10" customFormat="false" ht="15" hidden="false" customHeight="false" outlineLevel="0" collapsed="false">
      <c r="A10" s="8" t="s">
        <v>57</v>
      </c>
      <c r="B10" s="8" t="s">
        <v>58</v>
      </c>
      <c r="C10" s="8" t="s">
        <v>59</v>
      </c>
      <c r="D10" s="8" t="s">
        <v>42</v>
      </c>
      <c r="E10" s="8" t="s">
        <v>60</v>
      </c>
    </row>
    <row r="11" customFormat="false" ht="15" hidden="false" customHeight="false" outlineLevel="0" collapsed="false">
      <c r="A11" s="8" t="s">
        <v>61</v>
      </c>
      <c r="B11" s="8" t="s">
        <v>62</v>
      </c>
      <c r="C11" s="8" t="s">
        <v>63</v>
      </c>
      <c r="D11" s="9" t="s">
        <v>38</v>
      </c>
      <c r="E11" s="8" t="s">
        <v>64</v>
      </c>
    </row>
    <row r="12" customFormat="false" ht="15" hidden="false" customHeight="false" outlineLevel="0" collapsed="false">
      <c r="A12" s="8" t="s">
        <v>65</v>
      </c>
      <c r="B12" s="8" t="s">
        <v>66</v>
      </c>
      <c r="C12" s="8" t="s">
        <v>37</v>
      </c>
      <c r="D12" s="8" t="s">
        <v>42</v>
      </c>
      <c r="E12" s="8" t="s">
        <v>67</v>
      </c>
    </row>
    <row r="13" customFormat="false" ht="15" hidden="false" customHeight="false" outlineLevel="0" collapsed="false">
      <c r="A13" s="8" t="s">
        <v>68</v>
      </c>
      <c r="B13" s="8" t="s">
        <v>69</v>
      </c>
      <c r="C13" s="8" t="s">
        <v>70</v>
      </c>
      <c r="D13" s="8" t="s">
        <v>42</v>
      </c>
      <c r="E13" s="8" t="s">
        <v>71</v>
      </c>
    </row>
    <row r="14" customFormat="false" ht="15" hidden="false" customHeight="false" outlineLevel="0" collapsed="false">
      <c r="A14" s="8" t="s">
        <v>72</v>
      </c>
      <c r="B14" s="8" t="s">
        <v>73</v>
      </c>
      <c r="C14" s="8" t="s">
        <v>37</v>
      </c>
      <c r="D14" s="8" t="s">
        <v>42</v>
      </c>
      <c r="E14" s="8" t="s">
        <v>74</v>
      </c>
    </row>
    <row r="15" customFormat="false" ht="15" hidden="false" customHeight="false" outlineLevel="0" collapsed="false">
      <c r="A15" s="8" t="s">
        <v>75</v>
      </c>
      <c r="B15" s="8" t="s">
        <v>76</v>
      </c>
      <c r="C15" s="8" t="s">
        <v>37</v>
      </c>
      <c r="D15" s="9" t="s">
        <v>38</v>
      </c>
      <c r="E15" s="8" t="s">
        <v>77</v>
      </c>
    </row>
    <row r="16" customFormat="false" ht="15" hidden="false" customHeight="false" outlineLevel="0" collapsed="false">
      <c r="A16" s="8" t="s">
        <v>78</v>
      </c>
      <c r="B16" s="8" t="s">
        <v>79</v>
      </c>
      <c r="C16" s="8" t="s">
        <v>59</v>
      </c>
      <c r="D16" s="8" t="s">
        <v>42</v>
      </c>
      <c r="E16" s="8" t="s">
        <v>80</v>
      </c>
    </row>
    <row r="17" customFormat="false" ht="15" hidden="false" customHeight="false" outlineLevel="0" collapsed="false">
      <c r="A17" s="8" t="s">
        <v>81</v>
      </c>
      <c r="B17" s="8" t="s">
        <v>82</v>
      </c>
      <c r="C17" s="8" t="s">
        <v>83</v>
      </c>
      <c r="D17" s="8" t="s">
        <v>42</v>
      </c>
      <c r="E17" s="8" t="s">
        <v>84</v>
      </c>
    </row>
    <row r="18" customFormat="false" ht="15" hidden="false" customHeight="false" outlineLevel="0" collapsed="false">
      <c r="A18" s="7" t="s">
        <v>85</v>
      </c>
      <c r="B18" s="7"/>
      <c r="C18" s="7"/>
      <c r="D18" s="7"/>
      <c r="E18" s="7"/>
    </row>
    <row r="19" customFormat="false" ht="15" hidden="false" customHeight="false" outlineLevel="0" collapsed="false">
      <c r="A19" s="8" t="s">
        <v>86</v>
      </c>
      <c r="B19" s="8" t="s">
        <v>87</v>
      </c>
      <c r="C19" s="8" t="s">
        <v>55</v>
      </c>
      <c r="D19" s="8" t="s">
        <v>42</v>
      </c>
      <c r="E19" s="8" t="s">
        <v>88</v>
      </c>
    </row>
    <row r="20" customFormat="false" ht="15" hidden="false" customHeight="false" outlineLevel="0" collapsed="false">
      <c r="A20" s="8" t="s">
        <v>89</v>
      </c>
      <c r="B20" s="8" t="s">
        <v>90</v>
      </c>
      <c r="C20" s="8" t="s">
        <v>91</v>
      </c>
      <c r="D20" s="8" t="s">
        <v>42</v>
      </c>
      <c r="E20" s="8" t="s">
        <v>92</v>
      </c>
    </row>
    <row r="21" customFormat="false" ht="15" hidden="false" customHeight="false" outlineLevel="0" collapsed="false">
      <c r="A21" s="7" t="s">
        <v>93</v>
      </c>
      <c r="B21" s="7"/>
      <c r="C21" s="7"/>
      <c r="D21" s="7"/>
      <c r="E21" s="7"/>
    </row>
    <row r="22" customFormat="false" ht="15" hidden="false" customHeight="false" outlineLevel="0" collapsed="false">
      <c r="A22" s="8" t="s">
        <v>94</v>
      </c>
      <c r="B22" s="8" t="s">
        <v>95</v>
      </c>
      <c r="C22" s="8" t="s">
        <v>37</v>
      </c>
      <c r="D22" s="8" t="s">
        <v>42</v>
      </c>
      <c r="E22" s="8" t="s">
        <v>96</v>
      </c>
    </row>
    <row r="23" customFormat="false" ht="15" hidden="false" customHeight="false" outlineLevel="0" collapsed="false">
      <c r="A23" s="8" t="s">
        <v>97</v>
      </c>
      <c r="B23" s="8" t="s">
        <v>98</v>
      </c>
      <c r="C23" s="8" t="s">
        <v>99</v>
      </c>
      <c r="D23" s="9" t="s">
        <v>38</v>
      </c>
      <c r="E23" s="8" t="s">
        <v>67</v>
      </c>
    </row>
    <row r="24" customFormat="false" ht="15" hidden="false" customHeight="false" outlineLevel="0" collapsed="false">
      <c r="A24" s="8" t="s">
        <v>100</v>
      </c>
      <c r="B24" s="8" t="s">
        <v>101</v>
      </c>
      <c r="C24" s="8" t="s">
        <v>37</v>
      </c>
      <c r="D24" s="9" t="s">
        <v>38</v>
      </c>
      <c r="E24" s="8" t="s">
        <v>102</v>
      </c>
    </row>
    <row r="25" customFormat="false" ht="15" hidden="false" customHeight="false" outlineLevel="0" collapsed="false">
      <c r="A25" s="8" t="s">
        <v>103</v>
      </c>
      <c r="B25" s="8" t="s">
        <v>104</v>
      </c>
      <c r="C25" s="8" t="s">
        <v>59</v>
      </c>
      <c r="D25" s="9" t="s">
        <v>38</v>
      </c>
      <c r="E25" s="8" t="s">
        <v>105</v>
      </c>
    </row>
    <row r="26" customFormat="false" ht="15" hidden="false" customHeight="false" outlineLevel="0" collapsed="false">
      <c r="A26" s="8" t="s">
        <v>106</v>
      </c>
      <c r="B26" s="8" t="s">
        <v>107</v>
      </c>
      <c r="C26" s="8" t="s">
        <v>70</v>
      </c>
      <c r="D26" s="8" t="s">
        <v>42</v>
      </c>
      <c r="E26" s="8" t="s">
        <v>108</v>
      </c>
    </row>
    <row r="27" customFormat="false" ht="15" hidden="false" customHeight="false" outlineLevel="0" collapsed="false">
      <c r="A27" s="8" t="s">
        <v>109</v>
      </c>
      <c r="B27" s="8" t="s">
        <v>110</v>
      </c>
      <c r="C27" s="8" t="s">
        <v>37</v>
      </c>
      <c r="D27" s="8" t="s">
        <v>42</v>
      </c>
      <c r="E27" s="8" t="s">
        <v>111</v>
      </c>
    </row>
    <row r="28" customFormat="false" ht="15" hidden="false" customHeight="false" outlineLevel="0" collapsed="false">
      <c r="A28" s="8" t="s">
        <v>112</v>
      </c>
      <c r="B28" s="8" t="s">
        <v>113</v>
      </c>
      <c r="C28" s="8" t="s">
        <v>91</v>
      </c>
      <c r="D28" s="8" t="s">
        <v>42</v>
      </c>
      <c r="E28" s="8" t="s">
        <v>114</v>
      </c>
    </row>
    <row r="29" customFormat="false" ht="15" hidden="false" customHeight="false" outlineLevel="0" collapsed="false">
      <c r="A29" s="8" t="s">
        <v>115</v>
      </c>
      <c r="B29" s="8" t="s">
        <v>116</v>
      </c>
      <c r="C29" s="8" t="s">
        <v>117</v>
      </c>
      <c r="D29" s="8" t="s">
        <v>118</v>
      </c>
      <c r="E29" s="8" t="s">
        <v>37</v>
      </c>
    </row>
    <row r="30" customFormat="false" ht="15" hidden="false" customHeight="false" outlineLevel="0" collapsed="false">
      <c r="A30" s="7" t="s">
        <v>119</v>
      </c>
      <c r="B30" s="7"/>
      <c r="C30" s="7"/>
      <c r="D30" s="7"/>
      <c r="E30" s="7"/>
    </row>
    <row r="31" customFormat="false" ht="23.85" hidden="false" customHeight="false" outlineLevel="0" collapsed="false">
      <c r="A31" s="8" t="s">
        <v>120</v>
      </c>
      <c r="B31" s="8" t="s">
        <v>121</v>
      </c>
      <c r="C31" s="8" t="s">
        <v>122</v>
      </c>
      <c r="D31" s="8" t="s">
        <v>118</v>
      </c>
      <c r="E31" s="8" t="s">
        <v>37</v>
      </c>
    </row>
    <row r="32" customFormat="false" ht="15" hidden="false" customHeight="false" outlineLevel="0" collapsed="false">
      <c r="A32" s="8" t="s">
        <v>123</v>
      </c>
      <c r="B32" s="8" t="s">
        <v>124</v>
      </c>
      <c r="C32" s="8" t="s">
        <v>37</v>
      </c>
      <c r="D32" s="8" t="s">
        <v>42</v>
      </c>
      <c r="E32" s="8" t="s">
        <v>67</v>
      </c>
    </row>
    <row r="33" customFormat="false" ht="15" hidden="false" customHeight="false" outlineLevel="0" collapsed="false">
      <c r="A33" s="8" t="s">
        <v>125</v>
      </c>
      <c r="B33" s="8" t="s">
        <v>126</v>
      </c>
      <c r="C33" s="8" t="s">
        <v>37</v>
      </c>
      <c r="D33" s="8" t="s">
        <v>42</v>
      </c>
      <c r="E33" s="8" t="s">
        <v>127</v>
      </c>
    </row>
    <row r="34" customFormat="false" ht="15" hidden="false" customHeight="false" outlineLevel="0" collapsed="false">
      <c r="A34" s="8" t="s">
        <v>128</v>
      </c>
      <c r="B34" s="8" t="s">
        <v>129</v>
      </c>
      <c r="C34" s="8" t="s">
        <v>37</v>
      </c>
      <c r="D34" s="8" t="s">
        <v>42</v>
      </c>
      <c r="E34" s="8" t="s">
        <v>130</v>
      </c>
    </row>
    <row r="35" customFormat="false" ht="15" hidden="false" customHeight="false" outlineLevel="0" collapsed="false">
      <c r="A35" s="8" t="s">
        <v>131</v>
      </c>
      <c r="B35" s="8" t="s">
        <v>132</v>
      </c>
      <c r="C35" s="8" t="s">
        <v>37</v>
      </c>
      <c r="D35" s="8" t="s">
        <v>46</v>
      </c>
      <c r="E35" s="8" t="s">
        <v>37</v>
      </c>
    </row>
    <row r="37" customFormat="false" ht="15" hidden="false" customHeight="false" outlineLevel="0" collapsed="false">
      <c r="A37" s="10" t="s">
        <v>133</v>
      </c>
    </row>
    <row r="38" customFormat="false" ht="15" hidden="false" customHeight="false" outlineLevel="0" collapsed="false">
      <c r="A38" s="10" t="s">
        <v>134</v>
      </c>
    </row>
  </sheetData>
  <mergeCells count="5">
    <mergeCell ref="A2:E2"/>
    <mergeCell ref="A8:E8"/>
    <mergeCell ref="A18:E18"/>
    <mergeCell ref="A21:E21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R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9"/>
    <col collapsed="false" customWidth="true" hidden="false" outlineLevel="0" max="18" min="18" style="0" width="6"/>
    <col collapsed="false" customWidth="true" hidden="false" outlineLevel="0" max="24" min="19" style="0" width="7"/>
    <col collapsed="false" customWidth="true" hidden="false" outlineLevel="1" max="132" min="25" style="0" width="14"/>
    <col collapsed="false" customWidth="true" hidden="false" outlineLevel="0" max="133" min="133" style="0" width="8"/>
    <col collapsed="false" customWidth="true" hidden="false" outlineLevel="0" max="139" min="134" style="0" width="9"/>
    <col collapsed="false" customWidth="true" hidden="false" outlineLevel="0" max="140" min="140" style="0" width="40"/>
    <col collapsed="false" customWidth="true" hidden="false" outlineLevel="0" max="142" min="141" style="0" width="8"/>
    <col collapsed="false" customWidth="true" hidden="false" outlineLevel="0" max="143" min="143" style="0" width="7"/>
    <col collapsed="false" customWidth="true" hidden="false" outlineLevel="0" max="144" min="144" style="0" width="10"/>
    <col collapsed="false" customWidth="true" hidden="false" outlineLevel="0" max="145" min="145" style="0" width="8"/>
    <col collapsed="false" customWidth="true" hidden="false" outlineLevel="0" max="147" min="146" style="0" width="9"/>
    <col collapsed="false" customWidth="true" hidden="false" outlineLevel="0" max="148" min="148" style="0" width="36"/>
  </cols>
  <sheetData>
    <row r="1" customFormat="false" ht="15" hidden="false" customHeight="false" outlineLevel="0" collapsed="false">
      <c r="A1" s="11" t="s">
        <v>34</v>
      </c>
      <c r="B1" s="11"/>
      <c r="C1" s="11"/>
      <c r="D1" s="11"/>
      <c r="E1" s="11"/>
      <c r="F1" s="11"/>
      <c r="G1" s="12" t="s">
        <v>52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3" t="s">
        <v>135</v>
      </c>
      <c r="U1" s="13"/>
      <c r="V1" s="14" t="s">
        <v>136</v>
      </c>
      <c r="W1" s="14"/>
      <c r="X1" s="14"/>
      <c r="Y1" s="15" t="s">
        <v>137</v>
      </c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6" t="s">
        <v>138</v>
      </c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7" t="s">
        <v>139</v>
      </c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8" t="s">
        <v>140</v>
      </c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9" t="s">
        <v>141</v>
      </c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20" t="s">
        <v>142</v>
      </c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1" t="s">
        <v>143</v>
      </c>
      <c r="ED1" s="21"/>
      <c r="EE1" s="21"/>
      <c r="EF1" s="21"/>
      <c r="EG1" s="21"/>
      <c r="EH1" s="21"/>
      <c r="EI1" s="21"/>
      <c r="EJ1" s="21"/>
      <c r="EK1" s="22" t="s">
        <v>144</v>
      </c>
      <c r="EL1" s="22"/>
      <c r="EM1" s="22"/>
      <c r="EN1" s="23" t="s">
        <v>145</v>
      </c>
      <c r="EO1" s="23"/>
      <c r="EP1" s="23"/>
      <c r="EQ1" s="23"/>
      <c r="ER1" s="23"/>
    </row>
    <row r="2" customFormat="false" ht="15" hidden="false" customHeight="false" outlineLevel="0" collapsed="false">
      <c r="A2" s="11"/>
      <c r="B2" s="11"/>
      <c r="C2" s="11"/>
      <c r="D2" s="11"/>
      <c r="E2" s="11"/>
      <c r="F2" s="11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  <c r="U2" s="13"/>
      <c r="V2" s="14"/>
      <c r="W2" s="14"/>
      <c r="X2" s="14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1"/>
      <c r="ED2" s="21"/>
      <c r="EE2" s="21"/>
      <c r="EF2" s="21"/>
      <c r="EG2" s="21"/>
      <c r="EH2" s="21"/>
      <c r="EI2" s="21"/>
      <c r="EJ2" s="21"/>
      <c r="EK2" s="22"/>
      <c r="EL2" s="22"/>
      <c r="EM2" s="22"/>
      <c r="EN2" s="23"/>
      <c r="EO2" s="23"/>
      <c r="EP2" s="23"/>
      <c r="EQ2" s="23"/>
      <c r="ER2" s="23"/>
    </row>
    <row r="3" customFormat="false" ht="39.75" hidden="false" customHeight="true" outlineLevel="0" collapsed="false">
      <c r="A3" s="24" t="s">
        <v>35</v>
      </c>
      <c r="B3" s="24" t="s">
        <v>40</v>
      </c>
      <c r="C3" s="24" t="s">
        <v>44</v>
      </c>
      <c r="D3" s="24" t="s">
        <v>47</v>
      </c>
      <c r="E3" s="24" t="s">
        <v>146</v>
      </c>
      <c r="F3" s="24" t="s">
        <v>147</v>
      </c>
      <c r="G3" s="24" t="s">
        <v>148</v>
      </c>
      <c r="H3" s="24" t="s">
        <v>149</v>
      </c>
      <c r="I3" s="24" t="s">
        <v>150</v>
      </c>
      <c r="J3" s="24" t="s">
        <v>151</v>
      </c>
      <c r="K3" s="24" t="s">
        <v>152</v>
      </c>
      <c r="L3" s="24" t="s">
        <v>65</v>
      </c>
      <c r="M3" s="24" t="s">
        <v>153</v>
      </c>
      <c r="N3" s="24" t="s">
        <v>72</v>
      </c>
      <c r="O3" s="24" t="s">
        <v>75</v>
      </c>
      <c r="P3" s="24" t="s">
        <v>154</v>
      </c>
      <c r="Q3" s="24" t="s">
        <v>155</v>
      </c>
      <c r="R3" s="24" t="s">
        <v>156</v>
      </c>
      <c r="S3" s="24" t="s">
        <v>157</v>
      </c>
      <c r="T3" s="24" t="s">
        <v>158</v>
      </c>
      <c r="U3" s="24" t="s">
        <v>159</v>
      </c>
      <c r="V3" s="24" t="s">
        <v>160</v>
      </c>
      <c r="W3" s="24" t="s">
        <v>161</v>
      </c>
      <c r="X3" s="24" t="s">
        <v>162</v>
      </c>
      <c r="Y3" s="24" t="s">
        <v>94</v>
      </c>
      <c r="Z3" s="24" t="s">
        <v>163</v>
      </c>
      <c r="AA3" s="24" t="s">
        <v>100</v>
      </c>
      <c r="AB3" s="24" t="s">
        <v>164</v>
      </c>
      <c r="AC3" s="24" t="s">
        <v>165</v>
      </c>
      <c r="AD3" s="24" t="s">
        <v>166</v>
      </c>
      <c r="AE3" s="24" t="s">
        <v>167</v>
      </c>
      <c r="AF3" s="24" t="s">
        <v>168</v>
      </c>
      <c r="AG3" s="24" t="s">
        <v>169</v>
      </c>
      <c r="AH3" s="24" t="s">
        <v>109</v>
      </c>
      <c r="AI3" s="24" t="s">
        <v>170</v>
      </c>
      <c r="AJ3" s="24" t="s">
        <v>171</v>
      </c>
      <c r="AK3" s="24" t="s">
        <v>172</v>
      </c>
      <c r="AL3" s="24" t="s">
        <v>173</v>
      </c>
      <c r="AM3" s="24" t="s">
        <v>174</v>
      </c>
      <c r="AN3" s="24" t="s">
        <v>175</v>
      </c>
      <c r="AO3" s="24" t="s">
        <v>176</v>
      </c>
      <c r="AP3" s="24" t="s">
        <v>177</v>
      </c>
      <c r="AQ3" s="24" t="s">
        <v>94</v>
      </c>
      <c r="AR3" s="24" t="s">
        <v>163</v>
      </c>
      <c r="AS3" s="24" t="s">
        <v>100</v>
      </c>
      <c r="AT3" s="24" t="s">
        <v>164</v>
      </c>
      <c r="AU3" s="24" t="s">
        <v>165</v>
      </c>
      <c r="AV3" s="24" t="s">
        <v>166</v>
      </c>
      <c r="AW3" s="24" t="s">
        <v>167</v>
      </c>
      <c r="AX3" s="24" t="s">
        <v>168</v>
      </c>
      <c r="AY3" s="24" t="s">
        <v>169</v>
      </c>
      <c r="AZ3" s="24" t="s">
        <v>109</v>
      </c>
      <c r="BA3" s="24" t="s">
        <v>170</v>
      </c>
      <c r="BB3" s="24" t="s">
        <v>171</v>
      </c>
      <c r="BC3" s="24" t="s">
        <v>172</v>
      </c>
      <c r="BD3" s="24" t="s">
        <v>173</v>
      </c>
      <c r="BE3" s="24" t="s">
        <v>174</v>
      </c>
      <c r="BF3" s="24" t="s">
        <v>175</v>
      </c>
      <c r="BG3" s="24" t="s">
        <v>176</v>
      </c>
      <c r="BH3" s="24" t="s">
        <v>177</v>
      </c>
      <c r="BI3" s="24" t="s">
        <v>94</v>
      </c>
      <c r="BJ3" s="24" t="s">
        <v>163</v>
      </c>
      <c r="BK3" s="24" t="s">
        <v>100</v>
      </c>
      <c r="BL3" s="24" t="s">
        <v>164</v>
      </c>
      <c r="BM3" s="24" t="s">
        <v>165</v>
      </c>
      <c r="BN3" s="24" t="s">
        <v>166</v>
      </c>
      <c r="BO3" s="24" t="s">
        <v>167</v>
      </c>
      <c r="BP3" s="24" t="s">
        <v>168</v>
      </c>
      <c r="BQ3" s="24" t="s">
        <v>169</v>
      </c>
      <c r="BR3" s="24" t="s">
        <v>109</v>
      </c>
      <c r="BS3" s="24" t="s">
        <v>170</v>
      </c>
      <c r="BT3" s="24" t="s">
        <v>171</v>
      </c>
      <c r="BU3" s="24" t="s">
        <v>172</v>
      </c>
      <c r="BV3" s="24" t="s">
        <v>173</v>
      </c>
      <c r="BW3" s="24" t="s">
        <v>174</v>
      </c>
      <c r="BX3" s="24" t="s">
        <v>175</v>
      </c>
      <c r="BY3" s="24" t="s">
        <v>176</v>
      </c>
      <c r="BZ3" s="24" t="s">
        <v>177</v>
      </c>
      <c r="CA3" s="24" t="s">
        <v>94</v>
      </c>
      <c r="CB3" s="24" t="s">
        <v>163</v>
      </c>
      <c r="CC3" s="24" t="s">
        <v>100</v>
      </c>
      <c r="CD3" s="24" t="s">
        <v>164</v>
      </c>
      <c r="CE3" s="24" t="s">
        <v>165</v>
      </c>
      <c r="CF3" s="24" t="s">
        <v>166</v>
      </c>
      <c r="CG3" s="24" t="s">
        <v>167</v>
      </c>
      <c r="CH3" s="24" t="s">
        <v>168</v>
      </c>
      <c r="CI3" s="24" t="s">
        <v>169</v>
      </c>
      <c r="CJ3" s="24" t="s">
        <v>109</v>
      </c>
      <c r="CK3" s="24" t="s">
        <v>170</v>
      </c>
      <c r="CL3" s="24" t="s">
        <v>171</v>
      </c>
      <c r="CM3" s="24" t="s">
        <v>172</v>
      </c>
      <c r="CN3" s="24" t="s">
        <v>173</v>
      </c>
      <c r="CO3" s="24" t="s">
        <v>174</v>
      </c>
      <c r="CP3" s="24" t="s">
        <v>175</v>
      </c>
      <c r="CQ3" s="24" t="s">
        <v>176</v>
      </c>
      <c r="CR3" s="24" t="s">
        <v>177</v>
      </c>
      <c r="CS3" s="24" t="s">
        <v>94</v>
      </c>
      <c r="CT3" s="24" t="s">
        <v>163</v>
      </c>
      <c r="CU3" s="24" t="s">
        <v>100</v>
      </c>
      <c r="CV3" s="24" t="s">
        <v>164</v>
      </c>
      <c r="CW3" s="24" t="s">
        <v>165</v>
      </c>
      <c r="CX3" s="24" t="s">
        <v>166</v>
      </c>
      <c r="CY3" s="24" t="s">
        <v>167</v>
      </c>
      <c r="CZ3" s="24" t="s">
        <v>168</v>
      </c>
      <c r="DA3" s="24" t="s">
        <v>169</v>
      </c>
      <c r="DB3" s="24" t="s">
        <v>109</v>
      </c>
      <c r="DC3" s="24" t="s">
        <v>170</v>
      </c>
      <c r="DD3" s="24" t="s">
        <v>171</v>
      </c>
      <c r="DE3" s="24" t="s">
        <v>172</v>
      </c>
      <c r="DF3" s="24" t="s">
        <v>173</v>
      </c>
      <c r="DG3" s="24" t="s">
        <v>174</v>
      </c>
      <c r="DH3" s="24" t="s">
        <v>175</v>
      </c>
      <c r="DI3" s="24" t="s">
        <v>176</v>
      </c>
      <c r="DJ3" s="24" t="s">
        <v>177</v>
      </c>
      <c r="DK3" s="24" t="s">
        <v>94</v>
      </c>
      <c r="DL3" s="24" t="s">
        <v>163</v>
      </c>
      <c r="DM3" s="24" t="s">
        <v>100</v>
      </c>
      <c r="DN3" s="24" t="s">
        <v>164</v>
      </c>
      <c r="DO3" s="24" t="s">
        <v>165</v>
      </c>
      <c r="DP3" s="24" t="s">
        <v>166</v>
      </c>
      <c r="DQ3" s="24" t="s">
        <v>167</v>
      </c>
      <c r="DR3" s="24" t="s">
        <v>168</v>
      </c>
      <c r="DS3" s="24" t="s">
        <v>169</v>
      </c>
      <c r="DT3" s="24" t="s">
        <v>109</v>
      </c>
      <c r="DU3" s="24" t="s">
        <v>170</v>
      </c>
      <c r="DV3" s="24" t="s">
        <v>171</v>
      </c>
      <c r="DW3" s="24" t="s">
        <v>172</v>
      </c>
      <c r="DX3" s="24" t="s">
        <v>173</v>
      </c>
      <c r="DY3" s="24" t="s">
        <v>174</v>
      </c>
      <c r="DZ3" s="24" t="s">
        <v>175</v>
      </c>
      <c r="EA3" s="24" t="s">
        <v>176</v>
      </c>
      <c r="EB3" s="24" t="s">
        <v>177</v>
      </c>
      <c r="EC3" s="24" t="s">
        <v>178</v>
      </c>
      <c r="ED3" s="24" t="s">
        <v>179</v>
      </c>
      <c r="EE3" s="24" t="s">
        <v>180</v>
      </c>
      <c r="EF3" s="24" t="s">
        <v>181</v>
      </c>
      <c r="EG3" s="24" t="s">
        <v>182</v>
      </c>
      <c r="EH3" s="24" t="s">
        <v>183</v>
      </c>
      <c r="EI3" s="24" t="s">
        <v>184</v>
      </c>
      <c r="EJ3" s="24" t="s">
        <v>177</v>
      </c>
      <c r="EK3" s="24" t="s">
        <v>123</v>
      </c>
      <c r="EL3" s="24" t="s">
        <v>125</v>
      </c>
      <c r="EM3" s="24" t="s">
        <v>128</v>
      </c>
      <c r="EN3" s="24" t="s">
        <v>185</v>
      </c>
      <c r="EO3" s="24" t="s">
        <v>186</v>
      </c>
      <c r="EP3" s="24" t="s">
        <v>187</v>
      </c>
      <c r="EQ3" s="24" t="s">
        <v>188</v>
      </c>
      <c r="ER3" s="24" t="s">
        <v>189</v>
      </c>
    </row>
    <row r="4" customFormat="false" ht="35.05" hidden="false" customHeight="false" outlineLevel="0" collapsed="false">
      <c r="A4" s="25" t="s">
        <v>190</v>
      </c>
      <c r="B4" s="25" t="s">
        <v>191</v>
      </c>
      <c r="C4" s="26" t="s">
        <v>192</v>
      </c>
      <c r="D4" s="26" t="s">
        <v>193</v>
      </c>
      <c r="E4" s="25" t="s">
        <v>194</v>
      </c>
      <c r="F4" s="25" t="n">
        <v>1</v>
      </c>
      <c r="G4" s="25" t="n">
        <v>5000</v>
      </c>
      <c r="H4" s="25" t="n">
        <v>5000</v>
      </c>
      <c r="I4" s="25" t="n">
        <v>5000</v>
      </c>
      <c r="J4" s="25" t="n">
        <v>1000</v>
      </c>
      <c r="K4" s="25" t="n">
        <v>60</v>
      </c>
      <c r="L4" s="25" t="n">
        <v>1</v>
      </c>
      <c r="M4" s="25" t="n">
        <v>60</v>
      </c>
      <c r="N4" s="25" t="s">
        <v>74</v>
      </c>
      <c r="O4" s="25" t="n">
        <v>3</v>
      </c>
      <c r="P4" s="25" t="s">
        <v>195</v>
      </c>
      <c r="Q4" s="25" t="n">
        <v>0.2</v>
      </c>
      <c r="R4" s="25" t="s">
        <v>195</v>
      </c>
      <c r="S4" s="25" t="n">
        <v>250</v>
      </c>
      <c r="T4" s="25" t="n">
        <v>200</v>
      </c>
      <c r="U4" s="25" t="n">
        <v>1000</v>
      </c>
      <c r="V4" s="25" t="n">
        <v>63</v>
      </c>
      <c r="W4" s="25" t="n">
        <v>51</v>
      </c>
      <c r="X4" s="25" t="n">
        <v>68</v>
      </c>
      <c r="Y4" s="25" t="s">
        <v>196</v>
      </c>
      <c r="Z4" s="25" t="n">
        <v>35</v>
      </c>
      <c r="AA4" s="25" t="n">
        <v>300</v>
      </c>
      <c r="AB4" s="25" t="n">
        <v>100</v>
      </c>
      <c r="AC4" s="25" t="n">
        <v>70</v>
      </c>
      <c r="AD4" s="25" t="n">
        <v>50</v>
      </c>
      <c r="AE4" s="25" t="n">
        <v>4</v>
      </c>
      <c r="AF4" s="25" t="n">
        <v>3</v>
      </c>
      <c r="AG4" s="25" t="n">
        <v>2</v>
      </c>
      <c r="AH4" s="25" t="s">
        <v>111</v>
      </c>
      <c r="AI4" s="25"/>
      <c r="AJ4" s="25"/>
      <c r="AK4" s="25"/>
      <c r="AL4" s="27" t="str">
        <f aca="false">IF(OR($AH4="",$AH4="No FRET",N($AI4)&lt;=0,N($V4)&lt;=0),"",1/(1+($AI4/$V4)^6))</f>
        <v/>
      </c>
      <c r="AM4" s="27" t="str">
        <f aca="false">IF(OR($AH4="",$AH4="No FRET",N($AJ4)&lt;=0,N($W4)&lt;=0),"",1/(1+($AJ4/$W4)^6))</f>
        <v/>
      </c>
      <c r="AN4" s="27" t="str">
        <f aca="false">IF(OR($AH4="",$AH4="No FRET",N($AK4)&lt;=0,N($X4)&lt;=0),"",1/(1+($AK4/$X4)^6))</f>
        <v/>
      </c>
      <c r="AO4" s="28" t="n">
        <f aca="false">IF(OR($A4="",N($AA4)&lt;=0),"",IF($I4&gt;0,$AA4/($G4*$H4*$I4)/1E-024/6.022E+023/0.000000001,""))</f>
        <v>3.9853869146463</v>
      </c>
      <c r="AP4" s="29" t="str">
        <f aca="false">IF(Calc!G4=0,"",IF(Calc!E4&gt;=1,"✖ saturated (B ≥ freq.)",IF(Calc!E4&gt;0.1,"⚠ B &gt; 10% of freq.",IF(Calc!E4=0,"⚠ no brightness",IF(Calc!F4&gt;0.1,"⚠ step &gt; 10% of wr",IF(AND($AH4&lt;&gt;"",$AH4&lt;&gt;"No FRET",N($O4)&lt;2),"⚠ FRET needs ≥ 2 colours",IF(AND($AH4&lt;&gt;"",$AH4&lt;&gt;"No FRET",N($AI4)+N($AJ4)+N($AK4)=0),"⚠ FRET: set R","✔ OK")))))))</f>
        <v>✔ OK</v>
      </c>
      <c r="AQ4" s="25" t="s">
        <v>197</v>
      </c>
      <c r="AR4" s="25" t="n">
        <v>35</v>
      </c>
      <c r="AS4" s="25" t="n">
        <v>200</v>
      </c>
      <c r="AT4" s="25" t="n">
        <v>100</v>
      </c>
      <c r="AU4" s="25" t="n">
        <v>70</v>
      </c>
      <c r="AV4" s="25" t="n">
        <v>0</v>
      </c>
      <c r="AW4" s="25" t="n">
        <v>4</v>
      </c>
      <c r="AX4" s="25" t="n">
        <v>3</v>
      </c>
      <c r="AY4" s="25" t="n">
        <v>2</v>
      </c>
      <c r="AZ4" s="25" t="s">
        <v>111</v>
      </c>
      <c r="BA4" s="25"/>
      <c r="BB4" s="25"/>
      <c r="BC4" s="25"/>
      <c r="BD4" s="27" t="str">
        <f aca="false">IF(OR($AZ4="",$AZ4="No FRET",N($BA4)&lt;=0,N($V4)&lt;=0),"",1/(1+($BA4/$V4)^6))</f>
        <v/>
      </c>
      <c r="BE4" s="27" t="str">
        <f aca="false">IF(OR($AZ4="",$AZ4="No FRET",N($BB4)&lt;=0,N($W4)&lt;=0),"",1/(1+($BB4/$W4)^6))</f>
        <v/>
      </c>
      <c r="BF4" s="27" t="str">
        <f aca="false">IF(OR($AZ4="",$AZ4="No FRET",N($BC4)&lt;=0,N($X4)&lt;=0),"",1/(1+($BC4/$X4)^6))</f>
        <v/>
      </c>
      <c r="BG4" s="28" t="n">
        <f aca="false">IF(OR($A4="",N($AS4)&lt;=0),"",IF($I4&gt;0,$AS4/($G4*$H4*$I4)/1E-024/6.022E+023/0.000000001,""))</f>
        <v>2.6569246097642</v>
      </c>
      <c r="BH4" s="29" t="str">
        <f aca="false">IF(Calc!M4=0,"",IF(Calc!K4&gt;=1,"✖ saturated (B ≥ freq.)",IF(Calc!K4&gt;0.1,"⚠ B &gt; 10% of freq.",IF(Calc!K4=0,"⚠ no brightness",IF(Calc!L4&gt;0.1,"⚠ step &gt; 10% of wr",IF(AND($AZ4&lt;&gt;"",$AZ4&lt;&gt;"No FRET",N($O4)&lt;2),"⚠ FRET needs ≥ 2 colours",IF(AND($AZ4&lt;&gt;"",$AZ4&lt;&gt;"No FRET",N($BA4)+N($BB4)+N($BC4)=0),"⚠ FRET: set R","✔ OK")))))))</f>
        <v>✔ OK</v>
      </c>
      <c r="BI4" s="25" t="s">
        <v>198</v>
      </c>
      <c r="BJ4" s="25" t="n">
        <v>35</v>
      </c>
      <c r="BK4" s="25" t="n">
        <v>200</v>
      </c>
      <c r="BL4" s="25" t="n">
        <v>0</v>
      </c>
      <c r="BM4" s="25" t="n">
        <v>70</v>
      </c>
      <c r="BN4" s="25" t="n">
        <v>50</v>
      </c>
      <c r="BO4" s="25" t="n">
        <v>4</v>
      </c>
      <c r="BP4" s="25" t="n">
        <v>3</v>
      </c>
      <c r="BQ4" s="25" t="n">
        <v>2</v>
      </c>
      <c r="BR4" s="25" t="s">
        <v>111</v>
      </c>
      <c r="BS4" s="25"/>
      <c r="BT4" s="25"/>
      <c r="BU4" s="25"/>
      <c r="BV4" s="27" t="str">
        <f aca="false">IF(OR($BR4="",$BR4="No FRET",N($BS4)&lt;=0,N($V4)&lt;=0),"",1/(1+($BS4/$V4)^6))</f>
        <v/>
      </c>
      <c r="BW4" s="27" t="str">
        <f aca="false">IF(OR($BR4="",$BR4="No FRET",N($BT4)&lt;=0,N($W4)&lt;=0),"",1/(1+($BT4/$W4)^6))</f>
        <v/>
      </c>
      <c r="BX4" s="27" t="str">
        <f aca="false">IF(OR($BR4="",$BR4="No FRET",N($BU4)&lt;=0,N($X4)&lt;=0),"",1/(1+($BU4/$X4)^6))</f>
        <v/>
      </c>
      <c r="BY4" s="28" t="n">
        <f aca="false">IF(OR($A4="",N($BK4)&lt;=0),"",IF($I4&gt;0,$BK4/($G4*$H4*$I4)/1E-024/6.022E+023/0.000000001,""))</f>
        <v>2.6569246097642</v>
      </c>
      <c r="BZ4" s="29" t="str">
        <f aca="false">IF(Calc!S4=0,"",IF(Calc!Q4&gt;=1,"✖ saturated (B ≥ freq.)",IF(Calc!Q4&gt;0.1,"⚠ B &gt; 10% of freq.",IF(Calc!Q4=0,"⚠ no brightness",IF(Calc!R4&gt;0.1,"⚠ step &gt; 10% of wr",IF(AND($BR4&lt;&gt;"",$BR4&lt;&gt;"No FRET",N($O4)&lt;2),"⚠ FRET needs ≥ 2 colours",IF(AND($BR4&lt;&gt;"",$BR4&lt;&gt;"No FRET",N($BS4)+N($BT4)+N($BU4)=0),"⚠ FRET: set R","✔ OK")))))))</f>
        <v>✔ OK</v>
      </c>
      <c r="CA4" s="25" t="s">
        <v>199</v>
      </c>
      <c r="CB4" s="25" t="n">
        <v>50</v>
      </c>
      <c r="CC4" s="25" t="n">
        <v>100</v>
      </c>
      <c r="CD4" s="25" t="n">
        <v>100</v>
      </c>
      <c r="CE4" s="25" t="n">
        <v>70</v>
      </c>
      <c r="CF4" s="25" t="n">
        <v>0</v>
      </c>
      <c r="CG4" s="25" t="n">
        <v>4</v>
      </c>
      <c r="CH4" s="25" t="n">
        <v>3</v>
      </c>
      <c r="CI4" s="25" t="n">
        <v>2</v>
      </c>
      <c r="CJ4" s="25" t="s">
        <v>200</v>
      </c>
      <c r="CK4" s="25" t="n">
        <v>50</v>
      </c>
      <c r="CL4" s="25"/>
      <c r="CM4" s="25"/>
      <c r="CN4" s="27" t="n">
        <f aca="false">IF(OR($CJ4="",$CJ4="No FRET",N($CK4)&lt;=0,N($V4)&lt;=0),"",1/(1+($CK4/$V4)^6))</f>
        <v>0.800060147560953</v>
      </c>
      <c r="CO4" s="27" t="str">
        <f aca="false">IF(OR($CJ4="",$CJ4="No FRET",N($CL4)&lt;=0,N($W4)&lt;=0),"",1/(1+($CL4/$W4)^6))</f>
        <v/>
      </c>
      <c r="CP4" s="27" t="str">
        <f aca="false">IF(OR($CJ4="",$CJ4="No FRET",N($CM4)&lt;=0,N($X4)&lt;=0),"",1/(1+($CM4/$X4)^6))</f>
        <v/>
      </c>
      <c r="CQ4" s="28" t="n">
        <f aca="false">IF(OR($A4="",N($CC4)&lt;=0),"",IF($I4&gt;0,$CC4/($G4*$H4*$I4)/1E-024/6.022E+023/0.000000001,""))</f>
        <v>1.3284623048821</v>
      </c>
      <c r="CR4" s="29" t="str">
        <f aca="false">IF(Calc!Y4=0,"",IF(Calc!W4&gt;=1,"✖ saturated (B ≥ freq.)",IF(Calc!W4&gt;0.1,"⚠ B &gt; 10% of freq.",IF(Calc!W4=0,"⚠ no brightness",IF(Calc!X4&gt;0.1,"⚠ step &gt; 10% of wr",IF(AND($CJ4&lt;&gt;"",$CJ4&lt;&gt;"No FRET",N($O4)&lt;2),"⚠ FRET needs ≥ 2 colours",IF(AND($CJ4&lt;&gt;"",$CJ4&lt;&gt;"No FRET",N($CK4)+N($CL4)+N($CM4)=0),"⚠ FRET: set R","✔ OK")))))))</f>
        <v>✔ OK</v>
      </c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7" t="str">
        <f aca="false">IF(OR($DB4="",$DB4="No FRET",N($DC4)&lt;=0,N($V4)&lt;=0),"",1/(1+($DC4/$V4)^6))</f>
        <v/>
      </c>
      <c r="DG4" s="27" t="str">
        <f aca="false">IF(OR($DB4="",$DB4="No FRET",N($DD4)&lt;=0,N($W4)&lt;=0),"",1/(1+($DD4/$W4)^6))</f>
        <v/>
      </c>
      <c r="DH4" s="27" t="str">
        <f aca="false">IF(OR($DB4="",$DB4="No FRET",N($DE4)&lt;=0,N($X4)&lt;=0),"",1/(1+($DE4/$X4)^6))</f>
        <v/>
      </c>
      <c r="DI4" s="28" t="str">
        <f aca="false">IF(OR($A4="",N($CU4)&lt;=0),"",IF($I4&gt;0,$CU4/($G4*$H4*$I4)/1E-024/6.022E+023/0.000000001,""))</f>
        <v/>
      </c>
      <c r="DJ4" s="29" t="str">
        <f aca="false">IF(Calc!AE4=0,"",IF(Calc!AC4&gt;=1,"✖ saturated (B ≥ freq.)",IF(Calc!AC4&gt;0.1,"⚠ B &gt; 10% of freq.",IF(Calc!AC4=0,"⚠ no brightness",IF(Calc!AD4&gt;0.1,"⚠ step &gt; 10% of wr",IF(AND($DB4&lt;&gt;"",$DB4&lt;&gt;"No FRET",N($O4)&lt;2),"⚠ FRET needs ≥ 2 colours",IF(AND($DB4&lt;&gt;"",$DB4&lt;&gt;"No FRET",N($DC4)+N($DD4)+N($DE4)=0),"⚠ FRET: set R","✔ OK")))))))</f>
        <v/>
      </c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7" t="str">
        <f aca="false">IF(OR($DT4="",$DT4="No FRET",N($DU4)&lt;=0,N($V4)&lt;=0),"",1/(1+($DU4/$V4)^6))</f>
        <v/>
      </c>
      <c r="DY4" s="27" t="str">
        <f aca="false">IF(OR($DT4="",$DT4="No FRET",N($DV4)&lt;=0,N($W4)&lt;=0),"",1/(1+($DV4/$W4)^6))</f>
        <v/>
      </c>
      <c r="DZ4" s="27" t="str">
        <f aca="false">IF(OR($DT4="",$DT4="No FRET",N($DW4)&lt;=0,N($X4)&lt;=0),"",1/(1+($DW4/$X4)^6))</f>
        <v/>
      </c>
      <c r="EA4" s="28" t="str">
        <f aca="false">IF(OR($A4="",N($DM4)&lt;=0),"",IF($I4&gt;0,$DM4/($G4*$H4*$I4)/1E-024/6.022E+023/0.000000001,""))</f>
        <v/>
      </c>
      <c r="EB4" s="29" t="str">
        <f aca="false">IF(Calc!AK4=0,"",IF(Calc!AI4&gt;=1,"✖ saturated (B ≥ freq.)",IF(Calc!AI4&gt;0.1,"⚠ B &gt; 10% of freq.",IF(Calc!AI4=0,"⚠ no brightness",IF(Calc!AJ4&gt;0.1,"⚠ step &gt; 10% of wr",IF(AND($DT4&lt;&gt;"",$DT4&lt;&gt;"No FRET",N($O4)&lt;2),"⚠ FRET needs ≥ 2 colours",IF(AND($DT4&lt;&gt;"",$DT4&lt;&gt;"No FRET",N($DU4)+N($DV4)+N($DW4)=0),"⚠ FRET: set R","✔ OK")))))))</f>
        <v/>
      </c>
      <c r="EC4" s="30" t="n">
        <f aca="false">IF($A4="","",SUM(Calc!G4,Calc!M4,Calc!S4,Calc!Y4,Calc!AE4,Calc!AK4))</f>
        <v>4</v>
      </c>
      <c r="ED4" s="30" t="n">
        <f aca="false">IF($A4="","",N($AA4)+N($AS4)+N($BK4)+N($CC4)+N($CU4)+N($DM4))</f>
        <v>800</v>
      </c>
      <c r="EE4" s="31" t="n">
        <f aca="false">IF($A4="","",SUM(Calc!B4,Calc!H4,Calc!N4,Calc!T4,Calc!Z4,Calc!AF4))</f>
        <v>37.7990638697338</v>
      </c>
      <c r="EF4" s="31" t="n">
        <f aca="false">IF($A4="","",SUM(Calc!C4,Calc!I4,Calc!O4,Calc!U4,Calc!AA4,Calc!AG4))</f>
        <v>35.2791262784182</v>
      </c>
      <c r="EG4" s="31" t="n">
        <f aca="false">IF($A4="","",SUM(Calc!D4,Calc!J4,Calc!P4,Calc!V4,Calc!AB4,Calc!AH4))</f>
        <v>15.7496099457224</v>
      </c>
      <c r="EH4" s="27" t="n">
        <f aca="false">IF($A4="","",($EE4+$EF4+$EG4+IF($P4="Yes",N($Q4)*N($O4),0))*1000*$K4/1000000)</f>
        <v>5.32966800563247</v>
      </c>
      <c r="EI4" s="28" t="n">
        <f aca="false">IF($A4="","",$EH4*1000000*12/1000000000)</f>
        <v>0.0639560160675896</v>
      </c>
      <c r="EJ4" s="32" t="str">
        <f aca="false">IF($A4="","",IF($EC4=0,"⚠ no species entered",IF(((LEFT($AP4,1)="✖")+(LEFT($BH4,1)="✖")+(LEFT($BZ4,1)="✖")+(LEFT($CR4,1)="✖")+(LEFT($DJ4,1)="✖")+(LEFT($EB4,1)="✖"))&gt;0,"✖ "&amp;((LEFT($AP4,1)="✖")+(LEFT($BH4,1)="✖")+(LEFT($BZ4,1)="✖")+(LEFT($CR4,1)="✖")+(LEFT($DJ4,1)="✖")+(LEFT($EB4,1)="✖"))&amp;" species saturated - see the species checks",IF(MIN($G4,$H4)&lt;8*$T4,"⚠ box too small laterally (&lt; 8·wr)",IF(AND($I4&gt;0,$I4&lt;3*$U4),"⚠ box too small axially (&lt; 3·wz)",IF($EI4&gt;8,"⚠ &gt; 8 GB per file: shorten the duration and use several files",IF(((LEFT($AP4,1)="⚠")+(LEFT($BH4,1)="⚠")+(LEFT($BZ4,1)="⚠")+(LEFT($CR4,1)="⚠")+(LEFT($DJ4,1)="⚠")+(LEFT($EB4,1)="⚠"))&gt;0,"⚠ "&amp;((LEFT($AP4,1)="⚠")+(LEFT($BH4,1)="⚠")+(LEFT($BZ4,1)="⚠")+(LEFT($CR4,1)="⚠")+(LEFT($DJ4,1)="⚠")+(LEFT($EB4,1)="⚠"))&amp;" species with a warning","✔ OK")))))))</f>
        <v>✔ OK</v>
      </c>
      <c r="EK4" s="25" t="n">
        <v>1</v>
      </c>
      <c r="EL4" s="25"/>
      <c r="EM4" s="25" t="s">
        <v>130</v>
      </c>
      <c r="EN4" s="25"/>
      <c r="EO4" s="25"/>
      <c r="EP4" s="25"/>
      <c r="EQ4" s="25"/>
      <c r="ER4" s="26" t="s">
        <v>201</v>
      </c>
    </row>
    <row r="5" customFormat="false" ht="35.05" hidden="false" customHeight="false" outlineLevel="0" collapsed="false">
      <c r="A5" s="25" t="s">
        <v>202</v>
      </c>
      <c r="B5" s="25" t="s">
        <v>203</v>
      </c>
      <c r="C5" s="26" t="s">
        <v>204</v>
      </c>
      <c r="D5" s="26" t="s">
        <v>193</v>
      </c>
      <c r="E5" s="25" t="s">
        <v>205</v>
      </c>
      <c r="F5" s="25" t="n">
        <v>2</v>
      </c>
      <c r="G5" s="25" t="n">
        <v>5000</v>
      </c>
      <c r="H5" s="25" t="n">
        <v>5000</v>
      </c>
      <c r="I5" s="25" t="n">
        <v>5000</v>
      </c>
      <c r="J5" s="25" t="n">
        <v>1000</v>
      </c>
      <c r="K5" s="25" t="n">
        <v>60</v>
      </c>
      <c r="L5" s="25" t="n">
        <v>1</v>
      </c>
      <c r="M5" s="25" t="n">
        <v>60</v>
      </c>
      <c r="N5" s="25" t="s">
        <v>74</v>
      </c>
      <c r="O5" s="25" t="n">
        <v>3</v>
      </c>
      <c r="P5" s="25" t="s">
        <v>195</v>
      </c>
      <c r="Q5" s="25" t="n">
        <v>0.2</v>
      </c>
      <c r="R5" s="25" t="s">
        <v>195</v>
      </c>
      <c r="S5" s="25" t="n">
        <v>250</v>
      </c>
      <c r="T5" s="25" t="n">
        <v>200</v>
      </c>
      <c r="U5" s="25" t="n">
        <v>1000</v>
      </c>
      <c r="V5" s="25" t="n">
        <v>63</v>
      </c>
      <c r="W5" s="25" t="n">
        <v>51</v>
      </c>
      <c r="X5" s="25" t="n">
        <v>68</v>
      </c>
      <c r="Y5" s="25" t="s">
        <v>137</v>
      </c>
      <c r="Z5" s="25" t="n">
        <v>15</v>
      </c>
      <c r="AA5" s="25" t="n">
        <v>800</v>
      </c>
      <c r="AB5" s="25" t="n">
        <v>50</v>
      </c>
      <c r="AC5" s="25" t="n">
        <v>50</v>
      </c>
      <c r="AD5" s="25" t="n">
        <v>50</v>
      </c>
      <c r="AE5" s="25" t="n">
        <v>4</v>
      </c>
      <c r="AF5" s="25" t="n">
        <v>3</v>
      </c>
      <c r="AG5" s="25" t="n">
        <v>2</v>
      </c>
      <c r="AH5" s="25" t="s">
        <v>111</v>
      </c>
      <c r="AI5" s="25"/>
      <c r="AJ5" s="25"/>
      <c r="AK5" s="25"/>
      <c r="AL5" s="27" t="str">
        <f aca="false">IF(OR($AH5="",$AH5="No FRET",N($AI5)&lt;=0,N($V5)&lt;=0),"",1/(1+($AI5/$V5)^6))</f>
        <v/>
      </c>
      <c r="AM5" s="27" t="str">
        <f aca="false">IF(OR($AH5="",$AH5="No FRET",N($AJ5)&lt;=0,N($W5)&lt;=0),"",1/(1+($AJ5/$W5)^6))</f>
        <v/>
      </c>
      <c r="AN5" s="27" t="str">
        <f aca="false">IF(OR($AH5="",$AH5="No FRET",N($AK5)&lt;=0,N($X5)&lt;=0),"",1/(1+($AK5/$X5)^6))</f>
        <v/>
      </c>
      <c r="AO5" s="28" t="n">
        <f aca="false">IF(OR($A5="",N($AA5)&lt;=0),"",IF($I5&gt;0,$AA5/($G5*$H5*$I5)/1E-024/6.022E+023/0.000000001,""))</f>
        <v>10.6276984390568</v>
      </c>
      <c r="AP5" s="29" t="str">
        <f aca="false">IF(Calc!G5=0,"",IF(Calc!E5&gt;=1,"✖ saturated (B ≥ freq.)",IF(Calc!E5&gt;0.1,"⚠ B &gt; 10% of freq.",IF(Calc!E5=0,"⚠ no brightness",IF(Calc!F5&gt;0.1,"⚠ step &gt; 10% of wr",IF(AND($AH5&lt;&gt;"",$AH5&lt;&gt;"No FRET",N($O5)&lt;2),"⚠ FRET needs ≥ 2 colours",IF(AND($AH5&lt;&gt;"",$AH5&lt;&gt;"No FRET",N($AI5)+N($AJ5)+N($AK5)=0),"⚠ FRET: set R","✔ OK")))))))</f>
        <v>✔ OK</v>
      </c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7" t="str">
        <f aca="false">IF(OR($AZ5="",$AZ5="No FRET",N($BA5)&lt;=0,N($V5)&lt;=0),"",1/(1+($BA5/$V5)^6))</f>
        <v/>
      </c>
      <c r="BE5" s="27" t="str">
        <f aca="false">IF(OR($AZ5="",$AZ5="No FRET",N($BB5)&lt;=0,N($W5)&lt;=0),"",1/(1+($BB5/$W5)^6))</f>
        <v/>
      </c>
      <c r="BF5" s="27" t="str">
        <f aca="false">IF(OR($AZ5="",$AZ5="No FRET",N($BC5)&lt;=0,N($X5)&lt;=0),"",1/(1+($BC5/$X5)^6))</f>
        <v/>
      </c>
      <c r="BG5" s="28" t="str">
        <f aca="false">IF(OR($A5="",N($AS5)&lt;=0),"",IF($I5&gt;0,$AS5/($G5*$H5*$I5)/1E-024/6.022E+023/0.000000001,""))</f>
        <v/>
      </c>
      <c r="BH5" s="29" t="str">
        <f aca="false">IF(Calc!M5=0,"",IF(Calc!K5&gt;=1,"✖ saturated (B ≥ freq.)",IF(Calc!K5&gt;0.1,"⚠ B &gt; 10% of freq.",IF(Calc!K5=0,"⚠ no brightness",IF(Calc!L5&gt;0.1,"⚠ step &gt; 10% of wr",IF(AND($AZ5&lt;&gt;"",$AZ5&lt;&gt;"No FRET",N($O5)&lt;2),"⚠ FRET needs ≥ 2 colours",IF(AND($AZ5&lt;&gt;"",$AZ5&lt;&gt;"No FRET",N($BA5)+N($BB5)+N($BC5)=0),"⚠ FRET: set R","✔ OK")))))))</f>
        <v/>
      </c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7" t="str">
        <f aca="false">IF(OR($BR5="",$BR5="No FRET",N($BS5)&lt;=0,N($V5)&lt;=0),"",1/(1+($BS5/$V5)^6))</f>
        <v/>
      </c>
      <c r="BW5" s="27" t="str">
        <f aca="false">IF(OR($BR5="",$BR5="No FRET",N($BT5)&lt;=0,N($W5)&lt;=0),"",1/(1+($BT5/$W5)^6))</f>
        <v/>
      </c>
      <c r="BX5" s="27" t="str">
        <f aca="false">IF(OR($BR5="",$BR5="No FRET",N($BU5)&lt;=0,N($X5)&lt;=0),"",1/(1+($BU5/$X5)^6))</f>
        <v/>
      </c>
      <c r="BY5" s="28" t="str">
        <f aca="false">IF(OR($A5="",N($BK5)&lt;=0),"",IF($I5&gt;0,$BK5/($G5*$H5*$I5)/1E-024/6.022E+023/0.000000001,""))</f>
        <v/>
      </c>
      <c r="BZ5" s="29" t="str">
        <f aca="false">IF(Calc!S5=0,"",IF(Calc!Q5&gt;=1,"✖ saturated (B ≥ freq.)",IF(Calc!Q5&gt;0.1,"⚠ B &gt; 10% of freq.",IF(Calc!Q5=0,"⚠ no brightness",IF(Calc!R5&gt;0.1,"⚠ step &gt; 10% of wr",IF(AND($BR5&lt;&gt;"",$BR5&lt;&gt;"No FRET",N($O5)&lt;2),"⚠ FRET needs ≥ 2 colours",IF(AND($BR5&lt;&gt;"",$BR5&lt;&gt;"No FRET",N($BS5)+N($BT5)+N($BU5)=0),"⚠ FRET: set R","✔ OK")))))))</f>
        <v/>
      </c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7" t="str">
        <f aca="false">IF(OR($CJ5="",$CJ5="No FRET",N($CK5)&lt;=0,N($V5)&lt;=0),"",1/(1+($CK5/$V5)^6))</f>
        <v/>
      </c>
      <c r="CO5" s="27" t="str">
        <f aca="false">IF(OR($CJ5="",$CJ5="No FRET",N($CL5)&lt;=0,N($W5)&lt;=0),"",1/(1+($CL5/$W5)^6))</f>
        <v/>
      </c>
      <c r="CP5" s="27" t="str">
        <f aca="false">IF(OR($CJ5="",$CJ5="No FRET",N($CM5)&lt;=0,N($X5)&lt;=0),"",1/(1+($CM5/$X5)^6))</f>
        <v/>
      </c>
      <c r="CQ5" s="28" t="str">
        <f aca="false">IF(OR($A5="",N($CC5)&lt;=0),"",IF($I5&gt;0,$CC5/($G5*$H5*$I5)/1E-024/6.022E+023/0.000000001,""))</f>
        <v/>
      </c>
      <c r="CR5" s="29" t="str">
        <f aca="false">IF(Calc!Y5=0,"",IF(Calc!W5&gt;=1,"✖ saturated (B ≥ freq.)",IF(Calc!W5&gt;0.1,"⚠ B &gt; 10% of freq.",IF(Calc!W5=0,"⚠ no brightness",IF(Calc!X5&gt;0.1,"⚠ step &gt; 10% of wr",IF(AND($CJ5&lt;&gt;"",$CJ5&lt;&gt;"No FRET",N($O5)&lt;2),"⚠ FRET needs ≥ 2 colours",IF(AND($CJ5&lt;&gt;"",$CJ5&lt;&gt;"No FRET",N($CK5)+N($CL5)+N($CM5)=0),"⚠ FRET: set R","✔ OK")))))))</f>
        <v/>
      </c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7" t="str">
        <f aca="false">IF(OR($DB5="",$DB5="No FRET",N($DC5)&lt;=0,N($V5)&lt;=0),"",1/(1+($DC5/$V5)^6))</f>
        <v/>
      </c>
      <c r="DG5" s="27" t="str">
        <f aca="false">IF(OR($DB5="",$DB5="No FRET",N($DD5)&lt;=0,N($W5)&lt;=0),"",1/(1+($DD5/$W5)^6))</f>
        <v/>
      </c>
      <c r="DH5" s="27" t="str">
        <f aca="false">IF(OR($DB5="",$DB5="No FRET",N($DE5)&lt;=0,N($X5)&lt;=0),"",1/(1+($DE5/$X5)^6))</f>
        <v/>
      </c>
      <c r="DI5" s="28" t="str">
        <f aca="false">IF(OR($A5="",N($CU5)&lt;=0),"",IF($I5&gt;0,$CU5/($G5*$H5*$I5)/1E-024/6.022E+023/0.000000001,""))</f>
        <v/>
      </c>
      <c r="DJ5" s="29" t="str">
        <f aca="false">IF(Calc!AE5=0,"",IF(Calc!AC5&gt;=1,"✖ saturated (B ≥ freq.)",IF(Calc!AC5&gt;0.1,"⚠ B &gt; 10% of freq.",IF(Calc!AC5=0,"⚠ no brightness",IF(Calc!AD5&gt;0.1,"⚠ step &gt; 10% of wr",IF(AND($DB5&lt;&gt;"",$DB5&lt;&gt;"No FRET",N($O5)&lt;2),"⚠ FRET needs ≥ 2 colours",IF(AND($DB5&lt;&gt;"",$DB5&lt;&gt;"No FRET",N($DC5)+N($DD5)+N($DE5)=0),"⚠ FRET: set R","✔ OK")))))))</f>
        <v/>
      </c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7" t="str">
        <f aca="false">IF(OR($DT5="",$DT5="No FRET",N($DU5)&lt;=0,N($V5)&lt;=0),"",1/(1+($DU5/$V5)^6))</f>
        <v/>
      </c>
      <c r="DY5" s="27" t="str">
        <f aca="false">IF(OR($DT5="",$DT5="No FRET",N($DV5)&lt;=0,N($W5)&lt;=0),"",1/(1+($DV5/$W5)^6))</f>
        <v/>
      </c>
      <c r="DZ5" s="27" t="str">
        <f aca="false">IF(OR($DT5="",$DT5="No FRET",N($DW5)&lt;=0,N($X5)&lt;=0),"",1/(1+($DW5/$X5)^6))</f>
        <v/>
      </c>
      <c r="EA5" s="28" t="str">
        <f aca="false">IF(OR($A5="",N($DM5)&lt;=0),"",IF($I5&gt;0,$DM5/($G5*$H5*$I5)/1E-024/6.022E+023/0.000000001,""))</f>
        <v/>
      </c>
      <c r="EB5" s="29" t="str">
        <f aca="false">IF(Calc!AK5=0,"",IF(Calc!AI5&gt;=1,"✖ saturated (B ≥ freq.)",IF(Calc!AI5&gt;0.1,"⚠ B &gt; 10% of freq.",IF(Calc!AI5=0,"⚠ no brightness",IF(Calc!AJ5&gt;0.1,"⚠ step &gt; 10% of wr",IF(AND($DT5&lt;&gt;"",$DT5&lt;&gt;"No FRET",N($O5)&lt;2),"⚠ FRET needs ≥ 2 colours",IF(AND($DT5&lt;&gt;"",$DT5&lt;&gt;"No FRET",N($DU5)+N($DV5)+N($DW5)=0),"⚠ FRET: set R","✔ OK")))))))</f>
        <v/>
      </c>
      <c r="EC5" s="30" t="n">
        <f aca="false">IF($A5="","",SUM(Calc!G5,Calc!M5,Calc!S5,Calc!Y5,Calc!AE5,Calc!AK5))</f>
        <v>1</v>
      </c>
      <c r="ED5" s="30" t="n">
        <f aca="false">IF($A5="","",N($AA5)+N($AS5)+N($BK5)+N($CC5)+N($CU5)+N($DM5))</f>
        <v>800</v>
      </c>
      <c r="EE5" s="31" t="n">
        <f aca="false">IF($A5="","",SUM(Calc!B5,Calc!H5,Calc!N5,Calc!T5,Calc!Z5,Calc!AF5))</f>
        <v>25.1993759131559</v>
      </c>
      <c r="EF5" s="31" t="n">
        <f aca="false">IF($A5="","",SUM(Calc!C5,Calc!I5,Calc!O5,Calc!U5,Calc!AA5,Calc!AG5))</f>
        <v>25.1993759131559</v>
      </c>
      <c r="EG5" s="31" t="n">
        <f aca="false">IF($A5="","",SUM(Calc!D5,Calc!J5,Calc!P5,Calc!V5,Calc!AB5,Calc!AH5))</f>
        <v>25.1993759131559</v>
      </c>
      <c r="EH5" s="27" t="n">
        <f aca="false">IF($A5="","",($EE5+$EF5+$EG5+IF($P5="Yes",N($Q5)*N($O5),0))*1000*$K5/1000000)</f>
        <v>4.53588766436806</v>
      </c>
      <c r="EI5" s="28" t="n">
        <f aca="false">IF($A5="","",$EH5*1000000*12/1000000000)</f>
        <v>0.0544306519724167</v>
      </c>
      <c r="EJ5" s="32" t="str">
        <f aca="false">IF($A5="","",IF($EC5=0,"⚠ no species entered",IF(((LEFT($AP5,1)="✖")+(LEFT($BH5,1)="✖")+(LEFT($BZ5,1)="✖")+(LEFT($CR5,1)="✖")+(LEFT($DJ5,1)="✖")+(LEFT($EB5,1)="✖"))&gt;0,"✖ "&amp;((LEFT($AP5,1)="✖")+(LEFT($BH5,1)="✖")+(LEFT($BZ5,1)="✖")+(LEFT($CR5,1)="✖")+(LEFT($DJ5,1)="✖")+(LEFT($EB5,1)="✖"))&amp;" species saturated - see the species checks",IF(MIN($G5,$H5)&lt;8*$T5,"⚠ box too small laterally (&lt; 8·wr)",IF(AND($I5&gt;0,$I5&lt;3*$U5),"⚠ box too small axially (&lt; 3·wz)",IF($EI5&gt;8,"⚠ &gt; 8 GB per file: shorten the duration and use several files",IF(((LEFT($AP5,1)="⚠")+(LEFT($BH5,1)="⚠")+(LEFT($BZ5,1)="⚠")+(LEFT($CR5,1)="⚠")+(LEFT($DJ5,1)="⚠")+(LEFT($EB5,1)="⚠"))&gt;0,"⚠ "&amp;((LEFT($AP5,1)="⚠")+(LEFT($BH5,1)="⚠")+(LEFT($BZ5,1)="⚠")+(LEFT($CR5,1)="⚠")+(LEFT($DJ5,1)="⚠")+(LEFT($EB5,1)="⚠"))&amp;" species with a warning","✔ OK")))))))</f>
        <v>✔ OK</v>
      </c>
      <c r="EK5" s="25" t="n">
        <v>1</v>
      </c>
      <c r="EL5" s="25"/>
      <c r="EM5" s="25" t="s">
        <v>130</v>
      </c>
      <c r="EN5" s="25"/>
      <c r="EO5" s="25"/>
      <c r="EP5" s="25"/>
      <c r="EQ5" s="25"/>
      <c r="ER5" s="26" t="s">
        <v>206</v>
      </c>
    </row>
    <row r="6" customFormat="false" ht="35.05" hidden="false" customHeight="false" outlineLevel="0" collapsed="false">
      <c r="A6" s="25" t="s">
        <v>207</v>
      </c>
      <c r="B6" s="25" t="s">
        <v>208</v>
      </c>
      <c r="C6" s="26" t="s">
        <v>209</v>
      </c>
      <c r="D6" s="26" t="s">
        <v>193</v>
      </c>
      <c r="E6" s="25" t="s">
        <v>205</v>
      </c>
      <c r="F6" s="25" t="n">
        <v>2</v>
      </c>
      <c r="G6" s="25" t="n">
        <v>5000</v>
      </c>
      <c r="H6" s="25" t="n">
        <v>5000</v>
      </c>
      <c r="I6" s="25" t="n">
        <v>5000</v>
      </c>
      <c r="J6" s="25" t="n">
        <v>1000</v>
      </c>
      <c r="K6" s="25" t="n">
        <v>60</v>
      </c>
      <c r="L6" s="25" t="n">
        <v>1</v>
      </c>
      <c r="M6" s="25" t="n">
        <v>60</v>
      </c>
      <c r="N6" s="25" t="s">
        <v>74</v>
      </c>
      <c r="O6" s="25" t="n">
        <v>3</v>
      </c>
      <c r="P6" s="25" t="s">
        <v>195</v>
      </c>
      <c r="Q6" s="25" t="n">
        <v>0.2</v>
      </c>
      <c r="R6" s="25" t="s">
        <v>195</v>
      </c>
      <c r="S6" s="25" t="n">
        <v>250</v>
      </c>
      <c r="T6" s="25" t="n">
        <v>200</v>
      </c>
      <c r="U6" s="25" t="n">
        <v>1000</v>
      </c>
      <c r="V6" s="25" t="n">
        <v>63</v>
      </c>
      <c r="W6" s="25" t="n">
        <v>51</v>
      </c>
      <c r="X6" s="25" t="n">
        <v>68</v>
      </c>
      <c r="Y6" s="25" t="s">
        <v>137</v>
      </c>
      <c r="Z6" s="25" t="n">
        <v>50</v>
      </c>
      <c r="AA6" s="25" t="n">
        <v>800</v>
      </c>
      <c r="AB6" s="25" t="n">
        <v>50</v>
      </c>
      <c r="AC6" s="25" t="n">
        <v>50</v>
      </c>
      <c r="AD6" s="25" t="n">
        <v>0</v>
      </c>
      <c r="AE6" s="25" t="n">
        <v>4</v>
      </c>
      <c r="AF6" s="25" t="n">
        <v>3</v>
      </c>
      <c r="AG6" s="25" t="n">
        <v>2</v>
      </c>
      <c r="AH6" s="25" t="s">
        <v>111</v>
      </c>
      <c r="AI6" s="25"/>
      <c r="AJ6" s="25"/>
      <c r="AK6" s="25"/>
      <c r="AL6" s="27" t="str">
        <f aca="false">IF(OR($AH6="",$AH6="No FRET",N($AI6)&lt;=0,N($V6)&lt;=0),"",1/(1+($AI6/$V6)^6))</f>
        <v/>
      </c>
      <c r="AM6" s="27" t="str">
        <f aca="false">IF(OR($AH6="",$AH6="No FRET",N($AJ6)&lt;=0,N($W6)&lt;=0),"",1/(1+($AJ6/$W6)^6))</f>
        <v/>
      </c>
      <c r="AN6" s="27" t="str">
        <f aca="false">IF(OR($AH6="",$AH6="No FRET",N($AK6)&lt;=0,N($X6)&lt;=0),"",1/(1+($AK6/$X6)^6))</f>
        <v/>
      </c>
      <c r="AO6" s="28" t="n">
        <f aca="false">IF(OR($A6="",N($AA6)&lt;=0),"",IF($I6&gt;0,$AA6/($G6*$H6*$I6)/1E-024/6.022E+023/0.000000001,""))</f>
        <v>10.6276984390568</v>
      </c>
      <c r="AP6" s="29" t="str">
        <f aca="false">IF(Calc!G6=0,"",IF(Calc!E6&gt;=1,"✖ saturated (B ≥ freq.)",IF(Calc!E6&gt;0.1,"⚠ B &gt; 10% of freq.",IF(Calc!E6=0,"⚠ no brightness",IF(Calc!F6&gt;0.1,"⚠ step &gt; 10% of wr",IF(AND($AH6&lt;&gt;"",$AH6&lt;&gt;"No FRET",N($O6)&lt;2),"⚠ FRET needs ≥ 2 colours",IF(AND($AH6&lt;&gt;"",$AH6&lt;&gt;"No FRET",N($AI6)+N($AJ6)+N($AK6)=0),"⚠ FRET: set R","✔ OK")))))))</f>
        <v>✔ OK</v>
      </c>
      <c r="AQ6" s="25" t="s">
        <v>138</v>
      </c>
      <c r="AR6" s="25" t="n">
        <v>50</v>
      </c>
      <c r="AS6" s="25" t="n">
        <v>100</v>
      </c>
      <c r="AT6" s="25" t="n">
        <v>50</v>
      </c>
      <c r="AU6" s="25" t="n">
        <v>0</v>
      </c>
      <c r="AV6" s="25" t="n">
        <v>50</v>
      </c>
      <c r="AW6" s="25" t="n">
        <v>4</v>
      </c>
      <c r="AX6" s="25" t="n">
        <v>3</v>
      </c>
      <c r="AY6" s="25" t="n">
        <v>2</v>
      </c>
      <c r="AZ6" s="25" t="s">
        <v>111</v>
      </c>
      <c r="BA6" s="25"/>
      <c r="BB6" s="25"/>
      <c r="BC6" s="25"/>
      <c r="BD6" s="27" t="str">
        <f aca="false">IF(OR($AZ6="",$AZ6="No FRET",N($BA6)&lt;=0,N($V6)&lt;=0),"",1/(1+($BA6/$V6)^6))</f>
        <v/>
      </c>
      <c r="BE6" s="27" t="str">
        <f aca="false">IF(OR($AZ6="",$AZ6="No FRET",N($BB6)&lt;=0,N($W6)&lt;=0),"",1/(1+($BB6/$W6)^6))</f>
        <v/>
      </c>
      <c r="BF6" s="27" t="str">
        <f aca="false">IF(OR($AZ6="",$AZ6="No FRET",N($BC6)&lt;=0,N($X6)&lt;=0),"",1/(1+($BC6/$X6)^6))</f>
        <v/>
      </c>
      <c r="BG6" s="28" t="n">
        <f aca="false">IF(OR($A6="",N($AS6)&lt;=0),"",IF($I6&gt;0,$AS6/($G6*$H6*$I6)/1E-024/6.022E+023/0.000000001,""))</f>
        <v>1.3284623048821</v>
      </c>
      <c r="BH6" s="29" t="str">
        <f aca="false">IF(Calc!M6=0,"",IF(Calc!K6&gt;=1,"✖ saturated (B ≥ freq.)",IF(Calc!K6&gt;0.1,"⚠ B &gt; 10% of freq.",IF(Calc!K6=0,"⚠ no brightness",IF(Calc!L6&gt;0.1,"⚠ step &gt; 10% of wr",IF(AND($AZ6&lt;&gt;"",$AZ6&lt;&gt;"No FRET",N($O6)&lt;2),"⚠ FRET needs ≥ 2 colours",IF(AND($AZ6&lt;&gt;"",$AZ6&lt;&gt;"No FRET",N($BA6)+N($BB6)+N($BC6)=0),"⚠ FRET: set R","✔ OK")))))))</f>
        <v>✔ OK</v>
      </c>
      <c r="BI6" s="25" t="s">
        <v>139</v>
      </c>
      <c r="BJ6" s="25" t="n">
        <v>50</v>
      </c>
      <c r="BK6" s="25" t="n">
        <v>100</v>
      </c>
      <c r="BL6" s="25" t="n">
        <v>0</v>
      </c>
      <c r="BM6" s="25" t="n">
        <v>50</v>
      </c>
      <c r="BN6" s="25" t="n">
        <v>50</v>
      </c>
      <c r="BO6" s="25" t="n">
        <v>4</v>
      </c>
      <c r="BP6" s="25" t="n">
        <v>3</v>
      </c>
      <c r="BQ6" s="25" t="n">
        <v>2</v>
      </c>
      <c r="BR6" s="25" t="s">
        <v>111</v>
      </c>
      <c r="BS6" s="25"/>
      <c r="BT6" s="25"/>
      <c r="BU6" s="25"/>
      <c r="BV6" s="27" t="str">
        <f aca="false">IF(OR($BR6="",$BR6="No FRET",N($BS6)&lt;=0,N($V6)&lt;=0),"",1/(1+($BS6/$V6)^6))</f>
        <v/>
      </c>
      <c r="BW6" s="27" t="str">
        <f aca="false">IF(OR($BR6="",$BR6="No FRET",N($BT6)&lt;=0,N($W6)&lt;=0),"",1/(1+($BT6/$W6)^6))</f>
        <v/>
      </c>
      <c r="BX6" s="27" t="str">
        <f aca="false">IF(OR($BR6="",$BR6="No FRET",N($BU6)&lt;=0,N($X6)&lt;=0),"",1/(1+($BU6/$X6)^6))</f>
        <v/>
      </c>
      <c r="BY6" s="28" t="n">
        <f aca="false">IF(OR($A6="",N($BK6)&lt;=0),"",IF($I6&gt;0,$BK6/($G6*$H6*$I6)/1E-024/6.022E+023/0.000000001,""))</f>
        <v>1.3284623048821</v>
      </c>
      <c r="BZ6" s="29" t="str">
        <f aca="false">IF(Calc!S6=0,"",IF(Calc!Q6&gt;=1,"✖ saturated (B ≥ freq.)",IF(Calc!Q6&gt;0.1,"⚠ B &gt; 10% of freq.",IF(Calc!Q6=0,"⚠ no brightness",IF(Calc!R6&gt;0.1,"⚠ step &gt; 10% of wr",IF(AND($BR6&lt;&gt;"",$BR6&lt;&gt;"No FRET",N($O6)&lt;2),"⚠ FRET needs ≥ 2 colours",IF(AND($BR6&lt;&gt;"",$BR6&lt;&gt;"No FRET",N($BS6)+N($BT6)+N($BU6)=0),"⚠ FRET: set R","✔ OK")))))))</f>
        <v>✔ OK</v>
      </c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7" t="str">
        <f aca="false">IF(OR($CJ6="",$CJ6="No FRET",N($CK6)&lt;=0,N($V6)&lt;=0),"",1/(1+($CK6/$V6)^6))</f>
        <v/>
      </c>
      <c r="CO6" s="27" t="str">
        <f aca="false">IF(OR($CJ6="",$CJ6="No FRET",N($CL6)&lt;=0,N($W6)&lt;=0),"",1/(1+($CL6/$W6)^6))</f>
        <v/>
      </c>
      <c r="CP6" s="27" t="str">
        <f aca="false">IF(OR($CJ6="",$CJ6="No FRET",N($CM6)&lt;=0,N($X6)&lt;=0),"",1/(1+($CM6/$X6)^6))</f>
        <v/>
      </c>
      <c r="CQ6" s="28" t="str">
        <f aca="false">IF(OR($A6="",N($CC6)&lt;=0),"",IF($I6&gt;0,$CC6/($G6*$H6*$I6)/1E-024/6.022E+023/0.000000001,""))</f>
        <v/>
      </c>
      <c r="CR6" s="29" t="str">
        <f aca="false">IF(Calc!Y6=0,"",IF(Calc!W6&gt;=1,"✖ saturated (B ≥ freq.)",IF(Calc!W6&gt;0.1,"⚠ B &gt; 10% of freq.",IF(Calc!W6=0,"⚠ no brightness",IF(Calc!X6&gt;0.1,"⚠ step &gt; 10% of wr",IF(AND($CJ6&lt;&gt;"",$CJ6&lt;&gt;"No FRET",N($O6)&lt;2),"⚠ FRET needs ≥ 2 colours",IF(AND($CJ6&lt;&gt;"",$CJ6&lt;&gt;"No FRET",N($CK6)+N($CL6)+N($CM6)=0),"⚠ FRET: set R","✔ OK")))))))</f>
        <v/>
      </c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7" t="str">
        <f aca="false">IF(OR($DB6="",$DB6="No FRET",N($DC6)&lt;=0,N($V6)&lt;=0),"",1/(1+($DC6/$V6)^6))</f>
        <v/>
      </c>
      <c r="DG6" s="27" t="str">
        <f aca="false">IF(OR($DB6="",$DB6="No FRET",N($DD6)&lt;=0,N($W6)&lt;=0),"",1/(1+($DD6/$W6)^6))</f>
        <v/>
      </c>
      <c r="DH6" s="27" t="str">
        <f aca="false">IF(OR($DB6="",$DB6="No FRET",N($DE6)&lt;=0,N($X6)&lt;=0),"",1/(1+($DE6/$X6)^6))</f>
        <v/>
      </c>
      <c r="DI6" s="28" t="str">
        <f aca="false">IF(OR($A6="",N($CU6)&lt;=0),"",IF($I6&gt;0,$CU6/($G6*$H6*$I6)/1E-024/6.022E+023/0.000000001,""))</f>
        <v/>
      </c>
      <c r="DJ6" s="29" t="str">
        <f aca="false">IF(Calc!AE6=0,"",IF(Calc!AC6&gt;=1,"✖ saturated (B ≥ freq.)",IF(Calc!AC6&gt;0.1,"⚠ B &gt; 10% of freq.",IF(Calc!AC6=0,"⚠ no brightness",IF(Calc!AD6&gt;0.1,"⚠ step &gt; 10% of wr",IF(AND($DB6&lt;&gt;"",$DB6&lt;&gt;"No FRET",N($O6)&lt;2),"⚠ FRET needs ≥ 2 colours",IF(AND($DB6&lt;&gt;"",$DB6&lt;&gt;"No FRET",N($DC6)+N($DD6)+N($DE6)=0),"⚠ FRET: set R","✔ OK")))))))</f>
        <v/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7" t="str">
        <f aca="false">IF(OR($DT6="",$DT6="No FRET",N($DU6)&lt;=0,N($V6)&lt;=0),"",1/(1+($DU6/$V6)^6))</f>
        <v/>
      </c>
      <c r="DY6" s="27" t="str">
        <f aca="false">IF(OR($DT6="",$DT6="No FRET",N($DV6)&lt;=0,N($W6)&lt;=0),"",1/(1+($DV6/$W6)^6))</f>
        <v/>
      </c>
      <c r="DZ6" s="27" t="str">
        <f aca="false">IF(OR($DT6="",$DT6="No FRET",N($DW6)&lt;=0,N($X6)&lt;=0),"",1/(1+($DW6/$X6)^6))</f>
        <v/>
      </c>
      <c r="EA6" s="28" t="str">
        <f aca="false">IF(OR($A6="",N($DM6)&lt;=0),"",IF($I6&gt;0,$DM6/($G6*$H6*$I6)/1E-024/6.022E+023/0.000000001,""))</f>
        <v/>
      </c>
      <c r="EB6" s="29" t="str">
        <f aca="false">IF(Calc!AK6=0,"",IF(Calc!AI6&gt;=1,"✖ saturated (B ≥ freq.)",IF(Calc!AI6&gt;0.1,"⚠ B &gt; 10% of freq.",IF(Calc!AI6=0,"⚠ no brightness",IF(Calc!AJ6&gt;0.1,"⚠ step &gt; 10% of wr",IF(AND($DT6&lt;&gt;"",$DT6&lt;&gt;"No FRET",N($O6)&lt;2),"⚠ FRET needs ≥ 2 colours",IF(AND($DT6&lt;&gt;"",$DT6&lt;&gt;"No FRET",N($DU6)+N($DV6)+N($DW6)=0),"⚠ FRET: set R","✔ OK")))))))</f>
        <v/>
      </c>
      <c r="EC6" s="30" t="n">
        <f aca="false">IF($A6="","",SUM(Calc!G6,Calc!M6,Calc!S6,Calc!Y6,Calc!AE6,Calc!AK6))</f>
        <v>3</v>
      </c>
      <c r="ED6" s="30" t="n">
        <f aca="false">IF($A6="","",N($AA6)+N($AS6)+N($BK6)+N($CC6)+N($CU6)+N($DM6))</f>
        <v>1000</v>
      </c>
      <c r="EE6" s="31" t="n">
        <f aca="false">IF($A6="","",SUM(Calc!B6,Calc!H6,Calc!N6,Calc!T6,Calc!Z6,Calc!AF6))</f>
        <v>28.3492979023004</v>
      </c>
      <c r="EF6" s="31" t="n">
        <f aca="false">IF($A6="","",SUM(Calc!C6,Calc!I6,Calc!O6,Calc!U6,Calc!AA6,Calc!AG6))</f>
        <v>28.3492979023004</v>
      </c>
      <c r="EG6" s="31" t="n">
        <f aca="false">IF($A6="","",SUM(Calc!D6,Calc!J6,Calc!P6,Calc!V6,Calc!AB6,Calc!AH6))</f>
        <v>6.29984397828897</v>
      </c>
      <c r="EH6" s="27" t="n">
        <f aca="false">IF($A6="","",($EE6+$EF6+$EG6+IF($P6="Yes",N($Q6)*N($O6),0))*1000*$K6/1000000)</f>
        <v>3.77990638697338</v>
      </c>
      <c r="EI6" s="28" t="n">
        <f aca="false">IF($A6="","",$EH6*1000000*12/1000000000)</f>
        <v>0.0453588766436806</v>
      </c>
      <c r="EJ6" s="32" t="str">
        <f aca="false">IF($A6="","",IF($EC6=0,"⚠ no species entered",IF(((LEFT($AP6,1)="✖")+(LEFT($BH6,1)="✖")+(LEFT($BZ6,1)="✖")+(LEFT($CR6,1)="✖")+(LEFT($DJ6,1)="✖")+(LEFT($EB6,1)="✖"))&gt;0,"✖ "&amp;((LEFT($AP6,1)="✖")+(LEFT($BH6,1)="✖")+(LEFT($BZ6,1)="✖")+(LEFT($CR6,1)="✖")+(LEFT($DJ6,1)="✖")+(LEFT($EB6,1)="✖"))&amp;" species saturated - see the species checks",IF(MIN($G6,$H6)&lt;8*$T6,"⚠ box too small laterally (&lt; 8·wr)",IF(AND($I6&gt;0,$I6&lt;3*$U6),"⚠ box too small axially (&lt; 3·wz)",IF($EI6&gt;8,"⚠ &gt; 8 GB per file: shorten the duration and use several files",IF(((LEFT($AP6,1)="⚠")+(LEFT($BH6,1)="⚠")+(LEFT($BZ6,1)="⚠")+(LEFT($CR6,1)="⚠")+(LEFT($DJ6,1)="⚠")+(LEFT($EB6,1)="⚠"))&gt;0,"⚠ "&amp;((LEFT($AP6,1)="⚠")+(LEFT($BH6,1)="⚠")+(LEFT($BZ6,1)="⚠")+(LEFT($CR6,1)="⚠")+(LEFT($DJ6,1)="⚠")+(LEFT($EB6,1)="⚠"))&amp;" species with a warning","✔ OK")))))))</f>
        <v>✔ OK</v>
      </c>
      <c r="EK6" s="25" t="n">
        <v>1</v>
      </c>
      <c r="EL6" s="25"/>
      <c r="EM6" s="25" t="s">
        <v>130</v>
      </c>
      <c r="EN6" s="25"/>
      <c r="EO6" s="25"/>
      <c r="EP6" s="25"/>
      <c r="EQ6" s="25"/>
      <c r="ER6" s="26" t="s">
        <v>206</v>
      </c>
    </row>
    <row r="7" customFormat="false" ht="35.05" hidden="false" customHeight="false" outlineLevel="0" collapsed="false">
      <c r="A7" s="25" t="s">
        <v>210</v>
      </c>
      <c r="B7" s="25" t="s">
        <v>211</v>
      </c>
      <c r="C7" s="26" t="s">
        <v>212</v>
      </c>
      <c r="D7" s="26" t="s">
        <v>213</v>
      </c>
      <c r="E7" s="25" t="s">
        <v>205</v>
      </c>
      <c r="F7" s="25" t="n">
        <v>3</v>
      </c>
      <c r="G7" s="25" t="n">
        <v>5000</v>
      </c>
      <c r="H7" s="25" t="n">
        <v>5000</v>
      </c>
      <c r="I7" s="25" t="n">
        <v>5000</v>
      </c>
      <c r="J7" s="25" t="n">
        <v>1000</v>
      </c>
      <c r="K7" s="25" t="n">
        <v>10</v>
      </c>
      <c r="L7" s="25" t="n">
        <v>1</v>
      </c>
      <c r="M7" s="25" t="n">
        <v>60</v>
      </c>
      <c r="N7" s="25" t="s">
        <v>74</v>
      </c>
      <c r="O7" s="25" t="n">
        <v>3</v>
      </c>
      <c r="P7" s="25" t="s">
        <v>195</v>
      </c>
      <c r="Q7" s="25" t="n">
        <v>0.2</v>
      </c>
      <c r="R7" s="25" t="s">
        <v>195</v>
      </c>
      <c r="S7" s="25" t="n">
        <v>250</v>
      </c>
      <c r="T7" s="25" t="n">
        <v>200</v>
      </c>
      <c r="U7" s="25" t="n">
        <v>1000</v>
      </c>
      <c r="V7" s="25" t="n">
        <v>63</v>
      </c>
      <c r="W7" s="25" t="n">
        <v>51</v>
      </c>
      <c r="X7" s="25" t="n">
        <v>68</v>
      </c>
      <c r="Y7" s="25" t="s">
        <v>137</v>
      </c>
      <c r="Z7" s="25" t="n">
        <v>400</v>
      </c>
      <c r="AA7" s="25" t="n">
        <v>10</v>
      </c>
      <c r="AB7" s="25" t="n">
        <v>10000</v>
      </c>
      <c r="AC7" s="25" t="n">
        <v>0</v>
      </c>
      <c r="AD7" s="25" t="n">
        <v>0</v>
      </c>
      <c r="AE7" s="25" t="n">
        <v>4</v>
      </c>
      <c r="AF7" s="25" t="n">
        <v>3</v>
      </c>
      <c r="AG7" s="25" t="n">
        <v>2.5</v>
      </c>
      <c r="AH7" s="25" t="s">
        <v>111</v>
      </c>
      <c r="AI7" s="25"/>
      <c r="AJ7" s="25"/>
      <c r="AK7" s="25"/>
      <c r="AL7" s="27" t="str">
        <f aca="false">IF(OR($AH7="",$AH7="No FRET",N($AI7)&lt;=0,N($V7)&lt;=0),"",1/(1+($AI7/$V7)^6))</f>
        <v/>
      </c>
      <c r="AM7" s="27" t="str">
        <f aca="false">IF(OR($AH7="",$AH7="No FRET",N($AJ7)&lt;=0,N($W7)&lt;=0),"",1/(1+($AJ7/$W7)^6))</f>
        <v/>
      </c>
      <c r="AN7" s="27" t="str">
        <f aca="false">IF(OR($AH7="",$AH7="No FRET",N($AK7)&lt;=0,N($X7)&lt;=0),"",1/(1+($AK7/$X7)^6))</f>
        <v/>
      </c>
      <c r="AO7" s="28" t="n">
        <f aca="false">IF(OR($A7="",N($AA7)&lt;=0),"",IF($I7&gt;0,$AA7/($G7*$H7*$I7)/1E-024/6.022E+023/0.000000001,""))</f>
        <v>0.13284623048821</v>
      </c>
      <c r="AP7" s="29" t="str">
        <f aca="false">IF(Calc!G7=0,"",IF(Calc!E7&gt;=1,"✖ saturated (B ≥ freq.)",IF(Calc!E7&gt;0.1,"⚠ B &gt; 10% of freq.",IF(Calc!E7=0,"⚠ no brightness",IF(Calc!F7&gt;0.1,"⚠ step &gt; 10% of wr",IF(AND($AH7&lt;&gt;"",$AH7&lt;&gt;"No FRET",N($O7)&lt;2),"⚠ FRET needs ≥ 2 colours",IF(AND($AH7&lt;&gt;"",$AH7&lt;&gt;"No FRET",N($AI7)+N($AJ7)+N($AK7)=0),"⚠ FRET: set R","✔ OK")))))))</f>
        <v>✖ saturated (B ≥ freq.)</v>
      </c>
      <c r="AQ7" s="25" t="s">
        <v>138</v>
      </c>
      <c r="AR7" s="25" t="n">
        <v>400</v>
      </c>
      <c r="AS7" s="25" t="n">
        <v>10</v>
      </c>
      <c r="AT7" s="25" t="n">
        <v>0</v>
      </c>
      <c r="AU7" s="25" t="n">
        <v>10000</v>
      </c>
      <c r="AV7" s="25" t="n">
        <v>0</v>
      </c>
      <c r="AW7" s="25" t="n">
        <v>4</v>
      </c>
      <c r="AX7" s="25" t="n">
        <v>3</v>
      </c>
      <c r="AY7" s="25" t="n">
        <v>2.5</v>
      </c>
      <c r="AZ7" s="25" t="s">
        <v>111</v>
      </c>
      <c r="BA7" s="25"/>
      <c r="BB7" s="25"/>
      <c r="BC7" s="25"/>
      <c r="BD7" s="27" t="str">
        <f aca="false">IF(OR($AZ7="",$AZ7="No FRET",N($BA7)&lt;=0,N($V7)&lt;=0),"",1/(1+($BA7/$V7)^6))</f>
        <v/>
      </c>
      <c r="BE7" s="27" t="str">
        <f aca="false">IF(OR($AZ7="",$AZ7="No FRET",N($BB7)&lt;=0,N($W7)&lt;=0),"",1/(1+($BB7/$W7)^6))</f>
        <v/>
      </c>
      <c r="BF7" s="27" t="str">
        <f aca="false">IF(OR($AZ7="",$AZ7="No FRET",N($BC7)&lt;=0,N($X7)&lt;=0),"",1/(1+($BC7/$X7)^6))</f>
        <v/>
      </c>
      <c r="BG7" s="28" t="n">
        <f aca="false">IF(OR($A7="",N($AS7)&lt;=0),"",IF($I7&gt;0,$AS7/($G7*$H7*$I7)/1E-024/6.022E+023/0.000000001,""))</f>
        <v>0.13284623048821</v>
      </c>
      <c r="BH7" s="29" t="str">
        <f aca="false">IF(Calc!M7=0,"",IF(Calc!K7&gt;=1,"✖ saturated (B ≥ freq.)",IF(Calc!K7&gt;0.1,"⚠ B &gt; 10% of freq.",IF(Calc!K7=0,"⚠ no brightness",IF(Calc!L7&gt;0.1,"⚠ step &gt; 10% of wr",IF(AND($AZ7&lt;&gt;"",$AZ7&lt;&gt;"No FRET",N($O7)&lt;2),"⚠ FRET needs ≥ 2 colours",IF(AND($AZ7&lt;&gt;"",$AZ7&lt;&gt;"No FRET",N($BA7)+N($BB7)+N($BC7)=0),"⚠ FRET: set R","✔ OK")))))))</f>
        <v>✖ saturated (B ≥ freq.)</v>
      </c>
      <c r="BI7" s="25" t="s">
        <v>139</v>
      </c>
      <c r="BJ7" s="25" t="n">
        <v>400</v>
      </c>
      <c r="BK7" s="25" t="n">
        <v>10</v>
      </c>
      <c r="BL7" s="25" t="n">
        <v>0</v>
      </c>
      <c r="BM7" s="25" t="n">
        <v>0</v>
      </c>
      <c r="BN7" s="25" t="n">
        <v>10000</v>
      </c>
      <c r="BO7" s="25" t="n">
        <v>4</v>
      </c>
      <c r="BP7" s="25" t="n">
        <v>3</v>
      </c>
      <c r="BQ7" s="25" t="n">
        <v>2.5</v>
      </c>
      <c r="BR7" s="25" t="s">
        <v>111</v>
      </c>
      <c r="BS7" s="25"/>
      <c r="BT7" s="25"/>
      <c r="BU7" s="25"/>
      <c r="BV7" s="27" t="str">
        <f aca="false">IF(OR($BR7="",$BR7="No FRET",N($BS7)&lt;=0,N($V7)&lt;=0),"",1/(1+($BS7/$V7)^6))</f>
        <v/>
      </c>
      <c r="BW7" s="27" t="str">
        <f aca="false">IF(OR($BR7="",$BR7="No FRET",N($BT7)&lt;=0,N($W7)&lt;=0),"",1/(1+($BT7/$W7)^6))</f>
        <v/>
      </c>
      <c r="BX7" s="27" t="str">
        <f aca="false">IF(OR($BR7="",$BR7="No FRET",N($BU7)&lt;=0,N($X7)&lt;=0),"",1/(1+($BU7/$X7)^6))</f>
        <v/>
      </c>
      <c r="BY7" s="28" t="n">
        <f aca="false">IF(OR($A7="",N($BK7)&lt;=0),"",IF($I7&gt;0,$BK7/($G7*$H7*$I7)/1E-024/6.022E+023/0.000000001,""))</f>
        <v>0.13284623048821</v>
      </c>
      <c r="BZ7" s="29" t="str">
        <f aca="false">IF(Calc!S7=0,"",IF(Calc!Q7&gt;=1,"✖ saturated (B ≥ freq.)",IF(Calc!Q7&gt;0.1,"⚠ B &gt; 10% of freq.",IF(Calc!Q7=0,"⚠ no brightness",IF(Calc!R7&gt;0.1,"⚠ step &gt; 10% of wr",IF(AND($BR7&lt;&gt;"",$BR7&lt;&gt;"No FRET",N($O7)&lt;2),"⚠ FRET needs ≥ 2 colours",IF(AND($BR7&lt;&gt;"",$BR7&lt;&gt;"No FRET",N($BS7)+N($BT7)+N($BU7)=0),"⚠ FRET: set R","✔ OK")))))))</f>
        <v>✖ saturated (B ≥ freq.)</v>
      </c>
      <c r="CA7" s="25" t="s">
        <v>140</v>
      </c>
      <c r="CB7" s="25" t="n">
        <v>33</v>
      </c>
      <c r="CC7" s="25" t="n">
        <v>10</v>
      </c>
      <c r="CD7" s="25" t="n">
        <v>10000</v>
      </c>
      <c r="CE7" s="25" t="n">
        <v>10000</v>
      </c>
      <c r="CF7" s="25" t="n">
        <v>10000</v>
      </c>
      <c r="CG7" s="25" t="n">
        <v>4</v>
      </c>
      <c r="CH7" s="25" t="n">
        <v>3</v>
      </c>
      <c r="CI7" s="25" t="n">
        <v>2.5</v>
      </c>
      <c r="CJ7" s="25" t="s">
        <v>111</v>
      </c>
      <c r="CK7" s="25"/>
      <c r="CL7" s="25"/>
      <c r="CM7" s="25"/>
      <c r="CN7" s="27" t="str">
        <f aca="false">IF(OR($CJ7="",$CJ7="No FRET",N($CK7)&lt;=0,N($V7)&lt;=0),"",1/(1+($CK7/$V7)^6))</f>
        <v/>
      </c>
      <c r="CO7" s="27" t="str">
        <f aca="false">IF(OR($CJ7="",$CJ7="No FRET",N($CL7)&lt;=0,N($W7)&lt;=0),"",1/(1+($CL7/$W7)^6))</f>
        <v/>
      </c>
      <c r="CP7" s="27" t="str">
        <f aca="false">IF(OR($CJ7="",$CJ7="No FRET",N($CM7)&lt;=0,N($X7)&lt;=0),"",1/(1+($CM7/$X7)^6))</f>
        <v/>
      </c>
      <c r="CQ7" s="28" t="n">
        <f aca="false">IF(OR($A7="",N($CC7)&lt;=0),"",IF($I7&gt;0,$CC7/($G7*$H7*$I7)/1E-024/6.022E+023/0.000000001,""))</f>
        <v>0.13284623048821</v>
      </c>
      <c r="CR7" s="29" t="str">
        <f aca="false">IF(Calc!Y7=0,"",IF(Calc!W7&gt;=1,"✖ saturated (B ≥ freq.)",IF(Calc!W7&gt;0.1,"⚠ B &gt; 10% of freq.",IF(Calc!W7=0,"⚠ no brightness",IF(Calc!X7&gt;0.1,"⚠ step &gt; 10% of wr",IF(AND($CJ7&lt;&gt;"",$CJ7&lt;&gt;"No FRET",N($O7)&lt;2),"⚠ FRET needs ≥ 2 colours",IF(AND($CJ7&lt;&gt;"",$CJ7&lt;&gt;"No FRET",N($CK7)+N($CL7)+N($CM7)=0),"⚠ FRET: set R","✔ OK")))))))</f>
        <v>✖ saturated (B ≥ freq.)</v>
      </c>
      <c r="CS7" s="25" t="s">
        <v>141</v>
      </c>
      <c r="CT7" s="25" t="n">
        <v>35</v>
      </c>
      <c r="CU7" s="25" t="n">
        <v>10</v>
      </c>
      <c r="CV7" s="25" t="n">
        <v>10000</v>
      </c>
      <c r="CW7" s="25" t="n">
        <v>10000</v>
      </c>
      <c r="CX7" s="25" t="n">
        <v>0</v>
      </c>
      <c r="CY7" s="25" t="n">
        <v>4</v>
      </c>
      <c r="CZ7" s="25" t="n">
        <v>3</v>
      </c>
      <c r="DA7" s="25" t="n">
        <v>2.5</v>
      </c>
      <c r="DB7" s="25" t="s">
        <v>111</v>
      </c>
      <c r="DC7" s="25"/>
      <c r="DD7" s="25"/>
      <c r="DE7" s="25"/>
      <c r="DF7" s="27" t="str">
        <f aca="false">IF(OR($DB7="",$DB7="No FRET",N($DC7)&lt;=0,N($V7)&lt;=0),"",1/(1+($DC7/$V7)^6))</f>
        <v/>
      </c>
      <c r="DG7" s="27" t="str">
        <f aca="false">IF(OR($DB7="",$DB7="No FRET",N($DD7)&lt;=0,N($W7)&lt;=0),"",1/(1+($DD7/$W7)^6))</f>
        <v/>
      </c>
      <c r="DH7" s="27" t="str">
        <f aca="false">IF(OR($DB7="",$DB7="No FRET",N($DE7)&lt;=0,N($X7)&lt;=0),"",1/(1+($DE7/$X7)^6))</f>
        <v/>
      </c>
      <c r="DI7" s="28" t="n">
        <f aca="false">IF(OR($A7="",N($CU7)&lt;=0),"",IF($I7&gt;0,$CU7/($G7*$H7*$I7)/1E-024/6.022E+023/0.000000001,""))</f>
        <v>0.13284623048821</v>
      </c>
      <c r="DJ7" s="29" t="str">
        <f aca="false">IF(Calc!AE7=0,"",IF(Calc!AC7&gt;=1,"✖ saturated (B ≥ freq.)",IF(Calc!AC7&gt;0.1,"⚠ B &gt; 10% of freq.",IF(Calc!AC7=0,"⚠ no brightness",IF(Calc!AD7&gt;0.1,"⚠ step &gt; 10% of wr",IF(AND($DB7&lt;&gt;"",$DB7&lt;&gt;"No FRET",N($O7)&lt;2),"⚠ FRET needs ≥ 2 colours",IF(AND($DB7&lt;&gt;"",$DB7&lt;&gt;"No FRET",N($DC7)+N($DD7)+N($DE7)=0),"⚠ FRET: set R","✔ OK")))))))</f>
        <v>✖ saturated (B ≥ freq.)</v>
      </c>
      <c r="DK7" s="25" t="s">
        <v>142</v>
      </c>
      <c r="DL7" s="25" t="n">
        <v>33</v>
      </c>
      <c r="DM7" s="25" t="n">
        <v>10</v>
      </c>
      <c r="DN7" s="25" t="n">
        <v>20000</v>
      </c>
      <c r="DO7" s="25" t="n">
        <v>10000</v>
      </c>
      <c r="DP7" s="25" t="n">
        <v>0</v>
      </c>
      <c r="DQ7" s="25" t="n">
        <v>4</v>
      </c>
      <c r="DR7" s="25" t="n">
        <v>3</v>
      </c>
      <c r="DS7" s="25" t="n">
        <v>2.5</v>
      </c>
      <c r="DT7" s="25" t="s">
        <v>111</v>
      </c>
      <c r="DU7" s="25"/>
      <c r="DV7" s="25"/>
      <c r="DW7" s="25"/>
      <c r="DX7" s="27" t="str">
        <f aca="false">IF(OR($DT7="",$DT7="No FRET",N($DU7)&lt;=0,N($V7)&lt;=0),"",1/(1+($DU7/$V7)^6))</f>
        <v/>
      </c>
      <c r="DY7" s="27" t="str">
        <f aca="false">IF(OR($DT7="",$DT7="No FRET",N($DV7)&lt;=0,N($W7)&lt;=0),"",1/(1+($DV7/$W7)^6))</f>
        <v/>
      </c>
      <c r="DZ7" s="27" t="str">
        <f aca="false">IF(OR($DT7="",$DT7="No FRET",N($DW7)&lt;=0,N($X7)&lt;=0),"",1/(1+($DW7/$X7)^6))</f>
        <v/>
      </c>
      <c r="EA7" s="28" t="n">
        <f aca="false">IF(OR($A7="",N($DM7)&lt;=0),"",IF($I7&gt;0,$DM7/($G7*$H7*$I7)/1E-024/6.022E+023/0.000000001,""))</f>
        <v>0.13284623048821</v>
      </c>
      <c r="EB7" s="29" t="str">
        <f aca="false">IF(Calc!AK7=0,"",IF(Calc!AI7&gt;=1,"✖ saturated (B ≥ freq.)",IF(Calc!AI7&gt;0.1,"⚠ B &gt; 10% of freq.",IF(Calc!AI7=0,"⚠ no brightness",IF(Calc!AJ7&gt;0.1,"⚠ step &gt; 10% of wr",IF(AND($DT7&lt;&gt;"",$DT7&lt;&gt;"No FRET",N($O7)&lt;2),"⚠ FRET needs ≥ 2 colours",IF(AND($DT7&lt;&gt;"",$DT7&lt;&gt;"No FRET",N($DU7)+N($DV7)+N($DW7)=0),"⚠ FRET: set R","✔ OK")))))))</f>
        <v>✖ saturated (B ≥ freq.)</v>
      </c>
      <c r="EC7" s="30" t="n">
        <f aca="false">IF($A7="","",SUM(Calc!G7,Calc!M7,Calc!S7,Calc!Y7,Calc!AE7,Calc!AK7))</f>
        <v>6</v>
      </c>
      <c r="ED7" s="30" t="n">
        <f aca="false">IF($A7="","",N($AA7)+N($AS7)+N($BK7)+N($CC7)+N($CU7)+N($DM7))</f>
        <v>60</v>
      </c>
      <c r="EE7" s="31" t="n">
        <f aca="false">IF($A7="","",SUM(Calc!B7,Calc!H7,Calc!N7,Calc!T7,Calc!Z7,Calc!AF7))</f>
        <v>126.747204152334</v>
      </c>
      <c r="EF7" s="31" t="n">
        <f aca="false">IF($A7="","",SUM(Calc!C7,Calc!I7,Calc!O7,Calc!U7,Calc!AA7,Calc!AG7))</f>
        <v>117.413092352471</v>
      </c>
      <c r="EG7" s="31" t="n">
        <f aca="false">IF($A7="","",SUM(Calc!D7,Calc!J7,Calc!P7,Calc!V7,Calc!AB7,Calc!AH7))</f>
        <v>58.7065461762353</v>
      </c>
      <c r="EH7" s="27" t="n">
        <f aca="false">IF($A7="","",($EE7+$EF7+$EG7+IF($P7="Yes",N($Q7)*N($O7),0))*1000*$K7/1000000)</f>
        <v>3.0286684268104</v>
      </c>
      <c r="EI7" s="28" t="n">
        <f aca="false">IF($A7="","",$EH7*1000000*12/1000000000)</f>
        <v>0.0363440211217248</v>
      </c>
      <c r="EJ7" s="32" t="str">
        <f aca="false">IF($A7="","",IF($EC7=0,"⚠ no species entered",IF(((LEFT($AP7,1)="✖")+(LEFT($BH7,1)="✖")+(LEFT($BZ7,1)="✖")+(LEFT($CR7,1)="✖")+(LEFT($DJ7,1)="✖")+(LEFT($EB7,1)="✖"))&gt;0,"✖ "&amp;((LEFT($AP7,1)="✖")+(LEFT($BH7,1)="✖")+(LEFT($BZ7,1)="✖")+(LEFT($CR7,1)="✖")+(LEFT($DJ7,1)="✖")+(LEFT($EB7,1)="✖"))&amp;" species saturated - see the species checks",IF(MIN($G7,$H7)&lt;8*$T7,"⚠ box too small laterally (&lt; 8·wr)",IF(AND($I7&gt;0,$I7&lt;3*$U7),"⚠ box too small axially (&lt; 3·wz)",IF($EI7&gt;8,"⚠ &gt; 8 GB per file: shorten the duration and use several files",IF(((LEFT($AP7,1)="⚠")+(LEFT($BH7,1)="⚠")+(LEFT($BZ7,1)="⚠")+(LEFT($CR7,1)="⚠")+(LEFT($DJ7,1)="⚠")+(LEFT($EB7,1)="⚠"))&gt;0,"⚠ "&amp;((LEFT($AP7,1)="⚠")+(LEFT($BH7,1)="⚠")+(LEFT($BZ7,1)="⚠")+(LEFT($CR7,1)="⚠")+(LEFT($DJ7,1)="⚠")+(LEFT($EB7,1)="⚠"))&amp;" species with a warning","✔ OK")))))))</f>
        <v>✖ 6 species saturated - see the species checks</v>
      </c>
      <c r="EK7" s="25" t="n">
        <v>1</v>
      </c>
      <c r="EL7" s="25"/>
      <c r="EM7" s="25" t="s">
        <v>130</v>
      </c>
      <c r="EN7" s="25"/>
      <c r="EO7" s="25"/>
      <c r="EP7" s="25"/>
      <c r="EQ7" s="25"/>
      <c r="ER7" s="26" t="s">
        <v>206</v>
      </c>
    </row>
    <row r="8" customFormat="false" ht="35.05" hidden="false" customHeight="false" outlineLevel="0" collapsed="false">
      <c r="A8" s="25" t="s">
        <v>214</v>
      </c>
      <c r="B8" s="25" t="s">
        <v>215</v>
      </c>
      <c r="C8" s="26" t="s">
        <v>212</v>
      </c>
      <c r="D8" s="26" t="s">
        <v>213</v>
      </c>
      <c r="E8" s="25" t="s">
        <v>205</v>
      </c>
      <c r="F8" s="25" t="n">
        <v>3</v>
      </c>
      <c r="G8" s="25" t="n">
        <v>5000</v>
      </c>
      <c r="H8" s="25" t="n">
        <v>5000</v>
      </c>
      <c r="I8" s="25" t="n">
        <v>5000</v>
      </c>
      <c r="J8" s="25" t="n">
        <v>1000</v>
      </c>
      <c r="K8" s="25" t="n">
        <v>10</v>
      </c>
      <c r="L8" s="25" t="n">
        <v>1</v>
      </c>
      <c r="M8" s="25" t="n">
        <v>60</v>
      </c>
      <c r="N8" s="25" t="s">
        <v>74</v>
      </c>
      <c r="O8" s="25" t="n">
        <v>3</v>
      </c>
      <c r="P8" s="25" t="s">
        <v>195</v>
      </c>
      <c r="Q8" s="25" t="n">
        <v>0.2</v>
      </c>
      <c r="R8" s="25" t="s">
        <v>195</v>
      </c>
      <c r="S8" s="25" t="n">
        <v>250</v>
      </c>
      <c r="T8" s="25" t="n">
        <v>200</v>
      </c>
      <c r="U8" s="25" t="n">
        <v>1000</v>
      </c>
      <c r="V8" s="25" t="n">
        <v>63</v>
      </c>
      <c r="W8" s="25" t="n">
        <v>51</v>
      </c>
      <c r="X8" s="25" t="n">
        <v>68</v>
      </c>
      <c r="Y8" s="25" t="s">
        <v>137</v>
      </c>
      <c r="Z8" s="25" t="n">
        <v>400</v>
      </c>
      <c r="AA8" s="25" t="n">
        <v>10</v>
      </c>
      <c r="AB8" s="25" t="n">
        <v>10000</v>
      </c>
      <c r="AC8" s="25" t="n">
        <v>0</v>
      </c>
      <c r="AD8" s="25" t="n">
        <v>0</v>
      </c>
      <c r="AE8" s="25" t="n">
        <v>4</v>
      </c>
      <c r="AF8" s="25" t="n">
        <v>3</v>
      </c>
      <c r="AG8" s="25" t="n">
        <v>2.5</v>
      </c>
      <c r="AH8" s="25" t="s">
        <v>111</v>
      </c>
      <c r="AI8" s="25"/>
      <c r="AJ8" s="25"/>
      <c r="AK8" s="25"/>
      <c r="AL8" s="27" t="str">
        <f aca="false">IF(OR($AH8="",$AH8="No FRET",N($AI8)&lt;=0,N($V8)&lt;=0),"",1/(1+($AI8/$V8)^6))</f>
        <v/>
      </c>
      <c r="AM8" s="27" t="str">
        <f aca="false">IF(OR($AH8="",$AH8="No FRET",N($AJ8)&lt;=0,N($W8)&lt;=0),"",1/(1+($AJ8/$W8)^6))</f>
        <v/>
      </c>
      <c r="AN8" s="27" t="str">
        <f aca="false">IF(OR($AH8="",$AH8="No FRET",N($AK8)&lt;=0,N($X8)&lt;=0),"",1/(1+($AK8/$X8)^6))</f>
        <v/>
      </c>
      <c r="AO8" s="28" t="n">
        <f aca="false">IF(OR($A8="",N($AA8)&lt;=0),"",IF($I8&gt;0,$AA8/($G8*$H8*$I8)/1E-024/6.022E+023/0.000000001,""))</f>
        <v>0.13284623048821</v>
      </c>
      <c r="AP8" s="29" t="str">
        <f aca="false">IF(Calc!G8=0,"",IF(Calc!E8&gt;=1,"✖ saturated (B ≥ freq.)",IF(Calc!E8&gt;0.1,"⚠ B &gt; 10% of freq.",IF(Calc!E8=0,"⚠ no brightness",IF(Calc!F8&gt;0.1,"⚠ step &gt; 10% of wr",IF(AND($AH8&lt;&gt;"",$AH8&lt;&gt;"No FRET",N($O8)&lt;2),"⚠ FRET needs ≥ 2 colours",IF(AND($AH8&lt;&gt;"",$AH8&lt;&gt;"No FRET",N($AI8)+N($AJ8)+N($AK8)=0),"⚠ FRET: set R","✔ OK")))))))</f>
        <v>✖ saturated (B ≥ freq.)</v>
      </c>
      <c r="AQ8" s="25" t="s">
        <v>138</v>
      </c>
      <c r="AR8" s="25" t="n">
        <v>400</v>
      </c>
      <c r="AS8" s="25" t="n">
        <v>10</v>
      </c>
      <c r="AT8" s="25" t="n">
        <v>0</v>
      </c>
      <c r="AU8" s="25" t="n">
        <v>7000</v>
      </c>
      <c r="AV8" s="25" t="n">
        <v>0</v>
      </c>
      <c r="AW8" s="25" t="n">
        <v>4</v>
      </c>
      <c r="AX8" s="25" t="n">
        <v>3</v>
      </c>
      <c r="AY8" s="25" t="n">
        <v>2.5</v>
      </c>
      <c r="AZ8" s="25" t="s">
        <v>111</v>
      </c>
      <c r="BA8" s="25"/>
      <c r="BB8" s="25"/>
      <c r="BC8" s="25"/>
      <c r="BD8" s="27" t="str">
        <f aca="false">IF(OR($AZ8="",$AZ8="No FRET",N($BA8)&lt;=0,N($V8)&lt;=0),"",1/(1+($BA8/$V8)^6))</f>
        <v/>
      </c>
      <c r="BE8" s="27" t="str">
        <f aca="false">IF(OR($AZ8="",$AZ8="No FRET",N($BB8)&lt;=0,N($W8)&lt;=0),"",1/(1+($BB8/$W8)^6))</f>
        <v/>
      </c>
      <c r="BF8" s="27" t="str">
        <f aca="false">IF(OR($AZ8="",$AZ8="No FRET",N($BC8)&lt;=0,N($X8)&lt;=0),"",1/(1+($BC8/$X8)^6))</f>
        <v/>
      </c>
      <c r="BG8" s="28" t="n">
        <f aca="false">IF(OR($A8="",N($AS8)&lt;=0),"",IF($I8&gt;0,$AS8/($G8*$H8*$I8)/1E-024/6.022E+023/0.000000001,""))</f>
        <v>0.13284623048821</v>
      </c>
      <c r="BH8" s="29" t="str">
        <f aca="false">IF(Calc!M8=0,"",IF(Calc!K8&gt;=1,"✖ saturated (B ≥ freq.)",IF(Calc!K8&gt;0.1,"⚠ B &gt; 10% of freq.",IF(Calc!K8=0,"⚠ no brightness",IF(Calc!L8&gt;0.1,"⚠ step &gt; 10% of wr",IF(AND($AZ8&lt;&gt;"",$AZ8&lt;&gt;"No FRET",N($O8)&lt;2),"⚠ FRET needs ≥ 2 colours",IF(AND($AZ8&lt;&gt;"",$AZ8&lt;&gt;"No FRET",N($BA8)+N($BB8)+N($BC8)=0),"⚠ FRET: set R","✔ OK")))))))</f>
        <v>✖ saturated (B ≥ freq.)</v>
      </c>
      <c r="BI8" s="25" t="s">
        <v>139</v>
      </c>
      <c r="BJ8" s="25" t="n">
        <v>400</v>
      </c>
      <c r="BK8" s="25" t="n">
        <v>10</v>
      </c>
      <c r="BL8" s="25" t="n">
        <v>0</v>
      </c>
      <c r="BM8" s="25" t="n">
        <v>0</v>
      </c>
      <c r="BN8" s="25" t="n">
        <v>5000</v>
      </c>
      <c r="BO8" s="25" t="n">
        <v>4</v>
      </c>
      <c r="BP8" s="25" t="n">
        <v>3</v>
      </c>
      <c r="BQ8" s="25" t="n">
        <v>2.5</v>
      </c>
      <c r="BR8" s="25" t="s">
        <v>111</v>
      </c>
      <c r="BS8" s="25"/>
      <c r="BT8" s="25"/>
      <c r="BU8" s="25"/>
      <c r="BV8" s="27" t="str">
        <f aca="false">IF(OR($BR8="",$BR8="No FRET",N($BS8)&lt;=0,N($V8)&lt;=0),"",1/(1+($BS8/$V8)^6))</f>
        <v/>
      </c>
      <c r="BW8" s="27" t="str">
        <f aca="false">IF(OR($BR8="",$BR8="No FRET",N($BT8)&lt;=0,N($W8)&lt;=0),"",1/(1+($BT8/$W8)^6))</f>
        <v/>
      </c>
      <c r="BX8" s="27" t="str">
        <f aca="false">IF(OR($BR8="",$BR8="No FRET",N($BU8)&lt;=0,N($X8)&lt;=0),"",1/(1+($BU8/$X8)^6))</f>
        <v/>
      </c>
      <c r="BY8" s="28" t="n">
        <f aca="false">IF(OR($A8="",N($BK8)&lt;=0),"",IF($I8&gt;0,$BK8/($G8*$H8*$I8)/1E-024/6.022E+023/0.000000001,""))</f>
        <v>0.13284623048821</v>
      </c>
      <c r="BZ8" s="29" t="str">
        <f aca="false">IF(Calc!S8=0,"",IF(Calc!Q8&gt;=1,"✖ saturated (B ≥ freq.)",IF(Calc!Q8&gt;0.1,"⚠ B &gt; 10% of freq.",IF(Calc!Q8=0,"⚠ no brightness",IF(Calc!R8&gt;0.1,"⚠ step &gt; 10% of wr",IF(AND($BR8&lt;&gt;"",$BR8&lt;&gt;"No FRET",N($O8)&lt;2),"⚠ FRET needs ≥ 2 colours",IF(AND($BR8&lt;&gt;"",$BR8&lt;&gt;"No FRET",N($BS8)+N($BT8)+N($BU8)=0),"⚠ FRET: set R","✔ OK")))))))</f>
        <v>✖ saturated (B ≥ freq.)</v>
      </c>
      <c r="CA8" s="25" t="s">
        <v>140</v>
      </c>
      <c r="CB8" s="25" t="n">
        <v>33</v>
      </c>
      <c r="CC8" s="25" t="n">
        <v>10</v>
      </c>
      <c r="CD8" s="25" t="n">
        <v>10000</v>
      </c>
      <c r="CE8" s="25" t="n">
        <v>7000</v>
      </c>
      <c r="CF8" s="25" t="n">
        <v>5000</v>
      </c>
      <c r="CG8" s="25" t="n">
        <v>4</v>
      </c>
      <c r="CH8" s="25" t="n">
        <v>3</v>
      </c>
      <c r="CI8" s="25" t="n">
        <v>2.5</v>
      </c>
      <c r="CJ8" s="25" t="s">
        <v>111</v>
      </c>
      <c r="CK8" s="25"/>
      <c r="CL8" s="25"/>
      <c r="CM8" s="25"/>
      <c r="CN8" s="27" t="str">
        <f aca="false">IF(OR($CJ8="",$CJ8="No FRET",N($CK8)&lt;=0,N($V8)&lt;=0),"",1/(1+($CK8/$V8)^6))</f>
        <v/>
      </c>
      <c r="CO8" s="27" t="str">
        <f aca="false">IF(OR($CJ8="",$CJ8="No FRET",N($CL8)&lt;=0,N($W8)&lt;=0),"",1/(1+($CL8/$W8)^6))</f>
        <v/>
      </c>
      <c r="CP8" s="27" t="str">
        <f aca="false">IF(OR($CJ8="",$CJ8="No FRET",N($CM8)&lt;=0,N($X8)&lt;=0),"",1/(1+($CM8/$X8)^6))</f>
        <v/>
      </c>
      <c r="CQ8" s="28" t="n">
        <f aca="false">IF(OR($A8="",N($CC8)&lt;=0),"",IF($I8&gt;0,$CC8/($G8*$H8*$I8)/1E-024/6.022E+023/0.000000001,""))</f>
        <v>0.13284623048821</v>
      </c>
      <c r="CR8" s="29" t="str">
        <f aca="false">IF(Calc!Y8=0,"",IF(Calc!W8&gt;=1,"✖ saturated (B ≥ freq.)",IF(Calc!W8&gt;0.1,"⚠ B &gt; 10% of freq.",IF(Calc!W8=0,"⚠ no brightness",IF(Calc!X8&gt;0.1,"⚠ step &gt; 10% of wr",IF(AND($CJ8&lt;&gt;"",$CJ8&lt;&gt;"No FRET",N($O8)&lt;2),"⚠ FRET needs ≥ 2 colours",IF(AND($CJ8&lt;&gt;"",$CJ8&lt;&gt;"No FRET",N($CK8)+N($CL8)+N($CM8)=0),"⚠ FRET: set R","✔ OK")))))))</f>
        <v>✖ saturated (B ≥ freq.)</v>
      </c>
      <c r="CS8" s="25" t="s">
        <v>141</v>
      </c>
      <c r="CT8" s="25" t="n">
        <v>33</v>
      </c>
      <c r="CU8" s="25" t="n">
        <v>10</v>
      </c>
      <c r="CV8" s="25" t="n">
        <v>20000</v>
      </c>
      <c r="CW8" s="25" t="n">
        <v>7000</v>
      </c>
      <c r="CX8" s="25" t="n">
        <v>0</v>
      </c>
      <c r="CY8" s="25" t="n">
        <v>4</v>
      </c>
      <c r="CZ8" s="25" t="n">
        <v>3</v>
      </c>
      <c r="DA8" s="25" t="n">
        <v>2.5</v>
      </c>
      <c r="DB8" s="25" t="s">
        <v>111</v>
      </c>
      <c r="DC8" s="25"/>
      <c r="DD8" s="25"/>
      <c r="DE8" s="25"/>
      <c r="DF8" s="27" t="str">
        <f aca="false">IF(OR($DB8="",$DB8="No FRET",N($DC8)&lt;=0,N($V8)&lt;=0),"",1/(1+($DC8/$V8)^6))</f>
        <v/>
      </c>
      <c r="DG8" s="27" t="str">
        <f aca="false">IF(OR($DB8="",$DB8="No FRET",N($DD8)&lt;=0,N($W8)&lt;=0),"",1/(1+($DD8/$W8)^6))</f>
        <v/>
      </c>
      <c r="DH8" s="27" t="str">
        <f aca="false">IF(OR($DB8="",$DB8="No FRET",N($DE8)&lt;=0,N($X8)&lt;=0),"",1/(1+($DE8/$X8)^6))</f>
        <v/>
      </c>
      <c r="DI8" s="28" t="n">
        <f aca="false">IF(OR($A8="",N($CU8)&lt;=0),"",IF($I8&gt;0,$CU8/($G8*$H8*$I8)/1E-024/6.022E+023/0.000000001,""))</f>
        <v>0.13284623048821</v>
      </c>
      <c r="DJ8" s="29" t="str">
        <f aca="false">IF(Calc!AE8=0,"",IF(Calc!AC8&gt;=1,"✖ saturated (B ≥ freq.)",IF(Calc!AC8&gt;0.1,"⚠ B &gt; 10% of freq.",IF(Calc!AC8=0,"⚠ no brightness",IF(Calc!AD8&gt;0.1,"⚠ step &gt; 10% of wr",IF(AND($DB8&lt;&gt;"",$DB8&lt;&gt;"No FRET",N($O8)&lt;2),"⚠ FRET needs ≥ 2 colours",IF(AND($DB8&lt;&gt;"",$DB8&lt;&gt;"No FRET",N($DC8)+N($DD8)+N($DE8)=0),"⚠ FRET: set R","✔ OK")))))))</f>
        <v>✖ saturated (B ≥ freq.)</v>
      </c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7" t="str">
        <f aca="false">IF(OR($DT8="",$DT8="No FRET",N($DU8)&lt;=0,N($V8)&lt;=0),"",1/(1+($DU8/$V8)^6))</f>
        <v/>
      </c>
      <c r="DY8" s="27" t="str">
        <f aca="false">IF(OR($DT8="",$DT8="No FRET",N($DV8)&lt;=0,N($W8)&lt;=0),"",1/(1+($DV8/$W8)^6))</f>
        <v/>
      </c>
      <c r="DZ8" s="27" t="str">
        <f aca="false">IF(OR($DT8="",$DT8="No FRET",N($DW8)&lt;=0,N($X8)&lt;=0),"",1/(1+($DW8/$X8)^6))</f>
        <v/>
      </c>
      <c r="EA8" s="28" t="str">
        <f aca="false">IF(OR($A8="",N($DM8)&lt;=0),"",IF($I8&gt;0,$DM8/($G8*$H8*$I8)/1E-024/6.022E+023/0.000000001,""))</f>
        <v/>
      </c>
      <c r="EB8" s="29" t="str">
        <f aca="false">IF(Calc!AK8=0,"",IF(Calc!AI8&gt;=1,"✖ saturated (B ≥ freq.)",IF(Calc!AI8&gt;0.1,"⚠ B &gt; 10% of freq.",IF(Calc!AI8=0,"⚠ no brightness",IF(Calc!AJ8&gt;0.1,"⚠ step &gt; 10% of wr",IF(AND($DT8&lt;&gt;"",$DT8&lt;&gt;"No FRET",N($O8)&lt;2),"⚠ FRET needs ≥ 2 colours",IF(AND($DT8&lt;&gt;"",$DT8&lt;&gt;"No FRET",N($DU8)+N($DV8)+N($DW8)=0),"⚠ FRET: set R","✔ OK")))))))</f>
        <v/>
      </c>
      <c r="EC8" s="30" t="n">
        <f aca="false">IF($A8="","",SUM(Calc!G8,Calc!M8,Calc!S8,Calc!Y8,Calc!AE8,Calc!AK8))</f>
        <v>5</v>
      </c>
      <c r="ED8" s="30" t="n">
        <f aca="false">IF($A8="","",N($AA8)+N($AS8)+N($BK8)+N($CC8)+N($CU8)+N($DM8))</f>
        <v>50</v>
      </c>
      <c r="EE8" s="31" t="n">
        <f aca="false">IF($A8="","",SUM(Calc!B8,Calc!H8,Calc!N8,Calc!T8,Calc!Z8,Calc!AF8))</f>
        <v>97.393931064216</v>
      </c>
      <c r="EF8" s="31" t="n">
        <f aca="false">IF($A8="","",SUM(Calc!C8,Calc!I8,Calc!O8,Calc!U8,Calc!AA8,Calc!AG8))</f>
        <v>74.7600966767359</v>
      </c>
      <c r="EG8" s="31" t="n">
        <f aca="false">IF($A8="","",SUM(Calc!D8,Calc!J8,Calc!P8,Calc!V8,Calc!AB8,Calc!AH8))</f>
        <v>41.9747754151457</v>
      </c>
      <c r="EH8" s="27" t="n">
        <f aca="false">IF($A8="","",($EE8+$EF8+$EG8+IF($P8="Yes",N($Q8)*N($O8),0))*1000*$K8/1000000)</f>
        <v>2.14128803156098</v>
      </c>
      <c r="EI8" s="28" t="n">
        <f aca="false">IF($A8="","",$EH8*1000000*12/1000000000)</f>
        <v>0.0256954563787317</v>
      </c>
      <c r="EJ8" s="32" t="str">
        <f aca="false">IF($A8="","",IF($EC8=0,"⚠ no species entered",IF(((LEFT($AP8,1)="✖")+(LEFT($BH8,1)="✖")+(LEFT($BZ8,1)="✖")+(LEFT($CR8,1)="✖")+(LEFT($DJ8,1)="✖")+(LEFT($EB8,1)="✖"))&gt;0,"✖ "&amp;((LEFT($AP8,1)="✖")+(LEFT($BH8,1)="✖")+(LEFT($BZ8,1)="✖")+(LEFT($CR8,1)="✖")+(LEFT($DJ8,1)="✖")+(LEFT($EB8,1)="✖"))&amp;" species saturated - see the species checks",IF(MIN($G8,$H8)&lt;8*$T8,"⚠ box too small laterally (&lt; 8·wr)",IF(AND($I8&gt;0,$I8&lt;3*$U8),"⚠ box too small axially (&lt; 3·wz)",IF($EI8&gt;8,"⚠ &gt; 8 GB per file: shorten the duration and use several files",IF(((LEFT($AP8,1)="⚠")+(LEFT($BH8,1)="⚠")+(LEFT($BZ8,1)="⚠")+(LEFT($CR8,1)="⚠")+(LEFT($DJ8,1)="⚠")+(LEFT($EB8,1)="⚠"))&gt;0,"⚠ "&amp;((LEFT($AP8,1)="⚠")+(LEFT($BH8,1)="⚠")+(LEFT($BZ8,1)="⚠")+(LEFT($CR8,1)="⚠")+(LEFT($DJ8,1)="⚠")+(LEFT($EB8,1)="⚠"))&amp;" species with a warning","✔ OK")))))))</f>
        <v>✖ 5 species saturated - see the species checks</v>
      </c>
      <c r="EK8" s="25" t="n">
        <v>1</v>
      </c>
      <c r="EL8" s="25"/>
      <c r="EM8" s="25" t="s">
        <v>130</v>
      </c>
      <c r="EN8" s="25"/>
      <c r="EO8" s="25"/>
      <c r="EP8" s="25"/>
      <c r="EQ8" s="25"/>
      <c r="ER8" s="26" t="s">
        <v>206</v>
      </c>
    </row>
    <row r="9" customFormat="false" ht="35.05" hidden="false" customHeight="false" outlineLevel="0" collapsed="false">
      <c r="A9" s="25" t="s">
        <v>216</v>
      </c>
      <c r="B9" s="25" t="s">
        <v>217</v>
      </c>
      <c r="C9" s="26" t="s">
        <v>218</v>
      </c>
      <c r="D9" s="26" t="s">
        <v>213</v>
      </c>
      <c r="E9" s="25" t="s">
        <v>205</v>
      </c>
      <c r="F9" s="25" t="n">
        <v>3</v>
      </c>
      <c r="G9" s="25" t="n">
        <v>5000</v>
      </c>
      <c r="H9" s="25" t="n">
        <v>5000</v>
      </c>
      <c r="I9" s="25" t="n">
        <v>5000</v>
      </c>
      <c r="J9" s="25" t="n">
        <v>1000</v>
      </c>
      <c r="K9" s="25" t="n">
        <v>10</v>
      </c>
      <c r="L9" s="25" t="n">
        <v>1</v>
      </c>
      <c r="M9" s="25" t="n">
        <v>60</v>
      </c>
      <c r="N9" s="25" t="s">
        <v>74</v>
      </c>
      <c r="O9" s="25" t="n">
        <v>3</v>
      </c>
      <c r="P9" s="25" t="s">
        <v>195</v>
      </c>
      <c r="Q9" s="25" t="n">
        <v>0.2</v>
      </c>
      <c r="R9" s="25" t="s">
        <v>195</v>
      </c>
      <c r="S9" s="25" t="n">
        <v>250</v>
      </c>
      <c r="T9" s="25" t="n">
        <v>200</v>
      </c>
      <c r="U9" s="25" t="n">
        <v>1000</v>
      </c>
      <c r="V9" s="25" t="n">
        <v>63</v>
      </c>
      <c r="W9" s="25" t="n">
        <v>51</v>
      </c>
      <c r="X9" s="25" t="n">
        <v>68</v>
      </c>
      <c r="Y9" s="25" t="s">
        <v>137</v>
      </c>
      <c r="Z9" s="25" t="n">
        <v>400</v>
      </c>
      <c r="AA9" s="25" t="n">
        <v>10</v>
      </c>
      <c r="AB9" s="25" t="n">
        <v>10000</v>
      </c>
      <c r="AC9" s="25" t="n">
        <v>0</v>
      </c>
      <c r="AD9" s="25" t="n">
        <v>0</v>
      </c>
      <c r="AE9" s="25" t="n">
        <v>4</v>
      </c>
      <c r="AF9" s="25" t="n">
        <v>3</v>
      </c>
      <c r="AG9" s="25" t="n">
        <v>2.5</v>
      </c>
      <c r="AH9" s="25" t="s">
        <v>111</v>
      </c>
      <c r="AI9" s="25"/>
      <c r="AJ9" s="25"/>
      <c r="AK9" s="25"/>
      <c r="AL9" s="27" t="str">
        <f aca="false">IF(OR($AH9="",$AH9="No FRET",N($AI9)&lt;=0,N($V9)&lt;=0),"",1/(1+($AI9/$V9)^6))</f>
        <v/>
      </c>
      <c r="AM9" s="27" t="str">
        <f aca="false">IF(OR($AH9="",$AH9="No FRET",N($AJ9)&lt;=0,N($W9)&lt;=0),"",1/(1+($AJ9/$W9)^6))</f>
        <v/>
      </c>
      <c r="AN9" s="27" t="str">
        <f aca="false">IF(OR($AH9="",$AH9="No FRET",N($AK9)&lt;=0,N($X9)&lt;=0),"",1/(1+($AK9/$X9)^6))</f>
        <v/>
      </c>
      <c r="AO9" s="28" t="n">
        <f aca="false">IF(OR($A9="",N($AA9)&lt;=0),"",IF($I9&gt;0,$AA9/($G9*$H9*$I9)/1E-024/6.022E+023/0.000000001,""))</f>
        <v>0.13284623048821</v>
      </c>
      <c r="AP9" s="29" t="str">
        <f aca="false">IF(Calc!G9=0,"",IF(Calc!E9&gt;=1,"✖ saturated (B ≥ freq.)",IF(Calc!E9&gt;0.1,"⚠ B &gt; 10% of freq.",IF(Calc!E9=0,"⚠ no brightness",IF(Calc!F9&gt;0.1,"⚠ step &gt; 10% of wr",IF(AND($AH9&lt;&gt;"",$AH9&lt;&gt;"No FRET",N($O9)&lt;2),"⚠ FRET needs ≥ 2 colours",IF(AND($AH9&lt;&gt;"",$AH9&lt;&gt;"No FRET",N($AI9)+N($AJ9)+N($AK9)=0),"⚠ FRET: set R","✔ OK")))))))</f>
        <v>✖ saturated (B ≥ freq.)</v>
      </c>
      <c r="AQ9" s="25" t="s">
        <v>138</v>
      </c>
      <c r="AR9" s="25" t="n">
        <v>400</v>
      </c>
      <c r="AS9" s="25" t="n">
        <v>10</v>
      </c>
      <c r="AT9" s="25" t="n">
        <v>0</v>
      </c>
      <c r="AU9" s="25" t="n">
        <v>7000</v>
      </c>
      <c r="AV9" s="25" t="n">
        <v>0</v>
      </c>
      <c r="AW9" s="25" t="n">
        <v>4</v>
      </c>
      <c r="AX9" s="25" t="n">
        <v>3</v>
      </c>
      <c r="AY9" s="25" t="n">
        <v>2.5</v>
      </c>
      <c r="AZ9" s="25" t="s">
        <v>111</v>
      </c>
      <c r="BA9" s="25"/>
      <c r="BB9" s="25"/>
      <c r="BC9" s="25"/>
      <c r="BD9" s="27" t="str">
        <f aca="false">IF(OR($AZ9="",$AZ9="No FRET",N($BA9)&lt;=0,N($V9)&lt;=0),"",1/(1+($BA9/$V9)^6))</f>
        <v/>
      </c>
      <c r="BE9" s="27" t="str">
        <f aca="false">IF(OR($AZ9="",$AZ9="No FRET",N($BB9)&lt;=0,N($W9)&lt;=0),"",1/(1+($BB9/$W9)^6))</f>
        <v/>
      </c>
      <c r="BF9" s="27" t="str">
        <f aca="false">IF(OR($AZ9="",$AZ9="No FRET",N($BC9)&lt;=0,N($X9)&lt;=0),"",1/(1+($BC9/$X9)^6))</f>
        <v/>
      </c>
      <c r="BG9" s="28" t="n">
        <f aca="false">IF(OR($A9="",N($AS9)&lt;=0),"",IF($I9&gt;0,$AS9/($G9*$H9*$I9)/1E-024/6.022E+023/0.000000001,""))</f>
        <v>0.13284623048821</v>
      </c>
      <c r="BH9" s="29" t="str">
        <f aca="false">IF(Calc!M9=0,"",IF(Calc!K9&gt;=1,"✖ saturated (B ≥ freq.)",IF(Calc!K9&gt;0.1,"⚠ B &gt; 10% of freq.",IF(Calc!K9=0,"⚠ no brightness",IF(Calc!L9&gt;0.1,"⚠ step &gt; 10% of wr",IF(AND($AZ9&lt;&gt;"",$AZ9&lt;&gt;"No FRET",N($O9)&lt;2),"⚠ FRET needs ≥ 2 colours",IF(AND($AZ9&lt;&gt;"",$AZ9&lt;&gt;"No FRET",N($BA9)+N($BB9)+N($BC9)=0),"⚠ FRET: set R","✔ OK")))))))</f>
        <v>✖ saturated (B ≥ freq.)</v>
      </c>
      <c r="BI9" s="25" t="s">
        <v>139</v>
      </c>
      <c r="BJ9" s="25" t="n">
        <v>400</v>
      </c>
      <c r="BK9" s="25" t="n">
        <v>10</v>
      </c>
      <c r="BL9" s="25" t="n">
        <v>0</v>
      </c>
      <c r="BM9" s="25" t="n">
        <v>0</v>
      </c>
      <c r="BN9" s="25" t="n">
        <v>5000</v>
      </c>
      <c r="BO9" s="25" t="n">
        <v>4</v>
      </c>
      <c r="BP9" s="25" t="n">
        <v>3</v>
      </c>
      <c r="BQ9" s="25" t="n">
        <v>2.5</v>
      </c>
      <c r="BR9" s="25" t="s">
        <v>111</v>
      </c>
      <c r="BS9" s="25"/>
      <c r="BT9" s="25"/>
      <c r="BU9" s="25"/>
      <c r="BV9" s="27" t="str">
        <f aca="false">IF(OR($BR9="",$BR9="No FRET",N($BS9)&lt;=0,N($V9)&lt;=0),"",1/(1+($BS9/$V9)^6))</f>
        <v/>
      </c>
      <c r="BW9" s="27" t="str">
        <f aca="false">IF(OR($BR9="",$BR9="No FRET",N($BT9)&lt;=0,N($W9)&lt;=0),"",1/(1+($BT9/$W9)^6))</f>
        <v/>
      </c>
      <c r="BX9" s="27" t="str">
        <f aca="false">IF(OR($BR9="",$BR9="No FRET",N($BU9)&lt;=0,N($X9)&lt;=0),"",1/(1+($BU9/$X9)^6))</f>
        <v/>
      </c>
      <c r="BY9" s="28" t="n">
        <f aca="false">IF(OR($A9="",N($BK9)&lt;=0),"",IF($I9&gt;0,$BK9/($G9*$H9*$I9)/1E-024/6.022E+023/0.000000001,""))</f>
        <v>0.13284623048821</v>
      </c>
      <c r="BZ9" s="29" t="str">
        <f aca="false">IF(Calc!S9=0,"",IF(Calc!Q9&gt;=1,"✖ saturated (B ≥ freq.)",IF(Calc!Q9&gt;0.1,"⚠ B &gt; 10% of freq.",IF(Calc!Q9=0,"⚠ no brightness",IF(Calc!R9&gt;0.1,"⚠ step &gt; 10% of wr",IF(AND($BR9&lt;&gt;"",$BR9&lt;&gt;"No FRET",N($O9)&lt;2),"⚠ FRET needs ≥ 2 colours",IF(AND($BR9&lt;&gt;"",$BR9&lt;&gt;"No FRET",N($BS9)+N($BT9)+N($BU9)=0),"⚠ FRET: set R","✔ OK")))))))</f>
        <v>✖ saturated (B ≥ freq.)</v>
      </c>
      <c r="CA9" s="25" t="s">
        <v>140</v>
      </c>
      <c r="CB9" s="25" t="n">
        <v>33</v>
      </c>
      <c r="CC9" s="25" t="n">
        <v>10</v>
      </c>
      <c r="CD9" s="25" t="n">
        <v>20000</v>
      </c>
      <c r="CE9" s="25" t="n">
        <v>7000</v>
      </c>
      <c r="CF9" s="25" t="n">
        <v>0</v>
      </c>
      <c r="CG9" s="25" t="n">
        <v>4</v>
      </c>
      <c r="CH9" s="25" t="n">
        <v>3</v>
      </c>
      <c r="CI9" s="25" t="n">
        <v>2.5</v>
      </c>
      <c r="CJ9" s="25" t="s">
        <v>111</v>
      </c>
      <c r="CK9" s="25"/>
      <c r="CL9" s="25"/>
      <c r="CM9" s="25"/>
      <c r="CN9" s="27" t="str">
        <f aca="false">IF(OR($CJ9="",$CJ9="No FRET",N($CK9)&lt;=0,N($V9)&lt;=0),"",1/(1+($CK9/$V9)^6))</f>
        <v/>
      </c>
      <c r="CO9" s="27" t="str">
        <f aca="false">IF(OR($CJ9="",$CJ9="No FRET",N($CL9)&lt;=0,N($W9)&lt;=0),"",1/(1+($CL9/$W9)^6))</f>
        <v/>
      </c>
      <c r="CP9" s="27" t="str">
        <f aca="false">IF(OR($CJ9="",$CJ9="No FRET",N($CM9)&lt;=0,N($X9)&lt;=0),"",1/(1+($CM9/$X9)^6))</f>
        <v/>
      </c>
      <c r="CQ9" s="28" t="n">
        <f aca="false">IF(OR($A9="",N($CC9)&lt;=0),"",IF($I9&gt;0,$CC9/($G9*$H9*$I9)/1E-024/6.022E+023/0.000000001,""))</f>
        <v>0.13284623048821</v>
      </c>
      <c r="CR9" s="29" t="str">
        <f aca="false">IF(Calc!Y9=0,"",IF(Calc!W9&gt;=1,"✖ saturated (B ≥ freq.)",IF(Calc!W9&gt;0.1,"⚠ B &gt; 10% of freq.",IF(Calc!W9=0,"⚠ no brightness",IF(Calc!X9&gt;0.1,"⚠ step &gt; 10% of wr",IF(AND($CJ9&lt;&gt;"",$CJ9&lt;&gt;"No FRET",N($O9)&lt;2),"⚠ FRET needs ≥ 2 colours",IF(AND($CJ9&lt;&gt;"",$CJ9&lt;&gt;"No FRET",N($CK9)+N($CL9)+N($CM9)=0),"⚠ FRET: set R","✔ OK")))))))</f>
        <v>✖ saturated (B ≥ freq.)</v>
      </c>
      <c r="CS9" s="25" t="s">
        <v>141</v>
      </c>
      <c r="CT9" s="25" t="n">
        <v>33</v>
      </c>
      <c r="CU9" s="25" t="n">
        <v>10</v>
      </c>
      <c r="CV9" s="25" t="n">
        <v>10000</v>
      </c>
      <c r="CW9" s="25" t="n">
        <v>7000</v>
      </c>
      <c r="CX9" s="25" t="n">
        <v>5000</v>
      </c>
      <c r="CY9" s="25" t="n">
        <v>4</v>
      </c>
      <c r="CZ9" s="25" t="n">
        <v>3</v>
      </c>
      <c r="DA9" s="25" t="n">
        <v>2.5</v>
      </c>
      <c r="DB9" s="25" t="s">
        <v>111</v>
      </c>
      <c r="DC9" s="25"/>
      <c r="DD9" s="25"/>
      <c r="DE9" s="25"/>
      <c r="DF9" s="27" t="str">
        <f aca="false">IF(OR($DB9="",$DB9="No FRET",N($DC9)&lt;=0,N($V9)&lt;=0),"",1/(1+($DC9/$V9)^6))</f>
        <v/>
      </c>
      <c r="DG9" s="27" t="str">
        <f aca="false">IF(OR($DB9="",$DB9="No FRET",N($DD9)&lt;=0,N($W9)&lt;=0),"",1/(1+($DD9/$W9)^6))</f>
        <v/>
      </c>
      <c r="DH9" s="27" t="str">
        <f aca="false">IF(OR($DB9="",$DB9="No FRET",N($DE9)&lt;=0,N($X9)&lt;=0),"",1/(1+($DE9/$X9)^6))</f>
        <v/>
      </c>
      <c r="DI9" s="28" t="n">
        <f aca="false">IF(OR($A9="",N($CU9)&lt;=0),"",IF($I9&gt;0,$CU9/($G9*$H9*$I9)/1E-024/6.022E+023/0.000000001,""))</f>
        <v>0.13284623048821</v>
      </c>
      <c r="DJ9" s="29" t="str">
        <f aca="false">IF(Calc!AE9=0,"",IF(Calc!AC9&gt;=1,"✖ saturated (B ≥ freq.)",IF(Calc!AC9&gt;0.1,"⚠ B &gt; 10% of freq.",IF(Calc!AC9=0,"⚠ no brightness",IF(Calc!AD9&gt;0.1,"⚠ step &gt; 10% of wr",IF(AND($DB9&lt;&gt;"",$DB9&lt;&gt;"No FRET",N($O9)&lt;2),"⚠ FRET needs ≥ 2 colours",IF(AND($DB9&lt;&gt;"",$DB9&lt;&gt;"No FRET",N($DC9)+N($DD9)+N($DE9)=0),"⚠ FRET: set R","✔ OK")))))))</f>
        <v>✖ saturated (B ≥ freq.)</v>
      </c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7" t="str">
        <f aca="false">IF(OR($DT9="",$DT9="No FRET",N($DU9)&lt;=0,N($V9)&lt;=0),"",1/(1+($DU9/$V9)^6))</f>
        <v/>
      </c>
      <c r="DY9" s="27" t="str">
        <f aca="false">IF(OR($DT9="",$DT9="No FRET",N($DV9)&lt;=0,N($W9)&lt;=0),"",1/(1+($DV9/$W9)^6))</f>
        <v/>
      </c>
      <c r="DZ9" s="27" t="str">
        <f aca="false">IF(OR($DT9="",$DT9="No FRET",N($DW9)&lt;=0,N($X9)&lt;=0),"",1/(1+($DW9/$X9)^6))</f>
        <v/>
      </c>
      <c r="EA9" s="28" t="str">
        <f aca="false">IF(OR($A9="",N($DM9)&lt;=0),"",IF($I9&gt;0,$DM9/($G9*$H9*$I9)/1E-024/6.022E+023/0.000000001,""))</f>
        <v/>
      </c>
      <c r="EB9" s="29" t="str">
        <f aca="false">IF(Calc!AK9=0,"",IF(Calc!AI9&gt;=1,"✖ saturated (B ≥ freq.)",IF(Calc!AI9&gt;0.1,"⚠ B &gt; 10% of freq.",IF(Calc!AI9=0,"⚠ no brightness",IF(Calc!AJ9&gt;0.1,"⚠ step &gt; 10% of wr",IF(AND($DT9&lt;&gt;"",$DT9&lt;&gt;"No FRET",N($O9)&lt;2),"⚠ FRET needs ≥ 2 colours",IF(AND($DT9&lt;&gt;"",$DT9&lt;&gt;"No FRET",N($DU9)+N($DV9)+N($DW9)=0),"⚠ FRET: set R","✔ OK")))))))</f>
        <v/>
      </c>
      <c r="EC9" s="30" t="n">
        <f aca="false">IF($A9="","",SUM(Calc!G9,Calc!M9,Calc!S9,Calc!Y9,Calc!AE9,Calc!AK9))</f>
        <v>5</v>
      </c>
      <c r="ED9" s="30" t="n">
        <f aca="false">IF($A9="","",N($AA9)+N($AS9)+N($BK9)+N($CC9)+N($CU9)+N($DM9))</f>
        <v>50</v>
      </c>
      <c r="EE9" s="31" t="n">
        <f aca="false">IF($A9="","",SUM(Calc!B9,Calc!H9,Calc!N9,Calc!T9,Calc!Z9,Calc!AF9))</f>
        <v>97.393931064216</v>
      </c>
      <c r="EF9" s="31" t="n">
        <f aca="false">IF($A9="","",SUM(Calc!C9,Calc!I9,Calc!O9,Calc!U9,Calc!AA9,Calc!AG9))</f>
        <v>74.7600966767359</v>
      </c>
      <c r="EG9" s="31" t="n">
        <f aca="false">IF($A9="","",SUM(Calc!D9,Calc!J9,Calc!P9,Calc!V9,Calc!AB9,Calc!AH9))</f>
        <v>41.9747754151457</v>
      </c>
      <c r="EH9" s="27" t="n">
        <f aca="false">IF($A9="","",($EE9+$EF9+$EG9+IF($P9="Yes",N($Q9)*N($O9),0))*1000*$K9/1000000)</f>
        <v>2.14128803156098</v>
      </c>
      <c r="EI9" s="28" t="n">
        <f aca="false">IF($A9="","",$EH9*1000000*12/1000000000)</f>
        <v>0.0256954563787317</v>
      </c>
      <c r="EJ9" s="32" t="str">
        <f aca="false">IF($A9="","",IF($EC9=0,"⚠ no species entered",IF(((LEFT($AP9,1)="✖")+(LEFT($BH9,1)="✖")+(LEFT($BZ9,1)="✖")+(LEFT($CR9,1)="✖")+(LEFT($DJ9,1)="✖")+(LEFT($EB9,1)="✖"))&gt;0,"✖ "&amp;((LEFT($AP9,1)="✖")+(LEFT($BH9,1)="✖")+(LEFT($BZ9,1)="✖")+(LEFT($CR9,1)="✖")+(LEFT($DJ9,1)="✖")+(LEFT($EB9,1)="✖"))&amp;" species saturated - see the species checks",IF(MIN($G9,$H9)&lt;8*$T9,"⚠ box too small laterally (&lt; 8·wr)",IF(AND($I9&gt;0,$I9&lt;3*$U9),"⚠ box too small axially (&lt; 3·wz)",IF($EI9&gt;8,"⚠ &gt; 8 GB per file: shorten the duration and use several files",IF(((LEFT($AP9,1)="⚠")+(LEFT($BH9,1)="⚠")+(LEFT($BZ9,1)="⚠")+(LEFT($CR9,1)="⚠")+(LEFT($DJ9,1)="⚠")+(LEFT($EB9,1)="⚠"))&gt;0,"⚠ "&amp;((LEFT($AP9,1)="⚠")+(LEFT($BH9,1)="⚠")+(LEFT($BZ9,1)="⚠")+(LEFT($CR9,1)="⚠")+(LEFT($DJ9,1)="⚠")+(LEFT($EB9,1)="⚠"))&amp;" species with a warning","✔ OK")))))))</f>
        <v>✖ 5 species saturated - see the species checks</v>
      </c>
      <c r="EK9" s="25" t="n">
        <v>1</v>
      </c>
      <c r="EL9" s="25"/>
      <c r="EM9" s="25" t="s">
        <v>130</v>
      </c>
      <c r="EN9" s="25"/>
      <c r="EO9" s="25"/>
      <c r="EP9" s="25"/>
      <c r="EQ9" s="25"/>
      <c r="ER9" s="26" t="s">
        <v>206</v>
      </c>
    </row>
    <row r="10" customFormat="false" ht="35.05" hidden="false" customHeight="false" outlineLevel="0" collapsed="false">
      <c r="A10" s="25" t="s">
        <v>219</v>
      </c>
      <c r="B10" s="25" t="s">
        <v>220</v>
      </c>
      <c r="C10" s="26" t="s">
        <v>218</v>
      </c>
      <c r="D10" s="26" t="s">
        <v>213</v>
      </c>
      <c r="E10" s="25" t="s">
        <v>205</v>
      </c>
      <c r="F10" s="25" t="n">
        <v>3</v>
      </c>
      <c r="G10" s="25" t="n">
        <v>5000</v>
      </c>
      <c r="H10" s="25" t="n">
        <v>5000</v>
      </c>
      <c r="I10" s="25" t="n">
        <v>5000</v>
      </c>
      <c r="J10" s="25" t="n">
        <v>1000</v>
      </c>
      <c r="K10" s="25" t="n">
        <v>10</v>
      </c>
      <c r="L10" s="25" t="n">
        <v>1</v>
      </c>
      <c r="M10" s="25" t="n">
        <v>60</v>
      </c>
      <c r="N10" s="25" t="s">
        <v>74</v>
      </c>
      <c r="O10" s="25" t="n">
        <v>3</v>
      </c>
      <c r="P10" s="25" t="s">
        <v>195</v>
      </c>
      <c r="Q10" s="25" t="n">
        <v>0.2</v>
      </c>
      <c r="R10" s="25" t="s">
        <v>195</v>
      </c>
      <c r="S10" s="25" t="n">
        <v>250</v>
      </c>
      <c r="T10" s="25" t="n">
        <v>200</v>
      </c>
      <c r="U10" s="25" t="n">
        <v>1000</v>
      </c>
      <c r="V10" s="25" t="n">
        <v>63</v>
      </c>
      <c r="W10" s="25" t="n">
        <v>51</v>
      </c>
      <c r="X10" s="25" t="n">
        <v>68</v>
      </c>
      <c r="Y10" s="25" t="s">
        <v>137</v>
      </c>
      <c r="Z10" s="25" t="n">
        <v>400</v>
      </c>
      <c r="AA10" s="25" t="n">
        <v>10</v>
      </c>
      <c r="AB10" s="25" t="n">
        <v>10000</v>
      </c>
      <c r="AC10" s="25" t="n">
        <v>0</v>
      </c>
      <c r="AD10" s="25" t="n">
        <v>0</v>
      </c>
      <c r="AE10" s="25" t="n">
        <v>4</v>
      </c>
      <c r="AF10" s="25" t="n">
        <v>3</v>
      </c>
      <c r="AG10" s="25" t="n">
        <v>2.5</v>
      </c>
      <c r="AH10" s="25" t="s">
        <v>111</v>
      </c>
      <c r="AI10" s="25"/>
      <c r="AJ10" s="25"/>
      <c r="AK10" s="25"/>
      <c r="AL10" s="27" t="str">
        <f aca="false">IF(OR($AH10="",$AH10="No FRET",N($AI10)&lt;=0,N($V10)&lt;=0),"",1/(1+($AI10/$V10)^6))</f>
        <v/>
      </c>
      <c r="AM10" s="27" t="str">
        <f aca="false">IF(OR($AH10="",$AH10="No FRET",N($AJ10)&lt;=0,N($W10)&lt;=0),"",1/(1+($AJ10/$W10)^6))</f>
        <v/>
      </c>
      <c r="AN10" s="27" t="str">
        <f aca="false">IF(OR($AH10="",$AH10="No FRET",N($AK10)&lt;=0,N($X10)&lt;=0),"",1/(1+($AK10/$X10)^6))</f>
        <v/>
      </c>
      <c r="AO10" s="28" t="n">
        <f aca="false">IF(OR($A10="",N($AA10)&lt;=0),"",IF($I10&gt;0,$AA10/($G10*$H10*$I10)/1E-024/6.022E+023/0.000000001,""))</f>
        <v>0.13284623048821</v>
      </c>
      <c r="AP10" s="29" t="str">
        <f aca="false">IF(Calc!G10=0,"",IF(Calc!E10&gt;=1,"✖ saturated (B ≥ freq.)",IF(Calc!E10&gt;0.1,"⚠ B &gt; 10% of freq.",IF(Calc!E10=0,"⚠ no brightness",IF(Calc!F10&gt;0.1,"⚠ step &gt; 10% of wr",IF(AND($AH10&lt;&gt;"",$AH10&lt;&gt;"No FRET",N($O10)&lt;2),"⚠ FRET needs ≥ 2 colours",IF(AND($AH10&lt;&gt;"",$AH10&lt;&gt;"No FRET",N($AI10)+N($AJ10)+N($AK10)=0),"⚠ FRET: set R","✔ OK")))))))</f>
        <v>✖ saturated (B ≥ freq.)</v>
      </c>
      <c r="AQ10" s="25" t="s">
        <v>138</v>
      </c>
      <c r="AR10" s="25" t="n">
        <v>400</v>
      </c>
      <c r="AS10" s="25" t="n">
        <v>10</v>
      </c>
      <c r="AT10" s="25" t="n">
        <v>0</v>
      </c>
      <c r="AU10" s="25" t="n">
        <v>7000</v>
      </c>
      <c r="AV10" s="25" t="n">
        <v>0</v>
      </c>
      <c r="AW10" s="25" t="n">
        <v>4</v>
      </c>
      <c r="AX10" s="25" t="n">
        <v>3</v>
      </c>
      <c r="AY10" s="25" t="n">
        <v>2.5</v>
      </c>
      <c r="AZ10" s="25" t="s">
        <v>111</v>
      </c>
      <c r="BA10" s="25"/>
      <c r="BB10" s="25"/>
      <c r="BC10" s="25"/>
      <c r="BD10" s="27" t="str">
        <f aca="false">IF(OR($AZ10="",$AZ10="No FRET",N($BA10)&lt;=0,N($V10)&lt;=0),"",1/(1+($BA10/$V10)^6))</f>
        <v/>
      </c>
      <c r="BE10" s="27" t="str">
        <f aca="false">IF(OR($AZ10="",$AZ10="No FRET",N($BB10)&lt;=0,N($W10)&lt;=0),"",1/(1+($BB10/$W10)^6))</f>
        <v/>
      </c>
      <c r="BF10" s="27" t="str">
        <f aca="false">IF(OR($AZ10="",$AZ10="No FRET",N($BC10)&lt;=0,N($X10)&lt;=0),"",1/(1+($BC10/$X10)^6))</f>
        <v/>
      </c>
      <c r="BG10" s="28" t="n">
        <f aca="false">IF(OR($A10="",N($AS10)&lt;=0),"",IF($I10&gt;0,$AS10/($G10*$H10*$I10)/1E-024/6.022E+023/0.000000001,""))</f>
        <v>0.13284623048821</v>
      </c>
      <c r="BH10" s="29" t="str">
        <f aca="false">IF(Calc!M10=0,"",IF(Calc!K10&gt;=1,"✖ saturated (B ≥ freq.)",IF(Calc!K10&gt;0.1,"⚠ B &gt; 10% of freq.",IF(Calc!K10=0,"⚠ no brightness",IF(Calc!L10&gt;0.1,"⚠ step &gt; 10% of wr",IF(AND($AZ10&lt;&gt;"",$AZ10&lt;&gt;"No FRET",N($O10)&lt;2),"⚠ FRET needs ≥ 2 colours",IF(AND($AZ10&lt;&gt;"",$AZ10&lt;&gt;"No FRET",N($BA10)+N($BB10)+N($BC10)=0),"⚠ FRET: set R","✔ OK")))))))</f>
        <v>✖ saturated (B ≥ freq.)</v>
      </c>
      <c r="BI10" s="25" t="s">
        <v>139</v>
      </c>
      <c r="BJ10" s="25" t="n">
        <v>400</v>
      </c>
      <c r="BK10" s="25" t="n">
        <v>10</v>
      </c>
      <c r="BL10" s="25" t="n">
        <v>0</v>
      </c>
      <c r="BM10" s="25" t="n">
        <v>0</v>
      </c>
      <c r="BN10" s="25" t="n">
        <v>5000</v>
      </c>
      <c r="BO10" s="25" t="n">
        <v>4</v>
      </c>
      <c r="BP10" s="25" t="n">
        <v>3</v>
      </c>
      <c r="BQ10" s="25" t="n">
        <v>2.5</v>
      </c>
      <c r="BR10" s="25" t="s">
        <v>111</v>
      </c>
      <c r="BS10" s="25"/>
      <c r="BT10" s="25"/>
      <c r="BU10" s="25"/>
      <c r="BV10" s="27" t="str">
        <f aca="false">IF(OR($BR10="",$BR10="No FRET",N($BS10)&lt;=0,N($V10)&lt;=0),"",1/(1+($BS10/$V10)^6))</f>
        <v/>
      </c>
      <c r="BW10" s="27" t="str">
        <f aca="false">IF(OR($BR10="",$BR10="No FRET",N($BT10)&lt;=0,N($W10)&lt;=0),"",1/(1+($BT10/$W10)^6))</f>
        <v/>
      </c>
      <c r="BX10" s="27" t="str">
        <f aca="false">IF(OR($BR10="",$BR10="No FRET",N($BU10)&lt;=0,N($X10)&lt;=0),"",1/(1+($BU10/$X10)^6))</f>
        <v/>
      </c>
      <c r="BY10" s="28" t="n">
        <f aca="false">IF(OR($A10="",N($BK10)&lt;=0),"",IF($I10&gt;0,$BK10/($G10*$H10*$I10)/1E-024/6.022E+023/0.000000001,""))</f>
        <v>0.13284623048821</v>
      </c>
      <c r="BZ10" s="29" t="str">
        <f aca="false">IF(Calc!S10=0,"",IF(Calc!Q10&gt;=1,"✖ saturated (B ≥ freq.)",IF(Calc!Q10&gt;0.1,"⚠ B &gt; 10% of freq.",IF(Calc!Q10=0,"⚠ no brightness",IF(Calc!R10&gt;0.1,"⚠ step &gt; 10% of wr",IF(AND($BR10&lt;&gt;"",$BR10&lt;&gt;"No FRET",N($O10)&lt;2),"⚠ FRET needs ≥ 2 colours",IF(AND($BR10&lt;&gt;"",$BR10&lt;&gt;"No FRET",N($BS10)+N($BT10)+N($BU10)=0),"⚠ FRET: set R","✔ OK")))))))</f>
        <v>✖ saturated (B ≥ freq.)</v>
      </c>
      <c r="CA10" s="25" t="s">
        <v>140</v>
      </c>
      <c r="CB10" s="25" t="n">
        <v>33</v>
      </c>
      <c r="CC10" s="25" t="n">
        <v>10</v>
      </c>
      <c r="CD10" s="25" t="n">
        <v>20000</v>
      </c>
      <c r="CE10" s="25" t="n">
        <v>7000</v>
      </c>
      <c r="CF10" s="25" t="n">
        <v>0</v>
      </c>
      <c r="CG10" s="25" t="n">
        <v>4</v>
      </c>
      <c r="CH10" s="25" t="n">
        <v>3</v>
      </c>
      <c r="CI10" s="25" t="n">
        <v>2.5</v>
      </c>
      <c r="CJ10" s="25" t="s">
        <v>111</v>
      </c>
      <c r="CK10" s="25"/>
      <c r="CL10" s="25"/>
      <c r="CM10" s="25"/>
      <c r="CN10" s="27" t="str">
        <f aca="false">IF(OR($CJ10="",$CJ10="No FRET",N($CK10)&lt;=0,N($V10)&lt;=0),"",1/(1+($CK10/$V10)^6))</f>
        <v/>
      </c>
      <c r="CO10" s="27" t="str">
        <f aca="false">IF(OR($CJ10="",$CJ10="No FRET",N($CL10)&lt;=0,N($W10)&lt;=0),"",1/(1+($CL10/$W10)^6))</f>
        <v/>
      </c>
      <c r="CP10" s="27" t="str">
        <f aca="false">IF(OR($CJ10="",$CJ10="No FRET",N($CM10)&lt;=0,N($X10)&lt;=0),"",1/(1+($CM10/$X10)^6))</f>
        <v/>
      </c>
      <c r="CQ10" s="28" t="n">
        <f aca="false">IF(OR($A10="",N($CC10)&lt;=0),"",IF($I10&gt;0,$CC10/($G10*$H10*$I10)/1E-024/6.022E+023/0.000000001,""))</f>
        <v>0.13284623048821</v>
      </c>
      <c r="CR10" s="29" t="str">
        <f aca="false">IF(Calc!Y10=0,"",IF(Calc!W10&gt;=1,"✖ saturated (B ≥ freq.)",IF(Calc!W10&gt;0.1,"⚠ B &gt; 10% of freq.",IF(Calc!W10=0,"⚠ no brightness",IF(Calc!X10&gt;0.1,"⚠ step &gt; 10% of wr",IF(AND($CJ10&lt;&gt;"",$CJ10&lt;&gt;"No FRET",N($O10)&lt;2),"⚠ FRET needs ≥ 2 colours",IF(AND($CJ10&lt;&gt;"",$CJ10&lt;&gt;"No FRET",N($CK10)+N($CL10)+N($CM10)=0),"⚠ FRET: set R","✔ OK")))))))</f>
        <v>✖ saturated (B ≥ freq.)</v>
      </c>
      <c r="CS10" s="25" t="s">
        <v>141</v>
      </c>
      <c r="CT10" s="25" t="n">
        <v>33</v>
      </c>
      <c r="CU10" s="25" t="n">
        <v>10</v>
      </c>
      <c r="CV10" s="25" t="n">
        <v>10000</v>
      </c>
      <c r="CW10" s="25" t="n">
        <v>0</v>
      </c>
      <c r="CX10" s="25" t="n">
        <v>5000</v>
      </c>
      <c r="CY10" s="25" t="n">
        <v>4</v>
      </c>
      <c r="CZ10" s="25" t="n">
        <v>3</v>
      </c>
      <c r="DA10" s="25" t="n">
        <v>2.5</v>
      </c>
      <c r="DB10" s="25" t="s">
        <v>111</v>
      </c>
      <c r="DC10" s="25"/>
      <c r="DD10" s="25"/>
      <c r="DE10" s="25"/>
      <c r="DF10" s="27" t="str">
        <f aca="false">IF(OR($DB10="",$DB10="No FRET",N($DC10)&lt;=0,N($V10)&lt;=0),"",1/(1+($DC10/$V10)^6))</f>
        <v/>
      </c>
      <c r="DG10" s="27" t="str">
        <f aca="false">IF(OR($DB10="",$DB10="No FRET",N($DD10)&lt;=0,N($W10)&lt;=0),"",1/(1+($DD10/$W10)^6))</f>
        <v/>
      </c>
      <c r="DH10" s="27" t="str">
        <f aca="false">IF(OR($DB10="",$DB10="No FRET",N($DE10)&lt;=0,N($X10)&lt;=0),"",1/(1+($DE10/$X10)^6))</f>
        <v/>
      </c>
      <c r="DI10" s="28" t="n">
        <f aca="false">IF(OR($A10="",N($CU10)&lt;=0),"",IF($I10&gt;0,$CU10/($G10*$H10*$I10)/1E-024/6.022E+023/0.000000001,""))</f>
        <v>0.13284623048821</v>
      </c>
      <c r="DJ10" s="29" t="str">
        <f aca="false">IF(Calc!AE10=0,"",IF(Calc!AC10&gt;=1,"✖ saturated (B ≥ freq.)",IF(Calc!AC10&gt;0.1,"⚠ B &gt; 10% of freq.",IF(Calc!AC10=0,"⚠ no brightness",IF(Calc!AD10&gt;0.1,"⚠ step &gt; 10% of wr",IF(AND($DB10&lt;&gt;"",$DB10&lt;&gt;"No FRET",N($O10)&lt;2),"⚠ FRET needs ≥ 2 colours",IF(AND($DB10&lt;&gt;"",$DB10&lt;&gt;"No FRET",N($DC10)+N($DD10)+N($DE10)=0),"⚠ FRET: set R","✔ OK")))))))</f>
        <v>✖ saturated (B ≥ freq.)</v>
      </c>
      <c r="DK10" s="25" t="s">
        <v>142</v>
      </c>
      <c r="DL10" s="25" t="n">
        <v>33</v>
      </c>
      <c r="DM10" s="25" t="n">
        <v>10</v>
      </c>
      <c r="DN10" s="25" t="n">
        <v>0</v>
      </c>
      <c r="DO10" s="25" t="n">
        <v>7000</v>
      </c>
      <c r="DP10" s="25" t="n">
        <v>10000</v>
      </c>
      <c r="DQ10" s="25" t="n">
        <v>4</v>
      </c>
      <c r="DR10" s="25" t="n">
        <v>3</v>
      </c>
      <c r="DS10" s="25" t="n">
        <v>2.5</v>
      </c>
      <c r="DT10" s="25" t="s">
        <v>111</v>
      </c>
      <c r="DU10" s="25"/>
      <c r="DV10" s="25"/>
      <c r="DW10" s="25"/>
      <c r="DX10" s="27" t="str">
        <f aca="false">IF(OR($DT10="",$DT10="No FRET",N($DU10)&lt;=0,N($V10)&lt;=0),"",1/(1+($DU10/$V10)^6))</f>
        <v/>
      </c>
      <c r="DY10" s="27" t="str">
        <f aca="false">IF(OR($DT10="",$DT10="No FRET",N($DV10)&lt;=0,N($W10)&lt;=0),"",1/(1+($DV10/$W10)^6))</f>
        <v/>
      </c>
      <c r="DZ10" s="27" t="str">
        <f aca="false">IF(OR($DT10="",$DT10="No FRET",N($DW10)&lt;=0,N($X10)&lt;=0),"",1/(1+($DW10/$X10)^6))</f>
        <v/>
      </c>
      <c r="EA10" s="28" t="n">
        <f aca="false">IF(OR($A10="",N($DM10)&lt;=0),"",IF($I10&gt;0,$DM10/($G10*$H10*$I10)/1E-024/6.022E+023/0.000000001,""))</f>
        <v>0.13284623048821</v>
      </c>
      <c r="EB10" s="29" t="str">
        <f aca="false">IF(Calc!AK10=0,"",IF(Calc!AI10&gt;=1,"✖ saturated (B ≥ freq.)",IF(Calc!AI10&gt;0.1,"⚠ B &gt; 10% of freq.",IF(Calc!AI10=0,"⚠ no brightness",IF(Calc!AJ10&gt;0.1,"⚠ step &gt; 10% of wr",IF(AND($DT10&lt;&gt;"",$DT10&lt;&gt;"No FRET",N($O10)&lt;2),"⚠ FRET needs ≥ 2 colours",IF(AND($DT10&lt;&gt;"",$DT10&lt;&gt;"No FRET",N($DU10)+N($DV10)+N($DW10)=0),"⚠ FRET: set R","✔ OK")))))))</f>
        <v>✖ saturated (B ≥ freq.)</v>
      </c>
      <c r="EC10" s="30" t="n">
        <f aca="false">IF($A10="","",SUM(Calc!G10,Calc!M10,Calc!S10,Calc!Y10,Calc!AE10,Calc!AK10))</f>
        <v>6</v>
      </c>
      <c r="ED10" s="30" t="n">
        <f aca="false">IF($A10="","",N($AA10)+N($AS10)+N($BK10)+N($CC10)+N($CU10)+N($DM10))</f>
        <v>60</v>
      </c>
      <c r="EE10" s="31" t="n">
        <f aca="false">IF($A10="","",SUM(Calc!B10,Calc!H10,Calc!N10,Calc!T10,Calc!Z10,Calc!AF10))</f>
        <v>97.393931064216</v>
      </c>
      <c r="EF10" s="31" t="n">
        <f aca="false">IF($A10="","",SUM(Calc!C10,Calc!I10,Calc!O10,Calc!U10,Calc!AA10,Calc!AG10))</f>
        <v>74.7600966767359</v>
      </c>
      <c r="EG10" s="31" t="n">
        <f aca="false">IF($A10="","",SUM(Calc!D10,Calc!J10,Calc!P10,Calc!V10,Calc!AB10,Calc!AH10))</f>
        <v>71.3280485032634</v>
      </c>
      <c r="EH10" s="27" t="n">
        <f aca="false">IF($A10="","",($EE10+$EF10+$EG10+IF($P10="Yes",N($Q10)*N($O10),0))*1000*$K10/1000000)</f>
        <v>2.43482076244215</v>
      </c>
      <c r="EI10" s="28" t="n">
        <f aca="false">IF($A10="","",$EH10*1000000*12/1000000000)</f>
        <v>0.0292178491493058</v>
      </c>
      <c r="EJ10" s="32" t="str">
        <f aca="false">IF($A10="","",IF($EC10=0,"⚠ no species entered",IF(((LEFT($AP10,1)="✖")+(LEFT($BH10,1)="✖")+(LEFT($BZ10,1)="✖")+(LEFT($CR10,1)="✖")+(LEFT($DJ10,1)="✖")+(LEFT($EB10,1)="✖"))&gt;0,"✖ "&amp;((LEFT($AP10,1)="✖")+(LEFT($BH10,1)="✖")+(LEFT($BZ10,1)="✖")+(LEFT($CR10,1)="✖")+(LEFT($DJ10,1)="✖")+(LEFT($EB10,1)="✖"))&amp;" species saturated - see the species checks",IF(MIN($G10,$H10)&lt;8*$T10,"⚠ box too small laterally (&lt; 8·wr)",IF(AND($I10&gt;0,$I10&lt;3*$U10),"⚠ box too small axially (&lt; 3·wz)",IF($EI10&gt;8,"⚠ &gt; 8 GB per file: shorten the duration and use several files",IF(((LEFT($AP10,1)="⚠")+(LEFT($BH10,1)="⚠")+(LEFT($BZ10,1)="⚠")+(LEFT($CR10,1)="⚠")+(LEFT($DJ10,1)="⚠")+(LEFT($EB10,1)="⚠"))&gt;0,"⚠ "&amp;((LEFT($AP10,1)="⚠")+(LEFT($BH10,1)="⚠")+(LEFT($BZ10,1)="⚠")+(LEFT($CR10,1)="⚠")+(LEFT($DJ10,1)="⚠")+(LEFT($EB10,1)="⚠"))&amp;" species with a warning","✔ OK")))))))</f>
        <v>✖ 6 species saturated - see the species checks</v>
      </c>
      <c r="EK10" s="25" t="n">
        <v>1</v>
      </c>
      <c r="EL10" s="25"/>
      <c r="EM10" s="25" t="s">
        <v>130</v>
      </c>
      <c r="EN10" s="25"/>
      <c r="EO10" s="25"/>
      <c r="EP10" s="25"/>
      <c r="EQ10" s="25"/>
      <c r="ER10" s="26" t="s">
        <v>206</v>
      </c>
    </row>
    <row r="11" customFormat="false" ht="35.05" hidden="false" customHeight="false" outlineLevel="0" collapsed="false">
      <c r="A11" s="25" t="s">
        <v>221</v>
      </c>
      <c r="B11" s="25" t="s">
        <v>222</v>
      </c>
      <c r="C11" s="26" t="s">
        <v>223</v>
      </c>
      <c r="D11" s="26" t="s">
        <v>213</v>
      </c>
      <c r="E11" s="25" t="s">
        <v>205</v>
      </c>
      <c r="F11" s="25" t="n">
        <v>3</v>
      </c>
      <c r="G11" s="25" t="n">
        <v>5000</v>
      </c>
      <c r="H11" s="25" t="n">
        <v>5000</v>
      </c>
      <c r="I11" s="25" t="n">
        <v>5000</v>
      </c>
      <c r="J11" s="25" t="n">
        <v>1000</v>
      </c>
      <c r="K11" s="25" t="n">
        <v>30</v>
      </c>
      <c r="L11" s="25" t="n">
        <v>1</v>
      </c>
      <c r="M11" s="25" t="n">
        <v>60</v>
      </c>
      <c r="N11" s="25" t="s">
        <v>74</v>
      </c>
      <c r="O11" s="25" t="n">
        <v>3</v>
      </c>
      <c r="P11" s="25" t="s">
        <v>195</v>
      </c>
      <c r="Q11" s="25" t="n">
        <v>0.2</v>
      </c>
      <c r="R11" s="25" t="s">
        <v>195</v>
      </c>
      <c r="S11" s="25" t="n">
        <v>250</v>
      </c>
      <c r="T11" s="25" t="n">
        <v>200</v>
      </c>
      <c r="U11" s="25" t="n">
        <v>1000</v>
      </c>
      <c r="V11" s="25" t="n">
        <v>63</v>
      </c>
      <c r="W11" s="25" t="n">
        <v>51</v>
      </c>
      <c r="X11" s="25" t="n">
        <v>68</v>
      </c>
      <c r="Y11" s="25" t="s">
        <v>137</v>
      </c>
      <c r="Z11" s="25" t="n">
        <v>35</v>
      </c>
      <c r="AA11" s="25" t="n">
        <v>100</v>
      </c>
      <c r="AB11" s="25" t="n">
        <v>1000</v>
      </c>
      <c r="AC11" s="25" t="n">
        <v>700</v>
      </c>
      <c r="AD11" s="25" t="n">
        <v>500</v>
      </c>
      <c r="AE11" s="25" t="n">
        <v>4</v>
      </c>
      <c r="AF11" s="25" t="n">
        <v>3</v>
      </c>
      <c r="AG11" s="25" t="n">
        <v>2</v>
      </c>
      <c r="AH11" s="25" t="s">
        <v>111</v>
      </c>
      <c r="AI11" s="25"/>
      <c r="AJ11" s="25"/>
      <c r="AK11" s="25"/>
      <c r="AL11" s="27" t="str">
        <f aca="false">IF(OR($AH11="",$AH11="No FRET",N($AI11)&lt;=0,N($V11)&lt;=0),"",1/(1+($AI11/$V11)^6))</f>
        <v/>
      </c>
      <c r="AM11" s="27" t="str">
        <f aca="false">IF(OR($AH11="",$AH11="No FRET",N($AJ11)&lt;=0,N($W11)&lt;=0),"",1/(1+($AJ11/$W11)^6))</f>
        <v/>
      </c>
      <c r="AN11" s="27" t="str">
        <f aca="false">IF(OR($AH11="",$AH11="No FRET",N($AK11)&lt;=0,N($X11)&lt;=0),"",1/(1+($AK11/$X11)^6))</f>
        <v/>
      </c>
      <c r="AO11" s="28" t="n">
        <f aca="false">IF(OR($A11="",N($AA11)&lt;=0),"",IF($I11&gt;0,$AA11/($G11*$H11*$I11)/1E-024/6.022E+023/0.000000001,""))</f>
        <v>1.3284623048821</v>
      </c>
      <c r="AP11" s="29" t="str">
        <f aca="false">IF(Calc!G11=0,"",IF(Calc!E11&gt;=1,"✖ saturated (B ≥ freq.)",IF(Calc!E11&gt;0.1,"⚠ B &gt; 10% of freq.",IF(Calc!E11=0,"⚠ no brightness",IF(Calc!F11&gt;0.1,"⚠ step &gt; 10% of wr",IF(AND($AH11&lt;&gt;"",$AH11&lt;&gt;"No FRET",N($O11)&lt;2),"⚠ FRET needs ≥ 2 colours",IF(AND($AH11&lt;&gt;"",$AH11&lt;&gt;"No FRET",N($AI11)+N($AJ11)+N($AK11)=0),"⚠ FRET: set R","✔ OK")))))))</f>
        <v>✖ saturated (B ≥ freq.)</v>
      </c>
      <c r="AQ11" s="25" t="s">
        <v>138</v>
      </c>
      <c r="AR11" s="25" t="n">
        <v>35</v>
      </c>
      <c r="AS11" s="25" t="n">
        <v>1000</v>
      </c>
      <c r="AT11" s="25" t="n">
        <v>1000</v>
      </c>
      <c r="AU11" s="25" t="n">
        <v>0</v>
      </c>
      <c r="AV11" s="25" t="n">
        <v>500</v>
      </c>
      <c r="AW11" s="25" t="n">
        <v>4</v>
      </c>
      <c r="AX11" s="25" t="n">
        <v>3</v>
      </c>
      <c r="AY11" s="25" t="n">
        <v>2</v>
      </c>
      <c r="AZ11" s="25" t="s">
        <v>111</v>
      </c>
      <c r="BA11" s="25"/>
      <c r="BB11" s="25"/>
      <c r="BC11" s="25"/>
      <c r="BD11" s="27" t="str">
        <f aca="false">IF(OR($AZ11="",$AZ11="No FRET",N($BA11)&lt;=0,N($V11)&lt;=0),"",1/(1+($BA11/$V11)^6))</f>
        <v/>
      </c>
      <c r="BE11" s="27" t="str">
        <f aca="false">IF(OR($AZ11="",$AZ11="No FRET",N($BB11)&lt;=0,N($W11)&lt;=0),"",1/(1+($BB11/$W11)^6))</f>
        <v/>
      </c>
      <c r="BF11" s="27" t="str">
        <f aca="false">IF(OR($AZ11="",$AZ11="No FRET",N($BC11)&lt;=0,N($X11)&lt;=0),"",1/(1+($BC11/$X11)^6))</f>
        <v/>
      </c>
      <c r="BG11" s="28" t="n">
        <f aca="false">IF(OR($A11="",N($AS11)&lt;=0),"",IF($I11&gt;0,$AS11/($G11*$H11*$I11)/1E-024/6.022E+023/0.000000001,""))</f>
        <v>13.284623048821</v>
      </c>
      <c r="BH11" s="29" t="str">
        <f aca="false">IF(Calc!M11=0,"",IF(Calc!K11&gt;=1,"✖ saturated (B ≥ freq.)",IF(Calc!K11&gt;0.1,"⚠ B &gt; 10% of freq.",IF(Calc!K11=0,"⚠ no brightness",IF(Calc!L11&gt;0.1,"⚠ step &gt; 10% of wr",IF(AND($AZ11&lt;&gt;"",$AZ11&lt;&gt;"No FRET",N($O11)&lt;2),"⚠ FRET needs ≥ 2 colours",IF(AND($AZ11&lt;&gt;"",$AZ11&lt;&gt;"No FRET",N($BA11)+N($BB11)+N($BC11)=0),"⚠ FRET: set R","✔ OK")))))))</f>
        <v>✖ saturated (B ≥ freq.)</v>
      </c>
      <c r="BI11" s="25" t="s">
        <v>139</v>
      </c>
      <c r="BJ11" s="25" t="n">
        <v>35</v>
      </c>
      <c r="BK11" s="25" t="n">
        <v>500</v>
      </c>
      <c r="BL11" s="25" t="n">
        <v>1000</v>
      </c>
      <c r="BM11" s="25" t="n">
        <v>700</v>
      </c>
      <c r="BN11" s="25" t="n">
        <v>0</v>
      </c>
      <c r="BO11" s="25" t="n">
        <v>4</v>
      </c>
      <c r="BP11" s="25" t="n">
        <v>3</v>
      </c>
      <c r="BQ11" s="25" t="n">
        <v>2</v>
      </c>
      <c r="BR11" s="25" t="s">
        <v>111</v>
      </c>
      <c r="BS11" s="25"/>
      <c r="BT11" s="25"/>
      <c r="BU11" s="25"/>
      <c r="BV11" s="27" t="str">
        <f aca="false">IF(OR($BR11="",$BR11="No FRET",N($BS11)&lt;=0,N($V11)&lt;=0),"",1/(1+($BS11/$V11)^6))</f>
        <v/>
      </c>
      <c r="BW11" s="27" t="str">
        <f aca="false">IF(OR($BR11="",$BR11="No FRET",N($BT11)&lt;=0,N($W11)&lt;=0),"",1/(1+($BT11/$W11)^6))</f>
        <v/>
      </c>
      <c r="BX11" s="27" t="str">
        <f aca="false">IF(OR($BR11="",$BR11="No FRET",N($BU11)&lt;=0,N($X11)&lt;=0),"",1/(1+($BU11/$X11)^6))</f>
        <v/>
      </c>
      <c r="BY11" s="28" t="n">
        <f aca="false">IF(OR($A11="",N($BK11)&lt;=0),"",IF($I11&gt;0,$BK11/($G11*$H11*$I11)/1E-024/6.022E+023/0.000000001,""))</f>
        <v>6.6423115244105</v>
      </c>
      <c r="BZ11" s="29" t="str">
        <f aca="false">IF(Calc!S11=0,"",IF(Calc!Q11&gt;=1,"✖ saturated (B ≥ freq.)",IF(Calc!Q11&gt;0.1,"⚠ B &gt; 10% of freq.",IF(Calc!Q11=0,"⚠ no brightness",IF(Calc!R11&gt;0.1,"⚠ step &gt; 10% of wr",IF(AND($BR11&lt;&gt;"",$BR11&lt;&gt;"No FRET",N($O11)&lt;2),"⚠ FRET needs ≥ 2 colours",IF(AND($BR11&lt;&gt;"",$BR11&lt;&gt;"No FRET",N($BS11)+N($BT11)+N($BU11)=0),"⚠ FRET: set R","✔ OK")))))))</f>
        <v>✖ saturated (B ≥ freq.)</v>
      </c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7" t="str">
        <f aca="false">IF(OR($CJ11="",$CJ11="No FRET",N($CK11)&lt;=0,N($V11)&lt;=0),"",1/(1+($CK11/$V11)^6))</f>
        <v/>
      </c>
      <c r="CO11" s="27" t="str">
        <f aca="false">IF(OR($CJ11="",$CJ11="No FRET",N($CL11)&lt;=0,N($W11)&lt;=0),"",1/(1+($CL11/$W11)^6))</f>
        <v/>
      </c>
      <c r="CP11" s="27" t="str">
        <f aca="false">IF(OR($CJ11="",$CJ11="No FRET",N($CM11)&lt;=0,N($X11)&lt;=0),"",1/(1+($CM11/$X11)^6))</f>
        <v/>
      </c>
      <c r="CQ11" s="28" t="str">
        <f aca="false">IF(OR($A11="",N($CC11)&lt;=0),"",IF($I11&gt;0,$CC11/($G11*$H11*$I11)/1E-024/6.022E+023/0.000000001,""))</f>
        <v/>
      </c>
      <c r="CR11" s="29" t="str">
        <f aca="false">IF(Calc!Y11=0,"",IF(Calc!W11&gt;=1,"✖ saturated (B ≥ freq.)",IF(Calc!W11&gt;0.1,"⚠ B &gt; 10% of freq.",IF(Calc!W11=0,"⚠ no brightness",IF(Calc!X11&gt;0.1,"⚠ step &gt; 10% of wr",IF(AND($CJ11&lt;&gt;"",$CJ11&lt;&gt;"No FRET",N($O11)&lt;2),"⚠ FRET needs ≥ 2 colours",IF(AND($CJ11&lt;&gt;"",$CJ11&lt;&gt;"No FRET",N($CK11)+N($CL11)+N($CM11)=0),"⚠ FRET: set R","✔ OK")))))))</f>
        <v/>
      </c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7" t="str">
        <f aca="false">IF(OR($DB11="",$DB11="No FRET",N($DC11)&lt;=0,N($V11)&lt;=0),"",1/(1+($DC11/$V11)^6))</f>
        <v/>
      </c>
      <c r="DG11" s="27" t="str">
        <f aca="false">IF(OR($DB11="",$DB11="No FRET",N($DD11)&lt;=0,N($W11)&lt;=0),"",1/(1+($DD11/$W11)^6))</f>
        <v/>
      </c>
      <c r="DH11" s="27" t="str">
        <f aca="false">IF(OR($DB11="",$DB11="No FRET",N($DE11)&lt;=0,N($X11)&lt;=0),"",1/(1+($DE11/$X11)^6))</f>
        <v/>
      </c>
      <c r="DI11" s="28" t="str">
        <f aca="false">IF(OR($A11="",N($CU11)&lt;=0),"",IF($I11&gt;0,$CU11/($G11*$H11*$I11)/1E-024/6.022E+023/0.000000001,""))</f>
        <v/>
      </c>
      <c r="DJ11" s="29" t="str">
        <f aca="false">IF(Calc!AE11=0,"",IF(Calc!AC11&gt;=1,"✖ saturated (B ≥ freq.)",IF(Calc!AC11&gt;0.1,"⚠ B &gt; 10% of freq.",IF(Calc!AC11=0,"⚠ no brightness",IF(Calc!AD11&gt;0.1,"⚠ step &gt; 10% of wr",IF(AND($DB11&lt;&gt;"",$DB11&lt;&gt;"No FRET",N($O11)&lt;2),"⚠ FRET needs ≥ 2 colours",IF(AND($DB11&lt;&gt;"",$DB11&lt;&gt;"No FRET",N($DC11)+N($DD11)+N($DE11)=0),"⚠ FRET: set R","✔ OK")))))))</f>
        <v/>
      </c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7" t="str">
        <f aca="false">IF(OR($DT11="",$DT11="No FRET",N($DU11)&lt;=0,N($V11)&lt;=0),"",1/(1+($DU11/$V11)^6))</f>
        <v/>
      </c>
      <c r="DY11" s="27" t="str">
        <f aca="false">IF(OR($DT11="",$DT11="No FRET",N($DV11)&lt;=0,N($W11)&lt;=0),"",1/(1+($DV11/$W11)^6))</f>
        <v/>
      </c>
      <c r="DZ11" s="27" t="str">
        <f aca="false">IF(OR($DT11="",$DT11="No FRET",N($DW11)&lt;=0,N($X11)&lt;=0),"",1/(1+($DW11/$X11)^6))</f>
        <v/>
      </c>
      <c r="EA11" s="28" t="str">
        <f aca="false">IF(OR($A11="",N($DM11)&lt;=0),"",IF($I11&gt;0,$DM11/($G11*$H11*$I11)/1E-024/6.022E+023/0.000000001,""))</f>
        <v/>
      </c>
      <c r="EB11" s="29" t="str">
        <f aca="false">IF(Calc!AK11=0,"",IF(Calc!AI11&gt;=1,"✖ saturated (B ≥ freq.)",IF(Calc!AI11&gt;0.1,"⚠ B &gt; 10% of freq.",IF(Calc!AI11=0,"⚠ no brightness",IF(Calc!AJ11&gt;0.1,"⚠ step &gt; 10% of wr",IF(AND($DT11&lt;&gt;"",$DT11&lt;&gt;"No FRET",N($O11)&lt;2),"⚠ FRET needs ≥ 2 colours",IF(AND($DT11&lt;&gt;"",$DT11&lt;&gt;"No FRET",N($DU11)+N($DV11)+N($DW11)=0),"⚠ FRET: set R","✔ OK")))))))</f>
        <v/>
      </c>
      <c r="EC11" s="30" t="n">
        <f aca="false">IF($A11="","",SUM(Calc!G11,Calc!M11,Calc!S11,Calc!Y11,Calc!AE11,Calc!AK11))</f>
        <v>3</v>
      </c>
      <c r="ED11" s="30" t="n">
        <f aca="false">IF($A11="","",N($AA11)+N($AS11)+N($BK11)+N($CC11)+N($CU11)+N($DM11))</f>
        <v>1600</v>
      </c>
      <c r="EE11" s="31" t="n">
        <f aca="false">IF($A11="","",SUM(Calc!B11,Calc!H11,Calc!N11,Calc!T11,Calc!Z11,Calc!AF11))</f>
        <v>1007.97503652623</v>
      </c>
      <c r="EF11" s="31" t="n">
        <f aca="false">IF($A11="","",SUM(Calc!C11,Calc!I11,Calc!O11,Calc!U11,Calc!AA11,Calc!AG11))</f>
        <v>264.593447088137</v>
      </c>
      <c r="EG11" s="31" t="n">
        <f aca="false">IF($A11="","",SUM(Calc!D11,Calc!J11,Calc!P11,Calc!V11,Calc!AB11,Calc!AH11))</f>
        <v>346.491418805893</v>
      </c>
      <c r="EH11" s="27" t="n">
        <f aca="false">IF($A11="","",($EE11+$EF11+$EG11+IF($P11="Yes",N($Q11)*N($O11),0))*1000*$K11/1000000)</f>
        <v>48.571797072608</v>
      </c>
      <c r="EI11" s="28" t="n">
        <f aca="false">IF($A11="","",$EH11*1000000*12/1000000000)</f>
        <v>0.582861564871296</v>
      </c>
      <c r="EJ11" s="32" t="str">
        <f aca="false">IF($A11="","",IF($EC11=0,"⚠ no species entered",IF(((LEFT($AP11,1)="✖")+(LEFT($BH11,1)="✖")+(LEFT($BZ11,1)="✖")+(LEFT($CR11,1)="✖")+(LEFT($DJ11,1)="✖")+(LEFT($EB11,1)="✖"))&gt;0,"✖ "&amp;((LEFT($AP11,1)="✖")+(LEFT($BH11,1)="✖")+(LEFT($BZ11,1)="✖")+(LEFT($CR11,1)="✖")+(LEFT($DJ11,1)="✖")+(LEFT($EB11,1)="✖"))&amp;" species saturated - see the species checks",IF(MIN($G11,$H11)&lt;8*$T11,"⚠ box too small laterally (&lt; 8·wr)",IF(AND($I11&gt;0,$I11&lt;3*$U11),"⚠ box too small axially (&lt; 3·wz)",IF($EI11&gt;8,"⚠ &gt; 8 GB per file: shorten the duration and use several files",IF(((LEFT($AP11,1)="⚠")+(LEFT($BH11,1)="⚠")+(LEFT($BZ11,1)="⚠")+(LEFT($CR11,1)="⚠")+(LEFT($DJ11,1)="⚠")+(LEFT($EB11,1)="⚠"))&gt;0,"⚠ "&amp;((LEFT($AP11,1)="⚠")+(LEFT($BH11,1)="⚠")+(LEFT($BZ11,1)="⚠")+(LEFT($CR11,1)="⚠")+(LEFT($DJ11,1)="⚠")+(LEFT($EB11,1)="⚠"))&amp;" species with a warning","✔ OK")))))))</f>
        <v>✖ 3 species saturated - see the species checks</v>
      </c>
      <c r="EK11" s="25" t="n">
        <v>1</v>
      </c>
      <c r="EL11" s="25"/>
      <c r="EM11" s="25" t="s">
        <v>130</v>
      </c>
      <c r="EN11" s="25"/>
      <c r="EO11" s="25"/>
      <c r="EP11" s="25"/>
      <c r="EQ11" s="25"/>
      <c r="ER11" s="26" t="s">
        <v>206</v>
      </c>
    </row>
    <row r="12" customFormat="false" ht="35.05" hidden="false" customHeight="false" outlineLevel="0" collapsed="false">
      <c r="A12" s="25" t="s">
        <v>224</v>
      </c>
      <c r="B12" s="25" t="s">
        <v>225</v>
      </c>
      <c r="C12" s="26" t="s">
        <v>226</v>
      </c>
      <c r="D12" s="26" t="s">
        <v>213</v>
      </c>
      <c r="E12" s="25" t="s">
        <v>205</v>
      </c>
      <c r="F12" s="25" t="n">
        <v>3</v>
      </c>
      <c r="G12" s="25" t="n">
        <v>5000</v>
      </c>
      <c r="H12" s="25" t="n">
        <v>5000</v>
      </c>
      <c r="I12" s="25" t="n">
        <v>5000</v>
      </c>
      <c r="J12" s="25" t="n">
        <v>1000</v>
      </c>
      <c r="K12" s="25" t="n">
        <v>30</v>
      </c>
      <c r="L12" s="25" t="n">
        <v>1</v>
      </c>
      <c r="M12" s="25" t="n">
        <v>60</v>
      </c>
      <c r="N12" s="25" t="s">
        <v>74</v>
      </c>
      <c r="O12" s="25" t="n">
        <v>3</v>
      </c>
      <c r="P12" s="25" t="s">
        <v>195</v>
      </c>
      <c r="Q12" s="25" t="n">
        <v>0.2</v>
      </c>
      <c r="R12" s="25" t="s">
        <v>195</v>
      </c>
      <c r="S12" s="25" t="n">
        <v>250</v>
      </c>
      <c r="T12" s="25" t="n">
        <v>200</v>
      </c>
      <c r="U12" s="25" t="n">
        <v>1000</v>
      </c>
      <c r="V12" s="25" t="n">
        <v>63</v>
      </c>
      <c r="W12" s="25" t="n">
        <v>51</v>
      </c>
      <c r="X12" s="25" t="n">
        <v>68</v>
      </c>
      <c r="Y12" s="25" t="s">
        <v>137</v>
      </c>
      <c r="Z12" s="25" t="n">
        <v>35</v>
      </c>
      <c r="AA12" s="25" t="n">
        <v>100</v>
      </c>
      <c r="AB12" s="25" t="n">
        <v>1000</v>
      </c>
      <c r="AC12" s="25" t="n">
        <v>700</v>
      </c>
      <c r="AD12" s="25" t="n">
        <v>500</v>
      </c>
      <c r="AE12" s="25" t="n">
        <v>4</v>
      </c>
      <c r="AF12" s="25" t="n">
        <v>3</v>
      </c>
      <c r="AG12" s="25" t="n">
        <v>2</v>
      </c>
      <c r="AH12" s="25" t="s">
        <v>111</v>
      </c>
      <c r="AI12" s="25"/>
      <c r="AJ12" s="25"/>
      <c r="AK12" s="25"/>
      <c r="AL12" s="27" t="str">
        <f aca="false">IF(OR($AH12="",$AH12="No FRET",N($AI12)&lt;=0,N($V12)&lt;=0),"",1/(1+($AI12/$V12)^6))</f>
        <v/>
      </c>
      <c r="AM12" s="27" t="str">
        <f aca="false">IF(OR($AH12="",$AH12="No FRET",N($AJ12)&lt;=0,N($W12)&lt;=0),"",1/(1+($AJ12/$W12)^6))</f>
        <v/>
      </c>
      <c r="AN12" s="27" t="str">
        <f aca="false">IF(OR($AH12="",$AH12="No FRET",N($AK12)&lt;=0,N($X12)&lt;=0),"",1/(1+($AK12/$X12)^6))</f>
        <v/>
      </c>
      <c r="AO12" s="28" t="n">
        <f aca="false">IF(OR($A12="",N($AA12)&lt;=0),"",IF($I12&gt;0,$AA12/($G12*$H12*$I12)/1E-024/6.022E+023/0.000000001,""))</f>
        <v>1.3284623048821</v>
      </c>
      <c r="AP12" s="29" t="str">
        <f aca="false">IF(Calc!G12=0,"",IF(Calc!E12&gt;=1,"✖ saturated (B ≥ freq.)",IF(Calc!E12&gt;0.1,"⚠ B &gt; 10% of freq.",IF(Calc!E12=0,"⚠ no brightness",IF(Calc!F12&gt;0.1,"⚠ step &gt; 10% of wr",IF(AND($AH12&lt;&gt;"",$AH12&lt;&gt;"No FRET",N($O12)&lt;2),"⚠ FRET needs ≥ 2 colours",IF(AND($AH12&lt;&gt;"",$AH12&lt;&gt;"No FRET",N($AI12)+N($AJ12)+N($AK12)=0),"⚠ FRET: set R","✔ OK")))))))</f>
        <v>✖ saturated (B ≥ freq.)</v>
      </c>
      <c r="AQ12" s="25" t="s">
        <v>138</v>
      </c>
      <c r="AR12" s="25" t="n">
        <v>35</v>
      </c>
      <c r="AS12" s="25" t="n">
        <v>1000</v>
      </c>
      <c r="AT12" s="25" t="n">
        <v>1000</v>
      </c>
      <c r="AU12" s="25" t="n">
        <v>0</v>
      </c>
      <c r="AV12" s="25" t="n">
        <v>500</v>
      </c>
      <c r="AW12" s="25" t="n">
        <v>4</v>
      </c>
      <c r="AX12" s="25" t="n">
        <v>3</v>
      </c>
      <c r="AY12" s="25" t="n">
        <v>2</v>
      </c>
      <c r="AZ12" s="25" t="s">
        <v>111</v>
      </c>
      <c r="BA12" s="25"/>
      <c r="BB12" s="25"/>
      <c r="BC12" s="25"/>
      <c r="BD12" s="27" t="str">
        <f aca="false">IF(OR($AZ12="",$AZ12="No FRET",N($BA12)&lt;=0,N($V12)&lt;=0),"",1/(1+($BA12/$V12)^6))</f>
        <v/>
      </c>
      <c r="BE12" s="27" t="str">
        <f aca="false">IF(OR($AZ12="",$AZ12="No FRET",N($BB12)&lt;=0,N($W12)&lt;=0),"",1/(1+($BB12/$W12)^6))</f>
        <v/>
      </c>
      <c r="BF12" s="27" t="str">
        <f aca="false">IF(OR($AZ12="",$AZ12="No FRET",N($BC12)&lt;=0,N($X12)&lt;=0),"",1/(1+($BC12/$X12)^6))</f>
        <v/>
      </c>
      <c r="BG12" s="28" t="n">
        <f aca="false">IF(OR($A12="",N($AS12)&lt;=0),"",IF($I12&gt;0,$AS12/($G12*$H12*$I12)/1E-024/6.022E+023/0.000000001,""))</f>
        <v>13.284623048821</v>
      </c>
      <c r="BH12" s="29" t="str">
        <f aca="false">IF(Calc!M12=0,"",IF(Calc!K12&gt;=1,"✖ saturated (B ≥ freq.)",IF(Calc!K12&gt;0.1,"⚠ B &gt; 10% of freq.",IF(Calc!K12=0,"⚠ no brightness",IF(Calc!L12&gt;0.1,"⚠ step &gt; 10% of wr",IF(AND($AZ12&lt;&gt;"",$AZ12&lt;&gt;"No FRET",N($O12)&lt;2),"⚠ FRET needs ≥ 2 colours",IF(AND($AZ12&lt;&gt;"",$AZ12&lt;&gt;"No FRET",N($BA12)+N($BB12)+N($BC12)=0),"⚠ FRET: set R","✔ OK")))))))</f>
        <v>✖ saturated (B ≥ freq.)</v>
      </c>
      <c r="BI12" s="25" t="s">
        <v>139</v>
      </c>
      <c r="BJ12" s="25" t="n">
        <v>35</v>
      </c>
      <c r="BK12" s="25" t="n">
        <v>2000</v>
      </c>
      <c r="BL12" s="25" t="n">
        <v>2000</v>
      </c>
      <c r="BM12" s="25" t="n">
        <v>700</v>
      </c>
      <c r="BN12" s="25" t="n">
        <v>0</v>
      </c>
      <c r="BO12" s="25" t="n">
        <v>4</v>
      </c>
      <c r="BP12" s="25" t="n">
        <v>3</v>
      </c>
      <c r="BQ12" s="25" t="n">
        <v>2</v>
      </c>
      <c r="BR12" s="25" t="s">
        <v>111</v>
      </c>
      <c r="BS12" s="25"/>
      <c r="BT12" s="25"/>
      <c r="BU12" s="25"/>
      <c r="BV12" s="27" t="str">
        <f aca="false">IF(OR($BR12="",$BR12="No FRET",N($BS12)&lt;=0,N($V12)&lt;=0),"",1/(1+($BS12/$V12)^6))</f>
        <v/>
      </c>
      <c r="BW12" s="27" t="str">
        <f aca="false">IF(OR($BR12="",$BR12="No FRET",N($BT12)&lt;=0,N($W12)&lt;=0),"",1/(1+($BT12/$W12)^6))</f>
        <v/>
      </c>
      <c r="BX12" s="27" t="str">
        <f aca="false">IF(OR($BR12="",$BR12="No FRET",N($BU12)&lt;=0,N($X12)&lt;=0),"",1/(1+($BU12/$X12)^6))</f>
        <v/>
      </c>
      <c r="BY12" s="28" t="n">
        <f aca="false">IF(OR($A12="",N($BK12)&lt;=0),"",IF($I12&gt;0,$BK12/($G12*$H12*$I12)/1E-024/6.022E+023/0.000000001,""))</f>
        <v>26.569246097642</v>
      </c>
      <c r="BZ12" s="29" t="str">
        <f aca="false">IF(Calc!S12=0,"",IF(Calc!Q12&gt;=1,"✖ saturated (B ≥ freq.)",IF(Calc!Q12&gt;0.1,"⚠ B &gt; 10% of freq.",IF(Calc!Q12=0,"⚠ no brightness",IF(Calc!R12&gt;0.1,"⚠ step &gt; 10% of wr",IF(AND($BR12&lt;&gt;"",$BR12&lt;&gt;"No FRET",N($O12)&lt;2),"⚠ FRET needs ≥ 2 colours",IF(AND($BR12&lt;&gt;"",$BR12&lt;&gt;"No FRET",N($BS12)+N($BT12)+N($BU12)=0),"⚠ FRET: set R","✔ OK")))))))</f>
        <v>✖ saturated (B ≥ freq.)</v>
      </c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7" t="str">
        <f aca="false">IF(OR($CJ12="",$CJ12="No FRET",N($CK12)&lt;=0,N($V12)&lt;=0),"",1/(1+($CK12/$V12)^6))</f>
        <v/>
      </c>
      <c r="CO12" s="27" t="str">
        <f aca="false">IF(OR($CJ12="",$CJ12="No FRET",N($CL12)&lt;=0,N($W12)&lt;=0),"",1/(1+($CL12/$W12)^6))</f>
        <v/>
      </c>
      <c r="CP12" s="27" t="str">
        <f aca="false">IF(OR($CJ12="",$CJ12="No FRET",N($CM12)&lt;=0,N($X12)&lt;=0),"",1/(1+($CM12/$X12)^6))</f>
        <v/>
      </c>
      <c r="CQ12" s="28" t="str">
        <f aca="false">IF(OR($A12="",N($CC12)&lt;=0),"",IF($I12&gt;0,$CC12/($G12*$H12*$I12)/1E-024/6.022E+023/0.000000001,""))</f>
        <v/>
      </c>
      <c r="CR12" s="29" t="str">
        <f aca="false">IF(Calc!Y12=0,"",IF(Calc!W12&gt;=1,"✖ saturated (B ≥ freq.)",IF(Calc!W12&gt;0.1,"⚠ B &gt; 10% of freq.",IF(Calc!W12=0,"⚠ no brightness",IF(Calc!X12&gt;0.1,"⚠ step &gt; 10% of wr",IF(AND($CJ12&lt;&gt;"",$CJ12&lt;&gt;"No FRET",N($O12)&lt;2),"⚠ FRET needs ≥ 2 colours",IF(AND($CJ12&lt;&gt;"",$CJ12&lt;&gt;"No FRET",N($CK12)+N($CL12)+N($CM12)=0),"⚠ FRET: set R","✔ OK")))))))</f>
        <v/>
      </c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7" t="str">
        <f aca="false">IF(OR($DB12="",$DB12="No FRET",N($DC12)&lt;=0,N($V12)&lt;=0),"",1/(1+($DC12/$V12)^6))</f>
        <v/>
      </c>
      <c r="DG12" s="27" t="str">
        <f aca="false">IF(OR($DB12="",$DB12="No FRET",N($DD12)&lt;=0,N($W12)&lt;=0),"",1/(1+($DD12/$W12)^6))</f>
        <v/>
      </c>
      <c r="DH12" s="27" t="str">
        <f aca="false">IF(OR($DB12="",$DB12="No FRET",N($DE12)&lt;=0,N($X12)&lt;=0),"",1/(1+($DE12/$X12)^6))</f>
        <v/>
      </c>
      <c r="DI12" s="28" t="str">
        <f aca="false">IF(OR($A12="",N($CU12)&lt;=0),"",IF($I12&gt;0,$CU12/($G12*$H12*$I12)/1E-024/6.022E+023/0.000000001,""))</f>
        <v/>
      </c>
      <c r="DJ12" s="29" t="str">
        <f aca="false">IF(Calc!AE12=0,"",IF(Calc!AC12&gt;=1,"✖ saturated (B ≥ freq.)",IF(Calc!AC12&gt;0.1,"⚠ B &gt; 10% of freq.",IF(Calc!AC12=0,"⚠ no brightness",IF(Calc!AD12&gt;0.1,"⚠ step &gt; 10% of wr",IF(AND($DB12&lt;&gt;"",$DB12&lt;&gt;"No FRET",N($O12)&lt;2),"⚠ FRET needs ≥ 2 colours",IF(AND($DB12&lt;&gt;"",$DB12&lt;&gt;"No FRET",N($DC12)+N($DD12)+N($DE12)=0),"⚠ FRET: set R","✔ OK")))))))</f>
        <v/>
      </c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7" t="str">
        <f aca="false">IF(OR($DT12="",$DT12="No FRET",N($DU12)&lt;=0,N($V12)&lt;=0),"",1/(1+($DU12/$V12)^6))</f>
        <v/>
      </c>
      <c r="DY12" s="27" t="str">
        <f aca="false">IF(OR($DT12="",$DT12="No FRET",N($DV12)&lt;=0,N($W12)&lt;=0),"",1/(1+($DV12/$W12)^6))</f>
        <v/>
      </c>
      <c r="DZ12" s="27" t="str">
        <f aca="false">IF(OR($DT12="",$DT12="No FRET",N($DW12)&lt;=0,N($X12)&lt;=0),"",1/(1+($DW12/$X12)^6))</f>
        <v/>
      </c>
      <c r="EA12" s="28" t="str">
        <f aca="false">IF(OR($A12="",N($DM12)&lt;=0),"",IF($I12&gt;0,$DM12/($G12*$H12*$I12)/1E-024/6.022E+023/0.000000001,""))</f>
        <v/>
      </c>
      <c r="EB12" s="29" t="str">
        <f aca="false">IF(Calc!AK12=0,"",IF(Calc!AI12&gt;=1,"✖ saturated (B ≥ freq.)",IF(Calc!AI12&gt;0.1,"⚠ B &gt; 10% of freq.",IF(Calc!AI12=0,"⚠ no brightness",IF(Calc!AJ12&gt;0.1,"⚠ step &gt; 10% of wr",IF(AND($DT12&lt;&gt;"",$DT12&lt;&gt;"No FRET",N($O12)&lt;2),"⚠ FRET needs ≥ 2 colours",IF(AND($DT12&lt;&gt;"",$DT12&lt;&gt;"No FRET",N($DU12)+N($DV12)+N($DW12)=0),"⚠ FRET: set R","✔ OK")))))))</f>
        <v/>
      </c>
      <c r="EC12" s="30" t="n">
        <f aca="false">IF($A12="","",SUM(Calc!G12,Calc!M12,Calc!S12,Calc!Y12,Calc!AE12,Calc!AK12))</f>
        <v>3</v>
      </c>
      <c r="ED12" s="30" t="n">
        <f aca="false">IF($A12="","",N($AA12)+N($AS12)+N($BK12)+N($CC12)+N($CU12)+N($DM12))</f>
        <v>3100</v>
      </c>
      <c r="EE12" s="31" t="n">
        <f aca="false">IF($A12="","",SUM(Calc!B12,Calc!H12,Calc!N12,Calc!T12,Calc!Z12,Calc!AF12))</f>
        <v>3025.95776972885</v>
      </c>
      <c r="EF12" s="31" t="n">
        <f aca="false">IF($A12="","",SUM(Calc!C12,Calc!I12,Calc!O12,Calc!U12,Calc!AA12,Calc!AG12))</f>
        <v>926.077064808478</v>
      </c>
      <c r="EG12" s="31" t="n">
        <f aca="false">IF($A12="","",SUM(Calc!D12,Calc!J12,Calc!P12,Calc!V12,Calc!AB12,Calc!AH12))</f>
        <v>346.491418805893</v>
      </c>
      <c r="EH12" s="27" t="n">
        <f aca="false">IF($A12="","",($EE12+$EF12+$EG12+IF($P12="Yes",N($Q12)*N($O12),0))*1000*$K12/1000000)</f>
        <v>128.955787600297</v>
      </c>
      <c r="EI12" s="28" t="n">
        <f aca="false">IF($A12="","",$EH12*1000000*12/1000000000)</f>
        <v>1.54746945120356</v>
      </c>
      <c r="EJ12" s="32" t="str">
        <f aca="false">IF($A12="","",IF($EC12=0,"⚠ no species entered",IF(((LEFT($AP12,1)="✖")+(LEFT($BH12,1)="✖")+(LEFT($BZ12,1)="✖")+(LEFT($CR12,1)="✖")+(LEFT($DJ12,1)="✖")+(LEFT($EB12,1)="✖"))&gt;0,"✖ "&amp;((LEFT($AP12,1)="✖")+(LEFT($BH12,1)="✖")+(LEFT($BZ12,1)="✖")+(LEFT($CR12,1)="✖")+(LEFT($DJ12,1)="✖")+(LEFT($EB12,1)="✖"))&amp;" species saturated - see the species checks",IF(MIN($G12,$H12)&lt;8*$T12,"⚠ box too small laterally (&lt; 8·wr)",IF(AND($I12&gt;0,$I12&lt;3*$U12),"⚠ box too small axially (&lt; 3·wz)",IF($EI12&gt;8,"⚠ &gt; 8 GB per file: shorten the duration and use several files",IF(((LEFT($AP12,1)="⚠")+(LEFT($BH12,1)="⚠")+(LEFT($BZ12,1)="⚠")+(LEFT($CR12,1)="⚠")+(LEFT($DJ12,1)="⚠")+(LEFT($EB12,1)="⚠"))&gt;0,"⚠ "&amp;((LEFT($AP12,1)="⚠")+(LEFT($BH12,1)="⚠")+(LEFT($BZ12,1)="⚠")+(LEFT($CR12,1)="⚠")+(LEFT($DJ12,1)="⚠")+(LEFT($EB12,1)="⚠"))&amp;" species with a warning","✔ OK")))))))</f>
        <v>✖ 3 species saturated - see the species checks</v>
      </c>
      <c r="EK12" s="25" t="n">
        <v>1</v>
      </c>
      <c r="EL12" s="25"/>
      <c r="EM12" s="25" t="s">
        <v>130</v>
      </c>
      <c r="EN12" s="25"/>
      <c r="EO12" s="25"/>
      <c r="EP12" s="25"/>
      <c r="EQ12" s="25"/>
      <c r="ER12" s="26" t="s">
        <v>206</v>
      </c>
    </row>
    <row r="13" customFormat="false" ht="35.05" hidden="false" customHeight="false" outlineLevel="0" collapsed="false">
      <c r="A13" s="25" t="s">
        <v>227</v>
      </c>
      <c r="B13" s="25" t="s">
        <v>228</v>
      </c>
      <c r="C13" s="26"/>
      <c r="D13" s="26" t="s">
        <v>213</v>
      </c>
      <c r="E13" s="25" t="s">
        <v>205</v>
      </c>
      <c r="F13" s="25" t="n">
        <v>3</v>
      </c>
      <c r="G13" s="25" t="n">
        <v>5000</v>
      </c>
      <c r="H13" s="25" t="n">
        <v>5000</v>
      </c>
      <c r="I13" s="25" t="n">
        <v>5000</v>
      </c>
      <c r="J13" s="25" t="n">
        <v>1000</v>
      </c>
      <c r="K13" s="25" t="n">
        <v>30</v>
      </c>
      <c r="L13" s="25" t="n">
        <v>1</v>
      </c>
      <c r="M13" s="25" t="n">
        <v>60</v>
      </c>
      <c r="N13" s="25" t="s">
        <v>74</v>
      </c>
      <c r="O13" s="25" t="n">
        <v>3</v>
      </c>
      <c r="P13" s="25" t="s">
        <v>195</v>
      </c>
      <c r="Q13" s="25" t="n">
        <v>0.2</v>
      </c>
      <c r="R13" s="25" t="s">
        <v>195</v>
      </c>
      <c r="S13" s="25" t="n">
        <v>250</v>
      </c>
      <c r="T13" s="25" t="n">
        <v>200</v>
      </c>
      <c r="U13" s="25" t="n">
        <v>1000</v>
      </c>
      <c r="V13" s="25" t="n">
        <v>63</v>
      </c>
      <c r="W13" s="25" t="n">
        <v>51</v>
      </c>
      <c r="X13" s="25" t="n">
        <v>68</v>
      </c>
      <c r="Y13" s="25" t="s">
        <v>137</v>
      </c>
      <c r="Z13" s="25" t="n">
        <v>35</v>
      </c>
      <c r="AA13" s="25" t="n">
        <v>10</v>
      </c>
      <c r="AB13" s="25" t="n">
        <v>1000</v>
      </c>
      <c r="AC13" s="25" t="n">
        <v>700</v>
      </c>
      <c r="AD13" s="25" t="n">
        <v>500</v>
      </c>
      <c r="AE13" s="25" t="n">
        <v>4</v>
      </c>
      <c r="AF13" s="25" t="n">
        <v>3</v>
      </c>
      <c r="AG13" s="25" t="n">
        <v>2</v>
      </c>
      <c r="AH13" s="25" t="s">
        <v>111</v>
      </c>
      <c r="AI13" s="25"/>
      <c r="AJ13" s="25"/>
      <c r="AK13" s="25"/>
      <c r="AL13" s="27" t="str">
        <f aca="false">IF(OR($AH13="",$AH13="No FRET",N($AI13)&lt;=0,N($V13)&lt;=0),"",1/(1+($AI13/$V13)^6))</f>
        <v/>
      </c>
      <c r="AM13" s="27" t="str">
        <f aca="false">IF(OR($AH13="",$AH13="No FRET",N($AJ13)&lt;=0,N($W13)&lt;=0),"",1/(1+($AJ13/$W13)^6))</f>
        <v/>
      </c>
      <c r="AN13" s="27" t="str">
        <f aca="false">IF(OR($AH13="",$AH13="No FRET",N($AK13)&lt;=0,N($X13)&lt;=0),"",1/(1+($AK13/$X13)^6))</f>
        <v/>
      </c>
      <c r="AO13" s="28" t="n">
        <f aca="false">IF(OR($A13="",N($AA13)&lt;=0),"",IF($I13&gt;0,$AA13/($G13*$H13*$I13)/1E-024/6.022E+023/0.000000001,""))</f>
        <v>0.13284623048821</v>
      </c>
      <c r="AP13" s="29" t="str">
        <f aca="false">IF(Calc!G13=0,"",IF(Calc!E13&gt;=1,"✖ saturated (B ≥ freq.)",IF(Calc!E13&gt;0.1,"⚠ B &gt; 10% of freq.",IF(Calc!E13=0,"⚠ no brightness",IF(Calc!F13&gt;0.1,"⚠ step &gt; 10% of wr",IF(AND($AH13&lt;&gt;"",$AH13&lt;&gt;"No FRET",N($O13)&lt;2),"⚠ FRET needs ≥ 2 colours",IF(AND($AH13&lt;&gt;"",$AH13&lt;&gt;"No FRET",N($AI13)+N($AJ13)+N($AK13)=0),"⚠ FRET: set R","✔ OK")))))))</f>
        <v>✖ saturated (B ≥ freq.)</v>
      </c>
      <c r="AQ13" s="25" t="s">
        <v>138</v>
      </c>
      <c r="AR13" s="25" t="n">
        <v>35</v>
      </c>
      <c r="AS13" s="25" t="n">
        <v>10</v>
      </c>
      <c r="AT13" s="25" t="n">
        <v>1000</v>
      </c>
      <c r="AU13" s="25" t="n">
        <v>0</v>
      </c>
      <c r="AV13" s="25" t="n">
        <v>500</v>
      </c>
      <c r="AW13" s="25" t="n">
        <v>4</v>
      </c>
      <c r="AX13" s="25" t="n">
        <v>3</v>
      </c>
      <c r="AY13" s="25" t="n">
        <v>2</v>
      </c>
      <c r="AZ13" s="25" t="s">
        <v>111</v>
      </c>
      <c r="BA13" s="25"/>
      <c r="BB13" s="25"/>
      <c r="BC13" s="25"/>
      <c r="BD13" s="27" t="str">
        <f aca="false">IF(OR($AZ13="",$AZ13="No FRET",N($BA13)&lt;=0,N($V13)&lt;=0),"",1/(1+($BA13/$V13)^6))</f>
        <v/>
      </c>
      <c r="BE13" s="27" t="str">
        <f aca="false">IF(OR($AZ13="",$AZ13="No FRET",N($BB13)&lt;=0,N($W13)&lt;=0),"",1/(1+($BB13/$W13)^6))</f>
        <v/>
      </c>
      <c r="BF13" s="27" t="str">
        <f aca="false">IF(OR($AZ13="",$AZ13="No FRET",N($BC13)&lt;=0,N($X13)&lt;=0),"",1/(1+($BC13/$X13)^6))</f>
        <v/>
      </c>
      <c r="BG13" s="28" t="n">
        <f aca="false">IF(OR($A13="",N($AS13)&lt;=0),"",IF($I13&gt;0,$AS13/($G13*$H13*$I13)/1E-024/6.022E+023/0.000000001,""))</f>
        <v>0.13284623048821</v>
      </c>
      <c r="BH13" s="29" t="str">
        <f aca="false">IF(Calc!M13=0,"",IF(Calc!K13&gt;=1,"✖ saturated (B ≥ freq.)",IF(Calc!K13&gt;0.1,"⚠ B &gt; 10% of freq.",IF(Calc!K13=0,"⚠ no brightness",IF(Calc!L13&gt;0.1,"⚠ step &gt; 10% of wr",IF(AND($AZ13&lt;&gt;"",$AZ13&lt;&gt;"No FRET",N($O13)&lt;2),"⚠ FRET needs ≥ 2 colours",IF(AND($AZ13&lt;&gt;"",$AZ13&lt;&gt;"No FRET",N($BA13)+N($BB13)+N($BC13)=0),"⚠ FRET: set R","✔ OK")))))))</f>
        <v>✖ saturated (B ≥ freq.)</v>
      </c>
      <c r="BI13" s="25" t="s">
        <v>139</v>
      </c>
      <c r="BJ13" s="25" t="n">
        <v>35</v>
      </c>
      <c r="BK13" s="25" t="n">
        <v>10</v>
      </c>
      <c r="BL13" s="25" t="n">
        <v>2000</v>
      </c>
      <c r="BM13" s="25" t="n">
        <v>700</v>
      </c>
      <c r="BN13" s="25" t="n">
        <v>0</v>
      </c>
      <c r="BO13" s="25" t="n">
        <v>4</v>
      </c>
      <c r="BP13" s="25" t="n">
        <v>3</v>
      </c>
      <c r="BQ13" s="25" t="n">
        <v>2</v>
      </c>
      <c r="BR13" s="25" t="s">
        <v>111</v>
      </c>
      <c r="BS13" s="25"/>
      <c r="BT13" s="25"/>
      <c r="BU13" s="25"/>
      <c r="BV13" s="27" t="str">
        <f aca="false">IF(OR($BR13="",$BR13="No FRET",N($BS13)&lt;=0,N($V13)&lt;=0),"",1/(1+($BS13/$V13)^6))</f>
        <v/>
      </c>
      <c r="BW13" s="27" t="str">
        <f aca="false">IF(OR($BR13="",$BR13="No FRET",N($BT13)&lt;=0,N($W13)&lt;=0),"",1/(1+($BT13/$W13)^6))</f>
        <v/>
      </c>
      <c r="BX13" s="27" t="str">
        <f aca="false">IF(OR($BR13="",$BR13="No FRET",N($BU13)&lt;=0,N($X13)&lt;=0),"",1/(1+($BU13/$X13)^6))</f>
        <v/>
      </c>
      <c r="BY13" s="28" t="n">
        <f aca="false">IF(OR($A13="",N($BK13)&lt;=0),"",IF($I13&gt;0,$BK13/($G13*$H13*$I13)/1E-024/6.022E+023/0.000000001,""))</f>
        <v>0.13284623048821</v>
      </c>
      <c r="BZ13" s="29" t="str">
        <f aca="false">IF(Calc!S13=0,"",IF(Calc!Q13&gt;=1,"✖ saturated (B ≥ freq.)",IF(Calc!Q13&gt;0.1,"⚠ B &gt; 10% of freq.",IF(Calc!Q13=0,"⚠ no brightness",IF(Calc!R13&gt;0.1,"⚠ step &gt; 10% of wr",IF(AND($BR13&lt;&gt;"",$BR13&lt;&gt;"No FRET",N($O13)&lt;2),"⚠ FRET needs ≥ 2 colours",IF(AND($BR13&lt;&gt;"",$BR13&lt;&gt;"No FRET",N($BS13)+N($BT13)+N($BU13)=0),"⚠ FRET: set R","✔ OK")))))))</f>
        <v>✖ saturated (B ≥ freq.)</v>
      </c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7" t="str">
        <f aca="false">IF(OR($CJ13="",$CJ13="No FRET",N($CK13)&lt;=0,N($V13)&lt;=0),"",1/(1+($CK13/$V13)^6))</f>
        <v/>
      </c>
      <c r="CO13" s="27" t="str">
        <f aca="false">IF(OR($CJ13="",$CJ13="No FRET",N($CL13)&lt;=0,N($W13)&lt;=0),"",1/(1+($CL13/$W13)^6))</f>
        <v/>
      </c>
      <c r="CP13" s="27" t="str">
        <f aca="false">IF(OR($CJ13="",$CJ13="No FRET",N($CM13)&lt;=0,N($X13)&lt;=0),"",1/(1+($CM13/$X13)^6))</f>
        <v/>
      </c>
      <c r="CQ13" s="28" t="str">
        <f aca="false">IF(OR($A13="",N($CC13)&lt;=0),"",IF($I13&gt;0,$CC13/($G13*$H13*$I13)/1E-024/6.022E+023/0.000000001,""))</f>
        <v/>
      </c>
      <c r="CR13" s="29" t="str">
        <f aca="false">IF(Calc!Y13=0,"",IF(Calc!W13&gt;=1,"✖ saturated (B ≥ freq.)",IF(Calc!W13&gt;0.1,"⚠ B &gt; 10% of freq.",IF(Calc!W13=0,"⚠ no brightness",IF(Calc!X13&gt;0.1,"⚠ step &gt; 10% of wr",IF(AND($CJ13&lt;&gt;"",$CJ13&lt;&gt;"No FRET",N($O13)&lt;2),"⚠ FRET needs ≥ 2 colours",IF(AND($CJ13&lt;&gt;"",$CJ13&lt;&gt;"No FRET",N($CK13)+N($CL13)+N($CM13)=0),"⚠ FRET: set R","✔ OK")))))))</f>
        <v/>
      </c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7" t="str">
        <f aca="false">IF(OR($DB13="",$DB13="No FRET",N($DC13)&lt;=0,N($V13)&lt;=0),"",1/(1+($DC13/$V13)^6))</f>
        <v/>
      </c>
      <c r="DG13" s="27" t="str">
        <f aca="false">IF(OR($DB13="",$DB13="No FRET",N($DD13)&lt;=0,N($W13)&lt;=0),"",1/(1+($DD13/$W13)^6))</f>
        <v/>
      </c>
      <c r="DH13" s="27" t="str">
        <f aca="false">IF(OR($DB13="",$DB13="No FRET",N($DE13)&lt;=0,N($X13)&lt;=0),"",1/(1+($DE13/$X13)^6))</f>
        <v/>
      </c>
      <c r="DI13" s="28" t="str">
        <f aca="false">IF(OR($A13="",N($CU13)&lt;=0),"",IF($I13&gt;0,$CU13/($G13*$H13*$I13)/1E-024/6.022E+023/0.000000001,""))</f>
        <v/>
      </c>
      <c r="DJ13" s="29" t="str">
        <f aca="false">IF(Calc!AE13=0,"",IF(Calc!AC13&gt;=1,"✖ saturated (B ≥ freq.)",IF(Calc!AC13&gt;0.1,"⚠ B &gt; 10% of freq.",IF(Calc!AC13=0,"⚠ no brightness",IF(Calc!AD13&gt;0.1,"⚠ step &gt; 10% of wr",IF(AND($DB13&lt;&gt;"",$DB13&lt;&gt;"No FRET",N($O13)&lt;2),"⚠ FRET needs ≥ 2 colours",IF(AND($DB13&lt;&gt;"",$DB13&lt;&gt;"No FRET",N($DC13)+N($DD13)+N($DE13)=0),"⚠ FRET: set R","✔ OK")))))))</f>
        <v/>
      </c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7" t="str">
        <f aca="false">IF(OR($DT13="",$DT13="No FRET",N($DU13)&lt;=0,N($V13)&lt;=0),"",1/(1+($DU13/$V13)^6))</f>
        <v/>
      </c>
      <c r="DY13" s="27" t="str">
        <f aca="false">IF(OR($DT13="",$DT13="No FRET",N($DV13)&lt;=0,N($W13)&lt;=0),"",1/(1+($DV13/$W13)^6))</f>
        <v/>
      </c>
      <c r="DZ13" s="27" t="str">
        <f aca="false">IF(OR($DT13="",$DT13="No FRET",N($DW13)&lt;=0,N($X13)&lt;=0),"",1/(1+($DW13/$X13)^6))</f>
        <v/>
      </c>
      <c r="EA13" s="28" t="str">
        <f aca="false">IF(OR($A13="",N($DM13)&lt;=0),"",IF($I13&gt;0,$DM13/($G13*$H13*$I13)/1E-024/6.022E+023/0.000000001,""))</f>
        <v/>
      </c>
      <c r="EB13" s="29" t="str">
        <f aca="false">IF(Calc!AK13=0,"",IF(Calc!AI13&gt;=1,"✖ saturated (B ≥ freq.)",IF(Calc!AI13&gt;0.1,"⚠ B &gt; 10% of freq.",IF(Calc!AI13=0,"⚠ no brightness",IF(Calc!AJ13&gt;0.1,"⚠ step &gt; 10% of wr",IF(AND($DT13&lt;&gt;"",$DT13&lt;&gt;"No FRET",N($O13)&lt;2),"⚠ FRET needs ≥ 2 colours",IF(AND($DT13&lt;&gt;"",$DT13&lt;&gt;"No FRET",N($DU13)+N($DV13)+N($DW13)=0),"⚠ FRET: set R","✔ OK")))))))</f>
        <v/>
      </c>
      <c r="EC13" s="30" t="n">
        <f aca="false">IF($A13="","",SUM(Calc!G13,Calc!M13,Calc!S13,Calc!Y13,Calc!AE13,Calc!AK13))</f>
        <v>3</v>
      </c>
      <c r="ED13" s="30" t="n">
        <f aca="false">IF($A13="","",N($AA13)+N($AS13)+N($BK13)+N($CC13)+N($CU13)+N($DM13))</f>
        <v>30</v>
      </c>
      <c r="EE13" s="31" t="n">
        <f aca="false">IF($A13="","",SUM(Calc!B13,Calc!H13,Calc!N13,Calc!T13,Calc!Z13,Calc!AF13))</f>
        <v>24.2645626171632</v>
      </c>
      <c r="EF13" s="31" t="n">
        <f aca="false">IF($A13="","",SUM(Calc!C13,Calc!I13,Calc!O13,Calc!U13,Calc!AA13,Calc!AG13))</f>
        <v>8.81978156960456</v>
      </c>
      <c r="EG13" s="31" t="n">
        <f aca="false">IF($A13="","",SUM(Calc!D13,Calc!J13,Calc!P13,Calc!V13,Calc!AB13,Calc!AH13))</f>
        <v>6.29984397828897</v>
      </c>
      <c r="EH13" s="27" t="n">
        <f aca="false">IF($A13="","",($EE13+$EF13+$EG13+IF($P13="Yes",N($Q13)*N($O13),0))*1000*$K13/1000000)</f>
        <v>1.1815256449517</v>
      </c>
      <c r="EI13" s="28" t="n">
        <f aca="false">IF($A13="","",$EH13*1000000*12/1000000000)</f>
        <v>0.0141783077394204</v>
      </c>
      <c r="EJ13" s="32" t="str">
        <f aca="false">IF($A13="","",IF($EC13=0,"⚠ no species entered",IF(((LEFT($AP13,1)="✖")+(LEFT($BH13,1)="✖")+(LEFT($BZ13,1)="✖")+(LEFT($CR13,1)="✖")+(LEFT($DJ13,1)="✖")+(LEFT($EB13,1)="✖"))&gt;0,"✖ "&amp;((LEFT($AP13,1)="✖")+(LEFT($BH13,1)="✖")+(LEFT($BZ13,1)="✖")+(LEFT($CR13,1)="✖")+(LEFT($DJ13,1)="✖")+(LEFT($EB13,1)="✖"))&amp;" species saturated - see the species checks",IF(MIN($G13,$H13)&lt;8*$T13,"⚠ box too small laterally (&lt; 8·wr)",IF(AND($I13&gt;0,$I13&lt;3*$U13),"⚠ box too small axially (&lt; 3·wz)",IF($EI13&gt;8,"⚠ &gt; 8 GB per file: shorten the duration and use several files",IF(((LEFT($AP13,1)="⚠")+(LEFT($BH13,1)="⚠")+(LEFT($BZ13,1)="⚠")+(LEFT($CR13,1)="⚠")+(LEFT($DJ13,1)="⚠")+(LEFT($EB13,1)="⚠"))&gt;0,"⚠ "&amp;((LEFT($AP13,1)="⚠")+(LEFT($BH13,1)="⚠")+(LEFT($BZ13,1)="⚠")+(LEFT($CR13,1)="⚠")+(LEFT($DJ13,1)="⚠")+(LEFT($EB13,1)="⚠"))&amp;" species with a warning","✔ OK")))))))</f>
        <v>✖ 3 species saturated - see the species checks</v>
      </c>
      <c r="EK13" s="25" t="n">
        <v>1</v>
      </c>
      <c r="EL13" s="25"/>
      <c r="EM13" s="25" t="s">
        <v>130</v>
      </c>
      <c r="EN13" s="25"/>
      <c r="EO13" s="25"/>
      <c r="EP13" s="25"/>
      <c r="EQ13" s="25"/>
      <c r="ER13" s="26" t="s">
        <v>206</v>
      </c>
    </row>
    <row r="14" customFormat="false" ht="35.05" hidden="false" customHeight="false" outlineLevel="0" collapsed="false">
      <c r="A14" s="25" t="s">
        <v>229</v>
      </c>
      <c r="B14" s="25" t="s">
        <v>230</v>
      </c>
      <c r="C14" s="26"/>
      <c r="D14" s="26" t="s">
        <v>213</v>
      </c>
      <c r="E14" s="25" t="s">
        <v>205</v>
      </c>
      <c r="F14" s="25" t="n">
        <v>3</v>
      </c>
      <c r="G14" s="25" t="n">
        <v>5000</v>
      </c>
      <c r="H14" s="25" t="n">
        <v>5000</v>
      </c>
      <c r="I14" s="25" t="n">
        <v>5000</v>
      </c>
      <c r="J14" s="25" t="n">
        <v>1000</v>
      </c>
      <c r="K14" s="25" t="n">
        <v>5</v>
      </c>
      <c r="L14" s="25" t="n">
        <v>1</v>
      </c>
      <c r="M14" s="25" t="n">
        <v>60</v>
      </c>
      <c r="N14" s="25" t="s">
        <v>74</v>
      </c>
      <c r="O14" s="25" t="n">
        <v>3</v>
      </c>
      <c r="P14" s="25" t="s">
        <v>195</v>
      </c>
      <c r="Q14" s="25" t="n">
        <v>0.2</v>
      </c>
      <c r="R14" s="25" t="s">
        <v>195</v>
      </c>
      <c r="S14" s="25" t="n">
        <v>250</v>
      </c>
      <c r="T14" s="25" t="n">
        <v>200</v>
      </c>
      <c r="U14" s="25" t="n">
        <v>1000</v>
      </c>
      <c r="V14" s="25" t="n">
        <v>63</v>
      </c>
      <c r="W14" s="25" t="n">
        <v>51</v>
      </c>
      <c r="X14" s="25" t="n">
        <v>68</v>
      </c>
      <c r="Y14" s="25" t="s">
        <v>137</v>
      </c>
      <c r="Z14" s="25" t="n">
        <v>35</v>
      </c>
      <c r="AA14" s="25" t="n">
        <v>1000</v>
      </c>
      <c r="AB14" s="25" t="n">
        <v>1000</v>
      </c>
      <c r="AC14" s="25" t="n">
        <v>700</v>
      </c>
      <c r="AD14" s="25" t="n">
        <v>500</v>
      </c>
      <c r="AE14" s="25" t="n">
        <v>4</v>
      </c>
      <c r="AF14" s="25" t="n">
        <v>3</v>
      </c>
      <c r="AG14" s="25" t="n">
        <v>2</v>
      </c>
      <c r="AH14" s="25" t="s">
        <v>111</v>
      </c>
      <c r="AI14" s="25"/>
      <c r="AJ14" s="25"/>
      <c r="AK14" s="25"/>
      <c r="AL14" s="27" t="str">
        <f aca="false">IF(OR($AH14="",$AH14="No FRET",N($AI14)&lt;=0,N($V14)&lt;=0),"",1/(1+($AI14/$V14)^6))</f>
        <v/>
      </c>
      <c r="AM14" s="27" t="str">
        <f aca="false">IF(OR($AH14="",$AH14="No FRET",N($AJ14)&lt;=0,N($W14)&lt;=0),"",1/(1+($AJ14/$W14)^6))</f>
        <v/>
      </c>
      <c r="AN14" s="27" t="str">
        <f aca="false">IF(OR($AH14="",$AH14="No FRET",N($AK14)&lt;=0,N($X14)&lt;=0),"",1/(1+($AK14/$X14)^6))</f>
        <v/>
      </c>
      <c r="AO14" s="28" t="n">
        <f aca="false">IF(OR($A14="",N($AA14)&lt;=0),"",IF($I14&gt;0,$AA14/($G14*$H14*$I14)/1E-024/6.022E+023/0.000000001,""))</f>
        <v>13.284623048821</v>
      </c>
      <c r="AP14" s="29" t="str">
        <f aca="false">IF(Calc!G14=0,"",IF(Calc!E14&gt;=1,"✖ saturated (B ≥ freq.)",IF(Calc!E14&gt;0.1,"⚠ B &gt; 10% of freq.",IF(Calc!E14=0,"⚠ no brightness",IF(Calc!F14&gt;0.1,"⚠ step &gt; 10% of wr",IF(AND($AH14&lt;&gt;"",$AH14&lt;&gt;"No FRET",N($O14)&lt;2),"⚠ FRET needs ≥ 2 colours",IF(AND($AH14&lt;&gt;"",$AH14&lt;&gt;"No FRET",N($AI14)+N($AJ14)+N($AK14)=0),"⚠ FRET: set R","✔ OK")))))))</f>
        <v>✖ saturated (B ≥ freq.)</v>
      </c>
      <c r="AQ14" s="25" t="s">
        <v>138</v>
      </c>
      <c r="AR14" s="25" t="n">
        <v>35</v>
      </c>
      <c r="AS14" s="25" t="n">
        <v>1000</v>
      </c>
      <c r="AT14" s="25" t="n">
        <v>1000</v>
      </c>
      <c r="AU14" s="25" t="n">
        <v>0</v>
      </c>
      <c r="AV14" s="25" t="n">
        <v>500</v>
      </c>
      <c r="AW14" s="25" t="n">
        <v>4</v>
      </c>
      <c r="AX14" s="25" t="n">
        <v>3</v>
      </c>
      <c r="AY14" s="25" t="n">
        <v>2</v>
      </c>
      <c r="AZ14" s="25" t="s">
        <v>111</v>
      </c>
      <c r="BA14" s="25"/>
      <c r="BB14" s="25"/>
      <c r="BC14" s="25"/>
      <c r="BD14" s="27" t="str">
        <f aca="false">IF(OR($AZ14="",$AZ14="No FRET",N($BA14)&lt;=0,N($V14)&lt;=0),"",1/(1+($BA14/$V14)^6))</f>
        <v/>
      </c>
      <c r="BE14" s="27" t="str">
        <f aca="false">IF(OR($AZ14="",$AZ14="No FRET",N($BB14)&lt;=0,N($W14)&lt;=0),"",1/(1+($BB14/$W14)^6))</f>
        <v/>
      </c>
      <c r="BF14" s="27" t="str">
        <f aca="false">IF(OR($AZ14="",$AZ14="No FRET",N($BC14)&lt;=0,N($X14)&lt;=0),"",1/(1+($BC14/$X14)^6))</f>
        <v/>
      </c>
      <c r="BG14" s="28" t="n">
        <f aca="false">IF(OR($A14="",N($AS14)&lt;=0),"",IF($I14&gt;0,$AS14/($G14*$H14*$I14)/1E-024/6.022E+023/0.000000001,""))</f>
        <v>13.284623048821</v>
      </c>
      <c r="BH14" s="29" t="str">
        <f aca="false">IF(Calc!M14=0,"",IF(Calc!K14&gt;=1,"✖ saturated (B ≥ freq.)",IF(Calc!K14&gt;0.1,"⚠ B &gt; 10% of freq.",IF(Calc!K14=0,"⚠ no brightness",IF(Calc!L14&gt;0.1,"⚠ step &gt; 10% of wr",IF(AND($AZ14&lt;&gt;"",$AZ14&lt;&gt;"No FRET",N($O14)&lt;2),"⚠ FRET needs ≥ 2 colours",IF(AND($AZ14&lt;&gt;"",$AZ14&lt;&gt;"No FRET",N($BA14)+N($BB14)+N($BC14)=0),"⚠ FRET: set R","✔ OK")))))))</f>
        <v>✖ saturated (B ≥ freq.)</v>
      </c>
      <c r="BI14" s="25" t="s">
        <v>139</v>
      </c>
      <c r="BJ14" s="25" t="n">
        <v>35</v>
      </c>
      <c r="BK14" s="25" t="n">
        <v>1000</v>
      </c>
      <c r="BL14" s="25" t="n">
        <v>2000</v>
      </c>
      <c r="BM14" s="25" t="n">
        <v>700</v>
      </c>
      <c r="BN14" s="25" t="n">
        <v>0</v>
      </c>
      <c r="BO14" s="25" t="n">
        <v>4</v>
      </c>
      <c r="BP14" s="25" t="n">
        <v>3</v>
      </c>
      <c r="BQ14" s="25" t="n">
        <v>2</v>
      </c>
      <c r="BR14" s="25" t="s">
        <v>111</v>
      </c>
      <c r="BS14" s="25"/>
      <c r="BT14" s="25"/>
      <c r="BU14" s="25"/>
      <c r="BV14" s="27" t="str">
        <f aca="false">IF(OR($BR14="",$BR14="No FRET",N($BS14)&lt;=0,N($V14)&lt;=0),"",1/(1+($BS14/$V14)^6))</f>
        <v/>
      </c>
      <c r="BW14" s="27" t="str">
        <f aca="false">IF(OR($BR14="",$BR14="No FRET",N($BT14)&lt;=0,N($W14)&lt;=0),"",1/(1+($BT14/$W14)^6))</f>
        <v/>
      </c>
      <c r="BX14" s="27" t="str">
        <f aca="false">IF(OR($BR14="",$BR14="No FRET",N($BU14)&lt;=0,N($X14)&lt;=0),"",1/(1+($BU14/$X14)^6))</f>
        <v/>
      </c>
      <c r="BY14" s="28" t="n">
        <f aca="false">IF(OR($A14="",N($BK14)&lt;=0),"",IF($I14&gt;0,$BK14/($G14*$H14*$I14)/1E-024/6.022E+023/0.000000001,""))</f>
        <v>13.284623048821</v>
      </c>
      <c r="BZ14" s="29" t="str">
        <f aca="false">IF(Calc!S14=0,"",IF(Calc!Q14&gt;=1,"✖ saturated (B ≥ freq.)",IF(Calc!Q14&gt;0.1,"⚠ B &gt; 10% of freq.",IF(Calc!Q14=0,"⚠ no brightness",IF(Calc!R14&gt;0.1,"⚠ step &gt; 10% of wr",IF(AND($BR14&lt;&gt;"",$BR14&lt;&gt;"No FRET",N($O14)&lt;2),"⚠ FRET needs ≥ 2 colours",IF(AND($BR14&lt;&gt;"",$BR14&lt;&gt;"No FRET",N($BS14)+N($BT14)+N($BU14)=0),"⚠ FRET: set R","✔ OK")))))))</f>
        <v>✖ saturated (B ≥ freq.)</v>
      </c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7" t="str">
        <f aca="false">IF(OR($CJ14="",$CJ14="No FRET",N($CK14)&lt;=0,N($V14)&lt;=0),"",1/(1+($CK14/$V14)^6))</f>
        <v/>
      </c>
      <c r="CO14" s="27" t="str">
        <f aca="false">IF(OR($CJ14="",$CJ14="No FRET",N($CL14)&lt;=0,N($W14)&lt;=0),"",1/(1+($CL14/$W14)^6))</f>
        <v/>
      </c>
      <c r="CP14" s="27" t="str">
        <f aca="false">IF(OR($CJ14="",$CJ14="No FRET",N($CM14)&lt;=0,N($X14)&lt;=0),"",1/(1+($CM14/$X14)^6))</f>
        <v/>
      </c>
      <c r="CQ14" s="28" t="str">
        <f aca="false">IF(OR($A14="",N($CC14)&lt;=0),"",IF($I14&gt;0,$CC14/($G14*$H14*$I14)/1E-024/6.022E+023/0.000000001,""))</f>
        <v/>
      </c>
      <c r="CR14" s="29" t="str">
        <f aca="false">IF(Calc!Y14=0,"",IF(Calc!W14&gt;=1,"✖ saturated (B ≥ freq.)",IF(Calc!W14&gt;0.1,"⚠ B &gt; 10% of freq.",IF(Calc!W14=0,"⚠ no brightness",IF(Calc!X14&gt;0.1,"⚠ step &gt; 10% of wr",IF(AND($CJ14&lt;&gt;"",$CJ14&lt;&gt;"No FRET",N($O14)&lt;2),"⚠ FRET needs ≥ 2 colours",IF(AND($CJ14&lt;&gt;"",$CJ14&lt;&gt;"No FRET",N($CK14)+N($CL14)+N($CM14)=0),"⚠ FRET: set R","✔ OK")))))))</f>
        <v/>
      </c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7" t="str">
        <f aca="false">IF(OR($DB14="",$DB14="No FRET",N($DC14)&lt;=0,N($V14)&lt;=0),"",1/(1+($DC14/$V14)^6))</f>
        <v/>
      </c>
      <c r="DG14" s="27" t="str">
        <f aca="false">IF(OR($DB14="",$DB14="No FRET",N($DD14)&lt;=0,N($W14)&lt;=0),"",1/(1+($DD14/$W14)^6))</f>
        <v/>
      </c>
      <c r="DH14" s="27" t="str">
        <f aca="false">IF(OR($DB14="",$DB14="No FRET",N($DE14)&lt;=0,N($X14)&lt;=0),"",1/(1+($DE14/$X14)^6))</f>
        <v/>
      </c>
      <c r="DI14" s="28" t="str">
        <f aca="false">IF(OR($A14="",N($CU14)&lt;=0),"",IF($I14&gt;0,$CU14/($G14*$H14*$I14)/1E-024/6.022E+023/0.000000001,""))</f>
        <v/>
      </c>
      <c r="DJ14" s="29" t="str">
        <f aca="false">IF(Calc!AE14=0,"",IF(Calc!AC14&gt;=1,"✖ saturated (B ≥ freq.)",IF(Calc!AC14&gt;0.1,"⚠ B &gt; 10% of freq.",IF(Calc!AC14=0,"⚠ no brightness",IF(Calc!AD14&gt;0.1,"⚠ step &gt; 10% of wr",IF(AND($DB14&lt;&gt;"",$DB14&lt;&gt;"No FRET",N($O14)&lt;2),"⚠ FRET needs ≥ 2 colours",IF(AND($DB14&lt;&gt;"",$DB14&lt;&gt;"No FRET",N($DC14)+N($DD14)+N($DE14)=0),"⚠ FRET: set R","✔ OK")))))))</f>
        <v/>
      </c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7" t="str">
        <f aca="false">IF(OR($DT14="",$DT14="No FRET",N($DU14)&lt;=0,N($V14)&lt;=0),"",1/(1+($DU14/$V14)^6))</f>
        <v/>
      </c>
      <c r="DY14" s="27" t="str">
        <f aca="false">IF(OR($DT14="",$DT14="No FRET",N($DV14)&lt;=0,N($W14)&lt;=0),"",1/(1+($DV14/$W14)^6))</f>
        <v/>
      </c>
      <c r="DZ14" s="27" t="str">
        <f aca="false">IF(OR($DT14="",$DT14="No FRET",N($DW14)&lt;=0,N($X14)&lt;=0),"",1/(1+($DW14/$X14)^6))</f>
        <v/>
      </c>
      <c r="EA14" s="28" t="str">
        <f aca="false">IF(OR($A14="",N($DM14)&lt;=0),"",IF($I14&gt;0,$DM14/($G14*$H14*$I14)/1E-024/6.022E+023/0.000000001,""))</f>
        <v/>
      </c>
      <c r="EB14" s="29" t="str">
        <f aca="false">IF(Calc!AK14=0,"",IF(Calc!AI14&gt;=1,"✖ saturated (B ≥ freq.)",IF(Calc!AI14&gt;0.1,"⚠ B &gt; 10% of freq.",IF(Calc!AI14=0,"⚠ no brightness",IF(Calc!AJ14&gt;0.1,"⚠ step &gt; 10% of wr",IF(AND($DT14&lt;&gt;"",$DT14&lt;&gt;"No FRET",N($O14)&lt;2),"⚠ FRET needs ≥ 2 colours",IF(AND($DT14&lt;&gt;"",$DT14&lt;&gt;"No FRET",N($DU14)+N($DV14)+N($DW14)=0),"⚠ FRET: set R","✔ OK")))))))</f>
        <v/>
      </c>
      <c r="EC14" s="30" t="n">
        <f aca="false">IF($A14="","",SUM(Calc!G14,Calc!M14,Calc!S14,Calc!Y14,Calc!AE14,Calc!AK14))</f>
        <v>3</v>
      </c>
      <c r="ED14" s="30" t="n">
        <f aca="false">IF($A14="","",N($AA14)+N($AS14)+N($BK14)+N($CC14)+N($CU14)+N($DM14))</f>
        <v>3000</v>
      </c>
      <c r="EE14" s="31" t="n">
        <f aca="false">IF($A14="","",SUM(Calc!B14,Calc!H14,Calc!N14,Calc!T14,Calc!Z14,Calc!AF14))</f>
        <v>2426.45626171632</v>
      </c>
      <c r="EF14" s="31" t="n">
        <f aca="false">IF($A14="","",SUM(Calc!C14,Calc!I14,Calc!O14,Calc!U14,Calc!AA14,Calc!AG14))</f>
        <v>881.978156960456</v>
      </c>
      <c r="EG14" s="31" t="n">
        <f aca="false">IF($A14="","",SUM(Calc!D14,Calc!J14,Calc!P14,Calc!V14,Calc!AB14,Calc!AH14))</f>
        <v>629.984397828897</v>
      </c>
      <c r="EH14" s="27" t="n">
        <f aca="false">IF($A14="","",($EE14+$EF14+$EG14+IF($P14="Yes",N($Q14)*N($O14),0))*1000*$K14/1000000)</f>
        <v>19.6920940825284</v>
      </c>
      <c r="EI14" s="28" t="n">
        <f aca="false">IF($A14="","",$EH14*1000000*12/1000000000)</f>
        <v>0.236305128990341</v>
      </c>
      <c r="EJ14" s="32" t="str">
        <f aca="false">IF($A14="","",IF($EC14=0,"⚠ no species entered",IF(((LEFT($AP14,1)="✖")+(LEFT($BH14,1)="✖")+(LEFT($BZ14,1)="✖")+(LEFT($CR14,1)="✖")+(LEFT($DJ14,1)="✖")+(LEFT($EB14,1)="✖"))&gt;0,"✖ "&amp;((LEFT($AP14,1)="✖")+(LEFT($BH14,1)="✖")+(LEFT($BZ14,1)="✖")+(LEFT($CR14,1)="✖")+(LEFT($DJ14,1)="✖")+(LEFT($EB14,1)="✖"))&amp;" species saturated - see the species checks",IF(MIN($G14,$H14)&lt;8*$T14,"⚠ box too small laterally (&lt; 8·wr)",IF(AND($I14&gt;0,$I14&lt;3*$U14),"⚠ box too small axially (&lt; 3·wz)",IF($EI14&gt;8,"⚠ &gt; 8 GB per file: shorten the duration and use several files",IF(((LEFT($AP14,1)="⚠")+(LEFT($BH14,1)="⚠")+(LEFT($BZ14,1)="⚠")+(LEFT($CR14,1)="⚠")+(LEFT($DJ14,1)="⚠")+(LEFT($EB14,1)="⚠"))&gt;0,"⚠ "&amp;((LEFT($AP14,1)="⚠")+(LEFT($BH14,1)="⚠")+(LEFT($BZ14,1)="⚠")+(LEFT($CR14,1)="⚠")+(LEFT($DJ14,1)="⚠")+(LEFT($EB14,1)="⚠"))&amp;" species with a warning","✔ OK")))))))</f>
        <v>✖ 3 species saturated - see the species checks</v>
      </c>
      <c r="EK14" s="25" t="n">
        <v>1</v>
      </c>
      <c r="EL14" s="25"/>
      <c r="EM14" s="25" t="s">
        <v>130</v>
      </c>
      <c r="EN14" s="25"/>
      <c r="EO14" s="25"/>
      <c r="EP14" s="25"/>
      <c r="EQ14" s="25"/>
      <c r="ER14" s="26" t="s">
        <v>206</v>
      </c>
    </row>
    <row r="15" customFormat="false" ht="46.25" hidden="false" customHeight="false" outlineLevel="0" collapsed="false">
      <c r="A15" s="25" t="s">
        <v>231</v>
      </c>
      <c r="B15" s="25" t="s">
        <v>232</v>
      </c>
      <c r="C15" s="26" t="s">
        <v>233</v>
      </c>
      <c r="D15" s="26" t="s">
        <v>234</v>
      </c>
      <c r="E15" s="25" t="s">
        <v>205</v>
      </c>
      <c r="F15" s="25" t="n">
        <v>3</v>
      </c>
      <c r="G15" s="25" t="n">
        <v>5000</v>
      </c>
      <c r="H15" s="25" t="n">
        <v>5000</v>
      </c>
      <c r="I15" s="25" t="n">
        <v>5000</v>
      </c>
      <c r="J15" s="25" t="n">
        <v>1000</v>
      </c>
      <c r="K15" s="25" t="n">
        <v>150</v>
      </c>
      <c r="L15" s="25" t="n">
        <v>1</v>
      </c>
      <c r="M15" s="25" t="n">
        <v>60</v>
      </c>
      <c r="N15" s="25" t="s">
        <v>74</v>
      </c>
      <c r="O15" s="25" t="n">
        <v>3</v>
      </c>
      <c r="P15" s="25" t="s">
        <v>195</v>
      </c>
      <c r="Q15" s="25" t="n">
        <v>0.2</v>
      </c>
      <c r="R15" s="25" t="s">
        <v>195</v>
      </c>
      <c r="S15" s="25" t="n">
        <v>250</v>
      </c>
      <c r="T15" s="25" t="n">
        <v>200</v>
      </c>
      <c r="U15" s="25" t="n">
        <v>1000</v>
      </c>
      <c r="V15" s="25" t="n">
        <v>63</v>
      </c>
      <c r="W15" s="25" t="n">
        <v>51</v>
      </c>
      <c r="X15" s="25" t="n">
        <v>68</v>
      </c>
      <c r="Y15" s="25" t="s">
        <v>137</v>
      </c>
      <c r="Z15" s="25" t="n">
        <v>35</v>
      </c>
      <c r="AA15" s="25" t="n">
        <v>200</v>
      </c>
      <c r="AB15" s="25" t="n">
        <v>10000</v>
      </c>
      <c r="AC15" s="25" t="n">
        <v>7000</v>
      </c>
      <c r="AD15" s="25" t="n">
        <v>5000</v>
      </c>
      <c r="AE15" s="25" t="n">
        <v>4</v>
      </c>
      <c r="AF15" s="25" t="n">
        <v>3</v>
      </c>
      <c r="AG15" s="25" t="n">
        <v>2</v>
      </c>
      <c r="AH15" s="25" t="s">
        <v>111</v>
      </c>
      <c r="AI15" s="25"/>
      <c r="AJ15" s="25"/>
      <c r="AK15" s="25"/>
      <c r="AL15" s="27" t="str">
        <f aca="false">IF(OR($AH15="",$AH15="No FRET",N($AI15)&lt;=0,N($V15)&lt;=0),"",1/(1+($AI15/$V15)^6))</f>
        <v/>
      </c>
      <c r="AM15" s="27" t="str">
        <f aca="false">IF(OR($AH15="",$AH15="No FRET",N($AJ15)&lt;=0,N($W15)&lt;=0),"",1/(1+($AJ15/$W15)^6))</f>
        <v/>
      </c>
      <c r="AN15" s="27" t="str">
        <f aca="false">IF(OR($AH15="",$AH15="No FRET",N($AK15)&lt;=0,N($X15)&lt;=0),"",1/(1+($AK15/$X15)^6))</f>
        <v/>
      </c>
      <c r="AO15" s="28" t="n">
        <f aca="false">IF(OR($A15="",N($AA15)&lt;=0),"",IF($I15&gt;0,$AA15/($G15*$H15*$I15)/1E-024/6.022E+023/0.000000001,""))</f>
        <v>2.6569246097642</v>
      </c>
      <c r="AP15" s="29" t="str">
        <f aca="false">IF(Calc!G15=0,"",IF(Calc!E15&gt;=1,"✖ saturated (B ≥ freq.)",IF(Calc!E15&gt;0.1,"⚠ B &gt; 10% of freq.",IF(Calc!E15=0,"⚠ no brightness",IF(Calc!F15&gt;0.1,"⚠ step &gt; 10% of wr",IF(AND($AH15&lt;&gt;"",$AH15&lt;&gt;"No FRET",N($O15)&lt;2),"⚠ FRET needs ≥ 2 colours",IF(AND($AH15&lt;&gt;"",$AH15&lt;&gt;"No FRET",N($AI15)+N($AJ15)+N($AK15)=0),"⚠ FRET: set R","✔ OK")))))))</f>
        <v>✖ saturated (B ≥ freq.)</v>
      </c>
      <c r="AQ15" s="25" t="s">
        <v>138</v>
      </c>
      <c r="AR15" s="25" t="n">
        <v>35</v>
      </c>
      <c r="AS15" s="25" t="n">
        <v>2000</v>
      </c>
      <c r="AT15" s="25" t="n">
        <v>10000</v>
      </c>
      <c r="AU15" s="25" t="n">
        <v>0</v>
      </c>
      <c r="AV15" s="25" t="n">
        <v>5000</v>
      </c>
      <c r="AW15" s="25" t="n">
        <v>4</v>
      </c>
      <c r="AX15" s="25" t="n">
        <v>3</v>
      </c>
      <c r="AY15" s="25" t="n">
        <v>2</v>
      </c>
      <c r="AZ15" s="25" t="s">
        <v>111</v>
      </c>
      <c r="BA15" s="25"/>
      <c r="BB15" s="25"/>
      <c r="BC15" s="25"/>
      <c r="BD15" s="27" t="str">
        <f aca="false">IF(OR($AZ15="",$AZ15="No FRET",N($BA15)&lt;=0,N($V15)&lt;=0),"",1/(1+($BA15/$V15)^6))</f>
        <v/>
      </c>
      <c r="BE15" s="27" t="str">
        <f aca="false">IF(OR($AZ15="",$AZ15="No FRET",N($BB15)&lt;=0,N($W15)&lt;=0),"",1/(1+($BB15/$W15)^6))</f>
        <v/>
      </c>
      <c r="BF15" s="27" t="str">
        <f aca="false">IF(OR($AZ15="",$AZ15="No FRET",N($BC15)&lt;=0,N($X15)&lt;=0),"",1/(1+($BC15/$X15)^6))</f>
        <v/>
      </c>
      <c r="BG15" s="28" t="n">
        <f aca="false">IF(OR($A15="",N($AS15)&lt;=0),"",IF($I15&gt;0,$AS15/($G15*$H15*$I15)/1E-024/6.022E+023/0.000000001,""))</f>
        <v>26.569246097642</v>
      </c>
      <c r="BH15" s="29" t="str">
        <f aca="false">IF(Calc!M15=0,"",IF(Calc!K15&gt;=1,"✖ saturated (B ≥ freq.)",IF(Calc!K15&gt;0.1,"⚠ B &gt; 10% of freq.",IF(Calc!K15=0,"⚠ no brightness",IF(Calc!L15&gt;0.1,"⚠ step &gt; 10% of wr",IF(AND($AZ15&lt;&gt;"",$AZ15&lt;&gt;"No FRET",N($O15)&lt;2),"⚠ FRET needs ≥ 2 colours",IF(AND($AZ15&lt;&gt;"",$AZ15&lt;&gt;"No FRET",N($BA15)+N($BB15)+N($BC15)=0),"⚠ FRET: set R","✔ OK")))))))</f>
        <v>✖ saturated (B ≥ freq.)</v>
      </c>
      <c r="BI15" s="25" t="s">
        <v>139</v>
      </c>
      <c r="BJ15" s="25" t="n">
        <v>35</v>
      </c>
      <c r="BK15" s="25" t="n">
        <v>4000</v>
      </c>
      <c r="BL15" s="25" t="n">
        <v>20000</v>
      </c>
      <c r="BM15" s="25" t="n">
        <v>7000</v>
      </c>
      <c r="BN15" s="25" t="n">
        <v>0</v>
      </c>
      <c r="BO15" s="25" t="n">
        <v>4</v>
      </c>
      <c r="BP15" s="25" t="n">
        <v>3</v>
      </c>
      <c r="BQ15" s="25" t="n">
        <v>2</v>
      </c>
      <c r="BR15" s="25" t="s">
        <v>111</v>
      </c>
      <c r="BS15" s="25"/>
      <c r="BT15" s="25"/>
      <c r="BU15" s="25"/>
      <c r="BV15" s="27" t="str">
        <f aca="false">IF(OR($BR15="",$BR15="No FRET",N($BS15)&lt;=0,N($V15)&lt;=0),"",1/(1+($BS15/$V15)^6))</f>
        <v/>
      </c>
      <c r="BW15" s="27" t="str">
        <f aca="false">IF(OR($BR15="",$BR15="No FRET",N($BT15)&lt;=0,N($W15)&lt;=0),"",1/(1+($BT15/$W15)^6))</f>
        <v/>
      </c>
      <c r="BX15" s="27" t="str">
        <f aca="false">IF(OR($BR15="",$BR15="No FRET",N($BU15)&lt;=0,N($X15)&lt;=0),"",1/(1+($BU15/$X15)^6))</f>
        <v/>
      </c>
      <c r="BY15" s="28" t="n">
        <f aca="false">IF(OR($A15="",N($BK15)&lt;=0),"",IF($I15&gt;0,$BK15/($G15*$H15*$I15)/1E-024/6.022E+023/0.000000001,""))</f>
        <v>53.138492195284</v>
      </c>
      <c r="BZ15" s="29" t="str">
        <f aca="false">IF(Calc!S15=0,"",IF(Calc!Q15&gt;=1,"✖ saturated (B ≥ freq.)",IF(Calc!Q15&gt;0.1,"⚠ B &gt; 10% of freq.",IF(Calc!Q15=0,"⚠ no brightness",IF(Calc!R15&gt;0.1,"⚠ step &gt; 10% of wr",IF(AND($BR15&lt;&gt;"",$BR15&lt;&gt;"No FRET",N($O15)&lt;2),"⚠ FRET needs ≥ 2 colours",IF(AND($BR15&lt;&gt;"",$BR15&lt;&gt;"No FRET",N($BS15)+N($BT15)+N($BU15)=0),"⚠ FRET: set R","✔ OK")))))))</f>
        <v>✖ saturated (B ≥ freq.)</v>
      </c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7" t="str">
        <f aca="false">IF(OR($CJ15="",$CJ15="No FRET",N($CK15)&lt;=0,N($V15)&lt;=0),"",1/(1+($CK15/$V15)^6))</f>
        <v/>
      </c>
      <c r="CO15" s="27" t="str">
        <f aca="false">IF(OR($CJ15="",$CJ15="No FRET",N($CL15)&lt;=0,N($W15)&lt;=0),"",1/(1+($CL15/$W15)^6))</f>
        <v/>
      </c>
      <c r="CP15" s="27" t="str">
        <f aca="false">IF(OR($CJ15="",$CJ15="No FRET",N($CM15)&lt;=0,N($X15)&lt;=0),"",1/(1+($CM15/$X15)^6))</f>
        <v/>
      </c>
      <c r="CQ15" s="28" t="str">
        <f aca="false">IF(OR($A15="",N($CC15)&lt;=0),"",IF($I15&gt;0,$CC15/($G15*$H15*$I15)/1E-024/6.022E+023/0.000000001,""))</f>
        <v/>
      </c>
      <c r="CR15" s="29" t="str">
        <f aca="false">IF(Calc!Y15=0,"",IF(Calc!W15&gt;=1,"✖ saturated (B ≥ freq.)",IF(Calc!W15&gt;0.1,"⚠ B &gt; 10% of freq.",IF(Calc!W15=0,"⚠ no brightness",IF(Calc!X15&gt;0.1,"⚠ step &gt; 10% of wr",IF(AND($CJ15&lt;&gt;"",$CJ15&lt;&gt;"No FRET",N($O15)&lt;2),"⚠ FRET needs ≥ 2 colours",IF(AND($CJ15&lt;&gt;"",$CJ15&lt;&gt;"No FRET",N($CK15)+N($CL15)+N($CM15)=0),"⚠ FRET: set R","✔ OK")))))))</f>
        <v/>
      </c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7" t="str">
        <f aca="false">IF(OR($DB15="",$DB15="No FRET",N($DC15)&lt;=0,N($V15)&lt;=0),"",1/(1+($DC15/$V15)^6))</f>
        <v/>
      </c>
      <c r="DG15" s="27" t="str">
        <f aca="false">IF(OR($DB15="",$DB15="No FRET",N($DD15)&lt;=0,N($W15)&lt;=0),"",1/(1+($DD15/$W15)^6))</f>
        <v/>
      </c>
      <c r="DH15" s="27" t="str">
        <f aca="false">IF(OR($DB15="",$DB15="No FRET",N($DE15)&lt;=0,N($X15)&lt;=0),"",1/(1+($DE15/$X15)^6))</f>
        <v/>
      </c>
      <c r="DI15" s="28" t="str">
        <f aca="false">IF(OR($A15="",N($CU15)&lt;=0),"",IF($I15&gt;0,$CU15/($G15*$H15*$I15)/1E-024/6.022E+023/0.000000001,""))</f>
        <v/>
      </c>
      <c r="DJ15" s="29" t="str">
        <f aca="false">IF(Calc!AE15=0,"",IF(Calc!AC15&gt;=1,"✖ saturated (B ≥ freq.)",IF(Calc!AC15&gt;0.1,"⚠ B &gt; 10% of freq.",IF(Calc!AC15=0,"⚠ no brightness",IF(Calc!AD15&gt;0.1,"⚠ step &gt; 10% of wr",IF(AND($DB15&lt;&gt;"",$DB15&lt;&gt;"No FRET",N($O15)&lt;2),"⚠ FRET needs ≥ 2 colours",IF(AND($DB15&lt;&gt;"",$DB15&lt;&gt;"No FRET",N($DC15)+N($DD15)+N($DE15)=0),"⚠ FRET: set R","✔ OK")))))))</f>
        <v/>
      </c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7" t="str">
        <f aca="false">IF(OR($DT15="",$DT15="No FRET",N($DU15)&lt;=0,N($V15)&lt;=0),"",1/(1+($DU15/$V15)^6))</f>
        <v/>
      </c>
      <c r="DY15" s="27" t="str">
        <f aca="false">IF(OR($DT15="",$DT15="No FRET",N($DV15)&lt;=0,N($W15)&lt;=0),"",1/(1+($DV15/$W15)^6))</f>
        <v/>
      </c>
      <c r="DZ15" s="27" t="str">
        <f aca="false">IF(OR($DT15="",$DT15="No FRET",N($DW15)&lt;=0,N($X15)&lt;=0),"",1/(1+($DW15/$X15)^6))</f>
        <v/>
      </c>
      <c r="EA15" s="28" t="str">
        <f aca="false">IF(OR($A15="",N($DM15)&lt;=0),"",IF($I15&gt;0,$DM15/($G15*$H15*$I15)/1E-024/6.022E+023/0.000000001,""))</f>
        <v/>
      </c>
      <c r="EB15" s="29" t="str">
        <f aca="false">IF(Calc!AK15=0,"",IF(Calc!AI15&gt;=1,"✖ saturated (B ≥ freq.)",IF(Calc!AI15&gt;0.1,"⚠ B &gt; 10% of freq.",IF(Calc!AI15=0,"⚠ no brightness",IF(Calc!AJ15&gt;0.1,"⚠ step &gt; 10% of wr",IF(AND($DT15&lt;&gt;"",$DT15&lt;&gt;"No FRET",N($O15)&lt;2),"⚠ FRET needs ≥ 2 colours",IF(AND($DT15&lt;&gt;"",$DT15&lt;&gt;"No FRET",N($DU15)+N($DV15)+N($DW15)=0),"⚠ FRET: set R","✔ OK")))))))</f>
        <v/>
      </c>
      <c r="EC15" s="30" t="n">
        <f aca="false">IF($A15="","",SUM(Calc!G15,Calc!M15,Calc!S15,Calc!Y15,Calc!AE15,Calc!AK15))</f>
        <v>3</v>
      </c>
      <c r="ED15" s="30" t="n">
        <f aca="false">IF($A15="","",N($AA15)+N($AS15)+N($BK15)+N($CC15)+N($CU15)+N($DM15))</f>
        <v>6200</v>
      </c>
      <c r="EE15" s="31" t="n">
        <f aca="false">IF($A15="","",SUM(Calc!B15,Calc!H15,Calc!N15,Calc!T15,Calc!Z15,Calc!AF15))</f>
        <v>21932.6740345782</v>
      </c>
      <c r="EF15" s="31" t="n">
        <f aca="false">IF($A15="","",SUM(Calc!C15,Calc!I15,Calc!O15,Calc!U15,Calc!AA15,Calc!AG15))</f>
        <v>10466.413534743</v>
      </c>
      <c r="EG15" s="31" t="n">
        <f aca="false">IF($A15="","",SUM(Calc!D15,Calc!J15,Calc!P15,Calc!V15,Calc!AB15,Calc!AH15))</f>
        <v>4617.22529566603</v>
      </c>
      <c r="EH15" s="27" t="n">
        <f aca="false">IF($A15="","",($EE15+$EF15+$EG15+IF($P15="Yes",N($Q15)*N($O15),0))*1000*$K15/1000000)</f>
        <v>5552.44692974808</v>
      </c>
      <c r="EI15" s="28" t="n">
        <f aca="false">IF($A15="","",$EH15*1000000*12/1000000000)</f>
        <v>66.629363156977</v>
      </c>
      <c r="EJ15" s="32" t="str">
        <f aca="false">IF($A15="","",IF($EC15=0,"⚠ no species entered",IF(((LEFT($AP15,1)="✖")+(LEFT($BH15,1)="✖")+(LEFT($BZ15,1)="✖")+(LEFT($CR15,1)="✖")+(LEFT($DJ15,1)="✖")+(LEFT($EB15,1)="✖"))&gt;0,"✖ "&amp;((LEFT($AP15,1)="✖")+(LEFT($BH15,1)="✖")+(LEFT($BZ15,1)="✖")+(LEFT($CR15,1)="✖")+(LEFT($DJ15,1)="✖")+(LEFT($EB15,1)="✖"))&amp;" species saturated - see the species checks",IF(MIN($G15,$H15)&lt;8*$T15,"⚠ box too small laterally (&lt; 8·wr)",IF(AND($I15&gt;0,$I15&lt;3*$U15),"⚠ box too small axially (&lt; 3·wz)",IF($EI15&gt;8,"⚠ &gt; 8 GB per file: shorten the duration and use several files",IF(((LEFT($AP15,1)="⚠")+(LEFT($BH15,1)="⚠")+(LEFT($BZ15,1)="⚠")+(LEFT($CR15,1)="⚠")+(LEFT($DJ15,1)="⚠")+(LEFT($EB15,1)="⚠"))&gt;0,"⚠ "&amp;((LEFT($AP15,1)="⚠")+(LEFT($BH15,1)="⚠")+(LEFT($BZ15,1)="⚠")+(LEFT($CR15,1)="⚠")+(LEFT($DJ15,1)="⚠")+(LEFT($EB15,1)="⚠"))&amp;" species with a warning","✔ OK")))))))</f>
        <v>✖ 3 species saturated - see the species checks</v>
      </c>
      <c r="EK15" s="25" t="n">
        <v>1</v>
      </c>
      <c r="EL15" s="25"/>
      <c r="EM15" s="25" t="s">
        <v>130</v>
      </c>
      <c r="EN15" s="25"/>
      <c r="EO15" s="25"/>
      <c r="EP15" s="25"/>
      <c r="EQ15" s="25"/>
      <c r="ER15" s="26" t="s">
        <v>206</v>
      </c>
    </row>
    <row r="16" customFormat="false" ht="15" hidden="false" customHeight="false" outlineLevel="0" collapsed="false">
      <c r="A16" s="25"/>
      <c r="B16" s="25"/>
      <c r="C16" s="26"/>
      <c r="D16" s="26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7" t="str">
        <f aca="false">IF(OR($AH16="",$AH16="No FRET",N($AI16)&lt;=0,N($V16)&lt;=0),"",1/(1+($AI16/$V16)^6))</f>
        <v/>
      </c>
      <c r="AM16" s="27" t="str">
        <f aca="false">IF(OR($AH16="",$AH16="No FRET",N($AJ16)&lt;=0,N($W16)&lt;=0),"",1/(1+($AJ16/$W16)^6))</f>
        <v/>
      </c>
      <c r="AN16" s="27" t="str">
        <f aca="false">IF(OR($AH16="",$AH16="No FRET",N($AK16)&lt;=0,N($X16)&lt;=0),"",1/(1+($AK16/$X16)^6))</f>
        <v/>
      </c>
      <c r="AO16" s="28" t="str">
        <f aca="false">IF(OR($A16="",N($AA16)&lt;=0),"",IF($I16&gt;0,$AA16/($G16*$H16*$I16)/1E-024/6.022E+023/0.000000001,""))</f>
        <v/>
      </c>
      <c r="AP16" s="29" t="str">
        <f aca="false">IF(Calc!G16=0,"",IF(Calc!E16&gt;=1,"✖ saturated (B ≥ freq.)",IF(Calc!E16&gt;0.1,"⚠ B &gt; 10% of freq.",IF(Calc!E16=0,"⚠ no brightness",IF(Calc!F16&gt;0.1,"⚠ step &gt; 10% of wr",IF(AND($AH16&lt;&gt;"",$AH16&lt;&gt;"No FRET",N($O16)&lt;2),"⚠ FRET needs ≥ 2 colours",IF(AND($AH16&lt;&gt;"",$AH16&lt;&gt;"No FRET",N($AI16)+N($AJ16)+N($AK16)=0),"⚠ FRET: set R","✔ OK")))))))</f>
        <v/>
      </c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7" t="str">
        <f aca="false">IF(OR($AZ16="",$AZ16="No FRET",N($BA16)&lt;=0,N($V16)&lt;=0),"",1/(1+($BA16/$V16)^6))</f>
        <v/>
      </c>
      <c r="BE16" s="27" t="str">
        <f aca="false">IF(OR($AZ16="",$AZ16="No FRET",N($BB16)&lt;=0,N($W16)&lt;=0),"",1/(1+($BB16/$W16)^6))</f>
        <v/>
      </c>
      <c r="BF16" s="27" t="str">
        <f aca="false">IF(OR($AZ16="",$AZ16="No FRET",N($BC16)&lt;=0,N($X16)&lt;=0),"",1/(1+($BC16/$X16)^6))</f>
        <v/>
      </c>
      <c r="BG16" s="28" t="str">
        <f aca="false">IF(OR($A16="",N($AS16)&lt;=0),"",IF($I16&gt;0,$AS16/($G16*$H16*$I16)/1E-024/6.022E+023/0.000000001,""))</f>
        <v/>
      </c>
      <c r="BH16" s="29" t="str">
        <f aca="false">IF(Calc!M16=0,"",IF(Calc!K16&gt;=1,"✖ saturated (B ≥ freq.)",IF(Calc!K16&gt;0.1,"⚠ B &gt; 10% of freq.",IF(Calc!K16=0,"⚠ no brightness",IF(Calc!L16&gt;0.1,"⚠ step &gt; 10% of wr",IF(AND($AZ16&lt;&gt;"",$AZ16&lt;&gt;"No FRET",N($O16)&lt;2),"⚠ FRET needs ≥ 2 colours",IF(AND($AZ16&lt;&gt;"",$AZ16&lt;&gt;"No FRET",N($BA16)+N($BB16)+N($BC16)=0),"⚠ FRET: set R","✔ OK")))))))</f>
        <v/>
      </c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7" t="str">
        <f aca="false">IF(OR($BR16="",$BR16="No FRET",N($BS16)&lt;=0,N($V16)&lt;=0),"",1/(1+($BS16/$V16)^6))</f>
        <v/>
      </c>
      <c r="BW16" s="27" t="str">
        <f aca="false">IF(OR($BR16="",$BR16="No FRET",N($BT16)&lt;=0,N($W16)&lt;=0),"",1/(1+($BT16/$W16)^6))</f>
        <v/>
      </c>
      <c r="BX16" s="27" t="str">
        <f aca="false">IF(OR($BR16="",$BR16="No FRET",N($BU16)&lt;=0,N($X16)&lt;=0),"",1/(1+($BU16/$X16)^6))</f>
        <v/>
      </c>
      <c r="BY16" s="28" t="str">
        <f aca="false">IF(OR($A16="",N($BK16)&lt;=0),"",IF($I16&gt;0,$BK16/($G16*$H16*$I16)/1E-024/6.022E+023/0.000000001,""))</f>
        <v/>
      </c>
      <c r="BZ16" s="29" t="str">
        <f aca="false">IF(Calc!S16=0,"",IF(Calc!Q16&gt;=1,"✖ saturated (B ≥ freq.)",IF(Calc!Q16&gt;0.1,"⚠ B &gt; 10% of freq.",IF(Calc!Q16=0,"⚠ no brightness",IF(Calc!R16&gt;0.1,"⚠ step &gt; 10% of wr",IF(AND($BR16&lt;&gt;"",$BR16&lt;&gt;"No FRET",N($O16)&lt;2),"⚠ FRET needs ≥ 2 colours",IF(AND($BR16&lt;&gt;"",$BR16&lt;&gt;"No FRET",N($BS16)+N($BT16)+N($BU16)=0),"⚠ FRET: set R","✔ OK")))))))</f>
        <v/>
      </c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7" t="str">
        <f aca="false">IF(OR($CJ16="",$CJ16="No FRET",N($CK16)&lt;=0,N($V16)&lt;=0),"",1/(1+($CK16/$V16)^6))</f>
        <v/>
      </c>
      <c r="CO16" s="27" t="str">
        <f aca="false">IF(OR($CJ16="",$CJ16="No FRET",N($CL16)&lt;=0,N($W16)&lt;=0),"",1/(1+($CL16/$W16)^6))</f>
        <v/>
      </c>
      <c r="CP16" s="27" t="str">
        <f aca="false">IF(OR($CJ16="",$CJ16="No FRET",N($CM16)&lt;=0,N($X16)&lt;=0),"",1/(1+($CM16/$X16)^6))</f>
        <v/>
      </c>
      <c r="CQ16" s="28" t="str">
        <f aca="false">IF(OR($A16="",N($CC16)&lt;=0),"",IF($I16&gt;0,$CC16/($G16*$H16*$I16)/1E-024/6.022E+023/0.000000001,""))</f>
        <v/>
      </c>
      <c r="CR16" s="29" t="str">
        <f aca="false">IF(Calc!Y16=0,"",IF(Calc!W16&gt;=1,"✖ saturated (B ≥ freq.)",IF(Calc!W16&gt;0.1,"⚠ B &gt; 10% of freq.",IF(Calc!W16=0,"⚠ no brightness",IF(Calc!X16&gt;0.1,"⚠ step &gt; 10% of wr",IF(AND($CJ16&lt;&gt;"",$CJ16&lt;&gt;"No FRET",N($O16)&lt;2),"⚠ FRET needs ≥ 2 colours",IF(AND($CJ16&lt;&gt;"",$CJ16&lt;&gt;"No FRET",N($CK16)+N($CL16)+N($CM16)=0),"⚠ FRET: set R","✔ OK")))))))</f>
        <v/>
      </c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7" t="str">
        <f aca="false">IF(OR($DB16="",$DB16="No FRET",N($DC16)&lt;=0,N($V16)&lt;=0),"",1/(1+($DC16/$V16)^6))</f>
        <v/>
      </c>
      <c r="DG16" s="27" t="str">
        <f aca="false">IF(OR($DB16="",$DB16="No FRET",N($DD16)&lt;=0,N($W16)&lt;=0),"",1/(1+($DD16/$W16)^6))</f>
        <v/>
      </c>
      <c r="DH16" s="27" t="str">
        <f aca="false">IF(OR($DB16="",$DB16="No FRET",N($DE16)&lt;=0,N($X16)&lt;=0),"",1/(1+($DE16/$X16)^6))</f>
        <v/>
      </c>
      <c r="DI16" s="28" t="str">
        <f aca="false">IF(OR($A16="",N($CU16)&lt;=0),"",IF($I16&gt;0,$CU16/($G16*$H16*$I16)/1E-024/6.022E+023/0.000000001,""))</f>
        <v/>
      </c>
      <c r="DJ16" s="29" t="str">
        <f aca="false">IF(Calc!AE16=0,"",IF(Calc!AC16&gt;=1,"✖ saturated (B ≥ freq.)",IF(Calc!AC16&gt;0.1,"⚠ B &gt; 10% of freq.",IF(Calc!AC16=0,"⚠ no brightness",IF(Calc!AD16&gt;0.1,"⚠ step &gt; 10% of wr",IF(AND($DB16&lt;&gt;"",$DB16&lt;&gt;"No FRET",N($O16)&lt;2),"⚠ FRET needs ≥ 2 colours",IF(AND($DB16&lt;&gt;"",$DB16&lt;&gt;"No FRET",N($DC16)+N($DD16)+N($DE16)=0),"⚠ FRET: set R","✔ OK")))))))</f>
        <v/>
      </c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7" t="str">
        <f aca="false">IF(OR($DT16="",$DT16="No FRET",N($DU16)&lt;=0,N($V16)&lt;=0),"",1/(1+($DU16/$V16)^6))</f>
        <v/>
      </c>
      <c r="DY16" s="27" t="str">
        <f aca="false">IF(OR($DT16="",$DT16="No FRET",N($DV16)&lt;=0,N($W16)&lt;=0),"",1/(1+($DV16/$W16)^6))</f>
        <v/>
      </c>
      <c r="DZ16" s="27" t="str">
        <f aca="false">IF(OR($DT16="",$DT16="No FRET",N($DW16)&lt;=0,N($X16)&lt;=0),"",1/(1+($DW16/$X16)^6))</f>
        <v/>
      </c>
      <c r="EA16" s="28" t="str">
        <f aca="false">IF(OR($A16="",N($DM16)&lt;=0),"",IF($I16&gt;0,$DM16/($G16*$H16*$I16)/1E-024/6.022E+023/0.000000001,""))</f>
        <v/>
      </c>
      <c r="EB16" s="29" t="str">
        <f aca="false">IF(Calc!AK16=0,"",IF(Calc!AI16&gt;=1,"✖ saturated (B ≥ freq.)",IF(Calc!AI16&gt;0.1,"⚠ B &gt; 10% of freq.",IF(Calc!AI16=0,"⚠ no brightness",IF(Calc!AJ16&gt;0.1,"⚠ step &gt; 10% of wr",IF(AND($DT16&lt;&gt;"",$DT16&lt;&gt;"No FRET",N($O16)&lt;2),"⚠ FRET needs ≥ 2 colours",IF(AND($DT16&lt;&gt;"",$DT16&lt;&gt;"No FRET",N($DU16)+N($DV16)+N($DW16)=0),"⚠ FRET: set R","✔ OK")))))))</f>
        <v/>
      </c>
      <c r="EC16" s="30" t="str">
        <f aca="false">IF($A16="","",SUM(Calc!G16,Calc!M16,Calc!S16,Calc!Y16,Calc!AE16,Calc!AK16))</f>
        <v/>
      </c>
      <c r="ED16" s="30" t="str">
        <f aca="false">IF($A16="","",N($AA16)+N($AS16)+N($BK16)+N($CC16)+N($CU16)+N($DM16))</f>
        <v/>
      </c>
      <c r="EE16" s="31" t="str">
        <f aca="false">IF($A16="","",SUM(Calc!B16,Calc!H16,Calc!N16,Calc!T16,Calc!Z16,Calc!AF16))</f>
        <v/>
      </c>
      <c r="EF16" s="31" t="str">
        <f aca="false">IF($A16="","",SUM(Calc!C16,Calc!I16,Calc!O16,Calc!U16,Calc!AA16,Calc!AG16))</f>
        <v/>
      </c>
      <c r="EG16" s="31" t="str">
        <f aca="false">IF($A16="","",SUM(Calc!D16,Calc!J16,Calc!P16,Calc!V16,Calc!AB16,Calc!AH16))</f>
        <v/>
      </c>
      <c r="EH16" s="27" t="str">
        <f aca="false">IF($A16="","",($EE16+$EF16+$EG16+IF($P16="Yes",N($Q16)*N($O16),0))*1000*$K16/1000000)</f>
        <v/>
      </c>
      <c r="EI16" s="28" t="str">
        <f aca="false">IF($A16="","",$EH16*1000000*12/1000000000)</f>
        <v/>
      </c>
      <c r="EJ16" s="32" t="str">
        <f aca="false">IF($A16="","",IF($EC16=0,"⚠ no species entered",IF(((LEFT($AP16,1)="✖")+(LEFT($BH16,1)="✖")+(LEFT($BZ16,1)="✖")+(LEFT($CR16,1)="✖")+(LEFT($DJ16,1)="✖")+(LEFT($EB16,1)="✖"))&gt;0,"✖ "&amp;((LEFT($AP16,1)="✖")+(LEFT($BH16,1)="✖")+(LEFT($BZ16,1)="✖")+(LEFT($CR16,1)="✖")+(LEFT($DJ16,1)="✖")+(LEFT($EB16,1)="✖"))&amp;" species saturated - see the species checks",IF(MIN($G16,$H16)&lt;8*$T16,"⚠ box too small laterally (&lt; 8·wr)",IF(AND($I16&gt;0,$I16&lt;3*$U16),"⚠ box too small axially (&lt; 3·wz)",IF($EI16&gt;8,"⚠ &gt; 8 GB per file: shorten the duration and use several files",IF(((LEFT($AP16,1)="⚠")+(LEFT($BH16,1)="⚠")+(LEFT($BZ16,1)="⚠")+(LEFT($CR16,1)="⚠")+(LEFT($DJ16,1)="⚠")+(LEFT($EB16,1)="⚠"))&gt;0,"⚠ "&amp;((LEFT($AP16,1)="⚠")+(LEFT($BH16,1)="⚠")+(LEFT($BZ16,1)="⚠")+(LEFT($CR16,1)="⚠")+(LEFT($DJ16,1)="⚠")+(LEFT($EB16,1)="⚠"))&amp;" species with a warning","✔ OK")))))))</f>
        <v/>
      </c>
      <c r="EK16" s="25"/>
      <c r="EL16" s="25"/>
      <c r="EM16" s="25"/>
      <c r="EN16" s="25"/>
      <c r="EO16" s="25"/>
      <c r="EP16" s="25"/>
      <c r="EQ16" s="25"/>
      <c r="ER16" s="26"/>
    </row>
    <row r="17" customFormat="false" ht="15" hidden="false" customHeight="false" outlineLevel="0" collapsed="false">
      <c r="A17" s="25"/>
      <c r="B17" s="25"/>
      <c r="C17" s="26"/>
      <c r="D17" s="26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7" t="str">
        <f aca="false">IF(OR($AH17="",$AH17="No FRET",N($AI17)&lt;=0,N($V17)&lt;=0),"",1/(1+($AI17/$V17)^6))</f>
        <v/>
      </c>
      <c r="AM17" s="27" t="str">
        <f aca="false">IF(OR($AH17="",$AH17="No FRET",N($AJ17)&lt;=0,N($W17)&lt;=0),"",1/(1+($AJ17/$W17)^6))</f>
        <v/>
      </c>
      <c r="AN17" s="27" t="str">
        <f aca="false">IF(OR($AH17="",$AH17="No FRET",N($AK17)&lt;=0,N($X17)&lt;=0),"",1/(1+($AK17/$X17)^6))</f>
        <v/>
      </c>
      <c r="AO17" s="28" t="str">
        <f aca="false">IF(OR($A17="",N($AA17)&lt;=0),"",IF($I17&gt;0,$AA17/($G17*$H17*$I17)/1E-024/6.022E+023/0.000000001,""))</f>
        <v/>
      </c>
      <c r="AP17" s="29" t="str">
        <f aca="false">IF(Calc!G17=0,"",IF(Calc!E17&gt;=1,"✖ saturated (B ≥ freq.)",IF(Calc!E17&gt;0.1,"⚠ B &gt; 10% of freq.",IF(Calc!E17=0,"⚠ no brightness",IF(Calc!F17&gt;0.1,"⚠ step &gt; 10% of wr",IF(AND($AH17&lt;&gt;"",$AH17&lt;&gt;"No FRET",N($O17)&lt;2),"⚠ FRET needs ≥ 2 colours",IF(AND($AH17&lt;&gt;"",$AH17&lt;&gt;"No FRET",N($AI17)+N($AJ17)+N($AK17)=0),"⚠ FRET: set R","✔ OK")))))))</f>
        <v/>
      </c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7" t="str">
        <f aca="false">IF(OR($AZ17="",$AZ17="No FRET",N($BA17)&lt;=0,N($V17)&lt;=0),"",1/(1+($BA17/$V17)^6))</f>
        <v/>
      </c>
      <c r="BE17" s="27" t="str">
        <f aca="false">IF(OR($AZ17="",$AZ17="No FRET",N($BB17)&lt;=0,N($W17)&lt;=0),"",1/(1+($BB17/$W17)^6))</f>
        <v/>
      </c>
      <c r="BF17" s="27" t="str">
        <f aca="false">IF(OR($AZ17="",$AZ17="No FRET",N($BC17)&lt;=0,N($X17)&lt;=0),"",1/(1+($BC17/$X17)^6))</f>
        <v/>
      </c>
      <c r="BG17" s="28" t="str">
        <f aca="false">IF(OR($A17="",N($AS17)&lt;=0),"",IF($I17&gt;0,$AS17/($G17*$H17*$I17)/1E-024/6.022E+023/0.000000001,""))</f>
        <v/>
      </c>
      <c r="BH17" s="29" t="str">
        <f aca="false">IF(Calc!M17=0,"",IF(Calc!K17&gt;=1,"✖ saturated (B ≥ freq.)",IF(Calc!K17&gt;0.1,"⚠ B &gt; 10% of freq.",IF(Calc!K17=0,"⚠ no brightness",IF(Calc!L17&gt;0.1,"⚠ step &gt; 10% of wr",IF(AND($AZ17&lt;&gt;"",$AZ17&lt;&gt;"No FRET",N($O17)&lt;2),"⚠ FRET needs ≥ 2 colours",IF(AND($AZ17&lt;&gt;"",$AZ17&lt;&gt;"No FRET",N($BA17)+N($BB17)+N($BC17)=0),"⚠ FRET: set R","✔ OK")))))))</f>
        <v/>
      </c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7" t="str">
        <f aca="false">IF(OR($BR17="",$BR17="No FRET",N($BS17)&lt;=0,N($V17)&lt;=0),"",1/(1+($BS17/$V17)^6))</f>
        <v/>
      </c>
      <c r="BW17" s="27" t="str">
        <f aca="false">IF(OR($BR17="",$BR17="No FRET",N($BT17)&lt;=0,N($W17)&lt;=0),"",1/(1+($BT17/$W17)^6))</f>
        <v/>
      </c>
      <c r="BX17" s="27" t="str">
        <f aca="false">IF(OR($BR17="",$BR17="No FRET",N($BU17)&lt;=0,N($X17)&lt;=0),"",1/(1+($BU17/$X17)^6))</f>
        <v/>
      </c>
      <c r="BY17" s="28" t="str">
        <f aca="false">IF(OR($A17="",N($BK17)&lt;=0),"",IF($I17&gt;0,$BK17/($G17*$H17*$I17)/1E-024/6.022E+023/0.000000001,""))</f>
        <v/>
      </c>
      <c r="BZ17" s="29" t="str">
        <f aca="false">IF(Calc!S17=0,"",IF(Calc!Q17&gt;=1,"✖ saturated (B ≥ freq.)",IF(Calc!Q17&gt;0.1,"⚠ B &gt; 10% of freq.",IF(Calc!Q17=0,"⚠ no brightness",IF(Calc!R17&gt;0.1,"⚠ step &gt; 10% of wr",IF(AND($BR17&lt;&gt;"",$BR17&lt;&gt;"No FRET",N($O17)&lt;2),"⚠ FRET needs ≥ 2 colours",IF(AND($BR17&lt;&gt;"",$BR17&lt;&gt;"No FRET",N($BS17)+N($BT17)+N($BU17)=0),"⚠ FRET: set R","✔ OK")))))))</f>
        <v/>
      </c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7" t="str">
        <f aca="false">IF(OR($CJ17="",$CJ17="No FRET",N($CK17)&lt;=0,N($V17)&lt;=0),"",1/(1+($CK17/$V17)^6))</f>
        <v/>
      </c>
      <c r="CO17" s="27" t="str">
        <f aca="false">IF(OR($CJ17="",$CJ17="No FRET",N($CL17)&lt;=0,N($W17)&lt;=0),"",1/(1+($CL17/$W17)^6))</f>
        <v/>
      </c>
      <c r="CP17" s="27" t="str">
        <f aca="false">IF(OR($CJ17="",$CJ17="No FRET",N($CM17)&lt;=0,N($X17)&lt;=0),"",1/(1+($CM17/$X17)^6))</f>
        <v/>
      </c>
      <c r="CQ17" s="28" t="str">
        <f aca="false">IF(OR($A17="",N($CC17)&lt;=0),"",IF($I17&gt;0,$CC17/($G17*$H17*$I17)/1E-024/6.022E+023/0.000000001,""))</f>
        <v/>
      </c>
      <c r="CR17" s="29" t="str">
        <f aca="false">IF(Calc!Y17=0,"",IF(Calc!W17&gt;=1,"✖ saturated (B ≥ freq.)",IF(Calc!W17&gt;0.1,"⚠ B &gt; 10% of freq.",IF(Calc!W17=0,"⚠ no brightness",IF(Calc!X17&gt;0.1,"⚠ step &gt; 10% of wr",IF(AND($CJ17&lt;&gt;"",$CJ17&lt;&gt;"No FRET",N($O17)&lt;2),"⚠ FRET needs ≥ 2 colours",IF(AND($CJ17&lt;&gt;"",$CJ17&lt;&gt;"No FRET",N($CK17)+N($CL17)+N($CM17)=0),"⚠ FRET: set R","✔ OK")))))))</f>
        <v/>
      </c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7" t="str">
        <f aca="false">IF(OR($DB17="",$DB17="No FRET",N($DC17)&lt;=0,N($V17)&lt;=0),"",1/(1+($DC17/$V17)^6))</f>
        <v/>
      </c>
      <c r="DG17" s="27" t="str">
        <f aca="false">IF(OR($DB17="",$DB17="No FRET",N($DD17)&lt;=0,N($W17)&lt;=0),"",1/(1+($DD17/$W17)^6))</f>
        <v/>
      </c>
      <c r="DH17" s="27" t="str">
        <f aca="false">IF(OR($DB17="",$DB17="No FRET",N($DE17)&lt;=0,N($X17)&lt;=0),"",1/(1+($DE17/$X17)^6))</f>
        <v/>
      </c>
      <c r="DI17" s="28" t="str">
        <f aca="false">IF(OR($A17="",N($CU17)&lt;=0),"",IF($I17&gt;0,$CU17/($G17*$H17*$I17)/1E-024/6.022E+023/0.000000001,""))</f>
        <v/>
      </c>
      <c r="DJ17" s="29" t="str">
        <f aca="false">IF(Calc!AE17=0,"",IF(Calc!AC17&gt;=1,"✖ saturated (B ≥ freq.)",IF(Calc!AC17&gt;0.1,"⚠ B &gt; 10% of freq.",IF(Calc!AC17=0,"⚠ no brightness",IF(Calc!AD17&gt;0.1,"⚠ step &gt; 10% of wr",IF(AND($DB17&lt;&gt;"",$DB17&lt;&gt;"No FRET",N($O17)&lt;2),"⚠ FRET needs ≥ 2 colours",IF(AND($DB17&lt;&gt;"",$DB17&lt;&gt;"No FRET",N($DC17)+N($DD17)+N($DE17)=0),"⚠ FRET: set R","✔ OK")))))))</f>
        <v/>
      </c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7" t="str">
        <f aca="false">IF(OR($DT17="",$DT17="No FRET",N($DU17)&lt;=0,N($V17)&lt;=0),"",1/(1+($DU17/$V17)^6))</f>
        <v/>
      </c>
      <c r="DY17" s="27" t="str">
        <f aca="false">IF(OR($DT17="",$DT17="No FRET",N($DV17)&lt;=0,N($W17)&lt;=0),"",1/(1+($DV17/$W17)^6))</f>
        <v/>
      </c>
      <c r="DZ17" s="27" t="str">
        <f aca="false">IF(OR($DT17="",$DT17="No FRET",N($DW17)&lt;=0,N($X17)&lt;=0),"",1/(1+($DW17/$X17)^6))</f>
        <v/>
      </c>
      <c r="EA17" s="28" t="str">
        <f aca="false">IF(OR($A17="",N($DM17)&lt;=0),"",IF($I17&gt;0,$DM17/($G17*$H17*$I17)/1E-024/6.022E+023/0.000000001,""))</f>
        <v/>
      </c>
      <c r="EB17" s="29" t="str">
        <f aca="false">IF(Calc!AK17=0,"",IF(Calc!AI17&gt;=1,"✖ saturated (B ≥ freq.)",IF(Calc!AI17&gt;0.1,"⚠ B &gt; 10% of freq.",IF(Calc!AI17=0,"⚠ no brightness",IF(Calc!AJ17&gt;0.1,"⚠ step &gt; 10% of wr",IF(AND($DT17&lt;&gt;"",$DT17&lt;&gt;"No FRET",N($O17)&lt;2),"⚠ FRET needs ≥ 2 colours",IF(AND($DT17&lt;&gt;"",$DT17&lt;&gt;"No FRET",N($DU17)+N($DV17)+N($DW17)=0),"⚠ FRET: set R","✔ OK")))))))</f>
        <v/>
      </c>
      <c r="EC17" s="30" t="str">
        <f aca="false">IF($A17="","",SUM(Calc!G17,Calc!M17,Calc!S17,Calc!Y17,Calc!AE17,Calc!AK17))</f>
        <v/>
      </c>
      <c r="ED17" s="30" t="str">
        <f aca="false">IF($A17="","",N($AA17)+N($AS17)+N($BK17)+N($CC17)+N($CU17)+N($DM17))</f>
        <v/>
      </c>
      <c r="EE17" s="31" t="str">
        <f aca="false">IF($A17="","",SUM(Calc!B17,Calc!H17,Calc!N17,Calc!T17,Calc!Z17,Calc!AF17))</f>
        <v/>
      </c>
      <c r="EF17" s="31" t="str">
        <f aca="false">IF($A17="","",SUM(Calc!C17,Calc!I17,Calc!O17,Calc!U17,Calc!AA17,Calc!AG17))</f>
        <v/>
      </c>
      <c r="EG17" s="31" t="str">
        <f aca="false">IF($A17="","",SUM(Calc!D17,Calc!J17,Calc!P17,Calc!V17,Calc!AB17,Calc!AH17))</f>
        <v/>
      </c>
      <c r="EH17" s="27" t="str">
        <f aca="false">IF($A17="","",($EE17+$EF17+$EG17+IF($P17="Yes",N($Q17)*N($O17),0))*1000*$K17/1000000)</f>
        <v/>
      </c>
      <c r="EI17" s="28" t="str">
        <f aca="false">IF($A17="","",$EH17*1000000*12/1000000000)</f>
        <v/>
      </c>
      <c r="EJ17" s="32" t="str">
        <f aca="false">IF($A17="","",IF($EC17=0,"⚠ no species entered",IF(((LEFT($AP17,1)="✖")+(LEFT($BH17,1)="✖")+(LEFT($BZ17,1)="✖")+(LEFT($CR17,1)="✖")+(LEFT($DJ17,1)="✖")+(LEFT($EB17,1)="✖"))&gt;0,"✖ "&amp;((LEFT($AP17,1)="✖")+(LEFT($BH17,1)="✖")+(LEFT($BZ17,1)="✖")+(LEFT($CR17,1)="✖")+(LEFT($DJ17,1)="✖")+(LEFT($EB17,1)="✖"))&amp;" species saturated - see the species checks",IF(MIN($G17,$H17)&lt;8*$T17,"⚠ box too small laterally (&lt; 8·wr)",IF(AND($I17&gt;0,$I17&lt;3*$U17),"⚠ box too small axially (&lt; 3·wz)",IF($EI17&gt;8,"⚠ &gt; 8 GB per file: shorten the duration and use several files",IF(((LEFT($AP17,1)="⚠")+(LEFT($BH17,1)="⚠")+(LEFT($BZ17,1)="⚠")+(LEFT($CR17,1)="⚠")+(LEFT($DJ17,1)="⚠")+(LEFT($EB17,1)="⚠"))&gt;0,"⚠ "&amp;((LEFT($AP17,1)="⚠")+(LEFT($BH17,1)="⚠")+(LEFT($BZ17,1)="⚠")+(LEFT($CR17,1)="⚠")+(LEFT($DJ17,1)="⚠")+(LEFT($EB17,1)="⚠"))&amp;" species with a warning","✔ OK")))))))</f>
        <v/>
      </c>
      <c r="EK17" s="25"/>
      <c r="EL17" s="25"/>
      <c r="EM17" s="25"/>
      <c r="EN17" s="25"/>
      <c r="EO17" s="25"/>
      <c r="EP17" s="25"/>
      <c r="EQ17" s="25"/>
      <c r="ER17" s="26"/>
    </row>
    <row r="18" customFormat="false" ht="15" hidden="false" customHeight="false" outlineLevel="0" collapsed="false">
      <c r="A18" s="25"/>
      <c r="B18" s="25"/>
      <c r="C18" s="26"/>
      <c r="D18" s="26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7" t="str">
        <f aca="false">IF(OR($AH18="",$AH18="No FRET",N($AI18)&lt;=0,N($V18)&lt;=0),"",1/(1+($AI18/$V18)^6))</f>
        <v/>
      </c>
      <c r="AM18" s="27" t="str">
        <f aca="false">IF(OR($AH18="",$AH18="No FRET",N($AJ18)&lt;=0,N($W18)&lt;=0),"",1/(1+($AJ18/$W18)^6))</f>
        <v/>
      </c>
      <c r="AN18" s="27" t="str">
        <f aca="false">IF(OR($AH18="",$AH18="No FRET",N($AK18)&lt;=0,N($X18)&lt;=0),"",1/(1+($AK18/$X18)^6))</f>
        <v/>
      </c>
      <c r="AO18" s="28" t="str">
        <f aca="false">IF(OR($A18="",N($AA18)&lt;=0),"",IF($I18&gt;0,$AA18/($G18*$H18*$I18)/1E-024/6.022E+023/0.000000001,""))</f>
        <v/>
      </c>
      <c r="AP18" s="29" t="str">
        <f aca="false">IF(Calc!G18=0,"",IF(Calc!E18&gt;=1,"✖ saturated (B ≥ freq.)",IF(Calc!E18&gt;0.1,"⚠ B &gt; 10% of freq.",IF(Calc!E18=0,"⚠ no brightness",IF(Calc!F18&gt;0.1,"⚠ step &gt; 10% of wr",IF(AND($AH18&lt;&gt;"",$AH18&lt;&gt;"No FRET",N($O18)&lt;2),"⚠ FRET needs ≥ 2 colours",IF(AND($AH18&lt;&gt;"",$AH18&lt;&gt;"No FRET",N($AI18)+N($AJ18)+N($AK18)=0),"⚠ FRET: set R","✔ OK")))))))</f>
        <v/>
      </c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7" t="str">
        <f aca="false">IF(OR($AZ18="",$AZ18="No FRET",N($BA18)&lt;=0,N($V18)&lt;=0),"",1/(1+($BA18/$V18)^6))</f>
        <v/>
      </c>
      <c r="BE18" s="27" t="str">
        <f aca="false">IF(OR($AZ18="",$AZ18="No FRET",N($BB18)&lt;=0,N($W18)&lt;=0),"",1/(1+($BB18/$W18)^6))</f>
        <v/>
      </c>
      <c r="BF18" s="27" t="str">
        <f aca="false">IF(OR($AZ18="",$AZ18="No FRET",N($BC18)&lt;=0,N($X18)&lt;=0),"",1/(1+($BC18/$X18)^6))</f>
        <v/>
      </c>
      <c r="BG18" s="28" t="str">
        <f aca="false">IF(OR($A18="",N($AS18)&lt;=0),"",IF($I18&gt;0,$AS18/($G18*$H18*$I18)/1E-024/6.022E+023/0.000000001,""))</f>
        <v/>
      </c>
      <c r="BH18" s="29" t="str">
        <f aca="false">IF(Calc!M18=0,"",IF(Calc!K18&gt;=1,"✖ saturated (B ≥ freq.)",IF(Calc!K18&gt;0.1,"⚠ B &gt; 10% of freq.",IF(Calc!K18=0,"⚠ no brightness",IF(Calc!L18&gt;0.1,"⚠ step &gt; 10% of wr",IF(AND($AZ18&lt;&gt;"",$AZ18&lt;&gt;"No FRET",N($O18)&lt;2),"⚠ FRET needs ≥ 2 colours",IF(AND($AZ18&lt;&gt;"",$AZ18&lt;&gt;"No FRET",N($BA18)+N($BB18)+N($BC18)=0),"⚠ FRET: set R","✔ OK")))))))</f>
        <v/>
      </c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7" t="str">
        <f aca="false">IF(OR($BR18="",$BR18="No FRET",N($BS18)&lt;=0,N($V18)&lt;=0),"",1/(1+($BS18/$V18)^6))</f>
        <v/>
      </c>
      <c r="BW18" s="27" t="str">
        <f aca="false">IF(OR($BR18="",$BR18="No FRET",N($BT18)&lt;=0,N($W18)&lt;=0),"",1/(1+($BT18/$W18)^6))</f>
        <v/>
      </c>
      <c r="BX18" s="27" t="str">
        <f aca="false">IF(OR($BR18="",$BR18="No FRET",N($BU18)&lt;=0,N($X18)&lt;=0),"",1/(1+($BU18/$X18)^6))</f>
        <v/>
      </c>
      <c r="BY18" s="28" t="str">
        <f aca="false">IF(OR($A18="",N($BK18)&lt;=0),"",IF($I18&gt;0,$BK18/($G18*$H18*$I18)/1E-024/6.022E+023/0.000000001,""))</f>
        <v/>
      </c>
      <c r="BZ18" s="29" t="str">
        <f aca="false">IF(Calc!S18=0,"",IF(Calc!Q18&gt;=1,"✖ saturated (B ≥ freq.)",IF(Calc!Q18&gt;0.1,"⚠ B &gt; 10% of freq.",IF(Calc!Q18=0,"⚠ no brightness",IF(Calc!R18&gt;0.1,"⚠ step &gt; 10% of wr",IF(AND($BR18&lt;&gt;"",$BR18&lt;&gt;"No FRET",N($O18)&lt;2),"⚠ FRET needs ≥ 2 colours",IF(AND($BR18&lt;&gt;"",$BR18&lt;&gt;"No FRET",N($BS18)+N($BT18)+N($BU18)=0),"⚠ FRET: set R","✔ OK")))))))</f>
        <v/>
      </c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7" t="str">
        <f aca="false">IF(OR($CJ18="",$CJ18="No FRET",N($CK18)&lt;=0,N($V18)&lt;=0),"",1/(1+($CK18/$V18)^6))</f>
        <v/>
      </c>
      <c r="CO18" s="27" t="str">
        <f aca="false">IF(OR($CJ18="",$CJ18="No FRET",N($CL18)&lt;=0,N($W18)&lt;=0),"",1/(1+($CL18/$W18)^6))</f>
        <v/>
      </c>
      <c r="CP18" s="27" t="str">
        <f aca="false">IF(OR($CJ18="",$CJ18="No FRET",N($CM18)&lt;=0,N($X18)&lt;=0),"",1/(1+($CM18/$X18)^6))</f>
        <v/>
      </c>
      <c r="CQ18" s="28" t="str">
        <f aca="false">IF(OR($A18="",N($CC18)&lt;=0),"",IF($I18&gt;0,$CC18/($G18*$H18*$I18)/1E-024/6.022E+023/0.000000001,""))</f>
        <v/>
      </c>
      <c r="CR18" s="29" t="str">
        <f aca="false">IF(Calc!Y18=0,"",IF(Calc!W18&gt;=1,"✖ saturated (B ≥ freq.)",IF(Calc!W18&gt;0.1,"⚠ B &gt; 10% of freq.",IF(Calc!W18=0,"⚠ no brightness",IF(Calc!X18&gt;0.1,"⚠ step &gt; 10% of wr",IF(AND($CJ18&lt;&gt;"",$CJ18&lt;&gt;"No FRET",N($O18)&lt;2),"⚠ FRET needs ≥ 2 colours",IF(AND($CJ18&lt;&gt;"",$CJ18&lt;&gt;"No FRET",N($CK18)+N($CL18)+N($CM18)=0),"⚠ FRET: set R","✔ OK")))))))</f>
        <v/>
      </c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7" t="str">
        <f aca="false">IF(OR($DB18="",$DB18="No FRET",N($DC18)&lt;=0,N($V18)&lt;=0),"",1/(1+($DC18/$V18)^6))</f>
        <v/>
      </c>
      <c r="DG18" s="27" t="str">
        <f aca="false">IF(OR($DB18="",$DB18="No FRET",N($DD18)&lt;=0,N($W18)&lt;=0),"",1/(1+($DD18/$W18)^6))</f>
        <v/>
      </c>
      <c r="DH18" s="27" t="str">
        <f aca="false">IF(OR($DB18="",$DB18="No FRET",N($DE18)&lt;=0,N($X18)&lt;=0),"",1/(1+($DE18/$X18)^6))</f>
        <v/>
      </c>
      <c r="DI18" s="28" t="str">
        <f aca="false">IF(OR($A18="",N($CU18)&lt;=0),"",IF($I18&gt;0,$CU18/($G18*$H18*$I18)/1E-024/6.022E+023/0.000000001,""))</f>
        <v/>
      </c>
      <c r="DJ18" s="29" t="str">
        <f aca="false">IF(Calc!AE18=0,"",IF(Calc!AC18&gt;=1,"✖ saturated (B ≥ freq.)",IF(Calc!AC18&gt;0.1,"⚠ B &gt; 10% of freq.",IF(Calc!AC18=0,"⚠ no brightness",IF(Calc!AD18&gt;0.1,"⚠ step &gt; 10% of wr",IF(AND($DB18&lt;&gt;"",$DB18&lt;&gt;"No FRET",N($O18)&lt;2),"⚠ FRET needs ≥ 2 colours",IF(AND($DB18&lt;&gt;"",$DB18&lt;&gt;"No FRET",N($DC18)+N($DD18)+N($DE18)=0),"⚠ FRET: set R","✔ OK")))))))</f>
        <v/>
      </c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7" t="str">
        <f aca="false">IF(OR($DT18="",$DT18="No FRET",N($DU18)&lt;=0,N($V18)&lt;=0),"",1/(1+($DU18/$V18)^6))</f>
        <v/>
      </c>
      <c r="DY18" s="27" t="str">
        <f aca="false">IF(OR($DT18="",$DT18="No FRET",N($DV18)&lt;=0,N($W18)&lt;=0),"",1/(1+($DV18/$W18)^6))</f>
        <v/>
      </c>
      <c r="DZ18" s="27" t="str">
        <f aca="false">IF(OR($DT18="",$DT18="No FRET",N($DW18)&lt;=0,N($X18)&lt;=0),"",1/(1+($DW18/$X18)^6))</f>
        <v/>
      </c>
      <c r="EA18" s="28" t="str">
        <f aca="false">IF(OR($A18="",N($DM18)&lt;=0),"",IF($I18&gt;0,$DM18/($G18*$H18*$I18)/1E-024/6.022E+023/0.000000001,""))</f>
        <v/>
      </c>
      <c r="EB18" s="29" t="str">
        <f aca="false">IF(Calc!AK18=0,"",IF(Calc!AI18&gt;=1,"✖ saturated (B ≥ freq.)",IF(Calc!AI18&gt;0.1,"⚠ B &gt; 10% of freq.",IF(Calc!AI18=0,"⚠ no brightness",IF(Calc!AJ18&gt;0.1,"⚠ step &gt; 10% of wr",IF(AND($DT18&lt;&gt;"",$DT18&lt;&gt;"No FRET",N($O18)&lt;2),"⚠ FRET needs ≥ 2 colours",IF(AND($DT18&lt;&gt;"",$DT18&lt;&gt;"No FRET",N($DU18)+N($DV18)+N($DW18)=0),"⚠ FRET: set R","✔ OK")))))))</f>
        <v/>
      </c>
      <c r="EC18" s="30" t="str">
        <f aca="false">IF($A18="","",SUM(Calc!G18,Calc!M18,Calc!S18,Calc!Y18,Calc!AE18,Calc!AK18))</f>
        <v/>
      </c>
      <c r="ED18" s="30" t="str">
        <f aca="false">IF($A18="","",N($AA18)+N($AS18)+N($BK18)+N($CC18)+N($CU18)+N($DM18))</f>
        <v/>
      </c>
      <c r="EE18" s="31" t="str">
        <f aca="false">IF($A18="","",SUM(Calc!B18,Calc!H18,Calc!N18,Calc!T18,Calc!Z18,Calc!AF18))</f>
        <v/>
      </c>
      <c r="EF18" s="31" t="str">
        <f aca="false">IF($A18="","",SUM(Calc!C18,Calc!I18,Calc!O18,Calc!U18,Calc!AA18,Calc!AG18))</f>
        <v/>
      </c>
      <c r="EG18" s="31" t="str">
        <f aca="false">IF($A18="","",SUM(Calc!D18,Calc!J18,Calc!P18,Calc!V18,Calc!AB18,Calc!AH18))</f>
        <v/>
      </c>
      <c r="EH18" s="27" t="str">
        <f aca="false">IF($A18="","",($EE18+$EF18+$EG18+IF($P18="Yes",N($Q18)*N($O18),0))*1000*$K18/1000000)</f>
        <v/>
      </c>
      <c r="EI18" s="28" t="str">
        <f aca="false">IF($A18="","",$EH18*1000000*12/1000000000)</f>
        <v/>
      </c>
      <c r="EJ18" s="32" t="str">
        <f aca="false">IF($A18="","",IF($EC18=0,"⚠ no species entered",IF(((LEFT($AP18,1)="✖")+(LEFT($BH18,1)="✖")+(LEFT($BZ18,1)="✖")+(LEFT($CR18,1)="✖")+(LEFT($DJ18,1)="✖")+(LEFT($EB18,1)="✖"))&gt;0,"✖ "&amp;((LEFT($AP18,1)="✖")+(LEFT($BH18,1)="✖")+(LEFT($BZ18,1)="✖")+(LEFT($CR18,1)="✖")+(LEFT($DJ18,1)="✖")+(LEFT($EB18,1)="✖"))&amp;" species saturated - see the species checks",IF(MIN($G18,$H18)&lt;8*$T18,"⚠ box too small laterally (&lt; 8·wr)",IF(AND($I18&gt;0,$I18&lt;3*$U18),"⚠ box too small axially (&lt; 3·wz)",IF($EI18&gt;8,"⚠ &gt; 8 GB per file: shorten the duration and use several files",IF(((LEFT($AP18,1)="⚠")+(LEFT($BH18,1)="⚠")+(LEFT($BZ18,1)="⚠")+(LEFT($CR18,1)="⚠")+(LEFT($DJ18,1)="⚠")+(LEFT($EB18,1)="⚠"))&gt;0,"⚠ "&amp;((LEFT($AP18,1)="⚠")+(LEFT($BH18,1)="⚠")+(LEFT($BZ18,1)="⚠")+(LEFT($CR18,1)="⚠")+(LEFT($DJ18,1)="⚠")+(LEFT($EB18,1)="⚠"))&amp;" species with a warning","✔ OK")))))))</f>
        <v/>
      </c>
      <c r="EK18" s="25"/>
      <c r="EL18" s="25"/>
      <c r="EM18" s="25"/>
      <c r="EN18" s="25"/>
      <c r="EO18" s="25"/>
      <c r="EP18" s="25"/>
      <c r="EQ18" s="25"/>
      <c r="ER18" s="26"/>
    </row>
    <row r="19" customFormat="false" ht="15" hidden="false" customHeight="false" outlineLevel="0" collapsed="false">
      <c r="A19" s="25"/>
      <c r="B19" s="25"/>
      <c r="C19" s="26"/>
      <c r="D19" s="26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7" t="str">
        <f aca="false">IF(OR($AH19="",$AH19="No FRET",N($AI19)&lt;=0,N($V19)&lt;=0),"",1/(1+($AI19/$V19)^6))</f>
        <v/>
      </c>
      <c r="AM19" s="27" t="str">
        <f aca="false">IF(OR($AH19="",$AH19="No FRET",N($AJ19)&lt;=0,N($W19)&lt;=0),"",1/(1+($AJ19/$W19)^6))</f>
        <v/>
      </c>
      <c r="AN19" s="27" t="str">
        <f aca="false">IF(OR($AH19="",$AH19="No FRET",N($AK19)&lt;=0,N($X19)&lt;=0),"",1/(1+($AK19/$X19)^6))</f>
        <v/>
      </c>
      <c r="AO19" s="28" t="str">
        <f aca="false">IF(OR($A19="",N($AA19)&lt;=0),"",IF($I19&gt;0,$AA19/($G19*$H19*$I19)/1E-024/6.022E+023/0.000000001,""))</f>
        <v/>
      </c>
      <c r="AP19" s="29" t="str">
        <f aca="false">IF(Calc!G19=0,"",IF(Calc!E19&gt;=1,"✖ saturated (B ≥ freq.)",IF(Calc!E19&gt;0.1,"⚠ B &gt; 10% of freq.",IF(Calc!E19=0,"⚠ no brightness",IF(Calc!F19&gt;0.1,"⚠ step &gt; 10% of wr",IF(AND($AH19&lt;&gt;"",$AH19&lt;&gt;"No FRET",N($O19)&lt;2),"⚠ FRET needs ≥ 2 colours",IF(AND($AH19&lt;&gt;"",$AH19&lt;&gt;"No FRET",N($AI19)+N($AJ19)+N($AK19)=0),"⚠ FRET: set R","✔ OK")))))))</f>
        <v/>
      </c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7" t="str">
        <f aca="false">IF(OR($AZ19="",$AZ19="No FRET",N($BA19)&lt;=0,N($V19)&lt;=0),"",1/(1+($BA19/$V19)^6))</f>
        <v/>
      </c>
      <c r="BE19" s="27" t="str">
        <f aca="false">IF(OR($AZ19="",$AZ19="No FRET",N($BB19)&lt;=0,N($W19)&lt;=0),"",1/(1+($BB19/$W19)^6))</f>
        <v/>
      </c>
      <c r="BF19" s="27" t="str">
        <f aca="false">IF(OR($AZ19="",$AZ19="No FRET",N($BC19)&lt;=0,N($X19)&lt;=0),"",1/(1+($BC19/$X19)^6))</f>
        <v/>
      </c>
      <c r="BG19" s="28" t="str">
        <f aca="false">IF(OR($A19="",N($AS19)&lt;=0),"",IF($I19&gt;0,$AS19/($G19*$H19*$I19)/1E-024/6.022E+023/0.000000001,""))</f>
        <v/>
      </c>
      <c r="BH19" s="29" t="str">
        <f aca="false">IF(Calc!M19=0,"",IF(Calc!K19&gt;=1,"✖ saturated (B ≥ freq.)",IF(Calc!K19&gt;0.1,"⚠ B &gt; 10% of freq.",IF(Calc!K19=0,"⚠ no brightness",IF(Calc!L19&gt;0.1,"⚠ step &gt; 10% of wr",IF(AND($AZ19&lt;&gt;"",$AZ19&lt;&gt;"No FRET",N($O19)&lt;2),"⚠ FRET needs ≥ 2 colours",IF(AND($AZ19&lt;&gt;"",$AZ19&lt;&gt;"No FRET",N($BA19)+N($BB19)+N($BC19)=0),"⚠ FRET: set R","✔ OK")))))))</f>
        <v/>
      </c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7" t="str">
        <f aca="false">IF(OR($BR19="",$BR19="No FRET",N($BS19)&lt;=0,N($V19)&lt;=0),"",1/(1+($BS19/$V19)^6))</f>
        <v/>
      </c>
      <c r="BW19" s="27" t="str">
        <f aca="false">IF(OR($BR19="",$BR19="No FRET",N($BT19)&lt;=0,N($W19)&lt;=0),"",1/(1+($BT19/$W19)^6))</f>
        <v/>
      </c>
      <c r="BX19" s="27" t="str">
        <f aca="false">IF(OR($BR19="",$BR19="No FRET",N($BU19)&lt;=0,N($X19)&lt;=0),"",1/(1+($BU19/$X19)^6))</f>
        <v/>
      </c>
      <c r="BY19" s="28" t="str">
        <f aca="false">IF(OR($A19="",N($BK19)&lt;=0),"",IF($I19&gt;0,$BK19/($G19*$H19*$I19)/1E-024/6.022E+023/0.000000001,""))</f>
        <v/>
      </c>
      <c r="BZ19" s="29" t="str">
        <f aca="false">IF(Calc!S19=0,"",IF(Calc!Q19&gt;=1,"✖ saturated (B ≥ freq.)",IF(Calc!Q19&gt;0.1,"⚠ B &gt; 10% of freq.",IF(Calc!Q19=0,"⚠ no brightness",IF(Calc!R19&gt;0.1,"⚠ step &gt; 10% of wr",IF(AND($BR19&lt;&gt;"",$BR19&lt;&gt;"No FRET",N($O19)&lt;2),"⚠ FRET needs ≥ 2 colours",IF(AND($BR19&lt;&gt;"",$BR19&lt;&gt;"No FRET",N($BS19)+N($BT19)+N($BU19)=0),"⚠ FRET: set R","✔ OK")))))))</f>
        <v/>
      </c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7" t="str">
        <f aca="false">IF(OR($CJ19="",$CJ19="No FRET",N($CK19)&lt;=0,N($V19)&lt;=0),"",1/(1+($CK19/$V19)^6))</f>
        <v/>
      </c>
      <c r="CO19" s="27" t="str">
        <f aca="false">IF(OR($CJ19="",$CJ19="No FRET",N($CL19)&lt;=0,N($W19)&lt;=0),"",1/(1+($CL19/$W19)^6))</f>
        <v/>
      </c>
      <c r="CP19" s="27" t="str">
        <f aca="false">IF(OR($CJ19="",$CJ19="No FRET",N($CM19)&lt;=0,N($X19)&lt;=0),"",1/(1+($CM19/$X19)^6))</f>
        <v/>
      </c>
      <c r="CQ19" s="28" t="str">
        <f aca="false">IF(OR($A19="",N($CC19)&lt;=0),"",IF($I19&gt;0,$CC19/($G19*$H19*$I19)/1E-024/6.022E+023/0.000000001,""))</f>
        <v/>
      </c>
      <c r="CR19" s="29" t="str">
        <f aca="false">IF(Calc!Y19=0,"",IF(Calc!W19&gt;=1,"✖ saturated (B ≥ freq.)",IF(Calc!W19&gt;0.1,"⚠ B &gt; 10% of freq.",IF(Calc!W19=0,"⚠ no brightness",IF(Calc!X19&gt;0.1,"⚠ step &gt; 10% of wr",IF(AND($CJ19&lt;&gt;"",$CJ19&lt;&gt;"No FRET",N($O19)&lt;2),"⚠ FRET needs ≥ 2 colours",IF(AND($CJ19&lt;&gt;"",$CJ19&lt;&gt;"No FRET",N($CK19)+N($CL19)+N($CM19)=0),"⚠ FRET: set R","✔ OK")))))))</f>
        <v/>
      </c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7" t="str">
        <f aca="false">IF(OR($DB19="",$DB19="No FRET",N($DC19)&lt;=0,N($V19)&lt;=0),"",1/(1+($DC19/$V19)^6))</f>
        <v/>
      </c>
      <c r="DG19" s="27" t="str">
        <f aca="false">IF(OR($DB19="",$DB19="No FRET",N($DD19)&lt;=0,N($W19)&lt;=0),"",1/(1+($DD19/$W19)^6))</f>
        <v/>
      </c>
      <c r="DH19" s="27" t="str">
        <f aca="false">IF(OR($DB19="",$DB19="No FRET",N($DE19)&lt;=0,N($X19)&lt;=0),"",1/(1+($DE19/$X19)^6))</f>
        <v/>
      </c>
      <c r="DI19" s="28" t="str">
        <f aca="false">IF(OR($A19="",N($CU19)&lt;=0),"",IF($I19&gt;0,$CU19/($G19*$H19*$I19)/1E-024/6.022E+023/0.000000001,""))</f>
        <v/>
      </c>
      <c r="DJ19" s="29" t="str">
        <f aca="false">IF(Calc!AE19=0,"",IF(Calc!AC19&gt;=1,"✖ saturated (B ≥ freq.)",IF(Calc!AC19&gt;0.1,"⚠ B &gt; 10% of freq.",IF(Calc!AC19=0,"⚠ no brightness",IF(Calc!AD19&gt;0.1,"⚠ step &gt; 10% of wr",IF(AND($DB19&lt;&gt;"",$DB19&lt;&gt;"No FRET",N($O19)&lt;2),"⚠ FRET needs ≥ 2 colours",IF(AND($DB19&lt;&gt;"",$DB19&lt;&gt;"No FRET",N($DC19)+N($DD19)+N($DE19)=0),"⚠ FRET: set R","✔ OK")))))))</f>
        <v/>
      </c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7" t="str">
        <f aca="false">IF(OR($DT19="",$DT19="No FRET",N($DU19)&lt;=0,N($V19)&lt;=0),"",1/(1+($DU19/$V19)^6))</f>
        <v/>
      </c>
      <c r="DY19" s="27" t="str">
        <f aca="false">IF(OR($DT19="",$DT19="No FRET",N($DV19)&lt;=0,N($W19)&lt;=0),"",1/(1+($DV19/$W19)^6))</f>
        <v/>
      </c>
      <c r="DZ19" s="27" t="str">
        <f aca="false">IF(OR($DT19="",$DT19="No FRET",N($DW19)&lt;=0,N($X19)&lt;=0),"",1/(1+($DW19/$X19)^6))</f>
        <v/>
      </c>
      <c r="EA19" s="28" t="str">
        <f aca="false">IF(OR($A19="",N($DM19)&lt;=0),"",IF($I19&gt;0,$DM19/($G19*$H19*$I19)/1E-024/6.022E+023/0.000000001,""))</f>
        <v/>
      </c>
      <c r="EB19" s="29" t="str">
        <f aca="false">IF(Calc!AK19=0,"",IF(Calc!AI19&gt;=1,"✖ saturated (B ≥ freq.)",IF(Calc!AI19&gt;0.1,"⚠ B &gt; 10% of freq.",IF(Calc!AI19=0,"⚠ no brightness",IF(Calc!AJ19&gt;0.1,"⚠ step &gt; 10% of wr",IF(AND($DT19&lt;&gt;"",$DT19&lt;&gt;"No FRET",N($O19)&lt;2),"⚠ FRET needs ≥ 2 colours",IF(AND($DT19&lt;&gt;"",$DT19&lt;&gt;"No FRET",N($DU19)+N($DV19)+N($DW19)=0),"⚠ FRET: set R","✔ OK")))))))</f>
        <v/>
      </c>
      <c r="EC19" s="30" t="str">
        <f aca="false">IF($A19="","",SUM(Calc!G19,Calc!M19,Calc!S19,Calc!Y19,Calc!AE19,Calc!AK19))</f>
        <v/>
      </c>
      <c r="ED19" s="30" t="str">
        <f aca="false">IF($A19="","",N($AA19)+N($AS19)+N($BK19)+N($CC19)+N($CU19)+N($DM19))</f>
        <v/>
      </c>
      <c r="EE19" s="31" t="str">
        <f aca="false">IF($A19="","",SUM(Calc!B19,Calc!H19,Calc!N19,Calc!T19,Calc!Z19,Calc!AF19))</f>
        <v/>
      </c>
      <c r="EF19" s="31" t="str">
        <f aca="false">IF($A19="","",SUM(Calc!C19,Calc!I19,Calc!O19,Calc!U19,Calc!AA19,Calc!AG19))</f>
        <v/>
      </c>
      <c r="EG19" s="31" t="str">
        <f aca="false">IF($A19="","",SUM(Calc!D19,Calc!J19,Calc!P19,Calc!V19,Calc!AB19,Calc!AH19))</f>
        <v/>
      </c>
      <c r="EH19" s="27" t="str">
        <f aca="false">IF($A19="","",($EE19+$EF19+$EG19+IF($P19="Yes",N($Q19)*N($O19),0))*1000*$K19/1000000)</f>
        <v/>
      </c>
      <c r="EI19" s="28" t="str">
        <f aca="false">IF($A19="","",$EH19*1000000*12/1000000000)</f>
        <v/>
      </c>
      <c r="EJ19" s="32" t="str">
        <f aca="false">IF($A19="","",IF($EC19=0,"⚠ no species entered",IF(((LEFT($AP19,1)="✖")+(LEFT($BH19,1)="✖")+(LEFT($BZ19,1)="✖")+(LEFT($CR19,1)="✖")+(LEFT($DJ19,1)="✖")+(LEFT($EB19,1)="✖"))&gt;0,"✖ "&amp;((LEFT($AP19,1)="✖")+(LEFT($BH19,1)="✖")+(LEFT($BZ19,1)="✖")+(LEFT($CR19,1)="✖")+(LEFT($DJ19,1)="✖")+(LEFT($EB19,1)="✖"))&amp;" species saturated - see the species checks",IF(MIN($G19,$H19)&lt;8*$T19,"⚠ box too small laterally (&lt; 8·wr)",IF(AND($I19&gt;0,$I19&lt;3*$U19),"⚠ box too small axially (&lt; 3·wz)",IF($EI19&gt;8,"⚠ &gt; 8 GB per file: shorten the duration and use several files",IF(((LEFT($AP19,1)="⚠")+(LEFT($BH19,1)="⚠")+(LEFT($BZ19,1)="⚠")+(LEFT($CR19,1)="⚠")+(LEFT($DJ19,1)="⚠")+(LEFT($EB19,1)="⚠"))&gt;0,"⚠ "&amp;((LEFT($AP19,1)="⚠")+(LEFT($BH19,1)="⚠")+(LEFT($BZ19,1)="⚠")+(LEFT($CR19,1)="⚠")+(LEFT($DJ19,1)="⚠")+(LEFT($EB19,1)="⚠"))&amp;" species with a warning","✔ OK")))))))</f>
        <v/>
      </c>
      <c r="EK19" s="25"/>
      <c r="EL19" s="25"/>
      <c r="EM19" s="25"/>
      <c r="EN19" s="25"/>
      <c r="EO19" s="25"/>
      <c r="EP19" s="25"/>
      <c r="EQ19" s="25"/>
      <c r="ER19" s="26"/>
    </row>
    <row r="20" customFormat="false" ht="15" hidden="false" customHeight="false" outlineLevel="0" collapsed="false">
      <c r="A20" s="25"/>
      <c r="B20" s="25"/>
      <c r="C20" s="26"/>
      <c r="D20" s="26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7" t="str">
        <f aca="false">IF(OR($AH20="",$AH20="No FRET",N($AI20)&lt;=0,N($V20)&lt;=0),"",1/(1+($AI20/$V20)^6))</f>
        <v/>
      </c>
      <c r="AM20" s="27" t="str">
        <f aca="false">IF(OR($AH20="",$AH20="No FRET",N($AJ20)&lt;=0,N($W20)&lt;=0),"",1/(1+($AJ20/$W20)^6))</f>
        <v/>
      </c>
      <c r="AN20" s="27" t="str">
        <f aca="false">IF(OR($AH20="",$AH20="No FRET",N($AK20)&lt;=0,N($X20)&lt;=0),"",1/(1+($AK20/$X20)^6))</f>
        <v/>
      </c>
      <c r="AO20" s="28" t="str">
        <f aca="false">IF(OR($A20="",N($AA20)&lt;=0),"",IF($I20&gt;0,$AA20/($G20*$H20*$I20)/1E-024/6.022E+023/0.000000001,""))</f>
        <v/>
      </c>
      <c r="AP20" s="29" t="str">
        <f aca="false">IF(Calc!G20=0,"",IF(Calc!E20&gt;=1,"✖ saturated (B ≥ freq.)",IF(Calc!E20&gt;0.1,"⚠ B &gt; 10% of freq.",IF(Calc!E20=0,"⚠ no brightness",IF(Calc!F20&gt;0.1,"⚠ step &gt; 10% of wr",IF(AND($AH20&lt;&gt;"",$AH20&lt;&gt;"No FRET",N($O20)&lt;2),"⚠ FRET needs ≥ 2 colours",IF(AND($AH20&lt;&gt;"",$AH20&lt;&gt;"No FRET",N($AI20)+N($AJ20)+N($AK20)=0),"⚠ FRET: set R","✔ OK")))))))</f>
        <v/>
      </c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7" t="str">
        <f aca="false">IF(OR($AZ20="",$AZ20="No FRET",N($BA20)&lt;=0,N($V20)&lt;=0),"",1/(1+($BA20/$V20)^6))</f>
        <v/>
      </c>
      <c r="BE20" s="27" t="str">
        <f aca="false">IF(OR($AZ20="",$AZ20="No FRET",N($BB20)&lt;=0,N($W20)&lt;=0),"",1/(1+($BB20/$W20)^6))</f>
        <v/>
      </c>
      <c r="BF20" s="27" t="str">
        <f aca="false">IF(OR($AZ20="",$AZ20="No FRET",N($BC20)&lt;=0,N($X20)&lt;=0),"",1/(1+($BC20/$X20)^6))</f>
        <v/>
      </c>
      <c r="BG20" s="28" t="str">
        <f aca="false">IF(OR($A20="",N($AS20)&lt;=0),"",IF($I20&gt;0,$AS20/($G20*$H20*$I20)/1E-024/6.022E+023/0.000000001,""))</f>
        <v/>
      </c>
      <c r="BH20" s="29" t="str">
        <f aca="false">IF(Calc!M20=0,"",IF(Calc!K20&gt;=1,"✖ saturated (B ≥ freq.)",IF(Calc!K20&gt;0.1,"⚠ B &gt; 10% of freq.",IF(Calc!K20=0,"⚠ no brightness",IF(Calc!L20&gt;0.1,"⚠ step &gt; 10% of wr",IF(AND($AZ20&lt;&gt;"",$AZ20&lt;&gt;"No FRET",N($O20)&lt;2),"⚠ FRET needs ≥ 2 colours",IF(AND($AZ20&lt;&gt;"",$AZ20&lt;&gt;"No FRET",N($BA20)+N($BB20)+N($BC20)=0),"⚠ FRET: set R","✔ OK")))))))</f>
        <v/>
      </c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7" t="str">
        <f aca="false">IF(OR($BR20="",$BR20="No FRET",N($BS20)&lt;=0,N($V20)&lt;=0),"",1/(1+($BS20/$V20)^6))</f>
        <v/>
      </c>
      <c r="BW20" s="27" t="str">
        <f aca="false">IF(OR($BR20="",$BR20="No FRET",N($BT20)&lt;=0,N($W20)&lt;=0),"",1/(1+($BT20/$W20)^6))</f>
        <v/>
      </c>
      <c r="BX20" s="27" t="str">
        <f aca="false">IF(OR($BR20="",$BR20="No FRET",N($BU20)&lt;=0,N($X20)&lt;=0),"",1/(1+($BU20/$X20)^6))</f>
        <v/>
      </c>
      <c r="BY20" s="28" t="str">
        <f aca="false">IF(OR($A20="",N($BK20)&lt;=0),"",IF($I20&gt;0,$BK20/($G20*$H20*$I20)/1E-024/6.022E+023/0.000000001,""))</f>
        <v/>
      </c>
      <c r="BZ20" s="29" t="str">
        <f aca="false">IF(Calc!S20=0,"",IF(Calc!Q20&gt;=1,"✖ saturated (B ≥ freq.)",IF(Calc!Q20&gt;0.1,"⚠ B &gt; 10% of freq.",IF(Calc!Q20=0,"⚠ no brightness",IF(Calc!R20&gt;0.1,"⚠ step &gt; 10% of wr",IF(AND($BR20&lt;&gt;"",$BR20&lt;&gt;"No FRET",N($O20)&lt;2),"⚠ FRET needs ≥ 2 colours",IF(AND($BR20&lt;&gt;"",$BR20&lt;&gt;"No FRET",N($BS20)+N($BT20)+N($BU20)=0),"⚠ FRET: set R","✔ OK")))))))</f>
        <v/>
      </c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7" t="str">
        <f aca="false">IF(OR($CJ20="",$CJ20="No FRET",N($CK20)&lt;=0,N($V20)&lt;=0),"",1/(1+($CK20/$V20)^6))</f>
        <v/>
      </c>
      <c r="CO20" s="27" t="str">
        <f aca="false">IF(OR($CJ20="",$CJ20="No FRET",N($CL20)&lt;=0,N($W20)&lt;=0),"",1/(1+($CL20/$W20)^6))</f>
        <v/>
      </c>
      <c r="CP20" s="27" t="str">
        <f aca="false">IF(OR($CJ20="",$CJ20="No FRET",N($CM20)&lt;=0,N($X20)&lt;=0),"",1/(1+($CM20/$X20)^6))</f>
        <v/>
      </c>
      <c r="CQ20" s="28" t="str">
        <f aca="false">IF(OR($A20="",N($CC20)&lt;=0),"",IF($I20&gt;0,$CC20/($G20*$H20*$I20)/1E-024/6.022E+023/0.000000001,""))</f>
        <v/>
      </c>
      <c r="CR20" s="29" t="str">
        <f aca="false">IF(Calc!Y20=0,"",IF(Calc!W20&gt;=1,"✖ saturated (B ≥ freq.)",IF(Calc!W20&gt;0.1,"⚠ B &gt; 10% of freq.",IF(Calc!W20=0,"⚠ no brightness",IF(Calc!X20&gt;0.1,"⚠ step &gt; 10% of wr",IF(AND($CJ20&lt;&gt;"",$CJ20&lt;&gt;"No FRET",N($O20)&lt;2),"⚠ FRET needs ≥ 2 colours",IF(AND($CJ20&lt;&gt;"",$CJ20&lt;&gt;"No FRET",N($CK20)+N($CL20)+N($CM20)=0),"⚠ FRET: set R","✔ OK")))))))</f>
        <v/>
      </c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7" t="str">
        <f aca="false">IF(OR($DB20="",$DB20="No FRET",N($DC20)&lt;=0,N($V20)&lt;=0),"",1/(1+($DC20/$V20)^6))</f>
        <v/>
      </c>
      <c r="DG20" s="27" t="str">
        <f aca="false">IF(OR($DB20="",$DB20="No FRET",N($DD20)&lt;=0,N($W20)&lt;=0),"",1/(1+($DD20/$W20)^6))</f>
        <v/>
      </c>
      <c r="DH20" s="27" t="str">
        <f aca="false">IF(OR($DB20="",$DB20="No FRET",N($DE20)&lt;=0,N($X20)&lt;=0),"",1/(1+($DE20/$X20)^6))</f>
        <v/>
      </c>
      <c r="DI20" s="28" t="str">
        <f aca="false">IF(OR($A20="",N($CU20)&lt;=0),"",IF($I20&gt;0,$CU20/($G20*$H20*$I20)/1E-024/6.022E+023/0.000000001,""))</f>
        <v/>
      </c>
      <c r="DJ20" s="29" t="str">
        <f aca="false">IF(Calc!AE20=0,"",IF(Calc!AC20&gt;=1,"✖ saturated (B ≥ freq.)",IF(Calc!AC20&gt;0.1,"⚠ B &gt; 10% of freq.",IF(Calc!AC20=0,"⚠ no brightness",IF(Calc!AD20&gt;0.1,"⚠ step &gt; 10% of wr",IF(AND($DB20&lt;&gt;"",$DB20&lt;&gt;"No FRET",N($O20)&lt;2),"⚠ FRET needs ≥ 2 colours",IF(AND($DB20&lt;&gt;"",$DB20&lt;&gt;"No FRET",N($DC20)+N($DD20)+N($DE20)=0),"⚠ FRET: set R","✔ OK")))))))</f>
        <v/>
      </c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7" t="str">
        <f aca="false">IF(OR($DT20="",$DT20="No FRET",N($DU20)&lt;=0,N($V20)&lt;=0),"",1/(1+($DU20/$V20)^6))</f>
        <v/>
      </c>
      <c r="DY20" s="27" t="str">
        <f aca="false">IF(OR($DT20="",$DT20="No FRET",N($DV20)&lt;=0,N($W20)&lt;=0),"",1/(1+($DV20/$W20)^6))</f>
        <v/>
      </c>
      <c r="DZ20" s="27" t="str">
        <f aca="false">IF(OR($DT20="",$DT20="No FRET",N($DW20)&lt;=0,N($X20)&lt;=0),"",1/(1+($DW20/$X20)^6))</f>
        <v/>
      </c>
      <c r="EA20" s="28" t="str">
        <f aca="false">IF(OR($A20="",N($DM20)&lt;=0),"",IF($I20&gt;0,$DM20/($G20*$H20*$I20)/1E-024/6.022E+023/0.000000001,""))</f>
        <v/>
      </c>
      <c r="EB20" s="29" t="str">
        <f aca="false">IF(Calc!AK20=0,"",IF(Calc!AI20&gt;=1,"✖ saturated (B ≥ freq.)",IF(Calc!AI20&gt;0.1,"⚠ B &gt; 10% of freq.",IF(Calc!AI20=0,"⚠ no brightness",IF(Calc!AJ20&gt;0.1,"⚠ step &gt; 10% of wr",IF(AND($DT20&lt;&gt;"",$DT20&lt;&gt;"No FRET",N($O20)&lt;2),"⚠ FRET needs ≥ 2 colours",IF(AND($DT20&lt;&gt;"",$DT20&lt;&gt;"No FRET",N($DU20)+N($DV20)+N($DW20)=0),"⚠ FRET: set R","✔ OK")))))))</f>
        <v/>
      </c>
      <c r="EC20" s="30" t="str">
        <f aca="false">IF($A20="","",SUM(Calc!G20,Calc!M20,Calc!S20,Calc!Y20,Calc!AE20,Calc!AK20))</f>
        <v/>
      </c>
      <c r="ED20" s="30" t="str">
        <f aca="false">IF($A20="","",N($AA20)+N($AS20)+N($BK20)+N($CC20)+N($CU20)+N($DM20))</f>
        <v/>
      </c>
      <c r="EE20" s="31" t="str">
        <f aca="false">IF($A20="","",SUM(Calc!B20,Calc!H20,Calc!N20,Calc!T20,Calc!Z20,Calc!AF20))</f>
        <v/>
      </c>
      <c r="EF20" s="31" t="str">
        <f aca="false">IF($A20="","",SUM(Calc!C20,Calc!I20,Calc!O20,Calc!U20,Calc!AA20,Calc!AG20))</f>
        <v/>
      </c>
      <c r="EG20" s="31" t="str">
        <f aca="false">IF($A20="","",SUM(Calc!D20,Calc!J20,Calc!P20,Calc!V20,Calc!AB20,Calc!AH20))</f>
        <v/>
      </c>
      <c r="EH20" s="27" t="str">
        <f aca="false">IF($A20="","",($EE20+$EF20+$EG20+IF($P20="Yes",N($Q20)*N($O20),0))*1000*$K20/1000000)</f>
        <v/>
      </c>
      <c r="EI20" s="28" t="str">
        <f aca="false">IF($A20="","",$EH20*1000000*12/1000000000)</f>
        <v/>
      </c>
      <c r="EJ20" s="32" t="str">
        <f aca="false">IF($A20="","",IF($EC20=0,"⚠ no species entered",IF(((LEFT($AP20,1)="✖")+(LEFT($BH20,1)="✖")+(LEFT($BZ20,1)="✖")+(LEFT($CR20,1)="✖")+(LEFT($DJ20,1)="✖")+(LEFT($EB20,1)="✖"))&gt;0,"✖ "&amp;((LEFT($AP20,1)="✖")+(LEFT($BH20,1)="✖")+(LEFT($BZ20,1)="✖")+(LEFT($CR20,1)="✖")+(LEFT($DJ20,1)="✖")+(LEFT($EB20,1)="✖"))&amp;" species saturated - see the species checks",IF(MIN($G20,$H20)&lt;8*$T20,"⚠ box too small laterally (&lt; 8·wr)",IF(AND($I20&gt;0,$I20&lt;3*$U20),"⚠ box too small axially (&lt; 3·wz)",IF($EI20&gt;8,"⚠ &gt; 8 GB per file: shorten the duration and use several files",IF(((LEFT($AP20,1)="⚠")+(LEFT($BH20,1)="⚠")+(LEFT($BZ20,1)="⚠")+(LEFT($CR20,1)="⚠")+(LEFT($DJ20,1)="⚠")+(LEFT($EB20,1)="⚠"))&gt;0,"⚠ "&amp;((LEFT($AP20,1)="⚠")+(LEFT($BH20,1)="⚠")+(LEFT($BZ20,1)="⚠")+(LEFT($CR20,1)="⚠")+(LEFT($DJ20,1)="⚠")+(LEFT($EB20,1)="⚠"))&amp;" species with a warning","✔ OK")))))))</f>
        <v/>
      </c>
      <c r="EK20" s="25"/>
      <c r="EL20" s="25"/>
      <c r="EM20" s="25"/>
      <c r="EN20" s="25"/>
      <c r="EO20" s="25"/>
      <c r="EP20" s="25"/>
      <c r="EQ20" s="25"/>
      <c r="ER20" s="26"/>
    </row>
    <row r="21" customFormat="false" ht="15" hidden="false" customHeight="false" outlineLevel="0" collapsed="false">
      <c r="A21" s="25"/>
      <c r="B21" s="25"/>
      <c r="C21" s="26"/>
      <c r="D21" s="26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7" t="str">
        <f aca="false">IF(OR($AH21="",$AH21="No FRET",N($AI21)&lt;=0,N($V21)&lt;=0),"",1/(1+($AI21/$V21)^6))</f>
        <v/>
      </c>
      <c r="AM21" s="27" t="str">
        <f aca="false">IF(OR($AH21="",$AH21="No FRET",N($AJ21)&lt;=0,N($W21)&lt;=0),"",1/(1+($AJ21/$W21)^6))</f>
        <v/>
      </c>
      <c r="AN21" s="27" t="str">
        <f aca="false">IF(OR($AH21="",$AH21="No FRET",N($AK21)&lt;=0,N($X21)&lt;=0),"",1/(1+($AK21/$X21)^6))</f>
        <v/>
      </c>
      <c r="AO21" s="28" t="str">
        <f aca="false">IF(OR($A21="",N($AA21)&lt;=0),"",IF($I21&gt;0,$AA21/($G21*$H21*$I21)/1E-024/6.022E+023/0.000000001,""))</f>
        <v/>
      </c>
      <c r="AP21" s="29" t="str">
        <f aca="false">IF(Calc!G21=0,"",IF(Calc!E21&gt;=1,"✖ saturated (B ≥ freq.)",IF(Calc!E21&gt;0.1,"⚠ B &gt; 10% of freq.",IF(Calc!E21=0,"⚠ no brightness",IF(Calc!F21&gt;0.1,"⚠ step &gt; 10% of wr",IF(AND($AH21&lt;&gt;"",$AH21&lt;&gt;"No FRET",N($O21)&lt;2),"⚠ FRET needs ≥ 2 colours",IF(AND($AH21&lt;&gt;"",$AH21&lt;&gt;"No FRET",N($AI21)+N($AJ21)+N($AK21)=0),"⚠ FRET: set R","✔ OK")))))))</f>
        <v/>
      </c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7" t="str">
        <f aca="false">IF(OR($AZ21="",$AZ21="No FRET",N($BA21)&lt;=0,N($V21)&lt;=0),"",1/(1+($BA21/$V21)^6))</f>
        <v/>
      </c>
      <c r="BE21" s="27" t="str">
        <f aca="false">IF(OR($AZ21="",$AZ21="No FRET",N($BB21)&lt;=0,N($W21)&lt;=0),"",1/(1+($BB21/$W21)^6))</f>
        <v/>
      </c>
      <c r="BF21" s="27" t="str">
        <f aca="false">IF(OR($AZ21="",$AZ21="No FRET",N($BC21)&lt;=0,N($X21)&lt;=0),"",1/(1+($BC21/$X21)^6))</f>
        <v/>
      </c>
      <c r="BG21" s="28" t="str">
        <f aca="false">IF(OR($A21="",N($AS21)&lt;=0),"",IF($I21&gt;0,$AS21/($G21*$H21*$I21)/1E-024/6.022E+023/0.000000001,""))</f>
        <v/>
      </c>
      <c r="BH21" s="29" t="str">
        <f aca="false">IF(Calc!M21=0,"",IF(Calc!K21&gt;=1,"✖ saturated (B ≥ freq.)",IF(Calc!K21&gt;0.1,"⚠ B &gt; 10% of freq.",IF(Calc!K21=0,"⚠ no brightness",IF(Calc!L21&gt;0.1,"⚠ step &gt; 10% of wr",IF(AND($AZ21&lt;&gt;"",$AZ21&lt;&gt;"No FRET",N($O21)&lt;2),"⚠ FRET needs ≥ 2 colours",IF(AND($AZ21&lt;&gt;"",$AZ21&lt;&gt;"No FRET",N($BA21)+N($BB21)+N($BC21)=0),"⚠ FRET: set R","✔ OK")))))))</f>
        <v/>
      </c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7" t="str">
        <f aca="false">IF(OR($BR21="",$BR21="No FRET",N($BS21)&lt;=0,N($V21)&lt;=0),"",1/(1+($BS21/$V21)^6))</f>
        <v/>
      </c>
      <c r="BW21" s="27" t="str">
        <f aca="false">IF(OR($BR21="",$BR21="No FRET",N($BT21)&lt;=0,N($W21)&lt;=0),"",1/(1+($BT21/$W21)^6))</f>
        <v/>
      </c>
      <c r="BX21" s="27" t="str">
        <f aca="false">IF(OR($BR21="",$BR21="No FRET",N($BU21)&lt;=0,N($X21)&lt;=0),"",1/(1+($BU21/$X21)^6))</f>
        <v/>
      </c>
      <c r="BY21" s="28" t="str">
        <f aca="false">IF(OR($A21="",N($BK21)&lt;=0),"",IF($I21&gt;0,$BK21/($G21*$H21*$I21)/1E-024/6.022E+023/0.000000001,""))</f>
        <v/>
      </c>
      <c r="BZ21" s="29" t="str">
        <f aca="false">IF(Calc!S21=0,"",IF(Calc!Q21&gt;=1,"✖ saturated (B ≥ freq.)",IF(Calc!Q21&gt;0.1,"⚠ B &gt; 10% of freq.",IF(Calc!Q21=0,"⚠ no brightness",IF(Calc!R21&gt;0.1,"⚠ step &gt; 10% of wr",IF(AND($BR21&lt;&gt;"",$BR21&lt;&gt;"No FRET",N($O21)&lt;2),"⚠ FRET needs ≥ 2 colours",IF(AND($BR21&lt;&gt;"",$BR21&lt;&gt;"No FRET",N($BS21)+N($BT21)+N($BU21)=0),"⚠ FRET: set R","✔ OK")))))))</f>
        <v/>
      </c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7" t="str">
        <f aca="false">IF(OR($CJ21="",$CJ21="No FRET",N($CK21)&lt;=0,N($V21)&lt;=0),"",1/(1+($CK21/$V21)^6))</f>
        <v/>
      </c>
      <c r="CO21" s="27" t="str">
        <f aca="false">IF(OR($CJ21="",$CJ21="No FRET",N($CL21)&lt;=0,N($W21)&lt;=0),"",1/(1+($CL21/$W21)^6))</f>
        <v/>
      </c>
      <c r="CP21" s="27" t="str">
        <f aca="false">IF(OR($CJ21="",$CJ21="No FRET",N($CM21)&lt;=0,N($X21)&lt;=0),"",1/(1+($CM21/$X21)^6))</f>
        <v/>
      </c>
      <c r="CQ21" s="28" t="str">
        <f aca="false">IF(OR($A21="",N($CC21)&lt;=0),"",IF($I21&gt;0,$CC21/($G21*$H21*$I21)/1E-024/6.022E+023/0.000000001,""))</f>
        <v/>
      </c>
      <c r="CR21" s="29" t="str">
        <f aca="false">IF(Calc!Y21=0,"",IF(Calc!W21&gt;=1,"✖ saturated (B ≥ freq.)",IF(Calc!W21&gt;0.1,"⚠ B &gt; 10% of freq.",IF(Calc!W21=0,"⚠ no brightness",IF(Calc!X21&gt;0.1,"⚠ step &gt; 10% of wr",IF(AND($CJ21&lt;&gt;"",$CJ21&lt;&gt;"No FRET",N($O21)&lt;2),"⚠ FRET needs ≥ 2 colours",IF(AND($CJ21&lt;&gt;"",$CJ21&lt;&gt;"No FRET",N($CK21)+N($CL21)+N($CM21)=0),"⚠ FRET: set R","✔ OK")))))))</f>
        <v/>
      </c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7" t="str">
        <f aca="false">IF(OR($DB21="",$DB21="No FRET",N($DC21)&lt;=0,N($V21)&lt;=0),"",1/(1+($DC21/$V21)^6))</f>
        <v/>
      </c>
      <c r="DG21" s="27" t="str">
        <f aca="false">IF(OR($DB21="",$DB21="No FRET",N($DD21)&lt;=0,N($W21)&lt;=0),"",1/(1+($DD21/$W21)^6))</f>
        <v/>
      </c>
      <c r="DH21" s="27" t="str">
        <f aca="false">IF(OR($DB21="",$DB21="No FRET",N($DE21)&lt;=0,N($X21)&lt;=0),"",1/(1+($DE21/$X21)^6))</f>
        <v/>
      </c>
      <c r="DI21" s="28" t="str">
        <f aca="false">IF(OR($A21="",N($CU21)&lt;=0),"",IF($I21&gt;0,$CU21/($G21*$H21*$I21)/1E-024/6.022E+023/0.000000001,""))</f>
        <v/>
      </c>
      <c r="DJ21" s="29" t="str">
        <f aca="false">IF(Calc!AE21=0,"",IF(Calc!AC21&gt;=1,"✖ saturated (B ≥ freq.)",IF(Calc!AC21&gt;0.1,"⚠ B &gt; 10% of freq.",IF(Calc!AC21=0,"⚠ no brightness",IF(Calc!AD21&gt;0.1,"⚠ step &gt; 10% of wr",IF(AND($DB21&lt;&gt;"",$DB21&lt;&gt;"No FRET",N($O21)&lt;2),"⚠ FRET needs ≥ 2 colours",IF(AND($DB21&lt;&gt;"",$DB21&lt;&gt;"No FRET",N($DC21)+N($DD21)+N($DE21)=0),"⚠ FRET: set R","✔ OK")))))))</f>
        <v/>
      </c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7" t="str">
        <f aca="false">IF(OR($DT21="",$DT21="No FRET",N($DU21)&lt;=0,N($V21)&lt;=0),"",1/(1+($DU21/$V21)^6))</f>
        <v/>
      </c>
      <c r="DY21" s="27" t="str">
        <f aca="false">IF(OR($DT21="",$DT21="No FRET",N($DV21)&lt;=0,N($W21)&lt;=0),"",1/(1+($DV21/$W21)^6))</f>
        <v/>
      </c>
      <c r="DZ21" s="27" t="str">
        <f aca="false">IF(OR($DT21="",$DT21="No FRET",N($DW21)&lt;=0,N($X21)&lt;=0),"",1/(1+($DW21/$X21)^6))</f>
        <v/>
      </c>
      <c r="EA21" s="28" t="str">
        <f aca="false">IF(OR($A21="",N($DM21)&lt;=0),"",IF($I21&gt;0,$DM21/($G21*$H21*$I21)/1E-024/6.022E+023/0.000000001,""))</f>
        <v/>
      </c>
      <c r="EB21" s="29" t="str">
        <f aca="false">IF(Calc!AK21=0,"",IF(Calc!AI21&gt;=1,"✖ saturated (B ≥ freq.)",IF(Calc!AI21&gt;0.1,"⚠ B &gt; 10% of freq.",IF(Calc!AI21=0,"⚠ no brightness",IF(Calc!AJ21&gt;0.1,"⚠ step &gt; 10% of wr",IF(AND($DT21&lt;&gt;"",$DT21&lt;&gt;"No FRET",N($O21)&lt;2),"⚠ FRET needs ≥ 2 colours",IF(AND($DT21&lt;&gt;"",$DT21&lt;&gt;"No FRET",N($DU21)+N($DV21)+N($DW21)=0),"⚠ FRET: set R","✔ OK")))))))</f>
        <v/>
      </c>
      <c r="EC21" s="30" t="str">
        <f aca="false">IF($A21="","",SUM(Calc!G21,Calc!M21,Calc!S21,Calc!Y21,Calc!AE21,Calc!AK21))</f>
        <v/>
      </c>
      <c r="ED21" s="30" t="str">
        <f aca="false">IF($A21="","",N($AA21)+N($AS21)+N($BK21)+N($CC21)+N($CU21)+N($DM21))</f>
        <v/>
      </c>
      <c r="EE21" s="31" t="str">
        <f aca="false">IF($A21="","",SUM(Calc!B21,Calc!H21,Calc!N21,Calc!T21,Calc!Z21,Calc!AF21))</f>
        <v/>
      </c>
      <c r="EF21" s="31" t="str">
        <f aca="false">IF($A21="","",SUM(Calc!C21,Calc!I21,Calc!O21,Calc!U21,Calc!AA21,Calc!AG21))</f>
        <v/>
      </c>
      <c r="EG21" s="31" t="str">
        <f aca="false">IF($A21="","",SUM(Calc!D21,Calc!J21,Calc!P21,Calc!V21,Calc!AB21,Calc!AH21))</f>
        <v/>
      </c>
      <c r="EH21" s="27" t="str">
        <f aca="false">IF($A21="","",($EE21+$EF21+$EG21+IF($P21="Yes",N($Q21)*N($O21),0))*1000*$K21/1000000)</f>
        <v/>
      </c>
      <c r="EI21" s="28" t="str">
        <f aca="false">IF($A21="","",$EH21*1000000*12/1000000000)</f>
        <v/>
      </c>
      <c r="EJ21" s="32" t="str">
        <f aca="false">IF($A21="","",IF($EC21=0,"⚠ no species entered",IF(((LEFT($AP21,1)="✖")+(LEFT($BH21,1)="✖")+(LEFT($BZ21,1)="✖")+(LEFT($CR21,1)="✖")+(LEFT($DJ21,1)="✖")+(LEFT($EB21,1)="✖"))&gt;0,"✖ "&amp;((LEFT($AP21,1)="✖")+(LEFT($BH21,1)="✖")+(LEFT($BZ21,1)="✖")+(LEFT($CR21,1)="✖")+(LEFT($DJ21,1)="✖")+(LEFT($EB21,1)="✖"))&amp;" species saturated - see the species checks",IF(MIN($G21,$H21)&lt;8*$T21,"⚠ box too small laterally (&lt; 8·wr)",IF(AND($I21&gt;0,$I21&lt;3*$U21),"⚠ box too small axially (&lt; 3·wz)",IF($EI21&gt;8,"⚠ &gt; 8 GB per file: shorten the duration and use several files",IF(((LEFT($AP21,1)="⚠")+(LEFT($BH21,1)="⚠")+(LEFT($BZ21,1)="⚠")+(LEFT($CR21,1)="⚠")+(LEFT($DJ21,1)="⚠")+(LEFT($EB21,1)="⚠"))&gt;0,"⚠ "&amp;((LEFT($AP21,1)="⚠")+(LEFT($BH21,1)="⚠")+(LEFT($BZ21,1)="⚠")+(LEFT($CR21,1)="⚠")+(LEFT($DJ21,1)="⚠")+(LEFT($EB21,1)="⚠"))&amp;" species with a warning","✔ OK")))))))</f>
        <v/>
      </c>
      <c r="EK21" s="25"/>
      <c r="EL21" s="25"/>
      <c r="EM21" s="25"/>
      <c r="EN21" s="25"/>
      <c r="EO21" s="25"/>
      <c r="EP21" s="25"/>
      <c r="EQ21" s="25"/>
      <c r="ER21" s="26"/>
    </row>
    <row r="22" customFormat="false" ht="15" hidden="false" customHeight="false" outlineLevel="0" collapsed="false">
      <c r="A22" s="25"/>
      <c r="B22" s="25"/>
      <c r="C22" s="26"/>
      <c r="D22" s="26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7" t="str">
        <f aca="false">IF(OR($AH22="",$AH22="No FRET",N($AI22)&lt;=0,N($V22)&lt;=0),"",1/(1+($AI22/$V22)^6))</f>
        <v/>
      </c>
      <c r="AM22" s="27" t="str">
        <f aca="false">IF(OR($AH22="",$AH22="No FRET",N($AJ22)&lt;=0,N($W22)&lt;=0),"",1/(1+($AJ22/$W22)^6))</f>
        <v/>
      </c>
      <c r="AN22" s="27" t="str">
        <f aca="false">IF(OR($AH22="",$AH22="No FRET",N($AK22)&lt;=0,N($X22)&lt;=0),"",1/(1+($AK22/$X22)^6))</f>
        <v/>
      </c>
      <c r="AO22" s="28" t="str">
        <f aca="false">IF(OR($A22="",N($AA22)&lt;=0),"",IF($I22&gt;0,$AA22/($G22*$H22*$I22)/1E-024/6.022E+023/0.000000001,""))</f>
        <v/>
      </c>
      <c r="AP22" s="29" t="str">
        <f aca="false">IF(Calc!G22=0,"",IF(Calc!E22&gt;=1,"✖ saturated (B ≥ freq.)",IF(Calc!E22&gt;0.1,"⚠ B &gt; 10% of freq.",IF(Calc!E22=0,"⚠ no brightness",IF(Calc!F22&gt;0.1,"⚠ step &gt; 10% of wr",IF(AND($AH22&lt;&gt;"",$AH22&lt;&gt;"No FRET",N($O22)&lt;2),"⚠ FRET needs ≥ 2 colours",IF(AND($AH22&lt;&gt;"",$AH22&lt;&gt;"No FRET",N($AI22)+N($AJ22)+N($AK22)=0),"⚠ FRET: set R","✔ OK")))))))</f>
        <v/>
      </c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7" t="str">
        <f aca="false">IF(OR($AZ22="",$AZ22="No FRET",N($BA22)&lt;=0,N($V22)&lt;=0),"",1/(1+($BA22/$V22)^6))</f>
        <v/>
      </c>
      <c r="BE22" s="27" t="str">
        <f aca="false">IF(OR($AZ22="",$AZ22="No FRET",N($BB22)&lt;=0,N($W22)&lt;=0),"",1/(1+($BB22/$W22)^6))</f>
        <v/>
      </c>
      <c r="BF22" s="27" t="str">
        <f aca="false">IF(OR($AZ22="",$AZ22="No FRET",N($BC22)&lt;=0,N($X22)&lt;=0),"",1/(1+($BC22/$X22)^6))</f>
        <v/>
      </c>
      <c r="BG22" s="28" t="str">
        <f aca="false">IF(OR($A22="",N($AS22)&lt;=0),"",IF($I22&gt;0,$AS22/($G22*$H22*$I22)/1E-024/6.022E+023/0.000000001,""))</f>
        <v/>
      </c>
      <c r="BH22" s="29" t="str">
        <f aca="false">IF(Calc!M22=0,"",IF(Calc!K22&gt;=1,"✖ saturated (B ≥ freq.)",IF(Calc!K22&gt;0.1,"⚠ B &gt; 10% of freq.",IF(Calc!K22=0,"⚠ no brightness",IF(Calc!L22&gt;0.1,"⚠ step &gt; 10% of wr",IF(AND($AZ22&lt;&gt;"",$AZ22&lt;&gt;"No FRET",N($O22)&lt;2),"⚠ FRET needs ≥ 2 colours",IF(AND($AZ22&lt;&gt;"",$AZ22&lt;&gt;"No FRET",N($BA22)+N($BB22)+N($BC22)=0),"⚠ FRET: set R","✔ OK")))))))</f>
        <v/>
      </c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7" t="str">
        <f aca="false">IF(OR($BR22="",$BR22="No FRET",N($BS22)&lt;=0,N($V22)&lt;=0),"",1/(1+($BS22/$V22)^6))</f>
        <v/>
      </c>
      <c r="BW22" s="27" t="str">
        <f aca="false">IF(OR($BR22="",$BR22="No FRET",N($BT22)&lt;=0,N($W22)&lt;=0),"",1/(1+($BT22/$W22)^6))</f>
        <v/>
      </c>
      <c r="BX22" s="27" t="str">
        <f aca="false">IF(OR($BR22="",$BR22="No FRET",N($BU22)&lt;=0,N($X22)&lt;=0),"",1/(1+($BU22/$X22)^6))</f>
        <v/>
      </c>
      <c r="BY22" s="28" t="str">
        <f aca="false">IF(OR($A22="",N($BK22)&lt;=0),"",IF($I22&gt;0,$BK22/($G22*$H22*$I22)/1E-024/6.022E+023/0.000000001,""))</f>
        <v/>
      </c>
      <c r="BZ22" s="29" t="str">
        <f aca="false">IF(Calc!S22=0,"",IF(Calc!Q22&gt;=1,"✖ saturated (B ≥ freq.)",IF(Calc!Q22&gt;0.1,"⚠ B &gt; 10% of freq.",IF(Calc!Q22=0,"⚠ no brightness",IF(Calc!R22&gt;0.1,"⚠ step &gt; 10% of wr",IF(AND($BR22&lt;&gt;"",$BR22&lt;&gt;"No FRET",N($O22)&lt;2),"⚠ FRET needs ≥ 2 colours",IF(AND($BR22&lt;&gt;"",$BR22&lt;&gt;"No FRET",N($BS22)+N($BT22)+N($BU22)=0),"⚠ FRET: set R","✔ OK")))))))</f>
        <v/>
      </c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7" t="str">
        <f aca="false">IF(OR($CJ22="",$CJ22="No FRET",N($CK22)&lt;=0,N($V22)&lt;=0),"",1/(1+($CK22/$V22)^6))</f>
        <v/>
      </c>
      <c r="CO22" s="27" t="str">
        <f aca="false">IF(OR($CJ22="",$CJ22="No FRET",N($CL22)&lt;=0,N($W22)&lt;=0),"",1/(1+($CL22/$W22)^6))</f>
        <v/>
      </c>
      <c r="CP22" s="27" t="str">
        <f aca="false">IF(OR($CJ22="",$CJ22="No FRET",N($CM22)&lt;=0,N($X22)&lt;=0),"",1/(1+($CM22/$X22)^6))</f>
        <v/>
      </c>
      <c r="CQ22" s="28" t="str">
        <f aca="false">IF(OR($A22="",N($CC22)&lt;=0),"",IF($I22&gt;0,$CC22/($G22*$H22*$I22)/1E-024/6.022E+023/0.000000001,""))</f>
        <v/>
      </c>
      <c r="CR22" s="29" t="str">
        <f aca="false">IF(Calc!Y22=0,"",IF(Calc!W22&gt;=1,"✖ saturated (B ≥ freq.)",IF(Calc!W22&gt;0.1,"⚠ B &gt; 10% of freq.",IF(Calc!W22=0,"⚠ no brightness",IF(Calc!X22&gt;0.1,"⚠ step &gt; 10% of wr",IF(AND($CJ22&lt;&gt;"",$CJ22&lt;&gt;"No FRET",N($O22)&lt;2),"⚠ FRET needs ≥ 2 colours",IF(AND($CJ22&lt;&gt;"",$CJ22&lt;&gt;"No FRET",N($CK22)+N($CL22)+N($CM22)=0),"⚠ FRET: set R","✔ OK")))))))</f>
        <v/>
      </c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7" t="str">
        <f aca="false">IF(OR($DB22="",$DB22="No FRET",N($DC22)&lt;=0,N($V22)&lt;=0),"",1/(1+($DC22/$V22)^6))</f>
        <v/>
      </c>
      <c r="DG22" s="27" t="str">
        <f aca="false">IF(OR($DB22="",$DB22="No FRET",N($DD22)&lt;=0,N($W22)&lt;=0),"",1/(1+($DD22/$W22)^6))</f>
        <v/>
      </c>
      <c r="DH22" s="27" t="str">
        <f aca="false">IF(OR($DB22="",$DB22="No FRET",N($DE22)&lt;=0,N($X22)&lt;=0),"",1/(1+($DE22/$X22)^6))</f>
        <v/>
      </c>
      <c r="DI22" s="28" t="str">
        <f aca="false">IF(OR($A22="",N($CU22)&lt;=0),"",IF($I22&gt;0,$CU22/($G22*$H22*$I22)/1E-024/6.022E+023/0.000000001,""))</f>
        <v/>
      </c>
      <c r="DJ22" s="29" t="str">
        <f aca="false">IF(Calc!AE22=0,"",IF(Calc!AC22&gt;=1,"✖ saturated (B ≥ freq.)",IF(Calc!AC22&gt;0.1,"⚠ B &gt; 10% of freq.",IF(Calc!AC22=0,"⚠ no brightness",IF(Calc!AD22&gt;0.1,"⚠ step &gt; 10% of wr",IF(AND($DB22&lt;&gt;"",$DB22&lt;&gt;"No FRET",N($O22)&lt;2),"⚠ FRET needs ≥ 2 colours",IF(AND($DB22&lt;&gt;"",$DB22&lt;&gt;"No FRET",N($DC22)+N($DD22)+N($DE22)=0),"⚠ FRET: set R","✔ OK")))))))</f>
        <v/>
      </c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7" t="str">
        <f aca="false">IF(OR($DT22="",$DT22="No FRET",N($DU22)&lt;=0,N($V22)&lt;=0),"",1/(1+($DU22/$V22)^6))</f>
        <v/>
      </c>
      <c r="DY22" s="27" t="str">
        <f aca="false">IF(OR($DT22="",$DT22="No FRET",N($DV22)&lt;=0,N($W22)&lt;=0),"",1/(1+($DV22/$W22)^6))</f>
        <v/>
      </c>
      <c r="DZ22" s="27" t="str">
        <f aca="false">IF(OR($DT22="",$DT22="No FRET",N($DW22)&lt;=0,N($X22)&lt;=0),"",1/(1+($DW22/$X22)^6))</f>
        <v/>
      </c>
      <c r="EA22" s="28" t="str">
        <f aca="false">IF(OR($A22="",N($DM22)&lt;=0),"",IF($I22&gt;0,$DM22/($G22*$H22*$I22)/1E-024/6.022E+023/0.000000001,""))</f>
        <v/>
      </c>
      <c r="EB22" s="29" t="str">
        <f aca="false">IF(Calc!AK22=0,"",IF(Calc!AI22&gt;=1,"✖ saturated (B ≥ freq.)",IF(Calc!AI22&gt;0.1,"⚠ B &gt; 10% of freq.",IF(Calc!AI22=0,"⚠ no brightness",IF(Calc!AJ22&gt;0.1,"⚠ step &gt; 10% of wr",IF(AND($DT22&lt;&gt;"",$DT22&lt;&gt;"No FRET",N($O22)&lt;2),"⚠ FRET needs ≥ 2 colours",IF(AND($DT22&lt;&gt;"",$DT22&lt;&gt;"No FRET",N($DU22)+N($DV22)+N($DW22)=0),"⚠ FRET: set R","✔ OK")))))))</f>
        <v/>
      </c>
      <c r="EC22" s="30" t="str">
        <f aca="false">IF($A22="","",SUM(Calc!G22,Calc!M22,Calc!S22,Calc!Y22,Calc!AE22,Calc!AK22))</f>
        <v/>
      </c>
      <c r="ED22" s="30" t="str">
        <f aca="false">IF($A22="","",N($AA22)+N($AS22)+N($BK22)+N($CC22)+N($CU22)+N($DM22))</f>
        <v/>
      </c>
      <c r="EE22" s="31" t="str">
        <f aca="false">IF($A22="","",SUM(Calc!B22,Calc!H22,Calc!N22,Calc!T22,Calc!Z22,Calc!AF22))</f>
        <v/>
      </c>
      <c r="EF22" s="31" t="str">
        <f aca="false">IF($A22="","",SUM(Calc!C22,Calc!I22,Calc!O22,Calc!U22,Calc!AA22,Calc!AG22))</f>
        <v/>
      </c>
      <c r="EG22" s="31" t="str">
        <f aca="false">IF($A22="","",SUM(Calc!D22,Calc!J22,Calc!P22,Calc!V22,Calc!AB22,Calc!AH22))</f>
        <v/>
      </c>
      <c r="EH22" s="27" t="str">
        <f aca="false">IF($A22="","",($EE22+$EF22+$EG22+IF($P22="Yes",N($Q22)*N($O22),0))*1000*$K22/1000000)</f>
        <v/>
      </c>
      <c r="EI22" s="28" t="str">
        <f aca="false">IF($A22="","",$EH22*1000000*12/1000000000)</f>
        <v/>
      </c>
      <c r="EJ22" s="32" t="str">
        <f aca="false">IF($A22="","",IF($EC22=0,"⚠ no species entered",IF(((LEFT($AP22,1)="✖")+(LEFT($BH22,1)="✖")+(LEFT($BZ22,1)="✖")+(LEFT($CR22,1)="✖")+(LEFT($DJ22,1)="✖")+(LEFT($EB22,1)="✖"))&gt;0,"✖ "&amp;((LEFT($AP22,1)="✖")+(LEFT($BH22,1)="✖")+(LEFT($BZ22,1)="✖")+(LEFT($CR22,1)="✖")+(LEFT($DJ22,1)="✖")+(LEFT($EB22,1)="✖"))&amp;" species saturated - see the species checks",IF(MIN($G22,$H22)&lt;8*$T22,"⚠ box too small laterally (&lt; 8·wr)",IF(AND($I22&gt;0,$I22&lt;3*$U22),"⚠ box too small axially (&lt; 3·wz)",IF($EI22&gt;8,"⚠ &gt; 8 GB per file: shorten the duration and use several files",IF(((LEFT($AP22,1)="⚠")+(LEFT($BH22,1)="⚠")+(LEFT($BZ22,1)="⚠")+(LEFT($CR22,1)="⚠")+(LEFT($DJ22,1)="⚠")+(LEFT($EB22,1)="⚠"))&gt;0,"⚠ "&amp;((LEFT($AP22,1)="⚠")+(LEFT($BH22,1)="⚠")+(LEFT($BZ22,1)="⚠")+(LEFT($CR22,1)="⚠")+(LEFT($DJ22,1)="⚠")+(LEFT($EB22,1)="⚠"))&amp;" species with a warning","✔ OK")))))))</f>
        <v/>
      </c>
      <c r="EK22" s="25"/>
      <c r="EL22" s="25"/>
      <c r="EM22" s="25"/>
      <c r="EN22" s="25"/>
      <c r="EO22" s="25"/>
      <c r="EP22" s="25"/>
      <c r="EQ22" s="25"/>
      <c r="ER22" s="26"/>
    </row>
    <row r="23" customFormat="false" ht="15" hidden="false" customHeight="false" outlineLevel="0" collapsed="false">
      <c r="A23" s="25"/>
      <c r="B23" s="25"/>
      <c r="C23" s="26"/>
      <c r="D23" s="26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7" t="str">
        <f aca="false">IF(OR($AH23="",$AH23="No FRET",N($AI23)&lt;=0,N($V23)&lt;=0),"",1/(1+($AI23/$V23)^6))</f>
        <v/>
      </c>
      <c r="AM23" s="27" t="str">
        <f aca="false">IF(OR($AH23="",$AH23="No FRET",N($AJ23)&lt;=0,N($W23)&lt;=0),"",1/(1+($AJ23/$W23)^6))</f>
        <v/>
      </c>
      <c r="AN23" s="27" t="str">
        <f aca="false">IF(OR($AH23="",$AH23="No FRET",N($AK23)&lt;=0,N($X23)&lt;=0),"",1/(1+($AK23/$X23)^6))</f>
        <v/>
      </c>
      <c r="AO23" s="28" t="str">
        <f aca="false">IF(OR($A23="",N($AA23)&lt;=0),"",IF($I23&gt;0,$AA23/($G23*$H23*$I23)/1E-024/6.022E+023/0.000000001,""))</f>
        <v/>
      </c>
      <c r="AP23" s="29" t="str">
        <f aca="false">IF(Calc!G23=0,"",IF(Calc!E23&gt;=1,"✖ saturated (B ≥ freq.)",IF(Calc!E23&gt;0.1,"⚠ B &gt; 10% of freq.",IF(Calc!E23=0,"⚠ no brightness",IF(Calc!F23&gt;0.1,"⚠ step &gt; 10% of wr",IF(AND($AH23&lt;&gt;"",$AH23&lt;&gt;"No FRET",N($O23)&lt;2),"⚠ FRET needs ≥ 2 colours",IF(AND($AH23&lt;&gt;"",$AH23&lt;&gt;"No FRET",N($AI23)+N($AJ23)+N($AK23)=0),"⚠ FRET: set R","✔ OK")))))))</f>
        <v/>
      </c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7" t="str">
        <f aca="false">IF(OR($AZ23="",$AZ23="No FRET",N($BA23)&lt;=0,N($V23)&lt;=0),"",1/(1+($BA23/$V23)^6))</f>
        <v/>
      </c>
      <c r="BE23" s="27" t="str">
        <f aca="false">IF(OR($AZ23="",$AZ23="No FRET",N($BB23)&lt;=0,N($W23)&lt;=0),"",1/(1+($BB23/$W23)^6))</f>
        <v/>
      </c>
      <c r="BF23" s="27" t="str">
        <f aca="false">IF(OR($AZ23="",$AZ23="No FRET",N($BC23)&lt;=0,N($X23)&lt;=0),"",1/(1+($BC23/$X23)^6))</f>
        <v/>
      </c>
      <c r="BG23" s="28" t="str">
        <f aca="false">IF(OR($A23="",N($AS23)&lt;=0),"",IF($I23&gt;0,$AS23/($G23*$H23*$I23)/1E-024/6.022E+023/0.000000001,""))</f>
        <v/>
      </c>
      <c r="BH23" s="29" t="str">
        <f aca="false">IF(Calc!M23=0,"",IF(Calc!K23&gt;=1,"✖ saturated (B ≥ freq.)",IF(Calc!K23&gt;0.1,"⚠ B &gt; 10% of freq.",IF(Calc!K23=0,"⚠ no brightness",IF(Calc!L23&gt;0.1,"⚠ step &gt; 10% of wr",IF(AND($AZ23&lt;&gt;"",$AZ23&lt;&gt;"No FRET",N($O23)&lt;2),"⚠ FRET needs ≥ 2 colours",IF(AND($AZ23&lt;&gt;"",$AZ23&lt;&gt;"No FRET",N($BA23)+N($BB23)+N($BC23)=0),"⚠ FRET: set R","✔ OK")))))))</f>
        <v/>
      </c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7" t="str">
        <f aca="false">IF(OR($BR23="",$BR23="No FRET",N($BS23)&lt;=0,N($V23)&lt;=0),"",1/(1+($BS23/$V23)^6))</f>
        <v/>
      </c>
      <c r="BW23" s="27" t="str">
        <f aca="false">IF(OR($BR23="",$BR23="No FRET",N($BT23)&lt;=0,N($W23)&lt;=0),"",1/(1+($BT23/$W23)^6))</f>
        <v/>
      </c>
      <c r="BX23" s="27" t="str">
        <f aca="false">IF(OR($BR23="",$BR23="No FRET",N($BU23)&lt;=0,N($X23)&lt;=0),"",1/(1+($BU23/$X23)^6))</f>
        <v/>
      </c>
      <c r="BY23" s="28" t="str">
        <f aca="false">IF(OR($A23="",N($BK23)&lt;=0),"",IF($I23&gt;0,$BK23/($G23*$H23*$I23)/1E-024/6.022E+023/0.000000001,""))</f>
        <v/>
      </c>
      <c r="BZ23" s="29" t="str">
        <f aca="false">IF(Calc!S23=0,"",IF(Calc!Q23&gt;=1,"✖ saturated (B ≥ freq.)",IF(Calc!Q23&gt;0.1,"⚠ B &gt; 10% of freq.",IF(Calc!Q23=0,"⚠ no brightness",IF(Calc!R23&gt;0.1,"⚠ step &gt; 10% of wr",IF(AND($BR23&lt;&gt;"",$BR23&lt;&gt;"No FRET",N($O23)&lt;2),"⚠ FRET needs ≥ 2 colours",IF(AND($BR23&lt;&gt;"",$BR23&lt;&gt;"No FRET",N($BS23)+N($BT23)+N($BU23)=0),"⚠ FRET: set R","✔ OK")))))))</f>
        <v/>
      </c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7" t="str">
        <f aca="false">IF(OR($CJ23="",$CJ23="No FRET",N($CK23)&lt;=0,N($V23)&lt;=0),"",1/(1+($CK23/$V23)^6))</f>
        <v/>
      </c>
      <c r="CO23" s="27" t="str">
        <f aca="false">IF(OR($CJ23="",$CJ23="No FRET",N($CL23)&lt;=0,N($W23)&lt;=0),"",1/(1+($CL23/$W23)^6))</f>
        <v/>
      </c>
      <c r="CP23" s="27" t="str">
        <f aca="false">IF(OR($CJ23="",$CJ23="No FRET",N($CM23)&lt;=0,N($X23)&lt;=0),"",1/(1+($CM23/$X23)^6))</f>
        <v/>
      </c>
      <c r="CQ23" s="28" t="str">
        <f aca="false">IF(OR($A23="",N($CC23)&lt;=0),"",IF($I23&gt;0,$CC23/($G23*$H23*$I23)/1E-024/6.022E+023/0.000000001,""))</f>
        <v/>
      </c>
      <c r="CR23" s="29" t="str">
        <f aca="false">IF(Calc!Y23=0,"",IF(Calc!W23&gt;=1,"✖ saturated (B ≥ freq.)",IF(Calc!W23&gt;0.1,"⚠ B &gt; 10% of freq.",IF(Calc!W23=0,"⚠ no brightness",IF(Calc!X23&gt;0.1,"⚠ step &gt; 10% of wr",IF(AND($CJ23&lt;&gt;"",$CJ23&lt;&gt;"No FRET",N($O23)&lt;2),"⚠ FRET needs ≥ 2 colours",IF(AND($CJ23&lt;&gt;"",$CJ23&lt;&gt;"No FRET",N($CK23)+N($CL23)+N($CM23)=0),"⚠ FRET: set R","✔ OK")))))))</f>
        <v/>
      </c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7" t="str">
        <f aca="false">IF(OR($DB23="",$DB23="No FRET",N($DC23)&lt;=0,N($V23)&lt;=0),"",1/(1+($DC23/$V23)^6))</f>
        <v/>
      </c>
      <c r="DG23" s="27" t="str">
        <f aca="false">IF(OR($DB23="",$DB23="No FRET",N($DD23)&lt;=0,N($W23)&lt;=0),"",1/(1+($DD23/$W23)^6))</f>
        <v/>
      </c>
      <c r="DH23" s="27" t="str">
        <f aca="false">IF(OR($DB23="",$DB23="No FRET",N($DE23)&lt;=0,N($X23)&lt;=0),"",1/(1+($DE23/$X23)^6))</f>
        <v/>
      </c>
      <c r="DI23" s="28" t="str">
        <f aca="false">IF(OR($A23="",N($CU23)&lt;=0),"",IF($I23&gt;0,$CU23/($G23*$H23*$I23)/1E-024/6.022E+023/0.000000001,""))</f>
        <v/>
      </c>
      <c r="DJ23" s="29" t="str">
        <f aca="false">IF(Calc!AE23=0,"",IF(Calc!AC23&gt;=1,"✖ saturated (B ≥ freq.)",IF(Calc!AC23&gt;0.1,"⚠ B &gt; 10% of freq.",IF(Calc!AC23=0,"⚠ no brightness",IF(Calc!AD23&gt;0.1,"⚠ step &gt; 10% of wr",IF(AND($DB23&lt;&gt;"",$DB23&lt;&gt;"No FRET",N($O23)&lt;2),"⚠ FRET needs ≥ 2 colours",IF(AND($DB23&lt;&gt;"",$DB23&lt;&gt;"No FRET",N($DC23)+N($DD23)+N($DE23)=0),"⚠ FRET: set R","✔ OK")))))))</f>
        <v/>
      </c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7" t="str">
        <f aca="false">IF(OR($DT23="",$DT23="No FRET",N($DU23)&lt;=0,N($V23)&lt;=0),"",1/(1+($DU23/$V23)^6))</f>
        <v/>
      </c>
      <c r="DY23" s="27" t="str">
        <f aca="false">IF(OR($DT23="",$DT23="No FRET",N($DV23)&lt;=0,N($W23)&lt;=0),"",1/(1+($DV23/$W23)^6))</f>
        <v/>
      </c>
      <c r="DZ23" s="27" t="str">
        <f aca="false">IF(OR($DT23="",$DT23="No FRET",N($DW23)&lt;=0,N($X23)&lt;=0),"",1/(1+($DW23/$X23)^6))</f>
        <v/>
      </c>
      <c r="EA23" s="28" t="str">
        <f aca="false">IF(OR($A23="",N($DM23)&lt;=0),"",IF($I23&gt;0,$DM23/($G23*$H23*$I23)/1E-024/6.022E+023/0.000000001,""))</f>
        <v/>
      </c>
      <c r="EB23" s="29" t="str">
        <f aca="false">IF(Calc!AK23=0,"",IF(Calc!AI23&gt;=1,"✖ saturated (B ≥ freq.)",IF(Calc!AI23&gt;0.1,"⚠ B &gt; 10% of freq.",IF(Calc!AI23=0,"⚠ no brightness",IF(Calc!AJ23&gt;0.1,"⚠ step &gt; 10% of wr",IF(AND($DT23&lt;&gt;"",$DT23&lt;&gt;"No FRET",N($O23)&lt;2),"⚠ FRET needs ≥ 2 colours",IF(AND($DT23&lt;&gt;"",$DT23&lt;&gt;"No FRET",N($DU23)+N($DV23)+N($DW23)=0),"⚠ FRET: set R","✔ OK")))))))</f>
        <v/>
      </c>
      <c r="EC23" s="30" t="str">
        <f aca="false">IF($A23="","",SUM(Calc!G23,Calc!M23,Calc!S23,Calc!Y23,Calc!AE23,Calc!AK23))</f>
        <v/>
      </c>
      <c r="ED23" s="30" t="str">
        <f aca="false">IF($A23="","",N($AA23)+N($AS23)+N($BK23)+N($CC23)+N($CU23)+N($DM23))</f>
        <v/>
      </c>
      <c r="EE23" s="31" t="str">
        <f aca="false">IF($A23="","",SUM(Calc!B23,Calc!H23,Calc!N23,Calc!T23,Calc!Z23,Calc!AF23))</f>
        <v/>
      </c>
      <c r="EF23" s="31" t="str">
        <f aca="false">IF($A23="","",SUM(Calc!C23,Calc!I23,Calc!O23,Calc!U23,Calc!AA23,Calc!AG23))</f>
        <v/>
      </c>
      <c r="EG23" s="31" t="str">
        <f aca="false">IF($A23="","",SUM(Calc!D23,Calc!J23,Calc!P23,Calc!V23,Calc!AB23,Calc!AH23))</f>
        <v/>
      </c>
      <c r="EH23" s="27" t="str">
        <f aca="false">IF($A23="","",($EE23+$EF23+$EG23+IF($P23="Yes",N($Q23)*N($O23),0))*1000*$K23/1000000)</f>
        <v/>
      </c>
      <c r="EI23" s="28" t="str">
        <f aca="false">IF($A23="","",$EH23*1000000*12/1000000000)</f>
        <v/>
      </c>
      <c r="EJ23" s="32" t="str">
        <f aca="false">IF($A23="","",IF($EC23=0,"⚠ no species entered",IF(((LEFT($AP23,1)="✖")+(LEFT($BH23,1)="✖")+(LEFT($BZ23,1)="✖")+(LEFT($CR23,1)="✖")+(LEFT($DJ23,1)="✖")+(LEFT($EB23,1)="✖"))&gt;0,"✖ "&amp;((LEFT($AP23,1)="✖")+(LEFT($BH23,1)="✖")+(LEFT($BZ23,1)="✖")+(LEFT($CR23,1)="✖")+(LEFT($DJ23,1)="✖")+(LEFT($EB23,1)="✖"))&amp;" species saturated - see the species checks",IF(MIN($G23,$H23)&lt;8*$T23,"⚠ box too small laterally (&lt; 8·wr)",IF(AND($I23&gt;0,$I23&lt;3*$U23),"⚠ box too small axially (&lt; 3·wz)",IF($EI23&gt;8,"⚠ &gt; 8 GB per file: shorten the duration and use several files",IF(((LEFT($AP23,1)="⚠")+(LEFT($BH23,1)="⚠")+(LEFT($BZ23,1)="⚠")+(LEFT($CR23,1)="⚠")+(LEFT($DJ23,1)="⚠")+(LEFT($EB23,1)="⚠"))&gt;0,"⚠ "&amp;((LEFT($AP23,1)="⚠")+(LEFT($BH23,1)="⚠")+(LEFT($BZ23,1)="⚠")+(LEFT($CR23,1)="⚠")+(LEFT($DJ23,1)="⚠")+(LEFT($EB23,1)="⚠"))&amp;" species with a warning","✔ OK")))))))</f>
        <v/>
      </c>
      <c r="EK23" s="25"/>
      <c r="EL23" s="25"/>
      <c r="EM23" s="25"/>
      <c r="EN23" s="25"/>
      <c r="EO23" s="25"/>
      <c r="EP23" s="25"/>
      <c r="EQ23" s="25"/>
      <c r="ER23" s="26"/>
    </row>
    <row r="24" customFormat="false" ht="15" hidden="false" customHeight="false" outlineLevel="0" collapsed="false">
      <c r="A24" s="25"/>
      <c r="B24" s="25"/>
      <c r="C24" s="26"/>
      <c r="D24" s="26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7" t="str">
        <f aca="false">IF(OR($AH24="",$AH24="No FRET",N($AI24)&lt;=0,N($V24)&lt;=0),"",1/(1+($AI24/$V24)^6))</f>
        <v/>
      </c>
      <c r="AM24" s="27" t="str">
        <f aca="false">IF(OR($AH24="",$AH24="No FRET",N($AJ24)&lt;=0,N($W24)&lt;=0),"",1/(1+($AJ24/$W24)^6))</f>
        <v/>
      </c>
      <c r="AN24" s="27" t="str">
        <f aca="false">IF(OR($AH24="",$AH24="No FRET",N($AK24)&lt;=0,N($X24)&lt;=0),"",1/(1+($AK24/$X24)^6))</f>
        <v/>
      </c>
      <c r="AO24" s="28" t="str">
        <f aca="false">IF(OR($A24="",N($AA24)&lt;=0),"",IF($I24&gt;0,$AA24/($G24*$H24*$I24)/1E-024/6.022E+023/0.000000001,""))</f>
        <v/>
      </c>
      <c r="AP24" s="29" t="str">
        <f aca="false">IF(Calc!G24=0,"",IF(Calc!E24&gt;=1,"✖ saturated (B ≥ freq.)",IF(Calc!E24&gt;0.1,"⚠ B &gt; 10% of freq.",IF(Calc!E24=0,"⚠ no brightness",IF(Calc!F24&gt;0.1,"⚠ step &gt; 10% of wr",IF(AND($AH24&lt;&gt;"",$AH24&lt;&gt;"No FRET",N($O24)&lt;2),"⚠ FRET needs ≥ 2 colours",IF(AND($AH24&lt;&gt;"",$AH24&lt;&gt;"No FRET",N($AI24)+N($AJ24)+N($AK24)=0),"⚠ FRET: set R","✔ OK")))))))</f>
        <v/>
      </c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7" t="str">
        <f aca="false">IF(OR($AZ24="",$AZ24="No FRET",N($BA24)&lt;=0,N($V24)&lt;=0),"",1/(1+($BA24/$V24)^6))</f>
        <v/>
      </c>
      <c r="BE24" s="27" t="str">
        <f aca="false">IF(OR($AZ24="",$AZ24="No FRET",N($BB24)&lt;=0,N($W24)&lt;=0),"",1/(1+($BB24/$W24)^6))</f>
        <v/>
      </c>
      <c r="BF24" s="27" t="str">
        <f aca="false">IF(OR($AZ24="",$AZ24="No FRET",N($BC24)&lt;=0,N($X24)&lt;=0),"",1/(1+($BC24/$X24)^6))</f>
        <v/>
      </c>
      <c r="BG24" s="28" t="str">
        <f aca="false">IF(OR($A24="",N($AS24)&lt;=0),"",IF($I24&gt;0,$AS24/($G24*$H24*$I24)/1E-024/6.022E+023/0.000000001,""))</f>
        <v/>
      </c>
      <c r="BH24" s="29" t="str">
        <f aca="false">IF(Calc!M24=0,"",IF(Calc!K24&gt;=1,"✖ saturated (B ≥ freq.)",IF(Calc!K24&gt;0.1,"⚠ B &gt; 10% of freq.",IF(Calc!K24=0,"⚠ no brightness",IF(Calc!L24&gt;0.1,"⚠ step &gt; 10% of wr",IF(AND($AZ24&lt;&gt;"",$AZ24&lt;&gt;"No FRET",N($O24)&lt;2),"⚠ FRET needs ≥ 2 colours",IF(AND($AZ24&lt;&gt;"",$AZ24&lt;&gt;"No FRET",N($BA24)+N($BB24)+N($BC24)=0),"⚠ FRET: set R","✔ OK")))))))</f>
        <v/>
      </c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7" t="str">
        <f aca="false">IF(OR($BR24="",$BR24="No FRET",N($BS24)&lt;=0,N($V24)&lt;=0),"",1/(1+($BS24/$V24)^6))</f>
        <v/>
      </c>
      <c r="BW24" s="27" t="str">
        <f aca="false">IF(OR($BR24="",$BR24="No FRET",N($BT24)&lt;=0,N($W24)&lt;=0),"",1/(1+($BT24/$W24)^6))</f>
        <v/>
      </c>
      <c r="BX24" s="27" t="str">
        <f aca="false">IF(OR($BR24="",$BR24="No FRET",N($BU24)&lt;=0,N($X24)&lt;=0),"",1/(1+($BU24/$X24)^6))</f>
        <v/>
      </c>
      <c r="BY24" s="28" t="str">
        <f aca="false">IF(OR($A24="",N($BK24)&lt;=0),"",IF($I24&gt;0,$BK24/($G24*$H24*$I24)/1E-024/6.022E+023/0.000000001,""))</f>
        <v/>
      </c>
      <c r="BZ24" s="29" t="str">
        <f aca="false">IF(Calc!S24=0,"",IF(Calc!Q24&gt;=1,"✖ saturated (B ≥ freq.)",IF(Calc!Q24&gt;0.1,"⚠ B &gt; 10% of freq.",IF(Calc!Q24=0,"⚠ no brightness",IF(Calc!R24&gt;0.1,"⚠ step &gt; 10% of wr",IF(AND($BR24&lt;&gt;"",$BR24&lt;&gt;"No FRET",N($O24)&lt;2),"⚠ FRET needs ≥ 2 colours",IF(AND($BR24&lt;&gt;"",$BR24&lt;&gt;"No FRET",N($BS24)+N($BT24)+N($BU24)=0),"⚠ FRET: set R","✔ OK")))))))</f>
        <v/>
      </c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7" t="str">
        <f aca="false">IF(OR($CJ24="",$CJ24="No FRET",N($CK24)&lt;=0,N($V24)&lt;=0),"",1/(1+($CK24/$V24)^6))</f>
        <v/>
      </c>
      <c r="CO24" s="27" t="str">
        <f aca="false">IF(OR($CJ24="",$CJ24="No FRET",N($CL24)&lt;=0,N($W24)&lt;=0),"",1/(1+($CL24/$W24)^6))</f>
        <v/>
      </c>
      <c r="CP24" s="27" t="str">
        <f aca="false">IF(OR($CJ24="",$CJ24="No FRET",N($CM24)&lt;=0,N($X24)&lt;=0),"",1/(1+($CM24/$X24)^6))</f>
        <v/>
      </c>
      <c r="CQ24" s="28" t="str">
        <f aca="false">IF(OR($A24="",N($CC24)&lt;=0),"",IF($I24&gt;0,$CC24/($G24*$H24*$I24)/1E-024/6.022E+023/0.000000001,""))</f>
        <v/>
      </c>
      <c r="CR24" s="29" t="str">
        <f aca="false">IF(Calc!Y24=0,"",IF(Calc!W24&gt;=1,"✖ saturated (B ≥ freq.)",IF(Calc!W24&gt;0.1,"⚠ B &gt; 10% of freq.",IF(Calc!W24=0,"⚠ no brightness",IF(Calc!X24&gt;0.1,"⚠ step &gt; 10% of wr",IF(AND($CJ24&lt;&gt;"",$CJ24&lt;&gt;"No FRET",N($O24)&lt;2),"⚠ FRET needs ≥ 2 colours",IF(AND($CJ24&lt;&gt;"",$CJ24&lt;&gt;"No FRET",N($CK24)+N($CL24)+N($CM24)=0),"⚠ FRET: set R","✔ OK")))))))</f>
        <v/>
      </c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7" t="str">
        <f aca="false">IF(OR($DB24="",$DB24="No FRET",N($DC24)&lt;=0,N($V24)&lt;=0),"",1/(1+($DC24/$V24)^6))</f>
        <v/>
      </c>
      <c r="DG24" s="27" t="str">
        <f aca="false">IF(OR($DB24="",$DB24="No FRET",N($DD24)&lt;=0,N($W24)&lt;=0),"",1/(1+($DD24/$W24)^6))</f>
        <v/>
      </c>
      <c r="DH24" s="27" t="str">
        <f aca="false">IF(OR($DB24="",$DB24="No FRET",N($DE24)&lt;=0,N($X24)&lt;=0),"",1/(1+($DE24/$X24)^6))</f>
        <v/>
      </c>
      <c r="DI24" s="28" t="str">
        <f aca="false">IF(OR($A24="",N($CU24)&lt;=0),"",IF($I24&gt;0,$CU24/($G24*$H24*$I24)/1E-024/6.022E+023/0.000000001,""))</f>
        <v/>
      </c>
      <c r="DJ24" s="29" t="str">
        <f aca="false">IF(Calc!AE24=0,"",IF(Calc!AC24&gt;=1,"✖ saturated (B ≥ freq.)",IF(Calc!AC24&gt;0.1,"⚠ B &gt; 10% of freq.",IF(Calc!AC24=0,"⚠ no brightness",IF(Calc!AD24&gt;0.1,"⚠ step &gt; 10% of wr",IF(AND($DB24&lt;&gt;"",$DB24&lt;&gt;"No FRET",N($O24)&lt;2),"⚠ FRET needs ≥ 2 colours",IF(AND($DB24&lt;&gt;"",$DB24&lt;&gt;"No FRET",N($DC24)+N($DD24)+N($DE24)=0),"⚠ FRET: set R","✔ OK")))))))</f>
        <v/>
      </c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7" t="str">
        <f aca="false">IF(OR($DT24="",$DT24="No FRET",N($DU24)&lt;=0,N($V24)&lt;=0),"",1/(1+($DU24/$V24)^6))</f>
        <v/>
      </c>
      <c r="DY24" s="27" t="str">
        <f aca="false">IF(OR($DT24="",$DT24="No FRET",N($DV24)&lt;=0,N($W24)&lt;=0),"",1/(1+($DV24/$W24)^6))</f>
        <v/>
      </c>
      <c r="DZ24" s="27" t="str">
        <f aca="false">IF(OR($DT24="",$DT24="No FRET",N($DW24)&lt;=0,N($X24)&lt;=0),"",1/(1+($DW24/$X24)^6))</f>
        <v/>
      </c>
      <c r="EA24" s="28" t="str">
        <f aca="false">IF(OR($A24="",N($DM24)&lt;=0),"",IF($I24&gt;0,$DM24/($G24*$H24*$I24)/1E-024/6.022E+023/0.000000001,""))</f>
        <v/>
      </c>
      <c r="EB24" s="29" t="str">
        <f aca="false">IF(Calc!AK24=0,"",IF(Calc!AI24&gt;=1,"✖ saturated (B ≥ freq.)",IF(Calc!AI24&gt;0.1,"⚠ B &gt; 10% of freq.",IF(Calc!AI24=0,"⚠ no brightness",IF(Calc!AJ24&gt;0.1,"⚠ step &gt; 10% of wr",IF(AND($DT24&lt;&gt;"",$DT24&lt;&gt;"No FRET",N($O24)&lt;2),"⚠ FRET needs ≥ 2 colours",IF(AND($DT24&lt;&gt;"",$DT24&lt;&gt;"No FRET",N($DU24)+N($DV24)+N($DW24)=0),"⚠ FRET: set R","✔ OK")))))))</f>
        <v/>
      </c>
      <c r="EC24" s="30" t="str">
        <f aca="false">IF($A24="","",SUM(Calc!G24,Calc!M24,Calc!S24,Calc!Y24,Calc!AE24,Calc!AK24))</f>
        <v/>
      </c>
      <c r="ED24" s="30" t="str">
        <f aca="false">IF($A24="","",N($AA24)+N($AS24)+N($BK24)+N($CC24)+N($CU24)+N($DM24))</f>
        <v/>
      </c>
      <c r="EE24" s="31" t="str">
        <f aca="false">IF($A24="","",SUM(Calc!B24,Calc!H24,Calc!N24,Calc!T24,Calc!Z24,Calc!AF24))</f>
        <v/>
      </c>
      <c r="EF24" s="31" t="str">
        <f aca="false">IF($A24="","",SUM(Calc!C24,Calc!I24,Calc!O24,Calc!U24,Calc!AA24,Calc!AG24))</f>
        <v/>
      </c>
      <c r="EG24" s="31" t="str">
        <f aca="false">IF($A24="","",SUM(Calc!D24,Calc!J24,Calc!P24,Calc!V24,Calc!AB24,Calc!AH24))</f>
        <v/>
      </c>
      <c r="EH24" s="27" t="str">
        <f aca="false">IF($A24="","",($EE24+$EF24+$EG24+IF($P24="Yes",N($Q24)*N($O24),0))*1000*$K24/1000000)</f>
        <v/>
      </c>
      <c r="EI24" s="28" t="str">
        <f aca="false">IF($A24="","",$EH24*1000000*12/1000000000)</f>
        <v/>
      </c>
      <c r="EJ24" s="32" t="str">
        <f aca="false">IF($A24="","",IF($EC24=0,"⚠ no species entered",IF(((LEFT($AP24,1)="✖")+(LEFT($BH24,1)="✖")+(LEFT($BZ24,1)="✖")+(LEFT($CR24,1)="✖")+(LEFT($DJ24,1)="✖")+(LEFT($EB24,1)="✖"))&gt;0,"✖ "&amp;((LEFT($AP24,1)="✖")+(LEFT($BH24,1)="✖")+(LEFT($BZ24,1)="✖")+(LEFT($CR24,1)="✖")+(LEFT($DJ24,1)="✖")+(LEFT($EB24,1)="✖"))&amp;" species saturated - see the species checks",IF(MIN($G24,$H24)&lt;8*$T24,"⚠ box too small laterally (&lt; 8·wr)",IF(AND($I24&gt;0,$I24&lt;3*$U24),"⚠ box too small axially (&lt; 3·wz)",IF($EI24&gt;8,"⚠ &gt; 8 GB per file: shorten the duration and use several files",IF(((LEFT($AP24,1)="⚠")+(LEFT($BH24,1)="⚠")+(LEFT($BZ24,1)="⚠")+(LEFT($CR24,1)="⚠")+(LEFT($DJ24,1)="⚠")+(LEFT($EB24,1)="⚠"))&gt;0,"⚠ "&amp;((LEFT($AP24,1)="⚠")+(LEFT($BH24,1)="⚠")+(LEFT($BZ24,1)="⚠")+(LEFT($CR24,1)="⚠")+(LEFT($DJ24,1)="⚠")+(LEFT($EB24,1)="⚠"))&amp;" species with a warning","✔ OK")))))))</f>
        <v/>
      </c>
      <c r="EK24" s="25"/>
      <c r="EL24" s="25"/>
      <c r="EM24" s="25"/>
      <c r="EN24" s="25"/>
      <c r="EO24" s="25"/>
      <c r="EP24" s="25"/>
      <c r="EQ24" s="25"/>
      <c r="ER24" s="26"/>
    </row>
    <row r="25" customFormat="false" ht="15" hidden="false" customHeight="false" outlineLevel="0" collapsed="false">
      <c r="A25" s="25"/>
      <c r="B25" s="25"/>
      <c r="C25" s="26"/>
      <c r="D25" s="26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7" t="str">
        <f aca="false">IF(OR($AH25="",$AH25="No FRET",N($AI25)&lt;=0,N($V25)&lt;=0),"",1/(1+($AI25/$V25)^6))</f>
        <v/>
      </c>
      <c r="AM25" s="27" t="str">
        <f aca="false">IF(OR($AH25="",$AH25="No FRET",N($AJ25)&lt;=0,N($W25)&lt;=0),"",1/(1+($AJ25/$W25)^6))</f>
        <v/>
      </c>
      <c r="AN25" s="27" t="str">
        <f aca="false">IF(OR($AH25="",$AH25="No FRET",N($AK25)&lt;=0,N($X25)&lt;=0),"",1/(1+($AK25/$X25)^6))</f>
        <v/>
      </c>
      <c r="AO25" s="28" t="str">
        <f aca="false">IF(OR($A25="",N($AA25)&lt;=0),"",IF($I25&gt;0,$AA25/($G25*$H25*$I25)/1E-024/6.022E+023/0.000000001,""))</f>
        <v/>
      </c>
      <c r="AP25" s="29" t="str">
        <f aca="false">IF(Calc!G25=0,"",IF(Calc!E25&gt;=1,"✖ saturated (B ≥ freq.)",IF(Calc!E25&gt;0.1,"⚠ B &gt; 10% of freq.",IF(Calc!E25=0,"⚠ no brightness",IF(Calc!F25&gt;0.1,"⚠ step &gt; 10% of wr",IF(AND($AH25&lt;&gt;"",$AH25&lt;&gt;"No FRET",N($O25)&lt;2),"⚠ FRET needs ≥ 2 colours",IF(AND($AH25&lt;&gt;"",$AH25&lt;&gt;"No FRET",N($AI25)+N($AJ25)+N($AK25)=0),"⚠ FRET: set R","✔ OK")))))))</f>
        <v/>
      </c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7" t="str">
        <f aca="false">IF(OR($AZ25="",$AZ25="No FRET",N($BA25)&lt;=0,N($V25)&lt;=0),"",1/(1+($BA25/$V25)^6))</f>
        <v/>
      </c>
      <c r="BE25" s="27" t="str">
        <f aca="false">IF(OR($AZ25="",$AZ25="No FRET",N($BB25)&lt;=0,N($W25)&lt;=0),"",1/(1+($BB25/$W25)^6))</f>
        <v/>
      </c>
      <c r="BF25" s="27" t="str">
        <f aca="false">IF(OR($AZ25="",$AZ25="No FRET",N($BC25)&lt;=0,N($X25)&lt;=0),"",1/(1+($BC25/$X25)^6))</f>
        <v/>
      </c>
      <c r="BG25" s="28" t="str">
        <f aca="false">IF(OR($A25="",N($AS25)&lt;=0),"",IF($I25&gt;0,$AS25/($G25*$H25*$I25)/1E-024/6.022E+023/0.000000001,""))</f>
        <v/>
      </c>
      <c r="BH25" s="29" t="str">
        <f aca="false">IF(Calc!M25=0,"",IF(Calc!K25&gt;=1,"✖ saturated (B ≥ freq.)",IF(Calc!K25&gt;0.1,"⚠ B &gt; 10% of freq.",IF(Calc!K25=0,"⚠ no brightness",IF(Calc!L25&gt;0.1,"⚠ step &gt; 10% of wr",IF(AND($AZ25&lt;&gt;"",$AZ25&lt;&gt;"No FRET",N($O25)&lt;2),"⚠ FRET needs ≥ 2 colours",IF(AND($AZ25&lt;&gt;"",$AZ25&lt;&gt;"No FRET",N($BA25)+N($BB25)+N($BC25)=0),"⚠ FRET: set R","✔ OK")))))))</f>
        <v/>
      </c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7" t="str">
        <f aca="false">IF(OR($BR25="",$BR25="No FRET",N($BS25)&lt;=0,N($V25)&lt;=0),"",1/(1+($BS25/$V25)^6))</f>
        <v/>
      </c>
      <c r="BW25" s="27" t="str">
        <f aca="false">IF(OR($BR25="",$BR25="No FRET",N($BT25)&lt;=0,N($W25)&lt;=0),"",1/(1+($BT25/$W25)^6))</f>
        <v/>
      </c>
      <c r="BX25" s="27" t="str">
        <f aca="false">IF(OR($BR25="",$BR25="No FRET",N($BU25)&lt;=0,N($X25)&lt;=0),"",1/(1+($BU25/$X25)^6))</f>
        <v/>
      </c>
      <c r="BY25" s="28" t="str">
        <f aca="false">IF(OR($A25="",N($BK25)&lt;=0),"",IF($I25&gt;0,$BK25/($G25*$H25*$I25)/1E-024/6.022E+023/0.000000001,""))</f>
        <v/>
      </c>
      <c r="BZ25" s="29" t="str">
        <f aca="false">IF(Calc!S25=0,"",IF(Calc!Q25&gt;=1,"✖ saturated (B ≥ freq.)",IF(Calc!Q25&gt;0.1,"⚠ B &gt; 10% of freq.",IF(Calc!Q25=0,"⚠ no brightness",IF(Calc!R25&gt;0.1,"⚠ step &gt; 10% of wr",IF(AND($BR25&lt;&gt;"",$BR25&lt;&gt;"No FRET",N($O25)&lt;2),"⚠ FRET needs ≥ 2 colours",IF(AND($BR25&lt;&gt;"",$BR25&lt;&gt;"No FRET",N($BS25)+N($BT25)+N($BU25)=0),"⚠ FRET: set R","✔ OK")))))))</f>
        <v/>
      </c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7" t="str">
        <f aca="false">IF(OR($CJ25="",$CJ25="No FRET",N($CK25)&lt;=0,N($V25)&lt;=0),"",1/(1+($CK25/$V25)^6))</f>
        <v/>
      </c>
      <c r="CO25" s="27" t="str">
        <f aca="false">IF(OR($CJ25="",$CJ25="No FRET",N($CL25)&lt;=0,N($W25)&lt;=0),"",1/(1+($CL25/$W25)^6))</f>
        <v/>
      </c>
      <c r="CP25" s="27" t="str">
        <f aca="false">IF(OR($CJ25="",$CJ25="No FRET",N($CM25)&lt;=0,N($X25)&lt;=0),"",1/(1+($CM25/$X25)^6))</f>
        <v/>
      </c>
      <c r="CQ25" s="28" t="str">
        <f aca="false">IF(OR($A25="",N($CC25)&lt;=0),"",IF($I25&gt;0,$CC25/($G25*$H25*$I25)/1E-024/6.022E+023/0.000000001,""))</f>
        <v/>
      </c>
      <c r="CR25" s="29" t="str">
        <f aca="false">IF(Calc!Y25=0,"",IF(Calc!W25&gt;=1,"✖ saturated (B ≥ freq.)",IF(Calc!W25&gt;0.1,"⚠ B &gt; 10% of freq.",IF(Calc!W25=0,"⚠ no brightness",IF(Calc!X25&gt;0.1,"⚠ step &gt; 10% of wr",IF(AND($CJ25&lt;&gt;"",$CJ25&lt;&gt;"No FRET",N($O25)&lt;2),"⚠ FRET needs ≥ 2 colours",IF(AND($CJ25&lt;&gt;"",$CJ25&lt;&gt;"No FRET",N($CK25)+N($CL25)+N($CM25)=0),"⚠ FRET: set R","✔ OK")))))))</f>
        <v/>
      </c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7" t="str">
        <f aca="false">IF(OR($DB25="",$DB25="No FRET",N($DC25)&lt;=0,N($V25)&lt;=0),"",1/(1+($DC25/$V25)^6))</f>
        <v/>
      </c>
      <c r="DG25" s="27" t="str">
        <f aca="false">IF(OR($DB25="",$DB25="No FRET",N($DD25)&lt;=0,N($W25)&lt;=0),"",1/(1+($DD25/$W25)^6))</f>
        <v/>
      </c>
      <c r="DH25" s="27" t="str">
        <f aca="false">IF(OR($DB25="",$DB25="No FRET",N($DE25)&lt;=0,N($X25)&lt;=0),"",1/(1+($DE25/$X25)^6))</f>
        <v/>
      </c>
      <c r="DI25" s="28" t="str">
        <f aca="false">IF(OR($A25="",N($CU25)&lt;=0),"",IF($I25&gt;0,$CU25/($G25*$H25*$I25)/1E-024/6.022E+023/0.000000001,""))</f>
        <v/>
      </c>
      <c r="DJ25" s="29" t="str">
        <f aca="false">IF(Calc!AE25=0,"",IF(Calc!AC25&gt;=1,"✖ saturated (B ≥ freq.)",IF(Calc!AC25&gt;0.1,"⚠ B &gt; 10% of freq.",IF(Calc!AC25=0,"⚠ no brightness",IF(Calc!AD25&gt;0.1,"⚠ step &gt; 10% of wr",IF(AND($DB25&lt;&gt;"",$DB25&lt;&gt;"No FRET",N($O25)&lt;2),"⚠ FRET needs ≥ 2 colours",IF(AND($DB25&lt;&gt;"",$DB25&lt;&gt;"No FRET",N($DC25)+N($DD25)+N($DE25)=0),"⚠ FRET: set R","✔ OK")))))))</f>
        <v/>
      </c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7" t="str">
        <f aca="false">IF(OR($DT25="",$DT25="No FRET",N($DU25)&lt;=0,N($V25)&lt;=0),"",1/(1+($DU25/$V25)^6))</f>
        <v/>
      </c>
      <c r="DY25" s="27" t="str">
        <f aca="false">IF(OR($DT25="",$DT25="No FRET",N($DV25)&lt;=0,N($W25)&lt;=0),"",1/(1+($DV25/$W25)^6))</f>
        <v/>
      </c>
      <c r="DZ25" s="27" t="str">
        <f aca="false">IF(OR($DT25="",$DT25="No FRET",N($DW25)&lt;=0,N($X25)&lt;=0),"",1/(1+($DW25/$X25)^6))</f>
        <v/>
      </c>
      <c r="EA25" s="28" t="str">
        <f aca="false">IF(OR($A25="",N($DM25)&lt;=0),"",IF($I25&gt;0,$DM25/($G25*$H25*$I25)/1E-024/6.022E+023/0.000000001,""))</f>
        <v/>
      </c>
      <c r="EB25" s="29" t="str">
        <f aca="false">IF(Calc!AK25=0,"",IF(Calc!AI25&gt;=1,"✖ saturated (B ≥ freq.)",IF(Calc!AI25&gt;0.1,"⚠ B &gt; 10% of freq.",IF(Calc!AI25=0,"⚠ no brightness",IF(Calc!AJ25&gt;0.1,"⚠ step &gt; 10% of wr",IF(AND($DT25&lt;&gt;"",$DT25&lt;&gt;"No FRET",N($O25)&lt;2),"⚠ FRET needs ≥ 2 colours",IF(AND($DT25&lt;&gt;"",$DT25&lt;&gt;"No FRET",N($DU25)+N($DV25)+N($DW25)=0),"⚠ FRET: set R","✔ OK")))))))</f>
        <v/>
      </c>
      <c r="EC25" s="30" t="str">
        <f aca="false">IF($A25="","",SUM(Calc!G25,Calc!M25,Calc!S25,Calc!Y25,Calc!AE25,Calc!AK25))</f>
        <v/>
      </c>
      <c r="ED25" s="30" t="str">
        <f aca="false">IF($A25="","",N($AA25)+N($AS25)+N($BK25)+N($CC25)+N($CU25)+N($DM25))</f>
        <v/>
      </c>
      <c r="EE25" s="31" t="str">
        <f aca="false">IF($A25="","",SUM(Calc!B25,Calc!H25,Calc!N25,Calc!T25,Calc!Z25,Calc!AF25))</f>
        <v/>
      </c>
      <c r="EF25" s="31" t="str">
        <f aca="false">IF($A25="","",SUM(Calc!C25,Calc!I25,Calc!O25,Calc!U25,Calc!AA25,Calc!AG25))</f>
        <v/>
      </c>
      <c r="EG25" s="31" t="str">
        <f aca="false">IF($A25="","",SUM(Calc!D25,Calc!J25,Calc!P25,Calc!V25,Calc!AB25,Calc!AH25))</f>
        <v/>
      </c>
      <c r="EH25" s="27" t="str">
        <f aca="false">IF($A25="","",($EE25+$EF25+$EG25+IF($P25="Yes",N($Q25)*N($O25),0))*1000*$K25/1000000)</f>
        <v/>
      </c>
      <c r="EI25" s="28" t="str">
        <f aca="false">IF($A25="","",$EH25*1000000*12/1000000000)</f>
        <v/>
      </c>
      <c r="EJ25" s="32" t="str">
        <f aca="false">IF($A25="","",IF($EC25=0,"⚠ no species entered",IF(((LEFT($AP25,1)="✖")+(LEFT($BH25,1)="✖")+(LEFT($BZ25,1)="✖")+(LEFT($CR25,1)="✖")+(LEFT($DJ25,1)="✖")+(LEFT($EB25,1)="✖"))&gt;0,"✖ "&amp;((LEFT($AP25,1)="✖")+(LEFT($BH25,1)="✖")+(LEFT($BZ25,1)="✖")+(LEFT($CR25,1)="✖")+(LEFT($DJ25,1)="✖")+(LEFT($EB25,1)="✖"))&amp;" species saturated - see the species checks",IF(MIN($G25,$H25)&lt;8*$T25,"⚠ box too small laterally (&lt; 8·wr)",IF(AND($I25&gt;0,$I25&lt;3*$U25),"⚠ box too small axially (&lt; 3·wz)",IF($EI25&gt;8,"⚠ &gt; 8 GB per file: shorten the duration and use several files",IF(((LEFT($AP25,1)="⚠")+(LEFT($BH25,1)="⚠")+(LEFT($BZ25,1)="⚠")+(LEFT($CR25,1)="⚠")+(LEFT($DJ25,1)="⚠")+(LEFT($EB25,1)="⚠"))&gt;0,"⚠ "&amp;((LEFT($AP25,1)="⚠")+(LEFT($BH25,1)="⚠")+(LEFT($BZ25,1)="⚠")+(LEFT($CR25,1)="⚠")+(LEFT($DJ25,1)="⚠")+(LEFT($EB25,1)="⚠"))&amp;" species with a warning","✔ OK")))))))</f>
        <v/>
      </c>
      <c r="EK25" s="25"/>
      <c r="EL25" s="25"/>
      <c r="EM25" s="25"/>
      <c r="EN25" s="25"/>
      <c r="EO25" s="25"/>
      <c r="EP25" s="25"/>
      <c r="EQ25" s="25"/>
      <c r="ER25" s="26"/>
    </row>
    <row r="26" customFormat="false" ht="15" hidden="false" customHeight="false" outlineLevel="0" collapsed="false">
      <c r="A26" s="25"/>
      <c r="B26" s="25"/>
      <c r="C26" s="26"/>
      <c r="D26" s="26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7" t="str">
        <f aca="false">IF(OR($AH26="",$AH26="No FRET",N($AI26)&lt;=0,N($V26)&lt;=0),"",1/(1+($AI26/$V26)^6))</f>
        <v/>
      </c>
      <c r="AM26" s="27" t="str">
        <f aca="false">IF(OR($AH26="",$AH26="No FRET",N($AJ26)&lt;=0,N($W26)&lt;=0),"",1/(1+($AJ26/$W26)^6))</f>
        <v/>
      </c>
      <c r="AN26" s="27" t="str">
        <f aca="false">IF(OR($AH26="",$AH26="No FRET",N($AK26)&lt;=0,N($X26)&lt;=0),"",1/(1+($AK26/$X26)^6))</f>
        <v/>
      </c>
      <c r="AO26" s="28" t="str">
        <f aca="false">IF(OR($A26="",N($AA26)&lt;=0),"",IF($I26&gt;0,$AA26/($G26*$H26*$I26)/1E-024/6.022E+023/0.000000001,""))</f>
        <v/>
      </c>
      <c r="AP26" s="29" t="str">
        <f aca="false">IF(Calc!G26=0,"",IF(Calc!E26&gt;=1,"✖ saturated (B ≥ freq.)",IF(Calc!E26&gt;0.1,"⚠ B &gt; 10% of freq.",IF(Calc!E26=0,"⚠ no brightness",IF(Calc!F26&gt;0.1,"⚠ step &gt; 10% of wr",IF(AND($AH26&lt;&gt;"",$AH26&lt;&gt;"No FRET",N($O26)&lt;2),"⚠ FRET needs ≥ 2 colours",IF(AND($AH26&lt;&gt;"",$AH26&lt;&gt;"No FRET",N($AI26)+N($AJ26)+N($AK26)=0),"⚠ FRET: set R","✔ OK")))))))</f>
        <v/>
      </c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7" t="str">
        <f aca="false">IF(OR($AZ26="",$AZ26="No FRET",N($BA26)&lt;=0,N($V26)&lt;=0),"",1/(1+($BA26/$V26)^6))</f>
        <v/>
      </c>
      <c r="BE26" s="27" t="str">
        <f aca="false">IF(OR($AZ26="",$AZ26="No FRET",N($BB26)&lt;=0,N($W26)&lt;=0),"",1/(1+($BB26/$W26)^6))</f>
        <v/>
      </c>
      <c r="BF26" s="27" t="str">
        <f aca="false">IF(OR($AZ26="",$AZ26="No FRET",N($BC26)&lt;=0,N($X26)&lt;=0),"",1/(1+($BC26/$X26)^6))</f>
        <v/>
      </c>
      <c r="BG26" s="28" t="str">
        <f aca="false">IF(OR($A26="",N($AS26)&lt;=0),"",IF($I26&gt;0,$AS26/($G26*$H26*$I26)/1E-024/6.022E+023/0.000000001,""))</f>
        <v/>
      </c>
      <c r="BH26" s="29" t="str">
        <f aca="false">IF(Calc!M26=0,"",IF(Calc!K26&gt;=1,"✖ saturated (B ≥ freq.)",IF(Calc!K26&gt;0.1,"⚠ B &gt; 10% of freq.",IF(Calc!K26=0,"⚠ no brightness",IF(Calc!L26&gt;0.1,"⚠ step &gt; 10% of wr",IF(AND($AZ26&lt;&gt;"",$AZ26&lt;&gt;"No FRET",N($O26)&lt;2),"⚠ FRET needs ≥ 2 colours",IF(AND($AZ26&lt;&gt;"",$AZ26&lt;&gt;"No FRET",N($BA26)+N($BB26)+N($BC26)=0),"⚠ FRET: set R","✔ OK")))))))</f>
        <v/>
      </c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7" t="str">
        <f aca="false">IF(OR($BR26="",$BR26="No FRET",N($BS26)&lt;=0,N($V26)&lt;=0),"",1/(1+($BS26/$V26)^6))</f>
        <v/>
      </c>
      <c r="BW26" s="27" t="str">
        <f aca="false">IF(OR($BR26="",$BR26="No FRET",N($BT26)&lt;=0,N($W26)&lt;=0),"",1/(1+($BT26/$W26)^6))</f>
        <v/>
      </c>
      <c r="BX26" s="27" t="str">
        <f aca="false">IF(OR($BR26="",$BR26="No FRET",N($BU26)&lt;=0,N($X26)&lt;=0),"",1/(1+($BU26/$X26)^6))</f>
        <v/>
      </c>
      <c r="BY26" s="28" t="str">
        <f aca="false">IF(OR($A26="",N($BK26)&lt;=0),"",IF($I26&gt;0,$BK26/($G26*$H26*$I26)/1E-024/6.022E+023/0.000000001,""))</f>
        <v/>
      </c>
      <c r="BZ26" s="29" t="str">
        <f aca="false">IF(Calc!S26=0,"",IF(Calc!Q26&gt;=1,"✖ saturated (B ≥ freq.)",IF(Calc!Q26&gt;0.1,"⚠ B &gt; 10% of freq.",IF(Calc!Q26=0,"⚠ no brightness",IF(Calc!R26&gt;0.1,"⚠ step &gt; 10% of wr",IF(AND($BR26&lt;&gt;"",$BR26&lt;&gt;"No FRET",N($O26)&lt;2),"⚠ FRET needs ≥ 2 colours",IF(AND($BR26&lt;&gt;"",$BR26&lt;&gt;"No FRET",N($BS26)+N($BT26)+N($BU26)=0),"⚠ FRET: set R","✔ OK")))))))</f>
        <v/>
      </c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7" t="str">
        <f aca="false">IF(OR($CJ26="",$CJ26="No FRET",N($CK26)&lt;=0,N($V26)&lt;=0),"",1/(1+($CK26/$V26)^6))</f>
        <v/>
      </c>
      <c r="CO26" s="27" t="str">
        <f aca="false">IF(OR($CJ26="",$CJ26="No FRET",N($CL26)&lt;=0,N($W26)&lt;=0),"",1/(1+($CL26/$W26)^6))</f>
        <v/>
      </c>
      <c r="CP26" s="27" t="str">
        <f aca="false">IF(OR($CJ26="",$CJ26="No FRET",N($CM26)&lt;=0,N($X26)&lt;=0),"",1/(1+($CM26/$X26)^6))</f>
        <v/>
      </c>
      <c r="CQ26" s="28" t="str">
        <f aca="false">IF(OR($A26="",N($CC26)&lt;=0),"",IF($I26&gt;0,$CC26/($G26*$H26*$I26)/1E-024/6.022E+023/0.000000001,""))</f>
        <v/>
      </c>
      <c r="CR26" s="29" t="str">
        <f aca="false">IF(Calc!Y26=0,"",IF(Calc!W26&gt;=1,"✖ saturated (B ≥ freq.)",IF(Calc!W26&gt;0.1,"⚠ B &gt; 10% of freq.",IF(Calc!W26=0,"⚠ no brightness",IF(Calc!X26&gt;0.1,"⚠ step &gt; 10% of wr",IF(AND($CJ26&lt;&gt;"",$CJ26&lt;&gt;"No FRET",N($O26)&lt;2),"⚠ FRET needs ≥ 2 colours",IF(AND($CJ26&lt;&gt;"",$CJ26&lt;&gt;"No FRET",N($CK26)+N($CL26)+N($CM26)=0),"⚠ FRET: set R","✔ OK")))))))</f>
        <v/>
      </c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7" t="str">
        <f aca="false">IF(OR($DB26="",$DB26="No FRET",N($DC26)&lt;=0,N($V26)&lt;=0),"",1/(1+($DC26/$V26)^6))</f>
        <v/>
      </c>
      <c r="DG26" s="27" t="str">
        <f aca="false">IF(OR($DB26="",$DB26="No FRET",N($DD26)&lt;=0,N($W26)&lt;=0),"",1/(1+($DD26/$W26)^6))</f>
        <v/>
      </c>
      <c r="DH26" s="27" t="str">
        <f aca="false">IF(OR($DB26="",$DB26="No FRET",N($DE26)&lt;=0,N($X26)&lt;=0),"",1/(1+($DE26/$X26)^6))</f>
        <v/>
      </c>
      <c r="DI26" s="28" t="str">
        <f aca="false">IF(OR($A26="",N($CU26)&lt;=0),"",IF($I26&gt;0,$CU26/($G26*$H26*$I26)/1E-024/6.022E+023/0.000000001,""))</f>
        <v/>
      </c>
      <c r="DJ26" s="29" t="str">
        <f aca="false">IF(Calc!AE26=0,"",IF(Calc!AC26&gt;=1,"✖ saturated (B ≥ freq.)",IF(Calc!AC26&gt;0.1,"⚠ B &gt; 10% of freq.",IF(Calc!AC26=0,"⚠ no brightness",IF(Calc!AD26&gt;0.1,"⚠ step &gt; 10% of wr",IF(AND($DB26&lt;&gt;"",$DB26&lt;&gt;"No FRET",N($O26)&lt;2),"⚠ FRET needs ≥ 2 colours",IF(AND($DB26&lt;&gt;"",$DB26&lt;&gt;"No FRET",N($DC26)+N($DD26)+N($DE26)=0),"⚠ FRET: set R","✔ OK")))))))</f>
        <v/>
      </c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7" t="str">
        <f aca="false">IF(OR($DT26="",$DT26="No FRET",N($DU26)&lt;=0,N($V26)&lt;=0),"",1/(1+($DU26/$V26)^6))</f>
        <v/>
      </c>
      <c r="DY26" s="27" t="str">
        <f aca="false">IF(OR($DT26="",$DT26="No FRET",N($DV26)&lt;=0,N($W26)&lt;=0),"",1/(1+($DV26/$W26)^6))</f>
        <v/>
      </c>
      <c r="DZ26" s="27" t="str">
        <f aca="false">IF(OR($DT26="",$DT26="No FRET",N($DW26)&lt;=0,N($X26)&lt;=0),"",1/(1+($DW26/$X26)^6))</f>
        <v/>
      </c>
      <c r="EA26" s="28" t="str">
        <f aca="false">IF(OR($A26="",N($DM26)&lt;=0),"",IF($I26&gt;0,$DM26/($G26*$H26*$I26)/1E-024/6.022E+023/0.000000001,""))</f>
        <v/>
      </c>
      <c r="EB26" s="29" t="str">
        <f aca="false">IF(Calc!AK26=0,"",IF(Calc!AI26&gt;=1,"✖ saturated (B ≥ freq.)",IF(Calc!AI26&gt;0.1,"⚠ B &gt; 10% of freq.",IF(Calc!AI26=0,"⚠ no brightness",IF(Calc!AJ26&gt;0.1,"⚠ step &gt; 10% of wr",IF(AND($DT26&lt;&gt;"",$DT26&lt;&gt;"No FRET",N($O26)&lt;2),"⚠ FRET needs ≥ 2 colours",IF(AND($DT26&lt;&gt;"",$DT26&lt;&gt;"No FRET",N($DU26)+N($DV26)+N($DW26)=0),"⚠ FRET: set R","✔ OK")))))))</f>
        <v/>
      </c>
      <c r="EC26" s="30" t="str">
        <f aca="false">IF($A26="","",SUM(Calc!G26,Calc!M26,Calc!S26,Calc!Y26,Calc!AE26,Calc!AK26))</f>
        <v/>
      </c>
      <c r="ED26" s="30" t="str">
        <f aca="false">IF($A26="","",N($AA26)+N($AS26)+N($BK26)+N($CC26)+N($CU26)+N($DM26))</f>
        <v/>
      </c>
      <c r="EE26" s="31" t="str">
        <f aca="false">IF($A26="","",SUM(Calc!B26,Calc!H26,Calc!N26,Calc!T26,Calc!Z26,Calc!AF26))</f>
        <v/>
      </c>
      <c r="EF26" s="31" t="str">
        <f aca="false">IF($A26="","",SUM(Calc!C26,Calc!I26,Calc!O26,Calc!U26,Calc!AA26,Calc!AG26))</f>
        <v/>
      </c>
      <c r="EG26" s="31" t="str">
        <f aca="false">IF($A26="","",SUM(Calc!D26,Calc!J26,Calc!P26,Calc!V26,Calc!AB26,Calc!AH26))</f>
        <v/>
      </c>
      <c r="EH26" s="27" t="str">
        <f aca="false">IF($A26="","",($EE26+$EF26+$EG26+IF($P26="Yes",N($Q26)*N($O26),0))*1000*$K26/1000000)</f>
        <v/>
      </c>
      <c r="EI26" s="28" t="str">
        <f aca="false">IF($A26="","",$EH26*1000000*12/1000000000)</f>
        <v/>
      </c>
      <c r="EJ26" s="32" t="str">
        <f aca="false">IF($A26="","",IF($EC26=0,"⚠ no species entered",IF(((LEFT($AP26,1)="✖")+(LEFT($BH26,1)="✖")+(LEFT($BZ26,1)="✖")+(LEFT($CR26,1)="✖")+(LEFT($DJ26,1)="✖")+(LEFT($EB26,1)="✖"))&gt;0,"✖ "&amp;((LEFT($AP26,1)="✖")+(LEFT($BH26,1)="✖")+(LEFT($BZ26,1)="✖")+(LEFT($CR26,1)="✖")+(LEFT($DJ26,1)="✖")+(LEFT($EB26,1)="✖"))&amp;" species saturated - see the species checks",IF(MIN($G26,$H26)&lt;8*$T26,"⚠ box too small laterally (&lt; 8·wr)",IF(AND($I26&gt;0,$I26&lt;3*$U26),"⚠ box too small axially (&lt; 3·wz)",IF($EI26&gt;8,"⚠ &gt; 8 GB per file: shorten the duration and use several files",IF(((LEFT($AP26,1)="⚠")+(LEFT($BH26,1)="⚠")+(LEFT($BZ26,1)="⚠")+(LEFT($CR26,1)="⚠")+(LEFT($DJ26,1)="⚠")+(LEFT($EB26,1)="⚠"))&gt;0,"⚠ "&amp;((LEFT($AP26,1)="⚠")+(LEFT($BH26,1)="⚠")+(LEFT($BZ26,1)="⚠")+(LEFT($CR26,1)="⚠")+(LEFT($DJ26,1)="⚠")+(LEFT($EB26,1)="⚠"))&amp;" species with a warning","✔ OK")))))))</f>
        <v/>
      </c>
      <c r="EK26" s="25"/>
      <c r="EL26" s="25"/>
      <c r="EM26" s="25"/>
      <c r="EN26" s="25"/>
      <c r="EO26" s="25"/>
      <c r="EP26" s="25"/>
      <c r="EQ26" s="25"/>
      <c r="ER26" s="26"/>
    </row>
    <row r="27" customFormat="false" ht="15" hidden="false" customHeight="false" outlineLevel="0" collapsed="false">
      <c r="A27" s="25"/>
      <c r="B27" s="25"/>
      <c r="C27" s="26"/>
      <c r="D27" s="26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7" t="str">
        <f aca="false">IF(OR($AH27="",$AH27="No FRET",N($AI27)&lt;=0,N($V27)&lt;=0),"",1/(1+($AI27/$V27)^6))</f>
        <v/>
      </c>
      <c r="AM27" s="27" t="str">
        <f aca="false">IF(OR($AH27="",$AH27="No FRET",N($AJ27)&lt;=0,N($W27)&lt;=0),"",1/(1+($AJ27/$W27)^6))</f>
        <v/>
      </c>
      <c r="AN27" s="27" t="str">
        <f aca="false">IF(OR($AH27="",$AH27="No FRET",N($AK27)&lt;=0,N($X27)&lt;=0),"",1/(1+($AK27/$X27)^6))</f>
        <v/>
      </c>
      <c r="AO27" s="28" t="str">
        <f aca="false">IF(OR($A27="",N($AA27)&lt;=0),"",IF($I27&gt;0,$AA27/($G27*$H27*$I27)/1E-024/6.022E+023/0.000000001,""))</f>
        <v/>
      </c>
      <c r="AP27" s="29" t="str">
        <f aca="false">IF(Calc!G27=0,"",IF(Calc!E27&gt;=1,"✖ saturated (B ≥ freq.)",IF(Calc!E27&gt;0.1,"⚠ B &gt; 10% of freq.",IF(Calc!E27=0,"⚠ no brightness",IF(Calc!F27&gt;0.1,"⚠ step &gt; 10% of wr",IF(AND($AH27&lt;&gt;"",$AH27&lt;&gt;"No FRET",N($O27)&lt;2),"⚠ FRET needs ≥ 2 colours",IF(AND($AH27&lt;&gt;"",$AH27&lt;&gt;"No FRET",N($AI27)+N($AJ27)+N($AK27)=0),"⚠ FRET: set R","✔ OK")))))))</f>
        <v/>
      </c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7" t="str">
        <f aca="false">IF(OR($AZ27="",$AZ27="No FRET",N($BA27)&lt;=0,N($V27)&lt;=0),"",1/(1+($BA27/$V27)^6))</f>
        <v/>
      </c>
      <c r="BE27" s="27" t="str">
        <f aca="false">IF(OR($AZ27="",$AZ27="No FRET",N($BB27)&lt;=0,N($W27)&lt;=0),"",1/(1+($BB27/$W27)^6))</f>
        <v/>
      </c>
      <c r="BF27" s="27" t="str">
        <f aca="false">IF(OR($AZ27="",$AZ27="No FRET",N($BC27)&lt;=0,N($X27)&lt;=0),"",1/(1+($BC27/$X27)^6))</f>
        <v/>
      </c>
      <c r="BG27" s="28" t="str">
        <f aca="false">IF(OR($A27="",N($AS27)&lt;=0),"",IF($I27&gt;0,$AS27/($G27*$H27*$I27)/1E-024/6.022E+023/0.000000001,""))</f>
        <v/>
      </c>
      <c r="BH27" s="29" t="str">
        <f aca="false">IF(Calc!M27=0,"",IF(Calc!K27&gt;=1,"✖ saturated (B ≥ freq.)",IF(Calc!K27&gt;0.1,"⚠ B &gt; 10% of freq.",IF(Calc!K27=0,"⚠ no brightness",IF(Calc!L27&gt;0.1,"⚠ step &gt; 10% of wr",IF(AND($AZ27&lt;&gt;"",$AZ27&lt;&gt;"No FRET",N($O27)&lt;2),"⚠ FRET needs ≥ 2 colours",IF(AND($AZ27&lt;&gt;"",$AZ27&lt;&gt;"No FRET",N($BA27)+N($BB27)+N($BC27)=0),"⚠ FRET: set R","✔ OK")))))))</f>
        <v/>
      </c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7" t="str">
        <f aca="false">IF(OR($BR27="",$BR27="No FRET",N($BS27)&lt;=0,N($V27)&lt;=0),"",1/(1+($BS27/$V27)^6))</f>
        <v/>
      </c>
      <c r="BW27" s="27" t="str">
        <f aca="false">IF(OR($BR27="",$BR27="No FRET",N($BT27)&lt;=0,N($W27)&lt;=0),"",1/(1+($BT27/$W27)^6))</f>
        <v/>
      </c>
      <c r="BX27" s="27" t="str">
        <f aca="false">IF(OR($BR27="",$BR27="No FRET",N($BU27)&lt;=0,N($X27)&lt;=0),"",1/(1+($BU27/$X27)^6))</f>
        <v/>
      </c>
      <c r="BY27" s="28" t="str">
        <f aca="false">IF(OR($A27="",N($BK27)&lt;=0),"",IF($I27&gt;0,$BK27/($G27*$H27*$I27)/1E-024/6.022E+023/0.000000001,""))</f>
        <v/>
      </c>
      <c r="BZ27" s="29" t="str">
        <f aca="false">IF(Calc!S27=0,"",IF(Calc!Q27&gt;=1,"✖ saturated (B ≥ freq.)",IF(Calc!Q27&gt;0.1,"⚠ B &gt; 10% of freq.",IF(Calc!Q27=0,"⚠ no brightness",IF(Calc!R27&gt;0.1,"⚠ step &gt; 10% of wr",IF(AND($BR27&lt;&gt;"",$BR27&lt;&gt;"No FRET",N($O27)&lt;2),"⚠ FRET needs ≥ 2 colours",IF(AND($BR27&lt;&gt;"",$BR27&lt;&gt;"No FRET",N($BS27)+N($BT27)+N($BU27)=0),"⚠ FRET: set R","✔ OK")))))))</f>
        <v/>
      </c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7" t="str">
        <f aca="false">IF(OR($CJ27="",$CJ27="No FRET",N($CK27)&lt;=0,N($V27)&lt;=0),"",1/(1+($CK27/$V27)^6))</f>
        <v/>
      </c>
      <c r="CO27" s="27" t="str">
        <f aca="false">IF(OR($CJ27="",$CJ27="No FRET",N($CL27)&lt;=0,N($W27)&lt;=0),"",1/(1+($CL27/$W27)^6))</f>
        <v/>
      </c>
      <c r="CP27" s="27" t="str">
        <f aca="false">IF(OR($CJ27="",$CJ27="No FRET",N($CM27)&lt;=0,N($X27)&lt;=0),"",1/(1+($CM27/$X27)^6))</f>
        <v/>
      </c>
      <c r="CQ27" s="28" t="str">
        <f aca="false">IF(OR($A27="",N($CC27)&lt;=0),"",IF($I27&gt;0,$CC27/($G27*$H27*$I27)/1E-024/6.022E+023/0.000000001,""))</f>
        <v/>
      </c>
      <c r="CR27" s="29" t="str">
        <f aca="false">IF(Calc!Y27=0,"",IF(Calc!W27&gt;=1,"✖ saturated (B ≥ freq.)",IF(Calc!W27&gt;0.1,"⚠ B &gt; 10% of freq.",IF(Calc!W27=0,"⚠ no brightness",IF(Calc!X27&gt;0.1,"⚠ step &gt; 10% of wr",IF(AND($CJ27&lt;&gt;"",$CJ27&lt;&gt;"No FRET",N($O27)&lt;2),"⚠ FRET needs ≥ 2 colours",IF(AND($CJ27&lt;&gt;"",$CJ27&lt;&gt;"No FRET",N($CK27)+N($CL27)+N($CM27)=0),"⚠ FRET: set R","✔ OK")))))))</f>
        <v/>
      </c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7" t="str">
        <f aca="false">IF(OR($DB27="",$DB27="No FRET",N($DC27)&lt;=0,N($V27)&lt;=0),"",1/(1+($DC27/$V27)^6))</f>
        <v/>
      </c>
      <c r="DG27" s="27" t="str">
        <f aca="false">IF(OR($DB27="",$DB27="No FRET",N($DD27)&lt;=0,N($W27)&lt;=0),"",1/(1+($DD27/$W27)^6))</f>
        <v/>
      </c>
      <c r="DH27" s="27" t="str">
        <f aca="false">IF(OR($DB27="",$DB27="No FRET",N($DE27)&lt;=0,N($X27)&lt;=0),"",1/(1+($DE27/$X27)^6))</f>
        <v/>
      </c>
      <c r="DI27" s="28" t="str">
        <f aca="false">IF(OR($A27="",N($CU27)&lt;=0),"",IF($I27&gt;0,$CU27/($G27*$H27*$I27)/1E-024/6.022E+023/0.000000001,""))</f>
        <v/>
      </c>
      <c r="DJ27" s="29" t="str">
        <f aca="false">IF(Calc!AE27=0,"",IF(Calc!AC27&gt;=1,"✖ saturated (B ≥ freq.)",IF(Calc!AC27&gt;0.1,"⚠ B &gt; 10% of freq.",IF(Calc!AC27=0,"⚠ no brightness",IF(Calc!AD27&gt;0.1,"⚠ step &gt; 10% of wr",IF(AND($DB27&lt;&gt;"",$DB27&lt;&gt;"No FRET",N($O27)&lt;2),"⚠ FRET needs ≥ 2 colours",IF(AND($DB27&lt;&gt;"",$DB27&lt;&gt;"No FRET",N($DC27)+N($DD27)+N($DE27)=0),"⚠ FRET: set R","✔ OK")))))))</f>
        <v/>
      </c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7" t="str">
        <f aca="false">IF(OR($DT27="",$DT27="No FRET",N($DU27)&lt;=0,N($V27)&lt;=0),"",1/(1+($DU27/$V27)^6))</f>
        <v/>
      </c>
      <c r="DY27" s="27" t="str">
        <f aca="false">IF(OR($DT27="",$DT27="No FRET",N($DV27)&lt;=0,N($W27)&lt;=0),"",1/(1+($DV27/$W27)^6))</f>
        <v/>
      </c>
      <c r="DZ27" s="27" t="str">
        <f aca="false">IF(OR($DT27="",$DT27="No FRET",N($DW27)&lt;=0,N($X27)&lt;=0),"",1/(1+($DW27/$X27)^6))</f>
        <v/>
      </c>
      <c r="EA27" s="28" t="str">
        <f aca="false">IF(OR($A27="",N($DM27)&lt;=0),"",IF($I27&gt;0,$DM27/($G27*$H27*$I27)/1E-024/6.022E+023/0.000000001,""))</f>
        <v/>
      </c>
      <c r="EB27" s="29" t="str">
        <f aca="false">IF(Calc!AK27=0,"",IF(Calc!AI27&gt;=1,"✖ saturated (B ≥ freq.)",IF(Calc!AI27&gt;0.1,"⚠ B &gt; 10% of freq.",IF(Calc!AI27=0,"⚠ no brightness",IF(Calc!AJ27&gt;0.1,"⚠ step &gt; 10% of wr",IF(AND($DT27&lt;&gt;"",$DT27&lt;&gt;"No FRET",N($O27)&lt;2),"⚠ FRET needs ≥ 2 colours",IF(AND($DT27&lt;&gt;"",$DT27&lt;&gt;"No FRET",N($DU27)+N($DV27)+N($DW27)=0),"⚠ FRET: set R","✔ OK")))))))</f>
        <v/>
      </c>
      <c r="EC27" s="30" t="str">
        <f aca="false">IF($A27="","",SUM(Calc!G27,Calc!M27,Calc!S27,Calc!Y27,Calc!AE27,Calc!AK27))</f>
        <v/>
      </c>
      <c r="ED27" s="30" t="str">
        <f aca="false">IF($A27="","",N($AA27)+N($AS27)+N($BK27)+N($CC27)+N($CU27)+N($DM27))</f>
        <v/>
      </c>
      <c r="EE27" s="31" t="str">
        <f aca="false">IF($A27="","",SUM(Calc!B27,Calc!H27,Calc!N27,Calc!T27,Calc!Z27,Calc!AF27))</f>
        <v/>
      </c>
      <c r="EF27" s="31" t="str">
        <f aca="false">IF($A27="","",SUM(Calc!C27,Calc!I27,Calc!O27,Calc!U27,Calc!AA27,Calc!AG27))</f>
        <v/>
      </c>
      <c r="EG27" s="31" t="str">
        <f aca="false">IF($A27="","",SUM(Calc!D27,Calc!J27,Calc!P27,Calc!V27,Calc!AB27,Calc!AH27))</f>
        <v/>
      </c>
      <c r="EH27" s="27" t="str">
        <f aca="false">IF($A27="","",($EE27+$EF27+$EG27+IF($P27="Yes",N($Q27)*N($O27),0))*1000*$K27/1000000)</f>
        <v/>
      </c>
      <c r="EI27" s="28" t="str">
        <f aca="false">IF($A27="","",$EH27*1000000*12/1000000000)</f>
        <v/>
      </c>
      <c r="EJ27" s="32" t="str">
        <f aca="false">IF($A27="","",IF($EC27=0,"⚠ no species entered",IF(((LEFT($AP27,1)="✖")+(LEFT($BH27,1)="✖")+(LEFT($BZ27,1)="✖")+(LEFT($CR27,1)="✖")+(LEFT($DJ27,1)="✖")+(LEFT($EB27,1)="✖"))&gt;0,"✖ "&amp;((LEFT($AP27,1)="✖")+(LEFT($BH27,1)="✖")+(LEFT($BZ27,1)="✖")+(LEFT($CR27,1)="✖")+(LEFT($DJ27,1)="✖")+(LEFT($EB27,1)="✖"))&amp;" species saturated - see the species checks",IF(MIN($G27,$H27)&lt;8*$T27,"⚠ box too small laterally (&lt; 8·wr)",IF(AND($I27&gt;0,$I27&lt;3*$U27),"⚠ box too small axially (&lt; 3·wz)",IF($EI27&gt;8,"⚠ &gt; 8 GB per file: shorten the duration and use several files",IF(((LEFT($AP27,1)="⚠")+(LEFT($BH27,1)="⚠")+(LEFT($BZ27,1)="⚠")+(LEFT($CR27,1)="⚠")+(LEFT($DJ27,1)="⚠")+(LEFT($EB27,1)="⚠"))&gt;0,"⚠ "&amp;((LEFT($AP27,1)="⚠")+(LEFT($BH27,1)="⚠")+(LEFT($BZ27,1)="⚠")+(LEFT($CR27,1)="⚠")+(LEFT($DJ27,1)="⚠")+(LEFT($EB27,1)="⚠"))&amp;" species with a warning","✔ OK")))))))</f>
        <v/>
      </c>
      <c r="EK27" s="25"/>
      <c r="EL27" s="25"/>
      <c r="EM27" s="25"/>
      <c r="EN27" s="25"/>
      <c r="EO27" s="25"/>
      <c r="EP27" s="25"/>
      <c r="EQ27" s="25"/>
      <c r="ER27" s="26"/>
    </row>
    <row r="28" customFormat="false" ht="15" hidden="false" customHeight="false" outlineLevel="0" collapsed="false">
      <c r="A28" s="25"/>
      <c r="B28" s="25"/>
      <c r="C28" s="26"/>
      <c r="D28" s="26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7" t="str">
        <f aca="false">IF(OR($AH28="",$AH28="No FRET",N($AI28)&lt;=0,N($V28)&lt;=0),"",1/(1+($AI28/$V28)^6))</f>
        <v/>
      </c>
      <c r="AM28" s="27" t="str">
        <f aca="false">IF(OR($AH28="",$AH28="No FRET",N($AJ28)&lt;=0,N($W28)&lt;=0),"",1/(1+($AJ28/$W28)^6))</f>
        <v/>
      </c>
      <c r="AN28" s="27" t="str">
        <f aca="false">IF(OR($AH28="",$AH28="No FRET",N($AK28)&lt;=0,N($X28)&lt;=0),"",1/(1+($AK28/$X28)^6))</f>
        <v/>
      </c>
      <c r="AO28" s="28" t="str">
        <f aca="false">IF(OR($A28="",N($AA28)&lt;=0),"",IF($I28&gt;0,$AA28/($G28*$H28*$I28)/1E-024/6.022E+023/0.000000001,""))</f>
        <v/>
      </c>
      <c r="AP28" s="29" t="str">
        <f aca="false">IF(Calc!G28=0,"",IF(Calc!E28&gt;=1,"✖ saturated (B ≥ freq.)",IF(Calc!E28&gt;0.1,"⚠ B &gt; 10% of freq.",IF(Calc!E28=0,"⚠ no brightness",IF(Calc!F28&gt;0.1,"⚠ step &gt; 10% of wr",IF(AND($AH28&lt;&gt;"",$AH28&lt;&gt;"No FRET",N($O28)&lt;2),"⚠ FRET needs ≥ 2 colours",IF(AND($AH28&lt;&gt;"",$AH28&lt;&gt;"No FRET",N($AI28)+N($AJ28)+N($AK28)=0),"⚠ FRET: set R","✔ OK")))))))</f>
        <v/>
      </c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7" t="str">
        <f aca="false">IF(OR($AZ28="",$AZ28="No FRET",N($BA28)&lt;=0,N($V28)&lt;=0),"",1/(1+($BA28/$V28)^6))</f>
        <v/>
      </c>
      <c r="BE28" s="27" t="str">
        <f aca="false">IF(OR($AZ28="",$AZ28="No FRET",N($BB28)&lt;=0,N($W28)&lt;=0),"",1/(1+($BB28/$W28)^6))</f>
        <v/>
      </c>
      <c r="BF28" s="27" t="str">
        <f aca="false">IF(OR($AZ28="",$AZ28="No FRET",N($BC28)&lt;=0,N($X28)&lt;=0),"",1/(1+($BC28/$X28)^6))</f>
        <v/>
      </c>
      <c r="BG28" s="28" t="str">
        <f aca="false">IF(OR($A28="",N($AS28)&lt;=0),"",IF($I28&gt;0,$AS28/($G28*$H28*$I28)/1E-024/6.022E+023/0.000000001,""))</f>
        <v/>
      </c>
      <c r="BH28" s="29" t="str">
        <f aca="false">IF(Calc!M28=0,"",IF(Calc!K28&gt;=1,"✖ saturated (B ≥ freq.)",IF(Calc!K28&gt;0.1,"⚠ B &gt; 10% of freq.",IF(Calc!K28=0,"⚠ no brightness",IF(Calc!L28&gt;0.1,"⚠ step &gt; 10% of wr",IF(AND($AZ28&lt;&gt;"",$AZ28&lt;&gt;"No FRET",N($O28)&lt;2),"⚠ FRET needs ≥ 2 colours",IF(AND($AZ28&lt;&gt;"",$AZ28&lt;&gt;"No FRET",N($BA28)+N($BB28)+N($BC28)=0),"⚠ FRET: set R","✔ OK")))))))</f>
        <v/>
      </c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7" t="str">
        <f aca="false">IF(OR($BR28="",$BR28="No FRET",N($BS28)&lt;=0,N($V28)&lt;=0),"",1/(1+($BS28/$V28)^6))</f>
        <v/>
      </c>
      <c r="BW28" s="27" t="str">
        <f aca="false">IF(OR($BR28="",$BR28="No FRET",N($BT28)&lt;=0,N($W28)&lt;=0),"",1/(1+($BT28/$W28)^6))</f>
        <v/>
      </c>
      <c r="BX28" s="27" t="str">
        <f aca="false">IF(OR($BR28="",$BR28="No FRET",N($BU28)&lt;=0,N($X28)&lt;=0),"",1/(1+($BU28/$X28)^6))</f>
        <v/>
      </c>
      <c r="BY28" s="28" t="str">
        <f aca="false">IF(OR($A28="",N($BK28)&lt;=0),"",IF($I28&gt;0,$BK28/($G28*$H28*$I28)/1E-024/6.022E+023/0.000000001,""))</f>
        <v/>
      </c>
      <c r="BZ28" s="29" t="str">
        <f aca="false">IF(Calc!S28=0,"",IF(Calc!Q28&gt;=1,"✖ saturated (B ≥ freq.)",IF(Calc!Q28&gt;0.1,"⚠ B &gt; 10% of freq.",IF(Calc!Q28=0,"⚠ no brightness",IF(Calc!R28&gt;0.1,"⚠ step &gt; 10% of wr",IF(AND($BR28&lt;&gt;"",$BR28&lt;&gt;"No FRET",N($O28)&lt;2),"⚠ FRET needs ≥ 2 colours",IF(AND($BR28&lt;&gt;"",$BR28&lt;&gt;"No FRET",N($BS28)+N($BT28)+N($BU28)=0),"⚠ FRET: set R","✔ OK")))))))</f>
        <v/>
      </c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7" t="str">
        <f aca="false">IF(OR($CJ28="",$CJ28="No FRET",N($CK28)&lt;=0,N($V28)&lt;=0),"",1/(1+($CK28/$V28)^6))</f>
        <v/>
      </c>
      <c r="CO28" s="27" t="str">
        <f aca="false">IF(OR($CJ28="",$CJ28="No FRET",N($CL28)&lt;=0,N($W28)&lt;=0),"",1/(1+($CL28/$W28)^6))</f>
        <v/>
      </c>
      <c r="CP28" s="27" t="str">
        <f aca="false">IF(OR($CJ28="",$CJ28="No FRET",N($CM28)&lt;=0,N($X28)&lt;=0),"",1/(1+($CM28/$X28)^6))</f>
        <v/>
      </c>
      <c r="CQ28" s="28" t="str">
        <f aca="false">IF(OR($A28="",N($CC28)&lt;=0),"",IF($I28&gt;0,$CC28/($G28*$H28*$I28)/1E-024/6.022E+023/0.000000001,""))</f>
        <v/>
      </c>
      <c r="CR28" s="29" t="str">
        <f aca="false">IF(Calc!Y28=0,"",IF(Calc!W28&gt;=1,"✖ saturated (B ≥ freq.)",IF(Calc!W28&gt;0.1,"⚠ B &gt; 10% of freq.",IF(Calc!W28=0,"⚠ no brightness",IF(Calc!X28&gt;0.1,"⚠ step &gt; 10% of wr",IF(AND($CJ28&lt;&gt;"",$CJ28&lt;&gt;"No FRET",N($O28)&lt;2),"⚠ FRET needs ≥ 2 colours",IF(AND($CJ28&lt;&gt;"",$CJ28&lt;&gt;"No FRET",N($CK28)+N($CL28)+N($CM28)=0),"⚠ FRET: set R","✔ OK")))))))</f>
        <v/>
      </c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7" t="str">
        <f aca="false">IF(OR($DB28="",$DB28="No FRET",N($DC28)&lt;=0,N($V28)&lt;=0),"",1/(1+($DC28/$V28)^6))</f>
        <v/>
      </c>
      <c r="DG28" s="27" t="str">
        <f aca="false">IF(OR($DB28="",$DB28="No FRET",N($DD28)&lt;=0,N($W28)&lt;=0),"",1/(1+($DD28/$W28)^6))</f>
        <v/>
      </c>
      <c r="DH28" s="27" t="str">
        <f aca="false">IF(OR($DB28="",$DB28="No FRET",N($DE28)&lt;=0,N($X28)&lt;=0),"",1/(1+($DE28/$X28)^6))</f>
        <v/>
      </c>
      <c r="DI28" s="28" t="str">
        <f aca="false">IF(OR($A28="",N($CU28)&lt;=0),"",IF($I28&gt;0,$CU28/($G28*$H28*$I28)/1E-024/6.022E+023/0.000000001,""))</f>
        <v/>
      </c>
      <c r="DJ28" s="29" t="str">
        <f aca="false">IF(Calc!AE28=0,"",IF(Calc!AC28&gt;=1,"✖ saturated (B ≥ freq.)",IF(Calc!AC28&gt;0.1,"⚠ B &gt; 10% of freq.",IF(Calc!AC28=0,"⚠ no brightness",IF(Calc!AD28&gt;0.1,"⚠ step &gt; 10% of wr",IF(AND($DB28&lt;&gt;"",$DB28&lt;&gt;"No FRET",N($O28)&lt;2),"⚠ FRET needs ≥ 2 colours",IF(AND($DB28&lt;&gt;"",$DB28&lt;&gt;"No FRET",N($DC28)+N($DD28)+N($DE28)=0),"⚠ FRET: set R","✔ OK")))))))</f>
        <v/>
      </c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7" t="str">
        <f aca="false">IF(OR($DT28="",$DT28="No FRET",N($DU28)&lt;=0,N($V28)&lt;=0),"",1/(1+($DU28/$V28)^6))</f>
        <v/>
      </c>
      <c r="DY28" s="27" t="str">
        <f aca="false">IF(OR($DT28="",$DT28="No FRET",N($DV28)&lt;=0,N($W28)&lt;=0),"",1/(1+($DV28/$W28)^6))</f>
        <v/>
      </c>
      <c r="DZ28" s="27" t="str">
        <f aca="false">IF(OR($DT28="",$DT28="No FRET",N($DW28)&lt;=0,N($X28)&lt;=0),"",1/(1+($DW28/$X28)^6))</f>
        <v/>
      </c>
      <c r="EA28" s="28" t="str">
        <f aca="false">IF(OR($A28="",N($DM28)&lt;=0),"",IF($I28&gt;0,$DM28/($G28*$H28*$I28)/1E-024/6.022E+023/0.000000001,""))</f>
        <v/>
      </c>
      <c r="EB28" s="29" t="str">
        <f aca="false">IF(Calc!AK28=0,"",IF(Calc!AI28&gt;=1,"✖ saturated (B ≥ freq.)",IF(Calc!AI28&gt;0.1,"⚠ B &gt; 10% of freq.",IF(Calc!AI28=0,"⚠ no brightness",IF(Calc!AJ28&gt;0.1,"⚠ step &gt; 10% of wr",IF(AND($DT28&lt;&gt;"",$DT28&lt;&gt;"No FRET",N($O28)&lt;2),"⚠ FRET needs ≥ 2 colours",IF(AND($DT28&lt;&gt;"",$DT28&lt;&gt;"No FRET",N($DU28)+N($DV28)+N($DW28)=0),"⚠ FRET: set R","✔ OK")))))))</f>
        <v/>
      </c>
      <c r="EC28" s="30" t="str">
        <f aca="false">IF($A28="","",SUM(Calc!G28,Calc!M28,Calc!S28,Calc!Y28,Calc!AE28,Calc!AK28))</f>
        <v/>
      </c>
      <c r="ED28" s="30" t="str">
        <f aca="false">IF($A28="","",N($AA28)+N($AS28)+N($BK28)+N($CC28)+N($CU28)+N($DM28))</f>
        <v/>
      </c>
      <c r="EE28" s="31" t="str">
        <f aca="false">IF($A28="","",SUM(Calc!B28,Calc!H28,Calc!N28,Calc!T28,Calc!Z28,Calc!AF28))</f>
        <v/>
      </c>
      <c r="EF28" s="31" t="str">
        <f aca="false">IF($A28="","",SUM(Calc!C28,Calc!I28,Calc!O28,Calc!U28,Calc!AA28,Calc!AG28))</f>
        <v/>
      </c>
      <c r="EG28" s="31" t="str">
        <f aca="false">IF($A28="","",SUM(Calc!D28,Calc!J28,Calc!P28,Calc!V28,Calc!AB28,Calc!AH28))</f>
        <v/>
      </c>
      <c r="EH28" s="27" t="str">
        <f aca="false">IF($A28="","",($EE28+$EF28+$EG28+IF($P28="Yes",N($Q28)*N($O28),0))*1000*$K28/1000000)</f>
        <v/>
      </c>
      <c r="EI28" s="28" t="str">
        <f aca="false">IF($A28="","",$EH28*1000000*12/1000000000)</f>
        <v/>
      </c>
      <c r="EJ28" s="32" t="str">
        <f aca="false">IF($A28="","",IF($EC28=0,"⚠ no species entered",IF(((LEFT($AP28,1)="✖")+(LEFT($BH28,1)="✖")+(LEFT($BZ28,1)="✖")+(LEFT($CR28,1)="✖")+(LEFT($DJ28,1)="✖")+(LEFT($EB28,1)="✖"))&gt;0,"✖ "&amp;((LEFT($AP28,1)="✖")+(LEFT($BH28,1)="✖")+(LEFT($BZ28,1)="✖")+(LEFT($CR28,1)="✖")+(LEFT($DJ28,1)="✖")+(LEFT($EB28,1)="✖"))&amp;" species saturated - see the species checks",IF(MIN($G28,$H28)&lt;8*$T28,"⚠ box too small laterally (&lt; 8·wr)",IF(AND($I28&gt;0,$I28&lt;3*$U28),"⚠ box too small axially (&lt; 3·wz)",IF($EI28&gt;8,"⚠ &gt; 8 GB per file: shorten the duration and use several files",IF(((LEFT($AP28,1)="⚠")+(LEFT($BH28,1)="⚠")+(LEFT($BZ28,1)="⚠")+(LEFT($CR28,1)="⚠")+(LEFT($DJ28,1)="⚠")+(LEFT($EB28,1)="⚠"))&gt;0,"⚠ "&amp;((LEFT($AP28,1)="⚠")+(LEFT($BH28,1)="⚠")+(LEFT($BZ28,1)="⚠")+(LEFT($CR28,1)="⚠")+(LEFT($DJ28,1)="⚠")+(LEFT($EB28,1)="⚠"))&amp;" species with a warning","✔ OK")))))))</f>
        <v/>
      </c>
      <c r="EK28" s="25"/>
      <c r="EL28" s="25"/>
      <c r="EM28" s="25"/>
      <c r="EN28" s="25"/>
      <c r="EO28" s="25"/>
      <c r="EP28" s="25"/>
      <c r="EQ28" s="25"/>
      <c r="ER28" s="26"/>
    </row>
    <row r="29" customFormat="false" ht="15" hidden="false" customHeight="false" outlineLevel="0" collapsed="false">
      <c r="A29" s="25"/>
      <c r="B29" s="25"/>
      <c r="C29" s="26"/>
      <c r="D29" s="26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7" t="str">
        <f aca="false">IF(OR($AH29="",$AH29="No FRET",N($AI29)&lt;=0,N($V29)&lt;=0),"",1/(1+($AI29/$V29)^6))</f>
        <v/>
      </c>
      <c r="AM29" s="27" t="str">
        <f aca="false">IF(OR($AH29="",$AH29="No FRET",N($AJ29)&lt;=0,N($W29)&lt;=0),"",1/(1+($AJ29/$W29)^6))</f>
        <v/>
      </c>
      <c r="AN29" s="27" t="str">
        <f aca="false">IF(OR($AH29="",$AH29="No FRET",N($AK29)&lt;=0,N($X29)&lt;=0),"",1/(1+($AK29/$X29)^6))</f>
        <v/>
      </c>
      <c r="AO29" s="28" t="str">
        <f aca="false">IF(OR($A29="",N($AA29)&lt;=0),"",IF($I29&gt;0,$AA29/($G29*$H29*$I29)/1E-024/6.022E+023/0.000000001,""))</f>
        <v/>
      </c>
      <c r="AP29" s="29" t="str">
        <f aca="false">IF(Calc!G29=0,"",IF(Calc!E29&gt;=1,"✖ saturated (B ≥ freq.)",IF(Calc!E29&gt;0.1,"⚠ B &gt; 10% of freq.",IF(Calc!E29=0,"⚠ no brightness",IF(Calc!F29&gt;0.1,"⚠ step &gt; 10% of wr",IF(AND($AH29&lt;&gt;"",$AH29&lt;&gt;"No FRET",N($O29)&lt;2),"⚠ FRET needs ≥ 2 colours",IF(AND($AH29&lt;&gt;"",$AH29&lt;&gt;"No FRET",N($AI29)+N($AJ29)+N($AK29)=0),"⚠ FRET: set R","✔ OK")))))))</f>
        <v/>
      </c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7" t="str">
        <f aca="false">IF(OR($AZ29="",$AZ29="No FRET",N($BA29)&lt;=0,N($V29)&lt;=0),"",1/(1+($BA29/$V29)^6))</f>
        <v/>
      </c>
      <c r="BE29" s="27" t="str">
        <f aca="false">IF(OR($AZ29="",$AZ29="No FRET",N($BB29)&lt;=0,N($W29)&lt;=0),"",1/(1+($BB29/$W29)^6))</f>
        <v/>
      </c>
      <c r="BF29" s="27" t="str">
        <f aca="false">IF(OR($AZ29="",$AZ29="No FRET",N($BC29)&lt;=0,N($X29)&lt;=0),"",1/(1+($BC29/$X29)^6))</f>
        <v/>
      </c>
      <c r="BG29" s="28" t="str">
        <f aca="false">IF(OR($A29="",N($AS29)&lt;=0),"",IF($I29&gt;0,$AS29/($G29*$H29*$I29)/1E-024/6.022E+023/0.000000001,""))</f>
        <v/>
      </c>
      <c r="BH29" s="29" t="str">
        <f aca="false">IF(Calc!M29=0,"",IF(Calc!K29&gt;=1,"✖ saturated (B ≥ freq.)",IF(Calc!K29&gt;0.1,"⚠ B &gt; 10% of freq.",IF(Calc!K29=0,"⚠ no brightness",IF(Calc!L29&gt;0.1,"⚠ step &gt; 10% of wr",IF(AND($AZ29&lt;&gt;"",$AZ29&lt;&gt;"No FRET",N($O29)&lt;2),"⚠ FRET needs ≥ 2 colours",IF(AND($AZ29&lt;&gt;"",$AZ29&lt;&gt;"No FRET",N($BA29)+N($BB29)+N($BC29)=0),"⚠ FRET: set R","✔ OK")))))))</f>
        <v/>
      </c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7" t="str">
        <f aca="false">IF(OR($BR29="",$BR29="No FRET",N($BS29)&lt;=0,N($V29)&lt;=0),"",1/(1+($BS29/$V29)^6))</f>
        <v/>
      </c>
      <c r="BW29" s="27" t="str">
        <f aca="false">IF(OR($BR29="",$BR29="No FRET",N($BT29)&lt;=0,N($W29)&lt;=0),"",1/(1+($BT29/$W29)^6))</f>
        <v/>
      </c>
      <c r="BX29" s="27" t="str">
        <f aca="false">IF(OR($BR29="",$BR29="No FRET",N($BU29)&lt;=0,N($X29)&lt;=0),"",1/(1+($BU29/$X29)^6))</f>
        <v/>
      </c>
      <c r="BY29" s="28" t="str">
        <f aca="false">IF(OR($A29="",N($BK29)&lt;=0),"",IF($I29&gt;0,$BK29/($G29*$H29*$I29)/1E-024/6.022E+023/0.000000001,""))</f>
        <v/>
      </c>
      <c r="BZ29" s="29" t="str">
        <f aca="false">IF(Calc!S29=0,"",IF(Calc!Q29&gt;=1,"✖ saturated (B ≥ freq.)",IF(Calc!Q29&gt;0.1,"⚠ B &gt; 10% of freq.",IF(Calc!Q29=0,"⚠ no brightness",IF(Calc!R29&gt;0.1,"⚠ step &gt; 10% of wr",IF(AND($BR29&lt;&gt;"",$BR29&lt;&gt;"No FRET",N($O29)&lt;2),"⚠ FRET needs ≥ 2 colours",IF(AND($BR29&lt;&gt;"",$BR29&lt;&gt;"No FRET",N($BS29)+N($BT29)+N($BU29)=0),"⚠ FRET: set R","✔ OK")))))))</f>
        <v/>
      </c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7" t="str">
        <f aca="false">IF(OR($CJ29="",$CJ29="No FRET",N($CK29)&lt;=0,N($V29)&lt;=0),"",1/(1+($CK29/$V29)^6))</f>
        <v/>
      </c>
      <c r="CO29" s="27" t="str">
        <f aca="false">IF(OR($CJ29="",$CJ29="No FRET",N($CL29)&lt;=0,N($W29)&lt;=0),"",1/(1+($CL29/$W29)^6))</f>
        <v/>
      </c>
      <c r="CP29" s="27" t="str">
        <f aca="false">IF(OR($CJ29="",$CJ29="No FRET",N($CM29)&lt;=0,N($X29)&lt;=0),"",1/(1+($CM29/$X29)^6))</f>
        <v/>
      </c>
      <c r="CQ29" s="28" t="str">
        <f aca="false">IF(OR($A29="",N($CC29)&lt;=0),"",IF($I29&gt;0,$CC29/($G29*$H29*$I29)/1E-024/6.022E+023/0.000000001,""))</f>
        <v/>
      </c>
      <c r="CR29" s="29" t="str">
        <f aca="false">IF(Calc!Y29=0,"",IF(Calc!W29&gt;=1,"✖ saturated (B ≥ freq.)",IF(Calc!W29&gt;0.1,"⚠ B &gt; 10% of freq.",IF(Calc!W29=0,"⚠ no brightness",IF(Calc!X29&gt;0.1,"⚠ step &gt; 10% of wr",IF(AND($CJ29&lt;&gt;"",$CJ29&lt;&gt;"No FRET",N($O29)&lt;2),"⚠ FRET needs ≥ 2 colours",IF(AND($CJ29&lt;&gt;"",$CJ29&lt;&gt;"No FRET",N($CK29)+N($CL29)+N($CM29)=0),"⚠ FRET: set R","✔ OK")))))))</f>
        <v/>
      </c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7" t="str">
        <f aca="false">IF(OR($DB29="",$DB29="No FRET",N($DC29)&lt;=0,N($V29)&lt;=0),"",1/(1+($DC29/$V29)^6))</f>
        <v/>
      </c>
      <c r="DG29" s="27" t="str">
        <f aca="false">IF(OR($DB29="",$DB29="No FRET",N($DD29)&lt;=0,N($W29)&lt;=0),"",1/(1+($DD29/$W29)^6))</f>
        <v/>
      </c>
      <c r="DH29" s="27" t="str">
        <f aca="false">IF(OR($DB29="",$DB29="No FRET",N($DE29)&lt;=0,N($X29)&lt;=0),"",1/(1+($DE29/$X29)^6))</f>
        <v/>
      </c>
      <c r="DI29" s="28" t="str">
        <f aca="false">IF(OR($A29="",N($CU29)&lt;=0),"",IF($I29&gt;0,$CU29/($G29*$H29*$I29)/1E-024/6.022E+023/0.000000001,""))</f>
        <v/>
      </c>
      <c r="DJ29" s="29" t="str">
        <f aca="false">IF(Calc!AE29=0,"",IF(Calc!AC29&gt;=1,"✖ saturated (B ≥ freq.)",IF(Calc!AC29&gt;0.1,"⚠ B &gt; 10% of freq.",IF(Calc!AC29=0,"⚠ no brightness",IF(Calc!AD29&gt;0.1,"⚠ step &gt; 10% of wr",IF(AND($DB29&lt;&gt;"",$DB29&lt;&gt;"No FRET",N($O29)&lt;2),"⚠ FRET needs ≥ 2 colours",IF(AND($DB29&lt;&gt;"",$DB29&lt;&gt;"No FRET",N($DC29)+N($DD29)+N($DE29)=0),"⚠ FRET: set R","✔ OK")))))))</f>
        <v/>
      </c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7" t="str">
        <f aca="false">IF(OR($DT29="",$DT29="No FRET",N($DU29)&lt;=0,N($V29)&lt;=0),"",1/(1+($DU29/$V29)^6))</f>
        <v/>
      </c>
      <c r="DY29" s="27" t="str">
        <f aca="false">IF(OR($DT29="",$DT29="No FRET",N($DV29)&lt;=0,N($W29)&lt;=0),"",1/(1+($DV29/$W29)^6))</f>
        <v/>
      </c>
      <c r="DZ29" s="27" t="str">
        <f aca="false">IF(OR($DT29="",$DT29="No FRET",N($DW29)&lt;=0,N($X29)&lt;=0),"",1/(1+($DW29/$X29)^6))</f>
        <v/>
      </c>
      <c r="EA29" s="28" t="str">
        <f aca="false">IF(OR($A29="",N($DM29)&lt;=0),"",IF($I29&gt;0,$DM29/($G29*$H29*$I29)/1E-024/6.022E+023/0.000000001,""))</f>
        <v/>
      </c>
      <c r="EB29" s="29" t="str">
        <f aca="false">IF(Calc!AK29=0,"",IF(Calc!AI29&gt;=1,"✖ saturated (B ≥ freq.)",IF(Calc!AI29&gt;0.1,"⚠ B &gt; 10% of freq.",IF(Calc!AI29=0,"⚠ no brightness",IF(Calc!AJ29&gt;0.1,"⚠ step &gt; 10% of wr",IF(AND($DT29&lt;&gt;"",$DT29&lt;&gt;"No FRET",N($O29)&lt;2),"⚠ FRET needs ≥ 2 colours",IF(AND($DT29&lt;&gt;"",$DT29&lt;&gt;"No FRET",N($DU29)+N($DV29)+N($DW29)=0),"⚠ FRET: set R","✔ OK")))))))</f>
        <v/>
      </c>
      <c r="EC29" s="30" t="str">
        <f aca="false">IF($A29="","",SUM(Calc!G29,Calc!M29,Calc!S29,Calc!Y29,Calc!AE29,Calc!AK29))</f>
        <v/>
      </c>
      <c r="ED29" s="30" t="str">
        <f aca="false">IF($A29="","",N($AA29)+N($AS29)+N($BK29)+N($CC29)+N($CU29)+N($DM29))</f>
        <v/>
      </c>
      <c r="EE29" s="31" t="str">
        <f aca="false">IF($A29="","",SUM(Calc!B29,Calc!H29,Calc!N29,Calc!T29,Calc!Z29,Calc!AF29))</f>
        <v/>
      </c>
      <c r="EF29" s="31" t="str">
        <f aca="false">IF($A29="","",SUM(Calc!C29,Calc!I29,Calc!O29,Calc!U29,Calc!AA29,Calc!AG29))</f>
        <v/>
      </c>
      <c r="EG29" s="31" t="str">
        <f aca="false">IF($A29="","",SUM(Calc!D29,Calc!J29,Calc!P29,Calc!V29,Calc!AB29,Calc!AH29))</f>
        <v/>
      </c>
      <c r="EH29" s="27" t="str">
        <f aca="false">IF($A29="","",($EE29+$EF29+$EG29+IF($P29="Yes",N($Q29)*N($O29),0))*1000*$K29/1000000)</f>
        <v/>
      </c>
      <c r="EI29" s="28" t="str">
        <f aca="false">IF($A29="","",$EH29*1000000*12/1000000000)</f>
        <v/>
      </c>
      <c r="EJ29" s="32" t="str">
        <f aca="false">IF($A29="","",IF($EC29=0,"⚠ no species entered",IF(((LEFT($AP29,1)="✖")+(LEFT($BH29,1)="✖")+(LEFT($BZ29,1)="✖")+(LEFT($CR29,1)="✖")+(LEFT($DJ29,1)="✖")+(LEFT($EB29,1)="✖"))&gt;0,"✖ "&amp;((LEFT($AP29,1)="✖")+(LEFT($BH29,1)="✖")+(LEFT($BZ29,1)="✖")+(LEFT($CR29,1)="✖")+(LEFT($DJ29,1)="✖")+(LEFT($EB29,1)="✖"))&amp;" species saturated - see the species checks",IF(MIN($G29,$H29)&lt;8*$T29,"⚠ box too small laterally (&lt; 8·wr)",IF(AND($I29&gt;0,$I29&lt;3*$U29),"⚠ box too small axially (&lt; 3·wz)",IF($EI29&gt;8,"⚠ &gt; 8 GB per file: shorten the duration and use several files",IF(((LEFT($AP29,1)="⚠")+(LEFT($BH29,1)="⚠")+(LEFT($BZ29,1)="⚠")+(LEFT($CR29,1)="⚠")+(LEFT($DJ29,1)="⚠")+(LEFT($EB29,1)="⚠"))&gt;0,"⚠ "&amp;((LEFT($AP29,1)="⚠")+(LEFT($BH29,1)="⚠")+(LEFT($BZ29,1)="⚠")+(LEFT($CR29,1)="⚠")+(LEFT($DJ29,1)="⚠")+(LEFT($EB29,1)="⚠"))&amp;" species with a warning","✔ OK")))))))</f>
        <v/>
      </c>
      <c r="EK29" s="25"/>
      <c r="EL29" s="25"/>
      <c r="EM29" s="25"/>
      <c r="EN29" s="25"/>
      <c r="EO29" s="25"/>
      <c r="EP29" s="25"/>
      <c r="EQ29" s="25"/>
      <c r="ER29" s="26"/>
    </row>
    <row r="30" customFormat="false" ht="15" hidden="false" customHeight="false" outlineLevel="0" collapsed="false">
      <c r="A30" s="25"/>
      <c r="B30" s="25"/>
      <c r="C30" s="26"/>
      <c r="D30" s="26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7" t="str">
        <f aca="false">IF(OR($AH30="",$AH30="No FRET",N($AI30)&lt;=0,N($V30)&lt;=0),"",1/(1+($AI30/$V30)^6))</f>
        <v/>
      </c>
      <c r="AM30" s="27" t="str">
        <f aca="false">IF(OR($AH30="",$AH30="No FRET",N($AJ30)&lt;=0,N($W30)&lt;=0),"",1/(1+($AJ30/$W30)^6))</f>
        <v/>
      </c>
      <c r="AN30" s="27" t="str">
        <f aca="false">IF(OR($AH30="",$AH30="No FRET",N($AK30)&lt;=0,N($X30)&lt;=0),"",1/(1+($AK30/$X30)^6))</f>
        <v/>
      </c>
      <c r="AO30" s="28" t="str">
        <f aca="false">IF(OR($A30="",N($AA30)&lt;=0),"",IF($I30&gt;0,$AA30/($G30*$H30*$I30)/1E-024/6.022E+023/0.000000001,""))</f>
        <v/>
      </c>
      <c r="AP30" s="29" t="str">
        <f aca="false">IF(Calc!G30=0,"",IF(Calc!E30&gt;=1,"✖ saturated (B ≥ freq.)",IF(Calc!E30&gt;0.1,"⚠ B &gt; 10% of freq.",IF(Calc!E30=0,"⚠ no brightness",IF(Calc!F30&gt;0.1,"⚠ step &gt; 10% of wr",IF(AND($AH30&lt;&gt;"",$AH30&lt;&gt;"No FRET",N($O30)&lt;2),"⚠ FRET needs ≥ 2 colours",IF(AND($AH30&lt;&gt;"",$AH30&lt;&gt;"No FRET",N($AI30)+N($AJ30)+N($AK30)=0),"⚠ FRET: set R","✔ OK")))))))</f>
        <v/>
      </c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7" t="str">
        <f aca="false">IF(OR($AZ30="",$AZ30="No FRET",N($BA30)&lt;=0,N($V30)&lt;=0),"",1/(1+($BA30/$V30)^6))</f>
        <v/>
      </c>
      <c r="BE30" s="27" t="str">
        <f aca="false">IF(OR($AZ30="",$AZ30="No FRET",N($BB30)&lt;=0,N($W30)&lt;=0),"",1/(1+($BB30/$W30)^6))</f>
        <v/>
      </c>
      <c r="BF30" s="27" t="str">
        <f aca="false">IF(OR($AZ30="",$AZ30="No FRET",N($BC30)&lt;=0,N($X30)&lt;=0),"",1/(1+($BC30/$X30)^6))</f>
        <v/>
      </c>
      <c r="BG30" s="28" t="str">
        <f aca="false">IF(OR($A30="",N($AS30)&lt;=0),"",IF($I30&gt;0,$AS30/($G30*$H30*$I30)/1E-024/6.022E+023/0.000000001,""))</f>
        <v/>
      </c>
      <c r="BH30" s="29" t="str">
        <f aca="false">IF(Calc!M30=0,"",IF(Calc!K30&gt;=1,"✖ saturated (B ≥ freq.)",IF(Calc!K30&gt;0.1,"⚠ B &gt; 10% of freq.",IF(Calc!K30=0,"⚠ no brightness",IF(Calc!L30&gt;0.1,"⚠ step &gt; 10% of wr",IF(AND($AZ30&lt;&gt;"",$AZ30&lt;&gt;"No FRET",N($O30)&lt;2),"⚠ FRET needs ≥ 2 colours",IF(AND($AZ30&lt;&gt;"",$AZ30&lt;&gt;"No FRET",N($BA30)+N($BB30)+N($BC30)=0),"⚠ FRET: set R","✔ OK")))))))</f>
        <v/>
      </c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7" t="str">
        <f aca="false">IF(OR($BR30="",$BR30="No FRET",N($BS30)&lt;=0,N($V30)&lt;=0),"",1/(1+($BS30/$V30)^6))</f>
        <v/>
      </c>
      <c r="BW30" s="27" t="str">
        <f aca="false">IF(OR($BR30="",$BR30="No FRET",N($BT30)&lt;=0,N($W30)&lt;=0),"",1/(1+($BT30/$W30)^6))</f>
        <v/>
      </c>
      <c r="BX30" s="27" t="str">
        <f aca="false">IF(OR($BR30="",$BR30="No FRET",N($BU30)&lt;=0,N($X30)&lt;=0),"",1/(1+($BU30/$X30)^6))</f>
        <v/>
      </c>
      <c r="BY30" s="28" t="str">
        <f aca="false">IF(OR($A30="",N($BK30)&lt;=0),"",IF($I30&gt;0,$BK30/($G30*$H30*$I30)/1E-024/6.022E+023/0.000000001,""))</f>
        <v/>
      </c>
      <c r="BZ30" s="29" t="str">
        <f aca="false">IF(Calc!S30=0,"",IF(Calc!Q30&gt;=1,"✖ saturated (B ≥ freq.)",IF(Calc!Q30&gt;0.1,"⚠ B &gt; 10% of freq.",IF(Calc!Q30=0,"⚠ no brightness",IF(Calc!R30&gt;0.1,"⚠ step &gt; 10% of wr",IF(AND($BR30&lt;&gt;"",$BR30&lt;&gt;"No FRET",N($O30)&lt;2),"⚠ FRET needs ≥ 2 colours",IF(AND($BR30&lt;&gt;"",$BR30&lt;&gt;"No FRET",N($BS30)+N($BT30)+N($BU30)=0),"⚠ FRET: set R","✔ OK")))))))</f>
        <v/>
      </c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7" t="str">
        <f aca="false">IF(OR($CJ30="",$CJ30="No FRET",N($CK30)&lt;=0,N($V30)&lt;=0),"",1/(1+($CK30/$V30)^6))</f>
        <v/>
      </c>
      <c r="CO30" s="27" t="str">
        <f aca="false">IF(OR($CJ30="",$CJ30="No FRET",N($CL30)&lt;=0,N($W30)&lt;=0),"",1/(1+($CL30/$W30)^6))</f>
        <v/>
      </c>
      <c r="CP30" s="27" t="str">
        <f aca="false">IF(OR($CJ30="",$CJ30="No FRET",N($CM30)&lt;=0,N($X30)&lt;=0),"",1/(1+($CM30/$X30)^6))</f>
        <v/>
      </c>
      <c r="CQ30" s="28" t="str">
        <f aca="false">IF(OR($A30="",N($CC30)&lt;=0),"",IF($I30&gt;0,$CC30/($G30*$H30*$I30)/1E-024/6.022E+023/0.000000001,""))</f>
        <v/>
      </c>
      <c r="CR30" s="29" t="str">
        <f aca="false">IF(Calc!Y30=0,"",IF(Calc!W30&gt;=1,"✖ saturated (B ≥ freq.)",IF(Calc!W30&gt;0.1,"⚠ B &gt; 10% of freq.",IF(Calc!W30=0,"⚠ no brightness",IF(Calc!X30&gt;0.1,"⚠ step &gt; 10% of wr",IF(AND($CJ30&lt;&gt;"",$CJ30&lt;&gt;"No FRET",N($O30)&lt;2),"⚠ FRET needs ≥ 2 colours",IF(AND($CJ30&lt;&gt;"",$CJ30&lt;&gt;"No FRET",N($CK30)+N($CL30)+N($CM30)=0),"⚠ FRET: set R","✔ OK")))))))</f>
        <v/>
      </c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7" t="str">
        <f aca="false">IF(OR($DB30="",$DB30="No FRET",N($DC30)&lt;=0,N($V30)&lt;=0),"",1/(1+($DC30/$V30)^6))</f>
        <v/>
      </c>
      <c r="DG30" s="27" t="str">
        <f aca="false">IF(OR($DB30="",$DB30="No FRET",N($DD30)&lt;=0,N($W30)&lt;=0),"",1/(1+($DD30/$W30)^6))</f>
        <v/>
      </c>
      <c r="DH30" s="27" t="str">
        <f aca="false">IF(OR($DB30="",$DB30="No FRET",N($DE30)&lt;=0,N($X30)&lt;=0),"",1/(1+($DE30/$X30)^6))</f>
        <v/>
      </c>
      <c r="DI30" s="28" t="str">
        <f aca="false">IF(OR($A30="",N($CU30)&lt;=0),"",IF($I30&gt;0,$CU30/($G30*$H30*$I30)/1E-024/6.022E+023/0.000000001,""))</f>
        <v/>
      </c>
      <c r="DJ30" s="29" t="str">
        <f aca="false">IF(Calc!AE30=0,"",IF(Calc!AC30&gt;=1,"✖ saturated (B ≥ freq.)",IF(Calc!AC30&gt;0.1,"⚠ B &gt; 10% of freq.",IF(Calc!AC30=0,"⚠ no brightness",IF(Calc!AD30&gt;0.1,"⚠ step &gt; 10% of wr",IF(AND($DB30&lt;&gt;"",$DB30&lt;&gt;"No FRET",N($O30)&lt;2),"⚠ FRET needs ≥ 2 colours",IF(AND($DB30&lt;&gt;"",$DB30&lt;&gt;"No FRET",N($DC30)+N($DD30)+N($DE30)=0),"⚠ FRET: set R","✔ OK")))))))</f>
        <v/>
      </c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7" t="str">
        <f aca="false">IF(OR($DT30="",$DT30="No FRET",N($DU30)&lt;=0,N($V30)&lt;=0),"",1/(1+($DU30/$V30)^6))</f>
        <v/>
      </c>
      <c r="DY30" s="27" t="str">
        <f aca="false">IF(OR($DT30="",$DT30="No FRET",N($DV30)&lt;=0,N($W30)&lt;=0),"",1/(1+($DV30/$W30)^6))</f>
        <v/>
      </c>
      <c r="DZ30" s="27" t="str">
        <f aca="false">IF(OR($DT30="",$DT30="No FRET",N($DW30)&lt;=0,N($X30)&lt;=0),"",1/(1+($DW30/$X30)^6))</f>
        <v/>
      </c>
      <c r="EA30" s="28" t="str">
        <f aca="false">IF(OR($A30="",N($DM30)&lt;=0),"",IF($I30&gt;0,$DM30/($G30*$H30*$I30)/1E-024/6.022E+023/0.000000001,""))</f>
        <v/>
      </c>
      <c r="EB30" s="29" t="str">
        <f aca="false">IF(Calc!AK30=0,"",IF(Calc!AI30&gt;=1,"✖ saturated (B ≥ freq.)",IF(Calc!AI30&gt;0.1,"⚠ B &gt; 10% of freq.",IF(Calc!AI30=0,"⚠ no brightness",IF(Calc!AJ30&gt;0.1,"⚠ step &gt; 10% of wr",IF(AND($DT30&lt;&gt;"",$DT30&lt;&gt;"No FRET",N($O30)&lt;2),"⚠ FRET needs ≥ 2 colours",IF(AND($DT30&lt;&gt;"",$DT30&lt;&gt;"No FRET",N($DU30)+N($DV30)+N($DW30)=0),"⚠ FRET: set R","✔ OK")))))))</f>
        <v/>
      </c>
      <c r="EC30" s="30" t="str">
        <f aca="false">IF($A30="","",SUM(Calc!G30,Calc!M30,Calc!S30,Calc!Y30,Calc!AE30,Calc!AK30))</f>
        <v/>
      </c>
      <c r="ED30" s="30" t="str">
        <f aca="false">IF($A30="","",N($AA30)+N($AS30)+N($BK30)+N($CC30)+N($CU30)+N($DM30))</f>
        <v/>
      </c>
      <c r="EE30" s="31" t="str">
        <f aca="false">IF($A30="","",SUM(Calc!B30,Calc!H30,Calc!N30,Calc!T30,Calc!Z30,Calc!AF30))</f>
        <v/>
      </c>
      <c r="EF30" s="31" t="str">
        <f aca="false">IF($A30="","",SUM(Calc!C30,Calc!I30,Calc!O30,Calc!U30,Calc!AA30,Calc!AG30))</f>
        <v/>
      </c>
      <c r="EG30" s="31" t="str">
        <f aca="false">IF($A30="","",SUM(Calc!D30,Calc!J30,Calc!P30,Calc!V30,Calc!AB30,Calc!AH30))</f>
        <v/>
      </c>
      <c r="EH30" s="27" t="str">
        <f aca="false">IF($A30="","",($EE30+$EF30+$EG30+IF($P30="Yes",N($Q30)*N($O30),0))*1000*$K30/1000000)</f>
        <v/>
      </c>
      <c r="EI30" s="28" t="str">
        <f aca="false">IF($A30="","",$EH30*1000000*12/1000000000)</f>
        <v/>
      </c>
      <c r="EJ30" s="32" t="str">
        <f aca="false">IF($A30="","",IF($EC30=0,"⚠ no species entered",IF(((LEFT($AP30,1)="✖")+(LEFT($BH30,1)="✖")+(LEFT($BZ30,1)="✖")+(LEFT($CR30,1)="✖")+(LEFT($DJ30,1)="✖")+(LEFT($EB30,1)="✖"))&gt;0,"✖ "&amp;((LEFT($AP30,1)="✖")+(LEFT($BH30,1)="✖")+(LEFT($BZ30,1)="✖")+(LEFT($CR30,1)="✖")+(LEFT($DJ30,1)="✖")+(LEFT($EB30,1)="✖"))&amp;" species saturated - see the species checks",IF(MIN($G30,$H30)&lt;8*$T30,"⚠ box too small laterally (&lt; 8·wr)",IF(AND($I30&gt;0,$I30&lt;3*$U30),"⚠ box too small axially (&lt; 3·wz)",IF($EI30&gt;8,"⚠ &gt; 8 GB per file: shorten the duration and use several files",IF(((LEFT($AP30,1)="⚠")+(LEFT($BH30,1)="⚠")+(LEFT($BZ30,1)="⚠")+(LEFT($CR30,1)="⚠")+(LEFT($DJ30,1)="⚠")+(LEFT($EB30,1)="⚠"))&gt;0,"⚠ "&amp;((LEFT($AP30,1)="⚠")+(LEFT($BH30,1)="⚠")+(LEFT($BZ30,1)="⚠")+(LEFT($CR30,1)="⚠")+(LEFT($DJ30,1)="⚠")+(LEFT($EB30,1)="⚠"))&amp;" species with a warning","✔ OK")))))))</f>
        <v/>
      </c>
      <c r="EK30" s="25"/>
      <c r="EL30" s="25"/>
      <c r="EM30" s="25"/>
      <c r="EN30" s="25"/>
      <c r="EO30" s="25"/>
      <c r="EP30" s="25"/>
      <c r="EQ30" s="25"/>
      <c r="ER30" s="26"/>
    </row>
    <row r="31" customFormat="false" ht="15" hidden="false" customHeight="false" outlineLevel="0" collapsed="false">
      <c r="A31" s="25"/>
      <c r="B31" s="25"/>
      <c r="C31" s="26"/>
      <c r="D31" s="26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7" t="str">
        <f aca="false">IF(OR($AH31="",$AH31="No FRET",N($AI31)&lt;=0,N($V31)&lt;=0),"",1/(1+($AI31/$V31)^6))</f>
        <v/>
      </c>
      <c r="AM31" s="27" t="str">
        <f aca="false">IF(OR($AH31="",$AH31="No FRET",N($AJ31)&lt;=0,N($W31)&lt;=0),"",1/(1+($AJ31/$W31)^6))</f>
        <v/>
      </c>
      <c r="AN31" s="27" t="str">
        <f aca="false">IF(OR($AH31="",$AH31="No FRET",N($AK31)&lt;=0,N($X31)&lt;=0),"",1/(1+($AK31/$X31)^6))</f>
        <v/>
      </c>
      <c r="AO31" s="28" t="str">
        <f aca="false">IF(OR($A31="",N($AA31)&lt;=0),"",IF($I31&gt;0,$AA31/($G31*$H31*$I31)/1E-024/6.022E+023/0.000000001,""))</f>
        <v/>
      </c>
      <c r="AP31" s="29" t="str">
        <f aca="false">IF(Calc!G31=0,"",IF(Calc!E31&gt;=1,"✖ saturated (B ≥ freq.)",IF(Calc!E31&gt;0.1,"⚠ B &gt; 10% of freq.",IF(Calc!E31=0,"⚠ no brightness",IF(Calc!F31&gt;0.1,"⚠ step &gt; 10% of wr",IF(AND($AH31&lt;&gt;"",$AH31&lt;&gt;"No FRET",N($O31)&lt;2),"⚠ FRET needs ≥ 2 colours",IF(AND($AH31&lt;&gt;"",$AH31&lt;&gt;"No FRET",N($AI31)+N($AJ31)+N($AK31)=0),"⚠ FRET: set R","✔ OK")))))))</f>
        <v/>
      </c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7" t="str">
        <f aca="false">IF(OR($AZ31="",$AZ31="No FRET",N($BA31)&lt;=0,N($V31)&lt;=0),"",1/(1+($BA31/$V31)^6))</f>
        <v/>
      </c>
      <c r="BE31" s="27" t="str">
        <f aca="false">IF(OR($AZ31="",$AZ31="No FRET",N($BB31)&lt;=0,N($W31)&lt;=0),"",1/(1+($BB31/$W31)^6))</f>
        <v/>
      </c>
      <c r="BF31" s="27" t="str">
        <f aca="false">IF(OR($AZ31="",$AZ31="No FRET",N($BC31)&lt;=0,N($X31)&lt;=0),"",1/(1+($BC31/$X31)^6))</f>
        <v/>
      </c>
      <c r="BG31" s="28" t="str">
        <f aca="false">IF(OR($A31="",N($AS31)&lt;=0),"",IF($I31&gt;0,$AS31/($G31*$H31*$I31)/1E-024/6.022E+023/0.000000001,""))</f>
        <v/>
      </c>
      <c r="BH31" s="29" t="str">
        <f aca="false">IF(Calc!M31=0,"",IF(Calc!K31&gt;=1,"✖ saturated (B ≥ freq.)",IF(Calc!K31&gt;0.1,"⚠ B &gt; 10% of freq.",IF(Calc!K31=0,"⚠ no brightness",IF(Calc!L31&gt;0.1,"⚠ step &gt; 10% of wr",IF(AND($AZ31&lt;&gt;"",$AZ31&lt;&gt;"No FRET",N($O31)&lt;2),"⚠ FRET needs ≥ 2 colours",IF(AND($AZ31&lt;&gt;"",$AZ31&lt;&gt;"No FRET",N($BA31)+N($BB31)+N($BC31)=0),"⚠ FRET: set R","✔ OK")))))))</f>
        <v/>
      </c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7" t="str">
        <f aca="false">IF(OR($BR31="",$BR31="No FRET",N($BS31)&lt;=0,N($V31)&lt;=0),"",1/(1+($BS31/$V31)^6))</f>
        <v/>
      </c>
      <c r="BW31" s="27" t="str">
        <f aca="false">IF(OR($BR31="",$BR31="No FRET",N($BT31)&lt;=0,N($W31)&lt;=0),"",1/(1+($BT31/$W31)^6))</f>
        <v/>
      </c>
      <c r="BX31" s="27" t="str">
        <f aca="false">IF(OR($BR31="",$BR31="No FRET",N($BU31)&lt;=0,N($X31)&lt;=0),"",1/(1+($BU31/$X31)^6))</f>
        <v/>
      </c>
      <c r="BY31" s="28" t="str">
        <f aca="false">IF(OR($A31="",N($BK31)&lt;=0),"",IF($I31&gt;0,$BK31/($G31*$H31*$I31)/1E-024/6.022E+023/0.000000001,""))</f>
        <v/>
      </c>
      <c r="BZ31" s="29" t="str">
        <f aca="false">IF(Calc!S31=0,"",IF(Calc!Q31&gt;=1,"✖ saturated (B ≥ freq.)",IF(Calc!Q31&gt;0.1,"⚠ B &gt; 10% of freq.",IF(Calc!Q31=0,"⚠ no brightness",IF(Calc!R31&gt;0.1,"⚠ step &gt; 10% of wr",IF(AND($BR31&lt;&gt;"",$BR31&lt;&gt;"No FRET",N($O31)&lt;2),"⚠ FRET needs ≥ 2 colours",IF(AND($BR31&lt;&gt;"",$BR31&lt;&gt;"No FRET",N($BS31)+N($BT31)+N($BU31)=0),"⚠ FRET: set R","✔ OK")))))))</f>
        <v/>
      </c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7" t="str">
        <f aca="false">IF(OR($CJ31="",$CJ31="No FRET",N($CK31)&lt;=0,N($V31)&lt;=0),"",1/(1+($CK31/$V31)^6))</f>
        <v/>
      </c>
      <c r="CO31" s="27" t="str">
        <f aca="false">IF(OR($CJ31="",$CJ31="No FRET",N($CL31)&lt;=0,N($W31)&lt;=0),"",1/(1+($CL31/$W31)^6))</f>
        <v/>
      </c>
      <c r="CP31" s="27" t="str">
        <f aca="false">IF(OR($CJ31="",$CJ31="No FRET",N($CM31)&lt;=0,N($X31)&lt;=0),"",1/(1+($CM31/$X31)^6))</f>
        <v/>
      </c>
      <c r="CQ31" s="28" t="str">
        <f aca="false">IF(OR($A31="",N($CC31)&lt;=0),"",IF($I31&gt;0,$CC31/($G31*$H31*$I31)/1E-024/6.022E+023/0.000000001,""))</f>
        <v/>
      </c>
      <c r="CR31" s="29" t="str">
        <f aca="false">IF(Calc!Y31=0,"",IF(Calc!W31&gt;=1,"✖ saturated (B ≥ freq.)",IF(Calc!W31&gt;0.1,"⚠ B &gt; 10% of freq.",IF(Calc!W31=0,"⚠ no brightness",IF(Calc!X31&gt;0.1,"⚠ step &gt; 10% of wr",IF(AND($CJ31&lt;&gt;"",$CJ31&lt;&gt;"No FRET",N($O31)&lt;2),"⚠ FRET needs ≥ 2 colours",IF(AND($CJ31&lt;&gt;"",$CJ31&lt;&gt;"No FRET",N($CK31)+N($CL31)+N($CM31)=0),"⚠ FRET: set R","✔ OK")))))))</f>
        <v/>
      </c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7" t="str">
        <f aca="false">IF(OR($DB31="",$DB31="No FRET",N($DC31)&lt;=0,N($V31)&lt;=0),"",1/(1+($DC31/$V31)^6))</f>
        <v/>
      </c>
      <c r="DG31" s="27" t="str">
        <f aca="false">IF(OR($DB31="",$DB31="No FRET",N($DD31)&lt;=0,N($W31)&lt;=0),"",1/(1+($DD31/$W31)^6))</f>
        <v/>
      </c>
      <c r="DH31" s="27" t="str">
        <f aca="false">IF(OR($DB31="",$DB31="No FRET",N($DE31)&lt;=0,N($X31)&lt;=0),"",1/(1+($DE31/$X31)^6))</f>
        <v/>
      </c>
      <c r="DI31" s="28" t="str">
        <f aca="false">IF(OR($A31="",N($CU31)&lt;=0),"",IF($I31&gt;0,$CU31/($G31*$H31*$I31)/1E-024/6.022E+023/0.000000001,""))</f>
        <v/>
      </c>
      <c r="DJ31" s="29" t="str">
        <f aca="false">IF(Calc!AE31=0,"",IF(Calc!AC31&gt;=1,"✖ saturated (B ≥ freq.)",IF(Calc!AC31&gt;0.1,"⚠ B &gt; 10% of freq.",IF(Calc!AC31=0,"⚠ no brightness",IF(Calc!AD31&gt;0.1,"⚠ step &gt; 10% of wr",IF(AND($DB31&lt;&gt;"",$DB31&lt;&gt;"No FRET",N($O31)&lt;2),"⚠ FRET needs ≥ 2 colours",IF(AND($DB31&lt;&gt;"",$DB31&lt;&gt;"No FRET",N($DC31)+N($DD31)+N($DE31)=0),"⚠ FRET: set R","✔ OK")))))))</f>
        <v/>
      </c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7" t="str">
        <f aca="false">IF(OR($DT31="",$DT31="No FRET",N($DU31)&lt;=0,N($V31)&lt;=0),"",1/(1+($DU31/$V31)^6))</f>
        <v/>
      </c>
      <c r="DY31" s="27" t="str">
        <f aca="false">IF(OR($DT31="",$DT31="No FRET",N($DV31)&lt;=0,N($W31)&lt;=0),"",1/(1+($DV31/$W31)^6))</f>
        <v/>
      </c>
      <c r="DZ31" s="27" t="str">
        <f aca="false">IF(OR($DT31="",$DT31="No FRET",N($DW31)&lt;=0,N($X31)&lt;=0),"",1/(1+($DW31/$X31)^6))</f>
        <v/>
      </c>
      <c r="EA31" s="28" t="str">
        <f aca="false">IF(OR($A31="",N($DM31)&lt;=0),"",IF($I31&gt;0,$DM31/($G31*$H31*$I31)/1E-024/6.022E+023/0.000000001,""))</f>
        <v/>
      </c>
      <c r="EB31" s="29" t="str">
        <f aca="false">IF(Calc!AK31=0,"",IF(Calc!AI31&gt;=1,"✖ saturated (B ≥ freq.)",IF(Calc!AI31&gt;0.1,"⚠ B &gt; 10% of freq.",IF(Calc!AI31=0,"⚠ no brightness",IF(Calc!AJ31&gt;0.1,"⚠ step &gt; 10% of wr",IF(AND($DT31&lt;&gt;"",$DT31&lt;&gt;"No FRET",N($O31)&lt;2),"⚠ FRET needs ≥ 2 colours",IF(AND($DT31&lt;&gt;"",$DT31&lt;&gt;"No FRET",N($DU31)+N($DV31)+N($DW31)=0),"⚠ FRET: set R","✔ OK")))))))</f>
        <v/>
      </c>
      <c r="EC31" s="30" t="str">
        <f aca="false">IF($A31="","",SUM(Calc!G31,Calc!M31,Calc!S31,Calc!Y31,Calc!AE31,Calc!AK31))</f>
        <v/>
      </c>
      <c r="ED31" s="30" t="str">
        <f aca="false">IF($A31="","",N($AA31)+N($AS31)+N($BK31)+N($CC31)+N($CU31)+N($DM31))</f>
        <v/>
      </c>
      <c r="EE31" s="31" t="str">
        <f aca="false">IF($A31="","",SUM(Calc!B31,Calc!H31,Calc!N31,Calc!T31,Calc!Z31,Calc!AF31))</f>
        <v/>
      </c>
      <c r="EF31" s="31" t="str">
        <f aca="false">IF($A31="","",SUM(Calc!C31,Calc!I31,Calc!O31,Calc!U31,Calc!AA31,Calc!AG31))</f>
        <v/>
      </c>
      <c r="EG31" s="31" t="str">
        <f aca="false">IF($A31="","",SUM(Calc!D31,Calc!J31,Calc!P31,Calc!V31,Calc!AB31,Calc!AH31))</f>
        <v/>
      </c>
      <c r="EH31" s="27" t="str">
        <f aca="false">IF($A31="","",($EE31+$EF31+$EG31+IF($P31="Yes",N($Q31)*N($O31),0))*1000*$K31/1000000)</f>
        <v/>
      </c>
      <c r="EI31" s="28" t="str">
        <f aca="false">IF($A31="","",$EH31*1000000*12/1000000000)</f>
        <v/>
      </c>
      <c r="EJ31" s="32" t="str">
        <f aca="false">IF($A31="","",IF($EC31=0,"⚠ no species entered",IF(((LEFT($AP31,1)="✖")+(LEFT($BH31,1)="✖")+(LEFT($BZ31,1)="✖")+(LEFT($CR31,1)="✖")+(LEFT($DJ31,1)="✖")+(LEFT($EB31,1)="✖"))&gt;0,"✖ "&amp;((LEFT($AP31,1)="✖")+(LEFT($BH31,1)="✖")+(LEFT($BZ31,1)="✖")+(LEFT($CR31,1)="✖")+(LEFT($DJ31,1)="✖")+(LEFT($EB31,1)="✖"))&amp;" species saturated - see the species checks",IF(MIN($G31,$H31)&lt;8*$T31,"⚠ box too small laterally (&lt; 8·wr)",IF(AND($I31&gt;0,$I31&lt;3*$U31),"⚠ box too small axially (&lt; 3·wz)",IF($EI31&gt;8,"⚠ &gt; 8 GB per file: shorten the duration and use several files",IF(((LEFT($AP31,1)="⚠")+(LEFT($BH31,1)="⚠")+(LEFT($BZ31,1)="⚠")+(LEFT($CR31,1)="⚠")+(LEFT($DJ31,1)="⚠")+(LEFT($EB31,1)="⚠"))&gt;0,"⚠ "&amp;((LEFT($AP31,1)="⚠")+(LEFT($BH31,1)="⚠")+(LEFT($BZ31,1)="⚠")+(LEFT($CR31,1)="⚠")+(LEFT($DJ31,1)="⚠")+(LEFT($EB31,1)="⚠"))&amp;" species with a warning","✔ OK")))))))</f>
        <v/>
      </c>
      <c r="EK31" s="25"/>
      <c r="EL31" s="25"/>
      <c r="EM31" s="25"/>
      <c r="EN31" s="25"/>
      <c r="EO31" s="25"/>
      <c r="EP31" s="25"/>
      <c r="EQ31" s="25"/>
      <c r="ER31" s="26"/>
    </row>
    <row r="32" customFormat="false" ht="15" hidden="false" customHeight="false" outlineLevel="0" collapsed="false">
      <c r="A32" s="25"/>
      <c r="B32" s="25"/>
      <c r="C32" s="26"/>
      <c r="D32" s="26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7" t="str">
        <f aca="false">IF(OR($AH32="",$AH32="No FRET",N($AI32)&lt;=0,N($V32)&lt;=0),"",1/(1+($AI32/$V32)^6))</f>
        <v/>
      </c>
      <c r="AM32" s="27" t="str">
        <f aca="false">IF(OR($AH32="",$AH32="No FRET",N($AJ32)&lt;=0,N($W32)&lt;=0),"",1/(1+($AJ32/$W32)^6))</f>
        <v/>
      </c>
      <c r="AN32" s="27" t="str">
        <f aca="false">IF(OR($AH32="",$AH32="No FRET",N($AK32)&lt;=0,N($X32)&lt;=0),"",1/(1+($AK32/$X32)^6))</f>
        <v/>
      </c>
      <c r="AO32" s="28" t="str">
        <f aca="false">IF(OR($A32="",N($AA32)&lt;=0),"",IF($I32&gt;0,$AA32/($G32*$H32*$I32)/1E-024/6.022E+023/0.000000001,""))</f>
        <v/>
      </c>
      <c r="AP32" s="29" t="str">
        <f aca="false">IF(Calc!G32=0,"",IF(Calc!E32&gt;=1,"✖ saturated (B ≥ freq.)",IF(Calc!E32&gt;0.1,"⚠ B &gt; 10% of freq.",IF(Calc!E32=0,"⚠ no brightness",IF(Calc!F32&gt;0.1,"⚠ step &gt; 10% of wr",IF(AND($AH32&lt;&gt;"",$AH32&lt;&gt;"No FRET",N($O32)&lt;2),"⚠ FRET needs ≥ 2 colours",IF(AND($AH32&lt;&gt;"",$AH32&lt;&gt;"No FRET",N($AI32)+N($AJ32)+N($AK32)=0),"⚠ FRET: set R","✔ OK")))))))</f>
        <v/>
      </c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7" t="str">
        <f aca="false">IF(OR($AZ32="",$AZ32="No FRET",N($BA32)&lt;=0,N($V32)&lt;=0),"",1/(1+($BA32/$V32)^6))</f>
        <v/>
      </c>
      <c r="BE32" s="27" t="str">
        <f aca="false">IF(OR($AZ32="",$AZ32="No FRET",N($BB32)&lt;=0,N($W32)&lt;=0),"",1/(1+($BB32/$W32)^6))</f>
        <v/>
      </c>
      <c r="BF32" s="27" t="str">
        <f aca="false">IF(OR($AZ32="",$AZ32="No FRET",N($BC32)&lt;=0,N($X32)&lt;=0),"",1/(1+($BC32/$X32)^6))</f>
        <v/>
      </c>
      <c r="BG32" s="28" t="str">
        <f aca="false">IF(OR($A32="",N($AS32)&lt;=0),"",IF($I32&gt;0,$AS32/($G32*$H32*$I32)/1E-024/6.022E+023/0.000000001,""))</f>
        <v/>
      </c>
      <c r="BH32" s="29" t="str">
        <f aca="false">IF(Calc!M32=0,"",IF(Calc!K32&gt;=1,"✖ saturated (B ≥ freq.)",IF(Calc!K32&gt;0.1,"⚠ B &gt; 10% of freq.",IF(Calc!K32=0,"⚠ no brightness",IF(Calc!L32&gt;0.1,"⚠ step &gt; 10% of wr",IF(AND($AZ32&lt;&gt;"",$AZ32&lt;&gt;"No FRET",N($O32)&lt;2),"⚠ FRET needs ≥ 2 colours",IF(AND($AZ32&lt;&gt;"",$AZ32&lt;&gt;"No FRET",N($BA32)+N($BB32)+N($BC32)=0),"⚠ FRET: set R","✔ OK")))))))</f>
        <v/>
      </c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7" t="str">
        <f aca="false">IF(OR($BR32="",$BR32="No FRET",N($BS32)&lt;=0,N($V32)&lt;=0),"",1/(1+($BS32/$V32)^6))</f>
        <v/>
      </c>
      <c r="BW32" s="27" t="str">
        <f aca="false">IF(OR($BR32="",$BR32="No FRET",N($BT32)&lt;=0,N($W32)&lt;=0),"",1/(1+($BT32/$W32)^6))</f>
        <v/>
      </c>
      <c r="BX32" s="27" t="str">
        <f aca="false">IF(OR($BR32="",$BR32="No FRET",N($BU32)&lt;=0,N($X32)&lt;=0),"",1/(1+($BU32/$X32)^6))</f>
        <v/>
      </c>
      <c r="BY32" s="28" t="str">
        <f aca="false">IF(OR($A32="",N($BK32)&lt;=0),"",IF($I32&gt;0,$BK32/($G32*$H32*$I32)/1E-024/6.022E+023/0.000000001,""))</f>
        <v/>
      </c>
      <c r="BZ32" s="29" t="str">
        <f aca="false">IF(Calc!S32=0,"",IF(Calc!Q32&gt;=1,"✖ saturated (B ≥ freq.)",IF(Calc!Q32&gt;0.1,"⚠ B &gt; 10% of freq.",IF(Calc!Q32=0,"⚠ no brightness",IF(Calc!R32&gt;0.1,"⚠ step &gt; 10% of wr",IF(AND($BR32&lt;&gt;"",$BR32&lt;&gt;"No FRET",N($O32)&lt;2),"⚠ FRET needs ≥ 2 colours",IF(AND($BR32&lt;&gt;"",$BR32&lt;&gt;"No FRET",N($BS32)+N($BT32)+N($BU32)=0),"⚠ FRET: set R","✔ OK")))))))</f>
        <v/>
      </c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7" t="str">
        <f aca="false">IF(OR($CJ32="",$CJ32="No FRET",N($CK32)&lt;=0,N($V32)&lt;=0),"",1/(1+($CK32/$V32)^6))</f>
        <v/>
      </c>
      <c r="CO32" s="27" t="str">
        <f aca="false">IF(OR($CJ32="",$CJ32="No FRET",N($CL32)&lt;=0,N($W32)&lt;=0),"",1/(1+($CL32/$W32)^6))</f>
        <v/>
      </c>
      <c r="CP32" s="27" t="str">
        <f aca="false">IF(OR($CJ32="",$CJ32="No FRET",N($CM32)&lt;=0,N($X32)&lt;=0),"",1/(1+($CM32/$X32)^6))</f>
        <v/>
      </c>
      <c r="CQ32" s="28" t="str">
        <f aca="false">IF(OR($A32="",N($CC32)&lt;=0),"",IF($I32&gt;0,$CC32/($G32*$H32*$I32)/1E-024/6.022E+023/0.000000001,""))</f>
        <v/>
      </c>
      <c r="CR32" s="29" t="str">
        <f aca="false">IF(Calc!Y32=0,"",IF(Calc!W32&gt;=1,"✖ saturated (B ≥ freq.)",IF(Calc!W32&gt;0.1,"⚠ B &gt; 10% of freq.",IF(Calc!W32=0,"⚠ no brightness",IF(Calc!X32&gt;0.1,"⚠ step &gt; 10% of wr",IF(AND($CJ32&lt;&gt;"",$CJ32&lt;&gt;"No FRET",N($O32)&lt;2),"⚠ FRET needs ≥ 2 colours",IF(AND($CJ32&lt;&gt;"",$CJ32&lt;&gt;"No FRET",N($CK32)+N($CL32)+N($CM32)=0),"⚠ FRET: set R","✔ OK")))))))</f>
        <v/>
      </c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7" t="str">
        <f aca="false">IF(OR($DB32="",$DB32="No FRET",N($DC32)&lt;=0,N($V32)&lt;=0),"",1/(1+($DC32/$V32)^6))</f>
        <v/>
      </c>
      <c r="DG32" s="27" t="str">
        <f aca="false">IF(OR($DB32="",$DB32="No FRET",N($DD32)&lt;=0,N($W32)&lt;=0),"",1/(1+($DD32/$W32)^6))</f>
        <v/>
      </c>
      <c r="DH32" s="27" t="str">
        <f aca="false">IF(OR($DB32="",$DB32="No FRET",N($DE32)&lt;=0,N($X32)&lt;=0),"",1/(1+($DE32/$X32)^6))</f>
        <v/>
      </c>
      <c r="DI32" s="28" t="str">
        <f aca="false">IF(OR($A32="",N($CU32)&lt;=0),"",IF($I32&gt;0,$CU32/($G32*$H32*$I32)/1E-024/6.022E+023/0.000000001,""))</f>
        <v/>
      </c>
      <c r="DJ32" s="29" t="str">
        <f aca="false">IF(Calc!AE32=0,"",IF(Calc!AC32&gt;=1,"✖ saturated (B ≥ freq.)",IF(Calc!AC32&gt;0.1,"⚠ B &gt; 10% of freq.",IF(Calc!AC32=0,"⚠ no brightness",IF(Calc!AD32&gt;0.1,"⚠ step &gt; 10% of wr",IF(AND($DB32&lt;&gt;"",$DB32&lt;&gt;"No FRET",N($O32)&lt;2),"⚠ FRET needs ≥ 2 colours",IF(AND($DB32&lt;&gt;"",$DB32&lt;&gt;"No FRET",N($DC32)+N($DD32)+N($DE32)=0),"⚠ FRET: set R","✔ OK")))))))</f>
        <v/>
      </c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7" t="str">
        <f aca="false">IF(OR($DT32="",$DT32="No FRET",N($DU32)&lt;=0,N($V32)&lt;=0),"",1/(1+($DU32/$V32)^6))</f>
        <v/>
      </c>
      <c r="DY32" s="27" t="str">
        <f aca="false">IF(OR($DT32="",$DT32="No FRET",N($DV32)&lt;=0,N($W32)&lt;=0),"",1/(1+($DV32/$W32)^6))</f>
        <v/>
      </c>
      <c r="DZ32" s="27" t="str">
        <f aca="false">IF(OR($DT32="",$DT32="No FRET",N($DW32)&lt;=0,N($X32)&lt;=0),"",1/(1+($DW32/$X32)^6))</f>
        <v/>
      </c>
      <c r="EA32" s="28" t="str">
        <f aca="false">IF(OR($A32="",N($DM32)&lt;=0),"",IF($I32&gt;0,$DM32/($G32*$H32*$I32)/1E-024/6.022E+023/0.000000001,""))</f>
        <v/>
      </c>
      <c r="EB32" s="29" t="str">
        <f aca="false">IF(Calc!AK32=0,"",IF(Calc!AI32&gt;=1,"✖ saturated (B ≥ freq.)",IF(Calc!AI32&gt;0.1,"⚠ B &gt; 10% of freq.",IF(Calc!AI32=0,"⚠ no brightness",IF(Calc!AJ32&gt;0.1,"⚠ step &gt; 10% of wr",IF(AND($DT32&lt;&gt;"",$DT32&lt;&gt;"No FRET",N($O32)&lt;2),"⚠ FRET needs ≥ 2 colours",IF(AND($DT32&lt;&gt;"",$DT32&lt;&gt;"No FRET",N($DU32)+N($DV32)+N($DW32)=0),"⚠ FRET: set R","✔ OK")))))))</f>
        <v/>
      </c>
      <c r="EC32" s="30" t="str">
        <f aca="false">IF($A32="","",SUM(Calc!G32,Calc!M32,Calc!S32,Calc!Y32,Calc!AE32,Calc!AK32))</f>
        <v/>
      </c>
      <c r="ED32" s="30" t="str">
        <f aca="false">IF($A32="","",N($AA32)+N($AS32)+N($BK32)+N($CC32)+N($CU32)+N($DM32))</f>
        <v/>
      </c>
      <c r="EE32" s="31" t="str">
        <f aca="false">IF($A32="","",SUM(Calc!B32,Calc!H32,Calc!N32,Calc!T32,Calc!Z32,Calc!AF32))</f>
        <v/>
      </c>
      <c r="EF32" s="31" t="str">
        <f aca="false">IF($A32="","",SUM(Calc!C32,Calc!I32,Calc!O32,Calc!U32,Calc!AA32,Calc!AG32))</f>
        <v/>
      </c>
      <c r="EG32" s="31" t="str">
        <f aca="false">IF($A32="","",SUM(Calc!D32,Calc!J32,Calc!P32,Calc!V32,Calc!AB32,Calc!AH32))</f>
        <v/>
      </c>
      <c r="EH32" s="27" t="str">
        <f aca="false">IF($A32="","",($EE32+$EF32+$EG32+IF($P32="Yes",N($Q32)*N($O32),0))*1000*$K32/1000000)</f>
        <v/>
      </c>
      <c r="EI32" s="28" t="str">
        <f aca="false">IF($A32="","",$EH32*1000000*12/1000000000)</f>
        <v/>
      </c>
      <c r="EJ32" s="32" t="str">
        <f aca="false">IF($A32="","",IF($EC32=0,"⚠ no species entered",IF(((LEFT($AP32,1)="✖")+(LEFT($BH32,1)="✖")+(LEFT($BZ32,1)="✖")+(LEFT($CR32,1)="✖")+(LEFT($DJ32,1)="✖")+(LEFT($EB32,1)="✖"))&gt;0,"✖ "&amp;((LEFT($AP32,1)="✖")+(LEFT($BH32,1)="✖")+(LEFT($BZ32,1)="✖")+(LEFT($CR32,1)="✖")+(LEFT($DJ32,1)="✖")+(LEFT($EB32,1)="✖"))&amp;" species saturated - see the species checks",IF(MIN($G32,$H32)&lt;8*$T32,"⚠ box too small laterally (&lt; 8·wr)",IF(AND($I32&gt;0,$I32&lt;3*$U32),"⚠ box too small axially (&lt; 3·wz)",IF($EI32&gt;8,"⚠ &gt; 8 GB per file: shorten the duration and use several files",IF(((LEFT($AP32,1)="⚠")+(LEFT($BH32,1)="⚠")+(LEFT($BZ32,1)="⚠")+(LEFT($CR32,1)="⚠")+(LEFT($DJ32,1)="⚠")+(LEFT($EB32,1)="⚠"))&gt;0,"⚠ "&amp;((LEFT($AP32,1)="⚠")+(LEFT($BH32,1)="⚠")+(LEFT($BZ32,1)="⚠")+(LEFT($CR32,1)="⚠")+(LEFT($DJ32,1)="⚠")+(LEFT($EB32,1)="⚠"))&amp;" species with a warning","✔ OK")))))))</f>
        <v/>
      </c>
      <c r="EK32" s="25"/>
      <c r="EL32" s="25"/>
      <c r="EM32" s="25"/>
      <c r="EN32" s="25"/>
      <c r="EO32" s="25"/>
      <c r="EP32" s="25"/>
      <c r="EQ32" s="25"/>
      <c r="ER32" s="26"/>
    </row>
    <row r="33" customFormat="false" ht="15" hidden="false" customHeight="false" outlineLevel="0" collapsed="false">
      <c r="A33" s="25"/>
      <c r="B33" s="25"/>
      <c r="C33" s="26"/>
      <c r="D33" s="26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7" t="str">
        <f aca="false">IF(OR($AH33="",$AH33="No FRET",N($AI33)&lt;=0,N($V33)&lt;=0),"",1/(1+($AI33/$V33)^6))</f>
        <v/>
      </c>
      <c r="AM33" s="27" t="str">
        <f aca="false">IF(OR($AH33="",$AH33="No FRET",N($AJ33)&lt;=0,N($W33)&lt;=0),"",1/(1+($AJ33/$W33)^6))</f>
        <v/>
      </c>
      <c r="AN33" s="27" t="str">
        <f aca="false">IF(OR($AH33="",$AH33="No FRET",N($AK33)&lt;=0,N($X33)&lt;=0),"",1/(1+($AK33/$X33)^6))</f>
        <v/>
      </c>
      <c r="AO33" s="28" t="str">
        <f aca="false">IF(OR($A33="",N($AA33)&lt;=0),"",IF($I33&gt;0,$AA33/($G33*$H33*$I33)/1E-024/6.022E+023/0.000000001,""))</f>
        <v/>
      </c>
      <c r="AP33" s="29" t="str">
        <f aca="false">IF(Calc!G33=0,"",IF(Calc!E33&gt;=1,"✖ saturated (B ≥ freq.)",IF(Calc!E33&gt;0.1,"⚠ B &gt; 10% of freq.",IF(Calc!E33=0,"⚠ no brightness",IF(Calc!F33&gt;0.1,"⚠ step &gt; 10% of wr",IF(AND($AH33&lt;&gt;"",$AH33&lt;&gt;"No FRET",N($O33)&lt;2),"⚠ FRET needs ≥ 2 colours",IF(AND($AH33&lt;&gt;"",$AH33&lt;&gt;"No FRET",N($AI33)+N($AJ33)+N($AK33)=0),"⚠ FRET: set R","✔ OK")))))))</f>
        <v/>
      </c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7" t="str">
        <f aca="false">IF(OR($AZ33="",$AZ33="No FRET",N($BA33)&lt;=0,N($V33)&lt;=0),"",1/(1+($BA33/$V33)^6))</f>
        <v/>
      </c>
      <c r="BE33" s="27" t="str">
        <f aca="false">IF(OR($AZ33="",$AZ33="No FRET",N($BB33)&lt;=0,N($W33)&lt;=0),"",1/(1+($BB33/$W33)^6))</f>
        <v/>
      </c>
      <c r="BF33" s="27" t="str">
        <f aca="false">IF(OR($AZ33="",$AZ33="No FRET",N($BC33)&lt;=0,N($X33)&lt;=0),"",1/(1+($BC33/$X33)^6))</f>
        <v/>
      </c>
      <c r="BG33" s="28" t="str">
        <f aca="false">IF(OR($A33="",N($AS33)&lt;=0),"",IF($I33&gt;0,$AS33/($G33*$H33*$I33)/1E-024/6.022E+023/0.000000001,""))</f>
        <v/>
      </c>
      <c r="BH33" s="29" t="str">
        <f aca="false">IF(Calc!M33=0,"",IF(Calc!K33&gt;=1,"✖ saturated (B ≥ freq.)",IF(Calc!K33&gt;0.1,"⚠ B &gt; 10% of freq.",IF(Calc!K33=0,"⚠ no brightness",IF(Calc!L33&gt;0.1,"⚠ step &gt; 10% of wr",IF(AND($AZ33&lt;&gt;"",$AZ33&lt;&gt;"No FRET",N($O33)&lt;2),"⚠ FRET needs ≥ 2 colours",IF(AND($AZ33&lt;&gt;"",$AZ33&lt;&gt;"No FRET",N($BA33)+N($BB33)+N($BC33)=0),"⚠ FRET: set R","✔ OK")))))))</f>
        <v/>
      </c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7" t="str">
        <f aca="false">IF(OR($BR33="",$BR33="No FRET",N($BS33)&lt;=0,N($V33)&lt;=0),"",1/(1+($BS33/$V33)^6))</f>
        <v/>
      </c>
      <c r="BW33" s="27" t="str">
        <f aca="false">IF(OR($BR33="",$BR33="No FRET",N($BT33)&lt;=0,N($W33)&lt;=0),"",1/(1+($BT33/$W33)^6))</f>
        <v/>
      </c>
      <c r="BX33" s="27" t="str">
        <f aca="false">IF(OR($BR33="",$BR33="No FRET",N($BU33)&lt;=0,N($X33)&lt;=0),"",1/(1+($BU33/$X33)^6))</f>
        <v/>
      </c>
      <c r="BY33" s="28" t="str">
        <f aca="false">IF(OR($A33="",N($BK33)&lt;=0),"",IF($I33&gt;0,$BK33/($G33*$H33*$I33)/1E-024/6.022E+023/0.000000001,""))</f>
        <v/>
      </c>
      <c r="BZ33" s="29" t="str">
        <f aca="false">IF(Calc!S33=0,"",IF(Calc!Q33&gt;=1,"✖ saturated (B ≥ freq.)",IF(Calc!Q33&gt;0.1,"⚠ B &gt; 10% of freq.",IF(Calc!Q33=0,"⚠ no brightness",IF(Calc!R33&gt;0.1,"⚠ step &gt; 10% of wr",IF(AND($BR33&lt;&gt;"",$BR33&lt;&gt;"No FRET",N($O33)&lt;2),"⚠ FRET needs ≥ 2 colours",IF(AND($BR33&lt;&gt;"",$BR33&lt;&gt;"No FRET",N($BS33)+N($BT33)+N($BU33)=0),"⚠ FRET: set R","✔ OK")))))))</f>
        <v/>
      </c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7" t="str">
        <f aca="false">IF(OR($CJ33="",$CJ33="No FRET",N($CK33)&lt;=0,N($V33)&lt;=0),"",1/(1+($CK33/$V33)^6))</f>
        <v/>
      </c>
      <c r="CO33" s="27" t="str">
        <f aca="false">IF(OR($CJ33="",$CJ33="No FRET",N($CL33)&lt;=0,N($W33)&lt;=0),"",1/(1+($CL33/$W33)^6))</f>
        <v/>
      </c>
      <c r="CP33" s="27" t="str">
        <f aca="false">IF(OR($CJ33="",$CJ33="No FRET",N($CM33)&lt;=0,N($X33)&lt;=0),"",1/(1+($CM33/$X33)^6))</f>
        <v/>
      </c>
      <c r="CQ33" s="28" t="str">
        <f aca="false">IF(OR($A33="",N($CC33)&lt;=0),"",IF($I33&gt;0,$CC33/($G33*$H33*$I33)/1E-024/6.022E+023/0.000000001,""))</f>
        <v/>
      </c>
      <c r="CR33" s="29" t="str">
        <f aca="false">IF(Calc!Y33=0,"",IF(Calc!W33&gt;=1,"✖ saturated (B ≥ freq.)",IF(Calc!W33&gt;0.1,"⚠ B &gt; 10% of freq.",IF(Calc!W33=0,"⚠ no brightness",IF(Calc!X33&gt;0.1,"⚠ step &gt; 10% of wr",IF(AND($CJ33&lt;&gt;"",$CJ33&lt;&gt;"No FRET",N($O33)&lt;2),"⚠ FRET needs ≥ 2 colours",IF(AND($CJ33&lt;&gt;"",$CJ33&lt;&gt;"No FRET",N($CK33)+N($CL33)+N($CM33)=0),"⚠ FRET: set R","✔ OK")))))))</f>
        <v/>
      </c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7" t="str">
        <f aca="false">IF(OR($DB33="",$DB33="No FRET",N($DC33)&lt;=0,N($V33)&lt;=0),"",1/(1+($DC33/$V33)^6))</f>
        <v/>
      </c>
      <c r="DG33" s="27" t="str">
        <f aca="false">IF(OR($DB33="",$DB33="No FRET",N($DD33)&lt;=0,N($W33)&lt;=0),"",1/(1+($DD33/$W33)^6))</f>
        <v/>
      </c>
      <c r="DH33" s="27" t="str">
        <f aca="false">IF(OR($DB33="",$DB33="No FRET",N($DE33)&lt;=0,N($X33)&lt;=0),"",1/(1+($DE33/$X33)^6))</f>
        <v/>
      </c>
      <c r="DI33" s="28" t="str">
        <f aca="false">IF(OR($A33="",N($CU33)&lt;=0),"",IF($I33&gt;0,$CU33/($G33*$H33*$I33)/1E-024/6.022E+023/0.000000001,""))</f>
        <v/>
      </c>
      <c r="DJ33" s="29" t="str">
        <f aca="false">IF(Calc!AE33=0,"",IF(Calc!AC33&gt;=1,"✖ saturated (B ≥ freq.)",IF(Calc!AC33&gt;0.1,"⚠ B &gt; 10% of freq.",IF(Calc!AC33=0,"⚠ no brightness",IF(Calc!AD33&gt;0.1,"⚠ step &gt; 10% of wr",IF(AND($DB33&lt;&gt;"",$DB33&lt;&gt;"No FRET",N($O33)&lt;2),"⚠ FRET needs ≥ 2 colours",IF(AND($DB33&lt;&gt;"",$DB33&lt;&gt;"No FRET",N($DC33)+N($DD33)+N($DE33)=0),"⚠ FRET: set R","✔ OK")))))))</f>
        <v/>
      </c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7" t="str">
        <f aca="false">IF(OR($DT33="",$DT33="No FRET",N($DU33)&lt;=0,N($V33)&lt;=0),"",1/(1+($DU33/$V33)^6))</f>
        <v/>
      </c>
      <c r="DY33" s="27" t="str">
        <f aca="false">IF(OR($DT33="",$DT33="No FRET",N($DV33)&lt;=0,N($W33)&lt;=0),"",1/(1+($DV33/$W33)^6))</f>
        <v/>
      </c>
      <c r="DZ33" s="27" t="str">
        <f aca="false">IF(OR($DT33="",$DT33="No FRET",N($DW33)&lt;=0,N($X33)&lt;=0),"",1/(1+($DW33/$X33)^6))</f>
        <v/>
      </c>
      <c r="EA33" s="28" t="str">
        <f aca="false">IF(OR($A33="",N($DM33)&lt;=0),"",IF($I33&gt;0,$DM33/($G33*$H33*$I33)/1E-024/6.022E+023/0.000000001,""))</f>
        <v/>
      </c>
      <c r="EB33" s="29" t="str">
        <f aca="false">IF(Calc!AK33=0,"",IF(Calc!AI33&gt;=1,"✖ saturated (B ≥ freq.)",IF(Calc!AI33&gt;0.1,"⚠ B &gt; 10% of freq.",IF(Calc!AI33=0,"⚠ no brightness",IF(Calc!AJ33&gt;0.1,"⚠ step &gt; 10% of wr",IF(AND($DT33&lt;&gt;"",$DT33&lt;&gt;"No FRET",N($O33)&lt;2),"⚠ FRET needs ≥ 2 colours",IF(AND($DT33&lt;&gt;"",$DT33&lt;&gt;"No FRET",N($DU33)+N($DV33)+N($DW33)=0),"⚠ FRET: set R","✔ OK")))))))</f>
        <v/>
      </c>
      <c r="EC33" s="30" t="str">
        <f aca="false">IF($A33="","",SUM(Calc!G33,Calc!M33,Calc!S33,Calc!Y33,Calc!AE33,Calc!AK33))</f>
        <v/>
      </c>
      <c r="ED33" s="30" t="str">
        <f aca="false">IF($A33="","",N($AA33)+N($AS33)+N($BK33)+N($CC33)+N($CU33)+N($DM33))</f>
        <v/>
      </c>
      <c r="EE33" s="31" t="str">
        <f aca="false">IF($A33="","",SUM(Calc!B33,Calc!H33,Calc!N33,Calc!T33,Calc!Z33,Calc!AF33))</f>
        <v/>
      </c>
      <c r="EF33" s="31" t="str">
        <f aca="false">IF($A33="","",SUM(Calc!C33,Calc!I33,Calc!O33,Calc!U33,Calc!AA33,Calc!AG33))</f>
        <v/>
      </c>
      <c r="EG33" s="31" t="str">
        <f aca="false">IF($A33="","",SUM(Calc!D33,Calc!J33,Calc!P33,Calc!V33,Calc!AB33,Calc!AH33))</f>
        <v/>
      </c>
      <c r="EH33" s="27" t="str">
        <f aca="false">IF($A33="","",($EE33+$EF33+$EG33+IF($P33="Yes",N($Q33)*N($O33),0))*1000*$K33/1000000)</f>
        <v/>
      </c>
      <c r="EI33" s="28" t="str">
        <f aca="false">IF($A33="","",$EH33*1000000*12/1000000000)</f>
        <v/>
      </c>
      <c r="EJ33" s="32" t="str">
        <f aca="false">IF($A33="","",IF($EC33=0,"⚠ no species entered",IF(((LEFT($AP33,1)="✖")+(LEFT($BH33,1)="✖")+(LEFT($BZ33,1)="✖")+(LEFT($CR33,1)="✖")+(LEFT($DJ33,1)="✖")+(LEFT($EB33,1)="✖"))&gt;0,"✖ "&amp;((LEFT($AP33,1)="✖")+(LEFT($BH33,1)="✖")+(LEFT($BZ33,1)="✖")+(LEFT($CR33,1)="✖")+(LEFT($DJ33,1)="✖")+(LEFT($EB33,1)="✖"))&amp;" species saturated - see the species checks",IF(MIN($G33,$H33)&lt;8*$T33,"⚠ box too small laterally (&lt; 8·wr)",IF(AND($I33&gt;0,$I33&lt;3*$U33),"⚠ box too small axially (&lt; 3·wz)",IF($EI33&gt;8,"⚠ &gt; 8 GB per file: shorten the duration and use several files",IF(((LEFT($AP33,1)="⚠")+(LEFT($BH33,1)="⚠")+(LEFT($BZ33,1)="⚠")+(LEFT($CR33,1)="⚠")+(LEFT($DJ33,1)="⚠")+(LEFT($EB33,1)="⚠"))&gt;0,"⚠ "&amp;((LEFT($AP33,1)="⚠")+(LEFT($BH33,1)="⚠")+(LEFT($BZ33,1)="⚠")+(LEFT($CR33,1)="⚠")+(LEFT($DJ33,1)="⚠")+(LEFT($EB33,1)="⚠"))&amp;" species with a warning","✔ OK")))))))</f>
        <v/>
      </c>
      <c r="EK33" s="25"/>
      <c r="EL33" s="25"/>
      <c r="EM33" s="25"/>
      <c r="EN33" s="25"/>
      <c r="EO33" s="25"/>
      <c r="EP33" s="25"/>
      <c r="EQ33" s="25"/>
      <c r="ER33" s="26"/>
    </row>
    <row r="34" customFormat="false" ht="15" hidden="false" customHeight="false" outlineLevel="0" collapsed="false">
      <c r="A34" s="25"/>
      <c r="B34" s="25"/>
      <c r="C34" s="26"/>
      <c r="D34" s="26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7" t="str">
        <f aca="false">IF(OR($AH34="",$AH34="No FRET",N($AI34)&lt;=0,N($V34)&lt;=0),"",1/(1+($AI34/$V34)^6))</f>
        <v/>
      </c>
      <c r="AM34" s="27" t="str">
        <f aca="false">IF(OR($AH34="",$AH34="No FRET",N($AJ34)&lt;=0,N($W34)&lt;=0),"",1/(1+($AJ34/$W34)^6))</f>
        <v/>
      </c>
      <c r="AN34" s="27" t="str">
        <f aca="false">IF(OR($AH34="",$AH34="No FRET",N($AK34)&lt;=0,N($X34)&lt;=0),"",1/(1+($AK34/$X34)^6))</f>
        <v/>
      </c>
      <c r="AO34" s="28" t="str">
        <f aca="false">IF(OR($A34="",N($AA34)&lt;=0),"",IF($I34&gt;0,$AA34/($G34*$H34*$I34)/1E-024/6.022E+023/0.000000001,""))</f>
        <v/>
      </c>
      <c r="AP34" s="29" t="str">
        <f aca="false">IF(Calc!G34=0,"",IF(Calc!E34&gt;=1,"✖ saturated (B ≥ freq.)",IF(Calc!E34&gt;0.1,"⚠ B &gt; 10% of freq.",IF(Calc!E34=0,"⚠ no brightness",IF(Calc!F34&gt;0.1,"⚠ step &gt; 10% of wr",IF(AND($AH34&lt;&gt;"",$AH34&lt;&gt;"No FRET",N($O34)&lt;2),"⚠ FRET needs ≥ 2 colours",IF(AND($AH34&lt;&gt;"",$AH34&lt;&gt;"No FRET",N($AI34)+N($AJ34)+N($AK34)=0),"⚠ FRET: set R","✔ OK")))))))</f>
        <v/>
      </c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7" t="str">
        <f aca="false">IF(OR($AZ34="",$AZ34="No FRET",N($BA34)&lt;=0,N($V34)&lt;=0),"",1/(1+($BA34/$V34)^6))</f>
        <v/>
      </c>
      <c r="BE34" s="27" t="str">
        <f aca="false">IF(OR($AZ34="",$AZ34="No FRET",N($BB34)&lt;=0,N($W34)&lt;=0),"",1/(1+($BB34/$W34)^6))</f>
        <v/>
      </c>
      <c r="BF34" s="27" t="str">
        <f aca="false">IF(OR($AZ34="",$AZ34="No FRET",N($BC34)&lt;=0,N($X34)&lt;=0),"",1/(1+($BC34/$X34)^6))</f>
        <v/>
      </c>
      <c r="BG34" s="28" t="str">
        <f aca="false">IF(OR($A34="",N($AS34)&lt;=0),"",IF($I34&gt;0,$AS34/($G34*$H34*$I34)/1E-024/6.022E+023/0.000000001,""))</f>
        <v/>
      </c>
      <c r="BH34" s="29" t="str">
        <f aca="false">IF(Calc!M34=0,"",IF(Calc!K34&gt;=1,"✖ saturated (B ≥ freq.)",IF(Calc!K34&gt;0.1,"⚠ B &gt; 10% of freq.",IF(Calc!K34=0,"⚠ no brightness",IF(Calc!L34&gt;0.1,"⚠ step &gt; 10% of wr",IF(AND($AZ34&lt;&gt;"",$AZ34&lt;&gt;"No FRET",N($O34)&lt;2),"⚠ FRET needs ≥ 2 colours",IF(AND($AZ34&lt;&gt;"",$AZ34&lt;&gt;"No FRET",N($BA34)+N($BB34)+N($BC34)=0),"⚠ FRET: set R","✔ OK")))))))</f>
        <v/>
      </c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7" t="str">
        <f aca="false">IF(OR($BR34="",$BR34="No FRET",N($BS34)&lt;=0,N($V34)&lt;=0),"",1/(1+($BS34/$V34)^6))</f>
        <v/>
      </c>
      <c r="BW34" s="27" t="str">
        <f aca="false">IF(OR($BR34="",$BR34="No FRET",N($BT34)&lt;=0,N($W34)&lt;=0),"",1/(1+($BT34/$W34)^6))</f>
        <v/>
      </c>
      <c r="BX34" s="27" t="str">
        <f aca="false">IF(OR($BR34="",$BR34="No FRET",N($BU34)&lt;=0,N($X34)&lt;=0),"",1/(1+($BU34/$X34)^6))</f>
        <v/>
      </c>
      <c r="BY34" s="28" t="str">
        <f aca="false">IF(OR($A34="",N($BK34)&lt;=0),"",IF($I34&gt;0,$BK34/($G34*$H34*$I34)/1E-024/6.022E+023/0.000000001,""))</f>
        <v/>
      </c>
      <c r="BZ34" s="29" t="str">
        <f aca="false">IF(Calc!S34=0,"",IF(Calc!Q34&gt;=1,"✖ saturated (B ≥ freq.)",IF(Calc!Q34&gt;0.1,"⚠ B &gt; 10% of freq.",IF(Calc!Q34=0,"⚠ no brightness",IF(Calc!R34&gt;0.1,"⚠ step &gt; 10% of wr",IF(AND($BR34&lt;&gt;"",$BR34&lt;&gt;"No FRET",N($O34)&lt;2),"⚠ FRET needs ≥ 2 colours",IF(AND($BR34&lt;&gt;"",$BR34&lt;&gt;"No FRET",N($BS34)+N($BT34)+N($BU34)=0),"⚠ FRET: set R","✔ OK")))))))</f>
        <v/>
      </c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7" t="str">
        <f aca="false">IF(OR($CJ34="",$CJ34="No FRET",N($CK34)&lt;=0,N($V34)&lt;=0),"",1/(1+($CK34/$V34)^6))</f>
        <v/>
      </c>
      <c r="CO34" s="27" t="str">
        <f aca="false">IF(OR($CJ34="",$CJ34="No FRET",N($CL34)&lt;=0,N($W34)&lt;=0),"",1/(1+($CL34/$W34)^6))</f>
        <v/>
      </c>
      <c r="CP34" s="27" t="str">
        <f aca="false">IF(OR($CJ34="",$CJ34="No FRET",N($CM34)&lt;=0,N($X34)&lt;=0),"",1/(1+($CM34/$X34)^6))</f>
        <v/>
      </c>
      <c r="CQ34" s="28" t="str">
        <f aca="false">IF(OR($A34="",N($CC34)&lt;=0),"",IF($I34&gt;0,$CC34/($G34*$H34*$I34)/1E-024/6.022E+023/0.000000001,""))</f>
        <v/>
      </c>
      <c r="CR34" s="29" t="str">
        <f aca="false">IF(Calc!Y34=0,"",IF(Calc!W34&gt;=1,"✖ saturated (B ≥ freq.)",IF(Calc!W34&gt;0.1,"⚠ B &gt; 10% of freq.",IF(Calc!W34=0,"⚠ no brightness",IF(Calc!X34&gt;0.1,"⚠ step &gt; 10% of wr",IF(AND($CJ34&lt;&gt;"",$CJ34&lt;&gt;"No FRET",N($O34)&lt;2),"⚠ FRET needs ≥ 2 colours",IF(AND($CJ34&lt;&gt;"",$CJ34&lt;&gt;"No FRET",N($CK34)+N($CL34)+N($CM34)=0),"⚠ FRET: set R","✔ OK")))))))</f>
        <v/>
      </c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7" t="str">
        <f aca="false">IF(OR($DB34="",$DB34="No FRET",N($DC34)&lt;=0,N($V34)&lt;=0),"",1/(1+($DC34/$V34)^6))</f>
        <v/>
      </c>
      <c r="DG34" s="27" t="str">
        <f aca="false">IF(OR($DB34="",$DB34="No FRET",N($DD34)&lt;=0,N($W34)&lt;=0),"",1/(1+($DD34/$W34)^6))</f>
        <v/>
      </c>
      <c r="DH34" s="27" t="str">
        <f aca="false">IF(OR($DB34="",$DB34="No FRET",N($DE34)&lt;=0,N($X34)&lt;=0),"",1/(1+($DE34/$X34)^6))</f>
        <v/>
      </c>
      <c r="DI34" s="28" t="str">
        <f aca="false">IF(OR($A34="",N($CU34)&lt;=0),"",IF($I34&gt;0,$CU34/($G34*$H34*$I34)/1E-024/6.022E+023/0.000000001,""))</f>
        <v/>
      </c>
      <c r="DJ34" s="29" t="str">
        <f aca="false">IF(Calc!AE34=0,"",IF(Calc!AC34&gt;=1,"✖ saturated (B ≥ freq.)",IF(Calc!AC34&gt;0.1,"⚠ B &gt; 10% of freq.",IF(Calc!AC34=0,"⚠ no brightness",IF(Calc!AD34&gt;0.1,"⚠ step &gt; 10% of wr",IF(AND($DB34&lt;&gt;"",$DB34&lt;&gt;"No FRET",N($O34)&lt;2),"⚠ FRET needs ≥ 2 colours",IF(AND($DB34&lt;&gt;"",$DB34&lt;&gt;"No FRET",N($DC34)+N($DD34)+N($DE34)=0),"⚠ FRET: set R","✔ OK")))))))</f>
        <v/>
      </c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7" t="str">
        <f aca="false">IF(OR($DT34="",$DT34="No FRET",N($DU34)&lt;=0,N($V34)&lt;=0),"",1/(1+($DU34/$V34)^6))</f>
        <v/>
      </c>
      <c r="DY34" s="27" t="str">
        <f aca="false">IF(OR($DT34="",$DT34="No FRET",N($DV34)&lt;=0,N($W34)&lt;=0),"",1/(1+($DV34/$W34)^6))</f>
        <v/>
      </c>
      <c r="DZ34" s="27" t="str">
        <f aca="false">IF(OR($DT34="",$DT34="No FRET",N($DW34)&lt;=0,N($X34)&lt;=0),"",1/(1+($DW34/$X34)^6))</f>
        <v/>
      </c>
      <c r="EA34" s="28" t="str">
        <f aca="false">IF(OR($A34="",N($DM34)&lt;=0),"",IF($I34&gt;0,$DM34/($G34*$H34*$I34)/1E-024/6.022E+023/0.000000001,""))</f>
        <v/>
      </c>
      <c r="EB34" s="29" t="str">
        <f aca="false">IF(Calc!AK34=0,"",IF(Calc!AI34&gt;=1,"✖ saturated (B ≥ freq.)",IF(Calc!AI34&gt;0.1,"⚠ B &gt; 10% of freq.",IF(Calc!AI34=0,"⚠ no brightness",IF(Calc!AJ34&gt;0.1,"⚠ step &gt; 10% of wr",IF(AND($DT34&lt;&gt;"",$DT34&lt;&gt;"No FRET",N($O34)&lt;2),"⚠ FRET needs ≥ 2 colours",IF(AND($DT34&lt;&gt;"",$DT34&lt;&gt;"No FRET",N($DU34)+N($DV34)+N($DW34)=0),"⚠ FRET: set R","✔ OK")))))))</f>
        <v/>
      </c>
      <c r="EC34" s="30" t="str">
        <f aca="false">IF($A34="","",SUM(Calc!G34,Calc!M34,Calc!S34,Calc!Y34,Calc!AE34,Calc!AK34))</f>
        <v/>
      </c>
      <c r="ED34" s="30" t="str">
        <f aca="false">IF($A34="","",N($AA34)+N($AS34)+N($BK34)+N($CC34)+N($CU34)+N($DM34))</f>
        <v/>
      </c>
      <c r="EE34" s="31" t="str">
        <f aca="false">IF($A34="","",SUM(Calc!B34,Calc!H34,Calc!N34,Calc!T34,Calc!Z34,Calc!AF34))</f>
        <v/>
      </c>
      <c r="EF34" s="31" t="str">
        <f aca="false">IF($A34="","",SUM(Calc!C34,Calc!I34,Calc!O34,Calc!U34,Calc!AA34,Calc!AG34))</f>
        <v/>
      </c>
      <c r="EG34" s="31" t="str">
        <f aca="false">IF($A34="","",SUM(Calc!D34,Calc!J34,Calc!P34,Calc!V34,Calc!AB34,Calc!AH34))</f>
        <v/>
      </c>
      <c r="EH34" s="27" t="str">
        <f aca="false">IF($A34="","",($EE34+$EF34+$EG34+IF($P34="Yes",N($Q34)*N($O34),0))*1000*$K34/1000000)</f>
        <v/>
      </c>
      <c r="EI34" s="28" t="str">
        <f aca="false">IF($A34="","",$EH34*1000000*12/1000000000)</f>
        <v/>
      </c>
      <c r="EJ34" s="32" t="str">
        <f aca="false">IF($A34="","",IF($EC34=0,"⚠ no species entered",IF(((LEFT($AP34,1)="✖")+(LEFT($BH34,1)="✖")+(LEFT($BZ34,1)="✖")+(LEFT($CR34,1)="✖")+(LEFT($DJ34,1)="✖")+(LEFT($EB34,1)="✖"))&gt;0,"✖ "&amp;((LEFT($AP34,1)="✖")+(LEFT($BH34,1)="✖")+(LEFT($BZ34,1)="✖")+(LEFT($CR34,1)="✖")+(LEFT($DJ34,1)="✖")+(LEFT($EB34,1)="✖"))&amp;" species saturated - see the species checks",IF(MIN($G34,$H34)&lt;8*$T34,"⚠ box too small laterally (&lt; 8·wr)",IF(AND($I34&gt;0,$I34&lt;3*$U34),"⚠ box too small axially (&lt; 3·wz)",IF($EI34&gt;8,"⚠ &gt; 8 GB per file: shorten the duration and use several files",IF(((LEFT($AP34,1)="⚠")+(LEFT($BH34,1)="⚠")+(LEFT($BZ34,1)="⚠")+(LEFT($CR34,1)="⚠")+(LEFT($DJ34,1)="⚠")+(LEFT($EB34,1)="⚠"))&gt;0,"⚠ "&amp;((LEFT($AP34,1)="⚠")+(LEFT($BH34,1)="⚠")+(LEFT($BZ34,1)="⚠")+(LEFT($CR34,1)="⚠")+(LEFT($DJ34,1)="⚠")+(LEFT($EB34,1)="⚠"))&amp;" species with a warning","✔ OK")))))))</f>
        <v/>
      </c>
      <c r="EK34" s="25"/>
      <c r="EL34" s="25"/>
      <c r="EM34" s="25"/>
      <c r="EN34" s="25"/>
      <c r="EO34" s="25"/>
      <c r="EP34" s="25"/>
      <c r="EQ34" s="25"/>
      <c r="ER34" s="26"/>
    </row>
    <row r="35" customFormat="false" ht="15" hidden="false" customHeight="false" outlineLevel="0" collapsed="false">
      <c r="A35" s="25"/>
      <c r="B35" s="25"/>
      <c r="C35" s="26"/>
      <c r="D35" s="26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7" t="str">
        <f aca="false">IF(OR($AH35="",$AH35="No FRET",N($AI35)&lt;=0,N($V35)&lt;=0),"",1/(1+($AI35/$V35)^6))</f>
        <v/>
      </c>
      <c r="AM35" s="27" t="str">
        <f aca="false">IF(OR($AH35="",$AH35="No FRET",N($AJ35)&lt;=0,N($W35)&lt;=0),"",1/(1+($AJ35/$W35)^6))</f>
        <v/>
      </c>
      <c r="AN35" s="27" t="str">
        <f aca="false">IF(OR($AH35="",$AH35="No FRET",N($AK35)&lt;=0,N($X35)&lt;=0),"",1/(1+($AK35/$X35)^6))</f>
        <v/>
      </c>
      <c r="AO35" s="28" t="str">
        <f aca="false">IF(OR($A35="",N($AA35)&lt;=0),"",IF($I35&gt;0,$AA35/($G35*$H35*$I35)/1E-024/6.022E+023/0.000000001,""))</f>
        <v/>
      </c>
      <c r="AP35" s="29" t="str">
        <f aca="false">IF(Calc!G35=0,"",IF(Calc!E35&gt;=1,"✖ saturated (B ≥ freq.)",IF(Calc!E35&gt;0.1,"⚠ B &gt; 10% of freq.",IF(Calc!E35=0,"⚠ no brightness",IF(Calc!F35&gt;0.1,"⚠ step &gt; 10% of wr",IF(AND($AH35&lt;&gt;"",$AH35&lt;&gt;"No FRET",N($O35)&lt;2),"⚠ FRET needs ≥ 2 colours",IF(AND($AH35&lt;&gt;"",$AH35&lt;&gt;"No FRET",N($AI35)+N($AJ35)+N($AK35)=0),"⚠ FRET: set R","✔ OK")))))))</f>
        <v/>
      </c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7" t="str">
        <f aca="false">IF(OR($AZ35="",$AZ35="No FRET",N($BA35)&lt;=0,N($V35)&lt;=0),"",1/(1+($BA35/$V35)^6))</f>
        <v/>
      </c>
      <c r="BE35" s="27" t="str">
        <f aca="false">IF(OR($AZ35="",$AZ35="No FRET",N($BB35)&lt;=0,N($W35)&lt;=0),"",1/(1+($BB35/$W35)^6))</f>
        <v/>
      </c>
      <c r="BF35" s="27" t="str">
        <f aca="false">IF(OR($AZ35="",$AZ35="No FRET",N($BC35)&lt;=0,N($X35)&lt;=0),"",1/(1+($BC35/$X35)^6))</f>
        <v/>
      </c>
      <c r="BG35" s="28" t="str">
        <f aca="false">IF(OR($A35="",N($AS35)&lt;=0),"",IF($I35&gt;0,$AS35/($G35*$H35*$I35)/1E-024/6.022E+023/0.000000001,""))</f>
        <v/>
      </c>
      <c r="BH35" s="29" t="str">
        <f aca="false">IF(Calc!M35=0,"",IF(Calc!K35&gt;=1,"✖ saturated (B ≥ freq.)",IF(Calc!K35&gt;0.1,"⚠ B &gt; 10% of freq.",IF(Calc!K35=0,"⚠ no brightness",IF(Calc!L35&gt;0.1,"⚠ step &gt; 10% of wr",IF(AND($AZ35&lt;&gt;"",$AZ35&lt;&gt;"No FRET",N($O35)&lt;2),"⚠ FRET needs ≥ 2 colours",IF(AND($AZ35&lt;&gt;"",$AZ35&lt;&gt;"No FRET",N($BA35)+N($BB35)+N($BC35)=0),"⚠ FRET: set R","✔ OK")))))))</f>
        <v/>
      </c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7" t="str">
        <f aca="false">IF(OR($BR35="",$BR35="No FRET",N($BS35)&lt;=0,N($V35)&lt;=0),"",1/(1+($BS35/$V35)^6))</f>
        <v/>
      </c>
      <c r="BW35" s="27" t="str">
        <f aca="false">IF(OR($BR35="",$BR35="No FRET",N($BT35)&lt;=0,N($W35)&lt;=0),"",1/(1+($BT35/$W35)^6))</f>
        <v/>
      </c>
      <c r="BX35" s="27" t="str">
        <f aca="false">IF(OR($BR35="",$BR35="No FRET",N($BU35)&lt;=0,N($X35)&lt;=0),"",1/(1+($BU35/$X35)^6))</f>
        <v/>
      </c>
      <c r="BY35" s="28" t="str">
        <f aca="false">IF(OR($A35="",N($BK35)&lt;=0),"",IF($I35&gt;0,$BK35/($G35*$H35*$I35)/1E-024/6.022E+023/0.000000001,""))</f>
        <v/>
      </c>
      <c r="BZ35" s="29" t="str">
        <f aca="false">IF(Calc!S35=0,"",IF(Calc!Q35&gt;=1,"✖ saturated (B ≥ freq.)",IF(Calc!Q35&gt;0.1,"⚠ B &gt; 10% of freq.",IF(Calc!Q35=0,"⚠ no brightness",IF(Calc!R35&gt;0.1,"⚠ step &gt; 10% of wr",IF(AND($BR35&lt;&gt;"",$BR35&lt;&gt;"No FRET",N($O35)&lt;2),"⚠ FRET needs ≥ 2 colours",IF(AND($BR35&lt;&gt;"",$BR35&lt;&gt;"No FRET",N($BS35)+N($BT35)+N($BU35)=0),"⚠ FRET: set R","✔ OK")))))))</f>
        <v/>
      </c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7" t="str">
        <f aca="false">IF(OR($CJ35="",$CJ35="No FRET",N($CK35)&lt;=0,N($V35)&lt;=0),"",1/(1+($CK35/$V35)^6))</f>
        <v/>
      </c>
      <c r="CO35" s="27" t="str">
        <f aca="false">IF(OR($CJ35="",$CJ35="No FRET",N($CL35)&lt;=0,N($W35)&lt;=0),"",1/(1+($CL35/$W35)^6))</f>
        <v/>
      </c>
      <c r="CP35" s="27" t="str">
        <f aca="false">IF(OR($CJ35="",$CJ35="No FRET",N($CM35)&lt;=0,N($X35)&lt;=0),"",1/(1+($CM35/$X35)^6))</f>
        <v/>
      </c>
      <c r="CQ35" s="28" t="str">
        <f aca="false">IF(OR($A35="",N($CC35)&lt;=0),"",IF($I35&gt;0,$CC35/($G35*$H35*$I35)/1E-024/6.022E+023/0.000000001,""))</f>
        <v/>
      </c>
      <c r="CR35" s="29" t="str">
        <f aca="false">IF(Calc!Y35=0,"",IF(Calc!W35&gt;=1,"✖ saturated (B ≥ freq.)",IF(Calc!W35&gt;0.1,"⚠ B &gt; 10% of freq.",IF(Calc!W35=0,"⚠ no brightness",IF(Calc!X35&gt;0.1,"⚠ step &gt; 10% of wr",IF(AND($CJ35&lt;&gt;"",$CJ35&lt;&gt;"No FRET",N($O35)&lt;2),"⚠ FRET needs ≥ 2 colours",IF(AND($CJ35&lt;&gt;"",$CJ35&lt;&gt;"No FRET",N($CK35)+N($CL35)+N($CM35)=0),"⚠ FRET: set R","✔ OK")))))))</f>
        <v/>
      </c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7" t="str">
        <f aca="false">IF(OR($DB35="",$DB35="No FRET",N($DC35)&lt;=0,N($V35)&lt;=0),"",1/(1+($DC35/$V35)^6))</f>
        <v/>
      </c>
      <c r="DG35" s="27" t="str">
        <f aca="false">IF(OR($DB35="",$DB35="No FRET",N($DD35)&lt;=0,N($W35)&lt;=0),"",1/(1+($DD35/$W35)^6))</f>
        <v/>
      </c>
      <c r="DH35" s="27" t="str">
        <f aca="false">IF(OR($DB35="",$DB35="No FRET",N($DE35)&lt;=0,N($X35)&lt;=0),"",1/(1+($DE35/$X35)^6))</f>
        <v/>
      </c>
      <c r="DI35" s="28" t="str">
        <f aca="false">IF(OR($A35="",N($CU35)&lt;=0),"",IF($I35&gt;0,$CU35/($G35*$H35*$I35)/1E-024/6.022E+023/0.000000001,""))</f>
        <v/>
      </c>
      <c r="DJ35" s="29" t="str">
        <f aca="false">IF(Calc!AE35=0,"",IF(Calc!AC35&gt;=1,"✖ saturated (B ≥ freq.)",IF(Calc!AC35&gt;0.1,"⚠ B &gt; 10% of freq.",IF(Calc!AC35=0,"⚠ no brightness",IF(Calc!AD35&gt;0.1,"⚠ step &gt; 10% of wr",IF(AND($DB35&lt;&gt;"",$DB35&lt;&gt;"No FRET",N($O35)&lt;2),"⚠ FRET needs ≥ 2 colours",IF(AND($DB35&lt;&gt;"",$DB35&lt;&gt;"No FRET",N($DC35)+N($DD35)+N($DE35)=0),"⚠ FRET: set R","✔ OK")))))))</f>
        <v/>
      </c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7" t="str">
        <f aca="false">IF(OR($DT35="",$DT35="No FRET",N($DU35)&lt;=0,N($V35)&lt;=0),"",1/(1+($DU35/$V35)^6))</f>
        <v/>
      </c>
      <c r="DY35" s="27" t="str">
        <f aca="false">IF(OR($DT35="",$DT35="No FRET",N($DV35)&lt;=0,N($W35)&lt;=0),"",1/(1+($DV35/$W35)^6))</f>
        <v/>
      </c>
      <c r="DZ35" s="27" t="str">
        <f aca="false">IF(OR($DT35="",$DT35="No FRET",N($DW35)&lt;=0,N($X35)&lt;=0),"",1/(1+($DW35/$X35)^6))</f>
        <v/>
      </c>
      <c r="EA35" s="28" t="str">
        <f aca="false">IF(OR($A35="",N($DM35)&lt;=0),"",IF($I35&gt;0,$DM35/($G35*$H35*$I35)/1E-024/6.022E+023/0.000000001,""))</f>
        <v/>
      </c>
      <c r="EB35" s="29" t="str">
        <f aca="false">IF(Calc!AK35=0,"",IF(Calc!AI35&gt;=1,"✖ saturated (B ≥ freq.)",IF(Calc!AI35&gt;0.1,"⚠ B &gt; 10% of freq.",IF(Calc!AI35=0,"⚠ no brightness",IF(Calc!AJ35&gt;0.1,"⚠ step &gt; 10% of wr",IF(AND($DT35&lt;&gt;"",$DT35&lt;&gt;"No FRET",N($O35)&lt;2),"⚠ FRET needs ≥ 2 colours",IF(AND($DT35&lt;&gt;"",$DT35&lt;&gt;"No FRET",N($DU35)+N($DV35)+N($DW35)=0),"⚠ FRET: set R","✔ OK")))))))</f>
        <v/>
      </c>
      <c r="EC35" s="30" t="str">
        <f aca="false">IF($A35="","",SUM(Calc!G35,Calc!M35,Calc!S35,Calc!Y35,Calc!AE35,Calc!AK35))</f>
        <v/>
      </c>
      <c r="ED35" s="30" t="str">
        <f aca="false">IF($A35="","",N($AA35)+N($AS35)+N($BK35)+N($CC35)+N($CU35)+N($DM35))</f>
        <v/>
      </c>
      <c r="EE35" s="31" t="str">
        <f aca="false">IF($A35="","",SUM(Calc!B35,Calc!H35,Calc!N35,Calc!T35,Calc!Z35,Calc!AF35))</f>
        <v/>
      </c>
      <c r="EF35" s="31" t="str">
        <f aca="false">IF($A35="","",SUM(Calc!C35,Calc!I35,Calc!O35,Calc!U35,Calc!AA35,Calc!AG35))</f>
        <v/>
      </c>
      <c r="EG35" s="31" t="str">
        <f aca="false">IF($A35="","",SUM(Calc!D35,Calc!J35,Calc!P35,Calc!V35,Calc!AB35,Calc!AH35))</f>
        <v/>
      </c>
      <c r="EH35" s="27" t="str">
        <f aca="false">IF($A35="","",($EE35+$EF35+$EG35+IF($P35="Yes",N($Q35)*N($O35),0))*1000*$K35/1000000)</f>
        <v/>
      </c>
      <c r="EI35" s="28" t="str">
        <f aca="false">IF($A35="","",$EH35*1000000*12/1000000000)</f>
        <v/>
      </c>
      <c r="EJ35" s="32" t="str">
        <f aca="false">IF($A35="","",IF($EC35=0,"⚠ no species entered",IF(((LEFT($AP35,1)="✖")+(LEFT($BH35,1)="✖")+(LEFT($BZ35,1)="✖")+(LEFT($CR35,1)="✖")+(LEFT($DJ35,1)="✖")+(LEFT($EB35,1)="✖"))&gt;0,"✖ "&amp;((LEFT($AP35,1)="✖")+(LEFT($BH35,1)="✖")+(LEFT($BZ35,1)="✖")+(LEFT($CR35,1)="✖")+(LEFT($DJ35,1)="✖")+(LEFT($EB35,1)="✖"))&amp;" species saturated - see the species checks",IF(MIN($G35,$H35)&lt;8*$T35,"⚠ box too small laterally (&lt; 8·wr)",IF(AND($I35&gt;0,$I35&lt;3*$U35),"⚠ box too small axially (&lt; 3·wz)",IF($EI35&gt;8,"⚠ &gt; 8 GB per file: shorten the duration and use several files",IF(((LEFT($AP35,1)="⚠")+(LEFT($BH35,1)="⚠")+(LEFT($BZ35,1)="⚠")+(LEFT($CR35,1)="⚠")+(LEFT($DJ35,1)="⚠")+(LEFT($EB35,1)="⚠"))&gt;0,"⚠ "&amp;((LEFT($AP35,1)="⚠")+(LEFT($BH35,1)="⚠")+(LEFT($BZ35,1)="⚠")+(LEFT($CR35,1)="⚠")+(LEFT($DJ35,1)="⚠")+(LEFT($EB35,1)="⚠"))&amp;" species with a warning","✔ OK")))))))</f>
        <v/>
      </c>
      <c r="EK35" s="25"/>
      <c r="EL35" s="25"/>
      <c r="EM35" s="25"/>
      <c r="EN35" s="25"/>
      <c r="EO35" s="25"/>
      <c r="EP35" s="25"/>
      <c r="EQ35" s="25"/>
      <c r="ER35" s="26"/>
    </row>
    <row r="36" customFormat="false" ht="15" hidden="false" customHeight="false" outlineLevel="0" collapsed="false">
      <c r="A36" s="25"/>
      <c r="B36" s="25"/>
      <c r="C36" s="26"/>
      <c r="D36" s="26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7" t="str">
        <f aca="false">IF(OR($AH36="",$AH36="No FRET",N($AI36)&lt;=0,N($V36)&lt;=0),"",1/(1+($AI36/$V36)^6))</f>
        <v/>
      </c>
      <c r="AM36" s="27" t="str">
        <f aca="false">IF(OR($AH36="",$AH36="No FRET",N($AJ36)&lt;=0,N($W36)&lt;=0),"",1/(1+($AJ36/$W36)^6))</f>
        <v/>
      </c>
      <c r="AN36" s="27" t="str">
        <f aca="false">IF(OR($AH36="",$AH36="No FRET",N($AK36)&lt;=0,N($X36)&lt;=0),"",1/(1+($AK36/$X36)^6))</f>
        <v/>
      </c>
      <c r="AO36" s="28" t="str">
        <f aca="false">IF(OR($A36="",N($AA36)&lt;=0),"",IF($I36&gt;0,$AA36/($G36*$H36*$I36)/1E-024/6.022E+023/0.000000001,""))</f>
        <v/>
      </c>
      <c r="AP36" s="29" t="str">
        <f aca="false">IF(Calc!G36=0,"",IF(Calc!E36&gt;=1,"✖ saturated (B ≥ freq.)",IF(Calc!E36&gt;0.1,"⚠ B &gt; 10% of freq.",IF(Calc!E36=0,"⚠ no brightness",IF(Calc!F36&gt;0.1,"⚠ step &gt; 10% of wr",IF(AND($AH36&lt;&gt;"",$AH36&lt;&gt;"No FRET",N($O36)&lt;2),"⚠ FRET needs ≥ 2 colours",IF(AND($AH36&lt;&gt;"",$AH36&lt;&gt;"No FRET",N($AI36)+N($AJ36)+N($AK36)=0),"⚠ FRET: set R","✔ OK")))))))</f>
        <v/>
      </c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7" t="str">
        <f aca="false">IF(OR($AZ36="",$AZ36="No FRET",N($BA36)&lt;=0,N($V36)&lt;=0),"",1/(1+($BA36/$V36)^6))</f>
        <v/>
      </c>
      <c r="BE36" s="27" t="str">
        <f aca="false">IF(OR($AZ36="",$AZ36="No FRET",N($BB36)&lt;=0,N($W36)&lt;=0),"",1/(1+($BB36/$W36)^6))</f>
        <v/>
      </c>
      <c r="BF36" s="27" t="str">
        <f aca="false">IF(OR($AZ36="",$AZ36="No FRET",N($BC36)&lt;=0,N($X36)&lt;=0),"",1/(1+($BC36/$X36)^6))</f>
        <v/>
      </c>
      <c r="BG36" s="28" t="str">
        <f aca="false">IF(OR($A36="",N($AS36)&lt;=0),"",IF($I36&gt;0,$AS36/($G36*$H36*$I36)/1E-024/6.022E+023/0.000000001,""))</f>
        <v/>
      </c>
      <c r="BH36" s="29" t="str">
        <f aca="false">IF(Calc!M36=0,"",IF(Calc!K36&gt;=1,"✖ saturated (B ≥ freq.)",IF(Calc!K36&gt;0.1,"⚠ B &gt; 10% of freq.",IF(Calc!K36=0,"⚠ no brightness",IF(Calc!L36&gt;0.1,"⚠ step &gt; 10% of wr",IF(AND($AZ36&lt;&gt;"",$AZ36&lt;&gt;"No FRET",N($O36)&lt;2),"⚠ FRET needs ≥ 2 colours",IF(AND($AZ36&lt;&gt;"",$AZ36&lt;&gt;"No FRET",N($BA36)+N($BB36)+N($BC36)=0),"⚠ FRET: set R","✔ OK")))))))</f>
        <v/>
      </c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7" t="str">
        <f aca="false">IF(OR($BR36="",$BR36="No FRET",N($BS36)&lt;=0,N($V36)&lt;=0),"",1/(1+($BS36/$V36)^6))</f>
        <v/>
      </c>
      <c r="BW36" s="27" t="str">
        <f aca="false">IF(OR($BR36="",$BR36="No FRET",N($BT36)&lt;=0,N($W36)&lt;=0),"",1/(1+($BT36/$W36)^6))</f>
        <v/>
      </c>
      <c r="BX36" s="27" t="str">
        <f aca="false">IF(OR($BR36="",$BR36="No FRET",N($BU36)&lt;=0,N($X36)&lt;=0),"",1/(1+($BU36/$X36)^6))</f>
        <v/>
      </c>
      <c r="BY36" s="28" t="str">
        <f aca="false">IF(OR($A36="",N($BK36)&lt;=0),"",IF($I36&gt;0,$BK36/($G36*$H36*$I36)/1E-024/6.022E+023/0.000000001,""))</f>
        <v/>
      </c>
      <c r="BZ36" s="29" t="str">
        <f aca="false">IF(Calc!S36=0,"",IF(Calc!Q36&gt;=1,"✖ saturated (B ≥ freq.)",IF(Calc!Q36&gt;0.1,"⚠ B &gt; 10% of freq.",IF(Calc!Q36=0,"⚠ no brightness",IF(Calc!R36&gt;0.1,"⚠ step &gt; 10% of wr",IF(AND($BR36&lt;&gt;"",$BR36&lt;&gt;"No FRET",N($O36)&lt;2),"⚠ FRET needs ≥ 2 colours",IF(AND($BR36&lt;&gt;"",$BR36&lt;&gt;"No FRET",N($BS36)+N($BT36)+N($BU36)=0),"⚠ FRET: set R","✔ OK")))))))</f>
        <v/>
      </c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7" t="str">
        <f aca="false">IF(OR($CJ36="",$CJ36="No FRET",N($CK36)&lt;=0,N($V36)&lt;=0),"",1/(1+($CK36/$V36)^6))</f>
        <v/>
      </c>
      <c r="CO36" s="27" t="str">
        <f aca="false">IF(OR($CJ36="",$CJ36="No FRET",N($CL36)&lt;=0,N($W36)&lt;=0),"",1/(1+($CL36/$W36)^6))</f>
        <v/>
      </c>
      <c r="CP36" s="27" t="str">
        <f aca="false">IF(OR($CJ36="",$CJ36="No FRET",N($CM36)&lt;=0,N($X36)&lt;=0),"",1/(1+($CM36/$X36)^6))</f>
        <v/>
      </c>
      <c r="CQ36" s="28" t="str">
        <f aca="false">IF(OR($A36="",N($CC36)&lt;=0),"",IF($I36&gt;0,$CC36/($G36*$H36*$I36)/1E-024/6.022E+023/0.000000001,""))</f>
        <v/>
      </c>
      <c r="CR36" s="29" t="str">
        <f aca="false">IF(Calc!Y36=0,"",IF(Calc!W36&gt;=1,"✖ saturated (B ≥ freq.)",IF(Calc!W36&gt;0.1,"⚠ B &gt; 10% of freq.",IF(Calc!W36=0,"⚠ no brightness",IF(Calc!X36&gt;0.1,"⚠ step &gt; 10% of wr",IF(AND($CJ36&lt;&gt;"",$CJ36&lt;&gt;"No FRET",N($O36)&lt;2),"⚠ FRET needs ≥ 2 colours",IF(AND($CJ36&lt;&gt;"",$CJ36&lt;&gt;"No FRET",N($CK36)+N($CL36)+N($CM36)=0),"⚠ FRET: set R","✔ OK")))))))</f>
        <v/>
      </c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7" t="str">
        <f aca="false">IF(OR($DB36="",$DB36="No FRET",N($DC36)&lt;=0,N($V36)&lt;=0),"",1/(1+($DC36/$V36)^6))</f>
        <v/>
      </c>
      <c r="DG36" s="27" t="str">
        <f aca="false">IF(OR($DB36="",$DB36="No FRET",N($DD36)&lt;=0,N($W36)&lt;=0),"",1/(1+($DD36/$W36)^6))</f>
        <v/>
      </c>
      <c r="DH36" s="27" t="str">
        <f aca="false">IF(OR($DB36="",$DB36="No FRET",N($DE36)&lt;=0,N($X36)&lt;=0),"",1/(1+($DE36/$X36)^6))</f>
        <v/>
      </c>
      <c r="DI36" s="28" t="str">
        <f aca="false">IF(OR($A36="",N($CU36)&lt;=0),"",IF($I36&gt;0,$CU36/($G36*$H36*$I36)/1E-024/6.022E+023/0.000000001,""))</f>
        <v/>
      </c>
      <c r="DJ36" s="29" t="str">
        <f aca="false">IF(Calc!AE36=0,"",IF(Calc!AC36&gt;=1,"✖ saturated (B ≥ freq.)",IF(Calc!AC36&gt;0.1,"⚠ B &gt; 10% of freq.",IF(Calc!AC36=0,"⚠ no brightness",IF(Calc!AD36&gt;0.1,"⚠ step &gt; 10% of wr",IF(AND($DB36&lt;&gt;"",$DB36&lt;&gt;"No FRET",N($O36)&lt;2),"⚠ FRET needs ≥ 2 colours",IF(AND($DB36&lt;&gt;"",$DB36&lt;&gt;"No FRET",N($DC36)+N($DD36)+N($DE36)=0),"⚠ FRET: set R","✔ OK")))))))</f>
        <v/>
      </c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7" t="str">
        <f aca="false">IF(OR($DT36="",$DT36="No FRET",N($DU36)&lt;=0,N($V36)&lt;=0),"",1/(1+($DU36/$V36)^6))</f>
        <v/>
      </c>
      <c r="DY36" s="27" t="str">
        <f aca="false">IF(OR($DT36="",$DT36="No FRET",N($DV36)&lt;=0,N($W36)&lt;=0),"",1/(1+($DV36/$W36)^6))</f>
        <v/>
      </c>
      <c r="DZ36" s="27" t="str">
        <f aca="false">IF(OR($DT36="",$DT36="No FRET",N($DW36)&lt;=0,N($X36)&lt;=0),"",1/(1+($DW36/$X36)^6))</f>
        <v/>
      </c>
      <c r="EA36" s="28" t="str">
        <f aca="false">IF(OR($A36="",N($DM36)&lt;=0),"",IF($I36&gt;0,$DM36/($G36*$H36*$I36)/1E-024/6.022E+023/0.000000001,""))</f>
        <v/>
      </c>
      <c r="EB36" s="29" t="str">
        <f aca="false">IF(Calc!AK36=0,"",IF(Calc!AI36&gt;=1,"✖ saturated (B ≥ freq.)",IF(Calc!AI36&gt;0.1,"⚠ B &gt; 10% of freq.",IF(Calc!AI36=0,"⚠ no brightness",IF(Calc!AJ36&gt;0.1,"⚠ step &gt; 10% of wr",IF(AND($DT36&lt;&gt;"",$DT36&lt;&gt;"No FRET",N($O36)&lt;2),"⚠ FRET needs ≥ 2 colours",IF(AND($DT36&lt;&gt;"",$DT36&lt;&gt;"No FRET",N($DU36)+N($DV36)+N($DW36)=0),"⚠ FRET: set R","✔ OK")))))))</f>
        <v/>
      </c>
      <c r="EC36" s="30" t="str">
        <f aca="false">IF($A36="","",SUM(Calc!G36,Calc!M36,Calc!S36,Calc!Y36,Calc!AE36,Calc!AK36))</f>
        <v/>
      </c>
      <c r="ED36" s="30" t="str">
        <f aca="false">IF($A36="","",N($AA36)+N($AS36)+N($BK36)+N($CC36)+N($CU36)+N($DM36))</f>
        <v/>
      </c>
      <c r="EE36" s="31" t="str">
        <f aca="false">IF($A36="","",SUM(Calc!B36,Calc!H36,Calc!N36,Calc!T36,Calc!Z36,Calc!AF36))</f>
        <v/>
      </c>
      <c r="EF36" s="31" t="str">
        <f aca="false">IF($A36="","",SUM(Calc!C36,Calc!I36,Calc!O36,Calc!U36,Calc!AA36,Calc!AG36))</f>
        <v/>
      </c>
      <c r="EG36" s="31" t="str">
        <f aca="false">IF($A36="","",SUM(Calc!D36,Calc!J36,Calc!P36,Calc!V36,Calc!AB36,Calc!AH36))</f>
        <v/>
      </c>
      <c r="EH36" s="27" t="str">
        <f aca="false">IF($A36="","",($EE36+$EF36+$EG36+IF($P36="Yes",N($Q36)*N($O36),0))*1000*$K36/1000000)</f>
        <v/>
      </c>
      <c r="EI36" s="28" t="str">
        <f aca="false">IF($A36="","",$EH36*1000000*12/1000000000)</f>
        <v/>
      </c>
      <c r="EJ36" s="32" t="str">
        <f aca="false">IF($A36="","",IF($EC36=0,"⚠ no species entered",IF(((LEFT($AP36,1)="✖")+(LEFT($BH36,1)="✖")+(LEFT($BZ36,1)="✖")+(LEFT($CR36,1)="✖")+(LEFT($DJ36,1)="✖")+(LEFT($EB36,1)="✖"))&gt;0,"✖ "&amp;((LEFT($AP36,1)="✖")+(LEFT($BH36,1)="✖")+(LEFT($BZ36,1)="✖")+(LEFT($CR36,1)="✖")+(LEFT($DJ36,1)="✖")+(LEFT($EB36,1)="✖"))&amp;" species saturated - see the species checks",IF(MIN($G36,$H36)&lt;8*$T36,"⚠ box too small laterally (&lt; 8·wr)",IF(AND($I36&gt;0,$I36&lt;3*$U36),"⚠ box too small axially (&lt; 3·wz)",IF($EI36&gt;8,"⚠ &gt; 8 GB per file: shorten the duration and use several files",IF(((LEFT($AP36,1)="⚠")+(LEFT($BH36,1)="⚠")+(LEFT($BZ36,1)="⚠")+(LEFT($CR36,1)="⚠")+(LEFT($DJ36,1)="⚠")+(LEFT($EB36,1)="⚠"))&gt;0,"⚠ "&amp;((LEFT($AP36,1)="⚠")+(LEFT($BH36,1)="⚠")+(LEFT($BZ36,1)="⚠")+(LEFT($CR36,1)="⚠")+(LEFT($DJ36,1)="⚠")+(LEFT($EB36,1)="⚠"))&amp;" species with a warning","✔ OK")))))))</f>
        <v/>
      </c>
      <c r="EK36" s="25"/>
      <c r="EL36" s="25"/>
      <c r="EM36" s="25"/>
      <c r="EN36" s="25"/>
      <c r="EO36" s="25"/>
      <c r="EP36" s="25"/>
      <c r="EQ36" s="25"/>
      <c r="ER36" s="26"/>
    </row>
    <row r="37" customFormat="false" ht="15" hidden="false" customHeight="false" outlineLevel="0" collapsed="false">
      <c r="A37" s="25"/>
      <c r="B37" s="25"/>
      <c r="C37" s="26"/>
      <c r="D37" s="26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7" t="str">
        <f aca="false">IF(OR($AH37="",$AH37="No FRET",N($AI37)&lt;=0,N($V37)&lt;=0),"",1/(1+($AI37/$V37)^6))</f>
        <v/>
      </c>
      <c r="AM37" s="27" t="str">
        <f aca="false">IF(OR($AH37="",$AH37="No FRET",N($AJ37)&lt;=0,N($W37)&lt;=0),"",1/(1+($AJ37/$W37)^6))</f>
        <v/>
      </c>
      <c r="AN37" s="27" t="str">
        <f aca="false">IF(OR($AH37="",$AH37="No FRET",N($AK37)&lt;=0,N($X37)&lt;=0),"",1/(1+($AK37/$X37)^6))</f>
        <v/>
      </c>
      <c r="AO37" s="28" t="str">
        <f aca="false">IF(OR($A37="",N($AA37)&lt;=0),"",IF($I37&gt;0,$AA37/($G37*$H37*$I37)/1E-024/6.022E+023/0.000000001,""))</f>
        <v/>
      </c>
      <c r="AP37" s="29" t="str">
        <f aca="false">IF(Calc!G37=0,"",IF(Calc!E37&gt;=1,"✖ saturated (B ≥ freq.)",IF(Calc!E37&gt;0.1,"⚠ B &gt; 10% of freq.",IF(Calc!E37=0,"⚠ no brightness",IF(Calc!F37&gt;0.1,"⚠ step &gt; 10% of wr",IF(AND($AH37&lt;&gt;"",$AH37&lt;&gt;"No FRET",N($O37)&lt;2),"⚠ FRET needs ≥ 2 colours",IF(AND($AH37&lt;&gt;"",$AH37&lt;&gt;"No FRET",N($AI37)+N($AJ37)+N($AK37)=0),"⚠ FRET: set R","✔ OK")))))))</f>
        <v/>
      </c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7" t="str">
        <f aca="false">IF(OR($AZ37="",$AZ37="No FRET",N($BA37)&lt;=0,N($V37)&lt;=0),"",1/(1+($BA37/$V37)^6))</f>
        <v/>
      </c>
      <c r="BE37" s="27" t="str">
        <f aca="false">IF(OR($AZ37="",$AZ37="No FRET",N($BB37)&lt;=0,N($W37)&lt;=0),"",1/(1+($BB37/$W37)^6))</f>
        <v/>
      </c>
      <c r="BF37" s="27" t="str">
        <f aca="false">IF(OR($AZ37="",$AZ37="No FRET",N($BC37)&lt;=0,N($X37)&lt;=0),"",1/(1+($BC37/$X37)^6))</f>
        <v/>
      </c>
      <c r="BG37" s="28" t="str">
        <f aca="false">IF(OR($A37="",N($AS37)&lt;=0),"",IF($I37&gt;0,$AS37/($G37*$H37*$I37)/1E-024/6.022E+023/0.000000001,""))</f>
        <v/>
      </c>
      <c r="BH37" s="29" t="str">
        <f aca="false">IF(Calc!M37=0,"",IF(Calc!K37&gt;=1,"✖ saturated (B ≥ freq.)",IF(Calc!K37&gt;0.1,"⚠ B &gt; 10% of freq.",IF(Calc!K37=0,"⚠ no brightness",IF(Calc!L37&gt;0.1,"⚠ step &gt; 10% of wr",IF(AND($AZ37&lt;&gt;"",$AZ37&lt;&gt;"No FRET",N($O37)&lt;2),"⚠ FRET needs ≥ 2 colours",IF(AND($AZ37&lt;&gt;"",$AZ37&lt;&gt;"No FRET",N($BA37)+N($BB37)+N($BC37)=0),"⚠ FRET: set R","✔ OK")))))))</f>
        <v/>
      </c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7" t="str">
        <f aca="false">IF(OR($BR37="",$BR37="No FRET",N($BS37)&lt;=0,N($V37)&lt;=0),"",1/(1+($BS37/$V37)^6))</f>
        <v/>
      </c>
      <c r="BW37" s="27" t="str">
        <f aca="false">IF(OR($BR37="",$BR37="No FRET",N($BT37)&lt;=0,N($W37)&lt;=0),"",1/(1+($BT37/$W37)^6))</f>
        <v/>
      </c>
      <c r="BX37" s="27" t="str">
        <f aca="false">IF(OR($BR37="",$BR37="No FRET",N($BU37)&lt;=0,N($X37)&lt;=0),"",1/(1+($BU37/$X37)^6))</f>
        <v/>
      </c>
      <c r="BY37" s="28" t="str">
        <f aca="false">IF(OR($A37="",N($BK37)&lt;=0),"",IF($I37&gt;0,$BK37/($G37*$H37*$I37)/1E-024/6.022E+023/0.000000001,""))</f>
        <v/>
      </c>
      <c r="BZ37" s="29" t="str">
        <f aca="false">IF(Calc!S37=0,"",IF(Calc!Q37&gt;=1,"✖ saturated (B ≥ freq.)",IF(Calc!Q37&gt;0.1,"⚠ B &gt; 10% of freq.",IF(Calc!Q37=0,"⚠ no brightness",IF(Calc!R37&gt;0.1,"⚠ step &gt; 10% of wr",IF(AND($BR37&lt;&gt;"",$BR37&lt;&gt;"No FRET",N($O37)&lt;2),"⚠ FRET needs ≥ 2 colours",IF(AND($BR37&lt;&gt;"",$BR37&lt;&gt;"No FRET",N($BS37)+N($BT37)+N($BU37)=0),"⚠ FRET: set R","✔ OK")))))))</f>
        <v/>
      </c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7" t="str">
        <f aca="false">IF(OR($CJ37="",$CJ37="No FRET",N($CK37)&lt;=0,N($V37)&lt;=0),"",1/(1+($CK37/$V37)^6))</f>
        <v/>
      </c>
      <c r="CO37" s="27" t="str">
        <f aca="false">IF(OR($CJ37="",$CJ37="No FRET",N($CL37)&lt;=0,N($W37)&lt;=0),"",1/(1+($CL37/$W37)^6))</f>
        <v/>
      </c>
      <c r="CP37" s="27" t="str">
        <f aca="false">IF(OR($CJ37="",$CJ37="No FRET",N($CM37)&lt;=0,N($X37)&lt;=0),"",1/(1+($CM37/$X37)^6))</f>
        <v/>
      </c>
      <c r="CQ37" s="28" t="str">
        <f aca="false">IF(OR($A37="",N($CC37)&lt;=0),"",IF($I37&gt;0,$CC37/($G37*$H37*$I37)/1E-024/6.022E+023/0.000000001,""))</f>
        <v/>
      </c>
      <c r="CR37" s="29" t="str">
        <f aca="false">IF(Calc!Y37=0,"",IF(Calc!W37&gt;=1,"✖ saturated (B ≥ freq.)",IF(Calc!W37&gt;0.1,"⚠ B &gt; 10% of freq.",IF(Calc!W37=0,"⚠ no brightness",IF(Calc!X37&gt;0.1,"⚠ step &gt; 10% of wr",IF(AND($CJ37&lt;&gt;"",$CJ37&lt;&gt;"No FRET",N($O37)&lt;2),"⚠ FRET needs ≥ 2 colours",IF(AND($CJ37&lt;&gt;"",$CJ37&lt;&gt;"No FRET",N($CK37)+N($CL37)+N($CM37)=0),"⚠ FRET: set R","✔ OK")))))))</f>
        <v/>
      </c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7" t="str">
        <f aca="false">IF(OR($DB37="",$DB37="No FRET",N($DC37)&lt;=0,N($V37)&lt;=0),"",1/(1+($DC37/$V37)^6))</f>
        <v/>
      </c>
      <c r="DG37" s="27" t="str">
        <f aca="false">IF(OR($DB37="",$DB37="No FRET",N($DD37)&lt;=0,N($W37)&lt;=0),"",1/(1+($DD37/$W37)^6))</f>
        <v/>
      </c>
      <c r="DH37" s="27" t="str">
        <f aca="false">IF(OR($DB37="",$DB37="No FRET",N($DE37)&lt;=0,N($X37)&lt;=0),"",1/(1+($DE37/$X37)^6))</f>
        <v/>
      </c>
      <c r="DI37" s="28" t="str">
        <f aca="false">IF(OR($A37="",N($CU37)&lt;=0),"",IF($I37&gt;0,$CU37/($G37*$H37*$I37)/1E-024/6.022E+023/0.000000001,""))</f>
        <v/>
      </c>
      <c r="DJ37" s="29" t="str">
        <f aca="false">IF(Calc!AE37=0,"",IF(Calc!AC37&gt;=1,"✖ saturated (B ≥ freq.)",IF(Calc!AC37&gt;0.1,"⚠ B &gt; 10% of freq.",IF(Calc!AC37=0,"⚠ no brightness",IF(Calc!AD37&gt;0.1,"⚠ step &gt; 10% of wr",IF(AND($DB37&lt;&gt;"",$DB37&lt;&gt;"No FRET",N($O37)&lt;2),"⚠ FRET needs ≥ 2 colours",IF(AND($DB37&lt;&gt;"",$DB37&lt;&gt;"No FRET",N($DC37)+N($DD37)+N($DE37)=0),"⚠ FRET: set R","✔ OK")))))))</f>
        <v/>
      </c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7" t="str">
        <f aca="false">IF(OR($DT37="",$DT37="No FRET",N($DU37)&lt;=0,N($V37)&lt;=0),"",1/(1+($DU37/$V37)^6))</f>
        <v/>
      </c>
      <c r="DY37" s="27" t="str">
        <f aca="false">IF(OR($DT37="",$DT37="No FRET",N($DV37)&lt;=0,N($W37)&lt;=0),"",1/(1+($DV37/$W37)^6))</f>
        <v/>
      </c>
      <c r="DZ37" s="27" t="str">
        <f aca="false">IF(OR($DT37="",$DT37="No FRET",N($DW37)&lt;=0,N($X37)&lt;=0),"",1/(1+($DW37/$X37)^6))</f>
        <v/>
      </c>
      <c r="EA37" s="28" t="str">
        <f aca="false">IF(OR($A37="",N($DM37)&lt;=0),"",IF($I37&gt;0,$DM37/($G37*$H37*$I37)/1E-024/6.022E+023/0.000000001,""))</f>
        <v/>
      </c>
      <c r="EB37" s="29" t="str">
        <f aca="false">IF(Calc!AK37=0,"",IF(Calc!AI37&gt;=1,"✖ saturated (B ≥ freq.)",IF(Calc!AI37&gt;0.1,"⚠ B &gt; 10% of freq.",IF(Calc!AI37=0,"⚠ no brightness",IF(Calc!AJ37&gt;0.1,"⚠ step &gt; 10% of wr",IF(AND($DT37&lt;&gt;"",$DT37&lt;&gt;"No FRET",N($O37)&lt;2),"⚠ FRET needs ≥ 2 colours",IF(AND($DT37&lt;&gt;"",$DT37&lt;&gt;"No FRET",N($DU37)+N($DV37)+N($DW37)=0),"⚠ FRET: set R","✔ OK")))))))</f>
        <v/>
      </c>
      <c r="EC37" s="30" t="str">
        <f aca="false">IF($A37="","",SUM(Calc!G37,Calc!M37,Calc!S37,Calc!Y37,Calc!AE37,Calc!AK37))</f>
        <v/>
      </c>
      <c r="ED37" s="30" t="str">
        <f aca="false">IF($A37="","",N($AA37)+N($AS37)+N($BK37)+N($CC37)+N($CU37)+N($DM37))</f>
        <v/>
      </c>
      <c r="EE37" s="31" t="str">
        <f aca="false">IF($A37="","",SUM(Calc!B37,Calc!H37,Calc!N37,Calc!T37,Calc!Z37,Calc!AF37))</f>
        <v/>
      </c>
      <c r="EF37" s="31" t="str">
        <f aca="false">IF($A37="","",SUM(Calc!C37,Calc!I37,Calc!O37,Calc!U37,Calc!AA37,Calc!AG37))</f>
        <v/>
      </c>
      <c r="EG37" s="31" t="str">
        <f aca="false">IF($A37="","",SUM(Calc!D37,Calc!J37,Calc!P37,Calc!V37,Calc!AB37,Calc!AH37))</f>
        <v/>
      </c>
      <c r="EH37" s="27" t="str">
        <f aca="false">IF($A37="","",($EE37+$EF37+$EG37+IF($P37="Yes",N($Q37)*N($O37),0))*1000*$K37/1000000)</f>
        <v/>
      </c>
      <c r="EI37" s="28" t="str">
        <f aca="false">IF($A37="","",$EH37*1000000*12/1000000000)</f>
        <v/>
      </c>
      <c r="EJ37" s="32" t="str">
        <f aca="false">IF($A37="","",IF($EC37=0,"⚠ no species entered",IF(((LEFT($AP37,1)="✖")+(LEFT($BH37,1)="✖")+(LEFT($BZ37,1)="✖")+(LEFT($CR37,1)="✖")+(LEFT($DJ37,1)="✖")+(LEFT($EB37,1)="✖"))&gt;0,"✖ "&amp;((LEFT($AP37,1)="✖")+(LEFT($BH37,1)="✖")+(LEFT($BZ37,1)="✖")+(LEFT($CR37,1)="✖")+(LEFT($DJ37,1)="✖")+(LEFT($EB37,1)="✖"))&amp;" species saturated - see the species checks",IF(MIN($G37,$H37)&lt;8*$T37,"⚠ box too small laterally (&lt; 8·wr)",IF(AND($I37&gt;0,$I37&lt;3*$U37),"⚠ box too small axially (&lt; 3·wz)",IF($EI37&gt;8,"⚠ &gt; 8 GB per file: shorten the duration and use several files",IF(((LEFT($AP37,1)="⚠")+(LEFT($BH37,1)="⚠")+(LEFT($BZ37,1)="⚠")+(LEFT($CR37,1)="⚠")+(LEFT($DJ37,1)="⚠")+(LEFT($EB37,1)="⚠"))&gt;0,"⚠ "&amp;((LEFT($AP37,1)="⚠")+(LEFT($BH37,1)="⚠")+(LEFT($BZ37,1)="⚠")+(LEFT($CR37,1)="⚠")+(LEFT($DJ37,1)="⚠")+(LEFT($EB37,1)="⚠"))&amp;" species with a warning","✔ OK")))))))</f>
        <v/>
      </c>
      <c r="EK37" s="25"/>
      <c r="EL37" s="25"/>
      <c r="EM37" s="25"/>
      <c r="EN37" s="25"/>
      <c r="EO37" s="25"/>
      <c r="EP37" s="25"/>
      <c r="EQ37" s="25"/>
      <c r="ER37" s="26"/>
    </row>
    <row r="38" customFormat="false" ht="15" hidden="false" customHeight="false" outlineLevel="0" collapsed="false">
      <c r="A38" s="25"/>
      <c r="B38" s="25"/>
      <c r="C38" s="26"/>
      <c r="D38" s="26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7" t="str">
        <f aca="false">IF(OR($AH38="",$AH38="No FRET",N($AI38)&lt;=0,N($V38)&lt;=0),"",1/(1+($AI38/$V38)^6))</f>
        <v/>
      </c>
      <c r="AM38" s="27" t="str">
        <f aca="false">IF(OR($AH38="",$AH38="No FRET",N($AJ38)&lt;=0,N($W38)&lt;=0),"",1/(1+($AJ38/$W38)^6))</f>
        <v/>
      </c>
      <c r="AN38" s="27" t="str">
        <f aca="false">IF(OR($AH38="",$AH38="No FRET",N($AK38)&lt;=0,N($X38)&lt;=0),"",1/(1+($AK38/$X38)^6))</f>
        <v/>
      </c>
      <c r="AO38" s="28" t="str">
        <f aca="false">IF(OR($A38="",N($AA38)&lt;=0),"",IF($I38&gt;0,$AA38/($G38*$H38*$I38)/1E-024/6.022E+023/0.000000001,""))</f>
        <v/>
      </c>
      <c r="AP38" s="29" t="str">
        <f aca="false">IF(Calc!G38=0,"",IF(Calc!E38&gt;=1,"✖ saturated (B ≥ freq.)",IF(Calc!E38&gt;0.1,"⚠ B &gt; 10% of freq.",IF(Calc!E38=0,"⚠ no brightness",IF(Calc!F38&gt;0.1,"⚠ step &gt; 10% of wr",IF(AND($AH38&lt;&gt;"",$AH38&lt;&gt;"No FRET",N($O38)&lt;2),"⚠ FRET needs ≥ 2 colours",IF(AND($AH38&lt;&gt;"",$AH38&lt;&gt;"No FRET",N($AI38)+N($AJ38)+N($AK38)=0),"⚠ FRET: set R","✔ OK")))))))</f>
        <v/>
      </c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7" t="str">
        <f aca="false">IF(OR($AZ38="",$AZ38="No FRET",N($BA38)&lt;=0,N($V38)&lt;=0),"",1/(1+($BA38/$V38)^6))</f>
        <v/>
      </c>
      <c r="BE38" s="27" t="str">
        <f aca="false">IF(OR($AZ38="",$AZ38="No FRET",N($BB38)&lt;=0,N($W38)&lt;=0),"",1/(1+($BB38/$W38)^6))</f>
        <v/>
      </c>
      <c r="BF38" s="27" t="str">
        <f aca="false">IF(OR($AZ38="",$AZ38="No FRET",N($BC38)&lt;=0,N($X38)&lt;=0),"",1/(1+($BC38/$X38)^6))</f>
        <v/>
      </c>
      <c r="BG38" s="28" t="str">
        <f aca="false">IF(OR($A38="",N($AS38)&lt;=0),"",IF($I38&gt;0,$AS38/($G38*$H38*$I38)/1E-024/6.022E+023/0.000000001,""))</f>
        <v/>
      </c>
      <c r="BH38" s="29" t="str">
        <f aca="false">IF(Calc!M38=0,"",IF(Calc!K38&gt;=1,"✖ saturated (B ≥ freq.)",IF(Calc!K38&gt;0.1,"⚠ B &gt; 10% of freq.",IF(Calc!K38=0,"⚠ no brightness",IF(Calc!L38&gt;0.1,"⚠ step &gt; 10% of wr",IF(AND($AZ38&lt;&gt;"",$AZ38&lt;&gt;"No FRET",N($O38)&lt;2),"⚠ FRET needs ≥ 2 colours",IF(AND($AZ38&lt;&gt;"",$AZ38&lt;&gt;"No FRET",N($BA38)+N($BB38)+N($BC38)=0),"⚠ FRET: set R","✔ OK")))))))</f>
        <v/>
      </c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7" t="str">
        <f aca="false">IF(OR($BR38="",$BR38="No FRET",N($BS38)&lt;=0,N($V38)&lt;=0),"",1/(1+($BS38/$V38)^6))</f>
        <v/>
      </c>
      <c r="BW38" s="27" t="str">
        <f aca="false">IF(OR($BR38="",$BR38="No FRET",N($BT38)&lt;=0,N($W38)&lt;=0),"",1/(1+($BT38/$W38)^6))</f>
        <v/>
      </c>
      <c r="BX38" s="27" t="str">
        <f aca="false">IF(OR($BR38="",$BR38="No FRET",N($BU38)&lt;=0,N($X38)&lt;=0),"",1/(1+($BU38/$X38)^6))</f>
        <v/>
      </c>
      <c r="BY38" s="28" t="str">
        <f aca="false">IF(OR($A38="",N($BK38)&lt;=0),"",IF($I38&gt;0,$BK38/($G38*$H38*$I38)/1E-024/6.022E+023/0.000000001,""))</f>
        <v/>
      </c>
      <c r="BZ38" s="29" t="str">
        <f aca="false">IF(Calc!S38=0,"",IF(Calc!Q38&gt;=1,"✖ saturated (B ≥ freq.)",IF(Calc!Q38&gt;0.1,"⚠ B &gt; 10% of freq.",IF(Calc!Q38=0,"⚠ no brightness",IF(Calc!R38&gt;0.1,"⚠ step &gt; 10% of wr",IF(AND($BR38&lt;&gt;"",$BR38&lt;&gt;"No FRET",N($O38)&lt;2),"⚠ FRET needs ≥ 2 colours",IF(AND($BR38&lt;&gt;"",$BR38&lt;&gt;"No FRET",N($BS38)+N($BT38)+N($BU38)=0),"⚠ FRET: set R","✔ OK")))))))</f>
        <v/>
      </c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7" t="str">
        <f aca="false">IF(OR($CJ38="",$CJ38="No FRET",N($CK38)&lt;=0,N($V38)&lt;=0),"",1/(1+($CK38/$V38)^6))</f>
        <v/>
      </c>
      <c r="CO38" s="27" t="str">
        <f aca="false">IF(OR($CJ38="",$CJ38="No FRET",N($CL38)&lt;=0,N($W38)&lt;=0),"",1/(1+($CL38/$W38)^6))</f>
        <v/>
      </c>
      <c r="CP38" s="27" t="str">
        <f aca="false">IF(OR($CJ38="",$CJ38="No FRET",N($CM38)&lt;=0,N($X38)&lt;=0),"",1/(1+($CM38/$X38)^6))</f>
        <v/>
      </c>
      <c r="CQ38" s="28" t="str">
        <f aca="false">IF(OR($A38="",N($CC38)&lt;=0),"",IF($I38&gt;0,$CC38/($G38*$H38*$I38)/1E-024/6.022E+023/0.000000001,""))</f>
        <v/>
      </c>
      <c r="CR38" s="29" t="str">
        <f aca="false">IF(Calc!Y38=0,"",IF(Calc!W38&gt;=1,"✖ saturated (B ≥ freq.)",IF(Calc!W38&gt;0.1,"⚠ B &gt; 10% of freq.",IF(Calc!W38=0,"⚠ no brightness",IF(Calc!X38&gt;0.1,"⚠ step &gt; 10% of wr",IF(AND($CJ38&lt;&gt;"",$CJ38&lt;&gt;"No FRET",N($O38)&lt;2),"⚠ FRET needs ≥ 2 colours",IF(AND($CJ38&lt;&gt;"",$CJ38&lt;&gt;"No FRET",N($CK38)+N($CL38)+N($CM38)=0),"⚠ FRET: set R","✔ OK")))))))</f>
        <v/>
      </c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7" t="str">
        <f aca="false">IF(OR($DB38="",$DB38="No FRET",N($DC38)&lt;=0,N($V38)&lt;=0),"",1/(1+($DC38/$V38)^6))</f>
        <v/>
      </c>
      <c r="DG38" s="27" t="str">
        <f aca="false">IF(OR($DB38="",$DB38="No FRET",N($DD38)&lt;=0,N($W38)&lt;=0),"",1/(1+($DD38/$W38)^6))</f>
        <v/>
      </c>
      <c r="DH38" s="27" t="str">
        <f aca="false">IF(OR($DB38="",$DB38="No FRET",N($DE38)&lt;=0,N($X38)&lt;=0),"",1/(1+($DE38/$X38)^6))</f>
        <v/>
      </c>
      <c r="DI38" s="28" t="str">
        <f aca="false">IF(OR($A38="",N($CU38)&lt;=0),"",IF($I38&gt;0,$CU38/($G38*$H38*$I38)/1E-024/6.022E+023/0.000000001,""))</f>
        <v/>
      </c>
      <c r="DJ38" s="29" t="str">
        <f aca="false">IF(Calc!AE38=0,"",IF(Calc!AC38&gt;=1,"✖ saturated (B ≥ freq.)",IF(Calc!AC38&gt;0.1,"⚠ B &gt; 10% of freq.",IF(Calc!AC38=0,"⚠ no brightness",IF(Calc!AD38&gt;0.1,"⚠ step &gt; 10% of wr",IF(AND($DB38&lt;&gt;"",$DB38&lt;&gt;"No FRET",N($O38)&lt;2),"⚠ FRET needs ≥ 2 colours",IF(AND($DB38&lt;&gt;"",$DB38&lt;&gt;"No FRET",N($DC38)+N($DD38)+N($DE38)=0),"⚠ FRET: set R","✔ OK")))))))</f>
        <v/>
      </c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7" t="str">
        <f aca="false">IF(OR($DT38="",$DT38="No FRET",N($DU38)&lt;=0,N($V38)&lt;=0),"",1/(1+($DU38/$V38)^6))</f>
        <v/>
      </c>
      <c r="DY38" s="27" t="str">
        <f aca="false">IF(OR($DT38="",$DT38="No FRET",N($DV38)&lt;=0,N($W38)&lt;=0),"",1/(1+($DV38/$W38)^6))</f>
        <v/>
      </c>
      <c r="DZ38" s="27" t="str">
        <f aca="false">IF(OR($DT38="",$DT38="No FRET",N($DW38)&lt;=0,N($X38)&lt;=0),"",1/(1+($DW38/$X38)^6))</f>
        <v/>
      </c>
      <c r="EA38" s="28" t="str">
        <f aca="false">IF(OR($A38="",N($DM38)&lt;=0),"",IF($I38&gt;0,$DM38/($G38*$H38*$I38)/1E-024/6.022E+023/0.000000001,""))</f>
        <v/>
      </c>
      <c r="EB38" s="29" t="str">
        <f aca="false">IF(Calc!AK38=0,"",IF(Calc!AI38&gt;=1,"✖ saturated (B ≥ freq.)",IF(Calc!AI38&gt;0.1,"⚠ B &gt; 10% of freq.",IF(Calc!AI38=0,"⚠ no brightness",IF(Calc!AJ38&gt;0.1,"⚠ step &gt; 10% of wr",IF(AND($DT38&lt;&gt;"",$DT38&lt;&gt;"No FRET",N($O38)&lt;2),"⚠ FRET needs ≥ 2 colours",IF(AND($DT38&lt;&gt;"",$DT38&lt;&gt;"No FRET",N($DU38)+N($DV38)+N($DW38)=0),"⚠ FRET: set R","✔ OK")))))))</f>
        <v/>
      </c>
      <c r="EC38" s="30" t="str">
        <f aca="false">IF($A38="","",SUM(Calc!G38,Calc!M38,Calc!S38,Calc!Y38,Calc!AE38,Calc!AK38))</f>
        <v/>
      </c>
      <c r="ED38" s="30" t="str">
        <f aca="false">IF($A38="","",N($AA38)+N($AS38)+N($BK38)+N($CC38)+N($CU38)+N($DM38))</f>
        <v/>
      </c>
      <c r="EE38" s="31" t="str">
        <f aca="false">IF($A38="","",SUM(Calc!B38,Calc!H38,Calc!N38,Calc!T38,Calc!Z38,Calc!AF38))</f>
        <v/>
      </c>
      <c r="EF38" s="31" t="str">
        <f aca="false">IF($A38="","",SUM(Calc!C38,Calc!I38,Calc!O38,Calc!U38,Calc!AA38,Calc!AG38))</f>
        <v/>
      </c>
      <c r="EG38" s="31" t="str">
        <f aca="false">IF($A38="","",SUM(Calc!D38,Calc!J38,Calc!P38,Calc!V38,Calc!AB38,Calc!AH38))</f>
        <v/>
      </c>
      <c r="EH38" s="27" t="str">
        <f aca="false">IF($A38="","",($EE38+$EF38+$EG38+IF($P38="Yes",N($Q38)*N($O38),0))*1000*$K38/1000000)</f>
        <v/>
      </c>
      <c r="EI38" s="28" t="str">
        <f aca="false">IF($A38="","",$EH38*1000000*12/1000000000)</f>
        <v/>
      </c>
      <c r="EJ38" s="32" t="str">
        <f aca="false">IF($A38="","",IF($EC38=0,"⚠ no species entered",IF(((LEFT($AP38,1)="✖")+(LEFT($BH38,1)="✖")+(LEFT($BZ38,1)="✖")+(LEFT($CR38,1)="✖")+(LEFT($DJ38,1)="✖")+(LEFT($EB38,1)="✖"))&gt;0,"✖ "&amp;((LEFT($AP38,1)="✖")+(LEFT($BH38,1)="✖")+(LEFT($BZ38,1)="✖")+(LEFT($CR38,1)="✖")+(LEFT($DJ38,1)="✖")+(LEFT($EB38,1)="✖"))&amp;" species saturated - see the species checks",IF(MIN($G38,$H38)&lt;8*$T38,"⚠ box too small laterally (&lt; 8·wr)",IF(AND($I38&gt;0,$I38&lt;3*$U38),"⚠ box too small axially (&lt; 3·wz)",IF($EI38&gt;8,"⚠ &gt; 8 GB per file: shorten the duration and use several files",IF(((LEFT($AP38,1)="⚠")+(LEFT($BH38,1)="⚠")+(LEFT($BZ38,1)="⚠")+(LEFT($CR38,1)="⚠")+(LEFT($DJ38,1)="⚠")+(LEFT($EB38,1)="⚠"))&gt;0,"⚠ "&amp;((LEFT($AP38,1)="⚠")+(LEFT($BH38,1)="⚠")+(LEFT($BZ38,1)="⚠")+(LEFT($CR38,1)="⚠")+(LEFT($DJ38,1)="⚠")+(LEFT($EB38,1)="⚠"))&amp;" species with a warning","✔ OK")))))))</f>
        <v/>
      </c>
      <c r="EK38" s="25"/>
      <c r="EL38" s="25"/>
      <c r="EM38" s="25"/>
      <c r="EN38" s="25"/>
      <c r="EO38" s="25"/>
      <c r="EP38" s="25"/>
      <c r="EQ38" s="25"/>
      <c r="ER38" s="26"/>
    </row>
    <row r="39" customFormat="false" ht="15" hidden="false" customHeight="false" outlineLevel="0" collapsed="false">
      <c r="A39" s="25"/>
      <c r="B39" s="25"/>
      <c r="C39" s="26"/>
      <c r="D39" s="26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7" t="str">
        <f aca="false">IF(OR($AH39="",$AH39="No FRET",N($AI39)&lt;=0,N($V39)&lt;=0),"",1/(1+($AI39/$V39)^6))</f>
        <v/>
      </c>
      <c r="AM39" s="27" t="str">
        <f aca="false">IF(OR($AH39="",$AH39="No FRET",N($AJ39)&lt;=0,N($W39)&lt;=0),"",1/(1+($AJ39/$W39)^6))</f>
        <v/>
      </c>
      <c r="AN39" s="27" t="str">
        <f aca="false">IF(OR($AH39="",$AH39="No FRET",N($AK39)&lt;=0,N($X39)&lt;=0),"",1/(1+($AK39/$X39)^6))</f>
        <v/>
      </c>
      <c r="AO39" s="28" t="str">
        <f aca="false">IF(OR($A39="",N($AA39)&lt;=0),"",IF($I39&gt;0,$AA39/($G39*$H39*$I39)/1E-024/6.022E+023/0.000000001,""))</f>
        <v/>
      </c>
      <c r="AP39" s="29" t="str">
        <f aca="false">IF(Calc!G39=0,"",IF(Calc!E39&gt;=1,"✖ saturated (B ≥ freq.)",IF(Calc!E39&gt;0.1,"⚠ B &gt; 10% of freq.",IF(Calc!E39=0,"⚠ no brightness",IF(Calc!F39&gt;0.1,"⚠ step &gt; 10% of wr",IF(AND($AH39&lt;&gt;"",$AH39&lt;&gt;"No FRET",N($O39)&lt;2),"⚠ FRET needs ≥ 2 colours",IF(AND($AH39&lt;&gt;"",$AH39&lt;&gt;"No FRET",N($AI39)+N($AJ39)+N($AK39)=0),"⚠ FRET: set R","✔ OK")))))))</f>
        <v/>
      </c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7" t="str">
        <f aca="false">IF(OR($AZ39="",$AZ39="No FRET",N($BA39)&lt;=0,N($V39)&lt;=0),"",1/(1+($BA39/$V39)^6))</f>
        <v/>
      </c>
      <c r="BE39" s="27" t="str">
        <f aca="false">IF(OR($AZ39="",$AZ39="No FRET",N($BB39)&lt;=0,N($W39)&lt;=0),"",1/(1+($BB39/$W39)^6))</f>
        <v/>
      </c>
      <c r="BF39" s="27" t="str">
        <f aca="false">IF(OR($AZ39="",$AZ39="No FRET",N($BC39)&lt;=0,N($X39)&lt;=0),"",1/(1+($BC39/$X39)^6))</f>
        <v/>
      </c>
      <c r="BG39" s="28" t="str">
        <f aca="false">IF(OR($A39="",N($AS39)&lt;=0),"",IF($I39&gt;0,$AS39/($G39*$H39*$I39)/1E-024/6.022E+023/0.000000001,""))</f>
        <v/>
      </c>
      <c r="BH39" s="29" t="str">
        <f aca="false">IF(Calc!M39=0,"",IF(Calc!K39&gt;=1,"✖ saturated (B ≥ freq.)",IF(Calc!K39&gt;0.1,"⚠ B &gt; 10% of freq.",IF(Calc!K39=0,"⚠ no brightness",IF(Calc!L39&gt;0.1,"⚠ step &gt; 10% of wr",IF(AND($AZ39&lt;&gt;"",$AZ39&lt;&gt;"No FRET",N($O39)&lt;2),"⚠ FRET needs ≥ 2 colours",IF(AND($AZ39&lt;&gt;"",$AZ39&lt;&gt;"No FRET",N($BA39)+N($BB39)+N($BC39)=0),"⚠ FRET: set R","✔ OK")))))))</f>
        <v/>
      </c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7" t="str">
        <f aca="false">IF(OR($BR39="",$BR39="No FRET",N($BS39)&lt;=0,N($V39)&lt;=0),"",1/(1+($BS39/$V39)^6))</f>
        <v/>
      </c>
      <c r="BW39" s="27" t="str">
        <f aca="false">IF(OR($BR39="",$BR39="No FRET",N($BT39)&lt;=0,N($W39)&lt;=0),"",1/(1+($BT39/$W39)^6))</f>
        <v/>
      </c>
      <c r="BX39" s="27" t="str">
        <f aca="false">IF(OR($BR39="",$BR39="No FRET",N($BU39)&lt;=0,N($X39)&lt;=0),"",1/(1+($BU39/$X39)^6))</f>
        <v/>
      </c>
      <c r="BY39" s="28" t="str">
        <f aca="false">IF(OR($A39="",N($BK39)&lt;=0),"",IF($I39&gt;0,$BK39/($G39*$H39*$I39)/1E-024/6.022E+023/0.000000001,""))</f>
        <v/>
      </c>
      <c r="BZ39" s="29" t="str">
        <f aca="false">IF(Calc!S39=0,"",IF(Calc!Q39&gt;=1,"✖ saturated (B ≥ freq.)",IF(Calc!Q39&gt;0.1,"⚠ B &gt; 10% of freq.",IF(Calc!Q39=0,"⚠ no brightness",IF(Calc!R39&gt;0.1,"⚠ step &gt; 10% of wr",IF(AND($BR39&lt;&gt;"",$BR39&lt;&gt;"No FRET",N($O39)&lt;2),"⚠ FRET needs ≥ 2 colours",IF(AND($BR39&lt;&gt;"",$BR39&lt;&gt;"No FRET",N($BS39)+N($BT39)+N($BU39)=0),"⚠ FRET: set R","✔ OK")))))))</f>
        <v/>
      </c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7" t="str">
        <f aca="false">IF(OR($CJ39="",$CJ39="No FRET",N($CK39)&lt;=0,N($V39)&lt;=0),"",1/(1+($CK39/$V39)^6))</f>
        <v/>
      </c>
      <c r="CO39" s="27" t="str">
        <f aca="false">IF(OR($CJ39="",$CJ39="No FRET",N($CL39)&lt;=0,N($W39)&lt;=0),"",1/(1+($CL39/$W39)^6))</f>
        <v/>
      </c>
      <c r="CP39" s="27" t="str">
        <f aca="false">IF(OR($CJ39="",$CJ39="No FRET",N($CM39)&lt;=0,N($X39)&lt;=0),"",1/(1+($CM39/$X39)^6))</f>
        <v/>
      </c>
      <c r="CQ39" s="28" t="str">
        <f aca="false">IF(OR($A39="",N($CC39)&lt;=0),"",IF($I39&gt;0,$CC39/($G39*$H39*$I39)/1E-024/6.022E+023/0.000000001,""))</f>
        <v/>
      </c>
      <c r="CR39" s="29" t="str">
        <f aca="false">IF(Calc!Y39=0,"",IF(Calc!W39&gt;=1,"✖ saturated (B ≥ freq.)",IF(Calc!W39&gt;0.1,"⚠ B &gt; 10% of freq.",IF(Calc!W39=0,"⚠ no brightness",IF(Calc!X39&gt;0.1,"⚠ step &gt; 10% of wr",IF(AND($CJ39&lt;&gt;"",$CJ39&lt;&gt;"No FRET",N($O39)&lt;2),"⚠ FRET needs ≥ 2 colours",IF(AND($CJ39&lt;&gt;"",$CJ39&lt;&gt;"No FRET",N($CK39)+N($CL39)+N($CM39)=0),"⚠ FRET: set R","✔ OK")))))))</f>
        <v/>
      </c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7" t="str">
        <f aca="false">IF(OR($DB39="",$DB39="No FRET",N($DC39)&lt;=0,N($V39)&lt;=0),"",1/(1+($DC39/$V39)^6))</f>
        <v/>
      </c>
      <c r="DG39" s="27" t="str">
        <f aca="false">IF(OR($DB39="",$DB39="No FRET",N($DD39)&lt;=0,N($W39)&lt;=0),"",1/(1+($DD39/$W39)^6))</f>
        <v/>
      </c>
      <c r="DH39" s="27" t="str">
        <f aca="false">IF(OR($DB39="",$DB39="No FRET",N($DE39)&lt;=0,N($X39)&lt;=0),"",1/(1+($DE39/$X39)^6))</f>
        <v/>
      </c>
      <c r="DI39" s="28" t="str">
        <f aca="false">IF(OR($A39="",N($CU39)&lt;=0),"",IF($I39&gt;0,$CU39/($G39*$H39*$I39)/1E-024/6.022E+023/0.000000001,""))</f>
        <v/>
      </c>
      <c r="DJ39" s="29" t="str">
        <f aca="false">IF(Calc!AE39=0,"",IF(Calc!AC39&gt;=1,"✖ saturated (B ≥ freq.)",IF(Calc!AC39&gt;0.1,"⚠ B &gt; 10% of freq.",IF(Calc!AC39=0,"⚠ no brightness",IF(Calc!AD39&gt;0.1,"⚠ step &gt; 10% of wr",IF(AND($DB39&lt;&gt;"",$DB39&lt;&gt;"No FRET",N($O39)&lt;2),"⚠ FRET needs ≥ 2 colours",IF(AND($DB39&lt;&gt;"",$DB39&lt;&gt;"No FRET",N($DC39)+N($DD39)+N($DE39)=0),"⚠ FRET: set R","✔ OK")))))))</f>
        <v/>
      </c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7" t="str">
        <f aca="false">IF(OR($DT39="",$DT39="No FRET",N($DU39)&lt;=0,N($V39)&lt;=0),"",1/(1+($DU39/$V39)^6))</f>
        <v/>
      </c>
      <c r="DY39" s="27" t="str">
        <f aca="false">IF(OR($DT39="",$DT39="No FRET",N($DV39)&lt;=0,N($W39)&lt;=0),"",1/(1+($DV39/$W39)^6))</f>
        <v/>
      </c>
      <c r="DZ39" s="27" t="str">
        <f aca="false">IF(OR($DT39="",$DT39="No FRET",N($DW39)&lt;=0,N($X39)&lt;=0),"",1/(1+($DW39/$X39)^6))</f>
        <v/>
      </c>
      <c r="EA39" s="28" t="str">
        <f aca="false">IF(OR($A39="",N($DM39)&lt;=0),"",IF($I39&gt;0,$DM39/($G39*$H39*$I39)/1E-024/6.022E+023/0.000000001,""))</f>
        <v/>
      </c>
      <c r="EB39" s="29" t="str">
        <f aca="false">IF(Calc!AK39=0,"",IF(Calc!AI39&gt;=1,"✖ saturated (B ≥ freq.)",IF(Calc!AI39&gt;0.1,"⚠ B &gt; 10% of freq.",IF(Calc!AI39=0,"⚠ no brightness",IF(Calc!AJ39&gt;0.1,"⚠ step &gt; 10% of wr",IF(AND($DT39&lt;&gt;"",$DT39&lt;&gt;"No FRET",N($O39)&lt;2),"⚠ FRET needs ≥ 2 colours",IF(AND($DT39&lt;&gt;"",$DT39&lt;&gt;"No FRET",N($DU39)+N($DV39)+N($DW39)=0),"⚠ FRET: set R","✔ OK")))))))</f>
        <v/>
      </c>
      <c r="EC39" s="30" t="str">
        <f aca="false">IF($A39="","",SUM(Calc!G39,Calc!M39,Calc!S39,Calc!Y39,Calc!AE39,Calc!AK39))</f>
        <v/>
      </c>
      <c r="ED39" s="30" t="str">
        <f aca="false">IF($A39="","",N($AA39)+N($AS39)+N($BK39)+N($CC39)+N($CU39)+N($DM39))</f>
        <v/>
      </c>
      <c r="EE39" s="31" t="str">
        <f aca="false">IF($A39="","",SUM(Calc!B39,Calc!H39,Calc!N39,Calc!T39,Calc!Z39,Calc!AF39))</f>
        <v/>
      </c>
      <c r="EF39" s="31" t="str">
        <f aca="false">IF($A39="","",SUM(Calc!C39,Calc!I39,Calc!O39,Calc!U39,Calc!AA39,Calc!AG39))</f>
        <v/>
      </c>
      <c r="EG39" s="31" t="str">
        <f aca="false">IF($A39="","",SUM(Calc!D39,Calc!J39,Calc!P39,Calc!V39,Calc!AB39,Calc!AH39))</f>
        <v/>
      </c>
      <c r="EH39" s="27" t="str">
        <f aca="false">IF($A39="","",($EE39+$EF39+$EG39+IF($P39="Yes",N($Q39)*N($O39),0))*1000*$K39/1000000)</f>
        <v/>
      </c>
      <c r="EI39" s="28" t="str">
        <f aca="false">IF($A39="","",$EH39*1000000*12/1000000000)</f>
        <v/>
      </c>
      <c r="EJ39" s="32" t="str">
        <f aca="false">IF($A39="","",IF($EC39=0,"⚠ no species entered",IF(((LEFT($AP39,1)="✖")+(LEFT($BH39,1)="✖")+(LEFT($BZ39,1)="✖")+(LEFT($CR39,1)="✖")+(LEFT($DJ39,1)="✖")+(LEFT($EB39,1)="✖"))&gt;0,"✖ "&amp;((LEFT($AP39,1)="✖")+(LEFT($BH39,1)="✖")+(LEFT($BZ39,1)="✖")+(LEFT($CR39,1)="✖")+(LEFT($DJ39,1)="✖")+(LEFT($EB39,1)="✖"))&amp;" species saturated - see the species checks",IF(MIN($G39,$H39)&lt;8*$T39,"⚠ box too small laterally (&lt; 8·wr)",IF(AND($I39&gt;0,$I39&lt;3*$U39),"⚠ box too small axially (&lt; 3·wz)",IF($EI39&gt;8,"⚠ &gt; 8 GB per file: shorten the duration and use several files",IF(((LEFT($AP39,1)="⚠")+(LEFT($BH39,1)="⚠")+(LEFT($BZ39,1)="⚠")+(LEFT($CR39,1)="⚠")+(LEFT($DJ39,1)="⚠")+(LEFT($EB39,1)="⚠"))&gt;0,"⚠ "&amp;((LEFT($AP39,1)="⚠")+(LEFT($BH39,1)="⚠")+(LEFT($BZ39,1)="⚠")+(LEFT($CR39,1)="⚠")+(LEFT($DJ39,1)="⚠")+(LEFT($EB39,1)="⚠"))&amp;" species with a warning","✔ OK")))))))</f>
        <v/>
      </c>
      <c r="EK39" s="25"/>
      <c r="EL39" s="25"/>
      <c r="EM39" s="25"/>
      <c r="EN39" s="25"/>
      <c r="EO39" s="25"/>
      <c r="EP39" s="25"/>
      <c r="EQ39" s="25"/>
      <c r="ER39" s="26"/>
    </row>
    <row r="40" customFormat="false" ht="15" hidden="false" customHeight="false" outlineLevel="0" collapsed="false">
      <c r="A40" s="25"/>
      <c r="B40" s="25"/>
      <c r="C40" s="26"/>
      <c r="D40" s="26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7" t="str">
        <f aca="false">IF(OR($AH40="",$AH40="No FRET",N($AI40)&lt;=0,N($V40)&lt;=0),"",1/(1+($AI40/$V40)^6))</f>
        <v/>
      </c>
      <c r="AM40" s="27" t="str">
        <f aca="false">IF(OR($AH40="",$AH40="No FRET",N($AJ40)&lt;=0,N($W40)&lt;=0),"",1/(1+($AJ40/$W40)^6))</f>
        <v/>
      </c>
      <c r="AN40" s="27" t="str">
        <f aca="false">IF(OR($AH40="",$AH40="No FRET",N($AK40)&lt;=0,N($X40)&lt;=0),"",1/(1+($AK40/$X40)^6))</f>
        <v/>
      </c>
      <c r="AO40" s="28" t="str">
        <f aca="false">IF(OR($A40="",N($AA40)&lt;=0),"",IF($I40&gt;0,$AA40/($G40*$H40*$I40)/1E-024/6.022E+023/0.000000001,""))</f>
        <v/>
      </c>
      <c r="AP40" s="29" t="str">
        <f aca="false">IF(Calc!G40=0,"",IF(Calc!E40&gt;=1,"✖ saturated (B ≥ freq.)",IF(Calc!E40&gt;0.1,"⚠ B &gt; 10% of freq.",IF(Calc!E40=0,"⚠ no brightness",IF(Calc!F40&gt;0.1,"⚠ step &gt; 10% of wr",IF(AND($AH40&lt;&gt;"",$AH40&lt;&gt;"No FRET",N($O40)&lt;2),"⚠ FRET needs ≥ 2 colours",IF(AND($AH40&lt;&gt;"",$AH40&lt;&gt;"No FRET",N($AI40)+N($AJ40)+N($AK40)=0),"⚠ FRET: set R","✔ OK")))))))</f>
        <v/>
      </c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7" t="str">
        <f aca="false">IF(OR($AZ40="",$AZ40="No FRET",N($BA40)&lt;=0,N($V40)&lt;=0),"",1/(1+($BA40/$V40)^6))</f>
        <v/>
      </c>
      <c r="BE40" s="27" t="str">
        <f aca="false">IF(OR($AZ40="",$AZ40="No FRET",N($BB40)&lt;=0,N($W40)&lt;=0),"",1/(1+($BB40/$W40)^6))</f>
        <v/>
      </c>
      <c r="BF40" s="27" t="str">
        <f aca="false">IF(OR($AZ40="",$AZ40="No FRET",N($BC40)&lt;=0,N($X40)&lt;=0),"",1/(1+($BC40/$X40)^6))</f>
        <v/>
      </c>
      <c r="BG40" s="28" t="str">
        <f aca="false">IF(OR($A40="",N($AS40)&lt;=0),"",IF($I40&gt;0,$AS40/($G40*$H40*$I40)/1E-024/6.022E+023/0.000000001,""))</f>
        <v/>
      </c>
      <c r="BH40" s="29" t="str">
        <f aca="false">IF(Calc!M40=0,"",IF(Calc!K40&gt;=1,"✖ saturated (B ≥ freq.)",IF(Calc!K40&gt;0.1,"⚠ B &gt; 10% of freq.",IF(Calc!K40=0,"⚠ no brightness",IF(Calc!L40&gt;0.1,"⚠ step &gt; 10% of wr",IF(AND($AZ40&lt;&gt;"",$AZ40&lt;&gt;"No FRET",N($O40)&lt;2),"⚠ FRET needs ≥ 2 colours",IF(AND($AZ40&lt;&gt;"",$AZ40&lt;&gt;"No FRET",N($BA40)+N($BB40)+N($BC40)=0),"⚠ FRET: set R","✔ OK")))))))</f>
        <v/>
      </c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7" t="str">
        <f aca="false">IF(OR($BR40="",$BR40="No FRET",N($BS40)&lt;=0,N($V40)&lt;=0),"",1/(1+($BS40/$V40)^6))</f>
        <v/>
      </c>
      <c r="BW40" s="27" t="str">
        <f aca="false">IF(OR($BR40="",$BR40="No FRET",N($BT40)&lt;=0,N($W40)&lt;=0),"",1/(1+($BT40/$W40)^6))</f>
        <v/>
      </c>
      <c r="BX40" s="27" t="str">
        <f aca="false">IF(OR($BR40="",$BR40="No FRET",N($BU40)&lt;=0,N($X40)&lt;=0),"",1/(1+($BU40/$X40)^6))</f>
        <v/>
      </c>
      <c r="BY40" s="28" t="str">
        <f aca="false">IF(OR($A40="",N($BK40)&lt;=0),"",IF($I40&gt;0,$BK40/($G40*$H40*$I40)/1E-024/6.022E+023/0.000000001,""))</f>
        <v/>
      </c>
      <c r="BZ40" s="29" t="str">
        <f aca="false">IF(Calc!S40=0,"",IF(Calc!Q40&gt;=1,"✖ saturated (B ≥ freq.)",IF(Calc!Q40&gt;0.1,"⚠ B &gt; 10% of freq.",IF(Calc!Q40=0,"⚠ no brightness",IF(Calc!R40&gt;0.1,"⚠ step &gt; 10% of wr",IF(AND($BR40&lt;&gt;"",$BR40&lt;&gt;"No FRET",N($O40)&lt;2),"⚠ FRET needs ≥ 2 colours",IF(AND($BR40&lt;&gt;"",$BR40&lt;&gt;"No FRET",N($BS40)+N($BT40)+N($BU40)=0),"⚠ FRET: set R","✔ OK")))))))</f>
        <v/>
      </c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7" t="str">
        <f aca="false">IF(OR($CJ40="",$CJ40="No FRET",N($CK40)&lt;=0,N($V40)&lt;=0),"",1/(1+($CK40/$V40)^6))</f>
        <v/>
      </c>
      <c r="CO40" s="27" t="str">
        <f aca="false">IF(OR($CJ40="",$CJ40="No FRET",N($CL40)&lt;=0,N($W40)&lt;=0),"",1/(1+($CL40/$W40)^6))</f>
        <v/>
      </c>
      <c r="CP40" s="27" t="str">
        <f aca="false">IF(OR($CJ40="",$CJ40="No FRET",N($CM40)&lt;=0,N($X40)&lt;=0),"",1/(1+($CM40/$X40)^6))</f>
        <v/>
      </c>
      <c r="CQ40" s="28" t="str">
        <f aca="false">IF(OR($A40="",N($CC40)&lt;=0),"",IF($I40&gt;0,$CC40/($G40*$H40*$I40)/1E-024/6.022E+023/0.000000001,""))</f>
        <v/>
      </c>
      <c r="CR40" s="29" t="str">
        <f aca="false">IF(Calc!Y40=0,"",IF(Calc!W40&gt;=1,"✖ saturated (B ≥ freq.)",IF(Calc!W40&gt;0.1,"⚠ B &gt; 10% of freq.",IF(Calc!W40=0,"⚠ no brightness",IF(Calc!X40&gt;0.1,"⚠ step &gt; 10% of wr",IF(AND($CJ40&lt;&gt;"",$CJ40&lt;&gt;"No FRET",N($O40)&lt;2),"⚠ FRET needs ≥ 2 colours",IF(AND($CJ40&lt;&gt;"",$CJ40&lt;&gt;"No FRET",N($CK40)+N($CL40)+N($CM40)=0),"⚠ FRET: set R","✔ OK")))))))</f>
        <v/>
      </c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7" t="str">
        <f aca="false">IF(OR($DB40="",$DB40="No FRET",N($DC40)&lt;=0,N($V40)&lt;=0),"",1/(1+($DC40/$V40)^6))</f>
        <v/>
      </c>
      <c r="DG40" s="27" t="str">
        <f aca="false">IF(OR($DB40="",$DB40="No FRET",N($DD40)&lt;=0,N($W40)&lt;=0),"",1/(1+($DD40/$W40)^6))</f>
        <v/>
      </c>
      <c r="DH40" s="27" t="str">
        <f aca="false">IF(OR($DB40="",$DB40="No FRET",N($DE40)&lt;=0,N($X40)&lt;=0),"",1/(1+($DE40/$X40)^6))</f>
        <v/>
      </c>
      <c r="DI40" s="28" t="str">
        <f aca="false">IF(OR($A40="",N($CU40)&lt;=0),"",IF($I40&gt;0,$CU40/($G40*$H40*$I40)/1E-024/6.022E+023/0.000000001,""))</f>
        <v/>
      </c>
      <c r="DJ40" s="29" t="str">
        <f aca="false">IF(Calc!AE40=0,"",IF(Calc!AC40&gt;=1,"✖ saturated (B ≥ freq.)",IF(Calc!AC40&gt;0.1,"⚠ B &gt; 10% of freq.",IF(Calc!AC40=0,"⚠ no brightness",IF(Calc!AD40&gt;0.1,"⚠ step &gt; 10% of wr",IF(AND($DB40&lt;&gt;"",$DB40&lt;&gt;"No FRET",N($O40)&lt;2),"⚠ FRET needs ≥ 2 colours",IF(AND($DB40&lt;&gt;"",$DB40&lt;&gt;"No FRET",N($DC40)+N($DD40)+N($DE40)=0),"⚠ FRET: set R","✔ OK")))))))</f>
        <v/>
      </c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7" t="str">
        <f aca="false">IF(OR($DT40="",$DT40="No FRET",N($DU40)&lt;=0,N($V40)&lt;=0),"",1/(1+($DU40/$V40)^6))</f>
        <v/>
      </c>
      <c r="DY40" s="27" t="str">
        <f aca="false">IF(OR($DT40="",$DT40="No FRET",N($DV40)&lt;=0,N($W40)&lt;=0),"",1/(1+($DV40/$W40)^6))</f>
        <v/>
      </c>
      <c r="DZ40" s="27" t="str">
        <f aca="false">IF(OR($DT40="",$DT40="No FRET",N($DW40)&lt;=0,N($X40)&lt;=0),"",1/(1+($DW40/$X40)^6))</f>
        <v/>
      </c>
      <c r="EA40" s="28" t="str">
        <f aca="false">IF(OR($A40="",N($DM40)&lt;=0),"",IF($I40&gt;0,$DM40/($G40*$H40*$I40)/1E-024/6.022E+023/0.000000001,""))</f>
        <v/>
      </c>
      <c r="EB40" s="29" t="str">
        <f aca="false">IF(Calc!AK40=0,"",IF(Calc!AI40&gt;=1,"✖ saturated (B ≥ freq.)",IF(Calc!AI40&gt;0.1,"⚠ B &gt; 10% of freq.",IF(Calc!AI40=0,"⚠ no brightness",IF(Calc!AJ40&gt;0.1,"⚠ step &gt; 10% of wr",IF(AND($DT40&lt;&gt;"",$DT40&lt;&gt;"No FRET",N($O40)&lt;2),"⚠ FRET needs ≥ 2 colours",IF(AND($DT40&lt;&gt;"",$DT40&lt;&gt;"No FRET",N($DU40)+N($DV40)+N($DW40)=0),"⚠ FRET: set R","✔ OK")))))))</f>
        <v/>
      </c>
      <c r="EC40" s="30" t="str">
        <f aca="false">IF($A40="","",SUM(Calc!G40,Calc!M40,Calc!S40,Calc!Y40,Calc!AE40,Calc!AK40))</f>
        <v/>
      </c>
      <c r="ED40" s="30" t="str">
        <f aca="false">IF($A40="","",N($AA40)+N($AS40)+N($BK40)+N($CC40)+N($CU40)+N($DM40))</f>
        <v/>
      </c>
      <c r="EE40" s="31" t="str">
        <f aca="false">IF($A40="","",SUM(Calc!B40,Calc!H40,Calc!N40,Calc!T40,Calc!Z40,Calc!AF40))</f>
        <v/>
      </c>
      <c r="EF40" s="31" t="str">
        <f aca="false">IF($A40="","",SUM(Calc!C40,Calc!I40,Calc!O40,Calc!U40,Calc!AA40,Calc!AG40))</f>
        <v/>
      </c>
      <c r="EG40" s="31" t="str">
        <f aca="false">IF($A40="","",SUM(Calc!D40,Calc!J40,Calc!P40,Calc!V40,Calc!AB40,Calc!AH40))</f>
        <v/>
      </c>
      <c r="EH40" s="27" t="str">
        <f aca="false">IF($A40="","",($EE40+$EF40+$EG40+IF($P40="Yes",N($Q40)*N($O40),0))*1000*$K40/1000000)</f>
        <v/>
      </c>
      <c r="EI40" s="28" t="str">
        <f aca="false">IF($A40="","",$EH40*1000000*12/1000000000)</f>
        <v/>
      </c>
      <c r="EJ40" s="32" t="str">
        <f aca="false">IF($A40="","",IF($EC40=0,"⚠ no species entered",IF(((LEFT($AP40,1)="✖")+(LEFT($BH40,1)="✖")+(LEFT($BZ40,1)="✖")+(LEFT($CR40,1)="✖")+(LEFT($DJ40,1)="✖")+(LEFT($EB40,1)="✖"))&gt;0,"✖ "&amp;((LEFT($AP40,1)="✖")+(LEFT($BH40,1)="✖")+(LEFT($BZ40,1)="✖")+(LEFT($CR40,1)="✖")+(LEFT($DJ40,1)="✖")+(LEFT($EB40,1)="✖"))&amp;" species saturated - see the species checks",IF(MIN($G40,$H40)&lt;8*$T40,"⚠ box too small laterally (&lt; 8·wr)",IF(AND($I40&gt;0,$I40&lt;3*$U40),"⚠ box too small axially (&lt; 3·wz)",IF($EI40&gt;8,"⚠ &gt; 8 GB per file: shorten the duration and use several files",IF(((LEFT($AP40,1)="⚠")+(LEFT($BH40,1)="⚠")+(LEFT($BZ40,1)="⚠")+(LEFT($CR40,1)="⚠")+(LEFT($DJ40,1)="⚠")+(LEFT($EB40,1)="⚠"))&gt;0,"⚠ "&amp;((LEFT($AP40,1)="⚠")+(LEFT($BH40,1)="⚠")+(LEFT($BZ40,1)="⚠")+(LEFT($CR40,1)="⚠")+(LEFT($DJ40,1)="⚠")+(LEFT($EB40,1)="⚠"))&amp;" species with a warning","✔ OK")))))))</f>
        <v/>
      </c>
      <c r="EK40" s="25"/>
      <c r="EL40" s="25"/>
      <c r="EM40" s="25"/>
      <c r="EN40" s="25"/>
      <c r="EO40" s="25"/>
      <c r="EP40" s="25"/>
      <c r="EQ40" s="25"/>
      <c r="ER40" s="26"/>
    </row>
    <row r="41" customFormat="false" ht="15" hidden="false" customHeight="false" outlineLevel="0" collapsed="false">
      <c r="A41" s="25"/>
      <c r="B41" s="25"/>
      <c r="C41" s="26"/>
      <c r="D41" s="26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7" t="str">
        <f aca="false">IF(OR($AH41="",$AH41="No FRET",N($AI41)&lt;=0,N($V41)&lt;=0),"",1/(1+($AI41/$V41)^6))</f>
        <v/>
      </c>
      <c r="AM41" s="27" t="str">
        <f aca="false">IF(OR($AH41="",$AH41="No FRET",N($AJ41)&lt;=0,N($W41)&lt;=0),"",1/(1+($AJ41/$W41)^6))</f>
        <v/>
      </c>
      <c r="AN41" s="27" t="str">
        <f aca="false">IF(OR($AH41="",$AH41="No FRET",N($AK41)&lt;=0,N($X41)&lt;=0),"",1/(1+($AK41/$X41)^6))</f>
        <v/>
      </c>
      <c r="AO41" s="28" t="str">
        <f aca="false">IF(OR($A41="",N($AA41)&lt;=0),"",IF($I41&gt;0,$AA41/($G41*$H41*$I41)/1E-024/6.022E+023/0.000000001,""))</f>
        <v/>
      </c>
      <c r="AP41" s="29" t="str">
        <f aca="false">IF(Calc!G41=0,"",IF(Calc!E41&gt;=1,"✖ saturated (B ≥ freq.)",IF(Calc!E41&gt;0.1,"⚠ B &gt; 10% of freq.",IF(Calc!E41=0,"⚠ no brightness",IF(Calc!F41&gt;0.1,"⚠ step &gt; 10% of wr",IF(AND($AH41&lt;&gt;"",$AH41&lt;&gt;"No FRET",N($O41)&lt;2),"⚠ FRET needs ≥ 2 colours",IF(AND($AH41&lt;&gt;"",$AH41&lt;&gt;"No FRET",N($AI41)+N($AJ41)+N($AK41)=0),"⚠ FRET: set R","✔ OK")))))))</f>
        <v/>
      </c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7" t="str">
        <f aca="false">IF(OR($AZ41="",$AZ41="No FRET",N($BA41)&lt;=0,N($V41)&lt;=0),"",1/(1+($BA41/$V41)^6))</f>
        <v/>
      </c>
      <c r="BE41" s="27" t="str">
        <f aca="false">IF(OR($AZ41="",$AZ41="No FRET",N($BB41)&lt;=0,N($W41)&lt;=0),"",1/(1+($BB41/$W41)^6))</f>
        <v/>
      </c>
      <c r="BF41" s="27" t="str">
        <f aca="false">IF(OR($AZ41="",$AZ41="No FRET",N($BC41)&lt;=0,N($X41)&lt;=0),"",1/(1+($BC41/$X41)^6))</f>
        <v/>
      </c>
      <c r="BG41" s="28" t="str">
        <f aca="false">IF(OR($A41="",N($AS41)&lt;=0),"",IF($I41&gt;0,$AS41/($G41*$H41*$I41)/1E-024/6.022E+023/0.000000001,""))</f>
        <v/>
      </c>
      <c r="BH41" s="29" t="str">
        <f aca="false">IF(Calc!M41=0,"",IF(Calc!K41&gt;=1,"✖ saturated (B ≥ freq.)",IF(Calc!K41&gt;0.1,"⚠ B &gt; 10% of freq.",IF(Calc!K41=0,"⚠ no brightness",IF(Calc!L41&gt;0.1,"⚠ step &gt; 10% of wr",IF(AND($AZ41&lt;&gt;"",$AZ41&lt;&gt;"No FRET",N($O41)&lt;2),"⚠ FRET needs ≥ 2 colours",IF(AND($AZ41&lt;&gt;"",$AZ41&lt;&gt;"No FRET",N($BA41)+N($BB41)+N($BC41)=0),"⚠ FRET: set R","✔ OK")))))))</f>
        <v/>
      </c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7" t="str">
        <f aca="false">IF(OR($BR41="",$BR41="No FRET",N($BS41)&lt;=0,N($V41)&lt;=0),"",1/(1+($BS41/$V41)^6))</f>
        <v/>
      </c>
      <c r="BW41" s="27" t="str">
        <f aca="false">IF(OR($BR41="",$BR41="No FRET",N($BT41)&lt;=0,N($W41)&lt;=0),"",1/(1+($BT41/$W41)^6))</f>
        <v/>
      </c>
      <c r="BX41" s="27" t="str">
        <f aca="false">IF(OR($BR41="",$BR41="No FRET",N($BU41)&lt;=0,N($X41)&lt;=0),"",1/(1+($BU41/$X41)^6))</f>
        <v/>
      </c>
      <c r="BY41" s="28" t="str">
        <f aca="false">IF(OR($A41="",N($BK41)&lt;=0),"",IF($I41&gt;0,$BK41/($G41*$H41*$I41)/1E-024/6.022E+023/0.000000001,""))</f>
        <v/>
      </c>
      <c r="BZ41" s="29" t="str">
        <f aca="false">IF(Calc!S41=0,"",IF(Calc!Q41&gt;=1,"✖ saturated (B ≥ freq.)",IF(Calc!Q41&gt;0.1,"⚠ B &gt; 10% of freq.",IF(Calc!Q41=0,"⚠ no brightness",IF(Calc!R41&gt;0.1,"⚠ step &gt; 10% of wr",IF(AND($BR41&lt;&gt;"",$BR41&lt;&gt;"No FRET",N($O41)&lt;2),"⚠ FRET needs ≥ 2 colours",IF(AND($BR41&lt;&gt;"",$BR41&lt;&gt;"No FRET",N($BS41)+N($BT41)+N($BU41)=0),"⚠ FRET: set R","✔ OK")))))))</f>
        <v/>
      </c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7" t="str">
        <f aca="false">IF(OR($CJ41="",$CJ41="No FRET",N($CK41)&lt;=0,N($V41)&lt;=0),"",1/(1+($CK41/$V41)^6))</f>
        <v/>
      </c>
      <c r="CO41" s="27" t="str">
        <f aca="false">IF(OR($CJ41="",$CJ41="No FRET",N($CL41)&lt;=0,N($W41)&lt;=0),"",1/(1+($CL41/$W41)^6))</f>
        <v/>
      </c>
      <c r="CP41" s="27" t="str">
        <f aca="false">IF(OR($CJ41="",$CJ41="No FRET",N($CM41)&lt;=0,N($X41)&lt;=0),"",1/(1+($CM41/$X41)^6))</f>
        <v/>
      </c>
      <c r="CQ41" s="28" t="str">
        <f aca="false">IF(OR($A41="",N($CC41)&lt;=0),"",IF($I41&gt;0,$CC41/($G41*$H41*$I41)/1E-024/6.022E+023/0.000000001,""))</f>
        <v/>
      </c>
      <c r="CR41" s="29" t="str">
        <f aca="false">IF(Calc!Y41=0,"",IF(Calc!W41&gt;=1,"✖ saturated (B ≥ freq.)",IF(Calc!W41&gt;0.1,"⚠ B &gt; 10% of freq.",IF(Calc!W41=0,"⚠ no brightness",IF(Calc!X41&gt;0.1,"⚠ step &gt; 10% of wr",IF(AND($CJ41&lt;&gt;"",$CJ41&lt;&gt;"No FRET",N($O41)&lt;2),"⚠ FRET needs ≥ 2 colours",IF(AND($CJ41&lt;&gt;"",$CJ41&lt;&gt;"No FRET",N($CK41)+N($CL41)+N($CM41)=0),"⚠ FRET: set R","✔ OK")))))))</f>
        <v/>
      </c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7" t="str">
        <f aca="false">IF(OR($DB41="",$DB41="No FRET",N($DC41)&lt;=0,N($V41)&lt;=0),"",1/(1+($DC41/$V41)^6))</f>
        <v/>
      </c>
      <c r="DG41" s="27" t="str">
        <f aca="false">IF(OR($DB41="",$DB41="No FRET",N($DD41)&lt;=0,N($W41)&lt;=0),"",1/(1+($DD41/$W41)^6))</f>
        <v/>
      </c>
      <c r="DH41" s="27" t="str">
        <f aca="false">IF(OR($DB41="",$DB41="No FRET",N($DE41)&lt;=0,N($X41)&lt;=0),"",1/(1+($DE41/$X41)^6))</f>
        <v/>
      </c>
      <c r="DI41" s="28" t="str">
        <f aca="false">IF(OR($A41="",N($CU41)&lt;=0),"",IF($I41&gt;0,$CU41/($G41*$H41*$I41)/1E-024/6.022E+023/0.000000001,""))</f>
        <v/>
      </c>
      <c r="DJ41" s="29" t="str">
        <f aca="false">IF(Calc!AE41=0,"",IF(Calc!AC41&gt;=1,"✖ saturated (B ≥ freq.)",IF(Calc!AC41&gt;0.1,"⚠ B &gt; 10% of freq.",IF(Calc!AC41=0,"⚠ no brightness",IF(Calc!AD41&gt;0.1,"⚠ step &gt; 10% of wr",IF(AND($DB41&lt;&gt;"",$DB41&lt;&gt;"No FRET",N($O41)&lt;2),"⚠ FRET needs ≥ 2 colours",IF(AND($DB41&lt;&gt;"",$DB41&lt;&gt;"No FRET",N($DC41)+N($DD41)+N($DE41)=0),"⚠ FRET: set R","✔ OK")))))))</f>
        <v/>
      </c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7" t="str">
        <f aca="false">IF(OR($DT41="",$DT41="No FRET",N($DU41)&lt;=0,N($V41)&lt;=0),"",1/(1+($DU41/$V41)^6))</f>
        <v/>
      </c>
      <c r="DY41" s="27" t="str">
        <f aca="false">IF(OR($DT41="",$DT41="No FRET",N($DV41)&lt;=0,N($W41)&lt;=0),"",1/(1+($DV41/$W41)^6))</f>
        <v/>
      </c>
      <c r="DZ41" s="27" t="str">
        <f aca="false">IF(OR($DT41="",$DT41="No FRET",N($DW41)&lt;=0,N($X41)&lt;=0),"",1/(1+($DW41/$X41)^6))</f>
        <v/>
      </c>
      <c r="EA41" s="28" t="str">
        <f aca="false">IF(OR($A41="",N($DM41)&lt;=0),"",IF($I41&gt;0,$DM41/($G41*$H41*$I41)/1E-024/6.022E+023/0.000000001,""))</f>
        <v/>
      </c>
      <c r="EB41" s="29" t="str">
        <f aca="false">IF(Calc!AK41=0,"",IF(Calc!AI41&gt;=1,"✖ saturated (B ≥ freq.)",IF(Calc!AI41&gt;0.1,"⚠ B &gt; 10% of freq.",IF(Calc!AI41=0,"⚠ no brightness",IF(Calc!AJ41&gt;0.1,"⚠ step &gt; 10% of wr",IF(AND($DT41&lt;&gt;"",$DT41&lt;&gt;"No FRET",N($O41)&lt;2),"⚠ FRET needs ≥ 2 colours",IF(AND($DT41&lt;&gt;"",$DT41&lt;&gt;"No FRET",N($DU41)+N($DV41)+N($DW41)=0),"⚠ FRET: set R","✔ OK")))))))</f>
        <v/>
      </c>
      <c r="EC41" s="30" t="str">
        <f aca="false">IF($A41="","",SUM(Calc!G41,Calc!M41,Calc!S41,Calc!Y41,Calc!AE41,Calc!AK41))</f>
        <v/>
      </c>
      <c r="ED41" s="30" t="str">
        <f aca="false">IF($A41="","",N($AA41)+N($AS41)+N($BK41)+N($CC41)+N($CU41)+N($DM41))</f>
        <v/>
      </c>
      <c r="EE41" s="31" t="str">
        <f aca="false">IF($A41="","",SUM(Calc!B41,Calc!H41,Calc!N41,Calc!T41,Calc!Z41,Calc!AF41))</f>
        <v/>
      </c>
      <c r="EF41" s="31" t="str">
        <f aca="false">IF($A41="","",SUM(Calc!C41,Calc!I41,Calc!O41,Calc!U41,Calc!AA41,Calc!AG41))</f>
        <v/>
      </c>
      <c r="EG41" s="31" t="str">
        <f aca="false">IF($A41="","",SUM(Calc!D41,Calc!J41,Calc!P41,Calc!V41,Calc!AB41,Calc!AH41))</f>
        <v/>
      </c>
      <c r="EH41" s="27" t="str">
        <f aca="false">IF($A41="","",($EE41+$EF41+$EG41+IF($P41="Yes",N($Q41)*N($O41),0))*1000*$K41/1000000)</f>
        <v/>
      </c>
      <c r="EI41" s="28" t="str">
        <f aca="false">IF($A41="","",$EH41*1000000*12/1000000000)</f>
        <v/>
      </c>
      <c r="EJ41" s="32" t="str">
        <f aca="false">IF($A41="","",IF($EC41=0,"⚠ no species entered",IF(((LEFT($AP41,1)="✖")+(LEFT($BH41,1)="✖")+(LEFT($BZ41,1)="✖")+(LEFT($CR41,1)="✖")+(LEFT($DJ41,1)="✖")+(LEFT($EB41,1)="✖"))&gt;0,"✖ "&amp;((LEFT($AP41,1)="✖")+(LEFT($BH41,1)="✖")+(LEFT($BZ41,1)="✖")+(LEFT($CR41,1)="✖")+(LEFT($DJ41,1)="✖")+(LEFT($EB41,1)="✖"))&amp;" species saturated - see the species checks",IF(MIN($G41,$H41)&lt;8*$T41,"⚠ box too small laterally (&lt; 8·wr)",IF(AND($I41&gt;0,$I41&lt;3*$U41),"⚠ box too small axially (&lt; 3·wz)",IF($EI41&gt;8,"⚠ &gt; 8 GB per file: shorten the duration and use several files",IF(((LEFT($AP41,1)="⚠")+(LEFT($BH41,1)="⚠")+(LEFT($BZ41,1)="⚠")+(LEFT($CR41,1)="⚠")+(LEFT($DJ41,1)="⚠")+(LEFT($EB41,1)="⚠"))&gt;0,"⚠ "&amp;((LEFT($AP41,1)="⚠")+(LEFT($BH41,1)="⚠")+(LEFT($BZ41,1)="⚠")+(LEFT($CR41,1)="⚠")+(LEFT($DJ41,1)="⚠")+(LEFT($EB41,1)="⚠"))&amp;" species with a warning","✔ OK")))))))</f>
        <v/>
      </c>
      <c r="EK41" s="25"/>
      <c r="EL41" s="25"/>
      <c r="EM41" s="25"/>
      <c r="EN41" s="25"/>
      <c r="EO41" s="25"/>
      <c r="EP41" s="25"/>
      <c r="EQ41" s="25"/>
      <c r="ER41" s="26"/>
    </row>
    <row r="42" customFormat="false" ht="15" hidden="false" customHeight="false" outlineLevel="0" collapsed="false">
      <c r="A42" s="25"/>
      <c r="B42" s="25"/>
      <c r="C42" s="26"/>
      <c r="D42" s="26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7" t="str">
        <f aca="false">IF(OR($AH42="",$AH42="No FRET",N($AI42)&lt;=0,N($V42)&lt;=0),"",1/(1+($AI42/$V42)^6))</f>
        <v/>
      </c>
      <c r="AM42" s="27" t="str">
        <f aca="false">IF(OR($AH42="",$AH42="No FRET",N($AJ42)&lt;=0,N($W42)&lt;=0),"",1/(1+($AJ42/$W42)^6))</f>
        <v/>
      </c>
      <c r="AN42" s="27" t="str">
        <f aca="false">IF(OR($AH42="",$AH42="No FRET",N($AK42)&lt;=0,N($X42)&lt;=0),"",1/(1+($AK42/$X42)^6))</f>
        <v/>
      </c>
      <c r="AO42" s="28" t="str">
        <f aca="false">IF(OR($A42="",N($AA42)&lt;=0),"",IF($I42&gt;0,$AA42/($G42*$H42*$I42)/1E-024/6.022E+023/0.000000001,""))</f>
        <v/>
      </c>
      <c r="AP42" s="29" t="str">
        <f aca="false">IF(Calc!G42=0,"",IF(Calc!E42&gt;=1,"✖ saturated (B ≥ freq.)",IF(Calc!E42&gt;0.1,"⚠ B &gt; 10% of freq.",IF(Calc!E42=0,"⚠ no brightness",IF(Calc!F42&gt;0.1,"⚠ step &gt; 10% of wr",IF(AND($AH42&lt;&gt;"",$AH42&lt;&gt;"No FRET",N($O42)&lt;2),"⚠ FRET needs ≥ 2 colours",IF(AND($AH42&lt;&gt;"",$AH42&lt;&gt;"No FRET",N($AI42)+N($AJ42)+N($AK42)=0),"⚠ FRET: set R","✔ OK")))))))</f>
        <v/>
      </c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7" t="str">
        <f aca="false">IF(OR($AZ42="",$AZ42="No FRET",N($BA42)&lt;=0,N($V42)&lt;=0),"",1/(1+($BA42/$V42)^6))</f>
        <v/>
      </c>
      <c r="BE42" s="27" t="str">
        <f aca="false">IF(OR($AZ42="",$AZ42="No FRET",N($BB42)&lt;=0,N($W42)&lt;=0),"",1/(1+($BB42/$W42)^6))</f>
        <v/>
      </c>
      <c r="BF42" s="27" t="str">
        <f aca="false">IF(OR($AZ42="",$AZ42="No FRET",N($BC42)&lt;=0,N($X42)&lt;=0),"",1/(1+($BC42/$X42)^6))</f>
        <v/>
      </c>
      <c r="BG42" s="28" t="str">
        <f aca="false">IF(OR($A42="",N($AS42)&lt;=0),"",IF($I42&gt;0,$AS42/($G42*$H42*$I42)/1E-024/6.022E+023/0.000000001,""))</f>
        <v/>
      </c>
      <c r="BH42" s="29" t="str">
        <f aca="false">IF(Calc!M42=0,"",IF(Calc!K42&gt;=1,"✖ saturated (B ≥ freq.)",IF(Calc!K42&gt;0.1,"⚠ B &gt; 10% of freq.",IF(Calc!K42=0,"⚠ no brightness",IF(Calc!L42&gt;0.1,"⚠ step &gt; 10% of wr",IF(AND($AZ42&lt;&gt;"",$AZ42&lt;&gt;"No FRET",N($O42)&lt;2),"⚠ FRET needs ≥ 2 colours",IF(AND($AZ42&lt;&gt;"",$AZ42&lt;&gt;"No FRET",N($BA42)+N($BB42)+N($BC42)=0),"⚠ FRET: set R","✔ OK")))))))</f>
        <v/>
      </c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7" t="str">
        <f aca="false">IF(OR($BR42="",$BR42="No FRET",N($BS42)&lt;=0,N($V42)&lt;=0),"",1/(1+($BS42/$V42)^6))</f>
        <v/>
      </c>
      <c r="BW42" s="27" t="str">
        <f aca="false">IF(OR($BR42="",$BR42="No FRET",N($BT42)&lt;=0,N($W42)&lt;=0),"",1/(1+($BT42/$W42)^6))</f>
        <v/>
      </c>
      <c r="BX42" s="27" t="str">
        <f aca="false">IF(OR($BR42="",$BR42="No FRET",N($BU42)&lt;=0,N($X42)&lt;=0),"",1/(1+($BU42/$X42)^6))</f>
        <v/>
      </c>
      <c r="BY42" s="28" t="str">
        <f aca="false">IF(OR($A42="",N($BK42)&lt;=0),"",IF($I42&gt;0,$BK42/($G42*$H42*$I42)/1E-024/6.022E+023/0.000000001,""))</f>
        <v/>
      </c>
      <c r="BZ42" s="29" t="str">
        <f aca="false">IF(Calc!S42=0,"",IF(Calc!Q42&gt;=1,"✖ saturated (B ≥ freq.)",IF(Calc!Q42&gt;0.1,"⚠ B &gt; 10% of freq.",IF(Calc!Q42=0,"⚠ no brightness",IF(Calc!R42&gt;0.1,"⚠ step &gt; 10% of wr",IF(AND($BR42&lt;&gt;"",$BR42&lt;&gt;"No FRET",N($O42)&lt;2),"⚠ FRET needs ≥ 2 colours",IF(AND($BR42&lt;&gt;"",$BR42&lt;&gt;"No FRET",N($BS42)+N($BT42)+N($BU42)=0),"⚠ FRET: set R","✔ OK")))))))</f>
        <v/>
      </c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7" t="str">
        <f aca="false">IF(OR($CJ42="",$CJ42="No FRET",N($CK42)&lt;=0,N($V42)&lt;=0),"",1/(1+($CK42/$V42)^6))</f>
        <v/>
      </c>
      <c r="CO42" s="27" t="str">
        <f aca="false">IF(OR($CJ42="",$CJ42="No FRET",N($CL42)&lt;=0,N($W42)&lt;=0),"",1/(1+($CL42/$W42)^6))</f>
        <v/>
      </c>
      <c r="CP42" s="27" t="str">
        <f aca="false">IF(OR($CJ42="",$CJ42="No FRET",N($CM42)&lt;=0,N($X42)&lt;=0),"",1/(1+($CM42/$X42)^6))</f>
        <v/>
      </c>
      <c r="CQ42" s="28" t="str">
        <f aca="false">IF(OR($A42="",N($CC42)&lt;=0),"",IF($I42&gt;0,$CC42/($G42*$H42*$I42)/1E-024/6.022E+023/0.000000001,""))</f>
        <v/>
      </c>
      <c r="CR42" s="29" t="str">
        <f aca="false">IF(Calc!Y42=0,"",IF(Calc!W42&gt;=1,"✖ saturated (B ≥ freq.)",IF(Calc!W42&gt;0.1,"⚠ B &gt; 10% of freq.",IF(Calc!W42=0,"⚠ no brightness",IF(Calc!X42&gt;0.1,"⚠ step &gt; 10% of wr",IF(AND($CJ42&lt;&gt;"",$CJ42&lt;&gt;"No FRET",N($O42)&lt;2),"⚠ FRET needs ≥ 2 colours",IF(AND($CJ42&lt;&gt;"",$CJ42&lt;&gt;"No FRET",N($CK42)+N($CL42)+N($CM42)=0),"⚠ FRET: set R","✔ OK")))))))</f>
        <v/>
      </c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7" t="str">
        <f aca="false">IF(OR($DB42="",$DB42="No FRET",N($DC42)&lt;=0,N($V42)&lt;=0),"",1/(1+($DC42/$V42)^6))</f>
        <v/>
      </c>
      <c r="DG42" s="27" t="str">
        <f aca="false">IF(OR($DB42="",$DB42="No FRET",N($DD42)&lt;=0,N($W42)&lt;=0),"",1/(1+($DD42/$W42)^6))</f>
        <v/>
      </c>
      <c r="DH42" s="27" t="str">
        <f aca="false">IF(OR($DB42="",$DB42="No FRET",N($DE42)&lt;=0,N($X42)&lt;=0),"",1/(1+($DE42/$X42)^6))</f>
        <v/>
      </c>
      <c r="DI42" s="28" t="str">
        <f aca="false">IF(OR($A42="",N($CU42)&lt;=0),"",IF($I42&gt;0,$CU42/($G42*$H42*$I42)/1E-024/6.022E+023/0.000000001,""))</f>
        <v/>
      </c>
      <c r="DJ42" s="29" t="str">
        <f aca="false">IF(Calc!AE42=0,"",IF(Calc!AC42&gt;=1,"✖ saturated (B ≥ freq.)",IF(Calc!AC42&gt;0.1,"⚠ B &gt; 10% of freq.",IF(Calc!AC42=0,"⚠ no brightness",IF(Calc!AD42&gt;0.1,"⚠ step &gt; 10% of wr",IF(AND($DB42&lt;&gt;"",$DB42&lt;&gt;"No FRET",N($O42)&lt;2),"⚠ FRET needs ≥ 2 colours",IF(AND($DB42&lt;&gt;"",$DB42&lt;&gt;"No FRET",N($DC42)+N($DD42)+N($DE42)=0),"⚠ FRET: set R","✔ OK")))))))</f>
        <v/>
      </c>
      <c r="DK42" s="25"/>
      <c r="DL42" s="25"/>
      <c r="DM42" s="25"/>
      <c r="DN42" s="25"/>
      <c r="DO42" s="25"/>
      <c r="DP42" s="25"/>
      <c r="DQ42" s="25"/>
      <c r="DR42" s="25"/>
      <c r="DS42" s="25"/>
      <c r="DT42" s="25"/>
      <c r="DU42" s="25"/>
      <c r="DV42" s="25"/>
      <c r="DW42" s="25"/>
      <c r="DX42" s="27" t="str">
        <f aca="false">IF(OR($DT42="",$DT42="No FRET",N($DU42)&lt;=0,N($V42)&lt;=0),"",1/(1+($DU42/$V42)^6))</f>
        <v/>
      </c>
      <c r="DY42" s="27" t="str">
        <f aca="false">IF(OR($DT42="",$DT42="No FRET",N($DV42)&lt;=0,N($W42)&lt;=0),"",1/(1+($DV42/$W42)^6))</f>
        <v/>
      </c>
      <c r="DZ42" s="27" t="str">
        <f aca="false">IF(OR($DT42="",$DT42="No FRET",N($DW42)&lt;=0,N($X42)&lt;=0),"",1/(1+($DW42/$X42)^6))</f>
        <v/>
      </c>
      <c r="EA42" s="28" t="str">
        <f aca="false">IF(OR($A42="",N($DM42)&lt;=0),"",IF($I42&gt;0,$DM42/($G42*$H42*$I42)/1E-024/6.022E+023/0.000000001,""))</f>
        <v/>
      </c>
      <c r="EB42" s="29" t="str">
        <f aca="false">IF(Calc!AK42=0,"",IF(Calc!AI42&gt;=1,"✖ saturated (B ≥ freq.)",IF(Calc!AI42&gt;0.1,"⚠ B &gt; 10% of freq.",IF(Calc!AI42=0,"⚠ no brightness",IF(Calc!AJ42&gt;0.1,"⚠ step &gt; 10% of wr",IF(AND($DT42&lt;&gt;"",$DT42&lt;&gt;"No FRET",N($O42)&lt;2),"⚠ FRET needs ≥ 2 colours",IF(AND($DT42&lt;&gt;"",$DT42&lt;&gt;"No FRET",N($DU42)+N($DV42)+N($DW42)=0),"⚠ FRET: set R","✔ OK")))))))</f>
        <v/>
      </c>
      <c r="EC42" s="30" t="str">
        <f aca="false">IF($A42="","",SUM(Calc!G42,Calc!M42,Calc!S42,Calc!Y42,Calc!AE42,Calc!AK42))</f>
        <v/>
      </c>
      <c r="ED42" s="30" t="str">
        <f aca="false">IF($A42="","",N($AA42)+N($AS42)+N($BK42)+N($CC42)+N($CU42)+N($DM42))</f>
        <v/>
      </c>
      <c r="EE42" s="31" t="str">
        <f aca="false">IF($A42="","",SUM(Calc!B42,Calc!H42,Calc!N42,Calc!T42,Calc!Z42,Calc!AF42))</f>
        <v/>
      </c>
      <c r="EF42" s="31" t="str">
        <f aca="false">IF($A42="","",SUM(Calc!C42,Calc!I42,Calc!O42,Calc!U42,Calc!AA42,Calc!AG42))</f>
        <v/>
      </c>
      <c r="EG42" s="31" t="str">
        <f aca="false">IF($A42="","",SUM(Calc!D42,Calc!J42,Calc!P42,Calc!V42,Calc!AB42,Calc!AH42))</f>
        <v/>
      </c>
      <c r="EH42" s="27" t="str">
        <f aca="false">IF($A42="","",($EE42+$EF42+$EG42+IF($P42="Yes",N($Q42)*N($O42),0))*1000*$K42/1000000)</f>
        <v/>
      </c>
      <c r="EI42" s="28" t="str">
        <f aca="false">IF($A42="","",$EH42*1000000*12/1000000000)</f>
        <v/>
      </c>
      <c r="EJ42" s="32" t="str">
        <f aca="false">IF($A42="","",IF($EC42=0,"⚠ no species entered",IF(((LEFT($AP42,1)="✖")+(LEFT($BH42,1)="✖")+(LEFT($BZ42,1)="✖")+(LEFT($CR42,1)="✖")+(LEFT($DJ42,1)="✖")+(LEFT($EB42,1)="✖"))&gt;0,"✖ "&amp;((LEFT($AP42,1)="✖")+(LEFT($BH42,1)="✖")+(LEFT($BZ42,1)="✖")+(LEFT($CR42,1)="✖")+(LEFT($DJ42,1)="✖")+(LEFT($EB42,1)="✖"))&amp;" species saturated - see the species checks",IF(MIN($G42,$H42)&lt;8*$T42,"⚠ box too small laterally (&lt; 8·wr)",IF(AND($I42&gt;0,$I42&lt;3*$U42),"⚠ box too small axially (&lt; 3·wz)",IF($EI42&gt;8,"⚠ &gt; 8 GB per file: shorten the duration and use several files",IF(((LEFT($AP42,1)="⚠")+(LEFT($BH42,1)="⚠")+(LEFT($BZ42,1)="⚠")+(LEFT($CR42,1)="⚠")+(LEFT($DJ42,1)="⚠")+(LEFT($EB42,1)="⚠"))&gt;0,"⚠ "&amp;((LEFT($AP42,1)="⚠")+(LEFT($BH42,1)="⚠")+(LEFT($BZ42,1)="⚠")+(LEFT($CR42,1)="⚠")+(LEFT($DJ42,1)="⚠")+(LEFT($EB42,1)="⚠"))&amp;" species with a warning","✔ OK")))))))</f>
        <v/>
      </c>
      <c r="EK42" s="25"/>
      <c r="EL42" s="25"/>
      <c r="EM42" s="25"/>
      <c r="EN42" s="25"/>
      <c r="EO42" s="25"/>
      <c r="EP42" s="25"/>
      <c r="EQ42" s="25"/>
      <c r="ER42" s="26"/>
    </row>
    <row r="43" customFormat="false" ht="15" hidden="false" customHeight="false" outlineLevel="0" collapsed="false">
      <c r="A43" s="25"/>
      <c r="B43" s="25"/>
      <c r="C43" s="26"/>
      <c r="D43" s="26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7" t="str">
        <f aca="false">IF(OR($AH43="",$AH43="No FRET",N($AI43)&lt;=0,N($V43)&lt;=0),"",1/(1+($AI43/$V43)^6))</f>
        <v/>
      </c>
      <c r="AM43" s="27" t="str">
        <f aca="false">IF(OR($AH43="",$AH43="No FRET",N($AJ43)&lt;=0,N($W43)&lt;=0),"",1/(1+($AJ43/$W43)^6))</f>
        <v/>
      </c>
      <c r="AN43" s="27" t="str">
        <f aca="false">IF(OR($AH43="",$AH43="No FRET",N($AK43)&lt;=0,N($X43)&lt;=0),"",1/(1+($AK43/$X43)^6))</f>
        <v/>
      </c>
      <c r="AO43" s="28" t="str">
        <f aca="false">IF(OR($A43="",N($AA43)&lt;=0),"",IF($I43&gt;0,$AA43/($G43*$H43*$I43)/1E-024/6.022E+023/0.000000001,""))</f>
        <v/>
      </c>
      <c r="AP43" s="29" t="str">
        <f aca="false">IF(Calc!G43=0,"",IF(Calc!E43&gt;=1,"✖ saturated (B ≥ freq.)",IF(Calc!E43&gt;0.1,"⚠ B &gt; 10% of freq.",IF(Calc!E43=0,"⚠ no brightness",IF(Calc!F43&gt;0.1,"⚠ step &gt; 10% of wr",IF(AND($AH43&lt;&gt;"",$AH43&lt;&gt;"No FRET",N($O43)&lt;2),"⚠ FRET needs ≥ 2 colours",IF(AND($AH43&lt;&gt;"",$AH43&lt;&gt;"No FRET",N($AI43)+N($AJ43)+N($AK43)=0),"⚠ FRET: set R","✔ OK")))))))</f>
        <v/>
      </c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7" t="str">
        <f aca="false">IF(OR($AZ43="",$AZ43="No FRET",N($BA43)&lt;=0,N($V43)&lt;=0),"",1/(1+($BA43/$V43)^6))</f>
        <v/>
      </c>
      <c r="BE43" s="27" t="str">
        <f aca="false">IF(OR($AZ43="",$AZ43="No FRET",N($BB43)&lt;=0,N($W43)&lt;=0),"",1/(1+($BB43/$W43)^6))</f>
        <v/>
      </c>
      <c r="BF43" s="27" t="str">
        <f aca="false">IF(OR($AZ43="",$AZ43="No FRET",N($BC43)&lt;=0,N($X43)&lt;=0),"",1/(1+($BC43/$X43)^6))</f>
        <v/>
      </c>
      <c r="BG43" s="28" t="str">
        <f aca="false">IF(OR($A43="",N($AS43)&lt;=0),"",IF($I43&gt;0,$AS43/($G43*$H43*$I43)/1E-024/6.022E+023/0.000000001,""))</f>
        <v/>
      </c>
      <c r="BH43" s="29" t="str">
        <f aca="false">IF(Calc!M43=0,"",IF(Calc!K43&gt;=1,"✖ saturated (B ≥ freq.)",IF(Calc!K43&gt;0.1,"⚠ B &gt; 10% of freq.",IF(Calc!K43=0,"⚠ no brightness",IF(Calc!L43&gt;0.1,"⚠ step &gt; 10% of wr",IF(AND($AZ43&lt;&gt;"",$AZ43&lt;&gt;"No FRET",N($O43)&lt;2),"⚠ FRET needs ≥ 2 colours",IF(AND($AZ43&lt;&gt;"",$AZ43&lt;&gt;"No FRET",N($BA43)+N($BB43)+N($BC43)=0),"⚠ FRET: set R","✔ OK")))))))</f>
        <v/>
      </c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7" t="str">
        <f aca="false">IF(OR($BR43="",$BR43="No FRET",N($BS43)&lt;=0,N($V43)&lt;=0),"",1/(1+($BS43/$V43)^6))</f>
        <v/>
      </c>
      <c r="BW43" s="27" t="str">
        <f aca="false">IF(OR($BR43="",$BR43="No FRET",N($BT43)&lt;=0,N($W43)&lt;=0),"",1/(1+($BT43/$W43)^6))</f>
        <v/>
      </c>
      <c r="BX43" s="27" t="str">
        <f aca="false">IF(OR($BR43="",$BR43="No FRET",N($BU43)&lt;=0,N($X43)&lt;=0),"",1/(1+($BU43/$X43)^6))</f>
        <v/>
      </c>
      <c r="BY43" s="28" t="str">
        <f aca="false">IF(OR($A43="",N($BK43)&lt;=0),"",IF($I43&gt;0,$BK43/($G43*$H43*$I43)/1E-024/6.022E+023/0.000000001,""))</f>
        <v/>
      </c>
      <c r="BZ43" s="29" t="str">
        <f aca="false">IF(Calc!S43=0,"",IF(Calc!Q43&gt;=1,"✖ saturated (B ≥ freq.)",IF(Calc!Q43&gt;0.1,"⚠ B &gt; 10% of freq.",IF(Calc!Q43=0,"⚠ no brightness",IF(Calc!R43&gt;0.1,"⚠ step &gt; 10% of wr",IF(AND($BR43&lt;&gt;"",$BR43&lt;&gt;"No FRET",N($O43)&lt;2),"⚠ FRET needs ≥ 2 colours",IF(AND($BR43&lt;&gt;"",$BR43&lt;&gt;"No FRET",N($BS43)+N($BT43)+N($BU43)=0),"⚠ FRET: set R","✔ OK")))))))</f>
        <v/>
      </c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7" t="str">
        <f aca="false">IF(OR($CJ43="",$CJ43="No FRET",N($CK43)&lt;=0,N($V43)&lt;=0),"",1/(1+($CK43/$V43)^6))</f>
        <v/>
      </c>
      <c r="CO43" s="27" t="str">
        <f aca="false">IF(OR($CJ43="",$CJ43="No FRET",N($CL43)&lt;=0,N($W43)&lt;=0),"",1/(1+($CL43/$W43)^6))</f>
        <v/>
      </c>
      <c r="CP43" s="27" t="str">
        <f aca="false">IF(OR($CJ43="",$CJ43="No FRET",N($CM43)&lt;=0,N($X43)&lt;=0),"",1/(1+($CM43/$X43)^6))</f>
        <v/>
      </c>
      <c r="CQ43" s="28" t="str">
        <f aca="false">IF(OR($A43="",N($CC43)&lt;=0),"",IF($I43&gt;0,$CC43/($G43*$H43*$I43)/1E-024/6.022E+023/0.000000001,""))</f>
        <v/>
      </c>
      <c r="CR43" s="29" t="str">
        <f aca="false">IF(Calc!Y43=0,"",IF(Calc!W43&gt;=1,"✖ saturated (B ≥ freq.)",IF(Calc!W43&gt;0.1,"⚠ B &gt; 10% of freq.",IF(Calc!W43=0,"⚠ no brightness",IF(Calc!X43&gt;0.1,"⚠ step &gt; 10% of wr",IF(AND($CJ43&lt;&gt;"",$CJ43&lt;&gt;"No FRET",N($O43)&lt;2),"⚠ FRET needs ≥ 2 colours",IF(AND($CJ43&lt;&gt;"",$CJ43&lt;&gt;"No FRET",N($CK43)+N($CL43)+N($CM43)=0),"⚠ FRET: set R","✔ OK")))))))</f>
        <v/>
      </c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7" t="str">
        <f aca="false">IF(OR($DB43="",$DB43="No FRET",N($DC43)&lt;=0,N($V43)&lt;=0),"",1/(1+($DC43/$V43)^6))</f>
        <v/>
      </c>
      <c r="DG43" s="27" t="str">
        <f aca="false">IF(OR($DB43="",$DB43="No FRET",N($DD43)&lt;=0,N($W43)&lt;=0),"",1/(1+($DD43/$W43)^6))</f>
        <v/>
      </c>
      <c r="DH43" s="27" t="str">
        <f aca="false">IF(OR($DB43="",$DB43="No FRET",N($DE43)&lt;=0,N($X43)&lt;=0),"",1/(1+($DE43/$X43)^6))</f>
        <v/>
      </c>
      <c r="DI43" s="28" t="str">
        <f aca="false">IF(OR($A43="",N($CU43)&lt;=0),"",IF($I43&gt;0,$CU43/($G43*$H43*$I43)/1E-024/6.022E+023/0.000000001,""))</f>
        <v/>
      </c>
      <c r="DJ43" s="29" t="str">
        <f aca="false">IF(Calc!AE43=0,"",IF(Calc!AC43&gt;=1,"✖ saturated (B ≥ freq.)",IF(Calc!AC43&gt;0.1,"⚠ B &gt; 10% of freq.",IF(Calc!AC43=0,"⚠ no brightness",IF(Calc!AD43&gt;0.1,"⚠ step &gt; 10% of wr",IF(AND($DB43&lt;&gt;"",$DB43&lt;&gt;"No FRET",N($O43)&lt;2),"⚠ FRET needs ≥ 2 colours",IF(AND($DB43&lt;&gt;"",$DB43&lt;&gt;"No FRET",N($DC43)+N($DD43)+N($DE43)=0),"⚠ FRET: set R","✔ OK")))))))</f>
        <v/>
      </c>
      <c r="DK43" s="25"/>
      <c r="DL43" s="25"/>
      <c r="DM43" s="25"/>
      <c r="DN43" s="25"/>
      <c r="DO43" s="25"/>
      <c r="DP43" s="25"/>
      <c r="DQ43" s="25"/>
      <c r="DR43" s="25"/>
      <c r="DS43" s="25"/>
      <c r="DT43" s="25"/>
      <c r="DU43" s="25"/>
      <c r="DV43" s="25"/>
      <c r="DW43" s="25"/>
      <c r="DX43" s="27" t="str">
        <f aca="false">IF(OR($DT43="",$DT43="No FRET",N($DU43)&lt;=0,N($V43)&lt;=0),"",1/(1+($DU43/$V43)^6))</f>
        <v/>
      </c>
      <c r="DY43" s="27" t="str">
        <f aca="false">IF(OR($DT43="",$DT43="No FRET",N($DV43)&lt;=0,N($W43)&lt;=0),"",1/(1+($DV43/$W43)^6))</f>
        <v/>
      </c>
      <c r="DZ43" s="27" t="str">
        <f aca="false">IF(OR($DT43="",$DT43="No FRET",N($DW43)&lt;=0,N($X43)&lt;=0),"",1/(1+($DW43/$X43)^6))</f>
        <v/>
      </c>
      <c r="EA43" s="28" t="str">
        <f aca="false">IF(OR($A43="",N($DM43)&lt;=0),"",IF($I43&gt;0,$DM43/($G43*$H43*$I43)/1E-024/6.022E+023/0.000000001,""))</f>
        <v/>
      </c>
      <c r="EB43" s="29" t="str">
        <f aca="false">IF(Calc!AK43=0,"",IF(Calc!AI43&gt;=1,"✖ saturated (B ≥ freq.)",IF(Calc!AI43&gt;0.1,"⚠ B &gt; 10% of freq.",IF(Calc!AI43=0,"⚠ no brightness",IF(Calc!AJ43&gt;0.1,"⚠ step &gt; 10% of wr",IF(AND($DT43&lt;&gt;"",$DT43&lt;&gt;"No FRET",N($O43)&lt;2),"⚠ FRET needs ≥ 2 colours",IF(AND($DT43&lt;&gt;"",$DT43&lt;&gt;"No FRET",N($DU43)+N($DV43)+N($DW43)=0),"⚠ FRET: set R","✔ OK")))))))</f>
        <v/>
      </c>
      <c r="EC43" s="30" t="str">
        <f aca="false">IF($A43="","",SUM(Calc!G43,Calc!M43,Calc!S43,Calc!Y43,Calc!AE43,Calc!AK43))</f>
        <v/>
      </c>
      <c r="ED43" s="30" t="str">
        <f aca="false">IF($A43="","",N($AA43)+N($AS43)+N($BK43)+N($CC43)+N($CU43)+N($DM43))</f>
        <v/>
      </c>
      <c r="EE43" s="31" t="str">
        <f aca="false">IF($A43="","",SUM(Calc!B43,Calc!H43,Calc!N43,Calc!T43,Calc!Z43,Calc!AF43))</f>
        <v/>
      </c>
      <c r="EF43" s="31" t="str">
        <f aca="false">IF($A43="","",SUM(Calc!C43,Calc!I43,Calc!O43,Calc!U43,Calc!AA43,Calc!AG43))</f>
        <v/>
      </c>
      <c r="EG43" s="31" t="str">
        <f aca="false">IF($A43="","",SUM(Calc!D43,Calc!J43,Calc!P43,Calc!V43,Calc!AB43,Calc!AH43))</f>
        <v/>
      </c>
      <c r="EH43" s="27" t="str">
        <f aca="false">IF($A43="","",($EE43+$EF43+$EG43+IF($P43="Yes",N($Q43)*N($O43),0))*1000*$K43/1000000)</f>
        <v/>
      </c>
      <c r="EI43" s="28" t="str">
        <f aca="false">IF($A43="","",$EH43*1000000*12/1000000000)</f>
        <v/>
      </c>
      <c r="EJ43" s="32" t="str">
        <f aca="false">IF($A43="","",IF($EC43=0,"⚠ no species entered",IF(((LEFT($AP43,1)="✖")+(LEFT($BH43,1)="✖")+(LEFT($BZ43,1)="✖")+(LEFT($CR43,1)="✖")+(LEFT($DJ43,1)="✖")+(LEFT($EB43,1)="✖"))&gt;0,"✖ "&amp;((LEFT($AP43,1)="✖")+(LEFT($BH43,1)="✖")+(LEFT($BZ43,1)="✖")+(LEFT($CR43,1)="✖")+(LEFT($DJ43,1)="✖")+(LEFT($EB43,1)="✖"))&amp;" species saturated - see the species checks",IF(MIN($G43,$H43)&lt;8*$T43,"⚠ box too small laterally (&lt; 8·wr)",IF(AND($I43&gt;0,$I43&lt;3*$U43),"⚠ box too small axially (&lt; 3·wz)",IF($EI43&gt;8,"⚠ &gt; 8 GB per file: shorten the duration and use several files",IF(((LEFT($AP43,1)="⚠")+(LEFT($BH43,1)="⚠")+(LEFT($BZ43,1)="⚠")+(LEFT($CR43,1)="⚠")+(LEFT($DJ43,1)="⚠")+(LEFT($EB43,1)="⚠"))&gt;0,"⚠ "&amp;((LEFT($AP43,1)="⚠")+(LEFT($BH43,1)="⚠")+(LEFT($BZ43,1)="⚠")+(LEFT($CR43,1)="⚠")+(LEFT($DJ43,1)="⚠")+(LEFT($EB43,1)="⚠"))&amp;" species with a warning","✔ OK")))))))</f>
        <v/>
      </c>
      <c r="EK43" s="25"/>
      <c r="EL43" s="25"/>
      <c r="EM43" s="25"/>
      <c r="EN43" s="25"/>
      <c r="EO43" s="25"/>
      <c r="EP43" s="25"/>
      <c r="EQ43" s="25"/>
      <c r="ER43" s="26"/>
    </row>
    <row r="44" customFormat="false" ht="15" hidden="false" customHeight="false" outlineLevel="0" collapsed="false">
      <c r="A44" s="25"/>
      <c r="B44" s="25"/>
      <c r="C44" s="26"/>
      <c r="D44" s="26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7" t="str">
        <f aca="false">IF(OR($AH44="",$AH44="No FRET",N($AI44)&lt;=0,N($V44)&lt;=0),"",1/(1+($AI44/$V44)^6))</f>
        <v/>
      </c>
      <c r="AM44" s="27" t="str">
        <f aca="false">IF(OR($AH44="",$AH44="No FRET",N($AJ44)&lt;=0,N($W44)&lt;=0),"",1/(1+($AJ44/$W44)^6))</f>
        <v/>
      </c>
      <c r="AN44" s="27" t="str">
        <f aca="false">IF(OR($AH44="",$AH44="No FRET",N($AK44)&lt;=0,N($X44)&lt;=0),"",1/(1+($AK44/$X44)^6))</f>
        <v/>
      </c>
      <c r="AO44" s="28" t="str">
        <f aca="false">IF(OR($A44="",N($AA44)&lt;=0),"",IF($I44&gt;0,$AA44/($G44*$H44*$I44)/1E-024/6.022E+023/0.000000001,""))</f>
        <v/>
      </c>
      <c r="AP44" s="29" t="str">
        <f aca="false">IF(Calc!G44=0,"",IF(Calc!E44&gt;=1,"✖ saturated (B ≥ freq.)",IF(Calc!E44&gt;0.1,"⚠ B &gt; 10% of freq.",IF(Calc!E44=0,"⚠ no brightness",IF(Calc!F44&gt;0.1,"⚠ step &gt; 10% of wr",IF(AND($AH44&lt;&gt;"",$AH44&lt;&gt;"No FRET",N($O44)&lt;2),"⚠ FRET needs ≥ 2 colours",IF(AND($AH44&lt;&gt;"",$AH44&lt;&gt;"No FRET",N($AI44)+N($AJ44)+N($AK44)=0),"⚠ FRET: set R","✔ OK")))))))</f>
        <v/>
      </c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7" t="str">
        <f aca="false">IF(OR($AZ44="",$AZ44="No FRET",N($BA44)&lt;=0,N($V44)&lt;=0),"",1/(1+($BA44/$V44)^6))</f>
        <v/>
      </c>
      <c r="BE44" s="27" t="str">
        <f aca="false">IF(OR($AZ44="",$AZ44="No FRET",N($BB44)&lt;=0,N($W44)&lt;=0),"",1/(1+($BB44/$W44)^6))</f>
        <v/>
      </c>
      <c r="BF44" s="27" t="str">
        <f aca="false">IF(OR($AZ44="",$AZ44="No FRET",N($BC44)&lt;=0,N($X44)&lt;=0),"",1/(1+($BC44/$X44)^6))</f>
        <v/>
      </c>
      <c r="BG44" s="28" t="str">
        <f aca="false">IF(OR($A44="",N($AS44)&lt;=0),"",IF($I44&gt;0,$AS44/($G44*$H44*$I44)/1E-024/6.022E+023/0.000000001,""))</f>
        <v/>
      </c>
      <c r="BH44" s="29" t="str">
        <f aca="false">IF(Calc!M44=0,"",IF(Calc!K44&gt;=1,"✖ saturated (B ≥ freq.)",IF(Calc!K44&gt;0.1,"⚠ B &gt; 10% of freq.",IF(Calc!K44=0,"⚠ no brightness",IF(Calc!L44&gt;0.1,"⚠ step &gt; 10% of wr",IF(AND($AZ44&lt;&gt;"",$AZ44&lt;&gt;"No FRET",N($O44)&lt;2),"⚠ FRET needs ≥ 2 colours",IF(AND($AZ44&lt;&gt;"",$AZ44&lt;&gt;"No FRET",N($BA44)+N($BB44)+N($BC44)=0),"⚠ FRET: set R","✔ OK")))))))</f>
        <v/>
      </c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7" t="str">
        <f aca="false">IF(OR($BR44="",$BR44="No FRET",N($BS44)&lt;=0,N($V44)&lt;=0),"",1/(1+($BS44/$V44)^6))</f>
        <v/>
      </c>
      <c r="BW44" s="27" t="str">
        <f aca="false">IF(OR($BR44="",$BR44="No FRET",N($BT44)&lt;=0,N($W44)&lt;=0),"",1/(1+($BT44/$W44)^6))</f>
        <v/>
      </c>
      <c r="BX44" s="27" t="str">
        <f aca="false">IF(OR($BR44="",$BR44="No FRET",N($BU44)&lt;=0,N($X44)&lt;=0),"",1/(1+($BU44/$X44)^6))</f>
        <v/>
      </c>
      <c r="BY44" s="28" t="str">
        <f aca="false">IF(OR($A44="",N($BK44)&lt;=0),"",IF($I44&gt;0,$BK44/($G44*$H44*$I44)/1E-024/6.022E+023/0.000000001,""))</f>
        <v/>
      </c>
      <c r="BZ44" s="29" t="str">
        <f aca="false">IF(Calc!S44=0,"",IF(Calc!Q44&gt;=1,"✖ saturated (B ≥ freq.)",IF(Calc!Q44&gt;0.1,"⚠ B &gt; 10% of freq.",IF(Calc!Q44=0,"⚠ no brightness",IF(Calc!R44&gt;0.1,"⚠ step &gt; 10% of wr",IF(AND($BR44&lt;&gt;"",$BR44&lt;&gt;"No FRET",N($O44)&lt;2),"⚠ FRET needs ≥ 2 colours",IF(AND($BR44&lt;&gt;"",$BR44&lt;&gt;"No FRET",N($BS44)+N($BT44)+N($BU44)=0),"⚠ FRET: set R","✔ OK")))))))</f>
        <v/>
      </c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7" t="str">
        <f aca="false">IF(OR($CJ44="",$CJ44="No FRET",N($CK44)&lt;=0,N($V44)&lt;=0),"",1/(1+($CK44/$V44)^6))</f>
        <v/>
      </c>
      <c r="CO44" s="27" t="str">
        <f aca="false">IF(OR($CJ44="",$CJ44="No FRET",N($CL44)&lt;=0,N($W44)&lt;=0),"",1/(1+($CL44/$W44)^6))</f>
        <v/>
      </c>
      <c r="CP44" s="27" t="str">
        <f aca="false">IF(OR($CJ44="",$CJ44="No FRET",N($CM44)&lt;=0,N($X44)&lt;=0),"",1/(1+($CM44/$X44)^6))</f>
        <v/>
      </c>
      <c r="CQ44" s="28" t="str">
        <f aca="false">IF(OR($A44="",N($CC44)&lt;=0),"",IF($I44&gt;0,$CC44/($G44*$H44*$I44)/1E-024/6.022E+023/0.000000001,""))</f>
        <v/>
      </c>
      <c r="CR44" s="29" t="str">
        <f aca="false">IF(Calc!Y44=0,"",IF(Calc!W44&gt;=1,"✖ saturated (B ≥ freq.)",IF(Calc!W44&gt;0.1,"⚠ B &gt; 10% of freq.",IF(Calc!W44=0,"⚠ no brightness",IF(Calc!X44&gt;0.1,"⚠ step &gt; 10% of wr",IF(AND($CJ44&lt;&gt;"",$CJ44&lt;&gt;"No FRET",N($O44)&lt;2),"⚠ FRET needs ≥ 2 colours",IF(AND($CJ44&lt;&gt;"",$CJ44&lt;&gt;"No FRET",N($CK44)+N($CL44)+N($CM44)=0),"⚠ FRET: set R","✔ OK")))))))</f>
        <v/>
      </c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7" t="str">
        <f aca="false">IF(OR($DB44="",$DB44="No FRET",N($DC44)&lt;=0,N($V44)&lt;=0),"",1/(1+($DC44/$V44)^6))</f>
        <v/>
      </c>
      <c r="DG44" s="27" t="str">
        <f aca="false">IF(OR($DB44="",$DB44="No FRET",N($DD44)&lt;=0,N($W44)&lt;=0),"",1/(1+($DD44/$W44)^6))</f>
        <v/>
      </c>
      <c r="DH44" s="27" t="str">
        <f aca="false">IF(OR($DB44="",$DB44="No FRET",N($DE44)&lt;=0,N($X44)&lt;=0),"",1/(1+($DE44/$X44)^6))</f>
        <v/>
      </c>
      <c r="DI44" s="28" t="str">
        <f aca="false">IF(OR($A44="",N($CU44)&lt;=0),"",IF($I44&gt;0,$CU44/($G44*$H44*$I44)/1E-024/6.022E+023/0.000000001,""))</f>
        <v/>
      </c>
      <c r="DJ44" s="29" t="str">
        <f aca="false">IF(Calc!AE44=0,"",IF(Calc!AC44&gt;=1,"✖ saturated (B ≥ freq.)",IF(Calc!AC44&gt;0.1,"⚠ B &gt; 10% of freq.",IF(Calc!AC44=0,"⚠ no brightness",IF(Calc!AD44&gt;0.1,"⚠ step &gt; 10% of wr",IF(AND($DB44&lt;&gt;"",$DB44&lt;&gt;"No FRET",N($O44)&lt;2),"⚠ FRET needs ≥ 2 colours",IF(AND($DB44&lt;&gt;"",$DB44&lt;&gt;"No FRET",N($DC44)+N($DD44)+N($DE44)=0),"⚠ FRET: set R","✔ OK")))))))</f>
        <v/>
      </c>
      <c r="DK44" s="25"/>
      <c r="DL44" s="25"/>
      <c r="DM44" s="25"/>
      <c r="DN44" s="25"/>
      <c r="DO44" s="25"/>
      <c r="DP44" s="25"/>
      <c r="DQ44" s="25"/>
      <c r="DR44" s="25"/>
      <c r="DS44" s="25"/>
      <c r="DT44" s="25"/>
      <c r="DU44" s="25"/>
      <c r="DV44" s="25"/>
      <c r="DW44" s="25"/>
      <c r="DX44" s="27" t="str">
        <f aca="false">IF(OR($DT44="",$DT44="No FRET",N($DU44)&lt;=0,N($V44)&lt;=0),"",1/(1+($DU44/$V44)^6))</f>
        <v/>
      </c>
      <c r="DY44" s="27" t="str">
        <f aca="false">IF(OR($DT44="",$DT44="No FRET",N($DV44)&lt;=0,N($W44)&lt;=0),"",1/(1+($DV44/$W44)^6))</f>
        <v/>
      </c>
      <c r="DZ44" s="27" t="str">
        <f aca="false">IF(OR($DT44="",$DT44="No FRET",N($DW44)&lt;=0,N($X44)&lt;=0),"",1/(1+($DW44/$X44)^6))</f>
        <v/>
      </c>
      <c r="EA44" s="28" t="str">
        <f aca="false">IF(OR($A44="",N($DM44)&lt;=0),"",IF($I44&gt;0,$DM44/($G44*$H44*$I44)/1E-024/6.022E+023/0.000000001,""))</f>
        <v/>
      </c>
      <c r="EB44" s="29" t="str">
        <f aca="false">IF(Calc!AK44=0,"",IF(Calc!AI44&gt;=1,"✖ saturated (B ≥ freq.)",IF(Calc!AI44&gt;0.1,"⚠ B &gt; 10% of freq.",IF(Calc!AI44=0,"⚠ no brightness",IF(Calc!AJ44&gt;0.1,"⚠ step &gt; 10% of wr",IF(AND($DT44&lt;&gt;"",$DT44&lt;&gt;"No FRET",N($O44)&lt;2),"⚠ FRET needs ≥ 2 colours",IF(AND($DT44&lt;&gt;"",$DT44&lt;&gt;"No FRET",N($DU44)+N($DV44)+N($DW44)=0),"⚠ FRET: set R","✔ OK")))))))</f>
        <v/>
      </c>
      <c r="EC44" s="30" t="str">
        <f aca="false">IF($A44="","",SUM(Calc!G44,Calc!M44,Calc!S44,Calc!Y44,Calc!AE44,Calc!AK44))</f>
        <v/>
      </c>
      <c r="ED44" s="30" t="str">
        <f aca="false">IF($A44="","",N($AA44)+N($AS44)+N($BK44)+N($CC44)+N($CU44)+N($DM44))</f>
        <v/>
      </c>
      <c r="EE44" s="31" t="str">
        <f aca="false">IF($A44="","",SUM(Calc!B44,Calc!H44,Calc!N44,Calc!T44,Calc!Z44,Calc!AF44))</f>
        <v/>
      </c>
      <c r="EF44" s="31" t="str">
        <f aca="false">IF($A44="","",SUM(Calc!C44,Calc!I44,Calc!O44,Calc!U44,Calc!AA44,Calc!AG44))</f>
        <v/>
      </c>
      <c r="EG44" s="31" t="str">
        <f aca="false">IF($A44="","",SUM(Calc!D44,Calc!J44,Calc!P44,Calc!V44,Calc!AB44,Calc!AH44))</f>
        <v/>
      </c>
      <c r="EH44" s="27" t="str">
        <f aca="false">IF($A44="","",($EE44+$EF44+$EG44+IF($P44="Yes",N($Q44)*N($O44),0))*1000*$K44/1000000)</f>
        <v/>
      </c>
      <c r="EI44" s="28" t="str">
        <f aca="false">IF($A44="","",$EH44*1000000*12/1000000000)</f>
        <v/>
      </c>
      <c r="EJ44" s="32" t="str">
        <f aca="false">IF($A44="","",IF($EC44=0,"⚠ no species entered",IF(((LEFT($AP44,1)="✖")+(LEFT($BH44,1)="✖")+(LEFT($BZ44,1)="✖")+(LEFT($CR44,1)="✖")+(LEFT($DJ44,1)="✖")+(LEFT($EB44,1)="✖"))&gt;0,"✖ "&amp;((LEFT($AP44,1)="✖")+(LEFT($BH44,1)="✖")+(LEFT($BZ44,1)="✖")+(LEFT($CR44,1)="✖")+(LEFT($DJ44,1)="✖")+(LEFT($EB44,1)="✖"))&amp;" species saturated - see the species checks",IF(MIN($G44,$H44)&lt;8*$T44,"⚠ box too small laterally (&lt; 8·wr)",IF(AND($I44&gt;0,$I44&lt;3*$U44),"⚠ box too small axially (&lt; 3·wz)",IF($EI44&gt;8,"⚠ &gt; 8 GB per file: shorten the duration and use several files",IF(((LEFT($AP44,1)="⚠")+(LEFT($BH44,1)="⚠")+(LEFT($BZ44,1)="⚠")+(LEFT($CR44,1)="⚠")+(LEFT($DJ44,1)="⚠")+(LEFT($EB44,1)="⚠"))&gt;0,"⚠ "&amp;((LEFT($AP44,1)="⚠")+(LEFT($BH44,1)="⚠")+(LEFT($BZ44,1)="⚠")+(LEFT($CR44,1)="⚠")+(LEFT($DJ44,1)="⚠")+(LEFT($EB44,1)="⚠"))&amp;" species with a warning","✔ OK")))))))</f>
        <v/>
      </c>
      <c r="EK44" s="25"/>
      <c r="EL44" s="25"/>
      <c r="EM44" s="25"/>
      <c r="EN44" s="25"/>
      <c r="EO44" s="25"/>
      <c r="EP44" s="25"/>
      <c r="EQ44" s="25"/>
      <c r="ER44" s="26"/>
    </row>
    <row r="45" customFormat="false" ht="15" hidden="false" customHeight="false" outlineLevel="0" collapsed="false">
      <c r="A45" s="25"/>
      <c r="B45" s="25"/>
      <c r="C45" s="26"/>
      <c r="D45" s="26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7" t="str">
        <f aca="false">IF(OR($AH45="",$AH45="No FRET",N($AI45)&lt;=0,N($V45)&lt;=0),"",1/(1+($AI45/$V45)^6))</f>
        <v/>
      </c>
      <c r="AM45" s="27" t="str">
        <f aca="false">IF(OR($AH45="",$AH45="No FRET",N($AJ45)&lt;=0,N($W45)&lt;=0),"",1/(1+($AJ45/$W45)^6))</f>
        <v/>
      </c>
      <c r="AN45" s="27" t="str">
        <f aca="false">IF(OR($AH45="",$AH45="No FRET",N($AK45)&lt;=0,N($X45)&lt;=0),"",1/(1+($AK45/$X45)^6))</f>
        <v/>
      </c>
      <c r="AO45" s="28" t="str">
        <f aca="false">IF(OR($A45="",N($AA45)&lt;=0),"",IF($I45&gt;0,$AA45/($G45*$H45*$I45)/1E-024/6.022E+023/0.000000001,""))</f>
        <v/>
      </c>
      <c r="AP45" s="29" t="str">
        <f aca="false">IF(Calc!G45=0,"",IF(Calc!E45&gt;=1,"✖ saturated (B ≥ freq.)",IF(Calc!E45&gt;0.1,"⚠ B &gt; 10% of freq.",IF(Calc!E45=0,"⚠ no brightness",IF(Calc!F45&gt;0.1,"⚠ step &gt; 10% of wr",IF(AND($AH45&lt;&gt;"",$AH45&lt;&gt;"No FRET",N($O45)&lt;2),"⚠ FRET needs ≥ 2 colours",IF(AND($AH45&lt;&gt;"",$AH45&lt;&gt;"No FRET",N($AI45)+N($AJ45)+N($AK45)=0),"⚠ FRET: set R","✔ OK")))))))</f>
        <v/>
      </c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7" t="str">
        <f aca="false">IF(OR($AZ45="",$AZ45="No FRET",N($BA45)&lt;=0,N($V45)&lt;=0),"",1/(1+($BA45/$V45)^6))</f>
        <v/>
      </c>
      <c r="BE45" s="27" t="str">
        <f aca="false">IF(OR($AZ45="",$AZ45="No FRET",N($BB45)&lt;=0,N($W45)&lt;=0),"",1/(1+($BB45/$W45)^6))</f>
        <v/>
      </c>
      <c r="BF45" s="27" t="str">
        <f aca="false">IF(OR($AZ45="",$AZ45="No FRET",N($BC45)&lt;=0,N($X45)&lt;=0),"",1/(1+($BC45/$X45)^6))</f>
        <v/>
      </c>
      <c r="BG45" s="28" t="str">
        <f aca="false">IF(OR($A45="",N($AS45)&lt;=0),"",IF($I45&gt;0,$AS45/($G45*$H45*$I45)/1E-024/6.022E+023/0.000000001,""))</f>
        <v/>
      </c>
      <c r="BH45" s="29" t="str">
        <f aca="false">IF(Calc!M45=0,"",IF(Calc!K45&gt;=1,"✖ saturated (B ≥ freq.)",IF(Calc!K45&gt;0.1,"⚠ B &gt; 10% of freq.",IF(Calc!K45=0,"⚠ no brightness",IF(Calc!L45&gt;0.1,"⚠ step &gt; 10% of wr",IF(AND($AZ45&lt;&gt;"",$AZ45&lt;&gt;"No FRET",N($O45)&lt;2),"⚠ FRET needs ≥ 2 colours",IF(AND($AZ45&lt;&gt;"",$AZ45&lt;&gt;"No FRET",N($BA45)+N($BB45)+N($BC45)=0),"⚠ FRET: set R","✔ OK")))))))</f>
        <v/>
      </c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7" t="str">
        <f aca="false">IF(OR($BR45="",$BR45="No FRET",N($BS45)&lt;=0,N($V45)&lt;=0),"",1/(1+($BS45/$V45)^6))</f>
        <v/>
      </c>
      <c r="BW45" s="27" t="str">
        <f aca="false">IF(OR($BR45="",$BR45="No FRET",N($BT45)&lt;=0,N($W45)&lt;=0),"",1/(1+($BT45/$W45)^6))</f>
        <v/>
      </c>
      <c r="BX45" s="27" t="str">
        <f aca="false">IF(OR($BR45="",$BR45="No FRET",N($BU45)&lt;=0,N($X45)&lt;=0),"",1/(1+($BU45/$X45)^6))</f>
        <v/>
      </c>
      <c r="BY45" s="28" t="str">
        <f aca="false">IF(OR($A45="",N($BK45)&lt;=0),"",IF($I45&gt;0,$BK45/($G45*$H45*$I45)/1E-024/6.022E+023/0.000000001,""))</f>
        <v/>
      </c>
      <c r="BZ45" s="29" t="str">
        <f aca="false">IF(Calc!S45=0,"",IF(Calc!Q45&gt;=1,"✖ saturated (B ≥ freq.)",IF(Calc!Q45&gt;0.1,"⚠ B &gt; 10% of freq.",IF(Calc!Q45=0,"⚠ no brightness",IF(Calc!R45&gt;0.1,"⚠ step &gt; 10% of wr",IF(AND($BR45&lt;&gt;"",$BR45&lt;&gt;"No FRET",N($O45)&lt;2),"⚠ FRET needs ≥ 2 colours",IF(AND($BR45&lt;&gt;"",$BR45&lt;&gt;"No FRET",N($BS45)+N($BT45)+N($BU45)=0),"⚠ FRET: set R","✔ OK")))))))</f>
        <v/>
      </c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7" t="str">
        <f aca="false">IF(OR($CJ45="",$CJ45="No FRET",N($CK45)&lt;=0,N($V45)&lt;=0),"",1/(1+($CK45/$V45)^6))</f>
        <v/>
      </c>
      <c r="CO45" s="27" t="str">
        <f aca="false">IF(OR($CJ45="",$CJ45="No FRET",N($CL45)&lt;=0,N($W45)&lt;=0),"",1/(1+($CL45/$W45)^6))</f>
        <v/>
      </c>
      <c r="CP45" s="27" t="str">
        <f aca="false">IF(OR($CJ45="",$CJ45="No FRET",N($CM45)&lt;=0,N($X45)&lt;=0),"",1/(1+($CM45/$X45)^6))</f>
        <v/>
      </c>
      <c r="CQ45" s="28" t="str">
        <f aca="false">IF(OR($A45="",N($CC45)&lt;=0),"",IF($I45&gt;0,$CC45/($G45*$H45*$I45)/1E-024/6.022E+023/0.000000001,""))</f>
        <v/>
      </c>
      <c r="CR45" s="29" t="str">
        <f aca="false">IF(Calc!Y45=0,"",IF(Calc!W45&gt;=1,"✖ saturated (B ≥ freq.)",IF(Calc!W45&gt;0.1,"⚠ B &gt; 10% of freq.",IF(Calc!W45=0,"⚠ no brightness",IF(Calc!X45&gt;0.1,"⚠ step &gt; 10% of wr",IF(AND($CJ45&lt;&gt;"",$CJ45&lt;&gt;"No FRET",N($O45)&lt;2),"⚠ FRET needs ≥ 2 colours",IF(AND($CJ45&lt;&gt;"",$CJ45&lt;&gt;"No FRET",N($CK45)+N($CL45)+N($CM45)=0),"⚠ FRET: set R","✔ OK")))))))</f>
        <v/>
      </c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7" t="str">
        <f aca="false">IF(OR($DB45="",$DB45="No FRET",N($DC45)&lt;=0,N($V45)&lt;=0),"",1/(1+($DC45/$V45)^6))</f>
        <v/>
      </c>
      <c r="DG45" s="27" t="str">
        <f aca="false">IF(OR($DB45="",$DB45="No FRET",N($DD45)&lt;=0,N($W45)&lt;=0),"",1/(1+($DD45/$W45)^6))</f>
        <v/>
      </c>
      <c r="DH45" s="27" t="str">
        <f aca="false">IF(OR($DB45="",$DB45="No FRET",N($DE45)&lt;=0,N($X45)&lt;=0),"",1/(1+($DE45/$X45)^6))</f>
        <v/>
      </c>
      <c r="DI45" s="28" t="str">
        <f aca="false">IF(OR($A45="",N($CU45)&lt;=0),"",IF($I45&gt;0,$CU45/($G45*$H45*$I45)/1E-024/6.022E+023/0.000000001,""))</f>
        <v/>
      </c>
      <c r="DJ45" s="29" t="str">
        <f aca="false">IF(Calc!AE45=0,"",IF(Calc!AC45&gt;=1,"✖ saturated (B ≥ freq.)",IF(Calc!AC45&gt;0.1,"⚠ B &gt; 10% of freq.",IF(Calc!AC45=0,"⚠ no brightness",IF(Calc!AD45&gt;0.1,"⚠ step &gt; 10% of wr",IF(AND($DB45&lt;&gt;"",$DB45&lt;&gt;"No FRET",N($O45)&lt;2),"⚠ FRET needs ≥ 2 colours",IF(AND($DB45&lt;&gt;"",$DB45&lt;&gt;"No FRET",N($DC45)+N($DD45)+N($DE45)=0),"⚠ FRET: set R","✔ OK")))))))</f>
        <v/>
      </c>
      <c r="DK45" s="25"/>
      <c r="DL45" s="25"/>
      <c r="DM45" s="25"/>
      <c r="DN45" s="25"/>
      <c r="DO45" s="25"/>
      <c r="DP45" s="25"/>
      <c r="DQ45" s="25"/>
      <c r="DR45" s="25"/>
      <c r="DS45" s="25"/>
      <c r="DT45" s="25"/>
      <c r="DU45" s="25"/>
      <c r="DV45" s="25"/>
      <c r="DW45" s="25"/>
      <c r="DX45" s="27" t="str">
        <f aca="false">IF(OR($DT45="",$DT45="No FRET",N($DU45)&lt;=0,N($V45)&lt;=0),"",1/(1+($DU45/$V45)^6))</f>
        <v/>
      </c>
      <c r="DY45" s="27" t="str">
        <f aca="false">IF(OR($DT45="",$DT45="No FRET",N($DV45)&lt;=0,N($W45)&lt;=0),"",1/(1+($DV45/$W45)^6))</f>
        <v/>
      </c>
      <c r="DZ45" s="27" t="str">
        <f aca="false">IF(OR($DT45="",$DT45="No FRET",N($DW45)&lt;=0,N($X45)&lt;=0),"",1/(1+($DW45/$X45)^6))</f>
        <v/>
      </c>
      <c r="EA45" s="28" t="str">
        <f aca="false">IF(OR($A45="",N($DM45)&lt;=0),"",IF($I45&gt;0,$DM45/($G45*$H45*$I45)/1E-024/6.022E+023/0.000000001,""))</f>
        <v/>
      </c>
      <c r="EB45" s="29" t="str">
        <f aca="false">IF(Calc!AK45=0,"",IF(Calc!AI45&gt;=1,"✖ saturated (B ≥ freq.)",IF(Calc!AI45&gt;0.1,"⚠ B &gt; 10% of freq.",IF(Calc!AI45=0,"⚠ no brightness",IF(Calc!AJ45&gt;0.1,"⚠ step &gt; 10% of wr",IF(AND($DT45&lt;&gt;"",$DT45&lt;&gt;"No FRET",N($O45)&lt;2),"⚠ FRET needs ≥ 2 colours",IF(AND($DT45&lt;&gt;"",$DT45&lt;&gt;"No FRET",N($DU45)+N($DV45)+N($DW45)=0),"⚠ FRET: set R","✔ OK")))))))</f>
        <v/>
      </c>
      <c r="EC45" s="30" t="str">
        <f aca="false">IF($A45="","",SUM(Calc!G45,Calc!M45,Calc!S45,Calc!Y45,Calc!AE45,Calc!AK45))</f>
        <v/>
      </c>
      <c r="ED45" s="30" t="str">
        <f aca="false">IF($A45="","",N($AA45)+N($AS45)+N($BK45)+N($CC45)+N($CU45)+N($DM45))</f>
        <v/>
      </c>
      <c r="EE45" s="31" t="str">
        <f aca="false">IF($A45="","",SUM(Calc!B45,Calc!H45,Calc!N45,Calc!T45,Calc!Z45,Calc!AF45))</f>
        <v/>
      </c>
      <c r="EF45" s="31" t="str">
        <f aca="false">IF($A45="","",SUM(Calc!C45,Calc!I45,Calc!O45,Calc!U45,Calc!AA45,Calc!AG45))</f>
        <v/>
      </c>
      <c r="EG45" s="31" t="str">
        <f aca="false">IF($A45="","",SUM(Calc!D45,Calc!J45,Calc!P45,Calc!V45,Calc!AB45,Calc!AH45))</f>
        <v/>
      </c>
      <c r="EH45" s="27" t="str">
        <f aca="false">IF($A45="","",($EE45+$EF45+$EG45+IF($P45="Yes",N($Q45)*N($O45),0))*1000*$K45/1000000)</f>
        <v/>
      </c>
      <c r="EI45" s="28" t="str">
        <f aca="false">IF($A45="","",$EH45*1000000*12/1000000000)</f>
        <v/>
      </c>
      <c r="EJ45" s="32" t="str">
        <f aca="false">IF($A45="","",IF($EC45=0,"⚠ no species entered",IF(((LEFT($AP45,1)="✖")+(LEFT($BH45,1)="✖")+(LEFT($BZ45,1)="✖")+(LEFT($CR45,1)="✖")+(LEFT($DJ45,1)="✖")+(LEFT($EB45,1)="✖"))&gt;0,"✖ "&amp;((LEFT($AP45,1)="✖")+(LEFT($BH45,1)="✖")+(LEFT($BZ45,1)="✖")+(LEFT($CR45,1)="✖")+(LEFT($DJ45,1)="✖")+(LEFT($EB45,1)="✖"))&amp;" species saturated - see the species checks",IF(MIN($G45,$H45)&lt;8*$T45,"⚠ box too small laterally (&lt; 8·wr)",IF(AND($I45&gt;0,$I45&lt;3*$U45),"⚠ box too small axially (&lt; 3·wz)",IF($EI45&gt;8,"⚠ &gt; 8 GB per file: shorten the duration and use several files",IF(((LEFT($AP45,1)="⚠")+(LEFT($BH45,1)="⚠")+(LEFT($BZ45,1)="⚠")+(LEFT($CR45,1)="⚠")+(LEFT($DJ45,1)="⚠")+(LEFT($EB45,1)="⚠"))&gt;0,"⚠ "&amp;((LEFT($AP45,1)="⚠")+(LEFT($BH45,1)="⚠")+(LEFT($BZ45,1)="⚠")+(LEFT($CR45,1)="⚠")+(LEFT($DJ45,1)="⚠")+(LEFT($EB45,1)="⚠"))&amp;" species with a warning","✔ OK")))))))</f>
        <v/>
      </c>
      <c r="EK45" s="25"/>
      <c r="EL45" s="25"/>
      <c r="EM45" s="25"/>
      <c r="EN45" s="25"/>
      <c r="EO45" s="25"/>
      <c r="EP45" s="25"/>
      <c r="EQ45" s="25"/>
      <c r="ER45" s="26"/>
    </row>
    <row r="46" customFormat="false" ht="15" hidden="false" customHeight="false" outlineLevel="0" collapsed="false">
      <c r="A46" s="25"/>
      <c r="B46" s="25"/>
      <c r="C46" s="26"/>
      <c r="D46" s="26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7" t="str">
        <f aca="false">IF(OR($AH46="",$AH46="No FRET",N($AI46)&lt;=0,N($V46)&lt;=0),"",1/(1+($AI46/$V46)^6))</f>
        <v/>
      </c>
      <c r="AM46" s="27" t="str">
        <f aca="false">IF(OR($AH46="",$AH46="No FRET",N($AJ46)&lt;=0,N($W46)&lt;=0),"",1/(1+($AJ46/$W46)^6))</f>
        <v/>
      </c>
      <c r="AN46" s="27" t="str">
        <f aca="false">IF(OR($AH46="",$AH46="No FRET",N($AK46)&lt;=0,N($X46)&lt;=0),"",1/(1+($AK46/$X46)^6))</f>
        <v/>
      </c>
      <c r="AO46" s="28" t="str">
        <f aca="false">IF(OR($A46="",N($AA46)&lt;=0),"",IF($I46&gt;0,$AA46/($G46*$H46*$I46)/1E-024/6.022E+023/0.000000001,""))</f>
        <v/>
      </c>
      <c r="AP46" s="29" t="str">
        <f aca="false">IF(Calc!G46=0,"",IF(Calc!E46&gt;=1,"✖ saturated (B ≥ freq.)",IF(Calc!E46&gt;0.1,"⚠ B &gt; 10% of freq.",IF(Calc!E46=0,"⚠ no brightness",IF(Calc!F46&gt;0.1,"⚠ step &gt; 10% of wr",IF(AND($AH46&lt;&gt;"",$AH46&lt;&gt;"No FRET",N($O46)&lt;2),"⚠ FRET needs ≥ 2 colours",IF(AND($AH46&lt;&gt;"",$AH46&lt;&gt;"No FRET",N($AI46)+N($AJ46)+N($AK46)=0),"⚠ FRET: set R","✔ OK")))))))</f>
        <v/>
      </c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7" t="str">
        <f aca="false">IF(OR($AZ46="",$AZ46="No FRET",N($BA46)&lt;=0,N($V46)&lt;=0),"",1/(1+($BA46/$V46)^6))</f>
        <v/>
      </c>
      <c r="BE46" s="27" t="str">
        <f aca="false">IF(OR($AZ46="",$AZ46="No FRET",N($BB46)&lt;=0,N($W46)&lt;=0),"",1/(1+($BB46/$W46)^6))</f>
        <v/>
      </c>
      <c r="BF46" s="27" t="str">
        <f aca="false">IF(OR($AZ46="",$AZ46="No FRET",N($BC46)&lt;=0,N($X46)&lt;=0),"",1/(1+($BC46/$X46)^6))</f>
        <v/>
      </c>
      <c r="BG46" s="28" t="str">
        <f aca="false">IF(OR($A46="",N($AS46)&lt;=0),"",IF($I46&gt;0,$AS46/($G46*$H46*$I46)/1E-024/6.022E+023/0.000000001,""))</f>
        <v/>
      </c>
      <c r="BH46" s="29" t="str">
        <f aca="false">IF(Calc!M46=0,"",IF(Calc!K46&gt;=1,"✖ saturated (B ≥ freq.)",IF(Calc!K46&gt;0.1,"⚠ B &gt; 10% of freq.",IF(Calc!K46=0,"⚠ no brightness",IF(Calc!L46&gt;0.1,"⚠ step &gt; 10% of wr",IF(AND($AZ46&lt;&gt;"",$AZ46&lt;&gt;"No FRET",N($O46)&lt;2),"⚠ FRET needs ≥ 2 colours",IF(AND($AZ46&lt;&gt;"",$AZ46&lt;&gt;"No FRET",N($BA46)+N($BB46)+N($BC46)=0),"⚠ FRET: set R","✔ OK")))))))</f>
        <v/>
      </c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7" t="str">
        <f aca="false">IF(OR($BR46="",$BR46="No FRET",N($BS46)&lt;=0,N($V46)&lt;=0),"",1/(1+($BS46/$V46)^6))</f>
        <v/>
      </c>
      <c r="BW46" s="27" t="str">
        <f aca="false">IF(OR($BR46="",$BR46="No FRET",N($BT46)&lt;=0,N($W46)&lt;=0),"",1/(1+($BT46/$W46)^6))</f>
        <v/>
      </c>
      <c r="BX46" s="27" t="str">
        <f aca="false">IF(OR($BR46="",$BR46="No FRET",N($BU46)&lt;=0,N($X46)&lt;=0),"",1/(1+($BU46/$X46)^6))</f>
        <v/>
      </c>
      <c r="BY46" s="28" t="str">
        <f aca="false">IF(OR($A46="",N($BK46)&lt;=0),"",IF($I46&gt;0,$BK46/($G46*$H46*$I46)/1E-024/6.022E+023/0.000000001,""))</f>
        <v/>
      </c>
      <c r="BZ46" s="29" t="str">
        <f aca="false">IF(Calc!S46=0,"",IF(Calc!Q46&gt;=1,"✖ saturated (B ≥ freq.)",IF(Calc!Q46&gt;0.1,"⚠ B &gt; 10% of freq.",IF(Calc!Q46=0,"⚠ no brightness",IF(Calc!R46&gt;0.1,"⚠ step &gt; 10% of wr",IF(AND($BR46&lt;&gt;"",$BR46&lt;&gt;"No FRET",N($O46)&lt;2),"⚠ FRET needs ≥ 2 colours",IF(AND($BR46&lt;&gt;"",$BR46&lt;&gt;"No FRET",N($BS46)+N($BT46)+N($BU46)=0),"⚠ FRET: set R","✔ OK")))))))</f>
        <v/>
      </c>
      <c r="CA46" s="25"/>
      <c r="CB46" s="25"/>
      <c r="CC46" s="25"/>
      <c r="CD46" s="25"/>
      <c r="CE46" s="25"/>
      <c r="CF46" s="25"/>
      <c r="CG46" s="25"/>
      <c r="CH46" s="25"/>
      <c r="CI46" s="25"/>
      <c r="CJ46" s="25"/>
      <c r="CK46" s="25"/>
      <c r="CL46" s="25"/>
      <c r="CM46" s="25"/>
      <c r="CN46" s="27" t="str">
        <f aca="false">IF(OR($CJ46="",$CJ46="No FRET",N($CK46)&lt;=0,N($V46)&lt;=0),"",1/(1+($CK46/$V46)^6))</f>
        <v/>
      </c>
      <c r="CO46" s="27" t="str">
        <f aca="false">IF(OR($CJ46="",$CJ46="No FRET",N($CL46)&lt;=0,N($W46)&lt;=0),"",1/(1+($CL46/$W46)^6))</f>
        <v/>
      </c>
      <c r="CP46" s="27" t="str">
        <f aca="false">IF(OR($CJ46="",$CJ46="No FRET",N($CM46)&lt;=0,N($X46)&lt;=0),"",1/(1+($CM46/$X46)^6))</f>
        <v/>
      </c>
      <c r="CQ46" s="28" t="str">
        <f aca="false">IF(OR($A46="",N($CC46)&lt;=0),"",IF($I46&gt;0,$CC46/($G46*$H46*$I46)/1E-024/6.022E+023/0.000000001,""))</f>
        <v/>
      </c>
      <c r="CR46" s="29" t="str">
        <f aca="false">IF(Calc!Y46=0,"",IF(Calc!W46&gt;=1,"✖ saturated (B ≥ freq.)",IF(Calc!W46&gt;0.1,"⚠ B &gt; 10% of freq.",IF(Calc!W46=0,"⚠ no brightness",IF(Calc!X46&gt;0.1,"⚠ step &gt; 10% of wr",IF(AND($CJ46&lt;&gt;"",$CJ46&lt;&gt;"No FRET",N($O46)&lt;2),"⚠ FRET needs ≥ 2 colours",IF(AND($CJ46&lt;&gt;"",$CJ46&lt;&gt;"No FRET",N($CK46)+N($CL46)+N($CM46)=0),"⚠ FRET: set R","✔ OK")))))))</f>
        <v/>
      </c>
      <c r="CS46" s="25"/>
      <c r="CT46" s="25"/>
      <c r="CU46" s="25"/>
      <c r="CV46" s="25"/>
      <c r="CW46" s="25"/>
      <c r="CX46" s="25"/>
      <c r="CY46" s="25"/>
      <c r="CZ46" s="25"/>
      <c r="DA46" s="25"/>
      <c r="DB46" s="25"/>
      <c r="DC46" s="25"/>
      <c r="DD46" s="25"/>
      <c r="DE46" s="25"/>
      <c r="DF46" s="27" t="str">
        <f aca="false">IF(OR($DB46="",$DB46="No FRET",N($DC46)&lt;=0,N($V46)&lt;=0),"",1/(1+($DC46/$V46)^6))</f>
        <v/>
      </c>
      <c r="DG46" s="27" t="str">
        <f aca="false">IF(OR($DB46="",$DB46="No FRET",N($DD46)&lt;=0,N($W46)&lt;=0),"",1/(1+($DD46/$W46)^6))</f>
        <v/>
      </c>
      <c r="DH46" s="27" t="str">
        <f aca="false">IF(OR($DB46="",$DB46="No FRET",N($DE46)&lt;=0,N($X46)&lt;=0),"",1/(1+($DE46/$X46)^6))</f>
        <v/>
      </c>
      <c r="DI46" s="28" t="str">
        <f aca="false">IF(OR($A46="",N($CU46)&lt;=0),"",IF($I46&gt;0,$CU46/($G46*$H46*$I46)/1E-024/6.022E+023/0.000000001,""))</f>
        <v/>
      </c>
      <c r="DJ46" s="29" t="str">
        <f aca="false">IF(Calc!AE46=0,"",IF(Calc!AC46&gt;=1,"✖ saturated (B ≥ freq.)",IF(Calc!AC46&gt;0.1,"⚠ B &gt; 10% of freq.",IF(Calc!AC46=0,"⚠ no brightness",IF(Calc!AD46&gt;0.1,"⚠ step &gt; 10% of wr",IF(AND($DB46&lt;&gt;"",$DB46&lt;&gt;"No FRET",N($O46)&lt;2),"⚠ FRET needs ≥ 2 colours",IF(AND($DB46&lt;&gt;"",$DB46&lt;&gt;"No FRET",N($DC46)+N($DD46)+N($DE46)=0),"⚠ FRET: set R","✔ OK")))))))</f>
        <v/>
      </c>
      <c r="DK46" s="25"/>
      <c r="DL46" s="25"/>
      <c r="DM46" s="25"/>
      <c r="DN46" s="25"/>
      <c r="DO46" s="25"/>
      <c r="DP46" s="25"/>
      <c r="DQ46" s="25"/>
      <c r="DR46" s="25"/>
      <c r="DS46" s="25"/>
      <c r="DT46" s="25"/>
      <c r="DU46" s="25"/>
      <c r="DV46" s="25"/>
      <c r="DW46" s="25"/>
      <c r="DX46" s="27" t="str">
        <f aca="false">IF(OR($DT46="",$DT46="No FRET",N($DU46)&lt;=0,N($V46)&lt;=0),"",1/(1+($DU46/$V46)^6))</f>
        <v/>
      </c>
      <c r="DY46" s="27" t="str">
        <f aca="false">IF(OR($DT46="",$DT46="No FRET",N($DV46)&lt;=0,N($W46)&lt;=0),"",1/(1+($DV46/$W46)^6))</f>
        <v/>
      </c>
      <c r="DZ46" s="27" t="str">
        <f aca="false">IF(OR($DT46="",$DT46="No FRET",N($DW46)&lt;=0,N($X46)&lt;=0),"",1/(1+($DW46/$X46)^6))</f>
        <v/>
      </c>
      <c r="EA46" s="28" t="str">
        <f aca="false">IF(OR($A46="",N($DM46)&lt;=0),"",IF($I46&gt;0,$DM46/($G46*$H46*$I46)/1E-024/6.022E+023/0.000000001,""))</f>
        <v/>
      </c>
      <c r="EB46" s="29" t="str">
        <f aca="false">IF(Calc!AK46=0,"",IF(Calc!AI46&gt;=1,"✖ saturated (B ≥ freq.)",IF(Calc!AI46&gt;0.1,"⚠ B &gt; 10% of freq.",IF(Calc!AI46=0,"⚠ no brightness",IF(Calc!AJ46&gt;0.1,"⚠ step &gt; 10% of wr",IF(AND($DT46&lt;&gt;"",$DT46&lt;&gt;"No FRET",N($O46)&lt;2),"⚠ FRET needs ≥ 2 colours",IF(AND($DT46&lt;&gt;"",$DT46&lt;&gt;"No FRET",N($DU46)+N($DV46)+N($DW46)=0),"⚠ FRET: set R","✔ OK")))))))</f>
        <v/>
      </c>
      <c r="EC46" s="30" t="str">
        <f aca="false">IF($A46="","",SUM(Calc!G46,Calc!M46,Calc!S46,Calc!Y46,Calc!AE46,Calc!AK46))</f>
        <v/>
      </c>
      <c r="ED46" s="30" t="str">
        <f aca="false">IF($A46="","",N($AA46)+N($AS46)+N($BK46)+N($CC46)+N($CU46)+N($DM46))</f>
        <v/>
      </c>
      <c r="EE46" s="31" t="str">
        <f aca="false">IF($A46="","",SUM(Calc!B46,Calc!H46,Calc!N46,Calc!T46,Calc!Z46,Calc!AF46))</f>
        <v/>
      </c>
      <c r="EF46" s="31" t="str">
        <f aca="false">IF($A46="","",SUM(Calc!C46,Calc!I46,Calc!O46,Calc!U46,Calc!AA46,Calc!AG46))</f>
        <v/>
      </c>
      <c r="EG46" s="31" t="str">
        <f aca="false">IF($A46="","",SUM(Calc!D46,Calc!J46,Calc!P46,Calc!V46,Calc!AB46,Calc!AH46))</f>
        <v/>
      </c>
      <c r="EH46" s="27" t="str">
        <f aca="false">IF($A46="","",($EE46+$EF46+$EG46+IF($P46="Yes",N($Q46)*N($O46),0))*1000*$K46/1000000)</f>
        <v/>
      </c>
      <c r="EI46" s="28" t="str">
        <f aca="false">IF($A46="","",$EH46*1000000*12/1000000000)</f>
        <v/>
      </c>
      <c r="EJ46" s="32" t="str">
        <f aca="false">IF($A46="","",IF($EC46=0,"⚠ no species entered",IF(((LEFT($AP46,1)="✖")+(LEFT($BH46,1)="✖")+(LEFT($BZ46,1)="✖")+(LEFT($CR46,1)="✖")+(LEFT($DJ46,1)="✖")+(LEFT($EB46,1)="✖"))&gt;0,"✖ "&amp;((LEFT($AP46,1)="✖")+(LEFT($BH46,1)="✖")+(LEFT($BZ46,1)="✖")+(LEFT($CR46,1)="✖")+(LEFT($DJ46,1)="✖")+(LEFT($EB46,1)="✖"))&amp;" species saturated - see the species checks",IF(MIN($G46,$H46)&lt;8*$T46,"⚠ box too small laterally (&lt; 8·wr)",IF(AND($I46&gt;0,$I46&lt;3*$U46),"⚠ box too small axially (&lt; 3·wz)",IF($EI46&gt;8,"⚠ &gt; 8 GB per file: shorten the duration and use several files",IF(((LEFT($AP46,1)="⚠")+(LEFT($BH46,1)="⚠")+(LEFT($BZ46,1)="⚠")+(LEFT($CR46,1)="⚠")+(LEFT($DJ46,1)="⚠")+(LEFT($EB46,1)="⚠"))&gt;0,"⚠ "&amp;((LEFT($AP46,1)="⚠")+(LEFT($BH46,1)="⚠")+(LEFT($BZ46,1)="⚠")+(LEFT($CR46,1)="⚠")+(LEFT($DJ46,1)="⚠")+(LEFT($EB46,1)="⚠"))&amp;" species with a warning","✔ OK")))))))</f>
        <v/>
      </c>
      <c r="EK46" s="25"/>
      <c r="EL46" s="25"/>
      <c r="EM46" s="25"/>
      <c r="EN46" s="25"/>
      <c r="EO46" s="25"/>
      <c r="EP46" s="25"/>
      <c r="EQ46" s="25"/>
      <c r="ER46" s="26"/>
    </row>
    <row r="47" customFormat="false" ht="15" hidden="false" customHeight="false" outlineLevel="0" collapsed="false">
      <c r="A47" s="25"/>
      <c r="B47" s="25"/>
      <c r="C47" s="26"/>
      <c r="D47" s="26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7" t="str">
        <f aca="false">IF(OR($AH47="",$AH47="No FRET",N($AI47)&lt;=0,N($V47)&lt;=0),"",1/(1+($AI47/$V47)^6))</f>
        <v/>
      </c>
      <c r="AM47" s="27" t="str">
        <f aca="false">IF(OR($AH47="",$AH47="No FRET",N($AJ47)&lt;=0,N($W47)&lt;=0),"",1/(1+($AJ47/$W47)^6))</f>
        <v/>
      </c>
      <c r="AN47" s="27" t="str">
        <f aca="false">IF(OR($AH47="",$AH47="No FRET",N($AK47)&lt;=0,N($X47)&lt;=0),"",1/(1+($AK47/$X47)^6))</f>
        <v/>
      </c>
      <c r="AO47" s="28" t="str">
        <f aca="false">IF(OR($A47="",N($AA47)&lt;=0),"",IF($I47&gt;0,$AA47/($G47*$H47*$I47)/1E-024/6.022E+023/0.000000001,""))</f>
        <v/>
      </c>
      <c r="AP47" s="29" t="str">
        <f aca="false">IF(Calc!G47=0,"",IF(Calc!E47&gt;=1,"✖ saturated (B ≥ freq.)",IF(Calc!E47&gt;0.1,"⚠ B &gt; 10% of freq.",IF(Calc!E47=0,"⚠ no brightness",IF(Calc!F47&gt;0.1,"⚠ step &gt; 10% of wr",IF(AND($AH47&lt;&gt;"",$AH47&lt;&gt;"No FRET",N($O47)&lt;2),"⚠ FRET needs ≥ 2 colours",IF(AND($AH47&lt;&gt;"",$AH47&lt;&gt;"No FRET",N($AI47)+N($AJ47)+N($AK47)=0),"⚠ FRET: set R","✔ OK")))))))</f>
        <v/>
      </c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7" t="str">
        <f aca="false">IF(OR($AZ47="",$AZ47="No FRET",N($BA47)&lt;=0,N($V47)&lt;=0),"",1/(1+($BA47/$V47)^6))</f>
        <v/>
      </c>
      <c r="BE47" s="27" t="str">
        <f aca="false">IF(OR($AZ47="",$AZ47="No FRET",N($BB47)&lt;=0,N($W47)&lt;=0),"",1/(1+($BB47/$W47)^6))</f>
        <v/>
      </c>
      <c r="BF47" s="27" t="str">
        <f aca="false">IF(OR($AZ47="",$AZ47="No FRET",N($BC47)&lt;=0,N($X47)&lt;=0),"",1/(1+($BC47/$X47)^6))</f>
        <v/>
      </c>
      <c r="BG47" s="28" t="str">
        <f aca="false">IF(OR($A47="",N($AS47)&lt;=0),"",IF($I47&gt;0,$AS47/($G47*$H47*$I47)/1E-024/6.022E+023/0.000000001,""))</f>
        <v/>
      </c>
      <c r="BH47" s="29" t="str">
        <f aca="false">IF(Calc!M47=0,"",IF(Calc!K47&gt;=1,"✖ saturated (B ≥ freq.)",IF(Calc!K47&gt;0.1,"⚠ B &gt; 10% of freq.",IF(Calc!K47=0,"⚠ no brightness",IF(Calc!L47&gt;0.1,"⚠ step &gt; 10% of wr",IF(AND($AZ47&lt;&gt;"",$AZ47&lt;&gt;"No FRET",N($O47)&lt;2),"⚠ FRET needs ≥ 2 colours",IF(AND($AZ47&lt;&gt;"",$AZ47&lt;&gt;"No FRET",N($BA47)+N($BB47)+N($BC47)=0),"⚠ FRET: set R","✔ OK")))))))</f>
        <v/>
      </c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7" t="str">
        <f aca="false">IF(OR($BR47="",$BR47="No FRET",N($BS47)&lt;=0,N($V47)&lt;=0),"",1/(1+($BS47/$V47)^6))</f>
        <v/>
      </c>
      <c r="BW47" s="27" t="str">
        <f aca="false">IF(OR($BR47="",$BR47="No FRET",N($BT47)&lt;=0,N($W47)&lt;=0),"",1/(1+($BT47/$W47)^6))</f>
        <v/>
      </c>
      <c r="BX47" s="27" t="str">
        <f aca="false">IF(OR($BR47="",$BR47="No FRET",N($BU47)&lt;=0,N($X47)&lt;=0),"",1/(1+($BU47/$X47)^6))</f>
        <v/>
      </c>
      <c r="BY47" s="28" t="str">
        <f aca="false">IF(OR($A47="",N($BK47)&lt;=0),"",IF($I47&gt;0,$BK47/($G47*$H47*$I47)/1E-024/6.022E+023/0.000000001,""))</f>
        <v/>
      </c>
      <c r="BZ47" s="29" t="str">
        <f aca="false">IF(Calc!S47=0,"",IF(Calc!Q47&gt;=1,"✖ saturated (B ≥ freq.)",IF(Calc!Q47&gt;0.1,"⚠ B &gt; 10% of freq.",IF(Calc!Q47=0,"⚠ no brightness",IF(Calc!R47&gt;0.1,"⚠ step &gt; 10% of wr",IF(AND($BR47&lt;&gt;"",$BR47&lt;&gt;"No FRET",N($O47)&lt;2),"⚠ FRET needs ≥ 2 colours",IF(AND($BR47&lt;&gt;"",$BR47&lt;&gt;"No FRET",N($BS47)+N($BT47)+N($BU47)=0),"⚠ FRET: set R","✔ OK")))))))</f>
        <v/>
      </c>
      <c r="CA47" s="25"/>
      <c r="CB47" s="25"/>
      <c r="CC47" s="25"/>
      <c r="CD47" s="25"/>
      <c r="CE47" s="25"/>
      <c r="CF47" s="25"/>
      <c r="CG47" s="25"/>
      <c r="CH47" s="25"/>
      <c r="CI47" s="25"/>
      <c r="CJ47" s="25"/>
      <c r="CK47" s="25"/>
      <c r="CL47" s="25"/>
      <c r="CM47" s="25"/>
      <c r="CN47" s="27" t="str">
        <f aca="false">IF(OR($CJ47="",$CJ47="No FRET",N($CK47)&lt;=0,N($V47)&lt;=0),"",1/(1+($CK47/$V47)^6))</f>
        <v/>
      </c>
      <c r="CO47" s="27" t="str">
        <f aca="false">IF(OR($CJ47="",$CJ47="No FRET",N($CL47)&lt;=0,N($W47)&lt;=0),"",1/(1+($CL47/$W47)^6))</f>
        <v/>
      </c>
      <c r="CP47" s="27" t="str">
        <f aca="false">IF(OR($CJ47="",$CJ47="No FRET",N($CM47)&lt;=0,N($X47)&lt;=0),"",1/(1+($CM47/$X47)^6))</f>
        <v/>
      </c>
      <c r="CQ47" s="28" t="str">
        <f aca="false">IF(OR($A47="",N($CC47)&lt;=0),"",IF($I47&gt;0,$CC47/($G47*$H47*$I47)/1E-024/6.022E+023/0.000000001,""))</f>
        <v/>
      </c>
      <c r="CR47" s="29" t="str">
        <f aca="false">IF(Calc!Y47=0,"",IF(Calc!W47&gt;=1,"✖ saturated (B ≥ freq.)",IF(Calc!W47&gt;0.1,"⚠ B &gt; 10% of freq.",IF(Calc!W47=0,"⚠ no brightness",IF(Calc!X47&gt;0.1,"⚠ step &gt; 10% of wr",IF(AND($CJ47&lt;&gt;"",$CJ47&lt;&gt;"No FRET",N($O47)&lt;2),"⚠ FRET needs ≥ 2 colours",IF(AND($CJ47&lt;&gt;"",$CJ47&lt;&gt;"No FRET",N($CK47)+N($CL47)+N($CM47)=0),"⚠ FRET: set R","✔ OK")))))))</f>
        <v/>
      </c>
      <c r="CS47" s="25"/>
      <c r="CT47" s="25"/>
      <c r="CU47" s="25"/>
      <c r="CV47" s="25"/>
      <c r="CW47" s="25"/>
      <c r="CX47" s="25"/>
      <c r="CY47" s="25"/>
      <c r="CZ47" s="25"/>
      <c r="DA47" s="25"/>
      <c r="DB47" s="25"/>
      <c r="DC47" s="25"/>
      <c r="DD47" s="25"/>
      <c r="DE47" s="25"/>
      <c r="DF47" s="27" t="str">
        <f aca="false">IF(OR($DB47="",$DB47="No FRET",N($DC47)&lt;=0,N($V47)&lt;=0),"",1/(1+($DC47/$V47)^6))</f>
        <v/>
      </c>
      <c r="DG47" s="27" t="str">
        <f aca="false">IF(OR($DB47="",$DB47="No FRET",N($DD47)&lt;=0,N($W47)&lt;=0),"",1/(1+($DD47/$W47)^6))</f>
        <v/>
      </c>
      <c r="DH47" s="27" t="str">
        <f aca="false">IF(OR($DB47="",$DB47="No FRET",N($DE47)&lt;=0,N($X47)&lt;=0),"",1/(1+($DE47/$X47)^6))</f>
        <v/>
      </c>
      <c r="DI47" s="28" t="str">
        <f aca="false">IF(OR($A47="",N($CU47)&lt;=0),"",IF($I47&gt;0,$CU47/($G47*$H47*$I47)/1E-024/6.022E+023/0.000000001,""))</f>
        <v/>
      </c>
      <c r="DJ47" s="29" t="str">
        <f aca="false">IF(Calc!AE47=0,"",IF(Calc!AC47&gt;=1,"✖ saturated (B ≥ freq.)",IF(Calc!AC47&gt;0.1,"⚠ B &gt; 10% of freq.",IF(Calc!AC47=0,"⚠ no brightness",IF(Calc!AD47&gt;0.1,"⚠ step &gt; 10% of wr",IF(AND($DB47&lt;&gt;"",$DB47&lt;&gt;"No FRET",N($O47)&lt;2),"⚠ FRET needs ≥ 2 colours",IF(AND($DB47&lt;&gt;"",$DB47&lt;&gt;"No FRET",N($DC47)+N($DD47)+N($DE47)=0),"⚠ FRET: set R","✔ OK")))))))</f>
        <v/>
      </c>
      <c r="DK47" s="25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7" t="str">
        <f aca="false">IF(OR($DT47="",$DT47="No FRET",N($DU47)&lt;=0,N($V47)&lt;=0),"",1/(1+($DU47/$V47)^6))</f>
        <v/>
      </c>
      <c r="DY47" s="27" t="str">
        <f aca="false">IF(OR($DT47="",$DT47="No FRET",N($DV47)&lt;=0,N($W47)&lt;=0),"",1/(1+($DV47/$W47)^6))</f>
        <v/>
      </c>
      <c r="DZ47" s="27" t="str">
        <f aca="false">IF(OR($DT47="",$DT47="No FRET",N($DW47)&lt;=0,N($X47)&lt;=0),"",1/(1+($DW47/$X47)^6))</f>
        <v/>
      </c>
      <c r="EA47" s="28" t="str">
        <f aca="false">IF(OR($A47="",N($DM47)&lt;=0),"",IF($I47&gt;0,$DM47/($G47*$H47*$I47)/1E-024/6.022E+023/0.000000001,""))</f>
        <v/>
      </c>
      <c r="EB47" s="29" t="str">
        <f aca="false">IF(Calc!AK47=0,"",IF(Calc!AI47&gt;=1,"✖ saturated (B ≥ freq.)",IF(Calc!AI47&gt;0.1,"⚠ B &gt; 10% of freq.",IF(Calc!AI47=0,"⚠ no brightness",IF(Calc!AJ47&gt;0.1,"⚠ step &gt; 10% of wr",IF(AND($DT47&lt;&gt;"",$DT47&lt;&gt;"No FRET",N($O47)&lt;2),"⚠ FRET needs ≥ 2 colours",IF(AND($DT47&lt;&gt;"",$DT47&lt;&gt;"No FRET",N($DU47)+N($DV47)+N($DW47)=0),"⚠ FRET: set R","✔ OK")))))))</f>
        <v/>
      </c>
      <c r="EC47" s="30" t="str">
        <f aca="false">IF($A47="","",SUM(Calc!G47,Calc!M47,Calc!S47,Calc!Y47,Calc!AE47,Calc!AK47))</f>
        <v/>
      </c>
      <c r="ED47" s="30" t="str">
        <f aca="false">IF($A47="","",N($AA47)+N($AS47)+N($BK47)+N($CC47)+N($CU47)+N($DM47))</f>
        <v/>
      </c>
      <c r="EE47" s="31" t="str">
        <f aca="false">IF($A47="","",SUM(Calc!B47,Calc!H47,Calc!N47,Calc!T47,Calc!Z47,Calc!AF47))</f>
        <v/>
      </c>
      <c r="EF47" s="31" t="str">
        <f aca="false">IF($A47="","",SUM(Calc!C47,Calc!I47,Calc!O47,Calc!U47,Calc!AA47,Calc!AG47))</f>
        <v/>
      </c>
      <c r="EG47" s="31" t="str">
        <f aca="false">IF($A47="","",SUM(Calc!D47,Calc!J47,Calc!P47,Calc!V47,Calc!AB47,Calc!AH47))</f>
        <v/>
      </c>
      <c r="EH47" s="27" t="str">
        <f aca="false">IF($A47="","",($EE47+$EF47+$EG47+IF($P47="Yes",N($Q47)*N($O47),0))*1000*$K47/1000000)</f>
        <v/>
      </c>
      <c r="EI47" s="28" t="str">
        <f aca="false">IF($A47="","",$EH47*1000000*12/1000000000)</f>
        <v/>
      </c>
      <c r="EJ47" s="32" t="str">
        <f aca="false">IF($A47="","",IF($EC47=0,"⚠ no species entered",IF(((LEFT($AP47,1)="✖")+(LEFT($BH47,1)="✖")+(LEFT($BZ47,1)="✖")+(LEFT($CR47,1)="✖")+(LEFT($DJ47,1)="✖")+(LEFT($EB47,1)="✖"))&gt;0,"✖ "&amp;((LEFT($AP47,1)="✖")+(LEFT($BH47,1)="✖")+(LEFT($BZ47,1)="✖")+(LEFT($CR47,1)="✖")+(LEFT($DJ47,1)="✖")+(LEFT($EB47,1)="✖"))&amp;" species saturated - see the species checks",IF(MIN($G47,$H47)&lt;8*$T47,"⚠ box too small laterally (&lt; 8·wr)",IF(AND($I47&gt;0,$I47&lt;3*$U47),"⚠ box too small axially (&lt; 3·wz)",IF($EI47&gt;8,"⚠ &gt; 8 GB per file: shorten the duration and use several files",IF(((LEFT($AP47,1)="⚠")+(LEFT($BH47,1)="⚠")+(LEFT($BZ47,1)="⚠")+(LEFT($CR47,1)="⚠")+(LEFT($DJ47,1)="⚠")+(LEFT($EB47,1)="⚠"))&gt;0,"⚠ "&amp;((LEFT($AP47,1)="⚠")+(LEFT($BH47,1)="⚠")+(LEFT($BZ47,1)="⚠")+(LEFT($CR47,1)="⚠")+(LEFT($DJ47,1)="⚠")+(LEFT($EB47,1)="⚠"))&amp;" species with a warning","✔ OK")))))))</f>
        <v/>
      </c>
      <c r="EK47" s="25"/>
      <c r="EL47" s="25"/>
      <c r="EM47" s="25"/>
      <c r="EN47" s="25"/>
      <c r="EO47" s="25"/>
      <c r="EP47" s="25"/>
      <c r="EQ47" s="25"/>
      <c r="ER47" s="26"/>
    </row>
    <row r="48" customFormat="false" ht="15" hidden="false" customHeight="false" outlineLevel="0" collapsed="false">
      <c r="A48" s="25"/>
      <c r="B48" s="25"/>
      <c r="C48" s="26"/>
      <c r="D48" s="26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7" t="str">
        <f aca="false">IF(OR($AH48="",$AH48="No FRET",N($AI48)&lt;=0,N($V48)&lt;=0),"",1/(1+($AI48/$V48)^6))</f>
        <v/>
      </c>
      <c r="AM48" s="27" t="str">
        <f aca="false">IF(OR($AH48="",$AH48="No FRET",N($AJ48)&lt;=0,N($W48)&lt;=0),"",1/(1+($AJ48/$W48)^6))</f>
        <v/>
      </c>
      <c r="AN48" s="27" t="str">
        <f aca="false">IF(OR($AH48="",$AH48="No FRET",N($AK48)&lt;=0,N($X48)&lt;=0),"",1/(1+($AK48/$X48)^6))</f>
        <v/>
      </c>
      <c r="AO48" s="28" t="str">
        <f aca="false">IF(OR($A48="",N($AA48)&lt;=0),"",IF($I48&gt;0,$AA48/($G48*$H48*$I48)/1E-024/6.022E+023/0.000000001,""))</f>
        <v/>
      </c>
      <c r="AP48" s="29" t="str">
        <f aca="false">IF(Calc!G48=0,"",IF(Calc!E48&gt;=1,"✖ saturated (B ≥ freq.)",IF(Calc!E48&gt;0.1,"⚠ B &gt; 10% of freq.",IF(Calc!E48=0,"⚠ no brightness",IF(Calc!F48&gt;0.1,"⚠ step &gt; 10% of wr",IF(AND($AH48&lt;&gt;"",$AH48&lt;&gt;"No FRET",N($O48)&lt;2),"⚠ FRET needs ≥ 2 colours",IF(AND($AH48&lt;&gt;"",$AH48&lt;&gt;"No FRET",N($AI48)+N($AJ48)+N($AK48)=0),"⚠ FRET: set R","✔ OK")))))))</f>
        <v/>
      </c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7" t="str">
        <f aca="false">IF(OR($AZ48="",$AZ48="No FRET",N($BA48)&lt;=0,N($V48)&lt;=0),"",1/(1+($BA48/$V48)^6))</f>
        <v/>
      </c>
      <c r="BE48" s="27" t="str">
        <f aca="false">IF(OR($AZ48="",$AZ48="No FRET",N($BB48)&lt;=0,N($W48)&lt;=0),"",1/(1+($BB48/$W48)^6))</f>
        <v/>
      </c>
      <c r="BF48" s="27" t="str">
        <f aca="false">IF(OR($AZ48="",$AZ48="No FRET",N($BC48)&lt;=0,N($X48)&lt;=0),"",1/(1+($BC48/$X48)^6))</f>
        <v/>
      </c>
      <c r="BG48" s="28" t="str">
        <f aca="false">IF(OR($A48="",N($AS48)&lt;=0),"",IF($I48&gt;0,$AS48/($G48*$H48*$I48)/1E-024/6.022E+023/0.000000001,""))</f>
        <v/>
      </c>
      <c r="BH48" s="29" t="str">
        <f aca="false">IF(Calc!M48=0,"",IF(Calc!K48&gt;=1,"✖ saturated (B ≥ freq.)",IF(Calc!K48&gt;0.1,"⚠ B &gt; 10% of freq.",IF(Calc!K48=0,"⚠ no brightness",IF(Calc!L48&gt;0.1,"⚠ step &gt; 10% of wr",IF(AND($AZ48&lt;&gt;"",$AZ48&lt;&gt;"No FRET",N($O48)&lt;2),"⚠ FRET needs ≥ 2 colours",IF(AND($AZ48&lt;&gt;"",$AZ48&lt;&gt;"No FRET",N($BA48)+N($BB48)+N($BC48)=0),"⚠ FRET: set R","✔ OK")))))))</f>
        <v/>
      </c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7" t="str">
        <f aca="false">IF(OR($BR48="",$BR48="No FRET",N($BS48)&lt;=0,N($V48)&lt;=0),"",1/(1+($BS48/$V48)^6))</f>
        <v/>
      </c>
      <c r="BW48" s="27" t="str">
        <f aca="false">IF(OR($BR48="",$BR48="No FRET",N($BT48)&lt;=0,N($W48)&lt;=0),"",1/(1+($BT48/$W48)^6))</f>
        <v/>
      </c>
      <c r="BX48" s="27" t="str">
        <f aca="false">IF(OR($BR48="",$BR48="No FRET",N($BU48)&lt;=0,N($X48)&lt;=0),"",1/(1+($BU48/$X48)^6))</f>
        <v/>
      </c>
      <c r="BY48" s="28" t="str">
        <f aca="false">IF(OR($A48="",N($BK48)&lt;=0),"",IF($I48&gt;0,$BK48/($G48*$H48*$I48)/1E-024/6.022E+023/0.000000001,""))</f>
        <v/>
      </c>
      <c r="BZ48" s="29" t="str">
        <f aca="false">IF(Calc!S48=0,"",IF(Calc!Q48&gt;=1,"✖ saturated (B ≥ freq.)",IF(Calc!Q48&gt;0.1,"⚠ B &gt; 10% of freq.",IF(Calc!Q48=0,"⚠ no brightness",IF(Calc!R48&gt;0.1,"⚠ step &gt; 10% of wr",IF(AND($BR48&lt;&gt;"",$BR48&lt;&gt;"No FRET",N($O48)&lt;2),"⚠ FRET needs ≥ 2 colours",IF(AND($BR48&lt;&gt;"",$BR48&lt;&gt;"No FRET",N($BS48)+N($BT48)+N($BU48)=0),"⚠ FRET: set R","✔ OK")))))))</f>
        <v/>
      </c>
      <c r="CA48" s="25"/>
      <c r="CB48" s="25"/>
      <c r="CC48" s="25"/>
      <c r="CD48" s="25"/>
      <c r="CE48" s="25"/>
      <c r="CF48" s="25"/>
      <c r="CG48" s="25"/>
      <c r="CH48" s="25"/>
      <c r="CI48" s="25"/>
      <c r="CJ48" s="25"/>
      <c r="CK48" s="25"/>
      <c r="CL48" s="25"/>
      <c r="CM48" s="25"/>
      <c r="CN48" s="27" t="str">
        <f aca="false">IF(OR($CJ48="",$CJ48="No FRET",N($CK48)&lt;=0,N($V48)&lt;=0),"",1/(1+($CK48/$V48)^6))</f>
        <v/>
      </c>
      <c r="CO48" s="27" t="str">
        <f aca="false">IF(OR($CJ48="",$CJ48="No FRET",N($CL48)&lt;=0,N($W48)&lt;=0),"",1/(1+($CL48/$W48)^6))</f>
        <v/>
      </c>
      <c r="CP48" s="27" t="str">
        <f aca="false">IF(OR($CJ48="",$CJ48="No FRET",N($CM48)&lt;=0,N($X48)&lt;=0),"",1/(1+($CM48/$X48)^6))</f>
        <v/>
      </c>
      <c r="CQ48" s="28" t="str">
        <f aca="false">IF(OR($A48="",N($CC48)&lt;=0),"",IF($I48&gt;0,$CC48/($G48*$H48*$I48)/1E-024/6.022E+023/0.000000001,""))</f>
        <v/>
      </c>
      <c r="CR48" s="29" t="str">
        <f aca="false">IF(Calc!Y48=0,"",IF(Calc!W48&gt;=1,"✖ saturated (B ≥ freq.)",IF(Calc!W48&gt;0.1,"⚠ B &gt; 10% of freq.",IF(Calc!W48=0,"⚠ no brightness",IF(Calc!X48&gt;0.1,"⚠ step &gt; 10% of wr",IF(AND($CJ48&lt;&gt;"",$CJ48&lt;&gt;"No FRET",N($O48)&lt;2),"⚠ FRET needs ≥ 2 colours",IF(AND($CJ48&lt;&gt;"",$CJ48&lt;&gt;"No FRET",N($CK48)+N($CL48)+N($CM48)=0),"⚠ FRET: set R","✔ OK")))))))</f>
        <v/>
      </c>
      <c r="CS48" s="25"/>
      <c r="CT48" s="25"/>
      <c r="CU48" s="25"/>
      <c r="CV48" s="25"/>
      <c r="CW48" s="25"/>
      <c r="CX48" s="25"/>
      <c r="CY48" s="25"/>
      <c r="CZ48" s="25"/>
      <c r="DA48" s="25"/>
      <c r="DB48" s="25"/>
      <c r="DC48" s="25"/>
      <c r="DD48" s="25"/>
      <c r="DE48" s="25"/>
      <c r="DF48" s="27" t="str">
        <f aca="false">IF(OR($DB48="",$DB48="No FRET",N($DC48)&lt;=0,N($V48)&lt;=0),"",1/(1+($DC48/$V48)^6))</f>
        <v/>
      </c>
      <c r="DG48" s="27" t="str">
        <f aca="false">IF(OR($DB48="",$DB48="No FRET",N($DD48)&lt;=0,N($W48)&lt;=0),"",1/(1+($DD48/$W48)^6))</f>
        <v/>
      </c>
      <c r="DH48" s="27" t="str">
        <f aca="false">IF(OR($DB48="",$DB48="No FRET",N($DE48)&lt;=0,N($X48)&lt;=0),"",1/(1+($DE48/$X48)^6))</f>
        <v/>
      </c>
      <c r="DI48" s="28" t="str">
        <f aca="false">IF(OR($A48="",N($CU48)&lt;=0),"",IF($I48&gt;0,$CU48/($G48*$H48*$I48)/1E-024/6.022E+023/0.000000001,""))</f>
        <v/>
      </c>
      <c r="DJ48" s="29" t="str">
        <f aca="false">IF(Calc!AE48=0,"",IF(Calc!AC48&gt;=1,"✖ saturated (B ≥ freq.)",IF(Calc!AC48&gt;0.1,"⚠ B &gt; 10% of freq.",IF(Calc!AC48=0,"⚠ no brightness",IF(Calc!AD48&gt;0.1,"⚠ step &gt; 10% of wr",IF(AND($DB48&lt;&gt;"",$DB48&lt;&gt;"No FRET",N($O48)&lt;2),"⚠ FRET needs ≥ 2 colours",IF(AND($DB48&lt;&gt;"",$DB48&lt;&gt;"No FRET",N($DC48)+N($DD48)+N($DE48)=0),"⚠ FRET: set R","✔ OK")))))))</f>
        <v/>
      </c>
      <c r="DK48" s="25"/>
      <c r="DL48" s="25"/>
      <c r="DM48" s="25"/>
      <c r="DN48" s="25"/>
      <c r="DO48" s="25"/>
      <c r="DP48" s="25"/>
      <c r="DQ48" s="25"/>
      <c r="DR48" s="25"/>
      <c r="DS48" s="25"/>
      <c r="DT48" s="25"/>
      <c r="DU48" s="25"/>
      <c r="DV48" s="25"/>
      <c r="DW48" s="25"/>
      <c r="DX48" s="27" t="str">
        <f aca="false">IF(OR($DT48="",$DT48="No FRET",N($DU48)&lt;=0,N($V48)&lt;=0),"",1/(1+($DU48/$V48)^6))</f>
        <v/>
      </c>
      <c r="DY48" s="27" t="str">
        <f aca="false">IF(OR($DT48="",$DT48="No FRET",N($DV48)&lt;=0,N($W48)&lt;=0),"",1/(1+($DV48/$W48)^6))</f>
        <v/>
      </c>
      <c r="DZ48" s="27" t="str">
        <f aca="false">IF(OR($DT48="",$DT48="No FRET",N($DW48)&lt;=0,N($X48)&lt;=0),"",1/(1+($DW48/$X48)^6))</f>
        <v/>
      </c>
      <c r="EA48" s="28" t="str">
        <f aca="false">IF(OR($A48="",N($DM48)&lt;=0),"",IF($I48&gt;0,$DM48/($G48*$H48*$I48)/1E-024/6.022E+023/0.000000001,""))</f>
        <v/>
      </c>
      <c r="EB48" s="29" t="str">
        <f aca="false">IF(Calc!AK48=0,"",IF(Calc!AI48&gt;=1,"✖ saturated (B ≥ freq.)",IF(Calc!AI48&gt;0.1,"⚠ B &gt; 10% of freq.",IF(Calc!AI48=0,"⚠ no brightness",IF(Calc!AJ48&gt;0.1,"⚠ step &gt; 10% of wr",IF(AND($DT48&lt;&gt;"",$DT48&lt;&gt;"No FRET",N($O48)&lt;2),"⚠ FRET needs ≥ 2 colours",IF(AND($DT48&lt;&gt;"",$DT48&lt;&gt;"No FRET",N($DU48)+N($DV48)+N($DW48)=0),"⚠ FRET: set R","✔ OK")))))))</f>
        <v/>
      </c>
      <c r="EC48" s="30" t="str">
        <f aca="false">IF($A48="","",SUM(Calc!G48,Calc!M48,Calc!S48,Calc!Y48,Calc!AE48,Calc!AK48))</f>
        <v/>
      </c>
      <c r="ED48" s="30" t="str">
        <f aca="false">IF($A48="","",N($AA48)+N($AS48)+N($BK48)+N($CC48)+N($CU48)+N($DM48))</f>
        <v/>
      </c>
      <c r="EE48" s="31" t="str">
        <f aca="false">IF($A48="","",SUM(Calc!B48,Calc!H48,Calc!N48,Calc!T48,Calc!Z48,Calc!AF48))</f>
        <v/>
      </c>
      <c r="EF48" s="31" t="str">
        <f aca="false">IF($A48="","",SUM(Calc!C48,Calc!I48,Calc!O48,Calc!U48,Calc!AA48,Calc!AG48))</f>
        <v/>
      </c>
      <c r="EG48" s="31" t="str">
        <f aca="false">IF($A48="","",SUM(Calc!D48,Calc!J48,Calc!P48,Calc!V48,Calc!AB48,Calc!AH48))</f>
        <v/>
      </c>
      <c r="EH48" s="27" t="str">
        <f aca="false">IF($A48="","",($EE48+$EF48+$EG48+IF($P48="Yes",N($Q48)*N($O48),0))*1000*$K48/1000000)</f>
        <v/>
      </c>
      <c r="EI48" s="28" t="str">
        <f aca="false">IF($A48="","",$EH48*1000000*12/1000000000)</f>
        <v/>
      </c>
      <c r="EJ48" s="32" t="str">
        <f aca="false">IF($A48="","",IF($EC48=0,"⚠ no species entered",IF(((LEFT($AP48,1)="✖")+(LEFT($BH48,1)="✖")+(LEFT($BZ48,1)="✖")+(LEFT($CR48,1)="✖")+(LEFT($DJ48,1)="✖")+(LEFT($EB48,1)="✖"))&gt;0,"✖ "&amp;((LEFT($AP48,1)="✖")+(LEFT($BH48,1)="✖")+(LEFT($BZ48,1)="✖")+(LEFT($CR48,1)="✖")+(LEFT($DJ48,1)="✖")+(LEFT($EB48,1)="✖"))&amp;" species saturated - see the species checks",IF(MIN($G48,$H48)&lt;8*$T48,"⚠ box too small laterally (&lt; 8·wr)",IF(AND($I48&gt;0,$I48&lt;3*$U48),"⚠ box too small axially (&lt; 3·wz)",IF($EI48&gt;8,"⚠ &gt; 8 GB per file: shorten the duration and use several files",IF(((LEFT($AP48,1)="⚠")+(LEFT($BH48,1)="⚠")+(LEFT($BZ48,1)="⚠")+(LEFT($CR48,1)="⚠")+(LEFT($DJ48,1)="⚠")+(LEFT($EB48,1)="⚠"))&gt;0,"⚠ "&amp;((LEFT($AP48,1)="⚠")+(LEFT($BH48,1)="⚠")+(LEFT($BZ48,1)="⚠")+(LEFT($CR48,1)="⚠")+(LEFT($DJ48,1)="⚠")+(LEFT($EB48,1)="⚠"))&amp;" species with a warning","✔ OK")))))))</f>
        <v/>
      </c>
      <c r="EK48" s="25"/>
      <c r="EL48" s="25"/>
      <c r="EM48" s="25"/>
      <c r="EN48" s="25"/>
      <c r="EO48" s="25"/>
      <c r="EP48" s="25"/>
      <c r="EQ48" s="25"/>
      <c r="ER48" s="26"/>
    </row>
    <row r="49" customFormat="false" ht="15" hidden="false" customHeight="false" outlineLevel="0" collapsed="false">
      <c r="A49" s="25"/>
      <c r="B49" s="25"/>
      <c r="C49" s="26"/>
      <c r="D49" s="26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7" t="str">
        <f aca="false">IF(OR($AH49="",$AH49="No FRET",N($AI49)&lt;=0,N($V49)&lt;=0),"",1/(1+($AI49/$V49)^6))</f>
        <v/>
      </c>
      <c r="AM49" s="27" t="str">
        <f aca="false">IF(OR($AH49="",$AH49="No FRET",N($AJ49)&lt;=0,N($W49)&lt;=0),"",1/(1+($AJ49/$W49)^6))</f>
        <v/>
      </c>
      <c r="AN49" s="27" t="str">
        <f aca="false">IF(OR($AH49="",$AH49="No FRET",N($AK49)&lt;=0,N($X49)&lt;=0),"",1/(1+($AK49/$X49)^6))</f>
        <v/>
      </c>
      <c r="AO49" s="28" t="str">
        <f aca="false">IF(OR($A49="",N($AA49)&lt;=0),"",IF($I49&gt;0,$AA49/($G49*$H49*$I49)/1E-024/6.022E+023/0.000000001,""))</f>
        <v/>
      </c>
      <c r="AP49" s="29" t="str">
        <f aca="false">IF(Calc!G49=0,"",IF(Calc!E49&gt;=1,"✖ saturated (B ≥ freq.)",IF(Calc!E49&gt;0.1,"⚠ B &gt; 10% of freq.",IF(Calc!E49=0,"⚠ no brightness",IF(Calc!F49&gt;0.1,"⚠ step &gt; 10% of wr",IF(AND($AH49&lt;&gt;"",$AH49&lt;&gt;"No FRET",N($O49)&lt;2),"⚠ FRET needs ≥ 2 colours",IF(AND($AH49&lt;&gt;"",$AH49&lt;&gt;"No FRET",N($AI49)+N($AJ49)+N($AK49)=0),"⚠ FRET: set R","✔ OK")))))))</f>
        <v/>
      </c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7" t="str">
        <f aca="false">IF(OR($AZ49="",$AZ49="No FRET",N($BA49)&lt;=0,N($V49)&lt;=0),"",1/(1+($BA49/$V49)^6))</f>
        <v/>
      </c>
      <c r="BE49" s="27" t="str">
        <f aca="false">IF(OR($AZ49="",$AZ49="No FRET",N($BB49)&lt;=0,N($W49)&lt;=0),"",1/(1+($BB49/$W49)^6))</f>
        <v/>
      </c>
      <c r="BF49" s="27" t="str">
        <f aca="false">IF(OR($AZ49="",$AZ49="No FRET",N($BC49)&lt;=0,N($X49)&lt;=0),"",1/(1+($BC49/$X49)^6))</f>
        <v/>
      </c>
      <c r="BG49" s="28" t="str">
        <f aca="false">IF(OR($A49="",N($AS49)&lt;=0),"",IF($I49&gt;0,$AS49/($G49*$H49*$I49)/1E-024/6.022E+023/0.000000001,""))</f>
        <v/>
      </c>
      <c r="BH49" s="29" t="str">
        <f aca="false">IF(Calc!M49=0,"",IF(Calc!K49&gt;=1,"✖ saturated (B ≥ freq.)",IF(Calc!K49&gt;0.1,"⚠ B &gt; 10% of freq.",IF(Calc!K49=0,"⚠ no brightness",IF(Calc!L49&gt;0.1,"⚠ step &gt; 10% of wr",IF(AND($AZ49&lt;&gt;"",$AZ49&lt;&gt;"No FRET",N($O49)&lt;2),"⚠ FRET needs ≥ 2 colours",IF(AND($AZ49&lt;&gt;"",$AZ49&lt;&gt;"No FRET",N($BA49)+N($BB49)+N($BC49)=0),"⚠ FRET: set R","✔ OK")))))))</f>
        <v/>
      </c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7" t="str">
        <f aca="false">IF(OR($BR49="",$BR49="No FRET",N($BS49)&lt;=0,N($V49)&lt;=0),"",1/(1+($BS49/$V49)^6))</f>
        <v/>
      </c>
      <c r="BW49" s="27" t="str">
        <f aca="false">IF(OR($BR49="",$BR49="No FRET",N($BT49)&lt;=0,N($W49)&lt;=0),"",1/(1+($BT49/$W49)^6))</f>
        <v/>
      </c>
      <c r="BX49" s="27" t="str">
        <f aca="false">IF(OR($BR49="",$BR49="No FRET",N($BU49)&lt;=0,N($X49)&lt;=0),"",1/(1+($BU49/$X49)^6))</f>
        <v/>
      </c>
      <c r="BY49" s="28" t="str">
        <f aca="false">IF(OR($A49="",N($BK49)&lt;=0),"",IF($I49&gt;0,$BK49/($G49*$H49*$I49)/1E-024/6.022E+023/0.000000001,""))</f>
        <v/>
      </c>
      <c r="BZ49" s="29" t="str">
        <f aca="false">IF(Calc!S49=0,"",IF(Calc!Q49&gt;=1,"✖ saturated (B ≥ freq.)",IF(Calc!Q49&gt;0.1,"⚠ B &gt; 10% of freq.",IF(Calc!Q49=0,"⚠ no brightness",IF(Calc!R49&gt;0.1,"⚠ step &gt; 10% of wr",IF(AND($BR49&lt;&gt;"",$BR49&lt;&gt;"No FRET",N($O49)&lt;2),"⚠ FRET needs ≥ 2 colours",IF(AND($BR49&lt;&gt;"",$BR49&lt;&gt;"No FRET",N($BS49)+N($BT49)+N($BU49)=0),"⚠ FRET: set R","✔ OK")))))))</f>
        <v/>
      </c>
      <c r="CA49" s="25"/>
      <c r="CB49" s="25"/>
      <c r="CC49" s="25"/>
      <c r="CD49" s="25"/>
      <c r="CE49" s="25"/>
      <c r="CF49" s="25"/>
      <c r="CG49" s="25"/>
      <c r="CH49" s="25"/>
      <c r="CI49" s="25"/>
      <c r="CJ49" s="25"/>
      <c r="CK49" s="25"/>
      <c r="CL49" s="25"/>
      <c r="CM49" s="25"/>
      <c r="CN49" s="27" t="str">
        <f aca="false">IF(OR($CJ49="",$CJ49="No FRET",N($CK49)&lt;=0,N($V49)&lt;=0),"",1/(1+($CK49/$V49)^6))</f>
        <v/>
      </c>
      <c r="CO49" s="27" t="str">
        <f aca="false">IF(OR($CJ49="",$CJ49="No FRET",N($CL49)&lt;=0,N($W49)&lt;=0),"",1/(1+($CL49/$W49)^6))</f>
        <v/>
      </c>
      <c r="CP49" s="27" t="str">
        <f aca="false">IF(OR($CJ49="",$CJ49="No FRET",N($CM49)&lt;=0,N($X49)&lt;=0),"",1/(1+($CM49/$X49)^6))</f>
        <v/>
      </c>
      <c r="CQ49" s="28" t="str">
        <f aca="false">IF(OR($A49="",N($CC49)&lt;=0),"",IF($I49&gt;0,$CC49/($G49*$H49*$I49)/1E-024/6.022E+023/0.000000001,""))</f>
        <v/>
      </c>
      <c r="CR49" s="29" t="str">
        <f aca="false">IF(Calc!Y49=0,"",IF(Calc!W49&gt;=1,"✖ saturated (B ≥ freq.)",IF(Calc!W49&gt;0.1,"⚠ B &gt; 10% of freq.",IF(Calc!W49=0,"⚠ no brightness",IF(Calc!X49&gt;0.1,"⚠ step &gt; 10% of wr",IF(AND($CJ49&lt;&gt;"",$CJ49&lt;&gt;"No FRET",N($O49)&lt;2),"⚠ FRET needs ≥ 2 colours",IF(AND($CJ49&lt;&gt;"",$CJ49&lt;&gt;"No FRET",N($CK49)+N($CL49)+N($CM49)=0),"⚠ FRET: set R","✔ OK")))))))</f>
        <v/>
      </c>
      <c r="CS49" s="25"/>
      <c r="CT49" s="25"/>
      <c r="CU49" s="25"/>
      <c r="CV49" s="25"/>
      <c r="CW49" s="25"/>
      <c r="CX49" s="25"/>
      <c r="CY49" s="25"/>
      <c r="CZ49" s="25"/>
      <c r="DA49" s="25"/>
      <c r="DB49" s="25"/>
      <c r="DC49" s="25"/>
      <c r="DD49" s="25"/>
      <c r="DE49" s="25"/>
      <c r="DF49" s="27" t="str">
        <f aca="false">IF(OR($DB49="",$DB49="No FRET",N($DC49)&lt;=0,N($V49)&lt;=0),"",1/(1+($DC49/$V49)^6))</f>
        <v/>
      </c>
      <c r="DG49" s="27" t="str">
        <f aca="false">IF(OR($DB49="",$DB49="No FRET",N($DD49)&lt;=0,N($W49)&lt;=0),"",1/(1+($DD49/$W49)^6))</f>
        <v/>
      </c>
      <c r="DH49" s="27" t="str">
        <f aca="false">IF(OR($DB49="",$DB49="No FRET",N($DE49)&lt;=0,N($X49)&lt;=0),"",1/(1+($DE49/$X49)^6))</f>
        <v/>
      </c>
      <c r="DI49" s="28" t="str">
        <f aca="false">IF(OR($A49="",N($CU49)&lt;=0),"",IF($I49&gt;0,$CU49/($G49*$H49*$I49)/1E-024/6.022E+023/0.000000001,""))</f>
        <v/>
      </c>
      <c r="DJ49" s="29" t="str">
        <f aca="false">IF(Calc!AE49=0,"",IF(Calc!AC49&gt;=1,"✖ saturated (B ≥ freq.)",IF(Calc!AC49&gt;0.1,"⚠ B &gt; 10% of freq.",IF(Calc!AC49=0,"⚠ no brightness",IF(Calc!AD49&gt;0.1,"⚠ step &gt; 10% of wr",IF(AND($DB49&lt;&gt;"",$DB49&lt;&gt;"No FRET",N($O49)&lt;2),"⚠ FRET needs ≥ 2 colours",IF(AND($DB49&lt;&gt;"",$DB49&lt;&gt;"No FRET",N($DC49)+N($DD49)+N($DE49)=0),"⚠ FRET: set R","✔ OK")))))))</f>
        <v/>
      </c>
      <c r="DK49" s="25"/>
      <c r="DL49" s="25"/>
      <c r="DM49" s="25"/>
      <c r="DN49" s="25"/>
      <c r="DO49" s="25"/>
      <c r="DP49" s="25"/>
      <c r="DQ49" s="25"/>
      <c r="DR49" s="25"/>
      <c r="DS49" s="25"/>
      <c r="DT49" s="25"/>
      <c r="DU49" s="25"/>
      <c r="DV49" s="25"/>
      <c r="DW49" s="25"/>
      <c r="DX49" s="27" t="str">
        <f aca="false">IF(OR($DT49="",$DT49="No FRET",N($DU49)&lt;=0,N($V49)&lt;=0),"",1/(1+($DU49/$V49)^6))</f>
        <v/>
      </c>
      <c r="DY49" s="27" t="str">
        <f aca="false">IF(OR($DT49="",$DT49="No FRET",N($DV49)&lt;=0,N($W49)&lt;=0),"",1/(1+($DV49/$W49)^6))</f>
        <v/>
      </c>
      <c r="DZ49" s="27" t="str">
        <f aca="false">IF(OR($DT49="",$DT49="No FRET",N($DW49)&lt;=0,N($X49)&lt;=0),"",1/(1+($DW49/$X49)^6))</f>
        <v/>
      </c>
      <c r="EA49" s="28" t="str">
        <f aca="false">IF(OR($A49="",N($DM49)&lt;=0),"",IF($I49&gt;0,$DM49/($G49*$H49*$I49)/1E-024/6.022E+023/0.000000001,""))</f>
        <v/>
      </c>
      <c r="EB49" s="29" t="str">
        <f aca="false">IF(Calc!AK49=0,"",IF(Calc!AI49&gt;=1,"✖ saturated (B ≥ freq.)",IF(Calc!AI49&gt;0.1,"⚠ B &gt; 10% of freq.",IF(Calc!AI49=0,"⚠ no brightness",IF(Calc!AJ49&gt;0.1,"⚠ step &gt; 10% of wr",IF(AND($DT49&lt;&gt;"",$DT49&lt;&gt;"No FRET",N($O49)&lt;2),"⚠ FRET needs ≥ 2 colours",IF(AND($DT49&lt;&gt;"",$DT49&lt;&gt;"No FRET",N($DU49)+N($DV49)+N($DW49)=0),"⚠ FRET: set R","✔ OK")))))))</f>
        <v/>
      </c>
      <c r="EC49" s="30" t="str">
        <f aca="false">IF($A49="","",SUM(Calc!G49,Calc!M49,Calc!S49,Calc!Y49,Calc!AE49,Calc!AK49))</f>
        <v/>
      </c>
      <c r="ED49" s="30" t="str">
        <f aca="false">IF($A49="","",N($AA49)+N($AS49)+N($BK49)+N($CC49)+N($CU49)+N($DM49))</f>
        <v/>
      </c>
      <c r="EE49" s="31" t="str">
        <f aca="false">IF($A49="","",SUM(Calc!B49,Calc!H49,Calc!N49,Calc!T49,Calc!Z49,Calc!AF49))</f>
        <v/>
      </c>
      <c r="EF49" s="31" t="str">
        <f aca="false">IF($A49="","",SUM(Calc!C49,Calc!I49,Calc!O49,Calc!U49,Calc!AA49,Calc!AG49))</f>
        <v/>
      </c>
      <c r="EG49" s="31" t="str">
        <f aca="false">IF($A49="","",SUM(Calc!D49,Calc!J49,Calc!P49,Calc!V49,Calc!AB49,Calc!AH49))</f>
        <v/>
      </c>
      <c r="EH49" s="27" t="str">
        <f aca="false">IF($A49="","",($EE49+$EF49+$EG49+IF($P49="Yes",N($Q49)*N($O49),0))*1000*$K49/1000000)</f>
        <v/>
      </c>
      <c r="EI49" s="28" t="str">
        <f aca="false">IF($A49="","",$EH49*1000000*12/1000000000)</f>
        <v/>
      </c>
      <c r="EJ49" s="32" t="str">
        <f aca="false">IF($A49="","",IF($EC49=0,"⚠ no species entered",IF(((LEFT($AP49,1)="✖")+(LEFT($BH49,1)="✖")+(LEFT($BZ49,1)="✖")+(LEFT($CR49,1)="✖")+(LEFT($DJ49,1)="✖")+(LEFT($EB49,1)="✖"))&gt;0,"✖ "&amp;((LEFT($AP49,1)="✖")+(LEFT($BH49,1)="✖")+(LEFT($BZ49,1)="✖")+(LEFT($CR49,1)="✖")+(LEFT($DJ49,1)="✖")+(LEFT($EB49,1)="✖"))&amp;" species saturated - see the species checks",IF(MIN($G49,$H49)&lt;8*$T49,"⚠ box too small laterally (&lt; 8·wr)",IF(AND($I49&gt;0,$I49&lt;3*$U49),"⚠ box too small axially (&lt; 3·wz)",IF($EI49&gt;8,"⚠ &gt; 8 GB per file: shorten the duration and use several files",IF(((LEFT($AP49,1)="⚠")+(LEFT($BH49,1)="⚠")+(LEFT($BZ49,1)="⚠")+(LEFT($CR49,1)="⚠")+(LEFT($DJ49,1)="⚠")+(LEFT($EB49,1)="⚠"))&gt;0,"⚠ "&amp;((LEFT($AP49,1)="⚠")+(LEFT($BH49,1)="⚠")+(LEFT($BZ49,1)="⚠")+(LEFT($CR49,1)="⚠")+(LEFT($DJ49,1)="⚠")+(LEFT($EB49,1)="⚠"))&amp;" species with a warning","✔ OK")))))))</f>
        <v/>
      </c>
      <c r="EK49" s="25"/>
      <c r="EL49" s="25"/>
      <c r="EM49" s="25"/>
      <c r="EN49" s="25"/>
      <c r="EO49" s="25"/>
      <c r="EP49" s="25"/>
      <c r="EQ49" s="25"/>
      <c r="ER49" s="26"/>
    </row>
    <row r="50" customFormat="false" ht="15" hidden="false" customHeight="false" outlineLevel="0" collapsed="false">
      <c r="A50" s="25"/>
      <c r="B50" s="25"/>
      <c r="C50" s="26"/>
      <c r="D50" s="26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7" t="str">
        <f aca="false">IF(OR($AH50="",$AH50="No FRET",N($AI50)&lt;=0,N($V50)&lt;=0),"",1/(1+($AI50/$V50)^6))</f>
        <v/>
      </c>
      <c r="AM50" s="27" t="str">
        <f aca="false">IF(OR($AH50="",$AH50="No FRET",N($AJ50)&lt;=0,N($W50)&lt;=0),"",1/(1+($AJ50/$W50)^6))</f>
        <v/>
      </c>
      <c r="AN50" s="27" t="str">
        <f aca="false">IF(OR($AH50="",$AH50="No FRET",N($AK50)&lt;=0,N($X50)&lt;=0),"",1/(1+($AK50/$X50)^6))</f>
        <v/>
      </c>
      <c r="AO50" s="28" t="str">
        <f aca="false">IF(OR($A50="",N($AA50)&lt;=0),"",IF($I50&gt;0,$AA50/($G50*$H50*$I50)/1E-024/6.022E+023/0.000000001,""))</f>
        <v/>
      </c>
      <c r="AP50" s="29" t="str">
        <f aca="false">IF(Calc!G50=0,"",IF(Calc!E50&gt;=1,"✖ saturated (B ≥ freq.)",IF(Calc!E50&gt;0.1,"⚠ B &gt; 10% of freq.",IF(Calc!E50=0,"⚠ no brightness",IF(Calc!F50&gt;0.1,"⚠ step &gt; 10% of wr",IF(AND($AH50&lt;&gt;"",$AH50&lt;&gt;"No FRET",N($O50)&lt;2),"⚠ FRET needs ≥ 2 colours",IF(AND($AH50&lt;&gt;"",$AH50&lt;&gt;"No FRET",N($AI50)+N($AJ50)+N($AK50)=0),"⚠ FRET: set R","✔ OK")))))))</f>
        <v/>
      </c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7" t="str">
        <f aca="false">IF(OR($AZ50="",$AZ50="No FRET",N($BA50)&lt;=0,N($V50)&lt;=0),"",1/(1+($BA50/$V50)^6))</f>
        <v/>
      </c>
      <c r="BE50" s="27" t="str">
        <f aca="false">IF(OR($AZ50="",$AZ50="No FRET",N($BB50)&lt;=0,N($W50)&lt;=0),"",1/(1+($BB50/$W50)^6))</f>
        <v/>
      </c>
      <c r="BF50" s="27" t="str">
        <f aca="false">IF(OR($AZ50="",$AZ50="No FRET",N($BC50)&lt;=0,N($X50)&lt;=0),"",1/(1+($BC50/$X50)^6))</f>
        <v/>
      </c>
      <c r="BG50" s="28" t="str">
        <f aca="false">IF(OR($A50="",N($AS50)&lt;=0),"",IF($I50&gt;0,$AS50/($G50*$H50*$I50)/1E-024/6.022E+023/0.000000001,""))</f>
        <v/>
      </c>
      <c r="BH50" s="29" t="str">
        <f aca="false">IF(Calc!M50=0,"",IF(Calc!K50&gt;=1,"✖ saturated (B ≥ freq.)",IF(Calc!K50&gt;0.1,"⚠ B &gt; 10% of freq.",IF(Calc!K50=0,"⚠ no brightness",IF(Calc!L50&gt;0.1,"⚠ step &gt; 10% of wr",IF(AND($AZ50&lt;&gt;"",$AZ50&lt;&gt;"No FRET",N($O50)&lt;2),"⚠ FRET needs ≥ 2 colours",IF(AND($AZ50&lt;&gt;"",$AZ50&lt;&gt;"No FRET",N($BA50)+N($BB50)+N($BC50)=0),"⚠ FRET: set R","✔ OK")))))))</f>
        <v/>
      </c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7" t="str">
        <f aca="false">IF(OR($BR50="",$BR50="No FRET",N($BS50)&lt;=0,N($V50)&lt;=0),"",1/(1+($BS50/$V50)^6))</f>
        <v/>
      </c>
      <c r="BW50" s="27" t="str">
        <f aca="false">IF(OR($BR50="",$BR50="No FRET",N($BT50)&lt;=0,N($W50)&lt;=0),"",1/(1+($BT50/$W50)^6))</f>
        <v/>
      </c>
      <c r="BX50" s="27" t="str">
        <f aca="false">IF(OR($BR50="",$BR50="No FRET",N($BU50)&lt;=0,N($X50)&lt;=0),"",1/(1+($BU50/$X50)^6))</f>
        <v/>
      </c>
      <c r="BY50" s="28" t="str">
        <f aca="false">IF(OR($A50="",N($BK50)&lt;=0),"",IF($I50&gt;0,$BK50/($G50*$H50*$I50)/1E-024/6.022E+023/0.000000001,""))</f>
        <v/>
      </c>
      <c r="BZ50" s="29" t="str">
        <f aca="false">IF(Calc!S50=0,"",IF(Calc!Q50&gt;=1,"✖ saturated (B ≥ freq.)",IF(Calc!Q50&gt;0.1,"⚠ B &gt; 10% of freq.",IF(Calc!Q50=0,"⚠ no brightness",IF(Calc!R50&gt;0.1,"⚠ step &gt; 10% of wr",IF(AND($BR50&lt;&gt;"",$BR50&lt;&gt;"No FRET",N($O50)&lt;2),"⚠ FRET needs ≥ 2 colours",IF(AND($BR50&lt;&gt;"",$BR50&lt;&gt;"No FRET",N($BS50)+N($BT50)+N($BU50)=0),"⚠ FRET: set R","✔ OK")))))))</f>
        <v/>
      </c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7" t="str">
        <f aca="false">IF(OR($CJ50="",$CJ50="No FRET",N($CK50)&lt;=0,N($V50)&lt;=0),"",1/(1+($CK50/$V50)^6))</f>
        <v/>
      </c>
      <c r="CO50" s="27" t="str">
        <f aca="false">IF(OR($CJ50="",$CJ50="No FRET",N($CL50)&lt;=0,N($W50)&lt;=0),"",1/(1+($CL50/$W50)^6))</f>
        <v/>
      </c>
      <c r="CP50" s="27" t="str">
        <f aca="false">IF(OR($CJ50="",$CJ50="No FRET",N($CM50)&lt;=0,N($X50)&lt;=0),"",1/(1+($CM50/$X50)^6))</f>
        <v/>
      </c>
      <c r="CQ50" s="28" t="str">
        <f aca="false">IF(OR($A50="",N($CC50)&lt;=0),"",IF($I50&gt;0,$CC50/($G50*$H50*$I50)/1E-024/6.022E+023/0.000000001,""))</f>
        <v/>
      </c>
      <c r="CR50" s="29" t="str">
        <f aca="false">IF(Calc!Y50=0,"",IF(Calc!W50&gt;=1,"✖ saturated (B ≥ freq.)",IF(Calc!W50&gt;0.1,"⚠ B &gt; 10% of freq.",IF(Calc!W50=0,"⚠ no brightness",IF(Calc!X50&gt;0.1,"⚠ step &gt; 10% of wr",IF(AND($CJ50&lt;&gt;"",$CJ50&lt;&gt;"No FRET",N($O50)&lt;2),"⚠ FRET needs ≥ 2 colours",IF(AND($CJ50&lt;&gt;"",$CJ50&lt;&gt;"No FRET",N($CK50)+N($CL50)+N($CM50)=0),"⚠ FRET: set R","✔ OK")))))))</f>
        <v/>
      </c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7" t="str">
        <f aca="false">IF(OR($DB50="",$DB50="No FRET",N($DC50)&lt;=0,N($V50)&lt;=0),"",1/(1+($DC50/$V50)^6))</f>
        <v/>
      </c>
      <c r="DG50" s="27" t="str">
        <f aca="false">IF(OR($DB50="",$DB50="No FRET",N($DD50)&lt;=0,N($W50)&lt;=0),"",1/(1+($DD50/$W50)^6))</f>
        <v/>
      </c>
      <c r="DH50" s="27" t="str">
        <f aca="false">IF(OR($DB50="",$DB50="No FRET",N($DE50)&lt;=0,N($X50)&lt;=0),"",1/(1+($DE50/$X50)^6))</f>
        <v/>
      </c>
      <c r="DI50" s="28" t="str">
        <f aca="false">IF(OR($A50="",N($CU50)&lt;=0),"",IF($I50&gt;0,$CU50/($G50*$H50*$I50)/1E-024/6.022E+023/0.000000001,""))</f>
        <v/>
      </c>
      <c r="DJ50" s="29" t="str">
        <f aca="false">IF(Calc!AE50=0,"",IF(Calc!AC50&gt;=1,"✖ saturated (B ≥ freq.)",IF(Calc!AC50&gt;0.1,"⚠ B &gt; 10% of freq.",IF(Calc!AC50=0,"⚠ no brightness",IF(Calc!AD50&gt;0.1,"⚠ step &gt; 10% of wr",IF(AND($DB50&lt;&gt;"",$DB50&lt;&gt;"No FRET",N($O50)&lt;2),"⚠ FRET needs ≥ 2 colours",IF(AND($DB50&lt;&gt;"",$DB50&lt;&gt;"No FRET",N($DC50)+N($DD50)+N($DE50)=0),"⚠ FRET: set R","✔ OK")))))))</f>
        <v/>
      </c>
      <c r="DK50" s="25"/>
      <c r="DL50" s="25"/>
      <c r="DM50" s="25"/>
      <c r="DN50" s="25"/>
      <c r="DO50" s="25"/>
      <c r="DP50" s="25"/>
      <c r="DQ50" s="25"/>
      <c r="DR50" s="25"/>
      <c r="DS50" s="25"/>
      <c r="DT50" s="25"/>
      <c r="DU50" s="25"/>
      <c r="DV50" s="25"/>
      <c r="DW50" s="25"/>
      <c r="DX50" s="27" t="str">
        <f aca="false">IF(OR($DT50="",$DT50="No FRET",N($DU50)&lt;=0,N($V50)&lt;=0),"",1/(1+($DU50/$V50)^6))</f>
        <v/>
      </c>
      <c r="DY50" s="27" t="str">
        <f aca="false">IF(OR($DT50="",$DT50="No FRET",N($DV50)&lt;=0,N($W50)&lt;=0),"",1/(1+($DV50/$W50)^6))</f>
        <v/>
      </c>
      <c r="DZ50" s="27" t="str">
        <f aca="false">IF(OR($DT50="",$DT50="No FRET",N($DW50)&lt;=0,N($X50)&lt;=0),"",1/(1+($DW50/$X50)^6))</f>
        <v/>
      </c>
      <c r="EA50" s="28" t="str">
        <f aca="false">IF(OR($A50="",N($DM50)&lt;=0),"",IF($I50&gt;0,$DM50/($G50*$H50*$I50)/1E-024/6.022E+023/0.000000001,""))</f>
        <v/>
      </c>
      <c r="EB50" s="29" t="str">
        <f aca="false">IF(Calc!AK50=0,"",IF(Calc!AI50&gt;=1,"✖ saturated (B ≥ freq.)",IF(Calc!AI50&gt;0.1,"⚠ B &gt; 10% of freq.",IF(Calc!AI50=0,"⚠ no brightness",IF(Calc!AJ50&gt;0.1,"⚠ step &gt; 10% of wr",IF(AND($DT50&lt;&gt;"",$DT50&lt;&gt;"No FRET",N($O50)&lt;2),"⚠ FRET needs ≥ 2 colours",IF(AND($DT50&lt;&gt;"",$DT50&lt;&gt;"No FRET",N($DU50)+N($DV50)+N($DW50)=0),"⚠ FRET: set R","✔ OK")))))))</f>
        <v/>
      </c>
      <c r="EC50" s="30" t="str">
        <f aca="false">IF($A50="","",SUM(Calc!G50,Calc!M50,Calc!S50,Calc!Y50,Calc!AE50,Calc!AK50))</f>
        <v/>
      </c>
      <c r="ED50" s="30" t="str">
        <f aca="false">IF($A50="","",N($AA50)+N($AS50)+N($BK50)+N($CC50)+N($CU50)+N($DM50))</f>
        <v/>
      </c>
      <c r="EE50" s="31" t="str">
        <f aca="false">IF($A50="","",SUM(Calc!B50,Calc!H50,Calc!N50,Calc!T50,Calc!Z50,Calc!AF50))</f>
        <v/>
      </c>
      <c r="EF50" s="31" t="str">
        <f aca="false">IF($A50="","",SUM(Calc!C50,Calc!I50,Calc!O50,Calc!U50,Calc!AA50,Calc!AG50))</f>
        <v/>
      </c>
      <c r="EG50" s="31" t="str">
        <f aca="false">IF($A50="","",SUM(Calc!D50,Calc!J50,Calc!P50,Calc!V50,Calc!AB50,Calc!AH50))</f>
        <v/>
      </c>
      <c r="EH50" s="27" t="str">
        <f aca="false">IF($A50="","",($EE50+$EF50+$EG50+IF($P50="Yes",N($Q50)*N($O50),0))*1000*$K50/1000000)</f>
        <v/>
      </c>
      <c r="EI50" s="28" t="str">
        <f aca="false">IF($A50="","",$EH50*1000000*12/1000000000)</f>
        <v/>
      </c>
      <c r="EJ50" s="32" t="str">
        <f aca="false">IF($A50="","",IF($EC50=0,"⚠ no species entered",IF(((LEFT($AP50,1)="✖")+(LEFT($BH50,1)="✖")+(LEFT($BZ50,1)="✖")+(LEFT($CR50,1)="✖")+(LEFT($DJ50,1)="✖")+(LEFT($EB50,1)="✖"))&gt;0,"✖ "&amp;((LEFT($AP50,1)="✖")+(LEFT($BH50,1)="✖")+(LEFT($BZ50,1)="✖")+(LEFT($CR50,1)="✖")+(LEFT($DJ50,1)="✖")+(LEFT($EB50,1)="✖"))&amp;" species saturated - see the species checks",IF(MIN($G50,$H50)&lt;8*$T50,"⚠ box too small laterally (&lt; 8·wr)",IF(AND($I50&gt;0,$I50&lt;3*$U50),"⚠ box too small axially (&lt; 3·wz)",IF($EI50&gt;8,"⚠ &gt; 8 GB per file: shorten the duration and use several files",IF(((LEFT($AP50,1)="⚠")+(LEFT($BH50,1)="⚠")+(LEFT($BZ50,1)="⚠")+(LEFT($CR50,1)="⚠")+(LEFT($DJ50,1)="⚠")+(LEFT($EB50,1)="⚠"))&gt;0,"⚠ "&amp;((LEFT($AP50,1)="⚠")+(LEFT($BH50,1)="⚠")+(LEFT($BZ50,1)="⚠")+(LEFT($CR50,1)="⚠")+(LEFT($DJ50,1)="⚠")+(LEFT($EB50,1)="⚠"))&amp;" species with a warning","✔ OK")))))))</f>
        <v/>
      </c>
      <c r="EK50" s="25"/>
      <c r="EL50" s="25"/>
      <c r="EM50" s="25"/>
      <c r="EN50" s="25"/>
      <c r="EO50" s="25"/>
      <c r="EP50" s="25"/>
      <c r="EQ50" s="25"/>
      <c r="ER50" s="26"/>
    </row>
    <row r="51" customFormat="false" ht="15" hidden="false" customHeight="false" outlineLevel="0" collapsed="false">
      <c r="A51" s="25"/>
      <c r="B51" s="25"/>
      <c r="C51" s="26"/>
      <c r="D51" s="26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7" t="str">
        <f aca="false">IF(OR($AH51="",$AH51="No FRET",N($AI51)&lt;=0,N($V51)&lt;=0),"",1/(1+($AI51/$V51)^6))</f>
        <v/>
      </c>
      <c r="AM51" s="27" t="str">
        <f aca="false">IF(OR($AH51="",$AH51="No FRET",N($AJ51)&lt;=0,N($W51)&lt;=0),"",1/(1+($AJ51/$W51)^6))</f>
        <v/>
      </c>
      <c r="AN51" s="27" t="str">
        <f aca="false">IF(OR($AH51="",$AH51="No FRET",N($AK51)&lt;=0,N($X51)&lt;=0),"",1/(1+($AK51/$X51)^6))</f>
        <v/>
      </c>
      <c r="AO51" s="28" t="str">
        <f aca="false">IF(OR($A51="",N($AA51)&lt;=0),"",IF($I51&gt;0,$AA51/($G51*$H51*$I51)/1E-024/6.022E+023/0.000000001,""))</f>
        <v/>
      </c>
      <c r="AP51" s="29" t="str">
        <f aca="false">IF(Calc!G51=0,"",IF(Calc!E51&gt;=1,"✖ saturated (B ≥ freq.)",IF(Calc!E51&gt;0.1,"⚠ B &gt; 10% of freq.",IF(Calc!E51=0,"⚠ no brightness",IF(Calc!F51&gt;0.1,"⚠ step &gt; 10% of wr",IF(AND($AH51&lt;&gt;"",$AH51&lt;&gt;"No FRET",N($O51)&lt;2),"⚠ FRET needs ≥ 2 colours",IF(AND($AH51&lt;&gt;"",$AH51&lt;&gt;"No FRET",N($AI51)+N($AJ51)+N($AK51)=0),"⚠ FRET: set R","✔ OK")))))))</f>
        <v/>
      </c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7" t="str">
        <f aca="false">IF(OR($AZ51="",$AZ51="No FRET",N($BA51)&lt;=0,N($V51)&lt;=0),"",1/(1+($BA51/$V51)^6))</f>
        <v/>
      </c>
      <c r="BE51" s="27" t="str">
        <f aca="false">IF(OR($AZ51="",$AZ51="No FRET",N($BB51)&lt;=0,N($W51)&lt;=0),"",1/(1+($BB51/$W51)^6))</f>
        <v/>
      </c>
      <c r="BF51" s="27" t="str">
        <f aca="false">IF(OR($AZ51="",$AZ51="No FRET",N($BC51)&lt;=0,N($X51)&lt;=0),"",1/(1+($BC51/$X51)^6))</f>
        <v/>
      </c>
      <c r="BG51" s="28" t="str">
        <f aca="false">IF(OR($A51="",N($AS51)&lt;=0),"",IF($I51&gt;0,$AS51/($G51*$H51*$I51)/1E-024/6.022E+023/0.000000001,""))</f>
        <v/>
      </c>
      <c r="BH51" s="29" t="str">
        <f aca="false">IF(Calc!M51=0,"",IF(Calc!K51&gt;=1,"✖ saturated (B ≥ freq.)",IF(Calc!K51&gt;0.1,"⚠ B &gt; 10% of freq.",IF(Calc!K51=0,"⚠ no brightness",IF(Calc!L51&gt;0.1,"⚠ step &gt; 10% of wr",IF(AND($AZ51&lt;&gt;"",$AZ51&lt;&gt;"No FRET",N($O51)&lt;2),"⚠ FRET needs ≥ 2 colours",IF(AND($AZ51&lt;&gt;"",$AZ51&lt;&gt;"No FRET",N($BA51)+N($BB51)+N($BC51)=0),"⚠ FRET: set R","✔ OK")))))))</f>
        <v/>
      </c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7" t="str">
        <f aca="false">IF(OR($BR51="",$BR51="No FRET",N($BS51)&lt;=0,N($V51)&lt;=0),"",1/(1+($BS51/$V51)^6))</f>
        <v/>
      </c>
      <c r="BW51" s="27" t="str">
        <f aca="false">IF(OR($BR51="",$BR51="No FRET",N($BT51)&lt;=0,N($W51)&lt;=0),"",1/(1+($BT51/$W51)^6))</f>
        <v/>
      </c>
      <c r="BX51" s="27" t="str">
        <f aca="false">IF(OR($BR51="",$BR51="No FRET",N($BU51)&lt;=0,N($X51)&lt;=0),"",1/(1+($BU51/$X51)^6))</f>
        <v/>
      </c>
      <c r="BY51" s="28" t="str">
        <f aca="false">IF(OR($A51="",N($BK51)&lt;=0),"",IF($I51&gt;0,$BK51/($G51*$H51*$I51)/1E-024/6.022E+023/0.000000001,""))</f>
        <v/>
      </c>
      <c r="BZ51" s="29" t="str">
        <f aca="false">IF(Calc!S51=0,"",IF(Calc!Q51&gt;=1,"✖ saturated (B ≥ freq.)",IF(Calc!Q51&gt;0.1,"⚠ B &gt; 10% of freq.",IF(Calc!Q51=0,"⚠ no brightness",IF(Calc!R51&gt;0.1,"⚠ step &gt; 10% of wr",IF(AND($BR51&lt;&gt;"",$BR51&lt;&gt;"No FRET",N($O51)&lt;2),"⚠ FRET needs ≥ 2 colours",IF(AND($BR51&lt;&gt;"",$BR51&lt;&gt;"No FRET",N($BS51)+N($BT51)+N($BU51)=0),"⚠ FRET: set R","✔ OK")))))))</f>
        <v/>
      </c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7" t="str">
        <f aca="false">IF(OR($CJ51="",$CJ51="No FRET",N($CK51)&lt;=0,N($V51)&lt;=0),"",1/(1+($CK51/$V51)^6))</f>
        <v/>
      </c>
      <c r="CO51" s="27" t="str">
        <f aca="false">IF(OR($CJ51="",$CJ51="No FRET",N($CL51)&lt;=0,N($W51)&lt;=0),"",1/(1+($CL51/$W51)^6))</f>
        <v/>
      </c>
      <c r="CP51" s="27" t="str">
        <f aca="false">IF(OR($CJ51="",$CJ51="No FRET",N($CM51)&lt;=0,N($X51)&lt;=0),"",1/(1+($CM51/$X51)^6))</f>
        <v/>
      </c>
      <c r="CQ51" s="28" t="str">
        <f aca="false">IF(OR($A51="",N($CC51)&lt;=0),"",IF($I51&gt;0,$CC51/($G51*$H51*$I51)/1E-024/6.022E+023/0.000000001,""))</f>
        <v/>
      </c>
      <c r="CR51" s="29" t="str">
        <f aca="false">IF(Calc!Y51=0,"",IF(Calc!W51&gt;=1,"✖ saturated (B ≥ freq.)",IF(Calc!W51&gt;0.1,"⚠ B &gt; 10% of freq.",IF(Calc!W51=0,"⚠ no brightness",IF(Calc!X51&gt;0.1,"⚠ step &gt; 10% of wr",IF(AND($CJ51&lt;&gt;"",$CJ51&lt;&gt;"No FRET",N($O51)&lt;2),"⚠ FRET needs ≥ 2 colours",IF(AND($CJ51&lt;&gt;"",$CJ51&lt;&gt;"No FRET",N($CK51)+N($CL51)+N($CM51)=0),"⚠ FRET: set R","✔ OK")))))))</f>
        <v/>
      </c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7" t="str">
        <f aca="false">IF(OR($DB51="",$DB51="No FRET",N($DC51)&lt;=0,N($V51)&lt;=0),"",1/(1+($DC51/$V51)^6))</f>
        <v/>
      </c>
      <c r="DG51" s="27" t="str">
        <f aca="false">IF(OR($DB51="",$DB51="No FRET",N($DD51)&lt;=0,N($W51)&lt;=0),"",1/(1+($DD51/$W51)^6))</f>
        <v/>
      </c>
      <c r="DH51" s="27" t="str">
        <f aca="false">IF(OR($DB51="",$DB51="No FRET",N($DE51)&lt;=0,N($X51)&lt;=0),"",1/(1+($DE51/$X51)^6))</f>
        <v/>
      </c>
      <c r="DI51" s="28" t="str">
        <f aca="false">IF(OR($A51="",N($CU51)&lt;=0),"",IF($I51&gt;0,$CU51/($G51*$H51*$I51)/1E-024/6.022E+023/0.000000001,""))</f>
        <v/>
      </c>
      <c r="DJ51" s="29" t="str">
        <f aca="false">IF(Calc!AE51=0,"",IF(Calc!AC51&gt;=1,"✖ saturated (B ≥ freq.)",IF(Calc!AC51&gt;0.1,"⚠ B &gt; 10% of freq.",IF(Calc!AC51=0,"⚠ no brightness",IF(Calc!AD51&gt;0.1,"⚠ step &gt; 10% of wr",IF(AND($DB51&lt;&gt;"",$DB51&lt;&gt;"No FRET",N($O51)&lt;2),"⚠ FRET needs ≥ 2 colours",IF(AND($DB51&lt;&gt;"",$DB51&lt;&gt;"No FRET",N($DC51)+N($DD51)+N($DE51)=0),"⚠ FRET: set R","✔ OK")))))))</f>
        <v/>
      </c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7" t="str">
        <f aca="false">IF(OR($DT51="",$DT51="No FRET",N($DU51)&lt;=0,N($V51)&lt;=0),"",1/(1+($DU51/$V51)^6))</f>
        <v/>
      </c>
      <c r="DY51" s="27" t="str">
        <f aca="false">IF(OR($DT51="",$DT51="No FRET",N($DV51)&lt;=0,N($W51)&lt;=0),"",1/(1+($DV51/$W51)^6))</f>
        <v/>
      </c>
      <c r="DZ51" s="27" t="str">
        <f aca="false">IF(OR($DT51="",$DT51="No FRET",N($DW51)&lt;=0,N($X51)&lt;=0),"",1/(1+($DW51/$X51)^6))</f>
        <v/>
      </c>
      <c r="EA51" s="28" t="str">
        <f aca="false">IF(OR($A51="",N($DM51)&lt;=0),"",IF($I51&gt;0,$DM51/($G51*$H51*$I51)/1E-024/6.022E+023/0.000000001,""))</f>
        <v/>
      </c>
      <c r="EB51" s="29" t="str">
        <f aca="false">IF(Calc!AK51=0,"",IF(Calc!AI51&gt;=1,"✖ saturated (B ≥ freq.)",IF(Calc!AI51&gt;0.1,"⚠ B &gt; 10% of freq.",IF(Calc!AI51=0,"⚠ no brightness",IF(Calc!AJ51&gt;0.1,"⚠ step &gt; 10% of wr",IF(AND($DT51&lt;&gt;"",$DT51&lt;&gt;"No FRET",N($O51)&lt;2),"⚠ FRET needs ≥ 2 colours",IF(AND($DT51&lt;&gt;"",$DT51&lt;&gt;"No FRET",N($DU51)+N($DV51)+N($DW51)=0),"⚠ FRET: set R","✔ OK")))))))</f>
        <v/>
      </c>
      <c r="EC51" s="30" t="str">
        <f aca="false">IF($A51="","",SUM(Calc!G51,Calc!M51,Calc!S51,Calc!Y51,Calc!AE51,Calc!AK51))</f>
        <v/>
      </c>
      <c r="ED51" s="30" t="str">
        <f aca="false">IF($A51="","",N($AA51)+N($AS51)+N($BK51)+N($CC51)+N($CU51)+N($DM51))</f>
        <v/>
      </c>
      <c r="EE51" s="31" t="str">
        <f aca="false">IF($A51="","",SUM(Calc!B51,Calc!H51,Calc!N51,Calc!T51,Calc!Z51,Calc!AF51))</f>
        <v/>
      </c>
      <c r="EF51" s="31" t="str">
        <f aca="false">IF($A51="","",SUM(Calc!C51,Calc!I51,Calc!O51,Calc!U51,Calc!AA51,Calc!AG51))</f>
        <v/>
      </c>
      <c r="EG51" s="31" t="str">
        <f aca="false">IF($A51="","",SUM(Calc!D51,Calc!J51,Calc!P51,Calc!V51,Calc!AB51,Calc!AH51))</f>
        <v/>
      </c>
      <c r="EH51" s="27" t="str">
        <f aca="false">IF($A51="","",($EE51+$EF51+$EG51+IF($P51="Yes",N($Q51)*N($O51),0))*1000*$K51/1000000)</f>
        <v/>
      </c>
      <c r="EI51" s="28" t="str">
        <f aca="false">IF($A51="","",$EH51*1000000*12/1000000000)</f>
        <v/>
      </c>
      <c r="EJ51" s="32" t="str">
        <f aca="false">IF($A51="","",IF($EC51=0,"⚠ no species entered",IF(((LEFT($AP51,1)="✖")+(LEFT($BH51,1)="✖")+(LEFT($BZ51,1)="✖")+(LEFT($CR51,1)="✖")+(LEFT($DJ51,1)="✖")+(LEFT($EB51,1)="✖"))&gt;0,"✖ "&amp;((LEFT($AP51,1)="✖")+(LEFT($BH51,1)="✖")+(LEFT($BZ51,1)="✖")+(LEFT($CR51,1)="✖")+(LEFT($DJ51,1)="✖")+(LEFT($EB51,1)="✖"))&amp;" species saturated - see the species checks",IF(MIN($G51,$H51)&lt;8*$T51,"⚠ box too small laterally (&lt; 8·wr)",IF(AND($I51&gt;0,$I51&lt;3*$U51),"⚠ box too small axially (&lt; 3·wz)",IF($EI51&gt;8,"⚠ &gt; 8 GB per file: shorten the duration and use several files",IF(((LEFT($AP51,1)="⚠")+(LEFT($BH51,1)="⚠")+(LEFT($BZ51,1)="⚠")+(LEFT($CR51,1)="⚠")+(LEFT($DJ51,1)="⚠")+(LEFT($EB51,1)="⚠"))&gt;0,"⚠ "&amp;((LEFT($AP51,1)="⚠")+(LEFT($BH51,1)="⚠")+(LEFT($BZ51,1)="⚠")+(LEFT($CR51,1)="⚠")+(LEFT($DJ51,1)="⚠")+(LEFT($EB51,1)="⚠"))&amp;" species with a warning","✔ OK")))))))</f>
        <v/>
      </c>
      <c r="EK51" s="25"/>
      <c r="EL51" s="25"/>
      <c r="EM51" s="25"/>
      <c r="EN51" s="25"/>
      <c r="EO51" s="25"/>
      <c r="EP51" s="25"/>
      <c r="EQ51" s="25"/>
      <c r="ER51" s="26"/>
    </row>
    <row r="52" customFormat="false" ht="15" hidden="false" customHeight="false" outlineLevel="0" collapsed="false">
      <c r="A52" s="25"/>
      <c r="B52" s="25"/>
      <c r="C52" s="26"/>
      <c r="D52" s="26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7" t="str">
        <f aca="false">IF(OR($AH52="",$AH52="No FRET",N($AI52)&lt;=0,N($V52)&lt;=0),"",1/(1+($AI52/$V52)^6))</f>
        <v/>
      </c>
      <c r="AM52" s="27" t="str">
        <f aca="false">IF(OR($AH52="",$AH52="No FRET",N($AJ52)&lt;=0,N($W52)&lt;=0),"",1/(1+($AJ52/$W52)^6))</f>
        <v/>
      </c>
      <c r="AN52" s="27" t="str">
        <f aca="false">IF(OR($AH52="",$AH52="No FRET",N($AK52)&lt;=0,N($X52)&lt;=0),"",1/(1+($AK52/$X52)^6))</f>
        <v/>
      </c>
      <c r="AO52" s="28" t="str">
        <f aca="false">IF(OR($A52="",N($AA52)&lt;=0),"",IF($I52&gt;0,$AA52/($G52*$H52*$I52)/1E-024/6.022E+023/0.000000001,""))</f>
        <v/>
      </c>
      <c r="AP52" s="29" t="str">
        <f aca="false">IF(Calc!G52=0,"",IF(Calc!E52&gt;=1,"✖ saturated (B ≥ freq.)",IF(Calc!E52&gt;0.1,"⚠ B &gt; 10% of freq.",IF(Calc!E52=0,"⚠ no brightness",IF(Calc!F52&gt;0.1,"⚠ step &gt; 10% of wr",IF(AND($AH52&lt;&gt;"",$AH52&lt;&gt;"No FRET",N($O52)&lt;2),"⚠ FRET needs ≥ 2 colours",IF(AND($AH52&lt;&gt;"",$AH52&lt;&gt;"No FRET",N($AI52)+N($AJ52)+N($AK52)=0),"⚠ FRET: set R","✔ OK")))))))</f>
        <v/>
      </c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7" t="str">
        <f aca="false">IF(OR($AZ52="",$AZ52="No FRET",N($BA52)&lt;=0,N($V52)&lt;=0),"",1/(1+($BA52/$V52)^6))</f>
        <v/>
      </c>
      <c r="BE52" s="27" t="str">
        <f aca="false">IF(OR($AZ52="",$AZ52="No FRET",N($BB52)&lt;=0,N($W52)&lt;=0),"",1/(1+($BB52/$W52)^6))</f>
        <v/>
      </c>
      <c r="BF52" s="27" t="str">
        <f aca="false">IF(OR($AZ52="",$AZ52="No FRET",N($BC52)&lt;=0,N($X52)&lt;=0),"",1/(1+($BC52/$X52)^6))</f>
        <v/>
      </c>
      <c r="BG52" s="28" t="str">
        <f aca="false">IF(OR($A52="",N($AS52)&lt;=0),"",IF($I52&gt;0,$AS52/($G52*$H52*$I52)/1E-024/6.022E+023/0.000000001,""))</f>
        <v/>
      </c>
      <c r="BH52" s="29" t="str">
        <f aca="false">IF(Calc!M52=0,"",IF(Calc!K52&gt;=1,"✖ saturated (B ≥ freq.)",IF(Calc!K52&gt;0.1,"⚠ B &gt; 10% of freq.",IF(Calc!K52=0,"⚠ no brightness",IF(Calc!L52&gt;0.1,"⚠ step &gt; 10% of wr",IF(AND($AZ52&lt;&gt;"",$AZ52&lt;&gt;"No FRET",N($O52)&lt;2),"⚠ FRET needs ≥ 2 colours",IF(AND($AZ52&lt;&gt;"",$AZ52&lt;&gt;"No FRET",N($BA52)+N($BB52)+N($BC52)=0),"⚠ FRET: set R","✔ OK")))))))</f>
        <v/>
      </c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7" t="str">
        <f aca="false">IF(OR($BR52="",$BR52="No FRET",N($BS52)&lt;=0,N($V52)&lt;=0),"",1/(1+($BS52/$V52)^6))</f>
        <v/>
      </c>
      <c r="BW52" s="27" t="str">
        <f aca="false">IF(OR($BR52="",$BR52="No FRET",N($BT52)&lt;=0,N($W52)&lt;=0),"",1/(1+($BT52/$W52)^6))</f>
        <v/>
      </c>
      <c r="BX52" s="27" t="str">
        <f aca="false">IF(OR($BR52="",$BR52="No FRET",N($BU52)&lt;=0,N($X52)&lt;=0),"",1/(1+($BU52/$X52)^6))</f>
        <v/>
      </c>
      <c r="BY52" s="28" t="str">
        <f aca="false">IF(OR($A52="",N($BK52)&lt;=0),"",IF($I52&gt;0,$BK52/($G52*$H52*$I52)/1E-024/6.022E+023/0.000000001,""))</f>
        <v/>
      </c>
      <c r="BZ52" s="29" t="str">
        <f aca="false">IF(Calc!S52=0,"",IF(Calc!Q52&gt;=1,"✖ saturated (B ≥ freq.)",IF(Calc!Q52&gt;0.1,"⚠ B &gt; 10% of freq.",IF(Calc!Q52=0,"⚠ no brightness",IF(Calc!R52&gt;0.1,"⚠ step &gt; 10% of wr",IF(AND($BR52&lt;&gt;"",$BR52&lt;&gt;"No FRET",N($O52)&lt;2),"⚠ FRET needs ≥ 2 colours",IF(AND($BR52&lt;&gt;"",$BR52&lt;&gt;"No FRET",N($BS52)+N($BT52)+N($BU52)=0),"⚠ FRET: set R","✔ OK")))))))</f>
        <v/>
      </c>
      <c r="CA52" s="25"/>
      <c r="CB52" s="25"/>
      <c r="CC52" s="25"/>
      <c r="CD52" s="25"/>
      <c r="CE52" s="25"/>
      <c r="CF52" s="25"/>
      <c r="CG52" s="25"/>
      <c r="CH52" s="25"/>
      <c r="CI52" s="25"/>
      <c r="CJ52" s="25"/>
      <c r="CK52" s="25"/>
      <c r="CL52" s="25"/>
      <c r="CM52" s="25"/>
      <c r="CN52" s="27" t="str">
        <f aca="false">IF(OR($CJ52="",$CJ52="No FRET",N($CK52)&lt;=0,N($V52)&lt;=0),"",1/(1+($CK52/$V52)^6))</f>
        <v/>
      </c>
      <c r="CO52" s="27" t="str">
        <f aca="false">IF(OR($CJ52="",$CJ52="No FRET",N($CL52)&lt;=0,N($W52)&lt;=0),"",1/(1+($CL52/$W52)^6))</f>
        <v/>
      </c>
      <c r="CP52" s="27" t="str">
        <f aca="false">IF(OR($CJ52="",$CJ52="No FRET",N($CM52)&lt;=0,N($X52)&lt;=0),"",1/(1+($CM52/$X52)^6))</f>
        <v/>
      </c>
      <c r="CQ52" s="28" t="str">
        <f aca="false">IF(OR($A52="",N($CC52)&lt;=0),"",IF($I52&gt;0,$CC52/($G52*$H52*$I52)/1E-024/6.022E+023/0.000000001,""))</f>
        <v/>
      </c>
      <c r="CR52" s="29" t="str">
        <f aca="false">IF(Calc!Y52=0,"",IF(Calc!W52&gt;=1,"✖ saturated (B ≥ freq.)",IF(Calc!W52&gt;0.1,"⚠ B &gt; 10% of freq.",IF(Calc!W52=0,"⚠ no brightness",IF(Calc!X52&gt;0.1,"⚠ step &gt; 10% of wr",IF(AND($CJ52&lt;&gt;"",$CJ52&lt;&gt;"No FRET",N($O52)&lt;2),"⚠ FRET needs ≥ 2 colours",IF(AND($CJ52&lt;&gt;"",$CJ52&lt;&gt;"No FRET",N($CK52)+N($CL52)+N($CM52)=0),"⚠ FRET: set R","✔ OK")))))))</f>
        <v/>
      </c>
      <c r="CS52" s="25"/>
      <c r="CT52" s="25"/>
      <c r="CU52" s="25"/>
      <c r="CV52" s="25"/>
      <c r="CW52" s="25"/>
      <c r="CX52" s="25"/>
      <c r="CY52" s="25"/>
      <c r="CZ52" s="25"/>
      <c r="DA52" s="25"/>
      <c r="DB52" s="25"/>
      <c r="DC52" s="25"/>
      <c r="DD52" s="25"/>
      <c r="DE52" s="25"/>
      <c r="DF52" s="27" t="str">
        <f aca="false">IF(OR($DB52="",$DB52="No FRET",N($DC52)&lt;=0,N($V52)&lt;=0),"",1/(1+($DC52/$V52)^6))</f>
        <v/>
      </c>
      <c r="DG52" s="27" t="str">
        <f aca="false">IF(OR($DB52="",$DB52="No FRET",N($DD52)&lt;=0,N($W52)&lt;=0),"",1/(1+($DD52/$W52)^6))</f>
        <v/>
      </c>
      <c r="DH52" s="27" t="str">
        <f aca="false">IF(OR($DB52="",$DB52="No FRET",N($DE52)&lt;=0,N($X52)&lt;=0),"",1/(1+($DE52/$X52)^6))</f>
        <v/>
      </c>
      <c r="DI52" s="28" t="str">
        <f aca="false">IF(OR($A52="",N($CU52)&lt;=0),"",IF($I52&gt;0,$CU52/($G52*$H52*$I52)/1E-024/6.022E+023/0.000000001,""))</f>
        <v/>
      </c>
      <c r="DJ52" s="29" t="str">
        <f aca="false">IF(Calc!AE52=0,"",IF(Calc!AC52&gt;=1,"✖ saturated (B ≥ freq.)",IF(Calc!AC52&gt;0.1,"⚠ B &gt; 10% of freq.",IF(Calc!AC52=0,"⚠ no brightness",IF(Calc!AD52&gt;0.1,"⚠ step &gt; 10% of wr",IF(AND($DB52&lt;&gt;"",$DB52&lt;&gt;"No FRET",N($O52)&lt;2),"⚠ FRET needs ≥ 2 colours",IF(AND($DB52&lt;&gt;"",$DB52&lt;&gt;"No FRET",N($DC52)+N($DD52)+N($DE52)=0),"⚠ FRET: set R","✔ OK")))))))</f>
        <v/>
      </c>
      <c r="DK52" s="25"/>
      <c r="DL52" s="25"/>
      <c r="DM52" s="25"/>
      <c r="DN52" s="25"/>
      <c r="DO52" s="25"/>
      <c r="DP52" s="25"/>
      <c r="DQ52" s="25"/>
      <c r="DR52" s="25"/>
      <c r="DS52" s="25"/>
      <c r="DT52" s="25"/>
      <c r="DU52" s="25"/>
      <c r="DV52" s="25"/>
      <c r="DW52" s="25"/>
      <c r="DX52" s="27" t="str">
        <f aca="false">IF(OR($DT52="",$DT52="No FRET",N($DU52)&lt;=0,N($V52)&lt;=0),"",1/(1+($DU52/$V52)^6))</f>
        <v/>
      </c>
      <c r="DY52" s="27" t="str">
        <f aca="false">IF(OR($DT52="",$DT52="No FRET",N($DV52)&lt;=0,N($W52)&lt;=0),"",1/(1+($DV52/$W52)^6))</f>
        <v/>
      </c>
      <c r="DZ52" s="27" t="str">
        <f aca="false">IF(OR($DT52="",$DT52="No FRET",N($DW52)&lt;=0,N($X52)&lt;=0),"",1/(1+($DW52/$X52)^6))</f>
        <v/>
      </c>
      <c r="EA52" s="28" t="str">
        <f aca="false">IF(OR($A52="",N($DM52)&lt;=0),"",IF($I52&gt;0,$DM52/($G52*$H52*$I52)/1E-024/6.022E+023/0.000000001,""))</f>
        <v/>
      </c>
      <c r="EB52" s="29" t="str">
        <f aca="false">IF(Calc!AK52=0,"",IF(Calc!AI52&gt;=1,"✖ saturated (B ≥ freq.)",IF(Calc!AI52&gt;0.1,"⚠ B &gt; 10% of freq.",IF(Calc!AI52=0,"⚠ no brightness",IF(Calc!AJ52&gt;0.1,"⚠ step &gt; 10% of wr",IF(AND($DT52&lt;&gt;"",$DT52&lt;&gt;"No FRET",N($O52)&lt;2),"⚠ FRET needs ≥ 2 colours",IF(AND($DT52&lt;&gt;"",$DT52&lt;&gt;"No FRET",N($DU52)+N($DV52)+N($DW52)=0),"⚠ FRET: set R","✔ OK")))))))</f>
        <v/>
      </c>
      <c r="EC52" s="30" t="str">
        <f aca="false">IF($A52="","",SUM(Calc!G52,Calc!M52,Calc!S52,Calc!Y52,Calc!AE52,Calc!AK52))</f>
        <v/>
      </c>
      <c r="ED52" s="30" t="str">
        <f aca="false">IF($A52="","",N($AA52)+N($AS52)+N($BK52)+N($CC52)+N($CU52)+N($DM52))</f>
        <v/>
      </c>
      <c r="EE52" s="31" t="str">
        <f aca="false">IF($A52="","",SUM(Calc!B52,Calc!H52,Calc!N52,Calc!T52,Calc!Z52,Calc!AF52))</f>
        <v/>
      </c>
      <c r="EF52" s="31" t="str">
        <f aca="false">IF($A52="","",SUM(Calc!C52,Calc!I52,Calc!O52,Calc!U52,Calc!AA52,Calc!AG52))</f>
        <v/>
      </c>
      <c r="EG52" s="31" t="str">
        <f aca="false">IF($A52="","",SUM(Calc!D52,Calc!J52,Calc!P52,Calc!V52,Calc!AB52,Calc!AH52))</f>
        <v/>
      </c>
      <c r="EH52" s="27" t="str">
        <f aca="false">IF($A52="","",($EE52+$EF52+$EG52+IF($P52="Yes",N($Q52)*N($O52),0))*1000*$K52/1000000)</f>
        <v/>
      </c>
      <c r="EI52" s="28" t="str">
        <f aca="false">IF($A52="","",$EH52*1000000*12/1000000000)</f>
        <v/>
      </c>
      <c r="EJ52" s="32" t="str">
        <f aca="false">IF($A52="","",IF($EC52=0,"⚠ no species entered",IF(((LEFT($AP52,1)="✖")+(LEFT($BH52,1)="✖")+(LEFT($BZ52,1)="✖")+(LEFT($CR52,1)="✖")+(LEFT($DJ52,1)="✖")+(LEFT($EB52,1)="✖"))&gt;0,"✖ "&amp;((LEFT($AP52,1)="✖")+(LEFT($BH52,1)="✖")+(LEFT($BZ52,1)="✖")+(LEFT($CR52,1)="✖")+(LEFT($DJ52,1)="✖")+(LEFT($EB52,1)="✖"))&amp;" species saturated - see the species checks",IF(MIN($G52,$H52)&lt;8*$T52,"⚠ box too small laterally (&lt; 8·wr)",IF(AND($I52&gt;0,$I52&lt;3*$U52),"⚠ box too small axially (&lt; 3·wz)",IF($EI52&gt;8,"⚠ &gt; 8 GB per file: shorten the duration and use several files",IF(((LEFT($AP52,1)="⚠")+(LEFT($BH52,1)="⚠")+(LEFT($BZ52,1)="⚠")+(LEFT($CR52,1)="⚠")+(LEFT($DJ52,1)="⚠")+(LEFT($EB52,1)="⚠"))&gt;0,"⚠ "&amp;((LEFT($AP52,1)="⚠")+(LEFT($BH52,1)="⚠")+(LEFT($BZ52,1)="⚠")+(LEFT($CR52,1)="⚠")+(LEFT($DJ52,1)="⚠")+(LEFT($EB52,1)="⚠"))&amp;" species with a warning","✔ OK")))))))</f>
        <v/>
      </c>
      <c r="EK52" s="25"/>
      <c r="EL52" s="25"/>
      <c r="EM52" s="25"/>
      <c r="EN52" s="25"/>
      <c r="EO52" s="25"/>
      <c r="EP52" s="25"/>
      <c r="EQ52" s="25"/>
      <c r="ER52" s="26"/>
    </row>
    <row r="53" customFormat="false" ht="15" hidden="false" customHeight="false" outlineLevel="0" collapsed="false">
      <c r="A53" s="25"/>
      <c r="B53" s="25"/>
      <c r="C53" s="26"/>
      <c r="D53" s="26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7" t="str">
        <f aca="false">IF(OR($AH53="",$AH53="No FRET",N($AI53)&lt;=0,N($V53)&lt;=0),"",1/(1+($AI53/$V53)^6))</f>
        <v/>
      </c>
      <c r="AM53" s="27" t="str">
        <f aca="false">IF(OR($AH53="",$AH53="No FRET",N($AJ53)&lt;=0,N($W53)&lt;=0),"",1/(1+($AJ53/$W53)^6))</f>
        <v/>
      </c>
      <c r="AN53" s="27" t="str">
        <f aca="false">IF(OR($AH53="",$AH53="No FRET",N($AK53)&lt;=0,N($X53)&lt;=0),"",1/(1+($AK53/$X53)^6))</f>
        <v/>
      </c>
      <c r="AO53" s="28" t="str">
        <f aca="false">IF(OR($A53="",N($AA53)&lt;=0),"",IF($I53&gt;0,$AA53/($G53*$H53*$I53)/1E-024/6.022E+023/0.000000001,""))</f>
        <v/>
      </c>
      <c r="AP53" s="29" t="str">
        <f aca="false">IF(Calc!G53=0,"",IF(Calc!E53&gt;=1,"✖ saturated (B ≥ freq.)",IF(Calc!E53&gt;0.1,"⚠ B &gt; 10% of freq.",IF(Calc!E53=0,"⚠ no brightness",IF(Calc!F53&gt;0.1,"⚠ step &gt; 10% of wr",IF(AND($AH53&lt;&gt;"",$AH53&lt;&gt;"No FRET",N($O53)&lt;2),"⚠ FRET needs ≥ 2 colours",IF(AND($AH53&lt;&gt;"",$AH53&lt;&gt;"No FRET",N($AI53)+N($AJ53)+N($AK53)=0),"⚠ FRET: set R","✔ OK")))))))</f>
        <v/>
      </c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7" t="str">
        <f aca="false">IF(OR($AZ53="",$AZ53="No FRET",N($BA53)&lt;=0,N($V53)&lt;=0),"",1/(1+($BA53/$V53)^6))</f>
        <v/>
      </c>
      <c r="BE53" s="27" t="str">
        <f aca="false">IF(OR($AZ53="",$AZ53="No FRET",N($BB53)&lt;=0,N($W53)&lt;=0),"",1/(1+($BB53/$W53)^6))</f>
        <v/>
      </c>
      <c r="BF53" s="27" t="str">
        <f aca="false">IF(OR($AZ53="",$AZ53="No FRET",N($BC53)&lt;=0,N($X53)&lt;=0),"",1/(1+($BC53/$X53)^6))</f>
        <v/>
      </c>
      <c r="BG53" s="28" t="str">
        <f aca="false">IF(OR($A53="",N($AS53)&lt;=0),"",IF($I53&gt;0,$AS53/($G53*$H53*$I53)/1E-024/6.022E+023/0.000000001,""))</f>
        <v/>
      </c>
      <c r="BH53" s="29" t="str">
        <f aca="false">IF(Calc!M53=0,"",IF(Calc!K53&gt;=1,"✖ saturated (B ≥ freq.)",IF(Calc!K53&gt;0.1,"⚠ B &gt; 10% of freq.",IF(Calc!K53=0,"⚠ no brightness",IF(Calc!L53&gt;0.1,"⚠ step &gt; 10% of wr",IF(AND($AZ53&lt;&gt;"",$AZ53&lt;&gt;"No FRET",N($O53)&lt;2),"⚠ FRET needs ≥ 2 colours",IF(AND($AZ53&lt;&gt;"",$AZ53&lt;&gt;"No FRET",N($BA53)+N($BB53)+N($BC53)=0),"⚠ FRET: set R","✔ OK")))))))</f>
        <v/>
      </c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7" t="str">
        <f aca="false">IF(OR($BR53="",$BR53="No FRET",N($BS53)&lt;=0,N($V53)&lt;=0),"",1/(1+($BS53/$V53)^6))</f>
        <v/>
      </c>
      <c r="BW53" s="27" t="str">
        <f aca="false">IF(OR($BR53="",$BR53="No FRET",N($BT53)&lt;=0,N($W53)&lt;=0),"",1/(1+($BT53/$W53)^6))</f>
        <v/>
      </c>
      <c r="BX53" s="27" t="str">
        <f aca="false">IF(OR($BR53="",$BR53="No FRET",N($BU53)&lt;=0,N($X53)&lt;=0),"",1/(1+($BU53/$X53)^6))</f>
        <v/>
      </c>
      <c r="BY53" s="28" t="str">
        <f aca="false">IF(OR($A53="",N($BK53)&lt;=0),"",IF($I53&gt;0,$BK53/($G53*$H53*$I53)/1E-024/6.022E+023/0.000000001,""))</f>
        <v/>
      </c>
      <c r="BZ53" s="29" t="str">
        <f aca="false">IF(Calc!S53=0,"",IF(Calc!Q53&gt;=1,"✖ saturated (B ≥ freq.)",IF(Calc!Q53&gt;0.1,"⚠ B &gt; 10% of freq.",IF(Calc!Q53=0,"⚠ no brightness",IF(Calc!R53&gt;0.1,"⚠ step &gt; 10% of wr",IF(AND($BR53&lt;&gt;"",$BR53&lt;&gt;"No FRET",N($O53)&lt;2),"⚠ FRET needs ≥ 2 colours",IF(AND($BR53&lt;&gt;"",$BR53&lt;&gt;"No FRET",N($BS53)+N($BT53)+N($BU53)=0),"⚠ FRET: set R","✔ OK")))))))</f>
        <v/>
      </c>
      <c r="CA53" s="25"/>
      <c r="CB53" s="25"/>
      <c r="CC53" s="25"/>
      <c r="CD53" s="25"/>
      <c r="CE53" s="25"/>
      <c r="CF53" s="25"/>
      <c r="CG53" s="25"/>
      <c r="CH53" s="25"/>
      <c r="CI53" s="25"/>
      <c r="CJ53" s="25"/>
      <c r="CK53" s="25"/>
      <c r="CL53" s="25"/>
      <c r="CM53" s="25"/>
      <c r="CN53" s="27" t="str">
        <f aca="false">IF(OR($CJ53="",$CJ53="No FRET",N($CK53)&lt;=0,N($V53)&lt;=0),"",1/(1+($CK53/$V53)^6))</f>
        <v/>
      </c>
      <c r="CO53" s="27" t="str">
        <f aca="false">IF(OR($CJ53="",$CJ53="No FRET",N($CL53)&lt;=0,N($W53)&lt;=0),"",1/(1+($CL53/$W53)^6))</f>
        <v/>
      </c>
      <c r="CP53" s="27" t="str">
        <f aca="false">IF(OR($CJ53="",$CJ53="No FRET",N($CM53)&lt;=0,N($X53)&lt;=0),"",1/(1+($CM53/$X53)^6))</f>
        <v/>
      </c>
      <c r="CQ53" s="28" t="str">
        <f aca="false">IF(OR($A53="",N($CC53)&lt;=0),"",IF($I53&gt;0,$CC53/($G53*$H53*$I53)/1E-024/6.022E+023/0.000000001,""))</f>
        <v/>
      </c>
      <c r="CR53" s="29" t="str">
        <f aca="false">IF(Calc!Y53=0,"",IF(Calc!W53&gt;=1,"✖ saturated (B ≥ freq.)",IF(Calc!W53&gt;0.1,"⚠ B &gt; 10% of freq.",IF(Calc!W53=0,"⚠ no brightness",IF(Calc!X53&gt;0.1,"⚠ step &gt; 10% of wr",IF(AND($CJ53&lt;&gt;"",$CJ53&lt;&gt;"No FRET",N($O53)&lt;2),"⚠ FRET needs ≥ 2 colours",IF(AND($CJ53&lt;&gt;"",$CJ53&lt;&gt;"No FRET",N($CK53)+N($CL53)+N($CM53)=0),"⚠ FRET: set R","✔ OK")))))))</f>
        <v/>
      </c>
      <c r="CS53" s="25"/>
      <c r="CT53" s="25"/>
      <c r="CU53" s="25"/>
      <c r="CV53" s="25"/>
      <c r="CW53" s="25"/>
      <c r="CX53" s="25"/>
      <c r="CY53" s="25"/>
      <c r="CZ53" s="25"/>
      <c r="DA53" s="25"/>
      <c r="DB53" s="25"/>
      <c r="DC53" s="25"/>
      <c r="DD53" s="25"/>
      <c r="DE53" s="25"/>
      <c r="DF53" s="27" t="str">
        <f aca="false">IF(OR($DB53="",$DB53="No FRET",N($DC53)&lt;=0,N($V53)&lt;=0),"",1/(1+($DC53/$V53)^6))</f>
        <v/>
      </c>
      <c r="DG53" s="27" t="str">
        <f aca="false">IF(OR($DB53="",$DB53="No FRET",N($DD53)&lt;=0,N($W53)&lt;=0),"",1/(1+($DD53/$W53)^6))</f>
        <v/>
      </c>
      <c r="DH53" s="27" t="str">
        <f aca="false">IF(OR($DB53="",$DB53="No FRET",N($DE53)&lt;=0,N($X53)&lt;=0),"",1/(1+($DE53/$X53)^6))</f>
        <v/>
      </c>
      <c r="DI53" s="28" t="str">
        <f aca="false">IF(OR($A53="",N($CU53)&lt;=0),"",IF($I53&gt;0,$CU53/($G53*$H53*$I53)/1E-024/6.022E+023/0.000000001,""))</f>
        <v/>
      </c>
      <c r="DJ53" s="29" t="str">
        <f aca="false">IF(Calc!AE53=0,"",IF(Calc!AC53&gt;=1,"✖ saturated (B ≥ freq.)",IF(Calc!AC53&gt;0.1,"⚠ B &gt; 10% of freq.",IF(Calc!AC53=0,"⚠ no brightness",IF(Calc!AD53&gt;0.1,"⚠ step &gt; 10% of wr",IF(AND($DB53&lt;&gt;"",$DB53&lt;&gt;"No FRET",N($O53)&lt;2),"⚠ FRET needs ≥ 2 colours",IF(AND($DB53&lt;&gt;"",$DB53&lt;&gt;"No FRET",N($DC53)+N($DD53)+N($DE53)=0),"⚠ FRET: set R","✔ OK")))))))</f>
        <v/>
      </c>
      <c r="DK53" s="25"/>
      <c r="DL53" s="25"/>
      <c r="DM53" s="25"/>
      <c r="DN53" s="25"/>
      <c r="DO53" s="25"/>
      <c r="DP53" s="25"/>
      <c r="DQ53" s="25"/>
      <c r="DR53" s="25"/>
      <c r="DS53" s="25"/>
      <c r="DT53" s="25"/>
      <c r="DU53" s="25"/>
      <c r="DV53" s="25"/>
      <c r="DW53" s="25"/>
      <c r="DX53" s="27" t="str">
        <f aca="false">IF(OR($DT53="",$DT53="No FRET",N($DU53)&lt;=0,N($V53)&lt;=0),"",1/(1+($DU53/$V53)^6))</f>
        <v/>
      </c>
      <c r="DY53" s="27" t="str">
        <f aca="false">IF(OR($DT53="",$DT53="No FRET",N($DV53)&lt;=0,N($W53)&lt;=0),"",1/(1+($DV53/$W53)^6))</f>
        <v/>
      </c>
      <c r="DZ53" s="27" t="str">
        <f aca="false">IF(OR($DT53="",$DT53="No FRET",N($DW53)&lt;=0,N($X53)&lt;=0),"",1/(1+($DW53/$X53)^6))</f>
        <v/>
      </c>
      <c r="EA53" s="28" t="str">
        <f aca="false">IF(OR($A53="",N($DM53)&lt;=0),"",IF($I53&gt;0,$DM53/($G53*$H53*$I53)/1E-024/6.022E+023/0.000000001,""))</f>
        <v/>
      </c>
      <c r="EB53" s="29" t="str">
        <f aca="false">IF(Calc!AK53=0,"",IF(Calc!AI53&gt;=1,"✖ saturated (B ≥ freq.)",IF(Calc!AI53&gt;0.1,"⚠ B &gt; 10% of freq.",IF(Calc!AI53=0,"⚠ no brightness",IF(Calc!AJ53&gt;0.1,"⚠ step &gt; 10% of wr",IF(AND($DT53&lt;&gt;"",$DT53&lt;&gt;"No FRET",N($O53)&lt;2),"⚠ FRET needs ≥ 2 colours",IF(AND($DT53&lt;&gt;"",$DT53&lt;&gt;"No FRET",N($DU53)+N($DV53)+N($DW53)=0),"⚠ FRET: set R","✔ OK")))))))</f>
        <v/>
      </c>
      <c r="EC53" s="30" t="str">
        <f aca="false">IF($A53="","",SUM(Calc!G53,Calc!M53,Calc!S53,Calc!Y53,Calc!AE53,Calc!AK53))</f>
        <v/>
      </c>
      <c r="ED53" s="30" t="str">
        <f aca="false">IF($A53="","",N($AA53)+N($AS53)+N($BK53)+N($CC53)+N($CU53)+N($DM53))</f>
        <v/>
      </c>
      <c r="EE53" s="31" t="str">
        <f aca="false">IF($A53="","",SUM(Calc!B53,Calc!H53,Calc!N53,Calc!T53,Calc!Z53,Calc!AF53))</f>
        <v/>
      </c>
      <c r="EF53" s="31" t="str">
        <f aca="false">IF($A53="","",SUM(Calc!C53,Calc!I53,Calc!O53,Calc!U53,Calc!AA53,Calc!AG53))</f>
        <v/>
      </c>
      <c r="EG53" s="31" t="str">
        <f aca="false">IF($A53="","",SUM(Calc!D53,Calc!J53,Calc!P53,Calc!V53,Calc!AB53,Calc!AH53))</f>
        <v/>
      </c>
      <c r="EH53" s="27" t="str">
        <f aca="false">IF($A53="","",($EE53+$EF53+$EG53+IF($P53="Yes",N($Q53)*N($O53),0))*1000*$K53/1000000)</f>
        <v/>
      </c>
      <c r="EI53" s="28" t="str">
        <f aca="false">IF($A53="","",$EH53*1000000*12/1000000000)</f>
        <v/>
      </c>
      <c r="EJ53" s="32" t="str">
        <f aca="false">IF($A53="","",IF($EC53=0,"⚠ no species entered",IF(((LEFT($AP53,1)="✖")+(LEFT($BH53,1)="✖")+(LEFT($BZ53,1)="✖")+(LEFT($CR53,1)="✖")+(LEFT($DJ53,1)="✖")+(LEFT($EB53,1)="✖"))&gt;0,"✖ "&amp;((LEFT($AP53,1)="✖")+(LEFT($BH53,1)="✖")+(LEFT($BZ53,1)="✖")+(LEFT($CR53,1)="✖")+(LEFT($DJ53,1)="✖")+(LEFT($EB53,1)="✖"))&amp;" species saturated - see the species checks",IF(MIN($G53,$H53)&lt;8*$T53,"⚠ box too small laterally (&lt; 8·wr)",IF(AND($I53&gt;0,$I53&lt;3*$U53),"⚠ box too small axially (&lt; 3·wz)",IF($EI53&gt;8,"⚠ &gt; 8 GB per file: shorten the duration and use several files",IF(((LEFT($AP53,1)="⚠")+(LEFT($BH53,1)="⚠")+(LEFT($BZ53,1)="⚠")+(LEFT($CR53,1)="⚠")+(LEFT($DJ53,1)="⚠")+(LEFT($EB53,1)="⚠"))&gt;0,"⚠ "&amp;((LEFT($AP53,1)="⚠")+(LEFT($BH53,1)="⚠")+(LEFT($BZ53,1)="⚠")+(LEFT($CR53,1)="⚠")+(LEFT($DJ53,1)="⚠")+(LEFT($EB53,1)="⚠"))&amp;" species with a warning","✔ OK")))))))</f>
        <v/>
      </c>
      <c r="EK53" s="25"/>
      <c r="EL53" s="25"/>
      <c r="EM53" s="25"/>
      <c r="EN53" s="25"/>
      <c r="EO53" s="25"/>
      <c r="EP53" s="25"/>
      <c r="EQ53" s="25"/>
      <c r="ER53" s="26"/>
    </row>
    <row r="54" customFormat="false" ht="15" hidden="false" customHeight="false" outlineLevel="0" collapsed="false">
      <c r="A54" s="25"/>
      <c r="B54" s="25"/>
      <c r="C54" s="26"/>
      <c r="D54" s="26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7" t="str">
        <f aca="false">IF(OR($AH54="",$AH54="No FRET",N($AI54)&lt;=0,N($V54)&lt;=0),"",1/(1+($AI54/$V54)^6))</f>
        <v/>
      </c>
      <c r="AM54" s="27" t="str">
        <f aca="false">IF(OR($AH54="",$AH54="No FRET",N($AJ54)&lt;=0,N($W54)&lt;=0),"",1/(1+($AJ54/$W54)^6))</f>
        <v/>
      </c>
      <c r="AN54" s="27" t="str">
        <f aca="false">IF(OR($AH54="",$AH54="No FRET",N($AK54)&lt;=0,N($X54)&lt;=0),"",1/(1+($AK54/$X54)^6))</f>
        <v/>
      </c>
      <c r="AO54" s="28" t="str">
        <f aca="false">IF(OR($A54="",N($AA54)&lt;=0),"",IF($I54&gt;0,$AA54/($G54*$H54*$I54)/1E-024/6.022E+023/0.000000001,""))</f>
        <v/>
      </c>
      <c r="AP54" s="29" t="str">
        <f aca="false">IF(Calc!G54=0,"",IF(Calc!E54&gt;=1,"✖ saturated (B ≥ freq.)",IF(Calc!E54&gt;0.1,"⚠ B &gt; 10% of freq.",IF(Calc!E54=0,"⚠ no brightness",IF(Calc!F54&gt;0.1,"⚠ step &gt; 10% of wr",IF(AND($AH54&lt;&gt;"",$AH54&lt;&gt;"No FRET",N($O54)&lt;2),"⚠ FRET needs ≥ 2 colours",IF(AND($AH54&lt;&gt;"",$AH54&lt;&gt;"No FRET",N($AI54)+N($AJ54)+N($AK54)=0),"⚠ FRET: set R","✔ OK")))))))</f>
        <v/>
      </c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7" t="str">
        <f aca="false">IF(OR($AZ54="",$AZ54="No FRET",N($BA54)&lt;=0,N($V54)&lt;=0),"",1/(1+($BA54/$V54)^6))</f>
        <v/>
      </c>
      <c r="BE54" s="27" t="str">
        <f aca="false">IF(OR($AZ54="",$AZ54="No FRET",N($BB54)&lt;=0,N($W54)&lt;=0),"",1/(1+($BB54/$W54)^6))</f>
        <v/>
      </c>
      <c r="BF54" s="27" t="str">
        <f aca="false">IF(OR($AZ54="",$AZ54="No FRET",N($BC54)&lt;=0,N($X54)&lt;=0),"",1/(1+($BC54/$X54)^6))</f>
        <v/>
      </c>
      <c r="BG54" s="28" t="str">
        <f aca="false">IF(OR($A54="",N($AS54)&lt;=0),"",IF($I54&gt;0,$AS54/($G54*$H54*$I54)/1E-024/6.022E+023/0.000000001,""))</f>
        <v/>
      </c>
      <c r="BH54" s="29" t="str">
        <f aca="false">IF(Calc!M54=0,"",IF(Calc!K54&gt;=1,"✖ saturated (B ≥ freq.)",IF(Calc!K54&gt;0.1,"⚠ B &gt; 10% of freq.",IF(Calc!K54=0,"⚠ no brightness",IF(Calc!L54&gt;0.1,"⚠ step &gt; 10% of wr",IF(AND($AZ54&lt;&gt;"",$AZ54&lt;&gt;"No FRET",N($O54)&lt;2),"⚠ FRET needs ≥ 2 colours",IF(AND($AZ54&lt;&gt;"",$AZ54&lt;&gt;"No FRET",N($BA54)+N($BB54)+N($BC54)=0),"⚠ FRET: set R","✔ OK")))))))</f>
        <v/>
      </c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7" t="str">
        <f aca="false">IF(OR($BR54="",$BR54="No FRET",N($BS54)&lt;=0,N($V54)&lt;=0),"",1/(1+($BS54/$V54)^6))</f>
        <v/>
      </c>
      <c r="BW54" s="27" t="str">
        <f aca="false">IF(OR($BR54="",$BR54="No FRET",N($BT54)&lt;=0,N($W54)&lt;=0),"",1/(1+($BT54/$W54)^6))</f>
        <v/>
      </c>
      <c r="BX54" s="27" t="str">
        <f aca="false">IF(OR($BR54="",$BR54="No FRET",N($BU54)&lt;=0,N($X54)&lt;=0),"",1/(1+($BU54/$X54)^6))</f>
        <v/>
      </c>
      <c r="BY54" s="28" t="str">
        <f aca="false">IF(OR($A54="",N($BK54)&lt;=0),"",IF($I54&gt;0,$BK54/($G54*$H54*$I54)/1E-024/6.022E+023/0.000000001,""))</f>
        <v/>
      </c>
      <c r="BZ54" s="29" t="str">
        <f aca="false">IF(Calc!S54=0,"",IF(Calc!Q54&gt;=1,"✖ saturated (B ≥ freq.)",IF(Calc!Q54&gt;0.1,"⚠ B &gt; 10% of freq.",IF(Calc!Q54=0,"⚠ no brightness",IF(Calc!R54&gt;0.1,"⚠ step &gt; 10% of wr",IF(AND($BR54&lt;&gt;"",$BR54&lt;&gt;"No FRET",N($O54)&lt;2),"⚠ FRET needs ≥ 2 colours",IF(AND($BR54&lt;&gt;"",$BR54&lt;&gt;"No FRET",N($BS54)+N($BT54)+N($BU54)=0),"⚠ FRET: set R","✔ OK")))))))</f>
        <v/>
      </c>
      <c r="CA54" s="25"/>
      <c r="CB54" s="25"/>
      <c r="CC54" s="25"/>
      <c r="CD54" s="25"/>
      <c r="CE54" s="25"/>
      <c r="CF54" s="25"/>
      <c r="CG54" s="25"/>
      <c r="CH54" s="25"/>
      <c r="CI54" s="25"/>
      <c r="CJ54" s="25"/>
      <c r="CK54" s="25"/>
      <c r="CL54" s="25"/>
      <c r="CM54" s="25"/>
      <c r="CN54" s="27" t="str">
        <f aca="false">IF(OR($CJ54="",$CJ54="No FRET",N($CK54)&lt;=0,N($V54)&lt;=0),"",1/(1+($CK54/$V54)^6))</f>
        <v/>
      </c>
      <c r="CO54" s="27" t="str">
        <f aca="false">IF(OR($CJ54="",$CJ54="No FRET",N($CL54)&lt;=0,N($W54)&lt;=0),"",1/(1+($CL54/$W54)^6))</f>
        <v/>
      </c>
      <c r="CP54" s="27" t="str">
        <f aca="false">IF(OR($CJ54="",$CJ54="No FRET",N($CM54)&lt;=0,N($X54)&lt;=0),"",1/(1+($CM54/$X54)^6))</f>
        <v/>
      </c>
      <c r="CQ54" s="28" t="str">
        <f aca="false">IF(OR($A54="",N($CC54)&lt;=0),"",IF($I54&gt;0,$CC54/($G54*$H54*$I54)/1E-024/6.022E+023/0.000000001,""))</f>
        <v/>
      </c>
      <c r="CR54" s="29" t="str">
        <f aca="false">IF(Calc!Y54=0,"",IF(Calc!W54&gt;=1,"✖ saturated (B ≥ freq.)",IF(Calc!W54&gt;0.1,"⚠ B &gt; 10% of freq.",IF(Calc!W54=0,"⚠ no brightness",IF(Calc!X54&gt;0.1,"⚠ step &gt; 10% of wr",IF(AND($CJ54&lt;&gt;"",$CJ54&lt;&gt;"No FRET",N($O54)&lt;2),"⚠ FRET needs ≥ 2 colours",IF(AND($CJ54&lt;&gt;"",$CJ54&lt;&gt;"No FRET",N($CK54)+N($CL54)+N($CM54)=0),"⚠ FRET: set R","✔ OK")))))))</f>
        <v/>
      </c>
      <c r="CS54" s="25"/>
      <c r="CT54" s="25"/>
      <c r="CU54" s="25"/>
      <c r="CV54" s="25"/>
      <c r="CW54" s="25"/>
      <c r="CX54" s="25"/>
      <c r="CY54" s="25"/>
      <c r="CZ54" s="25"/>
      <c r="DA54" s="25"/>
      <c r="DB54" s="25"/>
      <c r="DC54" s="25"/>
      <c r="DD54" s="25"/>
      <c r="DE54" s="25"/>
      <c r="DF54" s="27" t="str">
        <f aca="false">IF(OR($DB54="",$DB54="No FRET",N($DC54)&lt;=0,N($V54)&lt;=0),"",1/(1+($DC54/$V54)^6))</f>
        <v/>
      </c>
      <c r="DG54" s="27" t="str">
        <f aca="false">IF(OR($DB54="",$DB54="No FRET",N($DD54)&lt;=0,N($W54)&lt;=0),"",1/(1+($DD54/$W54)^6))</f>
        <v/>
      </c>
      <c r="DH54" s="27" t="str">
        <f aca="false">IF(OR($DB54="",$DB54="No FRET",N($DE54)&lt;=0,N($X54)&lt;=0),"",1/(1+($DE54/$X54)^6))</f>
        <v/>
      </c>
      <c r="DI54" s="28" t="str">
        <f aca="false">IF(OR($A54="",N($CU54)&lt;=0),"",IF($I54&gt;0,$CU54/($G54*$H54*$I54)/1E-024/6.022E+023/0.000000001,""))</f>
        <v/>
      </c>
      <c r="DJ54" s="29" t="str">
        <f aca="false">IF(Calc!AE54=0,"",IF(Calc!AC54&gt;=1,"✖ saturated (B ≥ freq.)",IF(Calc!AC54&gt;0.1,"⚠ B &gt; 10% of freq.",IF(Calc!AC54=0,"⚠ no brightness",IF(Calc!AD54&gt;0.1,"⚠ step &gt; 10% of wr",IF(AND($DB54&lt;&gt;"",$DB54&lt;&gt;"No FRET",N($O54)&lt;2),"⚠ FRET needs ≥ 2 colours",IF(AND($DB54&lt;&gt;"",$DB54&lt;&gt;"No FRET",N($DC54)+N($DD54)+N($DE54)=0),"⚠ FRET: set R","✔ OK")))))))</f>
        <v/>
      </c>
      <c r="DK54" s="25"/>
      <c r="DL54" s="25"/>
      <c r="DM54" s="25"/>
      <c r="DN54" s="25"/>
      <c r="DO54" s="25"/>
      <c r="DP54" s="25"/>
      <c r="DQ54" s="25"/>
      <c r="DR54" s="25"/>
      <c r="DS54" s="25"/>
      <c r="DT54" s="25"/>
      <c r="DU54" s="25"/>
      <c r="DV54" s="25"/>
      <c r="DW54" s="25"/>
      <c r="DX54" s="27" t="str">
        <f aca="false">IF(OR($DT54="",$DT54="No FRET",N($DU54)&lt;=0,N($V54)&lt;=0),"",1/(1+($DU54/$V54)^6))</f>
        <v/>
      </c>
      <c r="DY54" s="27" t="str">
        <f aca="false">IF(OR($DT54="",$DT54="No FRET",N($DV54)&lt;=0,N($W54)&lt;=0),"",1/(1+($DV54/$W54)^6))</f>
        <v/>
      </c>
      <c r="DZ54" s="27" t="str">
        <f aca="false">IF(OR($DT54="",$DT54="No FRET",N($DW54)&lt;=0,N($X54)&lt;=0),"",1/(1+($DW54/$X54)^6))</f>
        <v/>
      </c>
      <c r="EA54" s="28" t="str">
        <f aca="false">IF(OR($A54="",N($DM54)&lt;=0),"",IF($I54&gt;0,$DM54/($G54*$H54*$I54)/1E-024/6.022E+023/0.000000001,""))</f>
        <v/>
      </c>
      <c r="EB54" s="29" t="str">
        <f aca="false">IF(Calc!AK54=0,"",IF(Calc!AI54&gt;=1,"✖ saturated (B ≥ freq.)",IF(Calc!AI54&gt;0.1,"⚠ B &gt; 10% of freq.",IF(Calc!AI54=0,"⚠ no brightness",IF(Calc!AJ54&gt;0.1,"⚠ step &gt; 10% of wr",IF(AND($DT54&lt;&gt;"",$DT54&lt;&gt;"No FRET",N($O54)&lt;2),"⚠ FRET needs ≥ 2 colours",IF(AND($DT54&lt;&gt;"",$DT54&lt;&gt;"No FRET",N($DU54)+N($DV54)+N($DW54)=0),"⚠ FRET: set R","✔ OK")))))))</f>
        <v/>
      </c>
      <c r="EC54" s="30" t="str">
        <f aca="false">IF($A54="","",SUM(Calc!G54,Calc!M54,Calc!S54,Calc!Y54,Calc!AE54,Calc!AK54))</f>
        <v/>
      </c>
      <c r="ED54" s="30" t="str">
        <f aca="false">IF($A54="","",N($AA54)+N($AS54)+N($BK54)+N($CC54)+N($CU54)+N($DM54))</f>
        <v/>
      </c>
      <c r="EE54" s="31" t="str">
        <f aca="false">IF($A54="","",SUM(Calc!B54,Calc!H54,Calc!N54,Calc!T54,Calc!Z54,Calc!AF54))</f>
        <v/>
      </c>
      <c r="EF54" s="31" t="str">
        <f aca="false">IF($A54="","",SUM(Calc!C54,Calc!I54,Calc!O54,Calc!U54,Calc!AA54,Calc!AG54))</f>
        <v/>
      </c>
      <c r="EG54" s="31" t="str">
        <f aca="false">IF($A54="","",SUM(Calc!D54,Calc!J54,Calc!P54,Calc!V54,Calc!AB54,Calc!AH54))</f>
        <v/>
      </c>
      <c r="EH54" s="27" t="str">
        <f aca="false">IF($A54="","",($EE54+$EF54+$EG54+IF($P54="Yes",N($Q54)*N($O54),0))*1000*$K54/1000000)</f>
        <v/>
      </c>
      <c r="EI54" s="28" t="str">
        <f aca="false">IF($A54="","",$EH54*1000000*12/1000000000)</f>
        <v/>
      </c>
      <c r="EJ54" s="32" t="str">
        <f aca="false">IF($A54="","",IF($EC54=0,"⚠ no species entered",IF(((LEFT($AP54,1)="✖")+(LEFT($BH54,1)="✖")+(LEFT($BZ54,1)="✖")+(LEFT($CR54,1)="✖")+(LEFT($DJ54,1)="✖")+(LEFT($EB54,1)="✖"))&gt;0,"✖ "&amp;((LEFT($AP54,1)="✖")+(LEFT($BH54,1)="✖")+(LEFT($BZ54,1)="✖")+(LEFT($CR54,1)="✖")+(LEFT($DJ54,1)="✖")+(LEFT($EB54,1)="✖"))&amp;" species saturated - see the species checks",IF(MIN($G54,$H54)&lt;8*$T54,"⚠ box too small laterally (&lt; 8·wr)",IF(AND($I54&gt;0,$I54&lt;3*$U54),"⚠ box too small axially (&lt; 3·wz)",IF($EI54&gt;8,"⚠ &gt; 8 GB per file: shorten the duration and use several files",IF(((LEFT($AP54,1)="⚠")+(LEFT($BH54,1)="⚠")+(LEFT($BZ54,1)="⚠")+(LEFT($CR54,1)="⚠")+(LEFT($DJ54,1)="⚠")+(LEFT($EB54,1)="⚠"))&gt;0,"⚠ "&amp;((LEFT($AP54,1)="⚠")+(LEFT($BH54,1)="⚠")+(LEFT($BZ54,1)="⚠")+(LEFT($CR54,1)="⚠")+(LEFT($DJ54,1)="⚠")+(LEFT($EB54,1)="⚠"))&amp;" species with a warning","✔ OK")))))))</f>
        <v/>
      </c>
      <c r="EK54" s="25"/>
      <c r="EL54" s="25"/>
      <c r="EM54" s="25"/>
      <c r="EN54" s="25"/>
      <c r="EO54" s="25"/>
      <c r="EP54" s="25"/>
      <c r="EQ54" s="25"/>
      <c r="ER54" s="26"/>
    </row>
    <row r="55" customFormat="false" ht="15" hidden="false" customHeight="false" outlineLevel="0" collapsed="false">
      <c r="A55" s="25"/>
      <c r="B55" s="25"/>
      <c r="C55" s="26"/>
      <c r="D55" s="26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7" t="str">
        <f aca="false">IF(OR($AH55="",$AH55="No FRET",N($AI55)&lt;=0,N($V55)&lt;=0),"",1/(1+($AI55/$V55)^6))</f>
        <v/>
      </c>
      <c r="AM55" s="27" t="str">
        <f aca="false">IF(OR($AH55="",$AH55="No FRET",N($AJ55)&lt;=0,N($W55)&lt;=0),"",1/(1+($AJ55/$W55)^6))</f>
        <v/>
      </c>
      <c r="AN55" s="27" t="str">
        <f aca="false">IF(OR($AH55="",$AH55="No FRET",N($AK55)&lt;=0,N($X55)&lt;=0),"",1/(1+($AK55/$X55)^6))</f>
        <v/>
      </c>
      <c r="AO55" s="28" t="str">
        <f aca="false">IF(OR($A55="",N($AA55)&lt;=0),"",IF($I55&gt;0,$AA55/($G55*$H55*$I55)/1E-024/6.022E+023/0.000000001,""))</f>
        <v/>
      </c>
      <c r="AP55" s="29" t="str">
        <f aca="false">IF(Calc!G55=0,"",IF(Calc!E55&gt;=1,"✖ saturated (B ≥ freq.)",IF(Calc!E55&gt;0.1,"⚠ B &gt; 10% of freq.",IF(Calc!E55=0,"⚠ no brightness",IF(Calc!F55&gt;0.1,"⚠ step &gt; 10% of wr",IF(AND($AH55&lt;&gt;"",$AH55&lt;&gt;"No FRET",N($O55)&lt;2),"⚠ FRET needs ≥ 2 colours",IF(AND($AH55&lt;&gt;"",$AH55&lt;&gt;"No FRET",N($AI55)+N($AJ55)+N($AK55)=0),"⚠ FRET: set R","✔ OK")))))))</f>
        <v/>
      </c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7" t="str">
        <f aca="false">IF(OR($AZ55="",$AZ55="No FRET",N($BA55)&lt;=0,N($V55)&lt;=0),"",1/(1+($BA55/$V55)^6))</f>
        <v/>
      </c>
      <c r="BE55" s="27" t="str">
        <f aca="false">IF(OR($AZ55="",$AZ55="No FRET",N($BB55)&lt;=0,N($W55)&lt;=0),"",1/(1+($BB55/$W55)^6))</f>
        <v/>
      </c>
      <c r="BF55" s="27" t="str">
        <f aca="false">IF(OR($AZ55="",$AZ55="No FRET",N($BC55)&lt;=0,N($X55)&lt;=0),"",1/(1+($BC55/$X55)^6))</f>
        <v/>
      </c>
      <c r="BG55" s="28" t="str">
        <f aca="false">IF(OR($A55="",N($AS55)&lt;=0),"",IF($I55&gt;0,$AS55/($G55*$H55*$I55)/1E-024/6.022E+023/0.000000001,""))</f>
        <v/>
      </c>
      <c r="BH55" s="29" t="str">
        <f aca="false">IF(Calc!M55=0,"",IF(Calc!K55&gt;=1,"✖ saturated (B ≥ freq.)",IF(Calc!K55&gt;0.1,"⚠ B &gt; 10% of freq.",IF(Calc!K55=0,"⚠ no brightness",IF(Calc!L55&gt;0.1,"⚠ step &gt; 10% of wr",IF(AND($AZ55&lt;&gt;"",$AZ55&lt;&gt;"No FRET",N($O55)&lt;2),"⚠ FRET needs ≥ 2 colours",IF(AND($AZ55&lt;&gt;"",$AZ55&lt;&gt;"No FRET",N($BA55)+N($BB55)+N($BC55)=0),"⚠ FRET: set R","✔ OK")))))))</f>
        <v/>
      </c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7" t="str">
        <f aca="false">IF(OR($BR55="",$BR55="No FRET",N($BS55)&lt;=0,N($V55)&lt;=0),"",1/(1+($BS55/$V55)^6))</f>
        <v/>
      </c>
      <c r="BW55" s="27" t="str">
        <f aca="false">IF(OR($BR55="",$BR55="No FRET",N($BT55)&lt;=0,N($W55)&lt;=0),"",1/(1+($BT55/$W55)^6))</f>
        <v/>
      </c>
      <c r="BX55" s="27" t="str">
        <f aca="false">IF(OR($BR55="",$BR55="No FRET",N($BU55)&lt;=0,N($X55)&lt;=0),"",1/(1+($BU55/$X55)^6))</f>
        <v/>
      </c>
      <c r="BY55" s="28" t="str">
        <f aca="false">IF(OR($A55="",N($BK55)&lt;=0),"",IF($I55&gt;0,$BK55/($G55*$H55*$I55)/1E-024/6.022E+023/0.000000001,""))</f>
        <v/>
      </c>
      <c r="BZ55" s="29" t="str">
        <f aca="false">IF(Calc!S55=0,"",IF(Calc!Q55&gt;=1,"✖ saturated (B ≥ freq.)",IF(Calc!Q55&gt;0.1,"⚠ B &gt; 10% of freq.",IF(Calc!Q55=0,"⚠ no brightness",IF(Calc!R55&gt;0.1,"⚠ step &gt; 10% of wr",IF(AND($BR55&lt;&gt;"",$BR55&lt;&gt;"No FRET",N($O55)&lt;2),"⚠ FRET needs ≥ 2 colours",IF(AND($BR55&lt;&gt;"",$BR55&lt;&gt;"No FRET",N($BS55)+N($BT55)+N($BU55)=0),"⚠ FRET: set R","✔ OK")))))))</f>
        <v/>
      </c>
      <c r="CA55" s="25"/>
      <c r="CB55" s="25"/>
      <c r="CC55" s="25"/>
      <c r="CD55" s="25"/>
      <c r="CE55" s="25"/>
      <c r="CF55" s="25"/>
      <c r="CG55" s="25"/>
      <c r="CH55" s="25"/>
      <c r="CI55" s="25"/>
      <c r="CJ55" s="25"/>
      <c r="CK55" s="25"/>
      <c r="CL55" s="25"/>
      <c r="CM55" s="25"/>
      <c r="CN55" s="27" t="str">
        <f aca="false">IF(OR($CJ55="",$CJ55="No FRET",N($CK55)&lt;=0,N($V55)&lt;=0),"",1/(1+($CK55/$V55)^6))</f>
        <v/>
      </c>
      <c r="CO55" s="27" t="str">
        <f aca="false">IF(OR($CJ55="",$CJ55="No FRET",N($CL55)&lt;=0,N($W55)&lt;=0),"",1/(1+($CL55/$W55)^6))</f>
        <v/>
      </c>
      <c r="CP55" s="27" t="str">
        <f aca="false">IF(OR($CJ55="",$CJ55="No FRET",N($CM55)&lt;=0,N($X55)&lt;=0),"",1/(1+($CM55/$X55)^6))</f>
        <v/>
      </c>
      <c r="CQ55" s="28" t="str">
        <f aca="false">IF(OR($A55="",N($CC55)&lt;=0),"",IF($I55&gt;0,$CC55/($G55*$H55*$I55)/1E-024/6.022E+023/0.000000001,""))</f>
        <v/>
      </c>
      <c r="CR55" s="29" t="str">
        <f aca="false">IF(Calc!Y55=0,"",IF(Calc!W55&gt;=1,"✖ saturated (B ≥ freq.)",IF(Calc!W55&gt;0.1,"⚠ B &gt; 10% of freq.",IF(Calc!W55=0,"⚠ no brightness",IF(Calc!X55&gt;0.1,"⚠ step &gt; 10% of wr",IF(AND($CJ55&lt;&gt;"",$CJ55&lt;&gt;"No FRET",N($O55)&lt;2),"⚠ FRET needs ≥ 2 colours",IF(AND($CJ55&lt;&gt;"",$CJ55&lt;&gt;"No FRET",N($CK55)+N($CL55)+N($CM55)=0),"⚠ FRET: set R","✔ OK")))))))</f>
        <v/>
      </c>
      <c r="CS55" s="25"/>
      <c r="CT55" s="25"/>
      <c r="CU55" s="25"/>
      <c r="CV55" s="25"/>
      <c r="CW55" s="25"/>
      <c r="CX55" s="25"/>
      <c r="CY55" s="25"/>
      <c r="CZ55" s="25"/>
      <c r="DA55" s="25"/>
      <c r="DB55" s="25"/>
      <c r="DC55" s="25"/>
      <c r="DD55" s="25"/>
      <c r="DE55" s="25"/>
      <c r="DF55" s="27" t="str">
        <f aca="false">IF(OR($DB55="",$DB55="No FRET",N($DC55)&lt;=0,N($V55)&lt;=0),"",1/(1+($DC55/$V55)^6))</f>
        <v/>
      </c>
      <c r="DG55" s="27" t="str">
        <f aca="false">IF(OR($DB55="",$DB55="No FRET",N($DD55)&lt;=0,N($W55)&lt;=0),"",1/(1+($DD55/$W55)^6))</f>
        <v/>
      </c>
      <c r="DH55" s="27" t="str">
        <f aca="false">IF(OR($DB55="",$DB55="No FRET",N($DE55)&lt;=0,N($X55)&lt;=0),"",1/(1+($DE55/$X55)^6))</f>
        <v/>
      </c>
      <c r="DI55" s="28" t="str">
        <f aca="false">IF(OR($A55="",N($CU55)&lt;=0),"",IF($I55&gt;0,$CU55/($G55*$H55*$I55)/1E-024/6.022E+023/0.000000001,""))</f>
        <v/>
      </c>
      <c r="DJ55" s="29" t="str">
        <f aca="false">IF(Calc!AE55=0,"",IF(Calc!AC55&gt;=1,"✖ saturated (B ≥ freq.)",IF(Calc!AC55&gt;0.1,"⚠ B &gt; 10% of freq.",IF(Calc!AC55=0,"⚠ no brightness",IF(Calc!AD55&gt;0.1,"⚠ step &gt; 10% of wr",IF(AND($DB55&lt;&gt;"",$DB55&lt;&gt;"No FRET",N($O55)&lt;2),"⚠ FRET needs ≥ 2 colours",IF(AND($DB55&lt;&gt;"",$DB55&lt;&gt;"No FRET",N($DC55)+N($DD55)+N($DE55)=0),"⚠ FRET: set R","✔ OK")))))))</f>
        <v/>
      </c>
      <c r="DK55" s="25"/>
      <c r="DL55" s="25"/>
      <c r="DM55" s="25"/>
      <c r="DN55" s="25"/>
      <c r="DO55" s="25"/>
      <c r="DP55" s="25"/>
      <c r="DQ55" s="25"/>
      <c r="DR55" s="25"/>
      <c r="DS55" s="25"/>
      <c r="DT55" s="25"/>
      <c r="DU55" s="25"/>
      <c r="DV55" s="25"/>
      <c r="DW55" s="25"/>
      <c r="DX55" s="27" t="str">
        <f aca="false">IF(OR($DT55="",$DT55="No FRET",N($DU55)&lt;=0,N($V55)&lt;=0),"",1/(1+($DU55/$V55)^6))</f>
        <v/>
      </c>
      <c r="DY55" s="27" t="str">
        <f aca="false">IF(OR($DT55="",$DT55="No FRET",N($DV55)&lt;=0,N($W55)&lt;=0),"",1/(1+($DV55/$W55)^6))</f>
        <v/>
      </c>
      <c r="DZ55" s="27" t="str">
        <f aca="false">IF(OR($DT55="",$DT55="No FRET",N($DW55)&lt;=0,N($X55)&lt;=0),"",1/(1+($DW55/$X55)^6))</f>
        <v/>
      </c>
      <c r="EA55" s="28" t="str">
        <f aca="false">IF(OR($A55="",N($DM55)&lt;=0),"",IF($I55&gt;0,$DM55/($G55*$H55*$I55)/1E-024/6.022E+023/0.000000001,""))</f>
        <v/>
      </c>
      <c r="EB55" s="29" t="str">
        <f aca="false">IF(Calc!AK55=0,"",IF(Calc!AI55&gt;=1,"✖ saturated (B ≥ freq.)",IF(Calc!AI55&gt;0.1,"⚠ B &gt; 10% of freq.",IF(Calc!AI55=0,"⚠ no brightness",IF(Calc!AJ55&gt;0.1,"⚠ step &gt; 10% of wr",IF(AND($DT55&lt;&gt;"",$DT55&lt;&gt;"No FRET",N($O55)&lt;2),"⚠ FRET needs ≥ 2 colours",IF(AND($DT55&lt;&gt;"",$DT55&lt;&gt;"No FRET",N($DU55)+N($DV55)+N($DW55)=0),"⚠ FRET: set R","✔ OK")))))))</f>
        <v/>
      </c>
      <c r="EC55" s="30" t="str">
        <f aca="false">IF($A55="","",SUM(Calc!G55,Calc!M55,Calc!S55,Calc!Y55,Calc!AE55,Calc!AK55))</f>
        <v/>
      </c>
      <c r="ED55" s="30" t="str">
        <f aca="false">IF($A55="","",N($AA55)+N($AS55)+N($BK55)+N($CC55)+N($CU55)+N($DM55))</f>
        <v/>
      </c>
      <c r="EE55" s="31" t="str">
        <f aca="false">IF($A55="","",SUM(Calc!B55,Calc!H55,Calc!N55,Calc!T55,Calc!Z55,Calc!AF55))</f>
        <v/>
      </c>
      <c r="EF55" s="31" t="str">
        <f aca="false">IF($A55="","",SUM(Calc!C55,Calc!I55,Calc!O55,Calc!U55,Calc!AA55,Calc!AG55))</f>
        <v/>
      </c>
      <c r="EG55" s="31" t="str">
        <f aca="false">IF($A55="","",SUM(Calc!D55,Calc!J55,Calc!P55,Calc!V55,Calc!AB55,Calc!AH55))</f>
        <v/>
      </c>
      <c r="EH55" s="27" t="str">
        <f aca="false">IF($A55="","",($EE55+$EF55+$EG55+IF($P55="Yes",N($Q55)*N($O55),0))*1000*$K55/1000000)</f>
        <v/>
      </c>
      <c r="EI55" s="28" t="str">
        <f aca="false">IF($A55="","",$EH55*1000000*12/1000000000)</f>
        <v/>
      </c>
      <c r="EJ55" s="32" t="str">
        <f aca="false">IF($A55="","",IF($EC55=0,"⚠ no species entered",IF(((LEFT($AP55,1)="✖")+(LEFT($BH55,1)="✖")+(LEFT($BZ55,1)="✖")+(LEFT($CR55,1)="✖")+(LEFT($DJ55,1)="✖")+(LEFT($EB55,1)="✖"))&gt;0,"✖ "&amp;((LEFT($AP55,1)="✖")+(LEFT($BH55,1)="✖")+(LEFT($BZ55,1)="✖")+(LEFT($CR55,1)="✖")+(LEFT($DJ55,1)="✖")+(LEFT($EB55,1)="✖"))&amp;" species saturated - see the species checks",IF(MIN($G55,$H55)&lt;8*$T55,"⚠ box too small laterally (&lt; 8·wr)",IF(AND($I55&gt;0,$I55&lt;3*$U55),"⚠ box too small axially (&lt; 3·wz)",IF($EI55&gt;8,"⚠ &gt; 8 GB per file: shorten the duration and use several files",IF(((LEFT($AP55,1)="⚠")+(LEFT($BH55,1)="⚠")+(LEFT($BZ55,1)="⚠")+(LEFT($CR55,1)="⚠")+(LEFT($DJ55,1)="⚠")+(LEFT($EB55,1)="⚠"))&gt;0,"⚠ "&amp;((LEFT($AP55,1)="⚠")+(LEFT($BH55,1)="⚠")+(LEFT($BZ55,1)="⚠")+(LEFT($CR55,1)="⚠")+(LEFT($DJ55,1)="⚠")+(LEFT($EB55,1)="⚠"))&amp;" species with a warning","✔ OK")))))))</f>
        <v/>
      </c>
      <c r="EK55" s="25"/>
      <c r="EL55" s="25"/>
      <c r="EM55" s="25"/>
      <c r="EN55" s="25"/>
      <c r="EO55" s="25"/>
      <c r="EP55" s="25"/>
      <c r="EQ55" s="25"/>
      <c r="ER55" s="26"/>
    </row>
    <row r="56" customFormat="false" ht="15" hidden="false" customHeight="false" outlineLevel="0" collapsed="false">
      <c r="A56" s="25"/>
      <c r="B56" s="25"/>
      <c r="C56" s="26"/>
      <c r="D56" s="26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7" t="str">
        <f aca="false">IF(OR($AH56="",$AH56="No FRET",N($AI56)&lt;=0,N($V56)&lt;=0),"",1/(1+($AI56/$V56)^6))</f>
        <v/>
      </c>
      <c r="AM56" s="27" t="str">
        <f aca="false">IF(OR($AH56="",$AH56="No FRET",N($AJ56)&lt;=0,N($W56)&lt;=0),"",1/(1+($AJ56/$W56)^6))</f>
        <v/>
      </c>
      <c r="AN56" s="27" t="str">
        <f aca="false">IF(OR($AH56="",$AH56="No FRET",N($AK56)&lt;=0,N($X56)&lt;=0),"",1/(1+($AK56/$X56)^6))</f>
        <v/>
      </c>
      <c r="AO56" s="28" t="str">
        <f aca="false">IF(OR($A56="",N($AA56)&lt;=0),"",IF($I56&gt;0,$AA56/($G56*$H56*$I56)/1E-024/6.022E+023/0.000000001,""))</f>
        <v/>
      </c>
      <c r="AP56" s="29" t="str">
        <f aca="false">IF(Calc!G56=0,"",IF(Calc!E56&gt;=1,"✖ saturated (B ≥ freq.)",IF(Calc!E56&gt;0.1,"⚠ B &gt; 10% of freq.",IF(Calc!E56=0,"⚠ no brightness",IF(Calc!F56&gt;0.1,"⚠ step &gt; 10% of wr",IF(AND($AH56&lt;&gt;"",$AH56&lt;&gt;"No FRET",N($O56)&lt;2),"⚠ FRET needs ≥ 2 colours",IF(AND($AH56&lt;&gt;"",$AH56&lt;&gt;"No FRET",N($AI56)+N($AJ56)+N($AK56)=0),"⚠ FRET: set R","✔ OK")))))))</f>
        <v/>
      </c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7" t="str">
        <f aca="false">IF(OR($AZ56="",$AZ56="No FRET",N($BA56)&lt;=0,N($V56)&lt;=0),"",1/(1+($BA56/$V56)^6))</f>
        <v/>
      </c>
      <c r="BE56" s="27" t="str">
        <f aca="false">IF(OR($AZ56="",$AZ56="No FRET",N($BB56)&lt;=0,N($W56)&lt;=0),"",1/(1+($BB56/$W56)^6))</f>
        <v/>
      </c>
      <c r="BF56" s="27" t="str">
        <f aca="false">IF(OR($AZ56="",$AZ56="No FRET",N($BC56)&lt;=0,N($X56)&lt;=0),"",1/(1+($BC56/$X56)^6))</f>
        <v/>
      </c>
      <c r="BG56" s="28" t="str">
        <f aca="false">IF(OR($A56="",N($AS56)&lt;=0),"",IF($I56&gt;0,$AS56/($G56*$H56*$I56)/1E-024/6.022E+023/0.000000001,""))</f>
        <v/>
      </c>
      <c r="BH56" s="29" t="str">
        <f aca="false">IF(Calc!M56=0,"",IF(Calc!K56&gt;=1,"✖ saturated (B ≥ freq.)",IF(Calc!K56&gt;0.1,"⚠ B &gt; 10% of freq.",IF(Calc!K56=0,"⚠ no brightness",IF(Calc!L56&gt;0.1,"⚠ step &gt; 10% of wr",IF(AND($AZ56&lt;&gt;"",$AZ56&lt;&gt;"No FRET",N($O56)&lt;2),"⚠ FRET needs ≥ 2 colours",IF(AND($AZ56&lt;&gt;"",$AZ56&lt;&gt;"No FRET",N($BA56)+N($BB56)+N($BC56)=0),"⚠ FRET: set R","✔ OK")))))))</f>
        <v/>
      </c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7" t="str">
        <f aca="false">IF(OR($BR56="",$BR56="No FRET",N($BS56)&lt;=0,N($V56)&lt;=0),"",1/(1+($BS56/$V56)^6))</f>
        <v/>
      </c>
      <c r="BW56" s="27" t="str">
        <f aca="false">IF(OR($BR56="",$BR56="No FRET",N($BT56)&lt;=0,N($W56)&lt;=0),"",1/(1+($BT56/$W56)^6))</f>
        <v/>
      </c>
      <c r="BX56" s="27" t="str">
        <f aca="false">IF(OR($BR56="",$BR56="No FRET",N($BU56)&lt;=0,N($X56)&lt;=0),"",1/(1+($BU56/$X56)^6))</f>
        <v/>
      </c>
      <c r="BY56" s="28" t="str">
        <f aca="false">IF(OR($A56="",N($BK56)&lt;=0),"",IF($I56&gt;0,$BK56/($G56*$H56*$I56)/1E-024/6.022E+023/0.000000001,""))</f>
        <v/>
      </c>
      <c r="BZ56" s="29" t="str">
        <f aca="false">IF(Calc!S56=0,"",IF(Calc!Q56&gt;=1,"✖ saturated (B ≥ freq.)",IF(Calc!Q56&gt;0.1,"⚠ B &gt; 10% of freq.",IF(Calc!Q56=0,"⚠ no brightness",IF(Calc!R56&gt;0.1,"⚠ step &gt; 10% of wr",IF(AND($BR56&lt;&gt;"",$BR56&lt;&gt;"No FRET",N($O56)&lt;2),"⚠ FRET needs ≥ 2 colours",IF(AND($BR56&lt;&gt;"",$BR56&lt;&gt;"No FRET",N($BS56)+N($BT56)+N($BU56)=0),"⚠ FRET: set R","✔ OK")))))))</f>
        <v/>
      </c>
      <c r="CA56" s="25"/>
      <c r="CB56" s="25"/>
      <c r="CC56" s="25"/>
      <c r="CD56" s="25"/>
      <c r="CE56" s="25"/>
      <c r="CF56" s="25"/>
      <c r="CG56" s="25"/>
      <c r="CH56" s="25"/>
      <c r="CI56" s="25"/>
      <c r="CJ56" s="25"/>
      <c r="CK56" s="25"/>
      <c r="CL56" s="25"/>
      <c r="CM56" s="25"/>
      <c r="CN56" s="27" t="str">
        <f aca="false">IF(OR($CJ56="",$CJ56="No FRET",N($CK56)&lt;=0,N($V56)&lt;=0),"",1/(1+($CK56/$V56)^6))</f>
        <v/>
      </c>
      <c r="CO56" s="27" t="str">
        <f aca="false">IF(OR($CJ56="",$CJ56="No FRET",N($CL56)&lt;=0,N($W56)&lt;=0),"",1/(1+($CL56/$W56)^6))</f>
        <v/>
      </c>
      <c r="CP56" s="27" t="str">
        <f aca="false">IF(OR($CJ56="",$CJ56="No FRET",N($CM56)&lt;=0,N($X56)&lt;=0),"",1/(1+($CM56/$X56)^6))</f>
        <v/>
      </c>
      <c r="CQ56" s="28" t="str">
        <f aca="false">IF(OR($A56="",N($CC56)&lt;=0),"",IF($I56&gt;0,$CC56/($G56*$H56*$I56)/1E-024/6.022E+023/0.000000001,""))</f>
        <v/>
      </c>
      <c r="CR56" s="29" t="str">
        <f aca="false">IF(Calc!Y56=0,"",IF(Calc!W56&gt;=1,"✖ saturated (B ≥ freq.)",IF(Calc!W56&gt;0.1,"⚠ B &gt; 10% of freq.",IF(Calc!W56=0,"⚠ no brightness",IF(Calc!X56&gt;0.1,"⚠ step &gt; 10% of wr",IF(AND($CJ56&lt;&gt;"",$CJ56&lt;&gt;"No FRET",N($O56)&lt;2),"⚠ FRET needs ≥ 2 colours",IF(AND($CJ56&lt;&gt;"",$CJ56&lt;&gt;"No FRET",N($CK56)+N($CL56)+N($CM56)=0),"⚠ FRET: set R","✔ OK")))))))</f>
        <v/>
      </c>
      <c r="CS56" s="25"/>
      <c r="CT56" s="25"/>
      <c r="CU56" s="25"/>
      <c r="CV56" s="25"/>
      <c r="CW56" s="25"/>
      <c r="CX56" s="25"/>
      <c r="CY56" s="25"/>
      <c r="CZ56" s="25"/>
      <c r="DA56" s="25"/>
      <c r="DB56" s="25"/>
      <c r="DC56" s="25"/>
      <c r="DD56" s="25"/>
      <c r="DE56" s="25"/>
      <c r="DF56" s="27" t="str">
        <f aca="false">IF(OR($DB56="",$DB56="No FRET",N($DC56)&lt;=0,N($V56)&lt;=0),"",1/(1+($DC56/$V56)^6))</f>
        <v/>
      </c>
      <c r="DG56" s="27" t="str">
        <f aca="false">IF(OR($DB56="",$DB56="No FRET",N($DD56)&lt;=0,N($W56)&lt;=0),"",1/(1+($DD56/$W56)^6))</f>
        <v/>
      </c>
      <c r="DH56" s="27" t="str">
        <f aca="false">IF(OR($DB56="",$DB56="No FRET",N($DE56)&lt;=0,N($X56)&lt;=0),"",1/(1+($DE56/$X56)^6))</f>
        <v/>
      </c>
      <c r="DI56" s="28" t="str">
        <f aca="false">IF(OR($A56="",N($CU56)&lt;=0),"",IF($I56&gt;0,$CU56/($G56*$H56*$I56)/1E-024/6.022E+023/0.000000001,""))</f>
        <v/>
      </c>
      <c r="DJ56" s="29" t="str">
        <f aca="false">IF(Calc!AE56=0,"",IF(Calc!AC56&gt;=1,"✖ saturated (B ≥ freq.)",IF(Calc!AC56&gt;0.1,"⚠ B &gt; 10% of freq.",IF(Calc!AC56=0,"⚠ no brightness",IF(Calc!AD56&gt;0.1,"⚠ step &gt; 10% of wr",IF(AND($DB56&lt;&gt;"",$DB56&lt;&gt;"No FRET",N($O56)&lt;2),"⚠ FRET needs ≥ 2 colours",IF(AND($DB56&lt;&gt;"",$DB56&lt;&gt;"No FRET",N($DC56)+N($DD56)+N($DE56)=0),"⚠ FRET: set R","✔ OK")))))))</f>
        <v/>
      </c>
      <c r="DK56" s="25"/>
      <c r="DL56" s="25"/>
      <c r="DM56" s="25"/>
      <c r="DN56" s="25"/>
      <c r="DO56" s="25"/>
      <c r="DP56" s="25"/>
      <c r="DQ56" s="25"/>
      <c r="DR56" s="25"/>
      <c r="DS56" s="25"/>
      <c r="DT56" s="25"/>
      <c r="DU56" s="25"/>
      <c r="DV56" s="25"/>
      <c r="DW56" s="25"/>
      <c r="DX56" s="27" t="str">
        <f aca="false">IF(OR($DT56="",$DT56="No FRET",N($DU56)&lt;=0,N($V56)&lt;=0),"",1/(1+($DU56/$V56)^6))</f>
        <v/>
      </c>
      <c r="DY56" s="27" t="str">
        <f aca="false">IF(OR($DT56="",$DT56="No FRET",N($DV56)&lt;=0,N($W56)&lt;=0),"",1/(1+($DV56/$W56)^6))</f>
        <v/>
      </c>
      <c r="DZ56" s="27" t="str">
        <f aca="false">IF(OR($DT56="",$DT56="No FRET",N($DW56)&lt;=0,N($X56)&lt;=0),"",1/(1+($DW56/$X56)^6))</f>
        <v/>
      </c>
      <c r="EA56" s="28" t="str">
        <f aca="false">IF(OR($A56="",N($DM56)&lt;=0),"",IF($I56&gt;0,$DM56/($G56*$H56*$I56)/1E-024/6.022E+023/0.000000001,""))</f>
        <v/>
      </c>
      <c r="EB56" s="29" t="str">
        <f aca="false">IF(Calc!AK56=0,"",IF(Calc!AI56&gt;=1,"✖ saturated (B ≥ freq.)",IF(Calc!AI56&gt;0.1,"⚠ B &gt; 10% of freq.",IF(Calc!AI56=0,"⚠ no brightness",IF(Calc!AJ56&gt;0.1,"⚠ step &gt; 10% of wr",IF(AND($DT56&lt;&gt;"",$DT56&lt;&gt;"No FRET",N($O56)&lt;2),"⚠ FRET needs ≥ 2 colours",IF(AND($DT56&lt;&gt;"",$DT56&lt;&gt;"No FRET",N($DU56)+N($DV56)+N($DW56)=0),"⚠ FRET: set R","✔ OK")))))))</f>
        <v/>
      </c>
      <c r="EC56" s="30" t="str">
        <f aca="false">IF($A56="","",SUM(Calc!G56,Calc!M56,Calc!S56,Calc!Y56,Calc!AE56,Calc!AK56))</f>
        <v/>
      </c>
      <c r="ED56" s="30" t="str">
        <f aca="false">IF($A56="","",N($AA56)+N($AS56)+N($BK56)+N($CC56)+N($CU56)+N($DM56))</f>
        <v/>
      </c>
      <c r="EE56" s="31" t="str">
        <f aca="false">IF($A56="","",SUM(Calc!B56,Calc!H56,Calc!N56,Calc!T56,Calc!Z56,Calc!AF56))</f>
        <v/>
      </c>
      <c r="EF56" s="31" t="str">
        <f aca="false">IF($A56="","",SUM(Calc!C56,Calc!I56,Calc!O56,Calc!U56,Calc!AA56,Calc!AG56))</f>
        <v/>
      </c>
      <c r="EG56" s="31" t="str">
        <f aca="false">IF($A56="","",SUM(Calc!D56,Calc!J56,Calc!P56,Calc!V56,Calc!AB56,Calc!AH56))</f>
        <v/>
      </c>
      <c r="EH56" s="27" t="str">
        <f aca="false">IF($A56="","",($EE56+$EF56+$EG56+IF($P56="Yes",N($Q56)*N($O56),0))*1000*$K56/1000000)</f>
        <v/>
      </c>
      <c r="EI56" s="28" t="str">
        <f aca="false">IF($A56="","",$EH56*1000000*12/1000000000)</f>
        <v/>
      </c>
      <c r="EJ56" s="32" t="str">
        <f aca="false">IF($A56="","",IF($EC56=0,"⚠ no species entered",IF(((LEFT($AP56,1)="✖")+(LEFT($BH56,1)="✖")+(LEFT($BZ56,1)="✖")+(LEFT($CR56,1)="✖")+(LEFT($DJ56,1)="✖")+(LEFT($EB56,1)="✖"))&gt;0,"✖ "&amp;((LEFT($AP56,1)="✖")+(LEFT($BH56,1)="✖")+(LEFT($BZ56,1)="✖")+(LEFT($CR56,1)="✖")+(LEFT($DJ56,1)="✖")+(LEFT($EB56,1)="✖"))&amp;" species saturated - see the species checks",IF(MIN($G56,$H56)&lt;8*$T56,"⚠ box too small laterally (&lt; 8·wr)",IF(AND($I56&gt;0,$I56&lt;3*$U56),"⚠ box too small axially (&lt; 3·wz)",IF($EI56&gt;8,"⚠ &gt; 8 GB per file: shorten the duration and use several files",IF(((LEFT($AP56,1)="⚠")+(LEFT($BH56,1)="⚠")+(LEFT($BZ56,1)="⚠")+(LEFT($CR56,1)="⚠")+(LEFT($DJ56,1)="⚠")+(LEFT($EB56,1)="⚠"))&gt;0,"⚠ "&amp;((LEFT($AP56,1)="⚠")+(LEFT($BH56,1)="⚠")+(LEFT($BZ56,1)="⚠")+(LEFT($CR56,1)="⚠")+(LEFT($DJ56,1)="⚠")+(LEFT($EB56,1)="⚠"))&amp;" species with a warning","✔ OK")))))))</f>
        <v/>
      </c>
      <c r="EK56" s="25"/>
      <c r="EL56" s="25"/>
      <c r="EM56" s="25"/>
      <c r="EN56" s="25"/>
      <c r="EO56" s="25"/>
      <c r="EP56" s="25"/>
      <c r="EQ56" s="25"/>
      <c r="ER56" s="26"/>
    </row>
    <row r="57" customFormat="false" ht="15" hidden="false" customHeight="false" outlineLevel="0" collapsed="false">
      <c r="A57" s="25"/>
      <c r="B57" s="25"/>
      <c r="C57" s="26"/>
      <c r="D57" s="26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7" t="str">
        <f aca="false">IF(OR($AH57="",$AH57="No FRET",N($AI57)&lt;=0,N($V57)&lt;=0),"",1/(1+($AI57/$V57)^6))</f>
        <v/>
      </c>
      <c r="AM57" s="27" t="str">
        <f aca="false">IF(OR($AH57="",$AH57="No FRET",N($AJ57)&lt;=0,N($W57)&lt;=0),"",1/(1+($AJ57/$W57)^6))</f>
        <v/>
      </c>
      <c r="AN57" s="27" t="str">
        <f aca="false">IF(OR($AH57="",$AH57="No FRET",N($AK57)&lt;=0,N($X57)&lt;=0),"",1/(1+($AK57/$X57)^6))</f>
        <v/>
      </c>
      <c r="AO57" s="28" t="str">
        <f aca="false">IF(OR($A57="",N($AA57)&lt;=0),"",IF($I57&gt;0,$AA57/($G57*$H57*$I57)/1E-024/6.022E+023/0.000000001,""))</f>
        <v/>
      </c>
      <c r="AP57" s="29" t="str">
        <f aca="false">IF(Calc!G57=0,"",IF(Calc!E57&gt;=1,"✖ saturated (B ≥ freq.)",IF(Calc!E57&gt;0.1,"⚠ B &gt; 10% of freq.",IF(Calc!E57=0,"⚠ no brightness",IF(Calc!F57&gt;0.1,"⚠ step &gt; 10% of wr",IF(AND($AH57&lt;&gt;"",$AH57&lt;&gt;"No FRET",N($O57)&lt;2),"⚠ FRET needs ≥ 2 colours",IF(AND($AH57&lt;&gt;"",$AH57&lt;&gt;"No FRET",N($AI57)+N($AJ57)+N($AK57)=0),"⚠ FRET: set R","✔ OK")))))))</f>
        <v/>
      </c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7" t="str">
        <f aca="false">IF(OR($AZ57="",$AZ57="No FRET",N($BA57)&lt;=0,N($V57)&lt;=0),"",1/(1+($BA57/$V57)^6))</f>
        <v/>
      </c>
      <c r="BE57" s="27" t="str">
        <f aca="false">IF(OR($AZ57="",$AZ57="No FRET",N($BB57)&lt;=0,N($W57)&lt;=0),"",1/(1+($BB57/$W57)^6))</f>
        <v/>
      </c>
      <c r="BF57" s="27" t="str">
        <f aca="false">IF(OR($AZ57="",$AZ57="No FRET",N($BC57)&lt;=0,N($X57)&lt;=0),"",1/(1+($BC57/$X57)^6))</f>
        <v/>
      </c>
      <c r="BG57" s="28" t="str">
        <f aca="false">IF(OR($A57="",N($AS57)&lt;=0),"",IF($I57&gt;0,$AS57/($G57*$H57*$I57)/1E-024/6.022E+023/0.000000001,""))</f>
        <v/>
      </c>
      <c r="BH57" s="29" t="str">
        <f aca="false">IF(Calc!M57=0,"",IF(Calc!K57&gt;=1,"✖ saturated (B ≥ freq.)",IF(Calc!K57&gt;0.1,"⚠ B &gt; 10% of freq.",IF(Calc!K57=0,"⚠ no brightness",IF(Calc!L57&gt;0.1,"⚠ step &gt; 10% of wr",IF(AND($AZ57&lt;&gt;"",$AZ57&lt;&gt;"No FRET",N($O57)&lt;2),"⚠ FRET needs ≥ 2 colours",IF(AND($AZ57&lt;&gt;"",$AZ57&lt;&gt;"No FRET",N($BA57)+N($BB57)+N($BC57)=0),"⚠ FRET: set R","✔ OK")))))))</f>
        <v/>
      </c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7" t="str">
        <f aca="false">IF(OR($BR57="",$BR57="No FRET",N($BS57)&lt;=0,N($V57)&lt;=0),"",1/(1+($BS57/$V57)^6))</f>
        <v/>
      </c>
      <c r="BW57" s="27" t="str">
        <f aca="false">IF(OR($BR57="",$BR57="No FRET",N($BT57)&lt;=0,N($W57)&lt;=0),"",1/(1+($BT57/$W57)^6))</f>
        <v/>
      </c>
      <c r="BX57" s="27" t="str">
        <f aca="false">IF(OR($BR57="",$BR57="No FRET",N($BU57)&lt;=0,N($X57)&lt;=0),"",1/(1+($BU57/$X57)^6))</f>
        <v/>
      </c>
      <c r="BY57" s="28" t="str">
        <f aca="false">IF(OR($A57="",N($BK57)&lt;=0),"",IF($I57&gt;0,$BK57/($G57*$H57*$I57)/1E-024/6.022E+023/0.000000001,""))</f>
        <v/>
      </c>
      <c r="BZ57" s="29" t="str">
        <f aca="false">IF(Calc!S57=0,"",IF(Calc!Q57&gt;=1,"✖ saturated (B ≥ freq.)",IF(Calc!Q57&gt;0.1,"⚠ B &gt; 10% of freq.",IF(Calc!Q57=0,"⚠ no brightness",IF(Calc!R57&gt;0.1,"⚠ step &gt; 10% of wr",IF(AND($BR57&lt;&gt;"",$BR57&lt;&gt;"No FRET",N($O57)&lt;2),"⚠ FRET needs ≥ 2 colours",IF(AND($BR57&lt;&gt;"",$BR57&lt;&gt;"No FRET",N($BS57)+N($BT57)+N($BU57)=0),"⚠ FRET: set R","✔ OK")))))))</f>
        <v/>
      </c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7" t="str">
        <f aca="false">IF(OR($CJ57="",$CJ57="No FRET",N($CK57)&lt;=0,N($V57)&lt;=0),"",1/(1+($CK57/$V57)^6))</f>
        <v/>
      </c>
      <c r="CO57" s="27" t="str">
        <f aca="false">IF(OR($CJ57="",$CJ57="No FRET",N($CL57)&lt;=0,N($W57)&lt;=0),"",1/(1+($CL57/$W57)^6))</f>
        <v/>
      </c>
      <c r="CP57" s="27" t="str">
        <f aca="false">IF(OR($CJ57="",$CJ57="No FRET",N($CM57)&lt;=0,N($X57)&lt;=0),"",1/(1+($CM57/$X57)^6))</f>
        <v/>
      </c>
      <c r="CQ57" s="28" t="str">
        <f aca="false">IF(OR($A57="",N($CC57)&lt;=0),"",IF($I57&gt;0,$CC57/($G57*$H57*$I57)/1E-024/6.022E+023/0.000000001,""))</f>
        <v/>
      </c>
      <c r="CR57" s="29" t="str">
        <f aca="false">IF(Calc!Y57=0,"",IF(Calc!W57&gt;=1,"✖ saturated (B ≥ freq.)",IF(Calc!W57&gt;0.1,"⚠ B &gt; 10% of freq.",IF(Calc!W57=0,"⚠ no brightness",IF(Calc!X57&gt;0.1,"⚠ step &gt; 10% of wr",IF(AND($CJ57&lt;&gt;"",$CJ57&lt;&gt;"No FRET",N($O57)&lt;2),"⚠ FRET needs ≥ 2 colours",IF(AND($CJ57&lt;&gt;"",$CJ57&lt;&gt;"No FRET",N($CK57)+N($CL57)+N($CM57)=0),"⚠ FRET: set R","✔ OK")))))))</f>
        <v/>
      </c>
      <c r="CS57" s="25"/>
      <c r="CT57" s="25"/>
      <c r="CU57" s="25"/>
      <c r="CV57" s="25"/>
      <c r="CW57" s="25"/>
      <c r="CX57" s="25"/>
      <c r="CY57" s="25"/>
      <c r="CZ57" s="25"/>
      <c r="DA57" s="25"/>
      <c r="DB57" s="25"/>
      <c r="DC57" s="25"/>
      <c r="DD57" s="25"/>
      <c r="DE57" s="25"/>
      <c r="DF57" s="27" t="str">
        <f aca="false">IF(OR($DB57="",$DB57="No FRET",N($DC57)&lt;=0,N($V57)&lt;=0),"",1/(1+($DC57/$V57)^6))</f>
        <v/>
      </c>
      <c r="DG57" s="27" t="str">
        <f aca="false">IF(OR($DB57="",$DB57="No FRET",N($DD57)&lt;=0,N($W57)&lt;=0),"",1/(1+($DD57/$W57)^6))</f>
        <v/>
      </c>
      <c r="DH57" s="27" t="str">
        <f aca="false">IF(OR($DB57="",$DB57="No FRET",N($DE57)&lt;=0,N($X57)&lt;=0),"",1/(1+($DE57/$X57)^6))</f>
        <v/>
      </c>
      <c r="DI57" s="28" t="str">
        <f aca="false">IF(OR($A57="",N($CU57)&lt;=0),"",IF($I57&gt;0,$CU57/($G57*$H57*$I57)/1E-024/6.022E+023/0.000000001,""))</f>
        <v/>
      </c>
      <c r="DJ57" s="29" t="str">
        <f aca="false">IF(Calc!AE57=0,"",IF(Calc!AC57&gt;=1,"✖ saturated (B ≥ freq.)",IF(Calc!AC57&gt;0.1,"⚠ B &gt; 10% of freq.",IF(Calc!AC57=0,"⚠ no brightness",IF(Calc!AD57&gt;0.1,"⚠ step &gt; 10% of wr",IF(AND($DB57&lt;&gt;"",$DB57&lt;&gt;"No FRET",N($O57)&lt;2),"⚠ FRET needs ≥ 2 colours",IF(AND($DB57&lt;&gt;"",$DB57&lt;&gt;"No FRET",N($DC57)+N($DD57)+N($DE57)=0),"⚠ FRET: set R","✔ OK")))))))</f>
        <v/>
      </c>
      <c r="DK57" s="25"/>
      <c r="DL57" s="25"/>
      <c r="DM57" s="25"/>
      <c r="DN57" s="25"/>
      <c r="DO57" s="25"/>
      <c r="DP57" s="25"/>
      <c r="DQ57" s="25"/>
      <c r="DR57" s="25"/>
      <c r="DS57" s="25"/>
      <c r="DT57" s="25"/>
      <c r="DU57" s="25"/>
      <c r="DV57" s="25"/>
      <c r="DW57" s="25"/>
      <c r="DX57" s="27" t="str">
        <f aca="false">IF(OR($DT57="",$DT57="No FRET",N($DU57)&lt;=0,N($V57)&lt;=0),"",1/(1+($DU57/$V57)^6))</f>
        <v/>
      </c>
      <c r="DY57" s="27" t="str">
        <f aca="false">IF(OR($DT57="",$DT57="No FRET",N($DV57)&lt;=0,N($W57)&lt;=0),"",1/(1+($DV57/$W57)^6))</f>
        <v/>
      </c>
      <c r="DZ57" s="27" t="str">
        <f aca="false">IF(OR($DT57="",$DT57="No FRET",N($DW57)&lt;=0,N($X57)&lt;=0),"",1/(1+($DW57/$X57)^6))</f>
        <v/>
      </c>
      <c r="EA57" s="28" t="str">
        <f aca="false">IF(OR($A57="",N($DM57)&lt;=0),"",IF($I57&gt;0,$DM57/($G57*$H57*$I57)/1E-024/6.022E+023/0.000000001,""))</f>
        <v/>
      </c>
      <c r="EB57" s="29" t="str">
        <f aca="false">IF(Calc!AK57=0,"",IF(Calc!AI57&gt;=1,"✖ saturated (B ≥ freq.)",IF(Calc!AI57&gt;0.1,"⚠ B &gt; 10% of freq.",IF(Calc!AI57=0,"⚠ no brightness",IF(Calc!AJ57&gt;0.1,"⚠ step &gt; 10% of wr",IF(AND($DT57&lt;&gt;"",$DT57&lt;&gt;"No FRET",N($O57)&lt;2),"⚠ FRET needs ≥ 2 colours",IF(AND($DT57&lt;&gt;"",$DT57&lt;&gt;"No FRET",N($DU57)+N($DV57)+N($DW57)=0),"⚠ FRET: set R","✔ OK")))))))</f>
        <v/>
      </c>
      <c r="EC57" s="30" t="str">
        <f aca="false">IF($A57="","",SUM(Calc!G57,Calc!M57,Calc!S57,Calc!Y57,Calc!AE57,Calc!AK57))</f>
        <v/>
      </c>
      <c r="ED57" s="30" t="str">
        <f aca="false">IF($A57="","",N($AA57)+N($AS57)+N($BK57)+N($CC57)+N($CU57)+N($DM57))</f>
        <v/>
      </c>
      <c r="EE57" s="31" t="str">
        <f aca="false">IF($A57="","",SUM(Calc!B57,Calc!H57,Calc!N57,Calc!T57,Calc!Z57,Calc!AF57))</f>
        <v/>
      </c>
      <c r="EF57" s="31" t="str">
        <f aca="false">IF($A57="","",SUM(Calc!C57,Calc!I57,Calc!O57,Calc!U57,Calc!AA57,Calc!AG57))</f>
        <v/>
      </c>
      <c r="EG57" s="31" t="str">
        <f aca="false">IF($A57="","",SUM(Calc!D57,Calc!J57,Calc!P57,Calc!V57,Calc!AB57,Calc!AH57))</f>
        <v/>
      </c>
      <c r="EH57" s="27" t="str">
        <f aca="false">IF($A57="","",($EE57+$EF57+$EG57+IF($P57="Yes",N($Q57)*N($O57),0))*1000*$K57/1000000)</f>
        <v/>
      </c>
      <c r="EI57" s="28" t="str">
        <f aca="false">IF($A57="","",$EH57*1000000*12/1000000000)</f>
        <v/>
      </c>
      <c r="EJ57" s="32" t="str">
        <f aca="false">IF($A57="","",IF($EC57=0,"⚠ no species entered",IF(((LEFT($AP57,1)="✖")+(LEFT($BH57,1)="✖")+(LEFT($BZ57,1)="✖")+(LEFT($CR57,1)="✖")+(LEFT($DJ57,1)="✖")+(LEFT($EB57,1)="✖"))&gt;0,"✖ "&amp;((LEFT($AP57,1)="✖")+(LEFT($BH57,1)="✖")+(LEFT($BZ57,1)="✖")+(LEFT($CR57,1)="✖")+(LEFT($DJ57,1)="✖")+(LEFT($EB57,1)="✖"))&amp;" species saturated - see the species checks",IF(MIN($G57,$H57)&lt;8*$T57,"⚠ box too small laterally (&lt; 8·wr)",IF(AND($I57&gt;0,$I57&lt;3*$U57),"⚠ box too small axially (&lt; 3·wz)",IF($EI57&gt;8,"⚠ &gt; 8 GB per file: shorten the duration and use several files",IF(((LEFT($AP57,1)="⚠")+(LEFT($BH57,1)="⚠")+(LEFT($BZ57,1)="⚠")+(LEFT($CR57,1)="⚠")+(LEFT($DJ57,1)="⚠")+(LEFT($EB57,1)="⚠"))&gt;0,"⚠ "&amp;((LEFT($AP57,1)="⚠")+(LEFT($BH57,1)="⚠")+(LEFT($BZ57,1)="⚠")+(LEFT($CR57,1)="⚠")+(LEFT($DJ57,1)="⚠")+(LEFT($EB57,1)="⚠"))&amp;" species with a warning","✔ OK")))))))</f>
        <v/>
      </c>
      <c r="EK57" s="25"/>
      <c r="EL57" s="25"/>
      <c r="EM57" s="25"/>
      <c r="EN57" s="25"/>
      <c r="EO57" s="25"/>
      <c r="EP57" s="25"/>
      <c r="EQ57" s="25"/>
      <c r="ER57" s="26"/>
    </row>
    <row r="58" customFormat="false" ht="15" hidden="false" customHeight="false" outlineLevel="0" collapsed="false">
      <c r="A58" s="25"/>
      <c r="B58" s="25"/>
      <c r="C58" s="26"/>
      <c r="D58" s="26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7" t="str">
        <f aca="false">IF(OR($AH58="",$AH58="No FRET",N($AI58)&lt;=0,N($V58)&lt;=0),"",1/(1+($AI58/$V58)^6))</f>
        <v/>
      </c>
      <c r="AM58" s="27" t="str">
        <f aca="false">IF(OR($AH58="",$AH58="No FRET",N($AJ58)&lt;=0,N($W58)&lt;=0),"",1/(1+($AJ58/$W58)^6))</f>
        <v/>
      </c>
      <c r="AN58" s="27" t="str">
        <f aca="false">IF(OR($AH58="",$AH58="No FRET",N($AK58)&lt;=0,N($X58)&lt;=0),"",1/(1+($AK58/$X58)^6))</f>
        <v/>
      </c>
      <c r="AO58" s="28" t="str">
        <f aca="false">IF(OR($A58="",N($AA58)&lt;=0),"",IF($I58&gt;0,$AA58/($G58*$H58*$I58)/1E-024/6.022E+023/0.000000001,""))</f>
        <v/>
      </c>
      <c r="AP58" s="29" t="str">
        <f aca="false">IF(Calc!G58=0,"",IF(Calc!E58&gt;=1,"✖ saturated (B ≥ freq.)",IF(Calc!E58&gt;0.1,"⚠ B &gt; 10% of freq.",IF(Calc!E58=0,"⚠ no brightness",IF(Calc!F58&gt;0.1,"⚠ step &gt; 10% of wr",IF(AND($AH58&lt;&gt;"",$AH58&lt;&gt;"No FRET",N($O58)&lt;2),"⚠ FRET needs ≥ 2 colours",IF(AND($AH58&lt;&gt;"",$AH58&lt;&gt;"No FRET",N($AI58)+N($AJ58)+N($AK58)=0),"⚠ FRET: set R","✔ OK")))))))</f>
        <v/>
      </c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7" t="str">
        <f aca="false">IF(OR($AZ58="",$AZ58="No FRET",N($BA58)&lt;=0,N($V58)&lt;=0),"",1/(1+($BA58/$V58)^6))</f>
        <v/>
      </c>
      <c r="BE58" s="27" t="str">
        <f aca="false">IF(OR($AZ58="",$AZ58="No FRET",N($BB58)&lt;=0,N($W58)&lt;=0),"",1/(1+($BB58/$W58)^6))</f>
        <v/>
      </c>
      <c r="BF58" s="27" t="str">
        <f aca="false">IF(OR($AZ58="",$AZ58="No FRET",N($BC58)&lt;=0,N($X58)&lt;=0),"",1/(1+($BC58/$X58)^6))</f>
        <v/>
      </c>
      <c r="BG58" s="28" t="str">
        <f aca="false">IF(OR($A58="",N($AS58)&lt;=0),"",IF($I58&gt;0,$AS58/($G58*$H58*$I58)/1E-024/6.022E+023/0.000000001,""))</f>
        <v/>
      </c>
      <c r="BH58" s="29" t="str">
        <f aca="false">IF(Calc!M58=0,"",IF(Calc!K58&gt;=1,"✖ saturated (B ≥ freq.)",IF(Calc!K58&gt;0.1,"⚠ B &gt; 10% of freq.",IF(Calc!K58=0,"⚠ no brightness",IF(Calc!L58&gt;0.1,"⚠ step &gt; 10% of wr",IF(AND($AZ58&lt;&gt;"",$AZ58&lt;&gt;"No FRET",N($O58)&lt;2),"⚠ FRET needs ≥ 2 colours",IF(AND($AZ58&lt;&gt;"",$AZ58&lt;&gt;"No FRET",N($BA58)+N($BB58)+N($BC58)=0),"⚠ FRET: set R","✔ OK")))))))</f>
        <v/>
      </c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7" t="str">
        <f aca="false">IF(OR($BR58="",$BR58="No FRET",N($BS58)&lt;=0,N($V58)&lt;=0),"",1/(1+($BS58/$V58)^6))</f>
        <v/>
      </c>
      <c r="BW58" s="27" t="str">
        <f aca="false">IF(OR($BR58="",$BR58="No FRET",N($BT58)&lt;=0,N($W58)&lt;=0),"",1/(1+($BT58/$W58)^6))</f>
        <v/>
      </c>
      <c r="BX58" s="27" t="str">
        <f aca="false">IF(OR($BR58="",$BR58="No FRET",N($BU58)&lt;=0,N($X58)&lt;=0),"",1/(1+($BU58/$X58)^6))</f>
        <v/>
      </c>
      <c r="BY58" s="28" t="str">
        <f aca="false">IF(OR($A58="",N($BK58)&lt;=0),"",IF($I58&gt;0,$BK58/($G58*$H58*$I58)/1E-024/6.022E+023/0.000000001,""))</f>
        <v/>
      </c>
      <c r="BZ58" s="29" t="str">
        <f aca="false">IF(Calc!S58=0,"",IF(Calc!Q58&gt;=1,"✖ saturated (B ≥ freq.)",IF(Calc!Q58&gt;0.1,"⚠ B &gt; 10% of freq.",IF(Calc!Q58=0,"⚠ no brightness",IF(Calc!R58&gt;0.1,"⚠ step &gt; 10% of wr",IF(AND($BR58&lt;&gt;"",$BR58&lt;&gt;"No FRET",N($O58)&lt;2),"⚠ FRET needs ≥ 2 colours",IF(AND($BR58&lt;&gt;"",$BR58&lt;&gt;"No FRET",N($BS58)+N($BT58)+N($BU58)=0),"⚠ FRET: set R","✔ OK")))))))</f>
        <v/>
      </c>
      <c r="CA58" s="25"/>
      <c r="CB58" s="25"/>
      <c r="CC58" s="25"/>
      <c r="CD58" s="25"/>
      <c r="CE58" s="25"/>
      <c r="CF58" s="25"/>
      <c r="CG58" s="25"/>
      <c r="CH58" s="25"/>
      <c r="CI58" s="25"/>
      <c r="CJ58" s="25"/>
      <c r="CK58" s="25"/>
      <c r="CL58" s="25"/>
      <c r="CM58" s="25"/>
      <c r="CN58" s="27" t="str">
        <f aca="false">IF(OR($CJ58="",$CJ58="No FRET",N($CK58)&lt;=0,N($V58)&lt;=0),"",1/(1+($CK58/$V58)^6))</f>
        <v/>
      </c>
      <c r="CO58" s="27" t="str">
        <f aca="false">IF(OR($CJ58="",$CJ58="No FRET",N($CL58)&lt;=0,N($W58)&lt;=0),"",1/(1+($CL58/$W58)^6))</f>
        <v/>
      </c>
      <c r="CP58" s="27" t="str">
        <f aca="false">IF(OR($CJ58="",$CJ58="No FRET",N($CM58)&lt;=0,N($X58)&lt;=0),"",1/(1+($CM58/$X58)^6))</f>
        <v/>
      </c>
      <c r="CQ58" s="28" t="str">
        <f aca="false">IF(OR($A58="",N($CC58)&lt;=0),"",IF($I58&gt;0,$CC58/($G58*$H58*$I58)/1E-024/6.022E+023/0.000000001,""))</f>
        <v/>
      </c>
      <c r="CR58" s="29" t="str">
        <f aca="false">IF(Calc!Y58=0,"",IF(Calc!W58&gt;=1,"✖ saturated (B ≥ freq.)",IF(Calc!W58&gt;0.1,"⚠ B &gt; 10% of freq.",IF(Calc!W58=0,"⚠ no brightness",IF(Calc!X58&gt;0.1,"⚠ step &gt; 10% of wr",IF(AND($CJ58&lt;&gt;"",$CJ58&lt;&gt;"No FRET",N($O58)&lt;2),"⚠ FRET needs ≥ 2 colours",IF(AND($CJ58&lt;&gt;"",$CJ58&lt;&gt;"No FRET",N($CK58)+N($CL58)+N($CM58)=0),"⚠ FRET: set R","✔ OK")))))))</f>
        <v/>
      </c>
      <c r="CS58" s="25"/>
      <c r="CT58" s="25"/>
      <c r="CU58" s="25"/>
      <c r="CV58" s="25"/>
      <c r="CW58" s="25"/>
      <c r="CX58" s="25"/>
      <c r="CY58" s="25"/>
      <c r="CZ58" s="25"/>
      <c r="DA58" s="25"/>
      <c r="DB58" s="25"/>
      <c r="DC58" s="25"/>
      <c r="DD58" s="25"/>
      <c r="DE58" s="25"/>
      <c r="DF58" s="27" t="str">
        <f aca="false">IF(OR($DB58="",$DB58="No FRET",N($DC58)&lt;=0,N($V58)&lt;=0),"",1/(1+($DC58/$V58)^6))</f>
        <v/>
      </c>
      <c r="DG58" s="27" t="str">
        <f aca="false">IF(OR($DB58="",$DB58="No FRET",N($DD58)&lt;=0,N($W58)&lt;=0),"",1/(1+($DD58/$W58)^6))</f>
        <v/>
      </c>
      <c r="DH58" s="27" t="str">
        <f aca="false">IF(OR($DB58="",$DB58="No FRET",N($DE58)&lt;=0,N($X58)&lt;=0),"",1/(1+($DE58/$X58)^6))</f>
        <v/>
      </c>
      <c r="DI58" s="28" t="str">
        <f aca="false">IF(OR($A58="",N($CU58)&lt;=0),"",IF($I58&gt;0,$CU58/($G58*$H58*$I58)/1E-024/6.022E+023/0.000000001,""))</f>
        <v/>
      </c>
      <c r="DJ58" s="29" t="str">
        <f aca="false">IF(Calc!AE58=0,"",IF(Calc!AC58&gt;=1,"✖ saturated (B ≥ freq.)",IF(Calc!AC58&gt;0.1,"⚠ B &gt; 10% of freq.",IF(Calc!AC58=0,"⚠ no brightness",IF(Calc!AD58&gt;0.1,"⚠ step &gt; 10% of wr",IF(AND($DB58&lt;&gt;"",$DB58&lt;&gt;"No FRET",N($O58)&lt;2),"⚠ FRET needs ≥ 2 colours",IF(AND($DB58&lt;&gt;"",$DB58&lt;&gt;"No FRET",N($DC58)+N($DD58)+N($DE58)=0),"⚠ FRET: set R","✔ OK")))))))</f>
        <v/>
      </c>
      <c r="DK58" s="25"/>
      <c r="DL58" s="25"/>
      <c r="DM58" s="25"/>
      <c r="DN58" s="25"/>
      <c r="DO58" s="25"/>
      <c r="DP58" s="25"/>
      <c r="DQ58" s="25"/>
      <c r="DR58" s="25"/>
      <c r="DS58" s="25"/>
      <c r="DT58" s="25"/>
      <c r="DU58" s="25"/>
      <c r="DV58" s="25"/>
      <c r="DW58" s="25"/>
      <c r="DX58" s="27" t="str">
        <f aca="false">IF(OR($DT58="",$DT58="No FRET",N($DU58)&lt;=0,N($V58)&lt;=0),"",1/(1+($DU58/$V58)^6))</f>
        <v/>
      </c>
      <c r="DY58" s="27" t="str">
        <f aca="false">IF(OR($DT58="",$DT58="No FRET",N($DV58)&lt;=0,N($W58)&lt;=0),"",1/(1+($DV58/$W58)^6))</f>
        <v/>
      </c>
      <c r="DZ58" s="27" t="str">
        <f aca="false">IF(OR($DT58="",$DT58="No FRET",N($DW58)&lt;=0,N($X58)&lt;=0),"",1/(1+($DW58/$X58)^6))</f>
        <v/>
      </c>
      <c r="EA58" s="28" t="str">
        <f aca="false">IF(OR($A58="",N($DM58)&lt;=0),"",IF($I58&gt;0,$DM58/($G58*$H58*$I58)/1E-024/6.022E+023/0.000000001,""))</f>
        <v/>
      </c>
      <c r="EB58" s="29" t="str">
        <f aca="false">IF(Calc!AK58=0,"",IF(Calc!AI58&gt;=1,"✖ saturated (B ≥ freq.)",IF(Calc!AI58&gt;0.1,"⚠ B &gt; 10% of freq.",IF(Calc!AI58=0,"⚠ no brightness",IF(Calc!AJ58&gt;0.1,"⚠ step &gt; 10% of wr",IF(AND($DT58&lt;&gt;"",$DT58&lt;&gt;"No FRET",N($O58)&lt;2),"⚠ FRET needs ≥ 2 colours",IF(AND($DT58&lt;&gt;"",$DT58&lt;&gt;"No FRET",N($DU58)+N($DV58)+N($DW58)=0),"⚠ FRET: set R","✔ OK")))))))</f>
        <v/>
      </c>
      <c r="EC58" s="30" t="str">
        <f aca="false">IF($A58="","",SUM(Calc!G58,Calc!M58,Calc!S58,Calc!Y58,Calc!AE58,Calc!AK58))</f>
        <v/>
      </c>
      <c r="ED58" s="30" t="str">
        <f aca="false">IF($A58="","",N($AA58)+N($AS58)+N($BK58)+N($CC58)+N($CU58)+N($DM58))</f>
        <v/>
      </c>
      <c r="EE58" s="31" t="str">
        <f aca="false">IF($A58="","",SUM(Calc!B58,Calc!H58,Calc!N58,Calc!T58,Calc!Z58,Calc!AF58))</f>
        <v/>
      </c>
      <c r="EF58" s="31" t="str">
        <f aca="false">IF($A58="","",SUM(Calc!C58,Calc!I58,Calc!O58,Calc!U58,Calc!AA58,Calc!AG58))</f>
        <v/>
      </c>
      <c r="EG58" s="31" t="str">
        <f aca="false">IF($A58="","",SUM(Calc!D58,Calc!J58,Calc!P58,Calc!V58,Calc!AB58,Calc!AH58))</f>
        <v/>
      </c>
      <c r="EH58" s="27" t="str">
        <f aca="false">IF($A58="","",($EE58+$EF58+$EG58+IF($P58="Yes",N($Q58)*N($O58),0))*1000*$K58/1000000)</f>
        <v/>
      </c>
      <c r="EI58" s="28" t="str">
        <f aca="false">IF($A58="","",$EH58*1000000*12/1000000000)</f>
        <v/>
      </c>
      <c r="EJ58" s="32" t="str">
        <f aca="false">IF($A58="","",IF($EC58=0,"⚠ no species entered",IF(((LEFT($AP58,1)="✖")+(LEFT($BH58,1)="✖")+(LEFT($BZ58,1)="✖")+(LEFT($CR58,1)="✖")+(LEFT($DJ58,1)="✖")+(LEFT($EB58,1)="✖"))&gt;0,"✖ "&amp;((LEFT($AP58,1)="✖")+(LEFT($BH58,1)="✖")+(LEFT($BZ58,1)="✖")+(LEFT($CR58,1)="✖")+(LEFT($DJ58,1)="✖")+(LEFT($EB58,1)="✖"))&amp;" species saturated - see the species checks",IF(MIN($G58,$H58)&lt;8*$T58,"⚠ box too small laterally (&lt; 8·wr)",IF(AND($I58&gt;0,$I58&lt;3*$U58),"⚠ box too small axially (&lt; 3·wz)",IF($EI58&gt;8,"⚠ &gt; 8 GB per file: shorten the duration and use several files",IF(((LEFT($AP58,1)="⚠")+(LEFT($BH58,1)="⚠")+(LEFT($BZ58,1)="⚠")+(LEFT($CR58,1)="⚠")+(LEFT($DJ58,1)="⚠")+(LEFT($EB58,1)="⚠"))&gt;0,"⚠ "&amp;((LEFT($AP58,1)="⚠")+(LEFT($BH58,1)="⚠")+(LEFT($BZ58,1)="⚠")+(LEFT($CR58,1)="⚠")+(LEFT($DJ58,1)="⚠")+(LEFT($EB58,1)="⚠"))&amp;" species with a warning","✔ OK")))))))</f>
        <v/>
      </c>
      <c r="EK58" s="25"/>
      <c r="EL58" s="25"/>
      <c r="EM58" s="25"/>
      <c r="EN58" s="25"/>
      <c r="EO58" s="25"/>
      <c r="EP58" s="25"/>
      <c r="EQ58" s="25"/>
      <c r="ER58" s="26"/>
    </row>
    <row r="59" customFormat="false" ht="15" hidden="false" customHeight="false" outlineLevel="0" collapsed="false">
      <c r="A59" s="25"/>
      <c r="B59" s="25"/>
      <c r="C59" s="26"/>
      <c r="D59" s="26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7" t="str">
        <f aca="false">IF(OR($AH59="",$AH59="No FRET",N($AI59)&lt;=0,N($V59)&lt;=0),"",1/(1+($AI59/$V59)^6))</f>
        <v/>
      </c>
      <c r="AM59" s="27" t="str">
        <f aca="false">IF(OR($AH59="",$AH59="No FRET",N($AJ59)&lt;=0,N($W59)&lt;=0),"",1/(1+($AJ59/$W59)^6))</f>
        <v/>
      </c>
      <c r="AN59" s="27" t="str">
        <f aca="false">IF(OR($AH59="",$AH59="No FRET",N($AK59)&lt;=0,N($X59)&lt;=0),"",1/(1+($AK59/$X59)^6))</f>
        <v/>
      </c>
      <c r="AO59" s="28" t="str">
        <f aca="false">IF(OR($A59="",N($AA59)&lt;=0),"",IF($I59&gt;0,$AA59/($G59*$H59*$I59)/1E-024/6.022E+023/0.000000001,""))</f>
        <v/>
      </c>
      <c r="AP59" s="29" t="str">
        <f aca="false">IF(Calc!G59=0,"",IF(Calc!E59&gt;=1,"✖ saturated (B ≥ freq.)",IF(Calc!E59&gt;0.1,"⚠ B &gt; 10% of freq.",IF(Calc!E59=0,"⚠ no brightness",IF(Calc!F59&gt;0.1,"⚠ step &gt; 10% of wr",IF(AND($AH59&lt;&gt;"",$AH59&lt;&gt;"No FRET",N($O59)&lt;2),"⚠ FRET needs ≥ 2 colours",IF(AND($AH59&lt;&gt;"",$AH59&lt;&gt;"No FRET",N($AI59)+N($AJ59)+N($AK59)=0),"⚠ FRET: set R","✔ OK")))))))</f>
        <v/>
      </c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7" t="str">
        <f aca="false">IF(OR($AZ59="",$AZ59="No FRET",N($BA59)&lt;=0,N($V59)&lt;=0),"",1/(1+($BA59/$V59)^6))</f>
        <v/>
      </c>
      <c r="BE59" s="27" t="str">
        <f aca="false">IF(OR($AZ59="",$AZ59="No FRET",N($BB59)&lt;=0,N($W59)&lt;=0),"",1/(1+($BB59/$W59)^6))</f>
        <v/>
      </c>
      <c r="BF59" s="27" t="str">
        <f aca="false">IF(OR($AZ59="",$AZ59="No FRET",N($BC59)&lt;=0,N($X59)&lt;=0),"",1/(1+($BC59/$X59)^6))</f>
        <v/>
      </c>
      <c r="BG59" s="28" t="str">
        <f aca="false">IF(OR($A59="",N($AS59)&lt;=0),"",IF($I59&gt;0,$AS59/($G59*$H59*$I59)/1E-024/6.022E+023/0.000000001,""))</f>
        <v/>
      </c>
      <c r="BH59" s="29" t="str">
        <f aca="false">IF(Calc!M59=0,"",IF(Calc!K59&gt;=1,"✖ saturated (B ≥ freq.)",IF(Calc!K59&gt;0.1,"⚠ B &gt; 10% of freq.",IF(Calc!K59=0,"⚠ no brightness",IF(Calc!L59&gt;0.1,"⚠ step &gt; 10% of wr",IF(AND($AZ59&lt;&gt;"",$AZ59&lt;&gt;"No FRET",N($O59)&lt;2),"⚠ FRET needs ≥ 2 colours",IF(AND($AZ59&lt;&gt;"",$AZ59&lt;&gt;"No FRET",N($BA59)+N($BB59)+N($BC59)=0),"⚠ FRET: set R","✔ OK")))))))</f>
        <v/>
      </c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7" t="str">
        <f aca="false">IF(OR($BR59="",$BR59="No FRET",N($BS59)&lt;=0,N($V59)&lt;=0),"",1/(1+($BS59/$V59)^6))</f>
        <v/>
      </c>
      <c r="BW59" s="27" t="str">
        <f aca="false">IF(OR($BR59="",$BR59="No FRET",N($BT59)&lt;=0,N($W59)&lt;=0),"",1/(1+($BT59/$W59)^6))</f>
        <v/>
      </c>
      <c r="BX59" s="27" t="str">
        <f aca="false">IF(OR($BR59="",$BR59="No FRET",N($BU59)&lt;=0,N($X59)&lt;=0),"",1/(1+($BU59/$X59)^6))</f>
        <v/>
      </c>
      <c r="BY59" s="28" t="str">
        <f aca="false">IF(OR($A59="",N($BK59)&lt;=0),"",IF($I59&gt;0,$BK59/($G59*$H59*$I59)/1E-024/6.022E+023/0.000000001,""))</f>
        <v/>
      </c>
      <c r="BZ59" s="29" t="str">
        <f aca="false">IF(Calc!S59=0,"",IF(Calc!Q59&gt;=1,"✖ saturated (B ≥ freq.)",IF(Calc!Q59&gt;0.1,"⚠ B &gt; 10% of freq.",IF(Calc!Q59=0,"⚠ no brightness",IF(Calc!R59&gt;0.1,"⚠ step &gt; 10% of wr",IF(AND($BR59&lt;&gt;"",$BR59&lt;&gt;"No FRET",N($O59)&lt;2),"⚠ FRET needs ≥ 2 colours",IF(AND($BR59&lt;&gt;"",$BR59&lt;&gt;"No FRET",N($BS59)+N($BT59)+N($BU59)=0),"⚠ FRET: set R","✔ OK")))))))</f>
        <v/>
      </c>
      <c r="CA59" s="25"/>
      <c r="CB59" s="25"/>
      <c r="CC59" s="25"/>
      <c r="CD59" s="25"/>
      <c r="CE59" s="25"/>
      <c r="CF59" s="25"/>
      <c r="CG59" s="25"/>
      <c r="CH59" s="25"/>
      <c r="CI59" s="25"/>
      <c r="CJ59" s="25"/>
      <c r="CK59" s="25"/>
      <c r="CL59" s="25"/>
      <c r="CM59" s="25"/>
      <c r="CN59" s="27" t="str">
        <f aca="false">IF(OR($CJ59="",$CJ59="No FRET",N($CK59)&lt;=0,N($V59)&lt;=0),"",1/(1+($CK59/$V59)^6))</f>
        <v/>
      </c>
      <c r="CO59" s="27" t="str">
        <f aca="false">IF(OR($CJ59="",$CJ59="No FRET",N($CL59)&lt;=0,N($W59)&lt;=0),"",1/(1+($CL59/$W59)^6))</f>
        <v/>
      </c>
      <c r="CP59" s="27" t="str">
        <f aca="false">IF(OR($CJ59="",$CJ59="No FRET",N($CM59)&lt;=0,N($X59)&lt;=0),"",1/(1+($CM59/$X59)^6))</f>
        <v/>
      </c>
      <c r="CQ59" s="28" t="str">
        <f aca="false">IF(OR($A59="",N($CC59)&lt;=0),"",IF($I59&gt;0,$CC59/($G59*$H59*$I59)/1E-024/6.022E+023/0.000000001,""))</f>
        <v/>
      </c>
      <c r="CR59" s="29" t="str">
        <f aca="false">IF(Calc!Y59=0,"",IF(Calc!W59&gt;=1,"✖ saturated (B ≥ freq.)",IF(Calc!W59&gt;0.1,"⚠ B &gt; 10% of freq.",IF(Calc!W59=0,"⚠ no brightness",IF(Calc!X59&gt;0.1,"⚠ step &gt; 10% of wr",IF(AND($CJ59&lt;&gt;"",$CJ59&lt;&gt;"No FRET",N($O59)&lt;2),"⚠ FRET needs ≥ 2 colours",IF(AND($CJ59&lt;&gt;"",$CJ59&lt;&gt;"No FRET",N($CK59)+N($CL59)+N($CM59)=0),"⚠ FRET: set R","✔ OK")))))))</f>
        <v/>
      </c>
      <c r="CS59" s="25"/>
      <c r="CT59" s="25"/>
      <c r="CU59" s="25"/>
      <c r="CV59" s="25"/>
      <c r="CW59" s="25"/>
      <c r="CX59" s="25"/>
      <c r="CY59" s="25"/>
      <c r="CZ59" s="25"/>
      <c r="DA59" s="25"/>
      <c r="DB59" s="25"/>
      <c r="DC59" s="25"/>
      <c r="DD59" s="25"/>
      <c r="DE59" s="25"/>
      <c r="DF59" s="27" t="str">
        <f aca="false">IF(OR($DB59="",$DB59="No FRET",N($DC59)&lt;=0,N($V59)&lt;=0),"",1/(1+($DC59/$V59)^6))</f>
        <v/>
      </c>
      <c r="DG59" s="27" t="str">
        <f aca="false">IF(OR($DB59="",$DB59="No FRET",N($DD59)&lt;=0,N($W59)&lt;=0),"",1/(1+($DD59/$W59)^6))</f>
        <v/>
      </c>
      <c r="DH59" s="27" t="str">
        <f aca="false">IF(OR($DB59="",$DB59="No FRET",N($DE59)&lt;=0,N($X59)&lt;=0),"",1/(1+($DE59/$X59)^6))</f>
        <v/>
      </c>
      <c r="DI59" s="28" t="str">
        <f aca="false">IF(OR($A59="",N($CU59)&lt;=0),"",IF($I59&gt;0,$CU59/($G59*$H59*$I59)/1E-024/6.022E+023/0.000000001,""))</f>
        <v/>
      </c>
      <c r="DJ59" s="29" t="str">
        <f aca="false">IF(Calc!AE59=0,"",IF(Calc!AC59&gt;=1,"✖ saturated (B ≥ freq.)",IF(Calc!AC59&gt;0.1,"⚠ B &gt; 10% of freq.",IF(Calc!AC59=0,"⚠ no brightness",IF(Calc!AD59&gt;0.1,"⚠ step &gt; 10% of wr",IF(AND($DB59&lt;&gt;"",$DB59&lt;&gt;"No FRET",N($O59)&lt;2),"⚠ FRET needs ≥ 2 colours",IF(AND($DB59&lt;&gt;"",$DB59&lt;&gt;"No FRET",N($DC59)+N($DD59)+N($DE59)=0),"⚠ FRET: set R","✔ OK")))))))</f>
        <v/>
      </c>
      <c r="DK59" s="25"/>
      <c r="DL59" s="25"/>
      <c r="DM59" s="25"/>
      <c r="DN59" s="25"/>
      <c r="DO59" s="25"/>
      <c r="DP59" s="25"/>
      <c r="DQ59" s="25"/>
      <c r="DR59" s="25"/>
      <c r="DS59" s="25"/>
      <c r="DT59" s="25"/>
      <c r="DU59" s="25"/>
      <c r="DV59" s="25"/>
      <c r="DW59" s="25"/>
      <c r="DX59" s="27" t="str">
        <f aca="false">IF(OR($DT59="",$DT59="No FRET",N($DU59)&lt;=0,N($V59)&lt;=0),"",1/(1+($DU59/$V59)^6))</f>
        <v/>
      </c>
      <c r="DY59" s="27" t="str">
        <f aca="false">IF(OR($DT59="",$DT59="No FRET",N($DV59)&lt;=0,N($W59)&lt;=0),"",1/(1+($DV59/$W59)^6))</f>
        <v/>
      </c>
      <c r="DZ59" s="27" t="str">
        <f aca="false">IF(OR($DT59="",$DT59="No FRET",N($DW59)&lt;=0,N($X59)&lt;=0),"",1/(1+($DW59/$X59)^6))</f>
        <v/>
      </c>
      <c r="EA59" s="28" t="str">
        <f aca="false">IF(OR($A59="",N($DM59)&lt;=0),"",IF($I59&gt;0,$DM59/($G59*$H59*$I59)/1E-024/6.022E+023/0.000000001,""))</f>
        <v/>
      </c>
      <c r="EB59" s="29" t="str">
        <f aca="false">IF(Calc!AK59=0,"",IF(Calc!AI59&gt;=1,"✖ saturated (B ≥ freq.)",IF(Calc!AI59&gt;0.1,"⚠ B &gt; 10% of freq.",IF(Calc!AI59=0,"⚠ no brightness",IF(Calc!AJ59&gt;0.1,"⚠ step &gt; 10% of wr",IF(AND($DT59&lt;&gt;"",$DT59&lt;&gt;"No FRET",N($O59)&lt;2),"⚠ FRET needs ≥ 2 colours",IF(AND($DT59&lt;&gt;"",$DT59&lt;&gt;"No FRET",N($DU59)+N($DV59)+N($DW59)=0),"⚠ FRET: set R","✔ OK")))))))</f>
        <v/>
      </c>
      <c r="EC59" s="30" t="str">
        <f aca="false">IF($A59="","",SUM(Calc!G59,Calc!M59,Calc!S59,Calc!Y59,Calc!AE59,Calc!AK59))</f>
        <v/>
      </c>
      <c r="ED59" s="30" t="str">
        <f aca="false">IF($A59="","",N($AA59)+N($AS59)+N($BK59)+N($CC59)+N($CU59)+N($DM59))</f>
        <v/>
      </c>
      <c r="EE59" s="31" t="str">
        <f aca="false">IF($A59="","",SUM(Calc!B59,Calc!H59,Calc!N59,Calc!T59,Calc!Z59,Calc!AF59))</f>
        <v/>
      </c>
      <c r="EF59" s="31" t="str">
        <f aca="false">IF($A59="","",SUM(Calc!C59,Calc!I59,Calc!O59,Calc!U59,Calc!AA59,Calc!AG59))</f>
        <v/>
      </c>
      <c r="EG59" s="31" t="str">
        <f aca="false">IF($A59="","",SUM(Calc!D59,Calc!J59,Calc!P59,Calc!V59,Calc!AB59,Calc!AH59))</f>
        <v/>
      </c>
      <c r="EH59" s="27" t="str">
        <f aca="false">IF($A59="","",($EE59+$EF59+$EG59+IF($P59="Yes",N($Q59)*N($O59),0))*1000*$K59/1000000)</f>
        <v/>
      </c>
      <c r="EI59" s="28" t="str">
        <f aca="false">IF($A59="","",$EH59*1000000*12/1000000000)</f>
        <v/>
      </c>
      <c r="EJ59" s="32" t="str">
        <f aca="false">IF($A59="","",IF($EC59=0,"⚠ no species entered",IF(((LEFT($AP59,1)="✖")+(LEFT($BH59,1)="✖")+(LEFT($BZ59,1)="✖")+(LEFT($CR59,1)="✖")+(LEFT($DJ59,1)="✖")+(LEFT($EB59,1)="✖"))&gt;0,"✖ "&amp;((LEFT($AP59,1)="✖")+(LEFT($BH59,1)="✖")+(LEFT($BZ59,1)="✖")+(LEFT($CR59,1)="✖")+(LEFT($DJ59,1)="✖")+(LEFT($EB59,1)="✖"))&amp;" species saturated - see the species checks",IF(MIN($G59,$H59)&lt;8*$T59,"⚠ box too small laterally (&lt; 8·wr)",IF(AND($I59&gt;0,$I59&lt;3*$U59),"⚠ box too small axially (&lt; 3·wz)",IF($EI59&gt;8,"⚠ &gt; 8 GB per file: shorten the duration and use several files",IF(((LEFT($AP59,1)="⚠")+(LEFT($BH59,1)="⚠")+(LEFT($BZ59,1)="⚠")+(LEFT($CR59,1)="⚠")+(LEFT($DJ59,1)="⚠")+(LEFT($EB59,1)="⚠"))&gt;0,"⚠ "&amp;((LEFT($AP59,1)="⚠")+(LEFT($BH59,1)="⚠")+(LEFT($BZ59,1)="⚠")+(LEFT($CR59,1)="⚠")+(LEFT($DJ59,1)="⚠")+(LEFT($EB59,1)="⚠"))&amp;" species with a warning","✔ OK")))))))</f>
        <v/>
      </c>
      <c r="EK59" s="25"/>
      <c r="EL59" s="25"/>
      <c r="EM59" s="25"/>
      <c r="EN59" s="25"/>
      <c r="EO59" s="25"/>
      <c r="EP59" s="25"/>
      <c r="EQ59" s="25"/>
      <c r="ER59" s="26"/>
    </row>
    <row r="60" customFormat="false" ht="15" hidden="false" customHeight="false" outlineLevel="0" collapsed="false">
      <c r="A60" s="25"/>
      <c r="B60" s="25"/>
      <c r="C60" s="26"/>
      <c r="D60" s="2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7" t="str">
        <f aca="false">IF(OR($AH60="",$AH60="No FRET",N($AI60)&lt;=0,N($V60)&lt;=0),"",1/(1+($AI60/$V60)^6))</f>
        <v/>
      </c>
      <c r="AM60" s="27" t="str">
        <f aca="false">IF(OR($AH60="",$AH60="No FRET",N($AJ60)&lt;=0,N($W60)&lt;=0),"",1/(1+($AJ60/$W60)^6))</f>
        <v/>
      </c>
      <c r="AN60" s="27" t="str">
        <f aca="false">IF(OR($AH60="",$AH60="No FRET",N($AK60)&lt;=0,N($X60)&lt;=0),"",1/(1+($AK60/$X60)^6))</f>
        <v/>
      </c>
      <c r="AO60" s="28" t="str">
        <f aca="false">IF(OR($A60="",N($AA60)&lt;=0),"",IF($I60&gt;0,$AA60/($G60*$H60*$I60)/1E-024/6.022E+023/0.000000001,""))</f>
        <v/>
      </c>
      <c r="AP60" s="29" t="str">
        <f aca="false">IF(Calc!G60=0,"",IF(Calc!E60&gt;=1,"✖ saturated (B ≥ freq.)",IF(Calc!E60&gt;0.1,"⚠ B &gt; 10% of freq.",IF(Calc!E60=0,"⚠ no brightness",IF(Calc!F60&gt;0.1,"⚠ step &gt; 10% of wr",IF(AND($AH60&lt;&gt;"",$AH60&lt;&gt;"No FRET",N($O60)&lt;2),"⚠ FRET needs ≥ 2 colours",IF(AND($AH60&lt;&gt;"",$AH60&lt;&gt;"No FRET",N($AI60)+N($AJ60)+N($AK60)=0),"⚠ FRET: set R","✔ OK")))))))</f>
        <v/>
      </c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7" t="str">
        <f aca="false">IF(OR($AZ60="",$AZ60="No FRET",N($BA60)&lt;=0,N($V60)&lt;=0),"",1/(1+($BA60/$V60)^6))</f>
        <v/>
      </c>
      <c r="BE60" s="27" t="str">
        <f aca="false">IF(OR($AZ60="",$AZ60="No FRET",N($BB60)&lt;=0,N($W60)&lt;=0),"",1/(1+($BB60/$W60)^6))</f>
        <v/>
      </c>
      <c r="BF60" s="27" t="str">
        <f aca="false">IF(OR($AZ60="",$AZ60="No FRET",N($BC60)&lt;=0,N($X60)&lt;=0),"",1/(1+($BC60/$X60)^6))</f>
        <v/>
      </c>
      <c r="BG60" s="28" t="str">
        <f aca="false">IF(OR($A60="",N($AS60)&lt;=0),"",IF($I60&gt;0,$AS60/($G60*$H60*$I60)/1E-024/6.022E+023/0.000000001,""))</f>
        <v/>
      </c>
      <c r="BH60" s="29" t="str">
        <f aca="false">IF(Calc!M60=0,"",IF(Calc!K60&gt;=1,"✖ saturated (B ≥ freq.)",IF(Calc!K60&gt;0.1,"⚠ B &gt; 10% of freq.",IF(Calc!K60=0,"⚠ no brightness",IF(Calc!L60&gt;0.1,"⚠ step &gt; 10% of wr",IF(AND($AZ60&lt;&gt;"",$AZ60&lt;&gt;"No FRET",N($O60)&lt;2),"⚠ FRET needs ≥ 2 colours",IF(AND($AZ60&lt;&gt;"",$AZ60&lt;&gt;"No FRET",N($BA60)+N($BB60)+N($BC60)=0),"⚠ FRET: set R","✔ OK")))))))</f>
        <v/>
      </c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7" t="str">
        <f aca="false">IF(OR($BR60="",$BR60="No FRET",N($BS60)&lt;=0,N($V60)&lt;=0),"",1/(1+($BS60/$V60)^6))</f>
        <v/>
      </c>
      <c r="BW60" s="27" t="str">
        <f aca="false">IF(OR($BR60="",$BR60="No FRET",N($BT60)&lt;=0,N($W60)&lt;=0),"",1/(1+($BT60/$W60)^6))</f>
        <v/>
      </c>
      <c r="BX60" s="27" t="str">
        <f aca="false">IF(OR($BR60="",$BR60="No FRET",N($BU60)&lt;=0,N($X60)&lt;=0),"",1/(1+($BU60/$X60)^6))</f>
        <v/>
      </c>
      <c r="BY60" s="28" t="str">
        <f aca="false">IF(OR($A60="",N($BK60)&lt;=0),"",IF($I60&gt;0,$BK60/($G60*$H60*$I60)/1E-024/6.022E+023/0.000000001,""))</f>
        <v/>
      </c>
      <c r="BZ60" s="29" t="str">
        <f aca="false">IF(Calc!S60=0,"",IF(Calc!Q60&gt;=1,"✖ saturated (B ≥ freq.)",IF(Calc!Q60&gt;0.1,"⚠ B &gt; 10% of freq.",IF(Calc!Q60=0,"⚠ no brightness",IF(Calc!R60&gt;0.1,"⚠ step &gt; 10% of wr",IF(AND($BR60&lt;&gt;"",$BR60&lt;&gt;"No FRET",N($O60)&lt;2),"⚠ FRET needs ≥ 2 colours",IF(AND($BR60&lt;&gt;"",$BR60&lt;&gt;"No FRET",N($BS60)+N($BT60)+N($BU60)=0),"⚠ FRET: set R","✔ OK")))))))</f>
        <v/>
      </c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7" t="str">
        <f aca="false">IF(OR($CJ60="",$CJ60="No FRET",N($CK60)&lt;=0,N($V60)&lt;=0),"",1/(1+($CK60/$V60)^6))</f>
        <v/>
      </c>
      <c r="CO60" s="27" t="str">
        <f aca="false">IF(OR($CJ60="",$CJ60="No FRET",N($CL60)&lt;=0,N($W60)&lt;=0),"",1/(1+($CL60/$W60)^6))</f>
        <v/>
      </c>
      <c r="CP60" s="27" t="str">
        <f aca="false">IF(OR($CJ60="",$CJ60="No FRET",N($CM60)&lt;=0,N($X60)&lt;=0),"",1/(1+($CM60/$X60)^6))</f>
        <v/>
      </c>
      <c r="CQ60" s="28" t="str">
        <f aca="false">IF(OR($A60="",N($CC60)&lt;=0),"",IF($I60&gt;0,$CC60/($G60*$H60*$I60)/1E-024/6.022E+023/0.000000001,""))</f>
        <v/>
      </c>
      <c r="CR60" s="29" t="str">
        <f aca="false">IF(Calc!Y60=0,"",IF(Calc!W60&gt;=1,"✖ saturated (B ≥ freq.)",IF(Calc!W60&gt;0.1,"⚠ B &gt; 10% of freq.",IF(Calc!W60=0,"⚠ no brightness",IF(Calc!X60&gt;0.1,"⚠ step &gt; 10% of wr",IF(AND($CJ60&lt;&gt;"",$CJ60&lt;&gt;"No FRET",N($O60)&lt;2),"⚠ FRET needs ≥ 2 colours",IF(AND($CJ60&lt;&gt;"",$CJ60&lt;&gt;"No FRET",N($CK60)+N($CL60)+N($CM60)=0),"⚠ FRET: set R","✔ OK")))))))</f>
        <v/>
      </c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7" t="str">
        <f aca="false">IF(OR($DB60="",$DB60="No FRET",N($DC60)&lt;=0,N($V60)&lt;=0),"",1/(1+($DC60/$V60)^6))</f>
        <v/>
      </c>
      <c r="DG60" s="27" t="str">
        <f aca="false">IF(OR($DB60="",$DB60="No FRET",N($DD60)&lt;=0,N($W60)&lt;=0),"",1/(1+($DD60/$W60)^6))</f>
        <v/>
      </c>
      <c r="DH60" s="27" t="str">
        <f aca="false">IF(OR($DB60="",$DB60="No FRET",N($DE60)&lt;=0,N($X60)&lt;=0),"",1/(1+($DE60/$X60)^6))</f>
        <v/>
      </c>
      <c r="DI60" s="28" t="str">
        <f aca="false">IF(OR($A60="",N($CU60)&lt;=0),"",IF($I60&gt;0,$CU60/($G60*$H60*$I60)/1E-024/6.022E+023/0.000000001,""))</f>
        <v/>
      </c>
      <c r="DJ60" s="29" t="str">
        <f aca="false">IF(Calc!AE60=0,"",IF(Calc!AC60&gt;=1,"✖ saturated (B ≥ freq.)",IF(Calc!AC60&gt;0.1,"⚠ B &gt; 10% of freq.",IF(Calc!AC60=0,"⚠ no brightness",IF(Calc!AD60&gt;0.1,"⚠ step &gt; 10% of wr",IF(AND($DB60&lt;&gt;"",$DB60&lt;&gt;"No FRET",N($O60)&lt;2),"⚠ FRET needs ≥ 2 colours",IF(AND($DB60&lt;&gt;"",$DB60&lt;&gt;"No FRET",N($DC60)+N($DD60)+N($DE60)=0),"⚠ FRET: set R","✔ OK")))))))</f>
        <v/>
      </c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7" t="str">
        <f aca="false">IF(OR($DT60="",$DT60="No FRET",N($DU60)&lt;=0,N($V60)&lt;=0),"",1/(1+($DU60/$V60)^6))</f>
        <v/>
      </c>
      <c r="DY60" s="27" t="str">
        <f aca="false">IF(OR($DT60="",$DT60="No FRET",N($DV60)&lt;=0,N($W60)&lt;=0),"",1/(1+($DV60/$W60)^6))</f>
        <v/>
      </c>
      <c r="DZ60" s="27" t="str">
        <f aca="false">IF(OR($DT60="",$DT60="No FRET",N($DW60)&lt;=0,N($X60)&lt;=0),"",1/(1+($DW60/$X60)^6))</f>
        <v/>
      </c>
      <c r="EA60" s="28" t="str">
        <f aca="false">IF(OR($A60="",N($DM60)&lt;=0),"",IF($I60&gt;0,$DM60/($G60*$H60*$I60)/1E-024/6.022E+023/0.000000001,""))</f>
        <v/>
      </c>
      <c r="EB60" s="29" t="str">
        <f aca="false">IF(Calc!AK60=0,"",IF(Calc!AI60&gt;=1,"✖ saturated (B ≥ freq.)",IF(Calc!AI60&gt;0.1,"⚠ B &gt; 10% of freq.",IF(Calc!AI60=0,"⚠ no brightness",IF(Calc!AJ60&gt;0.1,"⚠ step &gt; 10% of wr",IF(AND($DT60&lt;&gt;"",$DT60&lt;&gt;"No FRET",N($O60)&lt;2),"⚠ FRET needs ≥ 2 colours",IF(AND($DT60&lt;&gt;"",$DT60&lt;&gt;"No FRET",N($DU60)+N($DV60)+N($DW60)=0),"⚠ FRET: set R","✔ OK")))))))</f>
        <v/>
      </c>
      <c r="EC60" s="30" t="str">
        <f aca="false">IF($A60="","",SUM(Calc!G60,Calc!M60,Calc!S60,Calc!Y60,Calc!AE60,Calc!AK60))</f>
        <v/>
      </c>
      <c r="ED60" s="30" t="str">
        <f aca="false">IF($A60="","",N($AA60)+N($AS60)+N($BK60)+N($CC60)+N($CU60)+N($DM60))</f>
        <v/>
      </c>
      <c r="EE60" s="31" t="str">
        <f aca="false">IF($A60="","",SUM(Calc!B60,Calc!H60,Calc!N60,Calc!T60,Calc!Z60,Calc!AF60))</f>
        <v/>
      </c>
      <c r="EF60" s="31" t="str">
        <f aca="false">IF($A60="","",SUM(Calc!C60,Calc!I60,Calc!O60,Calc!U60,Calc!AA60,Calc!AG60))</f>
        <v/>
      </c>
      <c r="EG60" s="31" t="str">
        <f aca="false">IF($A60="","",SUM(Calc!D60,Calc!J60,Calc!P60,Calc!V60,Calc!AB60,Calc!AH60))</f>
        <v/>
      </c>
      <c r="EH60" s="27" t="str">
        <f aca="false">IF($A60="","",($EE60+$EF60+$EG60+IF($P60="Yes",N($Q60)*N($O60),0))*1000*$K60/1000000)</f>
        <v/>
      </c>
      <c r="EI60" s="28" t="str">
        <f aca="false">IF($A60="","",$EH60*1000000*12/1000000000)</f>
        <v/>
      </c>
      <c r="EJ60" s="32" t="str">
        <f aca="false">IF($A60="","",IF($EC60=0,"⚠ no species entered",IF(((LEFT($AP60,1)="✖")+(LEFT($BH60,1)="✖")+(LEFT($BZ60,1)="✖")+(LEFT($CR60,1)="✖")+(LEFT($DJ60,1)="✖")+(LEFT($EB60,1)="✖"))&gt;0,"✖ "&amp;((LEFT($AP60,1)="✖")+(LEFT($BH60,1)="✖")+(LEFT($BZ60,1)="✖")+(LEFT($CR60,1)="✖")+(LEFT($DJ60,1)="✖")+(LEFT($EB60,1)="✖"))&amp;" species saturated - see the species checks",IF(MIN($G60,$H60)&lt;8*$T60,"⚠ box too small laterally (&lt; 8·wr)",IF(AND($I60&gt;0,$I60&lt;3*$U60),"⚠ box too small axially (&lt; 3·wz)",IF($EI60&gt;8,"⚠ &gt; 8 GB per file: shorten the duration and use several files",IF(((LEFT($AP60,1)="⚠")+(LEFT($BH60,1)="⚠")+(LEFT($BZ60,1)="⚠")+(LEFT($CR60,1)="⚠")+(LEFT($DJ60,1)="⚠")+(LEFT($EB60,1)="⚠"))&gt;0,"⚠ "&amp;((LEFT($AP60,1)="⚠")+(LEFT($BH60,1)="⚠")+(LEFT($BZ60,1)="⚠")+(LEFT($CR60,1)="⚠")+(LEFT($DJ60,1)="⚠")+(LEFT($EB60,1)="⚠"))&amp;" species with a warning","✔ OK")))))))</f>
        <v/>
      </c>
      <c r="EK60" s="25"/>
      <c r="EL60" s="25"/>
      <c r="EM60" s="25"/>
      <c r="EN60" s="25"/>
      <c r="EO60" s="25"/>
      <c r="EP60" s="25"/>
      <c r="EQ60" s="25"/>
      <c r="ER60" s="26"/>
    </row>
    <row r="61" customFormat="false" ht="15" hidden="false" customHeight="false" outlineLevel="0" collapsed="false">
      <c r="A61" s="25"/>
      <c r="B61" s="25"/>
      <c r="C61" s="26"/>
      <c r="D61" s="2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7" t="str">
        <f aca="false">IF(OR($AH61="",$AH61="No FRET",N($AI61)&lt;=0,N($V61)&lt;=0),"",1/(1+($AI61/$V61)^6))</f>
        <v/>
      </c>
      <c r="AM61" s="27" t="str">
        <f aca="false">IF(OR($AH61="",$AH61="No FRET",N($AJ61)&lt;=0,N($W61)&lt;=0),"",1/(1+($AJ61/$W61)^6))</f>
        <v/>
      </c>
      <c r="AN61" s="27" t="str">
        <f aca="false">IF(OR($AH61="",$AH61="No FRET",N($AK61)&lt;=0,N($X61)&lt;=0),"",1/(1+($AK61/$X61)^6))</f>
        <v/>
      </c>
      <c r="AO61" s="28" t="str">
        <f aca="false">IF(OR($A61="",N($AA61)&lt;=0),"",IF($I61&gt;0,$AA61/($G61*$H61*$I61)/1E-024/6.022E+023/0.000000001,""))</f>
        <v/>
      </c>
      <c r="AP61" s="29" t="str">
        <f aca="false">IF(Calc!G61=0,"",IF(Calc!E61&gt;=1,"✖ saturated (B ≥ freq.)",IF(Calc!E61&gt;0.1,"⚠ B &gt; 10% of freq.",IF(Calc!E61=0,"⚠ no brightness",IF(Calc!F61&gt;0.1,"⚠ step &gt; 10% of wr",IF(AND($AH61&lt;&gt;"",$AH61&lt;&gt;"No FRET",N($O61)&lt;2),"⚠ FRET needs ≥ 2 colours",IF(AND($AH61&lt;&gt;"",$AH61&lt;&gt;"No FRET",N($AI61)+N($AJ61)+N($AK61)=0),"⚠ FRET: set R","✔ OK")))))))</f>
        <v/>
      </c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7" t="str">
        <f aca="false">IF(OR($AZ61="",$AZ61="No FRET",N($BA61)&lt;=0,N($V61)&lt;=0),"",1/(1+($BA61/$V61)^6))</f>
        <v/>
      </c>
      <c r="BE61" s="27" t="str">
        <f aca="false">IF(OR($AZ61="",$AZ61="No FRET",N($BB61)&lt;=0,N($W61)&lt;=0),"",1/(1+($BB61/$W61)^6))</f>
        <v/>
      </c>
      <c r="BF61" s="27" t="str">
        <f aca="false">IF(OR($AZ61="",$AZ61="No FRET",N($BC61)&lt;=0,N($X61)&lt;=0),"",1/(1+($BC61/$X61)^6))</f>
        <v/>
      </c>
      <c r="BG61" s="28" t="str">
        <f aca="false">IF(OR($A61="",N($AS61)&lt;=0),"",IF($I61&gt;0,$AS61/($G61*$H61*$I61)/1E-024/6.022E+023/0.000000001,""))</f>
        <v/>
      </c>
      <c r="BH61" s="29" t="str">
        <f aca="false">IF(Calc!M61=0,"",IF(Calc!K61&gt;=1,"✖ saturated (B ≥ freq.)",IF(Calc!K61&gt;0.1,"⚠ B &gt; 10% of freq.",IF(Calc!K61=0,"⚠ no brightness",IF(Calc!L61&gt;0.1,"⚠ step &gt; 10% of wr",IF(AND($AZ61&lt;&gt;"",$AZ61&lt;&gt;"No FRET",N($O61)&lt;2),"⚠ FRET needs ≥ 2 colours",IF(AND($AZ61&lt;&gt;"",$AZ61&lt;&gt;"No FRET",N($BA61)+N($BB61)+N($BC61)=0),"⚠ FRET: set R","✔ OK")))))))</f>
        <v/>
      </c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7" t="str">
        <f aca="false">IF(OR($BR61="",$BR61="No FRET",N($BS61)&lt;=0,N($V61)&lt;=0),"",1/(1+($BS61/$V61)^6))</f>
        <v/>
      </c>
      <c r="BW61" s="27" t="str">
        <f aca="false">IF(OR($BR61="",$BR61="No FRET",N($BT61)&lt;=0,N($W61)&lt;=0),"",1/(1+($BT61/$W61)^6))</f>
        <v/>
      </c>
      <c r="BX61" s="27" t="str">
        <f aca="false">IF(OR($BR61="",$BR61="No FRET",N($BU61)&lt;=0,N($X61)&lt;=0),"",1/(1+($BU61/$X61)^6))</f>
        <v/>
      </c>
      <c r="BY61" s="28" t="str">
        <f aca="false">IF(OR($A61="",N($BK61)&lt;=0),"",IF($I61&gt;0,$BK61/($G61*$H61*$I61)/1E-024/6.022E+023/0.000000001,""))</f>
        <v/>
      </c>
      <c r="BZ61" s="29" t="str">
        <f aca="false">IF(Calc!S61=0,"",IF(Calc!Q61&gt;=1,"✖ saturated (B ≥ freq.)",IF(Calc!Q61&gt;0.1,"⚠ B &gt; 10% of freq.",IF(Calc!Q61=0,"⚠ no brightness",IF(Calc!R61&gt;0.1,"⚠ step &gt; 10% of wr",IF(AND($BR61&lt;&gt;"",$BR61&lt;&gt;"No FRET",N($O61)&lt;2),"⚠ FRET needs ≥ 2 colours",IF(AND($BR61&lt;&gt;"",$BR61&lt;&gt;"No FRET",N($BS61)+N($BT61)+N($BU61)=0),"⚠ FRET: set R","✔ OK")))))))</f>
        <v/>
      </c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7" t="str">
        <f aca="false">IF(OR($CJ61="",$CJ61="No FRET",N($CK61)&lt;=0,N($V61)&lt;=0),"",1/(1+($CK61/$V61)^6))</f>
        <v/>
      </c>
      <c r="CO61" s="27" t="str">
        <f aca="false">IF(OR($CJ61="",$CJ61="No FRET",N($CL61)&lt;=0,N($W61)&lt;=0),"",1/(1+($CL61/$W61)^6))</f>
        <v/>
      </c>
      <c r="CP61" s="27" t="str">
        <f aca="false">IF(OR($CJ61="",$CJ61="No FRET",N($CM61)&lt;=0,N($X61)&lt;=0),"",1/(1+($CM61/$X61)^6))</f>
        <v/>
      </c>
      <c r="CQ61" s="28" t="str">
        <f aca="false">IF(OR($A61="",N($CC61)&lt;=0),"",IF($I61&gt;0,$CC61/($G61*$H61*$I61)/1E-024/6.022E+023/0.000000001,""))</f>
        <v/>
      </c>
      <c r="CR61" s="29" t="str">
        <f aca="false">IF(Calc!Y61=0,"",IF(Calc!W61&gt;=1,"✖ saturated (B ≥ freq.)",IF(Calc!W61&gt;0.1,"⚠ B &gt; 10% of freq.",IF(Calc!W61=0,"⚠ no brightness",IF(Calc!X61&gt;0.1,"⚠ step &gt; 10% of wr",IF(AND($CJ61&lt;&gt;"",$CJ61&lt;&gt;"No FRET",N($O61)&lt;2),"⚠ FRET needs ≥ 2 colours",IF(AND($CJ61&lt;&gt;"",$CJ61&lt;&gt;"No FRET",N($CK61)+N($CL61)+N($CM61)=0),"⚠ FRET: set R","✔ OK")))))))</f>
        <v/>
      </c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7" t="str">
        <f aca="false">IF(OR($DB61="",$DB61="No FRET",N($DC61)&lt;=0,N($V61)&lt;=0),"",1/(1+($DC61/$V61)^6))</f>
        <v/>
      </c>
      <c r="DG61" s="27" t="str">
        <f aca="false">IF(OR($DB61="",$DB61="No FRET",N($DD61)&lt;=0,N($W61)&lt;=0),"",1/(1+($DD61/$W61)^6))</f>
        <v/>
      </c>
      <c r="DH61" s="27" t="str">
        <f aca="false">IF(OR($DB61="",$DB61="No FRET",N($DE61)&lt;=0,N($X61)&lt;=0),"",1/(1+($DE61/$X61)^6))</f>
        <v/>
      </c>
      <c r="DI61" s="28" t="str">
        <f aca="false">IF(OR($A61="",N($CU61)&lt;=0),"",IF($I61&gt;0,$CU61/($G61*$H61*$I61)/1E-024/6.022E+023/0.000000001,""))</f>
        <v/>
      </c>
      <c r="DJ61" s="29" t="str">
        <f aca="false">IF(Calc!AE61=0,"",IF(Calc!AC61&gt;=1,"✖ saturated (B ≥ freq.)",IF(Calc!AC61&gt;0.1,"⚠ B &gt; 10% of freq.",IF(Calc!AC61=0,"⚠ no brightness",IF(Calc!AD61&gt;0.1,"⚠ step &gt; 10% of wr",IF(AND($DB61&lt;&gt;"",$DB61&lt;&gt;"No FRET",N($O61)&lt;2),"⚠ FRET needs ≥ 2 colours",IF(AND($DB61&lt;&gt;"",$DB61&lt;&gt;"No FRET",N($DC61)+N($DD61)+N($DE61)=0),"⚠ FRET: set R","✔ OK")))))))</f>
        <v/>
      </c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7" t="str">
        <f aca="false">IF(OR($DT61="",$DT61="No FRET",N($DU61)&lt;=0,N($V61)&lt;=0),"",1/(1+($DU61/$V61)^6))</f>
        <v/>
      </c>
      <c r="DY61" s="27" t="str">
        <f aca="false">IF(OR($DT61="",$DT61="No FRET",N($DV61)&lt;=0,N($W61)&lt;=0),"",1/(1+($DV61/$W61)^6))</f>
        <v/>
      </c>
      <c r="DZ61" s="27" t="str">
        <f aca="false">IF(OR($DT61="",$DT61="No FRET",N($DW61)&lt;=0,N($X61)&lt;=0),"",1/(1+($DW61/$X61)^6))</f>
        <v/>
      </c>
      <c r="EA61" s="28" t="str">
        <f aca="false">IF(OR($A61="",N($DM61)&lt;=0),"",IF($I61&gt;0,$DM61/($G61*$H61*$I61)/1E-024/6.022E+023/0.000000001,""))</f>
        <v/>
      </c>
      <c r="EB61" s="29" t="str">
        <f aca="false">IF(Calc!AK61=0,"",IF(Calc!AI61&gt;=1,"✖ saturated (B ≥ freq.)",IF(Calc!AI61&gt;0.1,"⚠ B &gt; 10% of freq.",IF(Calc!AI61=0,"⚠ no brightness",IF(Calc!AJ61&gt;0.1,"⚠ step &gt; 10% of wr",IF(AND($DT61&lt;&gt;"",$DT61&lt;&gt;"No FRET",N($O61)&lt;2),"⚠ FRET needs ≥ 2 colours",IF(AND($DT61&lt;&gt;"",$DT61&lt;&gt;"No FRET",N($DU61)+N($DV61)+N($DW61)=0),"⚠ FRET: set R","✔ OK")))))))</f>
        <v/>
      </c>
      <c r="EC61" s="30" t="str">
        <f aca="false">IF($A61="","",SUM(Calc!G61,Calc!M61,Calc!S61,Calc!Y61,Calc!AE61,Calc!AK61))</f>
        <v/>
      </c>
      <c r="ED61" s="30" t="str">
        <f aca="false">IF($A61="","",N($AA61)+N($AS61)+N($BK61)+N($CC61)+N($CU61)+N($DM61))</f>
        <v/>
      </c>
      <c r="EE61" s="31" t="str">
        <f aca="false">IF($A61="","",SUM(Calc!B61,Calc!H61,Calc!N61,Calc!T61,Calc!Z61,Calc!AF61))</f>
        <v/>
      </c>
      <c r="EF61" s="31" t="str">
        <f aca="false">IF($A61="","",SUM(Calc!C61,Calc!I61,Calc!O61,Calc!U61,Calc!AA61,Calc!AG61))</f>
        <v/>
      </c>
      <c r="EG61" s="31" t="str">
        <f aca="false">IF($A61="","",SUM(Calc!D61,Calc!J61,Calc!P61,Calc!V61,Calc!AB61,Calc!AH61))</f>
        <v/>
      </c>
      <c r="EH61" s="27" t="str">
        <f aca="false">IF($A61="","",($EE61+$EF61+$EG61+IF($P61="Yes",N($Q61)*N($O61),0))*1000*$K61/1000000)</f>
        <v/>
      </c>
      <c r="EI61" s="28" t="str">
        <f aca="false">IF($A61="","",$EH61*1000000*12/1000000000)</f>
        <v/>
      </c>
      <c r="EJ61" s="32" t="str">
        <f aca="false">IF($A61="","",IF($EC61=0,"⚠ no species entered",IF(((LEFT($AP61,1)="✖")+(LEFT($BH61,1)="✖")+(LEFT($BZ61,1)="✖")+(LEFT($CR61,1)="✖")+(LEFT($DJ61,1)="✖")+(LEFT($EB61,1)="✖"))&gt;0,"✖ "&amp;((LEFT($AP61,1)="✖")+(LEFT($BH61,1)="✖")+(LEFT($BZ61,1)="✖")+(LEFT($CR61,1)="✖")+(LEFT($DJ61,1)="✖")+(LEFT($EB61,1)="✖"))&amp;" species saturated - see the species checks",IF(MIN($G61,$H61)&lt;8*$T61,"⚠ box too small laterally (&lt; 8·wr)",IF(AND($I61&gt;0,$I61&lt;3*$U61),"⚠ box too small axially (&lt; 3·wz)",IF($EI61&gt;8,"⚠ &gt; 8 GB per file: shorten the duration and use several files",IF(((LEFT($AP61,1)="⚠")+(LEFT($BH61,1)="⚠")+(LEFT($BZ61,1)="⚠")+(LEFT($CR61,1)="⚠")+(LEFT($DJ61,1)="⚠")+(LEFT($EB61,1)="⚠"))&gt;0,"⚠ "&amp;((LEFT($AP61,1)="⚠")+(LEFT($BH61,1)="⚠")+(LEFT($BZ61,1)="⚠")+(LEFT($CR61,1)="⚠")+(LEFT($DJ61,1)="⚠")+(LEFT($EB61,1)="⚠"))&amp;" species with a warning","✔ OK")))))))</f>
        <v/>
      </c>
      <c r="EK61" s="25"/>
      <c r="EL61" s="25"/>
      <c r="EM61" s="25"/>
      <c r="EN61" s="25"/>
      <c r="EO61" s="25"/>
      <c r="EP61" s="25"/>
      <c r="EQ61" s="25"/>
      <c r="ER61" s="26"/>
    </row>
    <row r="62" customFormat="false" ht="15" hidden="false" customHeight="false" outlineLevel="0" collapsed="false">
      <c r="A62" s="25"/>
      <c r="B62" s="25"/>
      <c r="C62" s="26"/>
      <c r="D62" s="2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7" t="str">
        <f aca="false">IF(OR($AH62="",$AH62="No FRET",N($AI62)&lt;=0,N($V62)&lt;=0),"",1/(1+($AI62/$V62)^6))</f>
        <v/>
      </c>
      <c r="AM62" s="27" t="str">
        <f aca="false">IF(OR($AH62="",$AH62="No FRET",N($AJ62)&lt;=0,N($W62)&lt;=0),"",1/(1+($AJ62/$W62)^6))</f>
        <v/>
      </c>
      <c r="AN62" s="27" t="str">
        <f aca="false">IF(OR($AH62="",$AH62="No FRET",N($AK62)&lt;=0,N($X62)&lt;=0),"",1/(1+($AK62/$X62)^6))</f>
        <v/>
      </c>
      <c r="AO62" s="28" t="str">
        <f aca="false">IF(OR($A62="",N($AA62)&lt;=0),"",IF($I62&gt;0,$AA62/($G62*$H62*$I62)/1E-024/6.022E+023/0.000000001,""))</f>
        <v/>
      </c>
      <c r="AP62" s="29" t="str">
        <f aca="false">IF(Calc!G62=0,"",IF(Calc!E62&gt;=1,"✖ saturated (B ≥ freq.)",IF(Calc!E62&gt;0.1,"⚠ B &gt; 10% of freq.",IF(Calc!E62=0,"⚠ no brightness",IF(Calc!F62&gt;0.1,"⚠ step &gt; 10% of wr",IF(AND($AH62&lt;&gt;"",$AH62&lt;&gt;"No FRET",N($O62)&lt;2),"⚠ FRET needs ≥ 2 colours",IF(AND($AH62&lt;&gt;"",$AH62&lt;&gt;"No FRET",N($AI62)+N($AJ62)+N($AK62)=0),"⚠ FRET: set R","✔ OK")))))))</f>
        <v/>
      </c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7" t="str">
        <f aca="false">IF(OR($AZ62="",$AZ62="No FRET",N($BA62)&lt;=0,N($V62)&lt;=0),"",1/(1+($BA62/$V62)^6))</f>
        <v/>
      </c>
      <c r="BE62" s="27" t="str">
        <f aca="false">IF(OR($AZ62="",$AZ62="No FRET",N($BB62)&lt;=0,N($W62)&lt;=0),"",1/(1+($BB62/$W62)^6))</f>
        <v/>
      </c>
      <c r="BF62" s="27" t="str">
        <f aca="false">IF(OR($AZ62="",$AZ62="No FRET",N($BC62)&lt;=0,N($X62)&lt;=0),"",1/(1+($BC62/$X62)^6))</f>
        <v/>
      </c>
      <c r="BG62" s="28" t="str">
        <f aca="false">IF(OR($A62="",N($AS62)&lt;=0),"",IF($I62&gt;0,$AS62/($G62*$H62*$I62)/1E-024/6.022E+023/0.000000001,""))</f>
        <v/>
      </c>
      <c r="BH62" s="29" t="str">
        <f aca="false">IF(Calc!M62=0,"",IF(Calc!K62&gt;=1,"✖ saturated (B ≥ freq.)",IF(Calc!K62&gt;0.1,"⚠ B &gt; 10% of freq.",IF(Calc!K62=0,"⚠ no brightness",IF(Calc!L62&gt;0.1,"⚠ step &gt; 10% of wr",IF(AND($AZ62&lt;&gt;"",$AZ62&lt;&gt;"No FRET",N($O62)&lt;2),"⚠ FRET needs ≥ 2 colours",IF(AND($AZ62&lt;&gt;"",$AZ62&lt;&gt;"No FRET",N($BA62)+N($BB62)+N($BC62)=0),"⚠ FRET: set R","✔ OK")))))))</f>
        <v/>
      </c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7" t="str">
        <f aca="false">IF(OR($BR62="",$BR62="No FRET",N($BS62)&lt;=0,N($V62)&lt;=0),"",1/(1+($BS62/$V62)^6))</f>
        <v/>
      </c>
      <c r="BW62" s="27" t="str">
        <f aca="false">IF(OR($BR62="",$BR62="No FRET",N($BT62)&lt;=0,N($W62)&lt;=0),"",1/(1+($BT62/$W62)^6))</f>
        <v/>
      </c>
      <c r="BX62" s="27" t="str">
        <f aca="false">IF(OR($BR62="",$BR62="No FRET",N($BU62)&lt;=0,N($X62)&lt;=0),"",1/(1+($BU62/$X62)^6))</f>
        <v/>
      </c>
      <c r="BY62" s="28" t="str">
        <f aca="false">IF(OR($A62="",N($BK62)&lt;=0),"",IF($I62&gt;0,$BK62/($G62*$H62*$I62)/1E-024/6.022E+023/0.000000001,""))</f>
        <v/>
      </c>
      <c r="BZ62" s="29" t="str">
        <f aca="false">IF(Calc!S62=0,"",IF(Calc!Q62&gt;=1,"✖ saturated (B ≥ freq.)",IF(Calc!Q62&gt;0.1,"⚠ B &gt; 10% of freq.",IF(Calc!Q62=0,"⚠ no brightness",IF(Calc!R62&gt;0.1,"⚠ step &gt; 10% of wr",IF(AND($BR62&lt;&gt;"",$BR62&lt;&gt;"No FRET",N($O62)&lt;2),"⚠ FRET needs ≥ 2 colours",IF(AND($BR62&lt;&gt;"",$BR62&lt;&gt;"No FRET",N($BS62)+N($BT62)+N($BU62)=0),"⚠ FRET: set R","✔ OK")))))))</f>
        <v/>
      </c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7" t="str">
        <f aca="false">IF(OR($CJ62="",$CJ62="No FRET",N($CK62)&lt;=0,N($V62)&lt;=0),"",1/(1+($CK62/$V62)^6))</f>
        <v/>
      </c>
      <c r="CO62" s="27" t="str">
        <f aca="false">IF(OR($CJ62="",$CJ62="No FRET",N($CL62)&lt;=0,N($W62)&lt;=0),"",1/(1+($CL62/$W62)^6))</f>
        <v/>
      </c>
      <c r="CP62" s="27" t="str">
        <f aca="false">IF(OR($CJ62="",$CJ62="No FRET",N($CM62)&lt;=0,N($X62)&lt;=0),"",1/(1+($CM62/$X62)^6))</f>
        <v/>
      </c>
      <c r="CQ62" s="28" t="str">
        <f aca="false">IF(OR($A62="",N($CC62)&lt;=0),"",IF($I62&gt;0,$CC62/($G62*$H62*$I62)/1E-024/6.022E+023/0.000000001,""))</f>
        <v/>
      </c>
      <c r="CR62" s="29" t="str">
        <f aca="false">IF(Calc!Y62=0,"",IF(Calc!W62&gt;=1,"✖ saturated (B ≥ freq.)",IF(Calc!W62&gt;0.1,"⚠ B &gt; 10% of freq.",IF(Calc!W62=0,"⚠ no brightness",IF(Calc!X62&gt;0.1,"⚠ step &gt; 10% of wr",IF(AND($CJ62&lt;&gt;"",$CJ62&lt;&gt;"No FRET",N($O62)&lt;2),"⚠ FRET needs ≥ 2 colours",IF(AND($CJ62&lt;&gt;"",$CJ62&lt;&gt;"No FRET",N($CK62)+N($CL62)+N($CM62)=0),"⚠ FRET: set R","✔ OK")))))))</f>
        <v/>
      </c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7" t="str">
        <f aca="false">IF(OR($DB62="",$DB62="No FRET",N($DC62)&lt;=0,N($V62)&lt;=0),"",1/(1+($DC62/$V62)^6))</f>
        <v/>
      </c>
      <c r="DG62" s="27" t="str">
        <f aca="false">IF(OR($DB62="",$DB62="No FRET",N($DD62)&lt;=0,N($W62)&lt;=0),"",1/(1+($DD62/$W62)^6))</f>
        <v/>
      </c>
      <c r="DH62" s="27" t="str">
        <f aca="false">IF(OR($DB62="",$DB62="No FRET",N($DE62)&lt;=0,N($X62)&lt;=0),"",1/(1+($DE62/$X62)^6))</f>
        <v/>
      </c>
      <c r="DI62" s="28" t="str">
        <f aca="false">IF(OR($A62="",N($CU62)&lt;=0),"",IF($I62&gt;0,$CU62/($G62*$H62*$I62)/1E-024/6.022E+023/0.000000001,""))</f>
        <v/>
      </c>
      <c r="DJ62" s="29" t="str">
        <f aca="false">IF(Calc!AE62=0,"",IF(Calc!AC62&gt;=1,"✖ saturated (B ≥ freq.)",IF(Calc!AC62&gt;0.1,"⚠ B &gt; 10% of freq.",IF(Calc!AC62=0,"⚠ no brightness",IF(Calc!AD62&gt;0.1,"⚠ step &gt; 10% of wr",IF(AND($DB62&lt;&gt;"",$DB62&lt;&gt;"No FRET",N($O62)&lt;2),"⚠ FRET needs ≥ 2 colours",IF(AND($DB62&lt;&gt;"",$DB62&lt;&gt;"No FRET",N($DC62)+N($DD62)+N($DE62)=0),"⚠ FRET: set R","✔ OK")))))))</f>
        <v/>
      </c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7" t="str">
        <f aca="false">IF(OR($DT62="",$DT62="No FRET",N($DU62)&lt;=0,N($V62)&lt;=0),"",1/(1+($DU62/$V62)^6))</f>
        <v/>
      </c>
      <c r="DY62" s="27" t="str">
        <f aca="false">IF(OR($DT62="",$DT62="No FRET",N($DV62)&lt;=0,N($W62)&lt;=0),"",1/(1+($DV62/$W62)^6))</f>
        <v/>
      </c>
      <c r="DZ62" s="27" t="str">
        <f aca="false">IF(OR($DT62="",$DT62="No FRET",N($DW62)&lt;=0,N($X62)&lt;=0),"",1/(1+($DW62/$X62)^6))</f>
        <v/>
      </c>
      <c r="EA62" s="28" t="str">
        <f aca="false">IF(OR($A62="",N($DM62)&lt;=0),"",IF($I62&gt;0,$DM62/($G62*$H62*$I62)/1E-024/6.022E+023/0.000000001,""))</f>
        <v/>
      </c>
      <c r="EB62" s="29" t="str">
        <f aca="false">IF(Calc!AK62=0,"",IF(Calc!AI62&gt;=1,"✖ saturated (B ≥ freq.)",IF(Calc!AI62&gt;0.1,"⚠ B &gt; 10% of freq.",IF(Calc!AI62=0,"⚠ no brightness",IF(Calc!AJ62&gt;0.1,"⚠ step &gt; 10% of wr",IF(AND($DT62&lt;&gt;"",$DT62&lt;&gt;"No FRET",N($O62)&lt;2),"⚠ FRET needs ≥ 2 colours",IF(AND($DT62&lt;&gt;"",$DT62&lt;&gt;"No FRET",N($DU62)+N($DV62)+N($DW62)=0),"⚠ FRET: set R","✔ OK")))))))</f>
        <v/>
      </c>
      <c r="EC62" s="30" t="str">
        <f aca="false">IF($A62="","",SUM(Calc!G62,Calc!M62,Calc!S62,Calc!Y62,Calc!AE62,Calc!AK62))</f>
        <v/>
      </c>
      <c r="ED62" s="30" t="str">
        <f aca="false">IF($A62="","",N($AA62)+N($AS62)+N($BK62)+N($CC62)+N($CU62)+N($DM62))</f>
        <v/>
      </c>
      <c r="EE62" s="31" t="str">
        <f aca="false">IF($A62="","",SUM(Calc!B62,Calc!H62,Calc!N62,Calc!T62,Calc!Z62,Calc!AF62))</f>
        <v/>
      </c>
      <c r="EF62" s="31" t="str">
        <f aca="false">IF($A62="","",SUM(Calc!C62,Calc!I62,Calc!O62,Calc!U62,Calc!AA62,Calc!AG62))</f>
        <v/>
      </c>
      <c r="EG62" s="31" t="str">
        <f aca="false">IF($A62="","",SUM(Calc!D62,Calc!J62,Calc!P62,Calc!V62,Calc!AB62,Calc!AH62))</f>
        <v/>
      </c>
      <c r="EH62" s="27" t="str">
        <f aca="false">IF($A62="","",($EE62+$EF62+$EG62+IF($P62="Yes",N($Q62)*N($O62),0))*1000*$K62/1000000)</f>
        <v/>
      </c>
      <c r="EI62" s="28" t="str">
        <f aca="false">IF($A62="","",$EH62*1000000*12/1000000000)</f>
        <v/>
      </c>
      <c r="EJ62" s="32" t="str">
        <f aca="false">IF($A62="","",IF($EC62=0,"⚠ no species entered",IF(((LEFT($AP62,1)="✖")+(LEFT($BH62,1)="✖")+(LEFT($BZ62,1)="✖")+(LEFT($CR62,1)="✖")+(LEFT($DJ62,1)="✖")+(LEFT($EB62,1)="✖"))&gt;0,"✖ "&amp;((LEFT($AP62,1)="✖")+(LEFT($BH62,1)="✖")+(LEFT($BZ62,1)="✖")+(LEFT($CR62,1)="✖")+(LEFT($DJ62,1)="✖")+(LEFT($EB62,1)="✖"))&amp;" species saturated - see the species checks",IF(MIN($G62,$H62)&lt;8*$T62,"⚠ box too small laterally (&lt; 8·wr)",IF(AND($I62&gt;0,$I62&lt;3*$U62),"⚠ box too small axially (&lt; 3·wz)",IF($EI62&gt;8,"⚠ &gt; 8 GB per file: shorten the duration and use several files",IF(((LEFT($AP62,1)="⚠")+(LEFT($BH62,1)="⚠")+(LEFT($BZ62,1)="⚠")+(LEFT($CR62,1)="⚠")+(LEFT($DJ62,1)="⚠")+(LEFT($EB62,1)="⚠"))&gt;0,"⚠ "&amp;((LEFT($AP62,1)="⚠")+(LEFT($BH62,1)="⚠")+(LEFT($BZ62,1)="⚠")+(LEFT($CR62,1)="⚠")+(LEFT($DJ62,1)="⚠")+(LEFT($EB62,1)="⚠"))&amp;" species with a warning","✔ OK")))))))</f>
        <v/>
      </c>
      <c r="EK62" s="25"/>
      <c r="EL62" s="25"/>
      <c r="EM62" s="25"/>
      <c r="EN62" s="25"/>
      <c r="EO62" s="25"/>
      <c r="EP62" s="25"/>
      <c r="EQ62" s="25"/>
      <c r="ER62" s="26"/>
    </row>
    <row r="63" customFormat="false" ht="15" hidden="false" customHeight="false" outlineLevel="0" collapsed="false">
      <c r="A63" s="25"/>
      <c r="B63" s="25"/>
      <c r="C63" s="26"/>
      <c r="D63" s="26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7" t="str">
        <f aca="false">IF(OR($AH63="",$AH63="No FRET",N($AI63)&lt;=0,N($V63)&lt;=0),"",1/(1+($AI63/$V63)^6))</f>
        <v/>
      </c>
      <c r="AM63" s="27" t="str">
        <f aca="false">IF(OR($AH63="",$AH63="No FRET",N($AJ63)&lt;=0,N($W63)&lt;=0),"",1/(1+($AJ63/$W63)^6))</f>
        <v/>
      </c>
      <c r="AN63" s="27" t="str">
        <f aca="false">IF(OR($AH63="",$AH63="No FRET",N($AK63)&lt;=0,N($X63)&lt;=0),"",1/(1+($AK63/$X63)^6))</f>
        <v/>
      </c>
      <c r="AO63" s="28" t="str">
        <f aca="false">IF(OR($A63="",N($AA63)&lt;=0),"",IF($I63&gt;0,$AA63/($G63*$H63*$I63)/1E-024/6.022E+023/0.000000001,""))</f>
        <v/>
      </c>
      <c r="AP63" s="29" t="str">
        <f aca="false">IF(Calc!G63=0,"",IF(Calc!E63&gt;=1,"✖ saturated (B ≥ freq.)",IF(Calc!E63&gt;0.1,"⚠ B &gt; 10% of freq.",IF(Calc!E63=0,"⚠ no brightness",IF(Calc!F63&gt;0.1,"⚠ step &gt; 10% of wr",IF(AND($AH63&lt;&gt;"",$AH63&lt;&gt;"No FRET",N($O63)&lt;2),"⚠ FRET needs ≥ 2 colours",IF(AND($AH63&lt;&gt;"",$AH63&lt;&gt;"No FRET",N($AI63)+N($AJ63)+N($AK63)=0),"⚠ FRET: set R","✔ OK")))))))</f>
        <v/>
      </c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7" t="str">
        <f aca="false">IF(OR($AZ63="",$AZ63="No FRET",N($BA63)&lt;=0,N($V63)&lt;=0),"",1/(1+($BA63/$V63)^6))</f>
        <v/>
      </c>
      <c r="BE63" s="27" t="str">
        <f aca="false">IF(OR($AZ63="",$AZ63="No FRET",N($BB63)&lt;=0,N($W63)&lt;=0),"",1/(1+($BB63/$W63)^6))</f>
        <v/>
      </c>
      <c r="BF63" s="27" t="str">
        <f aca="false">IF(OR($AZ63="",$AZ63="No FRET",N($BC63)&lt;=0,N($X63)&lt;=0),"",1/(1+($BC63/$X63)^6))</f>
        <v/>
      </c>
      <c r="BG63" s="28" t="str">
        <f aca="false">IF(OR($A63="",N($AS63)&lt;=0),"",IF($I63&gt;0,$AS63/($G63*$H63*$I63)/1E-024/6.022E+023/0.000000001,""))</f>
        <v/>
      </c>
      <c r="BH63" s="29" t="str">
        <f aca="false">IF(Calc!M63=0,"",IF(Calc!K63&gt;=1,"✖ saturated (B ≥ freq.)",IF(Calc!K63&gt;0.1,"⚠ B &gt; 10% of freq.",IF(Calc!K63=0,"⚠ no brightness",IF(Calc!L63&gt;0.1,"⚠ step &gt; 10% of wr",IF(AND($AZ63&lt;&gt;"",$AZ63&lt;&gt;"No FRET",N($O63)&lt;2),"⚠ FRET needs ≥ 2 colours",IF(AND($AZ63&lt;&gt;"",$AZ63&lt;&gt;"No FRET",N($BA63)+N($BB63)+N($BC63)=0),"⚠ FRET: set R","✔ OK")))))))</f>
        <v/>
      </c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7" t="str">
        <f aca="false">IF(OR($BR63="",$BR63="No FRET",N($BS63)&lt;=0,N($V63)&lt;=0),"",1/(1+($BS63/$V63)^6))</f>
        <v/>
      </c>
      <c r="BW63" s="27" t="str">
        <f aca="false">IF(OR($BR63="",$BR63="No FRET",N($BT63)&lt;=0,N($W63)&lt;=0),"",1/(1+($BT63/$W63)^6))</f>
        <v/>
      </c>
      <c r="BX63" s="27" t="str">
        <f aca="false">IF(OR($BR63="",$BR63="No FRET",N($BU63)&lt;=0,N($X63)&lt;=0),"",1/(1+($BU63/$X63)^6))</f>
        <v/>
      </c>
      <c r="BY63" s="28" t="str">
        <f aca="false">IF(OR($A63="",N($BK63)&lt;=0),"",IF($I63&gt;0,$BK63/($G63*$H63*$I63)/1E-024/6.022E+023/0.000000001,""))</f>
        <v/>
      </c>
      <c r="BZ63" s="29" t="str">
        <f aca="false">IF(Calc!S63=0,"",IF(Calc!Q63&gt;=1,"✖ saturated (B ≥ freq.)",IF(Calc!Q63&gt;0.1,"⚠ B &gt; 10% of freq.",IF(Calc!Q63=0,"⚠ no brightness",IF(Calc!R63&gt;0.1,"⚠ step &gt; 10% of wr",IF(AND($BR63&lt;&gt;"",$BR63&lt;&gt;"No FRET",N($O63)&lt;2),"⚠ FRET needs ≥ 2 colours",IF(AND($BR63&lt;&gt;"",$BR63&lt;&gt;"No FRET",N($BS63)+N($BT63)+N($BU63)=0),"⚠ FRET: set R","✔ OK")))))))</f>
        <v/>
      </c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7" t="str">
        <f aca="false">IF(OR($CJ63="",$CJ63="No FRET",N($CK63)&lt;=0,N($V63)&lt;=0),"",1/(1+($CK63/$V63)^6))</f>
        <v/>
      </c>
      <c r="CO63" s="27" t="str">
        <f aca="false">IF(OR($CJ63="",$CJ63="No FRET",N($CL63)&lt;=0,N($W63)&lt;=0),"",1/(1+($CL63/$W63)^6))</f>
        <v/>
      </c>
      <c r="CP63" s="27" t="str">
        <f aca="false">IF(OR($CJ63="",$CJ63="No FRET",N($CM63)&lt;=0,N($X63)&lt;=0),"",1/(1+($CM63/$X63)^6))</f>
        <v/>
      </c>
      <c r="CQ63" s="28" t="str">
        <f aca="false">IF(OR($A63="",N($CC63)&lt;=0),"",IF($I63&gt;0,$CC63/($G63*$H63*$I63)/1E-024/6.022E+023/0.000000001,""))</f>
        <v/>
      </c>
      <c r="CR63" s="29" t="str">
        <f aca="false">IF(Calc!Y63=0,"",IF(Calc!W63&gt;=1,"✖ saturated (B ≥ freq.)",IF(Calc!W63&gt;0.1,"⚠ B &gt; 10% of freq.",IF(Calc!W63=0,"⚠ no brightness",IF(Calc!X63&gt;0.1,"⚠ step &gt; 10% of wr",IF(AND($CJ63&lt;&gt;"",$CJ63&lt;&gt;"No FRET",N($O63)&lt;2),"⚠ FRET needs ≥ 2 colours",IF(AND($CJ63&lt;&gt;"",$CJ63&lt;&gt;"No FRET",N($CK63)+N($CL63)+N($CM63)=0),"⚠ FRET: set R","✔ OK")))))))</f>
        <v/>
      </c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7" t="str">
        <f aca="false">IF(OR($DB63="",$DB63="No FRET",N($DC63)&lt;=0,N($V63)&lt;=0),"",1/(1+($DC63/$V63)^6))</f>
        <v/>
      </c>
      <c r="DG63" s="27" t="str">
        <f aca="false">IF(OR($DB63="",$DB63="No FRET",N($DD63)&lt;=0,N($W63)&lt;=0),"",1/(1+($DD63/$W63)^6))</f>
        <v/>
      </c>
      <c r="DH63" s="27" t="str">
        <f aca="false">IF(OR($DB63="",$DB63="No FRET",N($DE63)&lt;=0,N($X63)&lt;=0),"",1/(1+($DE63/$X63)^6))</f>
        <v/>
      </c>
      <c r="DI63" s="28" t="str">
        <f aca="false">IF(OR($A63="",N($CU63)&lt;=0),"",IF($I63&gt;0,$CU63/($G63*$H63*$I63)/1E-024/6.022E+023/0.000000001,""))</f>
        <v/>
      </c>
      <c r="DJ63" s="29" t="str">
        <f aca="false">IF(Calc!AE63=0,"",IF(Calc!AC63&gt;=1,"✖ saturated (B ≥ freq.)",IF(Calc!AC63&gt;0.1,"⚠ B &gt; 10% of freq.",IF(Calc!AC63=0,"⚠ no brightness",IF(Calc!AD63&gt;0.1,"⚠ step &gt; 10% of wr",IF(AND($DB63&lt;&gt;"",$DB63&lt;&gt;"No FRET",N($O63)&lt;2),"⚠ FRET needs ≥ 2 colours",IF(AND($DB63&lt;&gt;"",$DB63&lt;&gt;"No FRET",N($DC63)+N($DD63)+N($DE63)=0),"⚠ FRET: set R","✔ OK")))))))</f>
        <v/>
      </c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7" t="str">
        <f aca="false">IF(OR($DT63="",$DT63="No FRET",N($DU63)&lt;=0,N($V63)&lt;=0),"",1/(1+($DU63/$V63)^6))</f>
        <v/>
      </c>
      <c r="DY63" s="27" t="str">
        <f aca="false">IF(OR($DT63="",$DT63="No FRET",N($DV63)&lt;=0,N($W63)&lt;=0),"",1/(1+($DV63/$W63)^6))</f>
        <v/>
      </c>
      <c r="DZ63" s="27" t="str">
        <f aca="false">IF(OR($DT63="",$DT63="No FRET",N($DW63)&lt;=0,N($X63)&lt;=0),"",1/(1+($DW63/$X63)^6))</f>
        <v/>
      </c>
      <c r="EA63" s="28" t="str">
        <f aca="false">IF(OR($A63="",N($DM63)&lt;=0),"",IF($I63&gt;0,$DM63/($G63*$H63*$I63)/1E-024/6.022E+023/0.000000001,""))</f>
        <v/>
      </c>
      <c r="EB63" s="29" t="str">
        <f aca="false">IF(Calc!AK63=0,"",IF(Calc!AI63&gt;=1,"✖ saturated (B ≥ freq.)",IF(Calc!AI63&gt;0.1,"⚠ B &gt; 10% of freq.",IF(Calc!AI63=0,"⚠ no brightness",IF(Calc!AJ63&gt;0.1,"⚠ step &gt; 10% of wr",IF(AND($DT63&lt;&gt;"",$DT63&lt;&gt;"No FRET",N($O63)&lt;2),"⚠ FRET needs ≥ 2 colours",IF(AND($DT63&lt;&gt;"",$DT63&lt;&gt;"No FRET",N($DU63)+N($DV63)+N($DW63)=0),"⚠ FRET: set R","✔ OK")))))))</f>
        <v/>
      </c>
      <c r="EC63" s="30" t="str">
        <f aca="false">IF($A63="","",SUM(Calc!G63,Calc!M63,Calc!S63,Calc!Y63,Calc!AE63,Calc!AK63))</f>
        <v/>
      </c>
      <c r="ED63" s="30" t="str">
        <f aca="false">IF($A63="","",N($AA63)+N($AS63)+N($BK63)+N($CC63)+N($CU63)+N($DM63))</f>
        <v/>
      </c>
      <c r="EE63" s="31" t="str">
        <f aca="false">IF($A63="","",SUM(Calc!B63,Calc!H63,Calc!N63,Calc!T63,Calc!Z63,Calc!AF63))</f>
        <v/>
      </c>
      <c r="EF63" s="31" t="str">
        <f aca="false">IF($A63="","",SUM(Calc!C63,Calc!I63,Calc!O63,Calc!U63,Calc!AA63,Calc!AG63))</f>
        <v/>
      </c>
      <c r="EG63" s="31" t="str">
        <f aca="false">IF($A63="","",SUM(Calc!D63,Calc!J63,Calc!P63,Calc!V63,Calc!AB63,Calc!AH63))</f>
        <v/>
      </c>
      <c r="EH63" s="27" t="str">
        <f aca="false">IF($A63="","",($EE63+$EF63+$EG63+IF($P63="Yes",N($Q63)*N($O63),0))*1000*$K63/1000000)</f>
        <v/>
      </c>
      <c r="EI63" s="28" t="str">
        <f aca="false">IF($A63="","",$EH63*1000000*12/1000000000)</f>
        <v/>
      </c>
      <c r="EJ63" s="32" t="str">
        <f aca="false">IF($A63="","",IF($EC63=0,"⚠ no species entered",IF(((LEFT($AP63,1)="✖")+(LEFT($BH63,1)="✖")+(LEFT($BZ63,1)="✖")+(LEFT($CR63,1)="✖")+(LEFT($DJ63,1)="✖")+(LEFT($EB63,1)="✖"))&gt;0,"✖ "&amp;((LEFT($AP63,1)="✖")+(LEFT($BH63,1)="✖")+(LEFT($BZ63,1)="✖")+(LEFT($CR63,1)="✖")+(LEFT($DJ63,1)="✖")+(LEFT($EB63,1)="✖"))&amp;" species saturated - see the species checks",IF(MIN($G63,$H63)&lt;8*$T63,"⚠ box too small laterally (&lt; 8·wr)",IF(AND($I63&gt;0,$I63&lt;3*$U63),"⚠ box too small axially (&lt; 3·wz)",IF($EI63&gt;8,"⚠ &gt; 8 GB per file: shorten the duration and use several files",IF(((LEFT($AP63,1)="⚠")+(LEFT($BH63,1)="⚠")+(LEFT($BZ63,1)="⚠")+(LEFT($CR63,1)="⚠")+(LEFT($DJ63,1)="⚠")+(LEFT($EB63,1)="⚠"))&gt;0,"⚠ "&amp;((LEFT($AP63,1)="⚠")+(LEFT($BH63,1)="⚠")+(LEFT($BZ63,1)="⚠")+(LEFT($CR63,1)="⚠")+(LEFT($DJ63,1)="⚠")+(LEFT($EB63,1)="⚠"))&amp;" species with a warning","✔ OK")))))))</f>
        <v/>
      </c>
      <c r="EK63" s="25"/>
      <c r="EL63" s="25"/>
      <c r="EM63" s="25"/>
      <c r="EN63" s="25"/>
      <c r="EO63" s="25"/>
      <c r="EP63" s="25"/>
      <c r="EQ63" s="25"/>
      <c r="ER63" s="26"/>
    </row>
  </sheetData>
  <autoFilter ref="A3:ER63"/>
  <mergeCells count="13">
    <mergeCell ref="A1:F2"/>
    <mergeCell ref="G1:S2"/>
    <mergeCell ref="T1:U2"/>
    <mergeCell ref="V1:X2"/>
    <mergeCell ref="Y1:AP2"/>
    <mergeCell ref="AQ1:BH2"/>
    <mergeCell ref="BI1:BZ2"/>
    <mergeCell ref="CA1:CR2"/>
    <mergeCell ref="CS1:DJ2"/>
    <mergeCell ref="DK1:EB2"/>
    <mergeCell ref="EC1:EJ2"/>
    <mergeCell ref="EK1:EM2"/>
    <mergeCell ref="EN1:ER2"/>
  </mergeCells>
  <conditionalFormatting sqref="EJ4:EJ63">
    <cfRule type="expression" priority="2" aboveAverage="0" equalAverage="0" bottom="0" percent="0" rank="0" text="" dxfId="10">
      <formula>LEFT($EJ4,1)="✖"</formula>
    </cfRule>
    <cfRule type="expression" priority="3" aboveAverage="0" equalAverage="0" bottom="0" percent="0" rank="0" text="" dxfId="11">
      <formula>LEFT($EJ4,1)="⚠"</formula>
    </cfRule>
    <cfRule type="expression" priority="4" aboveAverage="0" equalAverage="0" bottom="0" percent="0" rank="0" text="" dxfId="12">
      <formula>LEFT($EJ4,1)="✔"</formula>
    </cfRule>
  </conditionalFormatting>
  <conditionalFormatting sqref="AP4:AP63">
    <cfRule type="expression" priority="5" aboveAverage="0" equalAverage="0" bottom="0" percent="0" rank="0" text="" dxfId="10">
      <formula>LEFT($AP4,1)="✖"</formula>
    </cfRule>
    <cfRule type="expression" priority="6" aboveAverage="0" equalAverage="0" bottom="0" percent="0" rank="0" text="" dxfId="11">
      <formula>LEFT($AP4,1)="⚠"</formula>
    </cfRule>
    <cfRule type="expression" priority="7" aboveAverage="0" equalAverage="0" bottom="0" percent="0" rank="0" text="" dxfId="12">
      <formula>LEFT($AP4,1)="✔"</formula>
    </cfRule>
  </conditionalFormatting>
  <conditionalFormatting sqref="BH4:BH63">
    <cfRule type="expression" priority="8" aboveAverage="0" equalAverage="0" bottom="0" percent="0" rank="0" text="" dxfId="10">
      <formula>LEFT($BH4,1)="✖"</formula>
    </cfRule>
    <cfRule type="expression" priority="9" aboveAverage="0" equalAverage="0" bottom="0" percent="0" rank="0" text="" dxfId="11">
      <formula>LEFT($BH4,1)="⚠"</formula>
    </cfRule>
    <cfRule type="expression" priority="10" aboveAverage="0" equalAverage="0" bottom="0" percent="0" rank="0" text="" dxfId="12">
      <formula>LEFT($BH4,1)="✔"</formula>
    </cfRule>
  </conditionalFormatting>
  <conditionalFormatting sqref="BZ4:BZ63">
    <cfRule type="expression" priority="11" aboveAverage="0" equalAverage="0" bottom="0" percent="0" rank="0" text="" dxfId="10">
      <formula>LEFT($BZ4,1)="✖"</formula>
    </cfRule>
    <cfRule type="expression" priority="12" aboveAverage="0" equalAverage="0" bottom="0" percent="0" rank="0" text="" dxfId="11">
      <formula>LEFT($BZ4,1)="⚠"</formula>
    </cfRule>
    <cfRule type="expression" priority="13" aboveAverage="0" equalAverage="0" bottom="0" percent="0" rank="0" text="" dxfId="12">
      <formula>LEFT($BZ4,1)="✔"</formula>
    </cfRule>
  </conditionalFormatting>
  <conditionalFormatting sqref="CR4:CR63">
    <cfRule type="expression" priority="14" aboveAverage="0" equalAverage="0" bottom="0" percent="0" rank="0" text="" dxfId="10">
      <formula>LEFT($CR4,1)="✖"</formula>
    </cfRule>
    <cfRule type="expression" priority="15" aboveAverage="0" equalAverage="0" bottom="0" percent="0" rank="0" text="" dxfId="11">
      <formula>LEFT($CR4,1)="⚠"</formula>
    </cfRule>
    <cfRule type="expression" priority="16" aboveAverage="0" equalAverage="0" bottom="0" percent="0" rank="0" text="" dxfId="12">
      <formula>LEFT($CR4,1)="✔"</formula>
    </cfRule>
  </conditionalFormatting>
  <conditionalFormatting sqref="DJ4:DJ63">
    <cfRule type="expression" priority="17" aboveAverage="0" equalAverage="0" bottom="0" percent="0" rank="0" text="" dxfId="10">
      <formula>LEFT($DJ4,1)="✖"</formula>
    </cfRule>
    <cfRule type="expression" priority="18" aboveAverage="0" equalAverage="0" bottom="0" percent="0" rank="0" text="" dxfId="11">
      <formula>LEFT($DJ4,1)="⚠"</formula>
    </cfRule>
    <cfRule type="expression" priority="19" aboveAverage="0" equalAverage="0" bottom="0" percent="0" rank="0" text="" dxfId="12">
      <formula>LEFT($DJ4,1)="✔"</formula>
    </cfRule>
  </conditionalFormatting>
  <conditionalFormatting sqref="EB4:EB63">
    <cfRule type="expression" priority="20" aboveAverage="0" equalAverage="0" bottom="0" percent="0" rank="0" text="" dxfId="10">
      <formula>LEFT($EB4,1)="✖"</formula>
    </cfRule>
    <cfRule type="expression" priority="21" aboveAverage="0" equalAverage="0" bottom="0" percent="0" rank="0" text="" dxfId="11">
      <formula>LEFT($EB4,1)="⚠"</formula>
    </cfRule>
    <cfRule type="expression" priority="22" aboveAverage="0" equalAverage="0" bottom="0" percent="0" rank="0" text="" dxfId="12">
      <formula>LEFT($EB4,1)="✔"</formula>
    </cfRule>
  </conditionalFormatting>
  <conditionalFormatting sqref="E4:E63">
    <cfRule type="expression" priority="23" aboveAverage="0" equalAverage="0" bottom="0" percent="0" rank="0" text="" dxfId="13">
      <formula>$E4="Done"</formula>
    </cfRule>
    <cfRule type="expression" priority="24" aboveAverage="0" equalAverage="0" bottom="0" percent="0" rank="0" text="" dxfId="14">
      <formula>$E4="Analysed"</formula>
    </cfRule>
    <cfRule type="expression" priority="25" aboveAverage="0" equalAverage="0" bottom="0" percent="0" rank="0" text="" dxfId="15">
      <formula>$E4="Running"</formula>
    </cfRule>
    <cfRule type="expression" priority="26" aboveAverage="0" equalAverage="0" bottom="0" percent="0" rank="0" text="" dxfId="16">
      <formula>$E4="Discarded"</formula>
    </cfRule>
  </conditionalFormatting>
  <dataValidations count="7">
    <dataValidation allowBlank="true" errorStyle="stop" operator="between" showDropDown="false" showErrorMessage="false" showInputMessage="false" sqref="E4:E63" type="list">
      <formula1>Lists!$A$2:$A$7</formula1>
      <formula2>0</formula2>
    </dataValidation>
    <dataValidation allowBlank="true" errorStyle="stop" operator="between" showDropDown="false" showErrorMessage="false" showInputMessage="false" sqref="N4:N63" type="list">
      <formula1>Lists!$B$2:$B$5</formula1>
      <formula2>0</formula2>
    </dataValidation>
    <dataValidation allowBlank="true" errorStyle="stop" operator="between" showDropDown="false" showErrorMessage="false" showInputMessage="false" sqref="P4:P63 R4:R63" type="list">
      <formula1>Lists!$C$2:$C$3</formula1>
      <formula2>0</formula2>
    </dataValidation>
    <dataValidation allowBlank="true" errorStyle="stop" operator="between" showDropDown="false" showErrorMessage="false" showInputMessage="false" sqref="EM4:EM63" type="list">
      <formula1>Lists!$E$2:$E$4</formula1>
      <formula2>0</formula2>
    </dataValidation>
    <dataValidation allowBlank="true" errorStyle="stop" operator="between" showDropDown="false" showErrorMessage="false" showInputMessage="false" sqref="AH4:AH63 AZ4:AZ63 BR4:BR63 CJ4:CJ63 DB4:DB63 DT4:DT63" type="list">
      <formula1>Lists!$D$2:$D$4</formula1>
      <formula2>0</formula2>
    </dataValidation>
    <dataValidation allowBlank="true" error="This planner handles 1-3 colours" errorStyle="stop" operator="between" showDropDown="false" showErrorMessage="false" showInputMessage="false" sqref="O4:O63" type="whole">
      <formula1>1</formula1>
      <formula2>3</formula2>
    </dataValidation>
    <dataValidation allowBlank="true" error="Must be &gt;= 0" errorStyle="stop" operator="greaterThanOrEqual" showDropDown="false" showErrorMessage="false" showInputMessage="false" sqref="Z4:AG63 AI4:AK63 AR4:AY63 BA4:BC63 BJ4:BQ63 BS4:BU63 CB4:CI63 CK4:CM63 CT4:DA63 DC4:DE63 DL4:DS63 DU4:DW6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146</v>
      </c>
      <c r="B1" s="0" t="s">
        <v>72</v>
      </c>
      <c r="C1" s="0" t="s">
        <v>235</v>
      </c>
      <c r="D1" s="0" t="s">
        <v>109</v>
      </c>
      <c r="E1" s="0" t="s">
        <v>128</v>
      </c>
    </row>
    <row r="2" customFormat="false" ht="15" hidden="false" customHeight="false" outlineLevel="0" collapsed="false">
      <c r="A2" s="0" t="s">
        <v>194</v>
      </c>
      <c r="B2" s="0" t="s">
        <v>74</v>
      </c>
      <c r="C2" s="0" t="s">
        <v>236</v>
      </c>
      <c r="D2" s="0" t="s">
        <v>111</v>
      </c>
      <c r="E2" s="0" t="s">
        <v>130</v>
      </c>
    </row>
    <row r="3" customFormat="false" ht="15" hidden="false" customHeight="false" outlineLevel="0" collapsed="false">
      <c r="A3" s="0" t="s">
        <v>205</v>
      </c>
      <c r="B3" s="0" t="s">
        <v>237</v>
      </c>
      <c r="C3" s="0" t="s">
        <v>195</v>
      </c>
      <c r="D3" s="0" t="s">
        <v>200</v>
      </c>
      <c r="E3" s="0" t="s">
        <v>238</v>
      </c>
    </row>
    <row r="4" customFormat="false" ht="15" hidden="false" customHeight="false" outlineLevel="0" collapsed="false">
      <c r="A4" s="0" t="s">
        <v>239</v>
      </c>
      <c r="B4" s="0" t="s">
        <v>240</v>
      </c>
      <c r="D4" s="0" t="s">
        <v>241</v>
      </c>
      <c r="E4" s="0" t="s">
        <v>242</v>
      </c>
    </row>
    <row r="5" customFormat="false" ht="15" hidden="false" customHeight="false" outlineLevel="0" collapsed="false">
      <c r="A5" s="0" t="s">
        <v>243</v>
      </c>
      <c r="B5" s="0" t="s">
        <v>244</v>
      </c>
    </row>
    <row r="6" customFormat="false" ht="15" hidden="false" customHeight="false" outlineLevel="0" collapsed="false">
      <c r="A6" s="0" t="s">
        <v>245</v>
      </c>
    </row>
    <row r="7" customFormat="false" ht="15" hidden="false" customHeight="false" outlineLevel="0" collapsed="false">
      <c r="A7" s="0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247</v>
      </c>
    </row>
    <row r="3" customFormat="false" ht="15" hidden="false" customHeight="false" outlineLevel="0" collapsed="false">
      <c r="B3" s="0" t="s">
        <v>248</v>
      </c>
      <c r="C3" s="0" t="s">
        <v>249</v>
      </c>
      <c r="D3" s="0" t="s">
        <v>250</v>
      </c>
      <c r="E3" s="0" t="s">
        <v>251</v>
      </c>
      <c r="F3" s="0" t="s">
        <v>252</v>
      </c>
      <c r="G3" s="0" t="s">
        <v>253</v>
      </c>
      <c r="H3" s="0" t="s">
        <v>254</v>
      </c>
      <c r="I3" s="0" t="s">
        <v>255</v>
      </c>
      <c r="J3" s="0" t="s">
        <v>256</v>
      </c>
      <c r="K3" s="0" t="s">
        <v>257</v>
      </c>
      <c r="L3" s="0" t="s">
        <v>258</v>
      </c>
      <c r="M3" s="0" t="s">
        <v>259</v>
      </c>
      <c r="N3" s="0" t="s">
        <v>260</v>
      </c>
      <c r="O3" s="0" t="s">
        <v>261</v>
      </c>
      <c r="P3" s="0" t="s">
        <v>262</v>
      </c>
      <c r="Q3" s="0" t="s">
        <v>263</v>
      </c>
      <c r="R3" s="0" t="s">
        <v>264</v>
      </c>
      <c r="S3" s="0" t="s">
        <v>265</v>
      </c>
      <c r="T3" s="0" t="s">
        <v>266</v>
      </c>
      <c r="U3" s="0" t="s">
        <v>267</v>
      </c>
      <c r="V3" s="0" t="s">
        <v>268</v>
      </c>
      <c r="W3" s="0" t="s">
        <v>269</v>
      </c>
      <c r="X3" s="0" t="s">
        <v>270</v>
      </c>
      <c r="Y3" s="0" t="s">
        <v>271</v>
      </c>
      <c r="Z3" s="0" t="s">
        <v>272</v>
      </c>
      <c r="AA3" s="0" t="s">
        <v>273</v>
      </c>
      <c r="AB3" s="0" t="s">
        <v>274</v>
      </c>
      <c r="AC3" s="0" t="s">
        <v>275</v>
      </c>
      <c r="AD3" s="0" t="s">
        <v>276</v>
      </c>
      <c r="AE3" s="0" t="s">
        <v>277</v>
      </c>
      <c r="AF3" s="0" t="s">
        <v>278</v>
      </c>
      <c r="AG3" s="0" t="s">
        <v>279</v>
      </c>
      <c r="AH3" s="0" t="s">
        <v>280</v>
      </c>
      <c r="AI3" s="0" t="s">
        <v>281</v>
      </c>
      <c r="AJ3" s="0" t="s">
        <v>282</v>
      </c>
      <c r="AK3" s="0" t="s">
        <v>283</v>
      </c>
    </row>
    <row r="4" customFormat="false" ht="15" hidden="false" customHeight="false" outlineLevel="0" collapsed="false">
      <c r="B4" s="0" t="n">
        <f aca="false">IF(OR(NOT(AND(Simulations!$A4&lt;&gt;"",OR(Simulations!$Y4&lt;&gt;"",N(Simulations!$AA4)&gt;0))),N(Simulations!$AB4)&lt;=0,N(Simulations!$AA4)&lt;=0,1&gt;N(Simulations!$O4)),0,IF(Simulations!$AB4&lt;Simulations!$J4,Simulations!$AA4/(Simulations!$G4*Simulations!$H4*IF(Simulations!$I4&gt;0,Simulations!$I4,1))*Simulations!$AB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B4/Simulations!$J4)^1.5+SQRT(LN(Simulations!$AB4/Simulations!$J4))+Simulations!$AB4/Simulations!$J4*SQRT(PI())/2*ERFC(SQRT(LN(Simulations!$AB4/Simulations!$J4)))),PI()*Simulations!$T4^2/2*(LN(Simulations!$AB4/Simulations!$J4)+1))))</f>
        <v>18.8995319348669</v>
      </c>
      <c r="C4" s="0" t="n">
        <f aca="false">IF(OR(NOT(AND(Simulations!$A4&lt;&gt;"",OR(Simulations!$Y4&lt;&gt;"",N(Simulations!$AA4)&gt;0))),N(Simulations!$AC4)&lt;=0,N(Simulations!$AA4)&lt;=0,2&gt;N(Simulations!$O4)),0,IF(Simulations!$AC4&lt;Simulations!$J4,Simulations!$AA4/(Simulations!$G4*Simulations!$H4*IF(Simulations!$I4&gt;0,Simulations!$I4,1))*Simulations!$AC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C4/Simulations!$J4)^1.5+SQRT(LN(Simulations!$AC4/Simulations!$J4))+Simulations!$AC4/Simulations!$J4*SQRT(PI())/2*ERFC(SQRT(LN(Simulations!$AC4/Simulations!$J4)))),PI()*Simulations!$T4^2/2*(LN(Simulations!$AC4/Simulations!$J4)+1))))</f>
        <v>13.2296723544068</v>
      </c>
      <c r="D4" s="0" t="n">
        <f aca="false">IF(OR(NOT(AND(Simulations!$A4&lt;&gt;"",OR(Simulations!$Y4&lt;&gt;"",N(Simulations!$AA4)&gt;0))),N(Simulations!$AD4)&lt;=0,N(Simulations!$AA4)&lt;=0,3&gt;N(Simulations!$O4)),0,IF(Simulations!$AD4&lt;Simulations!$J4,Simulations!$AA4/(Simulations!$G4*Simulations!$H4*IF(Simulations!$I4&gt;0,Simulations!$I4,1))*Simulations!$AD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D4/Simulations!$J4)^1.5+SQRT(LN(Simulations!$AD4/Simulations!$J4))+Simulations!$AD4/Simulations!$J4*SQRT(PI())/2*ERFC(SQRT(LN(Simulations!$AD4/Simulations!$J4)))),PI()*Simulations!$T4^2/2*(LN(Simulations!$AD4/Simulations!$J4)+1))))</f>
        <v>9.44976596743345</v>
      </c>
      <c r="E4" s="0" t="n">
        <f aca="false">IF(NOT(AND(Simulations!$A4&lt;&gt;"",OR(Simulations!$Y4&lt;&gt;"",N(Simulations!$AA4)&gt;0))),0,MAX(N(Simulations!$AB4),N(Simulations!$AC4),N(Simulations!$AD4))/Simulations!$J4)</f>
        <v>0.1</v>
      </c>
      <c r="F4" s="0" t="n">
        <f aca="false">IF(OR(NOT(AND(Simulations!$A4&lt;&gt;"",OR(Simulations!$Y4&lt;&gt;"",N(Simulations!$AA4)&gt;0))),N(Simulations!$Z4)&lt;=0),0,SQRT(2*Simulations!$Z4*1000000/(Simulations!$J4*1000))/Simulations!$T4)</f>
        <v>0.0418330013267038</v>
      </c>
      <c r="G4" s="0" t="n">
        <f aca="false">IF(AND(Simulations!$A4&lt;&gt;"",OR(Simulations!$Y4&lt;&gt;"",N(Simulations!$AA4)&gt;0)),1,0)</f>
        <v>1</v>
      </c>
      <c r="H4" s="0" t="n">
        <f aca="false">IF(OR(NOT(AND(Simulations!$A4&lt;&gt;"",OR(Simulations!$AQ4&lt;&gt;"",N(Simulations!$AS4)&gt;0))),N(Simulations!$AT4)&lt;=0,N(Simulations!$AS4)&lt;=0,1&gt;N(Simulations!$O4)),0,IF(Simulations!$AT4&lt;Simulations!$J4,Simulations!$AS4/(Simulations!$G4*Simulations!$H4*IF(Simulations!$I4&gt;0,Simulations!$I4,1))*Simulations!$AT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T4/Simulations!$J4)^1.5+SQRT(LN(Simulations!$AT4/Simulations!$J4))+Simulations!$AT4/Simulations!$J4*SQRT(PI())/2*ERFC(SQRT(LN(Simulations!$AT4/Simulations!$J4)))),PI()*Simulations!$T4^2/2*(LN(Simulations!$AT4/Simulations!$J4)+1))))</f>
        <v>12.5996879565779</v>
      </c>
      <c r="I4" s="0" t="n">
        <f aca="false">IF(OR(NOT(AND(Simulations!$A4&lt;&gt;"",OR(Simulations!$AQ4&lt;&gt;"",N(Simulations!$AS4)&gt;0))),N(Simulations!$AU4)&lt;=0,N(Simulations!$AS4)&lt;=0,2&gt;N(Simulations!$O4)),0,IF(Simulations!$AU4&lt;Simulations!$J4,Simulations!$AS4/(Simulations!$G4*Simulations!$H4*IF(Simulations!$I4&gt;0,Simulations!$I4,1))*Simulations!$AU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U4/Simulations!$J4)^1.5+SQRT(LN(Simulations!$AU4/Simulations!$J4))+Simulations!$AU4/Simulations!$J4*SQRT(PI())/2*ERFC(SQRT(LN(Simulations!$AU4/Simulations!$J4)))),PI()*Simulations!$T4^2/2*(LN(Simulations!$AU4/Simulations!$J4)+1))))</f>
        <v>8.81978156960456</v>
      </c>
      <c r="J4" s="0" t="n">
        <f aca="false">IF(OR(NOT(AND(Simulations!$A4&lt;&gt;"",OR(Simulations!$AQ4&lt;&gt;"",N(Simulations!$AS4)&gt;0))),N(Simulations!$AV4)&lt;=0,N(Simulations!$AS4)&lt;=0,3&gt;N(Simulations!$O4)),0,IF(Simulations!$AV4&lt;Simulations!$J4,Simulations!$AS4/(Simulations!$G4*Simulations!$H4*IF(Simulations!$I4&gt;0,Simulations!$I4,1))*Simulations!$AV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V4/Simulations!$J4)^1.5+SQRT(LN(Simulations!$AV4/Simulations!$J4))+Simulations!$AV4/Simulations!$J4*SQRT(PI())/2*ERFC(SQRT(LN(Simulations!$AV4/Simulations!$J4)))),PI()*Simulations!$T4^2/2*(LN(Simulations!$AV4/Simulations!$J4)+1))))</f>
        <v>0</v>
      </c>
      <c r="K4" s="0" t="n">
        <f aca="false">IF(NOT(AND(Simulations!$A4&lt;&gt;"",OR(Simulations!$AQ4&lt;&gt;"",N(Simulations!$AS4)&gt;0))),0,MAX(N(Simulations!$AT4),N(Simulations!$AU4),N(Simulations!$AV4))/Simulations!$J4)</f>
        <v>0.1</v>
      </c>
      <c r="L4" s="0" t="n">
        <f aca="false">IF(OR(NOT(AND(Simulations!$A4&lt;&gt;"",OR(Simulations!$AQ4&lt;&gt;"",N(Simulations!$AS4)&gt;0))),N(Simulations!$AR4)&lt;=0),0,SQRT(2*Simulations!$AR4*1000000/(Simulations!$J4*1000))/Simulations!$T4)</f>
        <v>0.0418330013267038</v>
      </c>
      <c r="M4" s="0" t="n">
        <f aca="false">IF(AND(Simulations!$A4&lt;&gt;"",OR(Simulations!$AQ4&lt;&gt;"",N(Simulations!$AS4)&gt;0)),1,0)</f>
        <v>1</v>
      </c>
      <c r="N4" s="0" t="n">
        <f aca="false">IF(OR(NOT(AND(Simulations!$A4&lt;&gt;"",OR(Simulations!$BI4&lt;&gt;"",N(Simulations!$BK4)&gt;0))),N(Simulations!$BL4)&lt;=0,N(Simulations!$BK4)&lt;=0,1&gt;N(Simulations!$O4)),0,IF(Simulations!$BL4&lt;Simulations!$J4,Simulations!$BK4/(Simulations!$G4*Simulations!$H4*IF(Simulations!$I4&gt;0,Simulations!$I4,1))*Simulations!$BL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L4/Simulations!$J4)^1.5+SQRT(LN(Simulations!$BL4/Simulations!$J4))+Simulations!$BL4/Simulations!$J4*SQRT(PI())/2*ERFC(SQRT(LN(Simulations!$BL4/Simulations!$J4)))),PI()*Simulations!$T4^2/2*(LN(Simulations!$BL4/Simulations!$J4)+1))))</f>
        <v>0</v>
      </c>
      <c r="O4" s="0" t="n">
        <f aca="false">IF(OR(NOT(AND(Simulations!$A4&lt;&gt;"",OR(Simulations!$BI4&lt;&gt;"",N(Simulations!$BK4)&gt;0))),N(Simulations!$BM4)&lt;=0,N(Simulations!$BK4)&lt;=0,2&gt;N(Simulations!$O4)),0,IF(Simulations!$BM4&lt;Simulations!$J4,Simulations!$BK4/(Simulations!$G4*Simulations!$H4*IF(Simulations!$I4&gt;0,Simulations!$I4,1))*Simulations!$BM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M4/Simulations!$J4)^1.5+SQRT(LN(Simulations!$BM4/Simulations!$J4))+Simulations!$BM4/Simulations!$J4*SQRT(PI())/2*ERFC(SQRT(LN(Simulations!$BM4/Simulations!$J4)))),PI()*Simulations!$T4^2/2*(LN(Simulations!$BM4/Simulations!$J4)+1))))</f>
        <v>8.81978156960456</v>
      </c>
      <c r="P4" s="0" t="n">
        <f aca="false">IF(OR(NOT(AND(Simulations!$A4&lt;&gt;"",OR(Simulations!$BI4&lt;&gt;"",N(Simulations!$BK4)&gt;0))),N(Simulations!$BN4)&lt;=0,N(Simulations!$BK4)&lt;=0,3&gt;N(Simulations!$O4)),0,IF(Simulations!$BN4&lt;Simulations!$J4,Simulations!$BK4/(Simulations!$G4*Simulations!$H4*IF(Simulations!$I4&gt;0,Simulations!$I4,1))*Simulations!$BN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N4/Simulations!$J4)^1.5+SQRT(LN(Simulations!$BN4/Simulations!$J4))+Simulations!$BN4/Simulations!$J4*SQRT(PI())/2*ERFC(SQRT(LN(Simulations!$BN4/Simulations!$J4)))),PI()*Simulations!$T4^2/2*(LN(Simulations!$BN4/Simulations!$J4)+1))))</f>
        <v>6.29984397828897</v>
      </c>
      <c r="Q4" s="0" t="n">
        <f aca="false">IF(NOT(AND(Simulations!$A4&lt;&gt;"",OR(Simulations!$BI4&lt;&gt;"",N(Simulations!$BK4)&gt;0))),0,MAX(N(Simulations!$BL4),N(Simulations!$BM4),N(Simulations!$BN4))/Simulations!$J4)</f>
        <v>0.07</v>
      </c>
      <c r="R4" s="0" t="n">
        <f aca="false">IF(OR(NOT(AND(Simulations!$A4&lt;&gt;"",OR(Simulations!$BI4&lt;&gt;"",N(Simulations!$BK4)&gt;0))),N(Simulations!$BJ4)&lt;=0),0,SQRT(2*Simulations!$BJ4*1000000/(Simulations!$J4*1000))/Simulations!$T4)</f>
        <v>0.0418330013267038</v>
      </c>
      <c r="S4" s="0" t="n">
        <f aca="false">IF(AND(Simulations!$A4&lt;&gt;"",OR(Simulations!$BI4&lt;&gt;"",N(Simulations!$BK4)&gt;0)),1,0)</f>
        <v>1</v>
      </c>
      <c r="T4" s="0" t="n">
        <f aca="false">IF(OR(NOT(AND(Simulations!$A4&lt;&gt;"",OR(Simulations!$CA4&lt;&gt;"",N(Simulations!$CC4)&gt;0))),N(Simulations!$CD4)&lt;=0,N(Simulations!$CC4)&lt;=0,1&gt;N(Simulations!$O4)),0,IF(Simulations!$CD4&lt;Simulations!$J4,Simulations!$CC4/(Simulations!$G4*Simulations!$H4*IF(Simulations!$I4&gt;0,Simulations!$I4,1))*Simulations!$CD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D4/Simulations!$J4)^1.5+SQRT(LN(Simulations!$CD4/Simulations!$J4))+Simulations!$CD4/Simulations!$J4*SQRT(PI())/2*ERFC(SQRT(LN(Simulations!$CD4/Simulations!$J4)))),PI()*Simulations!$T4^2/2*(LN(Simulations!$CD4/Simulations!$J4)+1))))</f>
        <v>6.29984397828897</v>
      </c>
      <c r="U4" s="0" t="n">
        <f aca="false">IF(OR(NOT(AND(Simulations!$A4&lt;&gt;"",OR(Simulations!$CA4&lt;&gt;"",N(Simulations!$CC4)&gt;0))),N(Simulations!$CE4)&lt;=0,N(Simulations!$CC4)&lt;=0,2&gt;N(Simulations!$O4)),0,IF(Simulations!$CE4&lt;Simulations!$J4,Simulations!$CC4/(Simulations!$G4*Simulations!$H4*IF(Simulations!$I4&gt;0,Simulations!$I4,1))*Simulations!$CE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E4/Simulations!$J4)^1.5+SQRT(LN(Simulations!$CE4/Simulations!$J4))+Simulations!$CE4/Simulations!$J4*SQRT(PI())/2*ERFC(SQRT(LN(Simulations!$CE4/Simulations!$J4)))),PI()*Simulations!$T4^2/2*(LN(Simulations!$CE4/Simulations!$J4)+1))))</f>
        <v>4.40989078480228</v>
      </c>
      <c r="V4" s="0" t="n">
        <f aca="false">IF(OR(NOT(AND(Simulations!$A4&lt;&gt;"",OR(Simulations!$CA4&lt;&gt;"",N(Simulations!$CC4)&gt;0))),N(Simulations!$CF4)&lt;=0,N(Simulations!$CC4)&lt;=0,3&gt;N(Simulations!$O4)),0,IF(Simulations!$CF4&lt;Simulations!$J4,Simulations!$CC4/(Simulations!$G4*Simulations!$H4*IF(Simulations!$I4&gt;0,Simulations!$I4,1))*Simulations!$CF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F4/Simulations!$J4)^1.5+SQRT(LN(Simulations!$CF4/Simulations!$J4))+Simulations!$CF4/Simulations!$J4*SQRT(PI())/2*ERFC(SQRT(LN(Simulations!$CF4/Simulations!$J4)))),PI()*Simulations!$T4^2/2*(LN(Simulations!$CF4/Simulations!$J4)+1))))</f>
        <v>0</v>
      </c>
      <c r="W4" s="0" t="n">
        <f aca="false">IF(NOT(AND(Simulations!$A4&lt;&gt;"",OR(Simulations!$CA4&lt;&gt;"",N(Simulations!$CC4)&gt;0))),0,MAX(N(Simulations!$CD4),N(Simulations!$CE4),N(Simulations!$CF4))/Simulations!$J4)</f>
        <v>0.1</v>
      </c>
      <c r="X4" s="0" t="n">
        <f aca="false">IF(OR(NOT(AND(Simulations!$A4&lt;&gt;"",OR(Simulations!$CA4&lt;&gt;"",N(Simulations!$CC4)&gt;0))),N(Simulations!$CB4)&lt;=0),0,SQRT(2*Simulations!$CB4*1000000/(Simulations!$J4*1000))/Simulations!$T4)</f>
        <v>0.05</v>
      </c>
      <c r="Y4" s="0" t="n">
        <f aca="false">IF(AND(Simulations!$A4&lt;&gt;"",OR(Simulations!$CA4&lt;&gt;"",N(Simulations!$CC4)&gt;0)),1,0)</f>
        <v>1</v>
      </c>
      <c r="Z4" s="0" t="n">
        <f aca="false">IF(OR(NOT(AND(Simulations!$A4&lt;&gt;"",OR(Simulations!$CS4&lt;&gt;"",N(Simulations!$CU4)&gt;0))),N(Simulations!$CV4)&lt;=0,N(Simulations!$CU4)&lt;=0,1&gt;N(Simulations!$O4)),0,IF(Simulations!$CV4&lt;Simulations!$J4,Simulations!$CU4/(Simulations!$G4*Simulations!$H4*IF(Simulations!$I4&gt;0,Simulations!$I4,1))*Simulations!$CV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V4/Simulations!$J4)^1.5+SQRT(LN(Simulations!$CV4/Simulations!$J4))+Simulations!$CV4/Simulations!$J4*SQRT(PI())/2*ERFC(SQRT(LN(Simulations!$CV4/Simulations!$J4)))),PI()*Simulations!$T4^2/2*(LN(Simulations!$CV4/Simulations!$J4)+1))))</f>
        <v>0</v>
      </c>
      <c r="AA4" s="0" t="n">
        <f aca="false">IF(OR(NOT(AND(Simulations!$A4&lt;&gt;"",OR(Simulations!$CS4&lt;&gt;"",N(Simulations!$CU4)&gt;0))),N(Simulations!$CW4)&lt;=0,N(Simulations!$CU4)&lt;=0,2&gt;N(Simulations!$O4)),0,IF(Simulations!$CW4&lt;Simulations!$J4,Simulations!$CU4/(Simulations!$G4*Simulations!$H4*IF(Simulations!$I4&gt;0,Simulations!$I4,1))*Simulations!$CW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W4/Simulations!$J4)^1.5+SQRT(LN(Simulations!$CW4/Simulations!$J4))+Simulations!$CW4/Simulations!$J4*SQRT(PI())/2*ERFC(SQRT(LN(Simulations!$CW4/Simulations!$J4)))),PI()*Simulations!$T4^2/2*(LN(Simulations!$CW4/Simulations!$J4)+1))))</f>
        <v>0</v>
      </c>
      <c r="AB4" s="0" t="n">
        <f aca="false">IF(OR(NOT(AND(Simulations!$A4&lt;&gt;"",OR(Simulations!$CS4&lt;&gt;"",N(Simulations!$CU4)&gt;0))),N(Simulations!$CX4)&lt;=0,N(Simulations!$CU4)&lt;=0,3&gt;N(Simulations!$O4)),0,IF(Simulations!$CX4&lt;Simulations!$J4,Simulations!$CU4/(Simulations!$G4*Simulations!$H4*IF(Simulations!$I4&gt;0,Simulations!$I4,1))*Simulations!$CX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X4/Simulations!$J4)^1.5+SQRT(LN(Simulations!$CX4/Simulations!$J4))+Simulations!$CX4/Simulations!$J4*SQRT(PI())/2*ERFC(SQRT(LN(Simulations!$CX4/Simulations!$J4)))),PI()*Simulations!$T4^2/2*(LN(Simulations!$CX4/Simulations!$J4)+1))))</f>
        <v>0</v>
      </c>
      <c r="AC4" s="0" t="n">
        <f aca="false">IF(NOT(AND(Simulations!$A4&lt;&gt;"",OR(Simulations!$CS4&lt;&gt;"",N(Simulations!$CU4)&gt;0))),0,MAX(N(Simulations!$CV4),N(Simulations!$CW4),N(Simulations!$CX4))/Simulations!$J4)</f>
        <v>0</v>
      </c>
      <c r="AD4" s="0" t="n">
        <f aca="false">IF(OR(NOT(AND(Simulations!$A4&lt;&gt;"",OR(Simulations!$CS4&lt;&gt;"",N(Simulations!$CU4)&gt;0))),N(Simulations!$CT4)&lt;=0),0,SQRT(2*Simulations!$CT4*1000000/(Simulations!$J4*1000))/Simulations!$T4)</f>
        <v>0</v>
      </c>
      <c r="AE4" s="0" t="n">
        <f aca="false">IF(AND(Simulations!$A4&lt;&gt;"",OR(Simulations!$CS4&lt;&gt;"",N(Simulations!$CU4)&gt;0)),1,0)</f>
        <v>0</v>
      </c>
      <c r="AF4" s="0" t="n">
        <f aca="false">IF(OR(NOT(AND(Simulations!$A4&lt;&gt;"",OR(Simulations!$DK4&lt;&gt;"",N(Simulations!$DM4)&gt;0))),N(Simulations!$DN4)&lt;=0,N(Simulations!$DM4)&lt;=0,1&gt;N(Simulations!$O4)),0,IF(Simulations!$DN4&lt;Simulations!$J4,Simulations!$DM4/(Simulations!$G4*Simulations!$H4*IF(Simulations!$I4&gt;0,Simulations!$I4,1))*Simulations!$DN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N4/Simulations!$J4)^1.5+SQRT(LN(Simulations!$DN4/Simulations!$J4))+Simulations!$DN4/Simulations!$J4*SQRT(PI())/2*ERFC(SQRT(LN(Simulations!$DN4/Simulations!$J4)))),PI()*Simulations!$T4^2/2*(LN(Simulations!$DN4/Simulations!$J4)+1))))</f>
        <v>0</v>
      </c>
      <c r="AG4" s="0" t="n">
        <f aca="false">IF(OR(NOT(AND(Simulations!$A4&lt;&gt;"",OR(Simulations!$DK4&lt;&gt;"",N(Simulations!$DM4)&gt;0))),N(Simulations!$DO4)&lt;=0,N(Simulations!$DM4)&lt;=0,2&gt;N(Simulations!$O4)),0,IF(Simulations!$DO4&lt;Simulations!$J4,Simulations!$DM4/(Simulations!$G4*Simulations!$H4*IF(Simulations!$I4&gt;0,Simulations!$I4,1))*Simulations!$DO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O4/Simulations!$J4)^1.5+SQRT(LN(Simulations!$DO4/Simulations!$J4))+Simulations!$DO4/Simulations!$J4*SQRT(PI())/2*ERFC(SQRT(LN(Simulations!$DO4/Simulations!$J4)))),PI()*Simulations!$T4^2/2*(LN(Simulations!$DO4/Simulations!$J4)+1))))</f>
        <v>0</v>
      </c>
      <c r="AH4" s="0" t="n">
        <f aca="false">IF(OR(NOT(AND(Simulations!$A4&lt;&gt;"",OR(Simulations!$DK4&lt;&gt;"",N(Simulations!$DM4)&gt;0))),N(Simulations!$DP4)&lt;=0,N(Simulations!$DM4)&lt;=0,3&gt;N(Simulations!$O4)),0,IF(Simulations!$DP4&lt;Simulations!$J4,Simulations!$DM4/(Simulations!$G4*Simulations!$H4*IF(Simulations!$I4&gt;0,Simulations!$I4,1))*Simulations!$DP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P4/Simulations!$J4)^1.5+SQRT(LN(Simulations!$DP4/Simulations!$J4))+Simulations!$DP4/Simulations!$J4*SQRT(PI())/2*ERFC(SQRT(LN(Simulations!$DP4/Simulations!$J4)))),PI()*Simulations!$T4^2/2*(LN(Simulations!$DP4/Simulations!$J4)+1))))</f>
        <v>0</v>
      </c>
      <c r="AI4" s="0" t="n">
        <f aca="false">IF(NOT(AND(Simulations!$A4&lt;&gt;"",OR(Simulations!$DK4&lt;&gt;"",N(Simulations!$DM4)&gt;0))),0,MAX(N(Simulations!$DN4),N(Simulations!$DO4),N(Simulations!$DP4))/Simulations!$J4)</f>
        <v>0</v>
      </c>
      <c r="AJ4" s="0" t="n">
        <f aca="false">IF(OR(NOT(AND(Simulations!$A4&lt;&gt;"",OR(Simulations!$DK4&lt;&gt;"",N(Simulations!$DM4)&gt;0))),N(Simulations!$DL4)&lt;=0),0,SQRT(2*Simulations!$DL4*1000000/(Simulations!$J4*1000))/Simulations!$T4)</f>
        <v>0</v>
      </c>
      <c r="AK4" s="0" t="n">
        <f aca="false">IF(AND(Simulations!$A4&lt;&gt;"",OR(Simulations!$DK4&lt;&gt;"",N(Simulations!$DM4)&gt;0)),1,0)</f>
        <v>0</v>
      </c>
    </row>
    <row r="5" customFormat="false" ht="15" hidden="false" customHeight="false" outlineLevel="0" collapsed="false">
      <c r="B5" s="0" t="n">
        <f aca="false">IF(OR(NOT(AND(Simulations!$A5&lt;&gt;"",OR(Simulations!$Y5&lt;&gt;"",N(Simulations!$AA5)&gt;0))),N(Simulations!$AB5)&lt;=0,N(Simulations!$AA5)&lt;=0,1&gt;N(Simulations!$O5)),0,IF(Simulations!$AB5&lt;Simulations!$J5,Simulations!$AA5/(Simulations!$G5*Simulations!$H5*IF(Simulations!$I5&gt;0,Simulations!$I5,1))*Simulations!$AB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B5/Simulations!$J5)^1.5+SQRT(LN(Simulations!$AB5/Simulations!$J5))+Simulations!$AB5/Simulations!$J5*SQRT(PI())/2*ERFC(SQRT(LN(Simulations!$AB5/Simulations!$J5)))),PI()*Simulations!$T5^2/2*(LN(Simulations!$AB5/Simulations!$J5)+1))))</f>
        <v>25.1993759131559</v>
      </c>
      <c r="C5" s="0" t="n">
        <f aca="false">IF(OR(NOT(AND(Simulations!$A5&lt;&gt;"",OR(Simulations!$Y5&lt;&gt;"",N(Simulations!$AA5)&gt;0))),N(Simulations!$AC5)&lt;=0,N(Simulations!$AA5)&lt;=0,2&gt;N(Simulations!$O5)),0,IF(Simulations!$AC5&lt;Simulations!$J5,Simulations!$AA5/(Simulations!$G5*Simulations!$H5*IF(Simulations!$I5&gt;0,Simulations!$I5,1))*Simulations!$AC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C5/Simulations!$J5)^1.5+SQRT(LN(Simulations!$AC5/Simulations!$J5))+Simulations!$AC5/Simulations!$J5*SQRT(PI())/2*ERFC(SQRT(LN(Simulations!$AC5/Simulations!$J5)))),PI()*Simulations!$T5^2/2*(LN(Simulations!$AC5/Simulations!$J5)+1))))</f>
        <v>25.1993759131559</v>
      </c>
      <c r="D5" s="0" t="n">
        <f aca="false">IF(OR(NOT(AND(Simulations!$A5&lt;&gt;"",OR(Simulations!$Y5&lt;&gt;"",N(Simulations!$AA5)&gt;0))),N(Simulations!$AD5)&lt;=0,N(Simulations!$AA5)&lt;=0,3&gt;N(Simulations!$O5)),0,IF(Simulations!$AD5&lt;Simulations!$J5,Simulations!$AA5/(Simulations!$G5*Simulations!$H5*IF(Simulations!$I5&gt;0,Simulations!$I5,1))*Simulations!$AD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D5/Simulations!$J5)^1.5+SQRT(LN(Simulations!$AD5/Simulations!$J5))+Simulations!$AD5/Simulations!$J5*SQRT(PI())/2*ERFC(SQRT(LN(Simulations!$AD5/Simulations!$J5)))),PI()*Simulations!$T5^2/2*(LN(Simulations!$AD5/Simulations!$J5)+1))))</f>
        <v>25.1993759131559</v>
      </c>
      <c r="E5" s="0" t="n">
        <f aca="false">IF(NOT(AND(Simulations!$A5&lt;&gt;"",OR(Simulations!$Y5&lt;&gt;"",N(Simulations!$AA5)&gt;0))),0,MAX(N(Simulations!$AB5),N(Simulations!$AC5),N(Simulations!$AD5))/Simulations!$J5)</f>
        <v>0.05</v>
      </c>
      <c r="F5" s="0" t="n">
        <f aca="false">IF(OR(NOT(AND(Simulations!$A5&lt;&gt;"",OR(Simulations!$Y5&lt;&gt;"",N(Simulations!$AA5)&gt;0))),N(Simulations!$Z5)&lt;=0),0,SQRT(2*Simulations!$Z5*1000000/(Simulations!$J5*1000))/Simulations!$T5)</f>
        <v>0.0273861278752583</v>
      </c>
      <c r="G5" s="0" t="n">
        <f aca="false">IF(AND(Simulations!$A5&lt;&gt;"",OR(Simulations!$Y5&lt;&gt;"",N(Simulations!$AA5)&gt;0)),1,0)</f>
        <v>1</v>
      </c>
      <c r="H5" s="0" t="n">
        <f aca="false">IF(OR(NOT(AND(Simulations!$A5&lt;&gt;"",OR(Simulations!$AQ5&lt;&gt;"",N(Simulations!$AS5)&gt;0))),N(Simulations!$AT5)&lt;=0,N(Simulations!$AS5)&lt;=0,1&gt;N(Simulations!$O5)),0,IF(Simulations!$AT5&lt;Simulations!$J5,Simulations!$AS5/(Simulations!$G5*Simulations!$H5*IF(Simulations!$I5&gt;0,Simulations!$I5,1))*Simulations!$AT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T5/Simulations!$J5)^1.5+SQRT(LN(Simulations!$AT5/Simulations!$J5))+Simulations!$AT5/Simulations!$J5*SQRT(PI())/2*ERFC(SQRT(LN(Simulations!$AT5/Simulations!$J5)))),PI()*Simulations!$T5^2/2*(LN(Simulations!$AT5/Simulations!$J5)+1))))</f>
        <v>0</v>
      </c>
      <c r="I5" s="0" t="n">
        <f aca="false">IF(OR(NOT(AND(Simulations!$A5&lt;&gt;"",OR(Simulations!$AQ5&lt;&gt;"",N(Simulations!$AS5)&gt;0))),N(Simulations!$AU5)&lt;=0,N(Simulations!$AS5)&lt;=0,2&gt;N(Simulations!$O5)),0,IF(Simulations!$AU5&lt;Simulations!$J5,Simulations!$AS5/(Simulations!$G5*Simulations!$H5*IF(Simulations!$I5&gt;0,Simulations!$I5,1))*Simulations!$AU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U5/Simulations!$J5)^1.5+SQRT(LN(Simulations!$AU5/Simulations!$J5))+Simulations!$AU5/Simulations!$J5*SQRT(PI())/2*ERFC(SQRT(LN(Simulations!$AU5/Simulations!$J5)))),PI()*Simulations!$T5^2/2*(LN(Simulations!$AU5/Simulations!$J5)+1))))</f>
        <v>0</v>
      </c>
      <c r="J5" s="0" t="n">
        <f aca="false">IF(OR(NOT(AND(Simulations!$A5&lt;&gt;"",OR(Simulations!$AQ5&lt;&gt;"",N(Simulations!$AS5)&gt;0))),N(Simulations!$AV5)&lt;=0,N(Simulations!$AS5)&lt;=0,3&gt;N(Simulations!$O5)),0,IF(Simulations!$AV5&lt;Simulations!$J5,Simulations!$AS5/(Simulations!$G5*Simulations!$H5*IF(Simulations!$I5&gt;0,Simulations!$I5,1))*Simulations!$AV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V5/Simulations!$J5)^1.5+SQRT(LN(Simulations!$AV5/Simulations!$J5))+Simulations!$AV5/Simulations!$J5*SQRT(PI())/2*ERFC(SQRT(LN(Simulations!$AV5/Simulations!$J5)))),PI()*Simulations!$T5^2/2*(LN(Simulations!$AV5/Simulations!$J5)+1))))</f>
        <v>0</v>
      </c>
      <c r="K5" s="0" t="n">
        <f aca="false">IF(NOT(AND(Simulations!$A5&lt;&gt;"",OR(Simulations!$AQ5&lt;&gt;"",N(Simulations!$AS5)&gt;0))),0,MAX(N(Simulations!$AT5),N(Simulations!$AU5),N(Simulations!$AV5))/Simulations!$J5)</f>
        <v>0</v>
      </c>
      <c r="L5" s="0" t="n">
        <f aca="false">IF(OR(NOT(AND(Simulations!$A5&lt;&gt;"",OR(Simulations!$AQ5&lt;&gt;"",N(Simulations!$AS5)&gt;0))),N(Simulations!$AR5)&lt;=0),0,SQRT(2*Simulations!$AR5*1000000/(Simulations!$J5*1000))/Simulations!$T5)</f>
        <v>0</v>
      </c>
      <c r="M5" s="0" t="n">
        <f aca="false">IF(AND(Simulations!$A5&lt;&gt;"",OR(Simulations!$AQ5&lt;&gt;"",N(Simulations!$AS5)&gt;0)),1,0)</f>
        <v>0</v>
      </c>
      <c r="N5" s="0" t="n">
        <f aca="false">IF(OR(NOT(AND(Simulations!$A5&lt;&gt;"",OR(Simulations!$BI5&lt;&gt;"",N(Simulations!$BK5)&gt;0))),N(Simulations!$BL5)&lt;=0,N(Simulations!$BK5)&lt;=0,1&gt;N(Simulations!$O5)),0,IF(Simulations!$BL5&lt;Simulations!$J5,Simulations!$BK5/(Simulations!$G5*Simulations!$H5*IF(Simulations!$I5&gt;0,Simulations!$I5,1))*Simulations!$BL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L5/Simulations!$J5)^1.5+SQRT(LN(Simulations!$BL5/Simulations!$J5))+Simulations!$BL5/Simulations!$J5*SQRT(PI())/2*ERFC(SQRT(LN(Simulations!$BL5/Simulations!$J5)))),PI()*Simulations!$T5^2/2*(LN(Simulations!$BL5/Simulations!$J5)+1))))</f>
        <v>0</v>
      </c>
      <c r="O5" s="0" t="n">
        <f aca="false">IF(OR(NOT(AND(Simulations!$A5&lt;&gt;"",OR(Simulations!$BI5&lt;&gt;"",N(Simulations!$BK5)&gt;0))),N(Simulations!$BM5)&lt;=0,N(Simulations!$BK5)&lt;=0,2&gt;N(Simulations!$O5)),0,IF(Simulations!$BM5&lt;Simulations!$J5,Simulations!$BK5/(Simulations!$G5*Simulations!$H5*IF(Simulations!$I5&gt;0,Simulations!$I5,1))*Simulations!$BM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M5/Simulations!$J5)^1.5+SQRT(LN(Simulations!$BM5/Simulations!$J5))+Simulations!$BM5/Simulations!$J5*SQRT(PI())/2*ERFC(SQRT(LN(Simulations!$BM5/Simulations!$J5)))),PI()*Simulations!$T5^2/2*(LN(Simulations!$BM5/Simulations!$J5)+1))))</f>
        <v>0</v>
      </c>
      <c r="P5" s="0" t="n">
        <f aca="false">IF(OR(NOT(AND(Simulations!$A5&lt;&gt;"",OR(Simulations!$BI5&lt;&gt;"",N(Simulations!$BK5)&gt;0))),N(Simulations!$BN5)&lt;=0,N(Simulations!$BK5)&lt;=0,3&gt;N(Simulations!$O5)),0,IF(Simulations!$BN5&lt;Simulations!$J5,Simulations!$BK5/(Simulations!$G5*Simulations!$H5*IF(Simulations!$I5&gt;0,Simulations!$I5,1))*Simulations!$BN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N5/Simulations!$J5)^1.5+SQRT(LN(Simulations!$BN5/Simulations!$J5))+Simulations!$BN5/Simulations!$J5*SQRT(PI())/2*ERFC(SQRT(LN(Simulations!$BN5/Simulations!$J5)))),PI()*Simulations!$T5^2/2*(LN(Simulations!$BN5/Simulations!$J5)+1))))</f>
        <v>0</v>
      </c>
      <c r="Q5" s="0" t="n">
        <f aca="false">IF(NOT(AND(Simulations!$A5&lt;&gt;"",OR(Simulations!$BI5&lt;&gt;"",N(Simulations!$BK5)&gt;0))),0,MAX(N(Simulations!$BL5),N(Simulations!$BM5),N(Simulations!$BN5))/Simulations!$J5)</f>
        <v>0</v>
      </c>
      <c r="R5" s="0" t="n">
        <f aca="false">IF(OR(NOT(AND(Simulations!$A5&lt;&gt;"",OR(Simulations!$BI5&lt;&gt;"",N(Simulations!$BK5)&gt;0))),N(Simulations!$BJ5)&lt;=0),0,SQRT(2*Simulations!$BJ5*1000000/(Simulations!$J5*1000))/Simulations!$T5)</f>
        <v>0</v>
      </c>
      <c r="S5" s="0" t="n">
        <f aca="false">IF(AND(Simulations!$A5&lt;&gt;"",OR(Simulations!$BI5&lt;&gt;"",N(Simulations!$BK5)&gt;0)),1,0)</f>
        <v>0</v>
      </c>
      <c r="T5" s="0" t="n">
        <f aca="false">IF(OR(NOT(AND(Simulations!$A5&lt;&gt;"",OR(Simulations!$CA5&lt;&gt;"",N(Simulations!$CC5)&gt;0))),N(Simulations!$CD5)&lt;=0,N(Simulations!$CC5)&lt;=0,1&gt;N(Simulations!$O5)),0,IF(Simulations!$CD5&lt;Simulations!$J5,Simulations!$CC5/(Simulations!$G5*Simulations!$H5*IF(Simulations!$I5&gt;0,Simulations!$I5,1))*Simulations!$CD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D5/Simulations!$J5)^1.5+SQRT(LN(Simulations!$CD5/Simulations!$J5))+Simulations!$CD5/Simulations!$J5*SQRT(PI())/2*ERFC(SQRT(LN(Simulations!$CD5/Simulations!$J5)))),PI()*Simulations!$T5^2/2*(LN(Simulations!$CD5/Simulations!$J5)+1))))</f>
        <v>0</v>
      </c>
      <c r="U5" s="0" t="n">
        <f aca="false">IF(OR(NOT(AND(Simulations!$A5&lt;&gt;"",OR(Simulations!$CA5&lt;&gt;"",N(Simulations!$CC5)&gt;0))),N(Simulations!$CE5)&lt;=0,N(Simulations!$CC5)&lt;=0,2&gt;N(Simulations!$O5)),0,IF(Simulations!$CE5&lt;Simulations!$J5,Simulations!$CC5/(Simulations!$G5*Simulations!$H5*IF(Simulations!$I5&gt;0,Simulations!$I5,1))*Simulations!$CE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E5/Simulations!$J5)^1.5+SQRT(LN(Simulations!$CE5/Simulations!$J5))+Simulations!$CE5/Simulations!$J5*SQRT(PI())/2*ERFC(SQRT(LN(Simulations!$CE5/Simulations!$J5)))),PI()*Simulations!$T5^2/2*(LN(Simulations!$CE5/Simulations!$J5)+1))))</f>
        <v>0</v>
      </c>
      <c r="V5" s="0" t="n">
        <f aca="false">IF(OR(NOT(AND(Simulations!$A5&lt;&gt;"",OR(Simulations!$CA5&lt;&gt;"",N(Simulations!$CC5)&gt;0))),N(Simulations!$CF5)&lt;=0,N(Simulations!$CC5)&lt;=0,3&gt;N(Simulations!$O5)),0,IF(Simulations!$CF5&lt;Simulations!$J5,Simulations!$CC5/(Simulations!$G5*Simulations!$H5*IF(Simulations!$I5&gt;0,Simulations!$I5,1))*Simulations!$CF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F5/Simulations!$J5)^1.5+SQRT(LN(Simulations!$CF5/Simulations!$J5))+Simulations!$CF5/Simulations!$J5*SQRT(PI())/2*ERFC(SQRT(LN(Simulations!$CF5/Simulations!$J5)))),PI()*Simulations!$T5^2/2*(LN(Simulations!$CF5/Simulations!$J5)+1))))</f>
        <v>0</v>
      </c>
      <c r="W5" s="0" t="n">
        <f aca="false">IF(NOT(AND(Simulations!$A5&lt;&gt;"",OR(Simulations!$CA5&lt;&gt;"",N(Simulations!$CC5)&gt;0))),0,MAX(N(Simulations!$CD5),N(Simulations!$CE5),N(Simulations!$CF5))/Simulations!$J5)</f>
        <v>0</v>
      </c>
      <c r="X5" s="0" t="n">
        <f aca="false">IF(OR(NOT(AND(Simulations!$A5&lt;&gt;"",OR(Simulations!$CA5&lt;&gt;"",N(Simulations!$CC5)&gt;0))),N(Simulations!$CB5)&lt;=0),0,SQRT(2*Simulations!$CB5*1000000/(Simulations!$J5*1000))/Simulations!$T5)</f>
        <v>0</v>
      </c>
      <c r="Y5" s="0" t="n">
        <f aca="false">IF(AND(Simulations!$A5&lt;&gt;"",OR(Simulations!$CA5&lt;&gt;"",N(Simulations!$CC5)&gt;0)),1,0)</f>
        <v>0</v>
      </c>
      <c r="Z5" s="0" t="n">
        <f aca="false">IF(OR(NOT(AND(Simulations!$A5&lt;&gt;"",OR(Simulations!$CS5&lt;&gt;"",N(Simulations!$CU5)&gt;0))),N(Simulations!$CV5)&lt;=0,N(Simulations!$CU5)&lt;=0,1&gt;N(Simulations!$O5)),0,IF(Simulations!$CV5&lt;Simulations!$J5,Simulations!$CU5/(Simulations!$G5*Simulations!$H5*IF(Simulations!$I5&gt;0,Simulations!$I5,1))*Simulations!$CV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V5/Simulations!$J5)^1.5+SQRT(LN(Simulations!$CV5/Simulations!$J5))+Simulations!$CV5/Simulations!$J5*SQRT(PI())/2*ERFC(SQRT(LN(Simulations!$CV5/Simulations!$J5)))),PI()*Simulations!$T5^2/2*(LN(Simulations!$CV5/Simulations!$J5)+1))))</f>
        <v>0</v>
      </c>
      <c r="AA5" s="0" t="n">
        <f aca="false">IF(OR(NOT(AND(Simulations!$A5&lt;&gt;"",OR(Simulations!$CS5&lt;&gt;"",N(Simulations!$CU5)&gt;0))),N(Simulations!$CW5)&lt;=0,N(Simulations!$CU5)&lt;=0,2&gt;N(Simulations!$O5)),0,IF(Simulations!$CW5&lt;Simulations!$J5,Simulations!$CU5/(Simulations!$G5*Simulations!$H5*IF(Simulations!$I5&gt;0,Simulations!$I5,1))*Simulations!$CW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W5/Simulations!$J5)^1.5+SQRT(LN(Simulations!$CW5/Simulations!$J5))+Simulations!$CW5/Simulations!$J5*SQRT(PI())/2*ERFC(SQRT(LN(Simulations!$CW5/Simulations!$J5)))),PI()*Simulations!$T5^2/2*(LN(Simulations!$CW5/Simulations!$J5)+1))))</f>
        <v>0</v>
      </c>
      <c r="AB5" s="0" t="n">
        <f aca="false">IF(OR(NOT(AND(Simulations!$A5&lt;&gt;"",OR(Simulations!$CS5&lt;&gt;"",N(Simulations!$CU5)&gt;0))),N(Simulations!$CX5)&lt;=0,N(Simulations!$CU5)&lt;=0,3&gt;N(Simulations!$O5)),0,IF(Simulations!$CX5&lt;Simulations!$J5,Simulations!$CU5/(Simulations!$G5*Simulations!$H5*IF(Simulations!$I5&gt;0,Simulations!$I5,1))*Simulations!$CX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X5/Simulations!$J5)^1.5+SQRT(LN(Simulations!$CX5/Simulations!$J5))+Simulations!$CX5/Simulations!$J5*SQRT(PI())/2*ERFC(SQRT(LN(Simulations!$CX5/Simulations!$J5)))),PI()*Simulations!$T5^2/2*(LN(Simulations!$CX5/Simulations!$J5)+1))))</f>
        <v>0</v>
      </c>
      <c r="AC5" s="0" t="n">
        <f aca="false">IF(NOT(AND(Simulations!$A5&lt;&gt;"",OR(Simulations!$CS5&lt;&gt;"",N(Simulations!$CU5)&gt;0))),0,MAX(N(Simulations!$CV5),N(Simulations!$CW5),N(Simulations!$CX5))/Simulations!$J5)</f>
        <v>0</v>
      </c>
      <c r="AD5" s="0" t="n">
        <f aca="false">IF(OR(NOT(AND(Simulations!$A5&lt;&gt;"",OR(Simulations!$CS5&lt;&gt;"",N(Simulations!$CU5)&gt;0))),N(Simulations!$CT5)&lt;=0),0,SQRT(2*Simulations!$CT5*1000000/(Simulations!$J5*1000))/Simulations!$T5)</f>
        <v>0</v>
      </c>
      <c r="AE5" s="0" t="n">
        <f aca="false">IF(AND(Simulations!$A5&lt;&gt;"",OR(Simulations!$CS5&lt;&gt;"",N(Simulations!$CU5)&gt;0)),1,0)</f>
        <v>0</v>
      </c>
      <c r="AF5" s="0" t="n">
        <f aca="false">IF(OR(NOT(AND(Simulations!$A5&lt;&gt;"",OR(Simulations!$DK5&lt;&gt;"",N(Simulations!$DM5)&gt;0))),N(Simulations!$DN5)&lt;=0,N(Simulations!$DM5)&lt;=0,1&gt;N(Simulations!$O5)),0,IF(Simulations!$DN5&lt;Simulations!$J5,Simulations!$DM5/(Simulations!$G5*Simulations!$H5*IF(Simulations!$I5&gt;0,Simulations!$I5,1))*Simulations!$DN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N5/Simulations!$J5)^1.5+SQRT(LN(Simulations!$DN5/Simulations!$J5))+Simulations!$DN5/Simulations!$J5*SQRT(PI())/2*ERFC(SQRT(LN(Simulations!$DN5/Simulations!$J5)))),PI()*Simulations!$T5^2/2*(LN(Simulations!$DN5/Simulations!$J5)+1))))</f>
        <v>0</v>
      </c>
      <c r="AG5" s="0" t="n">
        <f aca="false">IF(OR(NOT(AND(Simulations!$A5&lt;&gt;"",OR(Simulations!$DK5&lt;&gt;"",N(Simulations!$DM5)&gt;0))),N(Simulations!$DO5)&lt;=0,N(Simulations!$DM5)&lt;=0,2&gt;N(Simulations!$O5)),0,IF(Simulations!$DO5&lt;Simulations!$J5,Simulations!$DM5/(Simulations!$G5*Simulations!$H5*IF(Simulations!$I5&gt;0,Simulations!$I5,1))*Simulations!$DO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O5/Simulations!$J5)^1.5+SQRT(LN(Simulations!$DO5/Simulations!$J5))+Simulations!$DO5/Simulations!$J5*SQRT(PI())/2*ERFC(SQRT(LN(Simulations!$DO5/Simulations!$J5)))),PI()*Simulations!$T5^2/2*(LN(Simulations!$DO5/Simulations!$J5)+1))))</f>
        <v>0</v>
      </c>
      <c r="AH5" s="0" t="n">
        <f aca="false">IF(OR(NOT(AND(Simulations!$A5&lt;&gt;"",OR(Simulations!$DK5&lt;&gt;"",N(Simulations!$DM5)&gt;0))),N(Simulations!$DP5)&lt;=0,N(Simulations!$DM5)&lt;=0,3&gt;N(Simulations!$O5)),0,IF(Simulations!$DP5&lt;Simulations!$J5,Simulations!$DM5/(Simulations!$G5*Simulations!$H5*IF(Simulations!$I5&gt;0,Simulations!$I5,1))*Simulations!$DP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P5/Simulations!$J5)^1.5+SQRT(LN(Simulations!$DP5/Simulations!$J5))+Simulations!$DP5/Simulations!$J5*SQRT(PI())/2*ERFC(SQRT(LN(Simulations!$DP5/Simulations!$J5)))),PI()*Simulations!$T5^2/2*(LN(Simulations!$DP5/Simulations!$J5)+1))))</f>
        <v>0</v>
      </c>
      <c r="AI5" s="0" t="n">
        <f aca="false">IF(NOT(AND(Simulations!$A5&lt;&gt;"",OR(Simulations!$DK5&lt;&gt;"",N(Simulations!$DM5)&gt;0))),0,MAX(N(Simulations!$DN5),N(Simulations!$DO5),N(Simulations!$DP5))/Simulations!$J5)</f>
        <v>0</v>
      </c>
      <c r="AJ5" s="0" t="n">
        <f aca="false">IF(OR(NOT(AND(Simulations!$A5&lt;&gt;"",OR(Simulations!$DK5&lt;&gt;"",N(Simulations!$DM5)&gt;0))),N(Simulations!$DL5)&lt;=0),0,SQRT(2*Simulations!$DL5*1000000/(Simulations!$J5*1000))/Simulations!$T5)</f>
        <v>0</v>
      </c>
      <c r="AK5" s="0" t="n">
        <f aca="false">IF(AND(Simulations!$A5&lt;&gt;"",OR(Simulations!$DK5&lt;&gt;"",N(Simulations!$DM5)&gt;0)),1,0)</f>
        <v>0</v>
      </c>
    </row>
    <row r="6" customFormat="false" ht="15" hidden="false" customHeight="false" outlineLevel="0" collapsed="false">
      <c r="B6" s="0" t="n">
        <f aca="false">IF(OR(NOT(AND(Simulations!$A6&lt;&gt;"",OR(Simulations!$Y6&lt;&gt;"",N(Simulations!$AA6)&gt;0))),N(Simulations!$AB6)&lt;=0,N(Simulations!$AA6)&lt;=0,1&gt;N(Simulations!$O6)),0,IF(Simulations!$AB6&lt;Simulations!$J6,Simulations!$AA6/(Simulations!$G6*Simulations!$H6*IF(Simulations!$I6&gt;0,Simulations!$I6,1))*Simulations!$AB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B6/Simulations!$J6)^1.5+SQRT(LN(Simulations!$AB6/Simulations!$J6))+Simulations!$AB6/Simulations!$J6*SQRT(PI())/2*ERFC(SQRT(LN(Simulations!$AB6/Simulations!$J6)))),PI()*Simulations!$T6^2/2*(LN(Simulations!$AB6/Simulations!$J6)+1))))</f>
        <v>25.1993759131559</v>
      </c>
      <c r="C6" s="0" t="n">
        <f aca="false">IF(OR(NOT(AND(Simulations!$A6&lt;&gt;"",OR(Simulations!$Y6&lt;&gt;"",N(Simulations!$AA6)&gt;0))),N(Simulations!$AC6)&lt;=0,N(Simulations!$AA6)&lt;=0,2&gt;N(Simulations!$O6)),0,IF(Simulations!$AC6&lt;Simulations!$J6,Simulations!$AA6/(Simulations!$G6*Simulations!$H6*IF(Simulations!$I6&gt;0,Simulations!$I6,1))*Simulations!$AC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C6/Simulations!$J6)^1.5+SQRT(LN(Simulations!$AC6/Simulations!$J6))+Simulations!$AC6/Simulations!$J6*SQRT(PI())/2*ERFC(SQRT(LN(Simulations!$AC6/Simulations!$J6)))),PI()*Simulations!$T6^2/2*(LN(Simulations!$AC6/Simulations!$J6)+1))))</f>
        <v>25.1993759131559</v>
      </c>
      <c r="D6" s="0" t="n">
        <f aca="false">IF(OR(NOT(AND(Simulations!$A6&lt;&gt;"",OR(Simulations!$Y6&lt;&gt;"",N(Simulations!$AA6)&gt;0))),N(Simulations!$AD6)&lt;=0,N(Simulations!$AA6)&lt;=0,3&gt;N(Simulations!$O6)),0,IF(Simulations!$AD6&lt;Simulations!$J6,Simulations!$AA6/(Simulations!$G6*Simulations!$H6*IF(Simulations!$I6&gt;0,Simulations!$I6,1))*Simulations!$AD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D6/Simulations!$J6)^1.5+SQRT(LN(Simulations!$AD6/Simulations!$J6))+Simulations!$AD6/Simulations!$J6*SQRT(PI())/2*ERFC(SQRT(LN(Simulations!$AD6/Simulations!$J6)))),PI()*Simulations!$T6^2/2*(LN(Simulations!$AD6/Simulations!$J6)+1))))</f>
        <v>0</v>
      </c>
      <c r="E6" s="0" t="n">
        <f aca="false">IF(NOT(AND(Simulations!$A6&lt;&gt;"",OR(Simulations!$Y6&lt;&gt;"",N(Simulations!$AA6)&gt;0))),0,MAX(N(Simulations!$AB6),N(Simulations!$AC6),N(Simulations!$AD6))/Simulations!$J6)</f>
        <v>0.05</v>
      </c>
      <c r="F6" s="0" t="n">
        <f aca="false">IF(OR(NOT(AND(Simulations!$A6&lt;&gt;"",OR(Simulations!$Y6&lt;&gt;"",N(Simulations!$AA6)&gt;0))),N(Simulations!$Z6)&lt;=0),0,SQRT(2*Simulations!$Z6*1000000/(Simulations!$J6*1000))/Simulations!$T6)</f>
        <v>0.05</v>
      </c>
      <c r="G6" s="0" t="n">
        <f aca="false">IF(AND(Simulations!$A6&lt;&gt;"",OR(Simulations!$Y6&lt;&gt;"",N(Simulations!$AA6)&gt;0)),1,0)</f>
        <v>1</v>
      </c>
      <c r="H6" s="0" t="n">
        <f aca="false">IF(OR(NOT(AND(Simulations!$A6&lt;&gt;"",OR(Simulations!$AQ6&lt;&gt;"",N(Simulations!$AS6)&gt;0))),N(Simulations!$AT6)&lt;=0,N(Simulations!$AS6)&lt;=0,1&gt;N(Simulations!$O6)),0,IF(Simulations!$AT6&lt;Simulations!$J6,Simulations!$AS6/(Simulations!$G6*Simulations!$H6*IF(Simulations!$I6&gt;0,Simulations!$I6,1))*Simulations!$AT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T6/Simulations!$J6)^1.5+SQRT(LN(Simulations!$AT6/Simulations!$J6))+Simulations!$AT6/Simulations!$J6*SQRT(PI())/2*ERFC(SQRT(LN(Simulations!$AT6/Simulations!$J6)))),PI()*Simulations!$T6^2/2*(LN(Simulations!$AT6/Simulations!$J6)+1))))</f>
        <v>3.14992198914448</v>
      </c>
      <c r="I6" s="0" t="n">
        <f aca="false">IF(OR(NOT(AND(Simulations!$A6&lt;&gt;"",OR(Simulations!$AQ6&lt;&gt;"",N(Simulations!$AS6)&gt;0))),N(Simulations!$AU6)&lt;=0,N(Simulations!$AS6)&lt;=0,2&gt;N(Simulations!$O6)),0,IF(Simulations!$AU6&lt;Simulations!$J6,Simulations!$AS6/(Simulations!$G6*Simulations!$H6*IF(Simulations!$I6&gt;0,Simulations!$I6,1))*Simulations!$AU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U6/Simulations!$J6)^1.5+SQRT(LN(Simulations!$AU6/Simulations!$J6))+Simulations!$AU6/Simulations!$J6*SQRT(PI())/2*ERFC(SQRT(LN(Simulations!$AU6/Simulations!$J6)))),PI()*Simulations!$T6^2/2*(LN(Simulations!$AU6/Simulations!$J6)+1))))</f>
        <v>0</v>
      </c>
      <c r="J6" s="0" t="n">
        <f aca="false">IF(OR(NOT(AND(Simulations!$A6&lt;&gt;"",OR(Simulations!$AQ6&lt;&gt;"",N(Simulations!$AS6)&gt;0))),N(Simulations!$AV6)&lt;=0,N(Simulations!$AS6)&lt;=0,3&gt;N(Simulations!$O6)),0,IF(Simulations!$AV6&lt;Simulations!$J6,Simulations!$AS6/(Simulations!$G6*Simulations!$H6*IF(Simulations!$I6&gt;0,Simulations!$I6,1))*Simulations!$AV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V6/Simulations!$J6)^1.5+SQRT(LN(Simulations!$AV6/Simulations!$J6))+Simulations!$AV6/Simulations!$J6*SQRT(PI())/2*ERFC(SQRT(LN(Simulations!$AV6/Simulations!$J6)))),PI()*Simulations!$T6^2/2*(LN(Simulations!$AV6/Simulations!$J6)+1))))</f>
        <v>3.14992198914448</v>
      </c>
      <c r="K6" s="0" t="n">
        <f aca="false">IF(NOT(AND(Simulations!$A6&lt;&gt;"",OR(Simulations!$AQ6&lt;&gt;"",N(Simulations!$AS6)&gt;0))),0,MAX(N(Simulations!$AT6),N(Simulations!$AU6),N(Simulations!$AV6))/Simulations!$J6)</f>
        <v>0.05</v>
      </c>
      <c r="L6" s="0" t="n">
        <f aca="false">IF(OR(NOT(AND(Simulations!$A6&lt;&gt;"",OR(Simulations!$AQ6&lt;&gt;"",N(Simulations!$AS6)&gt;0))),N(Simulations!$AR6)&lt;=0),0,SQRT(2*Simulations!$AR6*1000000/(Simulations!$J6*1000))/Simulations!$T6)</f>
        <v>0.05</v>
      </c>
      <c r="M6" s="0" t="n">
        <f aca="false">IF(AND(Simulations!$A6&lt;&gt;"",OR(Simulations!$AQ6&lt;&gt;"",N(Simulations!$AS6)&gt;0)),1,0)</f>
        <v>1</v>
      </c>
      <c r="N6" s="0" t="n">
        <f aca="false">IF(OR(NOT(AND(Simulations!$A6&lt;&gt;"",OR(Simulations!$BI6&lt;&gt;"",N(Simulations!$BK6)&gt;0))),N(Simulations!$BL6)&lt;=0,N(Simulations!$BK6)&lt;=0,1&gt;N(Simulations!$O6)),0,IF(Simulations!$BL6&lt;Simulations!$J6,Simulations!$BK6/(Simulations!$G6*Simulations!$H6*IF(Simulations!$I6&gt;0,Simulations!$I6,1))*Simulations!$BL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L6/Simulations!$J6)^1.5+SQRT(LN(Simulations!$BL6/Simulations!$J6))+Simulations!$BL6/Simulations!$J6*SQRT(PI())/2*ERFC(SQRT(LN(Simulations!$BL6/Simulations!$J6)))),PI()*Simulations!$T6^2/2*(LN(Simulations!$BL6/Simulations!$J6)+1))))</f>
        <v>0</v>
      </c>
      <c r="O6" s="0" t="n">
        <f aca="false">IF(OR(NOT(AND(Simulations!$A6&lt;&gt;"",OR(Simulations!$BI6&lt;&gt;"",N(Simulations!$BK6)&gt;0))),N(Simulations!$BM6)&lt;=0,N(Simulations!$BK6)&lt;=0,2&gt;N(Simulations!$O6)),0,IF(Simulations!$BM6&lt;Simulations!$J6,Simulations!$BK6/(Simulations!$G6*Simulations!$H6*IF(Simulations!$I6&gt;0,Simulations!$I6,1))*Simulations!$BM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M6/Simulations!$J6)^1.5+SQRT(LN(Simulations!$BM6/Simulations!$J6))+Simulations!$BM6/Simulations!$J6*SQRT(PI())/2*ERFC(SQRT(LN(Simulations!$BM6/Simulations!$J6)))),PI()*Simulations!$T6^2/2*(LN(Simulations!$BM6/Simulations!$J6)+1))))</f>
        <v>3.14992198914448</v>
      </c>
      <c r="P6" s="0" t="n">
        <f aca="false">IF(OR(NOT(AND(Simulations!$A6&lt;&gt;"",OR(Simulations!$BI6&lt;&gt;"",N(Simulations!$BK6)&gt;0))),N(Simulations!$BN6)&lt;=0,N(Simulations!$BK6)&lt;=0,3&gt;N(Simulations!$O6)),0,IF(Simulations!$BN6&lt;Simulations!$J6,Simulations!$BK6/(Simulations!$G6*Simulations!$H6*IF(Simulations!$I6&gt;0,Simulations!$I6,1))*Simulations!$BN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N6/Simulations!$J6)^1.5+SQRT(LN(Simulations!$BN6/Simulations!$J6))+Simulations!$BN6/Simulations!$J6*SQRT(PI())/2*ERFC(SQRT(LN(Simulations!$BN6/Simulations!$J6)))),PI()*Simulations!$T6^2/2*(LN(Simulations!$BN6/Simulations!$J6)+1))))</f>
        <v>3.14992198914448</v>
      </c>
      <c r="Q6" s="0" t="n">
        <f aca="false">IF(NOT(AND(Simulations!$A6&lt;&gt;"",OR(Simulations!$BI6&lt;&gt;"",N(Simulations!$BK6)&gt;0))),0,MAX(N(Simulations!$BL6),N(Simulations!$BM6),N(Simulations!$BN6))/Simulations!$J6)</f>
        <v>0.05</v>
      </c>
      <c r="R6" s="0" t="n">
        <f aca="false">IF(OR(NOT(AND(Simulations!$A6&lt;&gt;"",OR(Simulations!$BI6&lt;&gt;"",N(Simulations!$BK6)&gt;0))),N(Simulations!$BJ6)&lt;=0),0,SQRT(2*Simulations!$BJ6*1000000/(Simulations!$J6*1000))/Simulations!$T6)</f>
        <v>0.05</v>
      </c>
      <c r="S6" s="0" t="n">
        <f aca="false">IF(AND(Simulations!$A6&lt;&gt;"",OR(Simulations!$BI6&lt;&gt;"",N(Simulations!$BK6)&gt;0)),1,0)</f>
        <v>1</v>
      </c>
      <c r="T6" s="0" t="n">
        <f aca="false">IF(OR(NOT(AND(Simulations!$A6&lt;&gt;"",OR(Simulations!$CA6&lt;&gt;"",N(Simulations!$CC6)&gt;0))),N(Simulations!$CD6)&lt;=0,N(Simulations!$CC6)&lt;=0,1&gt;N(Simulations!$O6)),0,IF(Simulations!$CD6&lt;Simulations!$J6,Simulations!$CC6/(Simulations!$G6*Simulations!$H6*IF(Simulations!$I6&gt;0,Simulations!$I6,1))*Simulations!$CD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D6/Simulations!$J6)^1.5+SQRT(LN(Simulations!$CD6/Simulations!$J6))+Simulations!$CD6/Simulations!$J6*SQRT(PI())/2*ERFC(SQRT(LN(Simulations!$CD6/Simulations!$J6)))),PI()*Simulations!$T6^2/2*(LN(Simulations!$CD6/Simulations!$J6)+1))))</f>
        <v>0</v>
      </c>
      <c r="U6" s="0" t="n">
        <f aca="false">IF(OR(NOT(AND(Simulations!$A6&lt;&gt;"",OR(Simulations!$CA6&lt;&gt;"",N(Simulations!$CC6)&gt;0))),N(Simulations!$CE6)&lt;=0,N(Simulations!$CC6)&lt;=0,2&gt;N(Simulations!$O6)),0,IF(Simulations!$CE6&lt;Simulations!$J6,Simulations!$CC6/(Simulations!$G6*Simulations!$H6*IF(Simulations!$I6&gt;0,Simulations!$I6,1))*Simulations!$CE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E6/Simulations!$J6)^1.5+SQRT(LN(Simulations!$CE6/Simulations!$J6))+Simulations!$CE6/Simulations!$J6*SQRT(PI())/2*ERFC(SQRT(LN(Simulations!$CE6/Simulations!$J6)))),PI()*Simulations!$T6^2/2*(LN(Simulations!$CE6/Simulations!$J6)+1))))</f>
        <v>0</v>
      </c>
      <c r="V6" s="0" t="n">
        <f aca="false">IF(OR(NOT(AND(Simulations!$A6&lt;&gt;"",OR(Simulations!$CA6&lt;&gt;"",N(Simulations!$CC6)&gt;0))),N(Simulations!$CF6)&lt;=0,N(Simulations!$CC6)&lt;=0,3&gt;N(Simulations!$O6)),0,IF(Simulations!$CF6&lt;Simulations!$J6,Simulations!$CC6/(Simulations!$G6*Simulations!$H6*IF(Simulations!$I6&gt;0,Simulations!$I6,1))*Simulations!$CF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F6/Simulations!$J6)^1.5+SQRT(LN(Simulations!$CF6/Simulations!$J6))+Simulations!$CF6/Simulations!$J6*SQRT(PI())/2*ERFC(SQRT(LN(Simulations!$CF6/Simulations!$J6)))),PI()*Simulations!$T6^2/2*(LN(Simulations!$CF6/Simulations!$J6)+1))))</f>
        <v>0</v>
      </c>
      <c r="W6" s="0" t="n">
        <f aca="false">IF(NOT(AND(Simulations!$A6&lt;&gt;"",OR(Simulations!$CA6&lt;&gt;"",N(Simulations!$CC6)&gt;0))),0,MAX(N(Simulations!$CD6),N(Simulations!$CE6),N(Simulations!$CF6))/Simulations!$J6)</f>
        <v>0</v>
      </c>
      <c r="X6" s="0" t="n">
        <f aca="false">IF(OR(NOT(AND(Simulations!$A6&lt;&gt;"",OR(Simulations!$CA6&lt;&gt;"",N(Simulations!$CC6)&gt;0))),N(Simulations!$CB6)&lt;=0),0,SQRT(2*Simulations!$CB6*1000000/(Simulations!$J6*1000))/Simulations!$T6)</f>
        <v>0</v>
      </c>
      <c r="Y6" s="0" t="n">
        <f aca="false">IF(AND(Simulations!$A6&lt;&gt;"",OR(Simulations!$CA6&lt;&gt;"",N(Simulations!$CC6)&gt;0)),1,0)</f>
        <v>0</v>
      </c>
      <c r="Z6" s="0" t="n">
        <f aca="false">IF(OR(NOT(AND(Simulations!$A6&lt;&gt;"",OR(Simulations!$CS6&lt;&gt;"",N(Simulations!$CU6)&gt;0))),N(Simulations!$CV6)&lt;=0,N(Simulations!$CU6)&lt;=0,1&gt;N(Simulations!$O6)),0,IF(Simulations!$CV6&lt;Simulations!$J6,Simulations!$CU6/(Simulations!$G6*Simulations!$H6*IF(Simulations!$I6&gt;0,Simulations!$I6,1))*Simulations!$CV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V6/Simulations!$J6)^1.5+SQRT(LN(Simulations!$CV6/Simulations!$J6))+Simulations!$CV6/Simulations!$J6*SQRT(PI())/2*ERFC(SQRT(LN(Simulations!$CV6/Simulations!$J6)))),PI()*Simulations!$T6^2/2*(LN(Simulations!$CV6/Simulations!$J6)+1))))</f>
        <v>0</v>
      </c>
      <c r="AA6" s="0" t="n">
        <f aca="false">IF(OR(NOT(AND(Simulations!$A6&lt;&gt;"",OR(Simulations!$CS6&lt;&gt;"",N(Simulations!$CU6)&gt;0))),N(Simulations!$CW6)&lt;=0,N(Simulations!$CU6)&lt;=0,2&gt;N(Simulations!$O6)),0,IF(Simulations!$CW6&lt;Simulations!$J6,Simulations!$CU6/(Simulations!$G6*Simulations!$H6*IF(Simulations!$I6&gt;0,Simulations!$I6,1))*Simulations!$CW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W6/Simulations!$J6)^1.5+SQRT(LN(Simulations!$CW6/Simulations!$J6))+Simulations!$CW6/Simulations!$J6*SQRT(PI())/2*ERFC(SQRT(LN(Simulations!$CW6/Simulations!$J6)))),PI()*Simulations!$T6^2/2*(LN(Simulations!$CW6/Simulations!$J6)+1))))</f>
        <v>0</v>
      </c>
      <c r="AB6" s="0" t="n">
        <f aca="false">IF(OR(NOT(AND(Simulations!$A6&lt;&gt;"",OR(Simulations!$CS6&lt;&gt;"",N(Simulations!$CU6)&gt;0))),N(Simulations!$CX6)&lt;=0,N(Simulations!$CU6)&lt;=0,3&gt;N(Simulations!$O6)),0,IF(Simulations!$CX6&lt;Simulations!$J6,Simulations!$CU6/(Simulations!$G6*Simulations!$H6*IF(Simulations!$I6&gt;0,Simulations!$I6,1))*Simulations!$CX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X6/Simulations!$J6)^1.5+SQRT(LN(Simulations!$CX6/Simulations!$J6))+Simulations!$CX6/Simulations!$J6*SQRT(PI())/2*ERFC(SQRT(LN(Simulations!$CX6/Simulations!$J6)))),PI()*Simulations!$T6^2/2*(LN(Simulations!$CX6/Simulations!$J6)+1))))</f>
        <v>0</v>
      </c>
      <c r="AC6" s="0" t="n">
        <f aca="false">IF(NOT(AND(Simulations!$A6&lt;&gt;"",OR(Simulations!$CS6&lt;&gt;"",N(Simulations!$CU6)&gt;0))),0,MAX(N(Simulations!$CV6),N(Simulations!$CW6),N(Simulations!$CX6))/Simulations!$J6)</f>
        <v>0</v>
      </c>
      <c r="AD6" s="0" t="n">
        <f aca="false">IF(OR(NOT(AND(Simulations!$A6&lt;&gt;"",OR(Simulations!$CS6&lt;&gt;"",N(Simulations!$CU6)&gt;0))),N(Simulations!$CT6)&lt;=0),0,SQRT(2*Simulations!$CT6*1000000/(Simulations!$J6*1000))/Simulations!$T6)</f>
        <v>0</v>
      </c>
      <c r="AE6" s="0" t="n">
        <f aca="false">IF(AND(Simulations!$A6&lt;&gt;"",OR(Simulations!$CS6&lt;&gt;"",N(Simulations!$CU6)&gt;0)),1,0)</f>
        <v>0</v>
      </c>
      <c r="AF6" s="0" t="n">
        <f aca="false">IF(OR(NOT(AND(Simulations!$A6&lt;&gt;"",OR(Simulations!$DK6&lt;&gt;"",N(Simulations!$DM6)&gt;0))),N(Simulations!$DN6)&lt;=0,N(Simulations!$DM6)&lt;=0,1&gt;N(Simulations!$O6)),0,IF(Simulations!$DN6&lt;Simulations!$J6,Simulations!$DM6/(Simulations!$G6*Simulations!$H6*IF(Simulations!$I6&gt;0,Simulations!$I6,1))*Simulations!$DN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N6/Simulations!$J6)^1.5+SQRT(LN(Simulations!$DN6/Simulations!$J6))+Simulations!$DN6/Simulations!$J6*SQRT(PI())/2*ERFC(SQRT(LN(Simulations!$DN6/Simulations!$J6)))),PI()*Simulations!$T6^2/2*(LN(Simulations!$DN6/Simulations!$J6)+1))))</f>
        <v>0</v>
      </c>
      <c r="AG6" s="0" t="n">
        <f aca="false">IF(OR(NOT(AND(Simulations!$A6&lt;&gt;"",OR(Simulations!$DK6&lt;&gt;"",N(Simulations!$DM6)&gt;0))),N(Simulations!$DO6)&lt;=0,N(Simulations!$DM6)&lt;=0,2&gt;N(Simulations!$O6)),0,IF(Simulations!$DO6&lt;Simulations!$J6,Simulations!$DM6/(Simulations!$G6*Simulations!$H6*IF(Simulations!$I6&gt;0,Simulations!$I6,1))*Simulations!$DO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O6/Simulations!$J6)^1.5+SQRT(LN(Simulations!$DO6/Simulations!$J6))+Simulations!$DO6/Simulations!$J6*SQRT(PI())/2*ERFC(SQRT(LN(Simulations!$DO6/Simulations!$J6)))),PI()*Simulations!$T6^2/2*(LN(Simulations!$DO6/Simulations!$J6)+1))))</f>
        <v>0</v>
      </c>
      <c r="AH6" s="0" t="n">
        <f aca="false">IF(OR(NOT(AND(Simulations!$A6&lt;&gt;"",OR(Simulations!$DK6&lt;&gt;"",N(Simulations!$DM6)&gt;0))),N(Simulations!$DP6)&lt;=0,N(Simulations!$DM6)&lt;=0,3&gt;N(Simulations!$O6)),0,IF(Simulations!$DP6&lt;Simulations!$J6,Simulations!$DM6/(Simulations!$G6*Simulations!$H6*IF(Simulations!$I6&gt;0,Simulations!$I6,1))*Simulations!$DP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P6/Simulations!$J6)^1.5+SQRT(LN(Simulations!$DP6/Simulations!$J6))+Simulations!$DP6/Simulations!$J6*SQRT(PI())/2*ERFC(SQRT(LN(Simulations!$DP6/Simulations!$J6)))),PI()*Simulations!$T6^2/2*(LN(Simulations!$DP6/Simulations!$J6)+1))))</f>
        <v>0</v>
      </c>
      <c r="AI6" s="0" t="n">
        <f aca="false">IF(NOT(AND(Simulations!$A6&lt;&gt;"",OR(Simulations!$DK6&lt;&gt;"",N(Simulations!$DM6)&gt;0))),0,MAX(N(Simulations!$DN6),N(Simulations!$DO6),N(Simulations!$DP6))/Simulations!$J6)</f>
        <v>0</v>
      </c>
      <c r="AJ6" s="0" t="n">
        <f aca="false">IF(OR(NOT(AND(Simulations!$A6&lt;&gt;"",OR(Simulations!$DK6&lt;&gt;"",N(Simulations!$DM6)&gt;0))),N(Simulations!$DL6)&lt;=0),0,SQRT(2*Simulations!$DL6*1000000/(Simulations!$J6*1000))/Simulations!$T6)</f>
        <v>0</v>
      </c>
      <c r="AK6" s="0" t="n">
        <f aca="false">IF(AND(Simulations!$A6&lt;&gt;"",OR(Simulations!$DK6&lt;&gt;"",N(Simulations!$DM6)&gt;0)),1,0)</f>
        <v>0</v>
      </c>
    </row>
    <row r="7" customFormat="false" ht="15" hidden="false" customHeight="false" outlineLevel="0" collapsed="false">
      <c r="B7" s="0" t="n">
        <f aca="false">IF(OR(NOT(AND(Simulations!$A7&lt;&gt;"",OR(Simulations!$Y7&lt;&gt;"",N(Simulations!$AA7)&gt;0))),N(Simulations!$AB7)&lt;=0,N(Simulations!$AA7)&lt;=0,1&gt;N(Simulations!$O7)),0,IF(Simulations!$AB7&lt;Simulations!$J7,Simulations!$AA7/(Simulations!$G7*Simulations!$H7*IF(Simulations!$I7&gt;0,Simulations!$I7,1))*Simulations!$AB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B7/Simulations!$J7)^1.5+SQRT(LN(Simulations!$AB7/Simulations!$J7))+Simulations!$AB7/Simulations!$J7*SQRT(PI())/2*ERFC(SQRT(LN(Simulations!$AB7/Simulations!$J7)))),PI()*Simulations!$T7^2/2*(LN(Simulations!$AB7/Simulations!$J7)+1))))</f>
        <v>29.3532730881177</v>
      </c>
      <c r="C7" s="0" t="n">
        <f aca="false">IF(OR(NOT(AND(Simulations!$A7&lt;&gt;"",OR(Simulations!$Y7&lt;&gt;"",N(Simulations!$AA7)&gt;0))),N(Simulations!$AC7)&lt;=0,N(Simulations!$AA7)&lt;=0,2&gt;N(Simulations!$O7)),0,IF(Simulations!$AC7&lt;Simulations!$J7,Simulations!$AA7/(Simulations!$G7*Simulations!$H7*IF(Simulations!$I7&gt;0,Simulations!$I7,1))*Simulations!$AC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C7/Simulations!$J7)^1.5+SQRT(LN(Simulations!$AC7/Simulations!$J7))+Simulations!$AC7/Simulations!$J7*SQRT(PI())/2*ERFC(SQRT(LN(Simulations!$AC7/Simulations!$J7)))),PI()*Simulations!$T7^2/2*(LN(Simulations!$AC7/Simulations!$J7)+1))))</f>
        <v>0</v>
      </c>
      <c r="D7" s="0" t="n">
        <f aca="false">IF(OR(NOT(AND(Simulations!$A7&lt;&gt;"",OR(Simulations!$Y7&lt;&gt;"",N(Simulations!$AA7)&gt;0))),N(Simulations!$AD7)&lt;=0,N(Simulations!$AA7)&lt;=0,3&gt;N(Simulations!$O7)),0,IF(Simulations!$AD7&lt;Simulations!$J7,Simulations!$AA7/(Simulations!$G7*Simulations!$H7*IF(Simulations!$I7&gt;0,Simulations!$I7,1))*Simulations!$AD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D7/Simulations!$J7)^1.5+SQRT(LN(Simulations!$AD7/Simulations!$J7))+Simulations!$AD7/Simulations!$J7*SQRT(PI())/2*ERFC(SQRT(LN(Simulations!$AD7/Simulations!$J7)))),PI()*Simulations!$T7^2/2*(LN(Simulations!$AD7/Simulations!$J7)+1))))</f>
        <v>0</v>
      </c>
      <c r="E7" s="0" t="n">
        <f aca="false">IF(NOT(AND(Simulations!$A7&lt;&gt;"",OR(Simulations!$Y7&lt;&gt;"",N(Simulations!$AA7)&gt;0))),0,MAX(N(Simulations!$AB7),N(Simulations!$AC7),N(Simulations!$AD7))/Simulations!$J7)</f>
        <v>10</v>
      </c>
      <c r="F7" s="0" t="n">
        <f aca="false">IF(OR(NOT(AND(Simulations!$A7&lt;&gt;"",OR(Simulations!$Y7&lt;&gt;"",N(Simulations!$AA7)&gt;0))),N(Simulations!$Z7)&lt;=0),0,SQRT(2*Simulations!$Z7*1000000/(Simulations!$J7*1000))/Simulations!$T7)</f>
        <v>0.14142135623731</v>
      </c>
      <c r="G7" s="0" t="n">
        <f aca="false">IF(AND(Simulations!$A7&lt;&gt;"",OR(Simulations!$Y7&lt;&gt;"",N(Simulations!$AA7)&gt;0)),1,0)</f>
        <v>1</v>
      </c>
      <c r="H7" s="0" t="n">
        <f aca="false">IF(OR(NOT(AND(Simulations!$A7&lt;&gt;"",OR(Simulations!$AQ7&lt;&gt;"",N(Simulations!$AS7)&gt;0))),N(Simulations!$AT7)&lt;=0,N(Simulations!$AS7)&lt;=0,1&gt;N(Simulations!$O7)),0,IF(Simulations!$AT7&lt;Simulations!$J7,Simulations!$AS7/(Simulations!$G7*Simulations!$H7*IF(Simulations!$I7&gt;0,Simulations!$I7,1))*Simulations!$AT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T7/Simulations!$J7)^1.5+SQRT(LN(Simulations!$AT7/Simulations!$J7))+Simulations!$AT7/Simulations!$J7*SQRT(PI())/2*ERFC(SQRT(LN(Simulations!$AT7/Simulations!$J7)))),PI()*Simulations!$T7^2/2*(LN(Simulations!$AT7/Simulations!$J7)+1))))</f>
        <v>0</v>
      </c>
      <c r="I7" s="0" t="n">
        <f aca="false">IF(OR(NOT(AND(Simulations!$A7&lt;&gt;"",OR(Simulations!$AQ7&lt;&gt;"",N(Simulations!$AS7)&gt;0))),N(Simulations!$AU7)&lt;=0,N(Simulations!$AS7)&lt;=0,2&gt;N(Simulations!$O7)),0,IF(Simulations!$AU7&lt;Simulations!$J7,Simulations!$AS7/(Simulations!$G7*Simulations!$H7*IF(Simulations!$I7&gt;0,Simulations!$I7,1))*Simulations!$AU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U7/Simulations!$J7)^1.5+SQRT(LN(Simulations!$AU7/Simulations!$J7))+Simulations!$AU7/Simulations!$J7*SQRT(PI())/2*ERFC(SQRT(LN(Simulations!$AU7/Simulations!$J7)))),PI()*Simulations!$T7^2/2*(LN(Simulations!$AU7/Simulations!$J7)+1))))</f>
        <v>29.3532730881177</v>
      </c>
      <c r="J7" s="0" t="n">
        <f aca="false">IF(OR(NOT(AND(Simulations!$A7&lt;&gt;"",OR(Simulations!$AQ7&lt;&gt;"",N(Simulations!$AS7)&gt;0))),N(Simulations!$AV7)&lt;=0,N(Simulations!$AS7)&lt;=0,3&gt;N(Simulations!$O7)),0,IF(Simulations!$AV7&lt;Simulations!$J7,Simulations!$AS7/(Simulations!$G7*Simulations!$H7*IF(Simulations!$I7&gt;0,Simulations!$I7,1))*Simulations!$AV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V7/Simulations!$J7)^1.5+SQRT(LN(Simulations!$AV7/Simulations!$J7))+Simulations!$AV7/Simulations!$J7*SQRT(PI())/2*ERFC(SQRT(LN(Simulations!$AV7/Simulations!$J7)))),PI()*Simulations!$T7^2/2*(LN(Simulations!$AV7/Simulations!$J7)+1))))</f>
        <v>0</v>
      </c>
      <c r="K7" s="0" t="n">
        <f aca="false">IF(NOT(AND(Simulations!$A7&lt;&gt;"",OR(Simulations!$AQ7&lt;&gt;"",N(Simulations!$AS7)&gt;0))),0,MAX(N(Simulations!$AT7),N(Simulations!$AU7),N(Simulations!$AV7))/Simulations!$J7)</f>
        <v>10</v>
      </c>
      <c r="L7" s="0" t="n">
        <f aca="false">IF(OR(NOT(AND(Simulations!$A7&lt;&gt;"",OR(Simulations!$AQ7&lt;&gt;"",N(Simulations!$AS7)&gt;0))),N(Simulations!$AR7)&lt;=0),0,SQRT(2*Simulations!$AR7*1000000/(Simulations!$J7*1000))/Simulations!$T7)</f>
        <v>0.14142135623731</v>
      </c>
      <c r="M7" s="0" t="n">
        <f aca="false">IF(AND(Simulations!$A7&lt;&gt;"",OR(Simulations!$AQ7&lt;&gt;"",N(Simulations!$AS7)&gt;0)),1,0)</f>
        <v>1</v>
      </c>
      <c r="N7" s="0" t="n">
        <f aca="false">IF(OR(NOT(AND(Simulations!$A7&lt;&gt;"",OR(Simulations!$BI7&lt;&gt;"",N(Simulations!$BK7)&gt;0))),N(Simulations!$BL7)&lt;=0,N(Simulations!$BK7)&lt;=0,1&gt;N(Simulations!$O7)),0,IF(Simulations!$BL7&lt;Simulations!$J7,Simulations!$BK7/(Simulations!$G7*Simulations!$H7*IF(Simulations!$I7&gt;0,Simulations!$I7,1))*Simulations!$BL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L7/Simulations!$J7)^1.5+SQRT(LN(Simulations!$BL7/Simulations!$J7))+Simulations!$BL7/Simulations!$J7*SQRT(PI())/2*ERFC(SQRT(LN(Simulations!$BL7/Simulations!$J7)))),PI()*Simulations!$T7^2/2*(LN(Simulations!$BL7/Simulations!$J7)+1))))</f>
        <v>0</v>
      </c>
      <c r="O7" s="0" t="n">
        <f aca="false">IF(OR(NOT(AND(Simulations!$A7&lt;&gt;"",OR(Simulations!$BI7&lt;&gt;"",N(Simulations!$BK7)&gt;0))),N(Simulations!$BM7)&lt;=0,N(Simulations!$BK7)&lt;=0,2&gt;N(Simulations!$O7)),0,IF(Simulations!$BM7&lt;Simulations!$J7,Simulations!$BK7/(Simulations!$G7*Simulations!$H7*IF(Simulations!$I7&gt;0,Simulations!$I7,1))*Simulations!$BM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M7/Simulations!$J7)^1.5+SQRT(LN(Simulations!$BM7/Simulations!$J7))+Simulations!$BM7/Simulations!$J7*SQRT(PI())/2*ERFC(SQRT(LN(Simulations!$BM7/Simulations!$J7)))),PI()*Simulations!$T7^2/2*(LN(Simulations!$BM7/Simulations!$J7)+1))))</f>
        <v>0</v>
      </c>
      <c r="P7" s="0" t="n">
        <f aca="false">IF(OR(NOT(AND(Simulations!$A7&lt;&gt;"",OR(Simulations!$BI7&lt;&gt;"",N(Simulations!$BK7)&gt;0))),N(Simulations!$BN7)&lt;=0,N(Simulations!$BK7)&lt;=0,3&gt;N(Simulations!$O7)),0,IF(Simulations!$BN7&lt;Simulations!$J7,Simulations!$BK7/(Simulations!$G7*Simulations!$H7*IF(Simulations!$I7&gt;0,Simulations!$I7,1))*Simulations!$BN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N7/Simulations!$J7)^1.5+SQRT(LN(Simulations!$BN7/Simulations!$J7))+Simulations!$BN7/Simulations!$J7*SQRT(PI())/2*ERFC(SQRT(LN(Simulations!$BN7/Simulations!$J7)))),PI()*Simulations!$T7^2/2*(LN(Simulations!$BN7/Simulations!$J7)+1))))</f>
        <v>29.3532730881177</v>
      </c>
      <c r="Q7" s="0" t="n">
        <f aca="false">IF(NOT(AND(Simulations!$A7&lt;&gt;"",OR(Simulations!$BI7&lt;&gt;"",N(Simulations!$BK7)&gt;0))),0,MAX(N(Simulations!$BL7),N(Simulations!$BM7),N(Simulations!$BN7))/Simulations!$J7)</f>
        <v>10</v>
      </c>
      <c r="R7" s="0" t="n">
        <f aca="false">IF(OR(NOT(AND(Simulations!$A7&lt;&gt;"",OR(Simulations!$BI7&lt;&gt;"",N(Simulations!$BK7)&gt;0))),N(Simulations!$BJ7)&lt;=0),0,SQRT(2*Simulations!$BJ7*1000000/(Simulations!$J7*1000))/Simulations!$T7)</f>
        <v>0.14142135623731</v>
      </c>
      <c r="S7" s="0" t="n">
        <f aca="false">IF(AND(Simulations!$A7&lt;&gt;"",OR(Simulations!$BI7&lt;&gt;"",N(Simulations!$BK7)&gt;0)),1,0)</f>
        <v>1</v>
      </c>
      <c r="T7" s="0" t="n">
        <f aca="false">IF(OR(NOT(AND(Simulations!$A7&lt;&gt;"",OR(Simulations!$CA7&lt;&gt;"",N(Simulations!$CC7)&gt;0))),N(Simulations!$CD7)&lt;=0,N(Simulations!$CC7)&lt;=0,1&gt;N(Simulations!$O7)),0,IF(Simulations!$CD7&lt;Simulations!$J7,Simulations!$CC7/(Simulations!$G7*Simulations!$H7*IF(Simulations!$I7&gt;0,Simulations!$I7,1))*Simulations!$CD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D7/Simulations!$J7)^1.5+SQRT(LN(Simulations!$CD7/Simulations!$J7))+Simulations!$CD7/Simulations!$J7*SQRT(PI())/2*ERFC(SQRT(LN(Simulations!$CD7/Simulations!$J7)))),PI()*Simulations!$T7^2/2*(LN(Simulations!$CD7/Simulations!$J7)+1))))</f>
        <v>29.3532730881177</v>
      </c>
      <c r="U7" s="0" t="n">
        <f aca="false">IF(OR(NOT(AND(Simulations!$A7&lt;&gt;"",OR(Simulations!$CA7&lt;&gt;"",N(Simulations!$CC7)&gt;0))),N(Simulations!$CE7)&lt;=0,N(Simulations!$CC7)&lt;=0,2&gt;N(Simulations!$O7)),0,IF(Simulations!$CE7&lt;Simulations!$J7,Simulations!$CC7/(Simulations!$G7*Simulations!$H7*IF(Simulations!$I7&gt;0,Simulations!$I7,1))*Simulations!$CE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E7/Simulations!$J7)^1.5+SQRT(LN(Simulations!$CE7/Simulations!$J7))+Simulations!$CE7/Simulations!$J7*SQRT(PI())/2*ERFC(SQRT(LN(Simulations!$CE7/Simulations!$J7)))),PI()*Simulations!$T7^2/2*(LN(Simulations!$CE7/Simulations!$J7)+1))))</f>
        <v>29.3532730881177</v>
      </c>
      <c r="V7" s="0" t="n">
        <f aca="false">IF(OR(NOT(AND(Simulations!$A7&lt;&gt;"",OR(Simulations!$CA7&lt;&gt;"",N(Simulations!$CC7)&gt;0))),N(Simulations!$CF7)&lt;=0,N(Simulations!$CC7)&lt;=0,3&gt;N(Simulations!$O7)),0,IF(Simulations!$CF7&lt;Simulations!$J7,Simulations!$CC7/(Simulations!$G7*Simulations!$H7*IF(Simulations!$I7&gt;0,Simulations!$I7,1))*Simulations!$CF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F7/Simulations!$J7)^1.5+SQRT(LN(Simulations!$CF7/Simulations!$J7))+Simulations!$CF7/Simulations!$J7*SQRT(PI())/2*ERFC(SQRT(LN(Simulations!$CF7/Simulations!$J7)))),PI()*Simulations!$T7^2/2*(LN(Simulations!$CF7/Simulations!$J7)+1))))</f>
        <v>29.3532730881177</v>
      </c>
      <c r="W7" s="0" t="n">
        <f aca="false">IF(NOT(AND(Simulations!$A7&lt;&gt;"",OR(Simulations!$CA7&lt;&gt;"",N(Simulations!$CC7)&gt;0))),0,MAX(N(Simulations!$CD7),N(Simulations!$CE7),N(Simulations!$CF7))/Simulations!$J7)</f>
        <v>10</v>
      </c>
      <c r="X7" s="0" t="n">
        <f aca="false">IF(OR(NOT(AND(Simulations!$A7&lt;&gt;"",OR(Simulations!$CA7&lt;&gt;"",N(Simulations!$CC7)&gt;0))),N(Simulations!$CB7)&lt;=0),0,SQRT(2*Simulations!$CB7*1000000/(Simulations!$J7*1000))/Simulations!$T7)</f>
        <v>0.0406201920231798</v>
      </c>
      <c r="Y7" s="0" t="n">
        <f aca="false">IF(AND(Simulations!$A7&lt;&gt;"",OR(Simulations!$CA7&lt;&gt;"",N(Simulations!$CC7)&gt;0)),1,0)</f>
        <v>1</v>
      </c>
      <c r="Z7" s="0" t="n">
        <f aca="false">IF(OR(NOT(AND(Simulations!$A7&lt;&gt;"",OR(Simulations!$CS7&lt;&gt;"",N(Simulations!$CU7)&gt;0))),N(Simulations!$CV7)&lt;=0,N(Simulations!$CU7)&lt;=0,1&gt;N(Simulations!$O7)),0,IF(Simulations!$CV7&lt;Simulations!$J7,Simulations!$CU7/(Simulations!$G7*Simulations!$H7*IF(Simulations!$I7&gt;0,Simulations!$I7,1))*Simulations!$CV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V7/Simulations!$J7)^1.5+SQRT(LN(Simulations!$CV7/Simulations!$J7))+Simulations!$CV7/Simulations!$J7*SQRT(PI())/2*ERFC(SQRT(LN(Simulations!$CV7/Simulations!$J7)))),PI()*Simulations!$T7^2/2*(LN(Simulations!$CV7/Simulations!$J7)+1))))</f>
        <v>29.3532730881177</v>
      </c>
      <c r="AA7" s="0" t="n">
        <f aca="false">IF(OR(NOT(AND(Simulations!$A7&lt;&gt;"",OR(Simulations!$CS7&lt;&gt;"",N(Simulations!$CU7)&gt;0))),N(Simulations!$CW7)&lt;=0,N(Simulations!$CU7)&lt;=0,2&gt;N(Simulations!$O7)),0,IF(Simulations!$CW7&lt;Simulations!$J7,Simulations!$CU7/(Simulations!$G7*Simulations!$H7*IF(Simulations!$I7&gt;0,Simulations!$I7,1))*Simulations!$CW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W7/Simulations!$J7)^1.5+SQRT(LN(Simulations!$CW7/Simulations!$J7))+Simulations!$CW7/Simulations!$J7*SQRT(PI())/2*ERFC(SQRT(LN(Simulations!$CW7/Simulations!$J7)))),PI()*Simulations!$T7^2/2*(LN(Simulations!$CW7/Simulations!$J7)+1))))</f>
        <v>29.3532730881177</v>
      </c>
      <c r="AB7" s="0" t="n">
        <f aca="false">IF(OR(NOT(AND(Simulations!$A7&lt;&gt;"",OR(Simulations!$CS7&lt;&gt;"",N(Simulations!$CU7)&gt;0))),N(Simulations!$CX7)&lt;=0,N(Simulations!$CU7)&lt;=0,3&gt;N(Simulations!$O7)),0,IF(Simulations!$CX7&lt;Simulations!$J7,Simulations!$CU7/(Simulations!$G7*Simulations!$H7*IF(Simulations!$I7&gt;0,Simulations!$I7,1))*Simulations!$CX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X7/Simulations!$J7)^1.5+SQRT(LN(Simulations!$CX7/Simulations!$J7))+Simulations!$CX7/Simulations!$J7*SQRT(PI())/2*ERFC(SQRT(LN(Simulations!$CX7/Simulations!$J7)))),PI()*Simulations!$T7^2/2*(LN(Simulations!$CX7/Simulations!$J7)+1))))</f>
        <v>0</v>
      </c>
      <c r="AC7" s="0" t="n">
        <f aca="false">IF(NOT(AND(Simulations!$A7&lt;&gt;"",OR(Simulations!$CS7&lt;&gt;"",N(Simulations!$CU7)&gt;0))),0,MAX(N(Simulations!$CV7),N(Simulations!$CW7),N(Simulations!$CX7))/Simulations!$J7)</f>
        <v>10</v>
      </c>
      <c r="AD7" s="0" t="n">
        <f aca="false">IF(OR(NOT(AND(Simulations!$A7&lt;&gt;"",OR(Simulations!$CS7&lt;&gt;"",N(Simulations!$CU7)&gt;0))),N(Simulations!$CT7)&lt;=0),0,SQRT(2*Simulations!$CT7*1000000/(Simulations!$J7*1000))/Simulations!$T7)</f>
        <v>0.0418330013267038</v>
      </c>
      <c r="AE7" s="0" t="n">
        <f aca="false">IF(AND(Simulations!$A7&lt;&gt;"",OR(Simulations!$CS7&lt;&gt;"",N(Simulations!$CU7)&gt;0)),1,0)</f>
        <v>1</v>
      </c>
      <c r="AF7" s="0" t="n">
        <f aca="false">IF(OR(NOT(AND(Simulations!$A7&lt;&gt;"",OR(Simulations!$DK7&lt;&gt;"",N(Simulations!$DM7)&gt;0))),N(Simulations!$DN7)&lt;=0,N(Simulations!$DM7)&lt;=0,1&gt;N(Simulations!$O7)),0,IF(Simulations!$DN7&lt;Simulations!$J7,Simulations!$DM7/(Simulations!$G7*Simulations!$H7*IF(Simulations!$I7&gt;0,Simulations!$I7,1))*Simulations!$DN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N7/Simulations!$J7)^1.5+SQRT(LN(Simulations!$DN7/Simulations!$J7))+Simulations!$DN7/Simulations!$J7*SQRT(PI())/2*ERFC(SQRT(LN(Simulations!$DN7/Simulations!$J7)))),PI()*Simulations!$T7^2/2*(LN(Simulations!$DN7/Simulations!$J7)+1))))</f>
        <v>38.6873848879807</v>
      </c>
      <c r="AG7" s="0" t="n">
        <f aca="false">IF(OR(NOT(AND(Simulations!$A7&lt;&gt;"",OR(Simulations!$DK7&lt;&gt;"",N(Simulations!$DM7)&gt;0))),N(Simulations!$DO7)&lt;=0,N(Simulations!$DM7)&lt;=0,2&gt;N(Simulations!$O7)),0,IF(Simulations!$DO7&lt;Simulations!$J7,Simulations!$DM7/(Simulations!$G7*Simulations!$H7*IF(Simulations!$I7&gt;0,Simulations!$I7,1))*Simulations!$DO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O7/Simulations!$J7)^1.5+SQRT(LN(Simulations!$DO7/Simulations!$J7))+Simulations!$DO7/Simulations!$J7*SQRT(PI())/2*ERFC(SQRT(LN(Simulations!$DO7/Simulations!$J7)))),PI()*Simulations!$T7^2/2*(LN(Simulations!$DO7/Simulations!$J7)+1))))</f>
        <v>29.3532730881177</v>
      </c>
      <c r="AH7" s="0" t="n">
        <f aca="false">IF(OR(NOT(AND(Simulations!$A7&lt;&gt;"",OR(Simulations!$DK7&lt;&gt;"",N(Simulations!$DM7)&gt;0))),N(Simulations!$DP7)&lt;=0,N(Simulations!$DM7)&lt;=0,3&gt;N(Simulations!$O7)),0,IF(Simulations!$DP7&lt;Simulations!$J7,Simulations!$DM7/(Simulations!$G7*Simulations!$H7*IF(Simulations!$I7&gt;0,Simulations!$I7,1))*Simulations!$DP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P7/Simulations!$J7)^1.5+SQRT(LN(Simulations!$DP7/Simulations!$J7))+Simulations!$DP7/Simulations!$J7*SQRT(PI())/2*ERFC(SQRT(LN(Simulations!$DP7/Simulations!$J7)))),PI()*Simulations!$T7^2/2*(LN(Simulations!$DP7/Simulations!$J7)+1))))</f>
        <v>0</v>
      </c>
      <c r="AI7" s="0" t="n">
        <f aca="false">IF(NOT(AND(Simulations!$A7&lt;&gt;"",OR(Simulations!$DK7&lt;&gt;"",N(Simulations!$DM7)&gt;0))),0,MAX(N(Simulations!$DN7),N(Simulations!$DO7),N(Simulations!$DP7))/Simulations!$J7)</f>
        <v>20</v>
      </c>
      <c r="AJ7" s="0" t="n">
        <f aca="false">IF(OR(NOT(AND(Simulations!$A7&lt;&gt;"",OR(Simulations!$DK7&lt;&gt;"",N(Simulations!$DM7)&gt;0))),N(Simulations!$DL7)&lt;=0),0,SQRT(2*Simulations!$DL7*1000000/(Simulations!$J7*1000))/Simulations!$T7)</f>
        <v>0.0406201920231798</v>
      </c>
      <c r="AK7" s="0" t="n">
        <f aca="false">IF(AND(Simulations!$A7&lt;&gt;"",OR(Simulations!$DK7&lt;&gt;"",N(Simulations!$DM7)&gt;0)),1,0)</f>
        <v>1</v>
      </c>
    </row>
    <row r="8" customFormat="false" ht="15" hidden="false" customHeight="false" outlineLevel="0" collapsed="false">
      <c r="B8" s="0" t="n">
        <f aca="false">IF(OR(NOT(AND(Simulations!$A8&lt;&gt;"",OR(Simulations!$Y8&lt;&gt;"",N(Simulations!$AA8)&gt;0))),N(Simulations!$AB8)&lt;=0,N(Simulations!$AA8)&lt;=0,1&gt;N(Simulations!$O8)),0,IF(Simulations!$AB8&lt;Simulations!$J8,Simulations!$AA8/(Simulations!$G8*Simulations!$H8*IF(Simulations!$I8&gt;0,Simulations!$I8,1))*Simulations!$AB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B8/Simulations!$J8)^1.5+SQRT(LN(Simulations!$AB8/Simulations!$J8))+Simulations!$AB8/Simulations!$J8*SQRT(PI())/2*ERFC(SQRT(LN(Simulations!$AB8/Simulations!$J8)))),PI()*Simulations!$T8^2/2*(LN(Simulations!$AB8/Simulations!$J8)+1))))</f>
        <v>29.3532730881177</v>
      </c>
      <c r="C8" s="0" t="n">
        <f aca="false">IF(OR(NOT(AND(Simulations!$A8&lt;&gt;"",OR(Simulations!$Y8&lt;&gt;"",N(Simulations!$AA8)&gt;0))),N(Simulations!$AC8)&lt;=0,N(Simulations!$AA8)&lt;=0,2&gt;N(Simulations!$O8)),0,IF(Simulations!$AC8&lt;Simulations!$J8,Simulations!$AA8/(Simulations!$G8*Simulations!$H8*IF(Simulations!$I8&gt;0,Simulations!$I8,1))*Simulations!$AC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C8/Simulations!$J8)^1.5+SQRT(LN(Simulations!$AC8/Simulations!$J8))+Simulations!$AC8/Simulations!$J8*SQRT(PI())/2*ERFC(SQRT(LN(Simulations!$AC8/Simulations!$J8)))),PI()*Simulations!$T8^2/2*(LN(Simulations!$AC8/Simulations!$J8)+1))))</f>
        <v>0</v>
      </c>
      <c r="D8" s="0" t="n">
        <f aca="false">IF(OR(NOT(AND(Simulations!$A8&lt;&gt;"",OR(Simulations!$Y8&lt;&gt;"",N(Simulations!$AA8)&gt;0))),N(Simulations!$AD8)&lt;=0,N(Simulations!$AA8)&lt;=0,3&gt;N(Simulations!$O8)),0,IF(Simulations!$AD8&lt;Simulations!$J8,Simulations!$AA8/(Simulations!$G8*Simulations!$H8*IF(Simulations!$I8&gt;0,Simulations!$I8,1))*Simulations!$AD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D8/Simulations!$J8)^1.5+SQRT(LN(Simulations!$AD8/Simulations!$J8))+Simulations!$AD8/Simulations!$J8*SQRT(PI())/2*ERFC(SQRT(LN(Simulations!$AD8/Simulations!$J8)))),PI()*Simulations!$T8^2/2*(LN(Simulations!$AD8/Simulations!$J8)+1))))</f>
        <v>0</v>
      </c>
      <c r="E8" s="0" t="n">
        <f aca="false">IF(NOT(AND(Simulations!$A8&lt;&gt;"",OR(Simulations!$Y8&lt;&gt;"",N(Simulations!$AA8)&gt;0))),0,MAX(N(Simulations!$AB8),N(Simulations!$AC8),N(Simulations!$AD8))/Simulations!$J8)</f>
        <v>10</v>
      </c>
      <c r="F8" s="0" t="n">
        <f aca="false">IF(OR(NOT(AND(Simulations!$A8&lt;&gt;"",OR(Simulations!$Y8&lt;&gt;"",N(Simulations!$AA8)&gt;0))),N(Simulations!$Z8)&lt;=0),0,SQRT(2*Simulations!$Z8*1000000/(Simulations!$J8*1000))/Simulations!$T8)</f>
        <v>0.14142135623731</v>
      </c>
      <c r="G8" s="0" t="n">
        <f aca="false">IF(AND(Simulations!$A8&lt;&gt;"",OR(Simulations!$Y8&lt;&gt;"",N(Simulations!$AA8)&gt;0)),1,0)</f>
        <v>1</v>
      </c>
      <c r="H8" s="0" t="n">
        <f aca="false">IF(OR(NOT(AND(Simulations!$A8&lt;&gt;"",OR(Simulations!$AQ8&lt;&gt;"",N(Simulations!$AS8)&gt;0))),N(Simulations!$AT8)&lt;=0,N(Simulations!$AS8)&lt;=0,1&gt;N(Simulations!$O8)),0,IF(Simulations!$AT8&lt;Simulations!$J8,Simulations!$AS8/(Simulations!$G8*Simulations!$H8*IF(Simulations!$I8&gt;0,Simulations!$I8,1))*Simulations!$AT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T8/Simulations!$J8)^1.5+SQRT(LN(Simulations!$AT8/Simulations!$J8))+Simulations!$AT8/Simulations!$J8*SQRT(PI())/2*ERFC(SQRT(LN(Simulations!$AT8/Simulations!$J8)))),PI()*Simulations!$T8^2/2*(LN(Simulations!$AT8/Simulations!$J8)+1))))</f>
        <v>0</v>
      </c>
      <c r="I8" s="0" t="n">
        <f aca="false">IF(OR(NOT(AND(Simulations!$A8&lt;&gt;"",OR(Simulations!$AQ8&lt;&gt;"",N(Simulations!$AS8)&gt;0))),N(Simulations!$AU8)&lt;=0,N(Simulations!$AS8)&lt;=0,2&gt;N(Simulations!$O8)),0,IF(Simulations!$AU8&lt;Simulations!$J8,Simulations!$AS8/(Simulations!$G8*Simulations!$H8*IF(Simulations!$I8&gt;0,Simulations!$I8,1))*Simulations!$AU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U8/Simulations!$J8)^1.5+SQRT(LN(Simulations!$AU8/Simulations!$J8))+Simulations!$AU8/Simulations!$J8*SQRT(PI())/2*ERFC(SQRT(LN(Simulations!$AU8/Simulations!$J8)))),PI()*Simulations!$T8^2/2*(LN(Simulations!$AU8/Simulations!$J8)+1))))</f>
        <v>24.9200322255786</v>
      </c>
      <c r="J8" s="0" t="n">
        <f aca="false">IF(OR(NOT(AND(Simulations!$A8&lt;&gt;"",OR(Simulations!$AQ8&lt;&gt;"",N(Simulations!$AS8)&gt;0))),N(Simulations!$AV8)&lt;=0,N(Simulations!$AS8)&lt;=0,3&gt;N(Simulations!$O8)),0,IF(Simulations!$AV8&lt;Simulations!$J8,Simulations!$AS8/(Simulations!$G8*Simulations!$H8*IF(Simulations!$I8&gt;0,Simulations!$I8,1))*Simulations!$AV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V8/Simulations!$J8)^1.5+SQRT(LN(Simulations!$AV8/Simulations!$J8))+Simulations!$AV8/Simulations!$J8*SQRT(PI())/2*ERFC(SQRT(LN(Simulations!$AV8/Simulations!$J8)))),PI()*Simulations!$T8^2/2*(LN(Simulations!$AV8/Simulations!$J8)+1))))</f>
        <v>0</v>
      </c>
      <c r="K8" s="0" t="n">
        <f aca="false">IF(NOT(AND(Simulations!$A8&lt;&gt;"",OR(Simulations!$AQ8&lt;&gt;"",N(Simulations!$AS8)&gt;0))),0,MAX(N(Simulations!$AT8),N(Simulations!$AU8),N(Simulations!$AV8))/Simulations!$J8)</f>
        <v>7</v>
      </c>
      <c r="L8" s="0" t="n">
        <f aca="false">IF(OR(NOT(AND(Simulations!$A8&lt;&gt;"",OR(Simulations!$AQ8&lt;&gt;"",N(Simulations!$AS8)&gt;0))),N(Simulations!$AR8)&lt;=0),0,SQRT(2*Simulations!$AR8*1000000/(Simulations!$J8*1000))/Simulations!$T8)</f>
        <v>0.14142135623731</v>
      </c>
      <c r="M8" s="0" t="n">
        <f aca="false">IF(AND(Simulations!$A8&lt;&gt;"",OR(Simulations!$AQ8&lt;&gt;"",N(Simulations!$AS8)&gt;0)),1,0)</f>
        <v>1</v>
      </c>
      <c r="N8" s="0" t="n">
        <f aca="false">IF(OR(NOT(AND(Simulations!$A8&lt;&gt;"",OR(Simulations!$BI8&lt;&gt;"",N(Simulations!$BK8)&gt;0))),N(Simulations!$BL8)&lt;=0,N(Simulations!$BK8)&lt;=0,1&gt;N(Simulations!$O8)),0,IF(Simulations!$BL8&lt;Simulations!$J8,Simulations!$BK8/(Simulations!$G8*Simulations!$H8*IF(Simulations!$I8&gt;0,Simulations!$I8,1))*Simulations!$BL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L8/Simulations!$J8)^1.5+SQRT(LN(Simulations!$BL8/Simulations!$J8))+Simulations!$BL8/Simulations!$J8*SQRT(PI())/2*ERFC(SQRT(LN(Simulations!$BL8/Simulations!$J8)))),PI()*Simulations!$T8^2/2*(LN(Simulations!$BL8/Simulations!$J8)+1))))</f>
        <v>0</v>
      </c>
      <c r="O8" s="0" t="n">
        <f aca="false">IF(OR(NOT(AND(Simulations!$A8&lt;&gt;"",OR(Simulations!$BI8&lt;&gt;"",N(Simulations!$BK8)&gt;0))),N(Simulations!$BM8)&lt;=0,N(Simulations!$BK8)&lt;=0,2&gt;N(Simulations!$O8)),0,IF(Simulations!$BM8&lt;Simulations!$J8,Simulations!$BK8/(Simulations!$G8*Simulations!$H8*IF(Simulations!$I8&gt;0,Simulations!$I8,1))*Simulations!$BM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M8/Simulations!$J8)^1.5+SQRT(LN(Simulations!$BM8/Simulations!$J8))+Simulations!$BM8/Simulations!$J8*SQRT(PI())/2*ERFC(SQRT(LN(Simulations!$BM8/Simulations!$J8)))),PI()*Simulations!$T8^2/2*(LN(Simulations!$BM8/Simulations!$J8)+1))))</f>
        <v>0</v>
      </c>
      <c r="P8" s="0" t="n">
        <f aca="false">IF(OR(NOT(AND(Simulations!$A8&lt;&gt;"",OR(Simulations!$BI8&lt;&gt;"",N(Simulations!$BK8)&gt;0))),N(Simulations!$BN8)&lt;=0,N(Simulations!$BK8)&lt;=0,3&gt;N(Simulations!$O8)),0,IF(Simulations!$BN8&lt;Simulations!$J8,Simulations!$BK8/(Simulations!$G8*Simulations!$H8*IF(Simulations!$I8&gt;0,Simulations!$I8,1))*Simulations!$BN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N8/Simulations!$J8)^1.5+SQRT(LN(Simulations!$BN8/Simulations!$J8))+Simulations!$BN8/Simulations!$J8*SQRT(PI())/2*ERFC(SQRT(LN(Simulations!$BN8/Simulations!$J8)))),PI()*Simulations!$T8^2/2*(LN(Simulations!$BN8/Simulations!$J8)+1))))</f>
        <v>20.9873877075729</v>
      </c>
      <c r="Q8" s="0" t="n">
        <f aca="false">IF(NOT(AND(Simulations!$A8&lt;&gt;"",OR(Simulations!$BI8&lt;&gt;"",N(Simulations!$BK8)&gt;0))),0,MAX(N(Simulations!$BL8),N(Simulations!$BM8),N(Simulations!$BN8))/Simulations!$J8)</f>
        <v>5</v>
      </c>
      <c r="R8" s="0" t="n">
        <f aca="false">IF(OR(NOT(AND(Simulations!$A8&lt;&gt;"",OR(Simulations!$BI8&lt;&gt;"",N(Simulations!$BK8)&gt;0))),N(Simulations!$BJ8)&lt;=0),0,SQRT(2*Simulations!$BJ8*1000000/(Simulations!$J8*1000))/Simulations!$T8)</f>
        <v>0.14142135623731</v>
      </c>
      <c r="S8" s="0" t="n">
        <f aca="false">IF(AND(Simulations!$A8&lt;&gt;"",OR(Simulations!$BI8&lt;&gt;"",N(Simulations!$BK8)&gt;0)),1,0)</f>
        <v>1</v>
      </c>
      <c r="T8" s="0" t="n">
        <f aca="false">IF(OR(NOT(AND(Simulations!$A8&lt;&gt;"",OR(Simulations!$CA8&lt;&gt;"",N(Simulations!$CC8)&gt;0))),N(Simulations!$CD8)&lt;=0,N(Simulations!$CC8)&lt;=0,1&gt;N(Simulations!$O8)),0,IF(Simulations!$CD8&lt;Simulations!$J8,Simulations!$CC8/(Simulations!$G8*Simulations!$H8*IF(Simulations!$I8&gt;0,Simulations!$I8,1))*Simulations!$CD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D8/Simulations!$J8)^1.5+SQRT(LN(Simulations!$CD8/Simulations!$J8))+Simulations!$CD8/Simulations!$J8*SQRT(PI())/2*ERFC(SQRT(LN(Simulations!$CD8/Simulations!$J8)))),PI()*Simulations!$T8^2/2*(LN(Simulations!$CD8/Simulations!$J8)+1))))</f>
        <v>29.3532730881177</v>
      </c>
      <c r="U8" s="0" t="n">
        <f aca="false">IF(OR(NOT(AND(Simulations!$A8&lt;&gt;"",OR(Simulations!$CA8&lt;&gt;"",N(Simulations!$CC8)&gt;0))),N(Simulations!$CE8)&lt;=0,N(Simulations!$CC8)&lt;=0,2&gt;N(Simulations!$O8)),0,IF(Simulations!$CE8&lt;Simulations!$J8,Simulations!$CC8/(Simulations!$G8*Simulations!$H8*IF(Simulations!$I8&gt;0,Simulations!$I8,1))*Simulations!$CE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E8/Simulations!$J8)^1.5+SQRT(LN(Simulations!$CE8/Simulations!$J8))+Simulations!$CE8/Simulations!$J8*SQRT(PI())/2*ERFC(SQRT(LN(Simulations!$CE8/Simulations!$J8)))),PI()*Simulations!$T8^2/2*(LN(Simulations!$CE8/Simulations!$J8)+1))))</f>
        <v>24.9200322255786</v>
      </c>
      <c r="V8" s="0" t="n">
        <f aca="false">IF(OR(NOT(AND(Simulations!$A8&lt;&gt;"",OR(Simulations!$CA8&lt;&gt;"",N(Simulations!$CC8)&gt;0))),N(Simulations!$CF8)&lt;=0,N(Simulations!$CC8)&lt;=0,3&gt;N(Simulations!$O8)),0,IF(Simulations!$CF8&lt;Simulations!$J8,Simulations!$CC8/(Simulations!$G8*Simulations!$H8*IF(Simulations!$I8&gt;0,Simulations!$I8,1))*Simulations!$CF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F8/Simulations!$J8)^1.5+SQRT(LN(Simulations!$CF8/Simulations!$J8))+Simulations!$CF8/Simulations!$J8*SQRT(PI())/2*ERFC(SQRT(LN(Simulations!$CF8/Simulations!$J8)))),PI()*Simulations!$T8^2/2*(LN(Simulations!$CF8/Simulations!$J8)+1))))</f>
        <v>20.9873877075729</v>
      </c>
      <c r="W8" s="0" t="n">
        <f aca="false">IF(NOT(AND(Simulations!$A8&lt;&gt;"",OR(Simulations!$CA8&lt;&gt;"",N(Simulations!$CC8)&gt;0))),0,MAX(N(Simulations!$CD8),N(Simulations!$CE8),N(Simulations!$CF8))/Simulations!$J8)</f>
        <v>10</v>
      </c>
      <c r="X8" s="0" t="n">
        <f aca="false">IF(OR(NOT(AND(Simulations!$A8&lt;&gt;"",OR(Simulations!$CA8&lt;&gt;"",N(Simulations!$CC8)&gt;0))),N(Simulations!$CB8)&lt;=0),0,SQRT(2*Simulations!$CB8*1000000/(Simulations!$J8*1000))/Simulations!$T8)</f>
        <v>0.0406201920231798</v>
      </c>
      <c r="Y8" s="0" t="n">
        <f aca="false">IF(AND(Simulations!$A8&lt;&gt;"",OR(Simulations!$CA8&lt;&gt;"",N(Simulations!$CC8)&gt;0)),1,0)</f>
        <v>1</v>
      </c>
      <c r="Z8" s="0" t="n">
        <f aca="false">IF(OR(NOT(AND(Simulations!$A8&lt;&gt;"",OR(Simulations!$CS8&lt;&gt;"",N(Simulations!$CU8)&gt;0))),N(Simulations!$CV8)&lt;=0,N(Simulations!$CU8)&lt;=0,1&gt;N(Simulations!$O8)),0,IF(Simulations!$CV8&lt;Simulations!$J8,Simulations!$CU8/(Simulations!$G8*Simulations!$H8*IF(Simulations!$I8&gt;0,Simulations!$I8,1))*Simulations!$CV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V8/Simulations!$J8)^1.5+SQRT(LN(Simulations!$CV8/Simulations!$J8))+Simulations!$CV8/Simulations!$J8*SQRT(PI())/2*ERFC(SQRT(LN(Simulations!$CV8/Simulations!$J8)))),PI()*Simulations!$T8^2/2*(LN(Simulations!$CV8/Simulations!$J8)+1))))</f>
        <v>38.6873848879807</v>
      </c>
      <c r="AA8" s="0" t="n">
        <f aca="false">IF(OR(NOT(AND(Simulations!$A8&lt;&gt;"",OR(Simulations!$CS8&lt;&gt;"",N(Simulations!$CU8)&gt;0))),N(Simulations!$CW8)&lt;=0,N(Simulations!$CU8)&lt;=0,2&gt;N(Simulations!$O8)),0,IF(Simulations!$CW8&lt;Simulations!$J8,Simulations!$CU8/(Simulations!$G8*Simulations!$H8*IF(Simulations!$I8&gt;0,Simulations!$I8,1))*Simulations!$CW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W8/Simulations!$J8)^1.5+SQRT(LN(Simulations!$CW8/Simulations!$J8))+Simulations!$CW8/Simulations!$J8*SQRT(PI())/2*ERFC(SQRT(LN(Simulations!$CW8/Simulations!$J8)))),PI()*Simulations!$T8^2/2*(LN(Simulations!$CW8/Simulations!$J8)+1))))</f>
        <v>24.9200322255786</v>
      </c>
      <c r="AB8" s="0" t="n">
        <f aca="false">IF(OR(NOT(AND(Simulations!$A8&lt;&gt;"",OR(Simulations!$CS8&lt;&gt;"",N(Simulations!$CU8)&gt;0))),N(Simulations!$CX8)&lt;=0,N(Simulations!$CU8)&lt;=0,3&gt;N(Simulations!$O8)),0,IF(Simulations!$CX8&lt;Simulations!$J8,Simulations!$CU8/(Simulations!$G8*Simulations!$H8*IF(Simulations!$I8&gt;0,Simulations!$I8,1))*Simulations!$CX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X8/Simulations!$J8)^1.5+SQRT(LN(Simulations!$CX8/Simulations!$J8))+Simulations!$CX8/Simulations!$J8*SQRT(PI())/2*ERFC(SQRT(LN(Simulations!$CX8/Simulations!$J8)))),PI()*Simulations!$T8^2/2*(LN(Simulations!$CX8/Simulations!$J8)+1))))</f>
        <v>0</v>
      </c>
      <c r="AC8" s="0" t="n">
        <f aca="false">IF(NOT(AND(Simulations!$A8&lt;&gt;"",OR(Simulations!$CS8&lt;&gt;"",N(Simulations!$CU8)&gt;0))),0,MAX(N(Simulations!$CV8),N(Simulations!$CW8),N(Simulations!$CX8))/Simulations!$J8)</f>
        <v>20</v>
      </c>
      <c r="AD8" s="0" t="n">
        <f aca="false">IF(OR(NOT(AND(Simulations!$A8&lt;&gt;"",OR(Simulations!$CS8&lt;&gt;"",N(Simulations!$CU8)&gt;0))),N(Simulations!$CT8)&lt;=0),0,SQRT(2*Simulations!$CT8*1000000/(Simulations!$J8*1000))/Simulations!$T8)</f>
        <v>0.0406201920231798</v>
      </c>
      <c r="AE8" s="0" t="n">
        <f aca="false">IF(AND(Simulations!$A8&lt;&gt;"",OR(Simulations!$CS8&lt;&gt;"",N(Simulations!$CU8)&gt;0)),1,0)</f>
        <v>1</v>
      </c>
      <c r="AF8" s="0" t="n">
        <f aca="false">IF(OR(NOT(AND(Simulations!$A8&lt;&gt;"",OR(Simulations!$DK8&lt;&gt;"",N(Simulations!$DM8)&gt;0))),N(Simulations!$DN8)&lt;=0,N(Simulations!$DM8)&lt;=0,1&gt;N(Simulations!$O8)),0,IF(Simulations!$DN8&lt;Simulations!$J8,Simulations!$DM8/(Simulations!$G8*Simulations!$H8*IF(Simulations!$I8&gt;0,Simulations!$I8,1))*Simulations!$DN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N8/Simulations!$J8)^1.5+SQRT(LN(Simulations!$DN8/Simulations!$J8))+Simulations!$DN8/Simulations!$J8*SQRT(PI())/2*ERFC(SQRT(LN(Simulations!$DN8/Simulations!$J8)))),PI()*Simulations!$T8^2/2*(LN(Simulations!$DN8/Simulations!$J8)+1))))</f>
        <v>0</v>
      </c>
      <c r="AG8" s="0" t="n">
        <f aca="false">IF(OR(NOT(AND(Simulations!$A8&lt;&gt;"",OR(Simulations!$DK8&lt;&gt;"",N(Simulations!$DM8)&gt;0))),N(Simulations!$DO8)&lt;=0,N(Simulations!$DM8)&lt;=0,2&gt;N(Simulations!$O8)),0,IF(Simulations!$DO8&lt;Simulations!$J8,Simulations!$DM8/(Simulations!$G8*Simulations!$H8*IF(Simulations!$I8&gt;0,Simulations!$I8,1))*Simulations!$DO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O8/Simulations!$J8)^1.5+SQRT(LN(Simulations!$DO8/Simulations!$J8))+Simulations!$DO8/Simulations!$J8*SQRT(PI())/2*ERFC(SQRT(LN(Simulations!$DO8/Simulations!$J8)))),PI()*Simulations!$T8^2/2*(LN(Simulations!$DO8/Simulations!$J8)+1))))</f>
        <v>0</v>
      </c>
      <c r="AH8" s="0" t="n">
        <f aca="false">IF(OR(NOT(AND(Simulations!$A8&lt;&gt;"",OR(Simulations!$DK8&lt;&gt;"",N(Simulations!$DM8)&gt;0))),N(Simulations!$DP8)&lt;=0,N(Simulations!$DM8)&lt;=0,3&gt;N(Simulations!$O8)),0,IF(Simulations!$DP8&lt;Simulations!$J8,Simulations!$DM8/(Simulations!$G8*Simulations!$H8*IF(Simulations!$I8&gt;0,Simulations!$I8,1))*Simulations!$DP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P8/Simulations!$J8)^1.5+SQRT(LN(Simulations!$DP8/Simulations!$J8))+Simulations!$DP8/Simulations!$J8*SQRT(PI())/2*ERFC(SQRT(LN(Simulations!$DP8/Simulations!$J8)))),PI()*Simulations!$T8^2/2*(LN(Simulations!$DP8/Simulations!$J8)+1))))</f>
        <v>0</v>
      </c>
      <c r="AI8" s="0" t="n">
        <f aca="false">IF(NOT(AND(Simulations!$A8&lt;&gt;"",OR(Simulations!$DK8&lt;&gt;"",N(Simulations!$DM8)&gt;0))),0,MAX(N(Simulations!$DN8),N(Simulations!$DO8),N(Simulations!$DP8))/Simulations!$J8)</f>
        <v>0</v>
      </c>
      <c r="AJ8" s="0" t="n">
        <f aca="false">IF(OR(NOT(AND(Simulations!$A8&lt;&gt;"",OR(Simulations!$DK8&lt;&gt;"",N(Simulations!$DM8)&gt;0))),N(Simulations!$DL8)&lt;=0),0,SQRT(2*Simulations!$DL8*1000000/(Simulations!$J8*1000))/Simulations!$T8)</f>
        <v>0</v>
      </c>
      <c r="AK8" s="0" t="n">
        <f aca="false">IF(AND(Simulations!$A8&lt;&gt;"",OR(Simulations!$DK8&lt;&gt;"",N(Simulations!$DM8)&gt;0)),1,0)</f>
        <v>0</v>
      </c>
    </row>
    <row r="9" customFormat="false" ht="15" hidden="false" customHeight="false" outlineLevel="0" collapsed="false">
      <c r="B9" s="0" t="n">
        <f aca="false">IF(OR(NOT(AND(Simulations!$A9&lt;&gt;"",OR(Simulations!$Y9&lt;&gt;"",N(Simulations!$AA9)&gt;0))),N(Simulations!$AB9)&lt;=0,N(Simulations!$AA9)&lt;=0,1&gt;N(Simulations!$O9)),0,IF(Simulations!$AB9&lt;Simulations!$J9,Simulations!$AA9/(Simulations!$G9*Simulations!$H9*IF(Simulations!$I9&gt;0,Simulations!$I9,1))*Simulations!$AB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B9/Simulations!$J9)^1.5+SQRT(LN(Simulations!$AB9/Simulations!$J9))+Simulations!$AB9/Simulations!$J9*SQRT(PI())/2*ERFC(SQRT(LN(Simulations!$AB9/Simulations!$J9)))),PI()*Simulations!$T9^2/2*(LN(Simulations!$AB9/Simulations!$J9)+1))))</f>
        <v>29.3532730881177</v>
      </c>
      <c r="C9" s="0" t="n">
        <f aca="false">IF(OR(NOT(AND(Simulations!$A9&lt;&gt;"",OR(Simulations!$Y9&lt;&gt;"",N(Simulations!$AA9)&gt;0))),N(Simulations!$AC9)&lt;=0,N(Simulations!$AA9)&lt;=0,2&gt;N(Simulations!$O9)),0,IF(Simulations!$AC9&lt;Simulations!$J9,Simulations!$AA9/(Simulations!$G9*Simulations!$H9*IF(Simulations!$I9&gt;0,Simulations!$I9,1))*Simulations!$AC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C9/Simulations!$J9)^1.5+SQRT(LN(Simulations!$AC9/Simulations!$J9))+Simulations!$AC9/Simulations!$J9*SQRT(PI())/2*ERFC(SQRT(LN(Simulations!$AC9/Simulations!$J9)))),PI()*Simulations!$T9^2/2*(LN(Simulations!$AC9/Simulations!$J9)+1))))</f>
        <v>0</v>
      </c>
      <c r="D9" s="0" t="n">
        <f aca="false">IF(OR(NOT(AND(Simulations!$A9&lt;&gt;"",OR(Simulations!$Y9&lt;&gt;"",N(Simulations!$AA9)&gt;0))),N(Simulations!$AD9)&lt;=0,N(Simulations!$AA9)&lt;=0,3&gt;N(Simulations!$O9)),0,IF(Simulations!$AD9&lt;Simulations!$J9,Simulations!$AA9/(Simulations!$G9*Simulations!$H9*IF(Simulations!$I9&gt;0,Simulations!$I9,1))*Simulations!$AD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D9/Simulations!$J9)^1.5+SQRT(LN(Simulations!$AD9/Simulations!$J9))+Simulations!$AD9/Simulations!$J9*SQRT(PI())/2*ERFC(SQRT(LN(Simulations!$AD9/Simulations!$J9)))),PI()*Simulations!$T9^2/2*(LN(Simulations!$AD9/Simulations!$J9)+1))))</f>
        <v>0</v>
      </c>
      <c r="E9" s="0" t="n">
        <f aca="false">IF(NOT(AND(Simulations!$A9&lt;&gt;"",OR(Simulations!$Y9&lt;&gt;"",N(Simulations!$AA9)&gt;0))),0,MAX(N(Simulations!$AB9),N(Simulations!$AC9),N(Simulations!$AD9))/Simulations!$J9)</f>
        <v>10</v>
      </c>
      <c r="F9" s="0" t="n">
        <f aca="false">IF(OR(NOT(AND(Simulations!$A9&lt;&gt;"",OR(Simulations!$Y9&lt;&gt;"",N(Simulations!$AA9)&gt;0))),N(Simulations!$Z9)&lt;=0),0,SQRT(2*Simulations!$Z9*1000000/(Simulations!$J9*1000))/Simulations!$T9)</f>
        <v>0.14142135623731</v>
      </c>
      <c r="G9" s="0" t="n">
        <f aca="false">IF(AND(Simulations!$A9&lt;&gt;"",OR(Simulations!$Y9&lt;&gt;"",N(Simulations!$AA9)&gt;0)),1,0)</f>
        <v>1</v>
      </c>
      <c r="H9" s="0" t="n">
        <f aca="false">IF(OR(NOT(AND(Simulations!$A9&lt;&gt;"",OR(Simulations!$AQ9&lt;&gt;"",N(Simulations!$AS9)&gt;0))),N(Simulations!$AT9)&lt;=0,N(Simulations!$AS9)&lt;=0,1&gt;N(Simulations!$O9)),0,IF(Simulations!$AT9&lt;Simulations!$J9,Simulations!$AS9/(Simulations!$G9*Simulations!$H9*IF(Simulations!$I9&gt;0,Simulations!$I9,1))*Simulations!$AT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T9/Simulations!$J9)^1.5+SQRT(LN(Simulations!$AT9/Simulations!$J9))+Simulations!$AT9/Simulations!$J9*SQRT(PI())/2*ERFC(SQRT(LN(Simulations!$AT9/Simulations!$J9)))),PI()*Simulations!$T9^2/2*(LN(Simulations!$AT9/Simulations!$J9)+1))))</f>
        <v>0</v>
      </c>
      <c r="I9" s="0" t="n">
        <f aca="false">IF(OR(NOT(AND(Simulations!$A9&lt;&gt;"",OR(Simulations!$AQ9&lt;&gt;"",N(Simulations!$AS9)&gt;0))),N(Simulations!$AU9)&lt;=0,N(Simulations!$AS9)&lt;=0,2&gt;N(Simulations!$O9)),0,IF(Simulations!$AU9&lt;Simulations!$J9,Simulations!$AS9/(Simulations!$G9*Simulations!$H9*IF(Simulations!$I9&gt;0,Simulations!$I9,1))*Simulations!$AU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U9/Simulations!$J9)^1.5+SQRT(LN(Simulations!$AU9/Simulations!$J9))+Simulations!$AU9/Simulations!$J9*SQRT(PI())/2*ERFC(SQRT(LN(Simulations!$AU9/Simulations!$J9)))),PI()*Simulations!$T9^2/2*(LN(Simulations!$AU9/Simulations!$J9)+1))))</f>
        <v>24.9200322255786</v>
      </c>
      <c r="J9" s="0" t="n">
        <f aca="false">IF(OR(NOT(AND(Simulations!$A9&lt;&gt;"",OR(Simulations!$AQ9&lt;&gt;"",N(Simulations!$AS9)&gt;0))),N(Simulations!$AV9)&lt;=0,N(Simulations!$AS9)&lt;=0,3&gt;N(Simulations!$O9)),0,IF(Simulations!$AV9&lt;Simulations!$J9,Simulations!$AS9/(Simulations!$G9*Simulations!$H9*IF(Simulations!$I9&gt;0,Simulations!$I9,1))*Simulations!$AV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V9/Simulations!$J9)^1.5+SQRT(LN(Simulations!$AV9/Simulations!$J9))+Simulations!$AV9/Simulations!$J9*SQRT(PI())/2*ERFC(SQRT(LN(Simulations!$AV9/Simulations!$J9)))),PI()*Simulations!$T9^2/2*(LN(Simulations!$AV9/Simulations!$J9)+1))))</f>
        <v>0</v>
      </c>
      <c r="K9" s="0" t="n">
        <f aca="false">IF(NOT(AND(Simulations!$A9&lt;&gt;"",OR(Simulations!$AQ9&lt;&gt;"",N(Simulations!$AS9)&gt;0))),0,MAX(N(Simulations!$AT9),N(Simulations!$AU9),N(Simulations!$AV9))/Simulations!$J9)</f>
        <v>7</v>
      </c>
      <c r="L9" s="0" t="n">
        <f aca="false">IF(OR(NOT(AND(Simulations!$A9&lt;&gt;"",OR(Simulations!$AQ9&lt;&gt;"",N(Simulations!$AS9)&gt;0))),N(Simulations!$AR9)&lt;=0),0,SQRT(2*Simulations!$AR9*1000000/(Simulations!$J9*1000))/Simulations!$T9)</f>
        <v>0.14142135623731</v>
      </c>
      <c r="M9" s="0" t="n">
        <f aca="false">IF(AND(Simulations!$A9&lt;&gt;"",OR(Simulations!$AQ9&lt;&gt;"",N(Simulations!$AS9)&gt;0)),1,0)</f>
        <v>1</v>
      </c>
      <c r="N9" s="0" t="n">
        <f aca="false">IF(OR(NOT(AND(Simulations!$A9&lt;&gt;"",OR(Simulations!$BI9&lt;&gt;"",N(Simulations!$BK9)&gt;0))),N(Simulations!$BL9)&lt;=0,N(Simulations!$BK9)&lt;=0,1&gt;N(Simulations!$O9)),0,IF(Simulations!$BL9&lt;Simulations!$J9,Simulations!$BK9/(Simulations!$G9*Simulations!$H9*IF(Simulations!$I9&gt;0,Simulations!$I9,1))*Simulations!$BL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L9/Simulations!$J9)^1.5+SQRT(LN(Simulations!$BL9/Simulations!$J9))+Simulations!$BL9/Simulations!$J9*SQRT(PI())/2*ERFC(SQRT(LN(Simulations!$BL9/Simulations!$J9)))),PI()*Simulations!$T9^2/2*(LN(Simulations!$BL9/Simulations!$J9)+1))))</f>
        <v>0</v>
      </c>
      <c r="O9" s="0" t="n">
        <f aca="false">IF(OR(NOT(AND(Simulations!$A9&lt;&gt;"",OR(Simulations!$BI9&lt;&gt;"",N(Simulations!$BK9)&gt;0))),N(Simulations!$BM9)&lt;=0,N(Simulations!$BK9)&lt;=0,2&gt;N(Simulations!$O9)),0,IF(Simulations!$BM9&lt;Simulations!$J9,Simulations!$BK9/(Simulations!$G9*Simulations!$H9*IF(Simulations!$I9&gt;0,Simulations!$I9,1))*Simulations!$BM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M9/Simulations!$J9)^1.5+SQRT(LN(Simulations!$BM9/Simulations!$J9))+Simulations!$BM9/Simulations!$J9*SQRT(PI())/2*ERFC(SQRT(LN(Simulations!$BM9/Simulations!$J9)))),PI()*Simulations!$T9^2/2*(LN(Simulations!$BM9/Simulations!$J9)+1))))</f>
        <v>0</v>
      </c>
      <c r="P9" s="0" t="n">
        <f aca="false">IF(OR(NOT(AND(Simulations!$A9&lt;&gt;"",OR(Simulations!$BI9&lt;&gt;"",N(Simulations!$BK9)&gt;0))),N(Simulations!$BN9)&lt;=0,N(Simulations!$BK9)&lt;=0,3&gt;N(Simulations!$O9)),0,IF(Simulations!$BN9&lt;Simulations!$J9,Simulations!$BK9/(Simulations!$G9*Simulations!$H9*IF(Simulations!$I9&gt;0,Simulations!$I9,1))*Simulations!$BN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N9/Simulations!$J9)^1.5+SQRT(LN(Simulations!$BN9/Simulations!$J9))+Simulations!$BN9/Simulations!$J9*SQRT(PI())/2*ERFC(SQRT(LN(Simulations!$BN9/Simulations!$J9)))),PI()*Simulations!$T9^2/2*(LN(Simulations!$BN9/Simulations!$J9)+1))))</f>
        <v>20.9873877075729</v>
      </c>
      <c r="Q9" s="0" t="n">
        <f aca="false">IF(NOT(AND(Simulations!$A9&lt;&gt;"",OR(Simulations!$BI9&lt;&gt;"",N(Simulations!$BK9)&gt;0))),0,MAX(N(Simulations!$BL9),N(Simulations!$BM9),N(Simulations!$BN9))/Simulations!$J9)</f>
        <v>5</v>
      </c>
      <c r="R9" s="0" t="n">
        <f aca="false">IF(OR(NOT(AND(Simulations!$A9&lt;&gt;"",OR(Simulations!$BI9&lt;&gt;"",N(Simulations!$BK9)&gt;0))),N(Simulations!$BJ9)&lt;=0),0,SQRT(2*Simulations!$BJ9*1000000/(Simulations!$J9*1000))/Simulations!$T9)</f>
        <v>0.14142135623731</v>
      </c>
      <c r="S9" s="0" t="n">
        <f aca="false">IF(AND(Simulations!$A9&lt;&gt;"",OR(Simulations!$BI9&lt;&gt;"",N(Simulations!$BK9)&gt;0)),1,0)</f>
        <v>1</v>
      </c>
      <c r="T9" s="0" t="n">
        <f aca="false">IF(OR(NOT(AND(Simulations!$A9&lt;&gt;"",OR(Simulations!$CA9&lt;&gt;"",N(Simulations!$CC9)&gt;0))),N(Simulations!$CD9)&lt;=0,N(Simulations!$CC9)&lt;=0,1&gt;N(Simulations!$O9)),0,IF(Simulations!$CD9&lt;Simulations!$J9,Simulations!$CC9/(Simulations!$G9*Simulations!$H9*IF(Simulations!$I9&gt;0,Simulations!$I9,1))*Simulations!$CD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D9/Simulations!$J9)^1.5+SQRT(LN(Simulations!$CD9/Simulations!$J9))+Simulations!$CD9/Simulations!$J9*SQRT(PI())/2*ERFC(SQRT(LN(Simulations!$CD9/Simulations!$J9)))),PI()*Simulations!$T9^2/2*(LN(Simulations!$CD9/Simulations!$J9)+1))))</f>
        <v>38.6873848879807</v>
      </c>
      <c r="U9" s="0" t="n">
        <f aca="false">IF(OR(NOT(AND(Simulations!$A9&lt;&gt;"",OR(Simulations!$CA9&lt;&gt;"",N(Simulations!$CC9)&gt;0))),N(Simulations!$CE9)&lt;=0,N(Simulations!$CC9)&lt;=0,2&gt;N(Simulations!$O9)),0,IF(Simulations!$CE9&lt;Simulations!$J9,Simulations!$CC9/(Simulations!$G9*Simulations!$H9*IF(Simulations!$I9&gt;0,Simulations!$I9,1))*Simulations!$CE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E9/Simulations!$J9)^1.5+SQRT(LN(Simulations!$CE9/Simulations!$J9))+Simulations!$CE9/Simulations!$J9*SQRT(PI())/2*ERFC(SQRT(LN(Simulations!$CE9/Simulations!$J9)))),PI()*Simulations!$T9^2/2*(LN(Simulations!$CE9/Simulations!$J9)+1))))</f>
        <v>24.9200322255786</v>
      </c>
      <c r="V9" s="0" t="n">
        <f aca="false">IF(OR(NOT(AND(Simulations!$A9&lt;&gt;"",OR(Simulations!$CA9&lt;&gt;"",N(Simulations!$CC9)&gt;0))),N(Simulations!$CF9)&lt;=0,N(Simulations!$CC9)&lt;=0,3&gt;N(Simulations!$O9)),0,IF(Simulations!$CF9&lt;Simulations!$J9,Simulations!$CC9/(Simulations!$G9*Simulations!$H9*IF(Simulations!$I9&gt;0,Simulations!$I9,1))*Simulations!$CF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F9/Simulations!$J9)^1.5+SQRT(LN(Simulations!$CF9/Simulations!$J9))+Simulations!$CF9/Simulations!$J9*SQRT(PI())/2*ERFC(SQRT(LN(Simulations!$CF9/Simulations!$J9)))),PI()*Simulations!$T9^2/2*(LN(Simulations!$CF9/Simulations!$J9)+1))))</f>
        <v>0</v>
      </c>
      <c r="W9" s="0" t="n">
        <f aca="false">IF(NOT(AND(Simulations!$A9&lt;&gt;"",OR(Simulations!$CA9&lt;&gt;"",N(Simulations!$CC9)&gt;0))),0,MAX(N(Simulations!$CD9),N(Simulations!$CE9),N(Simulations!$CF9))/Simulations!$J9)</f>
        <v>20</v>
      </c>
      <c r="X9" s="0" t="n">
        <f aca="false">IF(OR(NOT(AND(Simulations!$A9&lt;&gt;"",OR(Simulations!$CA9&lt;&gt;"",N(Simulations!$CC9)&gt;0))),N(Simulations!$CB9)&lt;=0),0,SQRT(2*Simulations!$CB9*1000000/(Simulations!$J9*1000))/Simulations!$T9)</f>
        <v>0.0406201920231798</v>
      </c>
      <c r="Y9" s="0" t="n">
        <f aca="false">IF(AND(Simulations!$A9&lt;&gt;"",OR(Simulations!$CA9&lt;&gt;"",N(Simulations!$CC9)&gt;0)),1,0)</f>
        <v>1</v>
      </c>
      <c r="Z9" s="0" t="n">
        <f aca="false">IF(OR(NOT(AND(Simulations!$A9&lt;&gt;"",OR(Simulations!$CS9&lt;&gt;"",N(Simulations!$CU9)&gt;0))),N(Simulations!$CV9)&lt;=0,N(Simulations!$CU9)&lt;=0,1&gt;N(Simulations!$O9)),0,IF(Simulations!$CV9&lt;Simulations!$J9,Simulations!$CU9/(Simulations!$G9*Simulations!$H9*IF(Simulations!$I9&gt;0,Simulations!$I9,1))*Simulations!$CV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V9/Simulations!$J9)^1.5+SQRT(LN(Simulations!$CV9/Simulations!$J9))+Simulations!$CV9/Simulations!$J9*SQRT(PI())/2*ERFC(SQRT(LN(Simulations!$CV9/Simulations!$J9)))),PI()*Simulations!$T9^2/2*(LN(Simulations!$CV9/Simulations!$J9)+1))))</f>
        <v>29.3532730881177</v>
      </c>
      <c r="AA9" s="0" t="n">
        <f aca="false">IF(OR(NOT(AND(Simulations!$A9&lt;&gt;"",OR(Simulations!$CS9&lt;&gt;"",N(Simulations!$CU9)&gt;0))),N(Simulations!$CW9)&lt;=0,N(Simulations!$CU9)&lt;=0,2&gt;N(Simulations!$O9)),0,IF(Simulations!$CW9&lt;Simulations!$J9,Simulations!$CU9/(Simulations!$G9*Simulations!$H9*IF(Simulations!$I9&gt;0,Simulations!$I9,1))*Simulations!$CW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W9/Simulations!$J9)^1.5+SQRT(LN(Simulations!$CW9/Simulations!$J9))+Simulations!$CW9/Simulations!$J9*SQRT(PI())/2*ERFC(SQRT(LN(Simulations!$CW9/Simulations!$J9)))),PI()*Simulations!$T9^2/2*(LN(Simulations!$CW9/Simulations!$J9)+1))))</f>
        <v>24.9200322255786</v>
      </c>
      <c r="AB9" s="0" t="n">
        <f aca="false">IF(OR(NOT(AND(Simulations!$A9&lt;&gt;"",OR(Simulations!$CS9&lt;&gt;"",N(Simulations!$CU9)&gt;0))),N(Simulations!$CX9)&lt;=0,N(Simulations!$CU9)&lt;=0,3&gt;N(Simulations!$O9)),0,IF(Simulations!$CX9&lt;Simulations!$J9,Simulations!$CU9/(Simulations!$G9*Simulations!$H9*IF(Simulations!$I9&gt;0,Simulations!$I9,1))*Simulations!$CX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X9/Simulations!$J9)^1.5+SQRT(LN(Simulations!$CX9/Simulations!$J9))+Simulations!$CX9/Simulations!$J9*SQRT(PI())/2*ERFC(SQRT(LN(Simulations!$CX9/Simulations!$J9)))),PI()*Simulations!$T9^2/2*(LN(Simulations!$CX9/Simulations!$J9)+1))))</f>
        <v>20.9873877075729</v>
      </c>
      <c r="AC9" s="0" t="n">
        <f aca="false">IF(NOT(AND(Simulations!$A9&lt;&gt;"",OR(Simulations!$CS9&lt;&gt;"",N(Simulations!$CU9)&gt;0))),0,MAX(N(Simulations!$CV9),N(Simulations!$CW9),N(Simulations!$CX9))/Simulations!$J9)</f>
        <v>10</v>
      </c>
      <c r="AD9" s="0" t="n">
        <f aca="false">IF(OR(NOT(AND(Simulations!$A9&lt;&gt;"",OR(Simulations!$CS9&lt;&gt;"",N(Simulations!$CU9)&gt;0))),N(Simulations!$CT9)&lt;=0),0,SQRT(2*Simulations!$CT9*1000000/(Simulations!$J9*1000))/Simulations!$T9)</f>
        <v>0.0406201920231798</v>
      </c>
      <c r="AE9" s="0" t="n">
        <f aca="false">IF(AND(Simulations!$A9&lt;&gt;"",OR(Simulations!$CS9&lt;&gt;"",N(Simulations!$CU9)&gt;0)),1,0)</f>
        <v>1</v>
      </c>
      <c r="AF9" s="0" t="n">
        <f aca="false">IF(OR(NOT(AND(Simulations!$A9&lt;&gt;"",OR(Simulations!$DK9&lt;&gt;"",N(Simulations!$DM9)&gt;0))),N(Simulations!$DN9)&lt;=0,N(Simulations!$DM9)&lt;=0,1&gt;N(Simulations!$O9)),0,IF(Simulations!$DN9&lt;Simulations!$J9,Simulations!$DM9/(Simulations!$G9*Simulations!$H9*IF(Simulations!$I9&gt;0,Simulations!$I9,1))*Simulations!$DN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N9/Simulations!$J9)^1.5+SQRT(LN(Simulations!$DN9/Simulations!$J9))+Simulations!$DN9/Simulations!$J9*SQRT(PI())/2*ERFC(SQRT(LN(Simulations!$DN9/Simulations!$J9)))),PI()*Simulations!$T9^2/2*(LN(Simulations!$DN9/Simulations!$J9)+1))))</f>
        <v>0</v>
      </c>
      <c r="AG9" s="0" t="n">
        <f aca="false">IF(OR(NOT(AND(Simulations!$A9&lt;&gt;"",OR(Simulations!$DK9&lt;&gt;"",N(Simulations!$DM9)&gt;0))),N(Simulations!$DO9)&lt;=0,N(Simulations!$DM9)&lt;=0,2&gt;N(Simulations!$O9)),0,IF(Simulations!$DO9&lt;Simulations!$J9,Simulations!$DM9/(Simulations!$G9*Simulations!$H9*IF(Simulations!$I9&gt;0,Simulations!$I9,1))*Simulations!$DO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O9/Simulations!$J9)^1.5+SQRT(LN(Simulations!$DO9/Simulations!$J9))+Simulations!$DO9/Simulations!$J9*SQRT(PI())/2*ERFC(SQRT(LN(Simulations!$DO9/Simulations!$J9)))),PI()*Simulations!$T9^2/2*(LN(Simulations!$DO9/Simulations!$J9)+1))))</f>
        <v>0</v>
      </c>
      <c r="AH9" s="0" t="n">
        <f aca="false">IF(OR(NOT(AND(Simulations!$A9&lt;&gt;"",OR(Simulations!$DK9&lt;&gt;"",N(Simulations!$DM9)&gt;0))),N(Simulations!$DP9)&lt;=0,N(Simulations!$DM9)&lt;=0,3&gt;N(Simulations!$O9)),0,IF(Simulations!$DP9&lt;Simulations!$J9,Simulations!$DM9/(Simulations!$G9*Simulations!$H9*IF(Simulations!$I9&gt;0,Simulations!$I9,1))*Simulations!$DP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P9/Simulations!$J9)^1.5+SQRT(LN(Simulations!$DP9/Simulations!$J9))+Simulations!$DP9/Simulations!$J9*SQRT(PI())/2*ERFC(SQRT(LN(Simulations!$DP9/Simulations!$J9)))),PI()*Simulations!$T9^2/2*(LN(Simulations!$DP9/Simulations!$J9)+1))))</f>
        <v>0</v>
      </c>
      <c r="AI9" s="0" t="n">
        <f aca="false">IF(NOT(AND(Simulations!$A9&lt;&gt;"",OR(Simulations!$DK9&lt;&gt;"",N(Simulations!$DM9)&gt;0))),0,MAX(N(Simulations!$DN9),N(Simulations!$DO9),N(Simulations!$DP9))/Simulations!$J9)</f>
        <v>0</v>
      </c>
      <c r="AJ9" s="0" t="n">
        <f aca="false">IF(OR(NOT(AND(Simulations!$A9&lt;&gt;"",OR(Simulations!$DK9&lt;&gt;"",N(Simulations!$DM9)&gt;0))),N(Simulations!$DL9)&lt;=0),0,SQRT(2*Simulations!$DL9*1000000/(Simulations!$J9*1000))/Simulations!$T9)</f>
        <v>0</v>
      </c>
      <c r="AK9" s="0" t="n">
        <f aca="false">IF(AND(Simulations!$A9&lt;&gt;"",OR(Simulations!$DK9&lt;&gt;"",N(Simulations!$DM9)&gt;0)),1,0)</f>
        <v>0</v>
      </c>
    </row>
    <row r="10" customFormat="false" ht="15" hidden="false" customHeight="false" outlineLevel="0" collapsed="false">
      <c r="B10" s="0" t="n">
        <f aca="false">IF(OR(NOT(AND(Simulations!$A10&lt;&gt;"",OR(Simulations!$Y10&lt;&gt;"",N(Simulations!$AA10)&gt;0))),N(Simulations!$AB10)&lt;=0,N(Simulations!$AA10)&lt;=0,1&gt;N(Simulations!$O10)),0,IF(Simulations!$AB10&lt;Simulations!$J10,Simulations!$AA10/(Simulations!$G10*Simulations!$H10*IF(Simulations!$I10&gt;0,Simulations!$I10,1))*Simulations!$AB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B10/Simulations!$J10)^1.5+SQRT(LN(Simulations!$AB10/Simulations!$J10))+Simulations!$AB10/Simulations!$J10*SQRT(PI())/2*ERFC(SQRT(LN(Simulations!$AB10/Simulations!$J10)))),PI()*Simulations!$T10^2/2*(LN(Simulations!$AB10/Simulations!$J10)+1))))</f>
        <v>29.3532730881177</v>
      </c>
      <c r="C10" s="0" t="n">
        <f aca="false">IF(OR(NOT(AND(Simulations!$A10&lt;&gt;"",OR(Simulations!$Y10&lt;&gt;"",N(Simulations!$AA10)&gt;0))),N(Simulations!$AC10)&lt;=0,N(Simulations!$AA10)&lt;=0,2&gt;N(Simulations!$O10)),0,IF(Simulations!$AC10&lt;Simulations!$J10,Simulations!$AA10/(Simulations!$G10*Simulations!$H10*IF(Simulations!$I10&gt;0,Simulations!$I10,1))*Simulations!$AC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C10/Simulations!$J10)^1.5+SQRT(LN(Simulations!$AC10/Simulations!$J10))+Simulations!$AC10/Simulations!$J10*SQRT(PI())/2*ERFC(SQRT(LN(Simulations!$AC10/Simulations!$J10)))),PI()*Simulations!$T10^2/2*(LN(Simulations!$AC10/Simulations!$J10)+1))))</f>
        <v>0</v>
      </c>
      <c r="D10" s="0" t="n">
        <f aca="false">IF(OR(NOT(AND(Simulations!$A10&lt;&gt;"",OR(Simulations!$Y10&lt;&gt;"",N(Simulations!$AA10)&gt;0))),N(Simulations!$AD10)&lt;=0,N(Simulations!$AA10)&lt;=0,3&gt;N(Simulations!$O10)),0,IF(Simulations!$AD10&lt;Simulations!$J10,Simulations!$AA10/(Simulations!$G10*Simulations!$H10*IF(Simulations!$I10&gt;0,Simulations!$I10,1))*Simulations!$AD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D10/Simulations!$J10)^1.5+SQRT(LN(Simulations!$AD10/Simulations!$J10))+Simulations!$AD10/Simulations!$J10*SQRT(PI())/2*ERFC(SQRT(LN(Simulations!$AD10/Simulations!$J10)))),PI()*Simulations!$T10^2/2*(LN(Simulations!$AD10/Simulations!$J10)+1))))</f>
        <v>0</v>
      </c>
      <c r="E10" s="0" t="n">
        <f aca="false">IF(NOT(AND(Simulations!$A10&lt;&gt;"",OR(Simulations!$Y10&lt;&gt;"",N(Simulations!$AA10)&gt;0))),0,MAX(N(Simulations!$AB10),N(Simulations!$AC10),N(Simulations!$AD10))/Simulations!$J10)</f>
        <v>10</v>
      </c>
      <c r="F10" s="0" t="n">
        <f aca="false">IF(OR(NOT(AND(Simulations!$A10&lt;&gt;"",OR(Simulations!$Y10&lt;&gt;"",N(Simulations!$AA10)&gt;0))),N(Simulations!$Z10)&lt;=0),0,SQRT(2*Simulations!$Z10*1000000/(Simulations!$J10*1000))/Simulations!$T10)</f>
        <v>0.14142135623731</v>
      </c>
      <c r="G10" s="0" t="n">
        <f aca="false">IF(AND(Simulations!$A10&lt;&gt;"",OR(Simulations!$Y10&lt;&gt;"",N(Simulations!$AA10)&gt;0)),1,0)</f>
        <v>1</v>
      </c>
      <c r="H10" s="0" t="n">
        <f aca="false">IF(OR(NOT(AND(Simulations!$A10&lt;&gt;"",OR(Simulations!$AQ10&lt;&gt;"",N(Simulations!$AS10)&gt;0))),N(Simulations!$AT10)&lt;=0,N(Simulations!$AS10)&lt;=0,1&gt;N(Simulations!$O10)),0,IF(Simulations!$AT10&lt;Simulations!$J10,Simulations!$AS10/(Simulations!$G10*Simulations!$H10*IF(Simulations!$I10&gt;0,Simulations!$I10,1))*Simulations!$AT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T10/Simulations!$J10)^1.5+SQRT(LN(Simulations!$AT10/Simulations!$J10))+Simulations!$AT10/Simulations!$J10*SQRT(PI())/2*ERFC(SQRT(LN(Simulations!$AT10/Simulations!$J10)))),PI()*Simulations!$T10^2/2*(LN(Simulations!$AT10/Simulations!$J10)+1))))</f>
        <v>0</v>
      </c>
      <c r="I10" s="0" t="n">
        <f aca="false">IF(OR(NOT(AND(Simulations!$A10&lt;&gt;"",OR(Simulations!$AQ10&lt;&gt;"",N(Simulations!$AS10)&gt;0))),N(Simulations!$AU10)&lt;=0,N(Simulations!$AS10)&lt;=0,2&gt;N(Simulations!$O10)),0,IF(Simulations!$AU10&lt;Simulations!$J10,Simulations!$AS10/(Simulations!$G10*Simulations!$H10*IF(Simulations!$I10&gt;0,Simulations!$I10,1))*Simulations!$AU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U10/Simulations!$J10)^1.5+SQRT(LN(Simulations!$AU10/Simulations!$J10))+Simulations!$AU10/Simulations!$J10*SQRT(PI())/2*ERFC(SQRT(LN(Simulations!$AU10/Simulations!$J10)))),PI()*Simulations!$T10^2/2*(LN(Simulations!$AU10/Simulations!$J10)+1))))</f>
        <v>24.9200322255786</v>
      </c>
      <c r="J10" s="0" t="n">
        <f aca="false">IF(OR(NOT(AND(Simulations!$A10&lt;&gt;"",OR(Simulations!$AQ10&lt;&gt;"",N(Simulations!$AS10)&gt;0))),N(Simulations!$AV10)&lt;=0,N(Simulations!$AS10)&lt;=0,3&gt;N(Simulations!$O10)),0,IF(Simulations!$AV10&lt;Simulations!$J10,Simulations!$AS10/(Simulations!$G10*Simulations!$H10*IF(Simulations!$I10&gt;0,Simulations!$I10,1))*Simulations!$AV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V10/Simulations!$J10)^1.5+SQRT(LN(Simulations!$AV10/Simulations!$J10))+Simulations!$AV10/Simulations!$J10*SQRT(PI())/2*ERFC(SQRT(LN(Simulations!$AV10/Simulations!$J10)))),PI()*Simulations!$T10^2/2*(LN(Simulations!$AV10/Simulations!$J10)+1))))</f>
        <v>0</v>
      </c>
      <c r="K10" s="0" t="n">
        <f aca="false">IF(NOT(AND(Simulations!$A10&lt;&gt;"",OR(Simulations!$AQ10&lt;&gt;"",N(Simulations!$AS10)&gt;0))),0,MAX(N(Simulations!$AT10),N(Simulations!$AU10),N(Simulations!$AV10))/Simulations!$J10)</f>
        <v>7</v>
      </c>
      <c r="L10" s="0" t="n">
        <f aca="false">IF(OR(NOT(AND(Simulations!$A10&lt;&gt;"",OR(Simulations!$AQ10&lt;&gt;"",N(Simulations!$AS10)&gt;0))),N(Simulations!$AR10)&lt;=0),0,SQRT(2*Simulations!$AR10*1000000/(Simulations!$J10*1000))/Simulations!$T10)</f>
        <v>0.14142135623731</v>
      </c>
      <c r="M10" s="0" t="n">
        <f aca="false">IF(AND(Simulations!$A10&lt;&gt;"",OR(Simulations!$AQ10&lt;&gt;"",N(Simulations!$AS10)&gt;0)),1,0)</f>
        <v>1</v>
      </c>
      <c r="N10" s="0" t="n">
        <f aca="false">IF(OR(NOT(AND(Simulations!$A10&lt;&gt;"",OR(Simulations!$BI10&lt;&gt;"",N(Simulations!$BK10)&gt;0))),N(Simulations!$BL10)&lt;=0,N(Simulations!$BK10)&lt;=0,1&gt;N(Simulations!$O10)),0,IF(Simulations!$BL10&lt;Simulations!$J10,Simulations!$BK10/(Simulations!$G10*Simulations!$H10*IF(Simulations!$I10&gt;0,Simulations!$I10,1))*Simulations!$BL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L10/Simulations!$J10)^1.5+SQRT(LN(Simulations!$BL10/Simulations!$J10))+Simulations!$BL10/Simulations!$J10*SQRT(PI())/2*ERFC(SQRT(LN(Simulations!$BL10/Simulations!$J10)))),PI()*Simulations!$T10^2/2*(LN(Simulations!$BL10/Simulations!$J10)+1))))</f>
        <v>0</v>
      </c>
      <c r="O10" s="0" t="n">
        <f aca="false">IF(OR(NOT(AND(Simulations!$A10&lt;&gt;"",OR(Simulations!$BI10&lt;&gt;"",N(Simulations!$BK10)&gt;0))),N(Simulations!$BM10)&lt;=0,N(Simulations!$BK10)&lt;=0,2&gt;N(Simulations!$O10)),0,IF(Simulations!$BM10&lt;Simulations!$J10,Simulations!$BK10/(Simulations!$G10*Simulations!$H10*IF(Simulations!$I10&gt;0,Simulations!$I10,1))*Simulations!$BM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M10/Simulations!$J10)^1.5+SQRT(LN(Simulations!$BM10/Simulations!$J10))+Simulations!$BM10/Simulations!$J10*SQRT(PI())/2*ERFC(SQRT(LN(Simulations!$BM10/Simulations!$J10)))),PI()*Simulations!$T10^2/2*(LN(Simulations!$BM10/Simulations!$J10)+1))))</f>
        <v>0</v>
      </c>
      <c r="P10" s="0" t="n">
        <f aca="false">IF(OR(NOT(AND(Simulations!$A10&lt;&gt;"",OR(Simulations!$BI10&lt;&gt;"",N(Simulations!$BK10)&gt;0))),N(Simulations!$BN10)&lt;=0,N(Simulations!$BK10)&lt;=0,3&gt;N(Simulations!$O10)),0,IF(Simulations!$BN10&lt;Simulations!$J10,Simulations!$BK10/(Simulations!$G10*Simulations!$H10*IF(Simulations!$I10&gt;0,Simulations!$I10,1))*Simulations!$BN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N10/Simulations!$J10)^1.5+SQRT(LN(Simulations!$BN10/Simulations!$J10))+Simulations!$BN10/Simulations!$J10*SQRT(PI())/2*ERFC(SQRT(LN(Simulations!$BN10/Simulations!$J10)))),PI()*Simulations!$T10^2/2*(LN(Simulations!$BN10/Simulations!$J10)+1))))</f>
        <v>20.9873877075729</v>
      </c>
      <c r="Q10" s="0" t="n">
        <f aca="false">IF(NOT(AND(Simulations!$A10&lt;&gt;"",OR(Simulations!$BI10&lt;&gt;"",N(Simulations!$BK10)&gt;0))),0,MAX(N(Simulations!$BL10),N(Simulations!$BM10),N(Simulations!$BN10))/Simulations!$J10)</f>
        <v>5</v>
      </c>
      <c r="R10" s="0" t="n">
        <f aca="false">IF(OR(NOT(AND(Simulations!$A10&lt;&gt;"",OR(Simulations!$BI10&lt;&gt;"",N(Simulations!$BK10)&gt;0))),N(Simulations!$BJ10)&lt;=0),0,SQRT(2*Simulations!$BJ10*1000000/(Simulations!$J10*1000))/Simulations!$T10)</f>
        <v>0.14142135623731</v>
      </c>
      <c r="S10" s="0" t="n">
        <f aca="false">IF(AND(Simulations!$A10&lt;&gt;"",OR(Simulations!$BI10&lt;&gt;"",N(Simulations!$BK10)&gt;0)),1,0)</f>
        <v>1</v>
      </c>
      <c r="T10" s="0" t="n">
        <f aca="false">IF(OR(NOT(AND(Simulations!$A10&lt;&gt;"",OR(Simulations!$CA10&lt;&gt;"",N(Simulations!$CC10)&gt;0))),N(Simulations!$CD10)&lt;=0,N(Simulations!$CC10)&lt;=0,1&gt;N(Simulations!$O10)),0,IF(Simulations!$CD10&lt;Simulations!$J10,Simulations!$CC10/(Simulations!$G10*Simulations!$H10*IF(Simulations!$I10&gt;0,Simulations!$I10,1))*Simulations!$CD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D10/Simulations!$J10)^1.5+SQRT(LN(Simulations!$CD10/Simulations!$J10))+Simulations!$CD10/Simulations!$J10*SQRT(PI())/2*ERFC(SQRT(LN(Simulations!$CD10/Simulations!$J10)))),PI()*Simulations!$T10^2/2*(LN(Simulations!$CD10/Simulations!$J10)+1))))</f>
        <v>38.6873848879807</v>
      </c>
      <c r="U10" s="0" t="n">
        <f aca="false">IF(OR(NOT(AND(Simulations!$A10&lt;&gt;"",OR(Simulations!$CA10&lt;&gt;"",N(Simulations!$CC10)&gt;0))),N(Simulations!$CE10)&lt;=0,N(Simulations!$CC10)&lt;=0,2&gt;N(Simulations!$O10)),0,IF(Simulations!$CE10&lt;Simulations!$J10,Simulations!$CC10/(Simulations!$G10*Simulations!$H10*IF(Simulations!$I10&gt;0,Simulations!$I10,1))*Simulations!$CE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E10/Simulations!$J10)^1.5+SQRT(LN(Simulations!$CE10/Simulations!$J10))+Simulations!$CE10/Simulations!$J10*SQRT(PI())/2*ERFC(SQRT(LN(Simulations!$CE10/Simulations!$J10)))),PI()*Simulations!$T10^2/2*(LN(Simulations!$CE10/Simulations!$J10)+1))))</f>
        <v>24.9200322255786</v>
      </c>
      <c r="V10" s="0" t="n">
        <f aca="false">IF(OR(NOT(AND(Simulations!$A10&lt;&gt;"",OR(Simulations!$CA10&lt;&gt;"",N(Simulations!$CC10)&gt;0))),N(Simulations!$CF10)&lt;=0,N(Simulations!$CC10)&lt;=0,3&gt;N(Simulations!$O10)),0,IF(Simulations!$CF10&lt;Simulations!$J10,Simulations!$CC10/(Simulations!$G10*Simulations!$H10*IF(Simulations!$I10&gt;0,Simulations!$I10,1))*Simulations!$CF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F10/Simulations!$J10)^1.5+SQRT(LN(Simulations!$CF10/Simulations!$J10))+Simulations!$CF10/Simulations!$J10*SQRT(PI())/2*ERFC(SQRT(LN(Simulations!$CF10/Simulations!$J10)))),PI()*Simulations!$T10^2/2*(LN(Simulations!$CF10/Simulations!$J10)+1))))</f>
        <v>0</v>
      </c>
      <c r="W10" s="0" t="n">
        <f aca="false">IF(NOT(AND(Simulations!$A10&lt;&gt;"",OR(Simulations!$CA10&lt;&gt;"",N(Simulations!$CC10)&gt;0))),0,MAX(N(Simulations!$CD10),N(Simulations!$CE10),N(Simulations!$CF10))/Simulations!$J10)</f>
        <v>20</v>
      </c>
      <c r="X10" s="0" t="n">
        <f aca="false">IF(OR(NOT(AND(Simulations!$A10&lt;&gt;"",OR(Simulations!$CA10&lt;&gt;"",N(Simulations!$CC10)&gt;0))),N(Simulations!$CB10)&lt;=0),0,SQRT(2*Simulations!$CB10*1000000/(Simulations!$J10*1000))/Simulations!$T10)</f>
        <v>0.0406201920231798</v>
      </c>
      <c r="Y10" s="0" t="n">
        <f aca="false">IF(AND(Simulations!$A10&lt;&gt;"",OR(Simulations!$CA10&lt;&gt;"",N(Simulations!$CC10)&gt;0)),1,0)</f>
        <v>1</v>
      </c>
      <c r="Z10" s="0" t="n">
        <f aca="false">IF(OR(NOT(AND(Simulations!$A10&lt;&gt;"",OR(Simulations!$CS10&lt;&gt;"",N(Simulations!$CU10)&gt;0))),N(Simulations!$CV10)&lt;=0,N(Simulations!$CU10)&lt;=0,1&gt;N(Simulations!$O10)),0,IF(Simulations!$CV10&lt;Simulations!$J10,Simulations!$CU10/(Simulations!$G10*Simulations!$H10*IF(Simulations!$I10&gt;0,Simulations!$I10,1))*Simulations!$CV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V10/Simulations!$J10)^1.5+SQRT(LN(Simulations!$CV10/Simulations!$J10))+Simulations!$CV10/Simulations!$J10*SQRT(PI())/2*ERFC(SQRT(LN(Simulations!$CV10/Simulations!$J10)))),PI()*Simulations!$T10^2/2*(LN(Simulations!$CV10/Simulations!$J10)+1))))</f>
        <v>29.3532730881177</v>
      </c>
      <c r="AA10" s="0" t="n">
        <f aca="false">IF(OR(NOT(AND(Simulations!$A10&lt;&gt;"",OR(Simulations!$CS10&lt;&gt;"",N(Simulations!$CU10)&gt;0))),N(Simulations!$CW10)&lt;=0,N(Simulations!$CU10)&lt;=0,2&gt;N(Simulations!$O10)),0,IF(Simulations!$CW10&lt;Simulations!$J10,Simulations!$CU10/(Simulations!$G10*Simulations!$H10*IF(Simulations!$I10&gt;0,Simulations!$I10,1))*Simulations!$CW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W10/Simulations!$J10)^1.5+SQRT(LN(Simulations!$CW10/Simulations!$J10))+Simulations!$CW10/Simulations!$J10*SQRT(PI())/2*ERFC(SQRT(LN(Simulations!$CW10/Simulations!$J10)))),PI()*Simulations!$T10^2/2*(LN(Simulations!$CW10/Simulations!$J10)+1))))</f>
        <v>0</v>
      </c>
      <c r="AB10" s="0" t="n">
        <f aca="false">IF(OR(NOT(AND(Simulations!$A10&lt;&gt;"",OR(Simulations!$CS10&lt;&gt;"",N(Simulations!$CU10)&gt;0))),N(Simulations!$CX10)&lt;=0,N(Simulations!$CU10)&lt;=0,3&gt;N(Simulations!$O10)),0,IF(Simulations!$CX10&lt;Simulations!$J10,Simulations!$CU10/(Simulations!$G10*Simulations!$H10*IF(Simulations!$I10&gt;0,Simulations!$I10,1))*Simulations!$CX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X10/Simulations!$J10)^1.5+SQRT(LN(Simulations!$CX10/Simulations!$J10))+Simulations!$CX10/Simulations!$J10*SQRT(PI())/2*ERFC(SQRT(LN(Simulations!$CX10/Simulations!$J10)))),PI()*Simulations!$T10^2/2*(LN(Simulations!$CX10/Simulations!$J10)+1))))</f>
        <v>20.9873877075729</v>
      </c>
      <c r="AC10" s="0" t="n">
        <f aca="false">IF(NOT(AND(Simulations!$A10&lt;&gt;"",OR(Simulations!$CS10&lt;&gt;"",N(Simulations!$CU10)&gt;0))),0,MAX(N(Simulations!$CV10),N(Simulations!$CW10),N(Simulations!$CX10))/Simulations!$J10)</f>
        <v>10</v>
      </c>
      <c r="AD10" s="0" t="n">
        <f aca="false">IF(OR(NOT(AND(Simulations!$A10&lt;&gt;"",OR(Simulations!$CS10&lt;&gt;"",N(Simulations!$CU10)&gt;0))),N(Simulations!$CT10)&lt;=0),0,SQRT(2*Simulations!$CT10*1000000/(Simulations!$J10*1000))/Simulations!$T10)</f>
        <v>0.0406201920231798</v>
      </c>
      <c r="AE10" s="0" t="n">
        <f aca="false">IF(AND(Simulations!$A10&lt;&gt;"",OR(Simulations!$CS10&lt;&gt;"",N(Simulations!$CU10)&gt;0)),1,0)</f>
        <v>1</v>
      </c>
      <c r="AF10" s="0" t="n">
        <f aca="false">IF(OR(NOT(AND(Simulations!$A10&lt;&gt;"",OR(Simulations!$DK10&lt;&gt;"",N(Simulations!$DM10)&gt;0))),N(Simulations!$DN10)&lt;=0,N(Simulations!$DM10)&lt;=0,1&gt;N(Simulations!$O10)),0,IF(Simulations!$DN10&lt;Simulations!$J10,Simulations!$DM10/(Simulations!$G10*Simulations!$H10*IF(Simulations!$I10&gt;0,Simulations!$I10,1))*Simulations!$DN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N10/Simulations!$J10)^1.5+SQRT(LN(Simulations!$DN10/Simulations!$J10))+Simulations!$DN10/Simulations!$J10*SQRT(PI())/2*ERFC(SQRT(LN(Simulations!$DN10/Simulations!$J10)))),PI()*Simulations!$T10^2/2*(LN(Simulations!$DN10/Simulations!$J10)+1))))</f>
        <v>0</v>
      </c>
      <c r="AG10" s="0" t="n">
        <f aca="false">IF(OR(NOT(AND(Simulations!$A10&lt;&gt;"",OR(Simulations!$DK10&lt;&gt;"",N(Simulations!$DM10)&gt;0))),N(Simulations!$DO10)&lt;=0,N(Simulations!$DM10)&lt;=0,2&gt;N(Simulations!$O10)),0,IF(Simulations!$DO10&lt;Simulations!$J10,Simulations!$DM10/(Simulations!$G10*Simulations!$H10*IF(Simulations!$I10&gt;0,Simulations!$I10,1))*Simulations!$DO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O10/Simulations!$J10)^1.5+SQRT(LN(Simulations!$DO10/Simulations!$J10))+Simulations!$DO10/Simulations!$J10*SQRT(PI())/2*ERFC(SQRT(LN(Simulations!$DO10/Simulations!$J10)))),PI()*Simulations!$T10^2/2*(LN(Simulations!$DO10/Simulations!$J10)+1))))</f>
        <v>24.9200322255786</v>
      </c>
      <c r="AH10" s="0" t="n">
        <f aca="false">IF(OR(NOT(AND(Simulations!$A10&lt;&gt;"",OR(Simulations!$DK10&lt;&gt;"",N(Simulations!$DM10)&gt;0))),N(Simulations!$DP10)&lt;=0,N(Simulations!$DM10)&lt;=0,3&gt;N(Simulations!$O10)),0,IF(Simulations!$DP10&lt;Simulations!$J10,Simulations!$DM10/(Simulations!$G10*Simulations!$H10*IF(Simulations!$I10&gt;0,Simulations!$I10,1))*Simulations!$DP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P10/Simulations!$J10)^1.5+SQRT(LN(Simulations!$DP10/Simulations!$J10))+Simulations!$DP10/Simulations!$J10*SQRT(PI())/2*ERFC(SQRT(LN(Simulations!$DP10/Simulations!$J10)))),PI()*Simulations!$T10^2/2*(LN(Simulations!$DP10/Simulations!$J10)+1))))</f>
        <v>29.3532730881177</v>
      </c>
      <c r="AI10" s="0" t="n">
        <f aca="false">IF(NOT(AND(Simulations!$A10&lt;&gt;"",OR(Simulations!$DK10&lt;&gt;"",N(Simulations!$DM10)&gt;0))),0,MAX(N(Simulations!$DN10),N(Simulations!$DO10),N(Simulations!$DP10))/Simulations!$J10)</f>
        <v>10</v>
      </c>
      <c r="AJ10" s="0" t="n">
        <f aca="false">IF(OR(NOT(AND(Simulations!$A10&lt;&gt;"",OR(Simulations!$DK10&lt;&gt;"",N(Simulations!$DM10)&gt;0))),N(Simulations!$DL10)&lt;=0),0,SQRT(2*Simulations!$DL10*1000000/(Simulations!$J10*1000))/Simulations!$T10)</f>
        <v>0.0406201920231798</v>
      </c>
      <c r="AK10" s="0" t="n">
        <f aca="false">IF(AND(Simulations!$A10&lt;&gt;"",OR(Simulations!$DK10&lt;&gt;"",N(Simulations!$DM10)&gt;0)),1,0)</f>
        <v>1</v>
      </c>
    </row>
    <row r="11" customFormat="false" ht="15" hidden="false" customHeight="false" outlineLevel="0" collapsed="false">
      <c r="B11" s="0" t="n">
        <f aca="false">IF(OR(NOT(AND(Simulations!$A11&lt;&gt;"",OR(Simulations!$Y11&lt;&gt;"",N(Simulations!$AA11)&gt;0))),N(Simulations!$AB11)&lt;=0,N(Simulations!$AA11)&lt;=0,1&gt;N(Simulations!$O11)),0,IF(Simulations!$AB11&lt;Simulations!$J11,Simulations!$AA11/(Simulations!$G11*Simulations!$H11*IF(Simulations!$I11&gt;0,Simulations!$I11,1))*Simulations!$AB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B11/Simulations!$J11)^1.5+SQRT(LN(Simulations!$AB11/Simulations!$J11))+Simulations!$AB11/Simulations!$J11*SQRT(PI())/2*ERFC(SQRT(LN(Simulations!$AB11/Simulations!$J11)))),PI()*Simulations!$T11^2/2*(LN(Simulations!$AB11/Simulations!$J11)+1))))</f>
        <v>62.9984397828897</v>
      </c>
      <c r="C11" s="0" t="n">
        <f aca="false">IF(OR(NOT(AND(Simulations!$A11&lt;&gt;"",OR(Simulations!$Y11&lt;&gt;"",N(Simulations!$AA11)&gt;0))),N(Simulations!$AC11)&lt;=0,N(Simulations!$AA11)&lt;=0,2&gt;N(Simulations!$O11)),0,IF(Simulations!$AC11&lt;Simulations!$J11,Simulations!$AA11/(Simulations!$G11*Simulations!$H11*IF(Simulations!$I11&gt;0,Simulations!$I11,1))*Simulations!$AC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C11/Simulations!$J11)^1.5+SQRT(LN(Simulations!$AC11/Simulations!$J11))+Simulations!$AC11/Simulations!$J11*SQRT(PI())/2*ERFC(SQRT(LN(Simulations!$AC11/Simulations!$J11)))),PI()*Simulations!$T11^2/2*(LN(Simulations!$AC11/Simulations!$J11)+1))))</f>
        <v>44.0989078480228</v>
      </c>
      <c r="D11" s="0" t="n">
        <f aca="false">IF(OR(NOT(AND(Simulations!$A11&lt;&gt;"",OR(Simulations!$Y11&lt;&gt;"",N(Simulations!$AA11)&gt;0))),N(Simulations!$AD11)&lt;=0,N(Simulations!$AA11)&lt;=0,3&gt;N(Simulations!$O11)),0,IF(Simulations!$AD11&lt;Simulations!$J11,Simulations!$AA11/(Simulations!$G11*Simulations!$H11*IF(Simulations!$I11&gt;0,Simulations!$I11,1))*Simulations!$AD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D11/Simulations!$J11)^1.5+SQRT(LN(Simulations!$AD11/Simulations!$J11))+Simulations!$AD11/Simulations!$J11*SQRT(PI())/2*ERFC(SQRT(LN(Simulations!$AD11/Simulations!$J11)))),PI()*Simulations!$T11^2/2*(LN(Simulations!$AD11/Simulations!$J11)+1))))</f>
        <v>31.4992198914448</v>
      </c>
      <c r="E11" s="0" t="n">
        <f aca="false">IF(NOT(AND(Simulations!$A11&lt;&gt;"",OR(Simulations!$Y11&lt;&gt;"",N(Simulations!$AA11)&gt;0))),0,MAX(N(Simulations!$AB11),N(Simulations!$AC11),N(Simulations!$AD11))/Simulations!$J11)</f>
        <v>1</v>
      </c>
      <c r="F11" s="0" t="n">
        <f aca="false">IF(OR(NOT(AND(Simulations!$A11&lt;&gt;"",OR(Simulations!$Y11&lt;&gt;"",N(Simulations!$AA11)&gt;0))),N(Simulations!$Z11)&lt;=0),0,SQRT(2*Simulations!$Z11*1000000/(Simulations!$J11*1000))/Simulations!$T11)</f>
        <v>0.0418330013267038</v>
      </c>
      <c r="G11" s="0" t="n">
        <f aca="false">IF(AND(Simulations!$A11&lt;&gt;"",OR(Simulations!$Y11&lt;&gt;"",N(Simulations!$AA11)&gt;0)),1,0)</f>
        <v>1</v>
      </c>
      <c r="H11" s="0" t="n">
        <f aca="false">IF(OR(NOT(AND(Simulations!$A11&lt;&gt;"",OR(Simulations!$AQ11&lt;&gt;"",N(Simulations!$AS11)&gt;0))),N(Simulations!$AT11)&lt;=0,N(Simulations!$AS11)&lt;=0,1&gt;N(Simulations!$O11)),0,IF(Simulations!$AT11&lt;Simulations!$J11,Simulations!$AS11/(Simulations!$G11*Simulations!$H11*IF(Simulations!$I11&gt;0,Simulations!$I11,1))*Simulations!$AT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T11/Simulations!$J11)^1.5+SQRT(LN(Simulations!$AT11/Simulations!$J11))+Simulations!$AT11/Simulations!$J11*SQRT(PI())/2*ERFC(SQRT(LN(Simulations!$AT11/Simulations!$J11)))),PI()*Simulations!$T11^2/2*(LN(Simulations!$AT11/Simulations!$J11)+1))))</f>
        <v>629.984397828897</v>
      </c>
      <c r="I11" s="0" t="n">
        <f aca="false">IF(OR(NOT(AND(Simulations!$A11&lt;&gt;"",OR(Simulations!$AQ11&lt;&gt;"",N(Simulations!$AS11)&gt;0))),N(Simulations!$AU11)&lt;=0,N(Simulations!$AS11)&lt;=0,2&gt;N(Simulations!$O11)),0,IF(Simulations!$AU11&lt;Simulations!$J11,Simulations!$AS11/(Simulations!$G11*Simulations!$H11*IF(Simulations!$I11&gt;0,Simulations!$I11,1))*Simulations!$AU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U11/Simulations!$J11)^1.5+SQRT(LN(Simulations!$AU11/Simulations!$J11))+Simulations!$AU11/Simulations!$J11*SQRT(PI())/2*ERFC(SQRT(LN(Simulations!$AU11/Simulations!$J11)))),PI()*Simulations!$T11^2/2*(LN(Simulations!$AU11/Simulations!$J11)+1))))</f>
        <v>0</v>
      </c>
      <c r="J11" s="0" t="n">
        <f aca="false">IF(OR(NOT(AND(Simulations!$A11&lt;&gt;"",OR(Simulations!$AQ11&lt;&gt;"",N(Simulations!$AS11)&gt;0))),N(Simulations!$AV11)&lt;=0,N(Simulations!$AS11)&lt;=0,3&gt;N(Simulations!$O11)),0,IF(Simulations!$AV11&lt;Simulations!$J11,Simulations!$AS11/(Simulations!$G11*Simulations!$H11*IF(Simulations!$I11&gt;0,Simulations!$I11,1))*Simulations!$AV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V11/Simulations!$J11)^1.5+SQRT(LN(Simulations!$AV11/Simulations!$J11))+Simulations!$AV11/Simulations!$J11*SQRT(PI())/2*ERFC(SQRT(LN(Simulations!$AV11/Simulations!$J11)))),PI()*Simulations!$T11^2/2*(LN(Simulations!$AV11/Simulations!$J11)+1))))</f>
        <v>314.992198914448</v>
      </c>
      <c r="K11" s="0" t="n">
        <f aca="false">IF(NOT(AND(Simulations!$A11&lt;&gt;"",OR(Simulations!$AQ11&lt;&gt;"",N(Simulations!$AS11)&gt;0))),0,MAX(N(Simulations!$AT11),N(Simulations!$AU11),N(Simulations!$AV11))/Simulations!$J11)</f>
        <v>1</v>
      </c>
      <c r="L11" s="0" t="n">
        <f aca="false">IF(OR(NOT(AND(Simulations!$A11&lt;&gt;"",OR(Simulations!$AQ11&lt;&gt;"",N(Simulations!$AS11)&gt;0))),N(Simulations!$AR11)&lt;=0),0,SQRT(2*Simulations!$AR11*1000000/(Simulations!$J11*1000))/Simulations!$T11)</f>
        <v>0.0418330013267038</v>
      </c>
      <c r="M11" s="0" t="n">
        <f aca="false">IF(AND(Simulations!$A11&lt;&gt;"",OR(Simulations!$AQ11&lt;&gt;"",N(Simulations!$AS11)&gt;0)),1,0)</f>
        <v>1</v>
      </c>
      <c r="N11" s="0" t="n">
        <f aca="false">IF(OR(NOT(AND(Simulations!$A11&lt;&gt;"",OR(Simulations!$BI11&lt;&gt;"",N(Simulations!$BK11)&gt;0))),N(Simulations!$BL11)&lt;=0,N(Simulations!$BK11)&lt;=0,1&gt;N(Simulations!$O11)),0,IF(Simulations!$BL11&lt;Simulations!$J11,Simulations!$BK11/(Simulations!$G11*Simulations!$H11*IF(Simulations!$I11&gt;0,Simulations!$I11,1))*Simulations!$BL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L11/Simulations!$J11)^1.5+SQRT(LN(Simulations!$BL11/Simulations!$J11))+Simulations!$BL11/Simulations!$J11*SQRT(PI())/2*ERFC(SQRT(LN(Simulations!$BL11/Simulations!$J11)))),PI()*Simulations!$T11^2/2*(LN(Simulations!$BL11/Simulations!$J11)+1))))</f>
        <v>314.992198914448</v>
      </c>
      <c r="O11" s="0" t="n">
        <f aca="false">IF(OR(NOT(AND(Simulations!$A11&lt;&gt;"",OR(Simulations!$BI11&lt;&gt;"",N(Simulations!$BK11)&gt;0))),N(Simulations!$BM11)&lt;=0,N(Simulations!$BK11)&lt;=0,2&gt;N(Simulations!$O11)),0,IF(Simulations!$BM11&lt;Simulations!$J11,Simulations!$BK11/(Simulations!$G11*Simulations!$H11*IF(Simulations!$I11&gt;0,Simulations!$I11,1))*Simulations!$BM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M11/Simulations!$J11)^1.5+SQRT(LN(Simulations!$BM11/Simulations!$J11))+Simulations!$BM11/Simulations!$J11*SQRT(PI())/2*ERFC(SQRT(LN(Simulations!$BM11/Simulations!$J11)))),PI()*Simulations!$T11^2/2*(LN(Simulations!$BM11/Simulations!$J11)+1))))</f>
        <v>220.494539240114</v>
      </c>
      <c r="P11" s="0" t="n">
        <f aca="false">IF(OR(NOT(AND(Simulations!$A11&lt;&gt;"",OR(Simulations!$BI11&lt;&gt;"",N(Simulations!$BK11)&gt;0))),N(Simulations!$BN11)&lt;=0,N(Simulations!$BK11)&lt;=0,3&gt;N(Simulations!$O11)),0,IF(Simulations!$BN11&lt;Simulations!$J11,Simulations!$BK11/(Simulations!$G11*Simulations!$H11*IF(Simulations!$I11&gt;0,Simulations!$I11,1))*Simulations!$BN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N11/Simulations!$J11)^1.5+SQRT(LN(Simulations!$BN11/Simulations!$J11))+Simulations!$BN11/Simulations!$J11*SQRT(PI())/2*ERFC(SQRT(LN(Simulations!$BN11/Simulations!$J11)))),PI()*Simulations!$T11^2/2*(LN(Simulations!$BN11/Simulations!$J11)+1))))</f>
        <v>0</v>
      </c>
      <c r="Q11" s="0" t="n">
        <f aca="false">IF(NOT(AND(Simulations!$A11&lt;&gt;"",OR(Simulations!$BI11&lt;&gt;"",N(Simulations!$BK11)&gt;0))),0,MAX(N(Simulations!$BL11),N(Simulations!$BM11),N(Simulations!$BN11))/Simulations!$J11)</f>
        <v>1</v>
      </c>
      <c r="R11" s="0" t="n">
        <f aca="false">IF(OR(NOT(AND(Simulations!$A11&lt;&gt;"",OR(Simulations!$BI11&lt;&gt;"",N(Simulations!$BK11)&gt;0))),N(Simulations!$BJ11)&lt;=0),0,SQRT(2*Simulations!$BJ11*1000000/(Simulations!$J11*1000))/Simulations!$T11)</f>
        <v>0.0418330013267038</v>
      </c>
      <c r="S11" s="0" t="n">
        <f aca="false">IF(AND(Simulations!$A11&lt;&gt;"",OR(Simulations!$BI11&lt;&gt;"",N(Simulations!$BK11)&gt;0)),1,0)</f>
        <v>1</v>
      </c>
      <c r="T11" s="0" t="n">
        <f aca="false">IF(OR(NOT(AND(Simulations!$A11&lt;&gt;"",OR(Simulations!$CA11&lt;&gt;"",N(Simulations!$CC11)&gt;0))),N(Simulations!$CD11)&lt;=0,N(Simulations!$CC11)&lt;=0,1&gt;N(Simulations!$O11)),0,IF(Simulations!$CD11&lt;Simulations!$J11,Simulations!$CC11/(Simulations!$G11*Simulations!$H11*IF(Simulations!$I11&gt;0,Simulations!$I11,1))*Simulations!$CD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D11/Simulations!$J11)^1.5+SQRT(LN(Simulations!$CD11/Simulations!$J11))+Simulations!$CD11/Simulations!$J11*SQRT(PI())/2*ERFC(SQRT(LN(Simulations!$CD11/Simulations!$J11)))),PI()*Simulations!$T11^2/2*(LN(Simulations!$CD11/Simulations!$J11)+1))))</f>
        <v>0</v>
      </c>
      <c r="U11" s="0" t="n">
        <f aca="false">IF(OR(NOT(AND(Simulations!$A11&lt;&gt;"",OR(Simulations!$CA11&lt;&gt;"",N(Simulations!$CC11)&gt;0))),N(Simulations!$CE11)&lt;=0,N(Simulations!$CC11)&lt;=0,2&gt;N(Simulations!$O11)),0,IF(Simulations!$CE11&lt;Simulations!$J11,Simulations!$CC11/(Simulations!$G11*Simulations!$H11*IF(Simulations!$I11&gt;0,Simulations!$I11,1))*Simulations!$CE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E11/Simulations!$J11)^1.5+SQRT(LN(Simulations!$CE11/Simulations!$J11))+Simulations!$CE11/Simulations!$J11*SQRT(PI())/2*ERFC(SQRT(LN(Simulations!$CE11/Simulations!$J11)))),PI()*Simulations!$T11^2/2*(LN(Simulations!$CE11/Simulations!$J11)+1))))</f>
        <v>0</v>
      </c>
      <c r="V11" s="0" t="n">
        <f aca="false">IF(OR(NOT(AND(Simulations!$A11&lt;&gt;"",OR(Simulations!$CA11&lt;&gt;"",N(Simulations!$CC11)&gt;0))),N(Simulations!$CF11)&lt;=0,N(Simulations!$CC11)&lt;=0,3&gt;N(Simulations!$O11)),0,IF(Simulations!$CF11&lt;Simulations!$J11,Simulations!$CC11/(Simulations!$G11*Simulations!$H11*IF(Simulations!$I11&gt;0,Simulations!$I11,1))*Simulations!$CF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F11/Simulations!$J11)^1.5+SQRT(LN(Simulations!$CF11/Simulations!$J11))+Simulations!$CF11/Simulations!$J11*SQRT(PI())/2*ERFC(SQRT(LN(Simulations!$CF11/Simulations!$J11)))),PI()*Simulations!$T11^2/2*(LN(Simulations!$CF11/Simulations!$J11)+1))))</f>
        <v>0</v>
      </c>
      <c r="W11" s="0" t="n">
        <f aca="false">IF(NOT(AND(Simulations!$A11&lt;&gt;"",OR(Simulations!$CA11&lt;&gt;"",N(Simulations!$CC11)&gt;0))),0,MAX(N(Simulations!$CD11),N(Simulations!$CE11),N(Simulations!$CF11))/Simulations!$J11)</f>
        <v>0</v>
      </c>
      <c r="X11" s="0" t="n">
        <f aca="false">IF(OR(NOT(AND(Simulations!$A11&lt;&gt;"",OR(Simulations!$CA11&lt;&gt;"",N(Simulations!$CC11)&gt;0))),N(Simulations!$CB11)&lt;=0),0,SQRT(2*Simulations!$CB11*1000000/(Simulations!$J11*1000))/Simulations!$T11)</f>
        <v>0</v>
      </c>
      <c r="Y11" s="0" t="n">
        <f aca="false">IF(AND(Simulations!$A11&lt;&gt;"",OR(Simulations!$CA11&lt;&gt;"",N(Simulations!$CC11)&gt;0)),1,0)</f>
        <v>0</v>
      </c>
      <c r="Z11" s="0" t="n">
        <f aca="false">IF(OR(NOT(AND(Simulations!$A11&lt;&gt;"",OR(Simulations!$CS11&lt;&gt;"",N(Simulations!$CU11)&gt;0))),N(Simulations!$CV11)&lt;=0,N(Simulations!$CU11)&lt;=0,1&gt;N(Simulations!$O11)),0,IF(Simulations!$CV11&lt;Simulations!$J11,Simulations!$CU11/(Simulations!$G11*Simulations!$H11*IF(Simulations!$I11&gt;0,Simulations!$I11,1))*Simulations!$CV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V11/Simulations!$J11)^1.5+SQRT(LN(Simulations!$CV11/Simulations!$J11))+Simulations!$CV11/Simulations!$J11*SQRT(PI())/2*ERFC(SQRT(LN(Simulations!$CV11/Simulations!$J11)))),PI()*Simulations!$T11^2/2*(LN(Simulations!$CV11/Simulations!$J11)+1))))</f>
        <v>0</v>
      </c>
      <c r="AA11" s="0" t="n">
        <f aca="false">IF(OR(NOT(AND(Simulations!$A11&lt;&gt;"",OR(Simulations!$CS11&lt;&gt;"",N(Simulations!$CU11)&gt;0))),N(Simulations!$CW11)&lt;=0,N(Simulations!$CU11)&lt;=0,2&gt;N(Simulations!$O11)),0,IF(Simulations!$CW11&lt;Simulations!$J11,Simulations!$CU11/(Simulations!$G11*Simulations!$H11*IF(Simulations!$I11&gt;0,Simulations!$I11,1))*Simulations!$CW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W11/Simulations!$J11)^1.5+SQRT(LN(Simulations!$CW11/Simulations!$J11))+Simulations!$CW11/Simulations!$J11*SQRT(PI())/2*ERFC(SQRT(LN(Simulations!$CW11/Simulations!$J11)))),PI()*Simulations!$T11^2/2*(LN(Simulations!$CW11/Simulations!$J11)+1))))</f>
        <v>0</v>
      </c>
      <c r="AB11" s="0" t="n">
        <f aca="false">IF(OR(NOT(AND(Simulations!$A11&lt;&gt;"",OR(Simulations!$CS11&lt;&gt;"",N(Simulations!$CU11)&gt;0))),N(Simulations!$CX11)&lt;=0,N(Simulations!$CU11)&lt;=0,3&gt;N(Simulations!$O11)),0,IF(Simulations!$CX11&lt;Simulations!$J11,Simulations!$CU11/(Simulations!$G11*Simulations!$H11*IF(Simulations!$I11&gt;0,Simulations!$I11,1))*Simulations!$CX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X11/Simulations!$J11)^1.5+SQRT(LN(Simulations!$CX11/Simulations!$J11))+Simulations!$CX11/Simulations!$J11*SQRT(PI())/2*ERFC(SQRT(LN(Simulations!$CX11/Simulations!$J11)))),PI()*Simulations!$T11^2/2*(LN(Simulations!$CX11/Simulations!$J11)+1))))</f>
        <v>0</v>
      </c>
      <c r="AC11" s="0" t="n">
        <f aca="false">IF(NOT(AND(Simulations!$A11&lt;&gt;"",OR(Simulations!$CS11&lt;&gt;"",N(Simulations!$CU11)&gt;0))),0,MAX(N(Simulations!$CV11),N(Simulations!$CW11),N(Simulations!$CX11))/Simulations!$J11)</f>
        <v>0</v>
      </c>
      <c r="AD11" s="0" t="n">
        <f aca="false">IF(OR(NOT(AND(Simulations!$A11&lt;&gt;"",OR(Simulations!$CS11&lt;&gt;"",N(Simulations!$CU11)&gt;0))),N(Simulations!$CT11)&lt;=0),0,SQRT(2*Simulations!$CT11*1000000/(Simulations!$J11*1000))/Simulations!$T11)</f>
        <v>0</v>
      </c>
      <c r="AE11" s="0" t="n">
        <f aca="false">IF(AND(Simulations!$A11&lt;&gt;"",OR(Simulations!$CS11&lt;&gt;"",N(Simulations!$CU11)&gt;0)),1,0)</f>
        <v>0</v>
      </c>
      <c r="AF11" s="0" t="n">
        <f aca="false">IF(OR(NOT(AND(Simulations!$A11&lt;&gt;"",OR(Simulations!$DK11&lt;&gt;"",N(Simulations!$DM11)&gt;0))),N(Simulations!$DN11)&lt;=0,N(Simulations!$DM11)&lt;=0,1&gt;N(Simulations!$O11)),0,IF(Simulations!$DN11&lt;Simulations!$J11,Simulations!$DM11/(Simulations!$G11*Simulations!$H11*IF(Simulations!$I11&gt;0,Simulations!$I11,1))*Simulations!$DN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N11/Simulations!$J11)^1.5+SQRT(LN(Simulations!$DN11/Simulations!$J11))+Simulations!$DN11/Simulations!$J11*SQRT(PI())/2*ERFC(SQRT(LN(Simulations!$DN11/Simulations!$J11)))),PI()*Simulations!$T11^2/2*(LN(Simulations!$DN11/Simulations!$J11)+1))))</f>
        <v>0</v>
      </c>
      <c r="AG11" s="0" t="n">
        <f aca="false">IF(OR(NOT(AND(Simulations!$A11&lt;&gt;"",OR(Simulations!$DK11&lt;&gt;"",N(Simulations!$DM11)&gt;0))),N(Simulations!$DO11)&lt;=0,N(Simulations!$DM11)&lt;=0,2&gt;N(Simulations!$O11)),0,IF(Simulations!$DO11&lt;Simulations!$J11,Simulations!$DM11/(Simulations!$G11*Simulations!$H11*IF(Simulations!$I11&gt;0,Simulations!$I11,1))*Simulations!$DO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O11/Simulations!$J11)^1.5+SQRT(LN(Simulations!$DO11/Simulations!$J11))+Simulations!$DO11/Simulations!$J11*SQRT(PI())/2*ERFC(SQRT(LN(Simulations!$DO11/Simulations!$J11)))),PI()*Simulations!$T11^2/2*(LN(Simulations!$DO11/Simulations!$J11)+1))))</f>
        <v>0</v>
      </c>
      <c r="AH11" s="0" t="n">
        <f aca="false">IF(OR(NOT(AND(Simulations!$A11&lt;&gt;"",OR(Simulations!$DK11&lt;&gt;"",N(Simulations!$DM11)&gt;0))),N(Simulations!$DP11)&lt;=0,N(Simulations!$DM11)&lt;=0,3&gt;N(Simulations!$O11)),0,IF(Simulations!$DP11&lt;Simulations!$J11,Simulations!$DM11/(Simulations!$G11*Simulations!$H11*IF(Simulations!$I11&gt;0,Simulations!$I11,1))*Simulations!$DP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P11/Simulations!$J11)^1.5+SQRT(LN(Simulations!$DP11/Simulations!$J11))+Simulations!$DP11/Simulations!$J11*SQRT(PI())/2*ERFC(SQRT(LN(Simulations!$DP11/Simulations!$J11)))),PI()*Simulations!$T11^2/2*(LN(Simulations!$DP11/Simulations!$J11)+1))))</f>
        <v>0</v>
      </c>
      <c r="AI11" s="0" t="n">
        <f aca="false">IF(NOT(AND(Simulations!$A11&lt;&gt;"",OR(Simulations!$DK11&lt;&gt;"",N(Simulations!$DM11)&gt;0))),0,MAX(N(Simulations!$DN11),N(Simulations!$DO11),N(Simulations!$DP11))/Simulations!$J11)</f>
        <v>0</v>
      </c>
      <c r="AJ11" s="0" t="n">
        <f aca="false">IF(OR(NOT(AND(Simulations!$A11&lt;&gt;"",OR(Simulations!$DK11&lt;&gt;"",N(Simulations!$DM11)&gt;0))),N(Simulations!$DL11)&lt;=0),0,SQRT(2*Simulations!$DL11*1000000/(Simulations!$J11*1000))/Simulations!$T11)</f>
        <v>0</v>
      </c>
      <c r="AK11" s="0" t="n">
        <f aca="false">IF(AND(Simulations!$A11&lt;&gt;"",OR(Simulations!$DK11&lt;&gt;"",N(Simulations!$DM11)&gt;0)),1,0)</f>
        <v>0</v>
      </c>
    </row>
    <row r="12" customFormat="false" ht="15" hidden="false" customHeight="false" outlineLevel="0" collapsed="false">
      <c r="B12" s="0" t="n">
        <f aca="false">IF(OR(NOT(AND(Simulations!$A12&lt;&gt;"",OR(Simulations!$Y12&lt;&gt;"",N(Simulations!$AA12)&gt;0))),N(Simulations!$AB12)&lt;=0,N(Simulations!$AA12)&lt;=0,1&gt;N(Simulations!$O12)),0,IF(Simulations!$AB12&lt;Simulations!$J12,Simulations!$AA12/(Simulations!$G12*Simulations!$H12*IF(Simulations!$I12&gt;0,Simulations!$I12,1))*Simulations!$AB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B12/Simulations!$J12)^1.5+SQRT(LN(Simulations!$AB12/Simulations!$J12))+Simulations!$AB12/Simulations!$J12*SQRT(PI())/2*ERFC(SQRT(LN(Simulations!$AB12/Simulations!$J12)))),PI()*Simulations!$T12^2/2*(LN(Simulations!$AB12/Simulations!$J12)+1))))</f>
        <v>62.9984397828897</v>
      </c>
      <c r="C12" s="0" t="n">
        <f aca="false">IF(OR(NOT(AND(Simulations!$A12&lt;&gt;"",OR(Simulations!$Y12&lt;&gt;"",N(Simulations!$AA12)&gt;0))),N(Simulations!$AC12)&lt;=0,N(Simulations!$AA12)&lt;=0,2&gt;N(Simulations!$O12)),0,IF(Simulations!$AC12&lt;Simulations!$J12,Simulations!$AA12/(Simulations!$G12*Simulations!$H12*IF(Simulations!$I12&gt;0,Simulations!$I12,1))*Simulations!$AC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C12/Simulations!$J12)^1.5+SQRT(LN(Simulations!$AC12/Simulations!$J12))+Simulations!$AC12/Simulations!$J12*SQRT(PI())/2*ERFC(SQRT(LN(Simulations!$AC12/Simulations!$J12)))),PI()*Simulations!$T12^2/2*(LN(Simulations!$AC12/Simulations!$J12)+1))))</f>
        <v>44.0989078480228</v>
      </c>
      <c r="D12" s="0" t="n">
        <f aca="false">IF(OR(NOT(AND(Simulations!$A12&lt;&gt;"",OR(Simulations!$Y12&lt;&gt;"",N(Simulations!$AA12)&gt;0))),N(Simulations!$AD12)&lt;=0,N(Simulations!$AA12)&lt;=0,3&gt;N(Simulations!$O12)),0,IF(Simulations!$AD12&lt;Simulations!$J12,Simulations!$AA12/(Simulations!$G12*Simulations!$H12*IF(Simulations!$I12&gt;0,Simulations!$I12,1))*Simulations!$AD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D12/Simulations!$J12)^1.5+SQRT(LN(Simulations!$AD12/Simulations!$J12))+Simulations!$AD12/Simulations!$J12*SQRT(PI())/2*ERFC(SQRT(LN(Simulations!$AD12/Simulations!$J12)))),PI()*Simulations!$T12^2/2*(LN(Simulations!$AD12/Simulations!$J12)+1))))</f>
        <v>31.4992198914448</v>
      </c>
      <c r="E12" s="0" t="n">
        <f aca="false">IF(NOT(AND(Simulations!$A12&lt;&gt;"",OR(Simulations!$Y12&lt;&gt;"",N(Simulations!$AA12)&gt;0))),0,MAX(N(Simulations!$AB12),N(Simulations!$AC12),N(Simulations!$AD12))/Simulations!$J12)</f>
        <v>1</v>
      </c>
      <c r="F12" s="0" t="n">
        <f aca="false">IF(OR(NOT(AND(Simulations!$A12&lt;&gt;"",OR(Simulations!$Y12&lt;&gt;"",N(Simulations!$AA12)&gt;0))),N(Simulations!$Z12)&lt;=0),0,SQRT(2*Simulations!$Z12*1000000/(Simulations!$J12*1000))/Simulations!$T12)</f>
        <v>0.0418330013267038</v>
      </c>
      <c r="G12" s="0" t="n">
        <f aca="false">IF(AND(Simulations!$A12&lt;&gt;"",OR(Simulations!$Y12&lt;&gt;"",N(Simulations!$AA12)&gt;0)),1,0)</f>
        <v>1</v>
      </c>
      <c r="H12" s="0" t="n">
        <f aca="false">IF(OR(NOT(AND(Simulations!$A12&lt;&gt;"",OR(Simulations!$AQ12&lt;&gt;"",N(Simulations!$AS12)&gt;0))),N(Simulations!$AT12)&lt;=0,N(Simulations!$AS12)&lt;=0,1&gt;N(Simulations!$O12)),0,IF(Simulations!$AT12&lt;Simulations!$J12,Simulations!$AS12/(Simulations!$G12*Simulations!$H12*IF(Simulations!$I12&gt;0,Simulations!$I12,1))*Simulations!$AT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T12/Simulations!$J12)^1.5+SQRT(LN(Simulations!$AT12/Simulations!$J12))+Simulations!$AT12/Simulations!$J12*SQRT(PI())/2*ERFC(SQRT(LN(Simulations!$AT12/Simulations!$J12)))),PI()*Simulations!$T12^2/2*(LN(Simulations!$AT12/Simulations!$J12)+1))))</f>
        <v>629.984397828897</v>
      </c>
      <c r="I12" s="0" t="n">
        <f aca="false">IF(OR(NOT(AND(Simulations!$A12&lt;&gt;"",OR(Simulations!$AQ12&lt;&gt;"",N(Simulations!$AS12)&gt;0))),N(Simulations!$AU12)&lt;=0,N(Simulations!$AS12)&lt;=0,2&gt;N(Simulations!$O12)),0,IF(Simulations!$AU12&lt;Simulations!$J12,Simulations!$AS12/(Simulations!$G12*Simulations!$H12*IF(Simulations!$I12&gt;0,Simulations!$I12,1))*Simulations!$AU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U12/Simulations!$J12)^1.5+SQRT(LN(Simulations!$AU12/Simulations!$J12))+Simulations!$AU12/Simulations!$J12*SQRT(PI())/2*ERFC(SQRT(LN(Simulations!$AU12/Simulations!$J12)))),PI()*Simulations!$T12^2/2*(LN(Simulations!$AU12/Simulations!$J12)+1))))</f>
        <v>0</v>
      </c>
      <c r="J12" s="0" t="n">
        <f aca="false">IF(OR(NOT(AND(Simulations!$A12&lt;&gt;"",OR(Simulations!$AQ12&lt;&gt;"",N(Simulations!$AS12)&gt;0))),N(Simulations!$AV12)&lt;=0,N(Simulations!$AS12)&lt;=0,3&gt;N(Simulations!$O12)),0,IF(Simulations!$AV12&lt;Simulations!$J12,Simulations!$AS12/(Simulations!$G12*Simulations!$H12*IF(Simulations!$I12&gt;0,Simulations!$I12,1))*Simulations!$AV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V12/Simulations!$J12)^1.5+SQRT(LN(Simulations!$AV12/Simulations!$J12))+Simulations!$AV12/Simulations!$J12*SQRT(PI())/2*ERFC(SQRT(LN(Simulations!$AV12/Simulations!$J12)))),PI()*Simulations!$T12^2/2*(LN(Simulations!$AV12/Simulations!$J12)+1))))</f>
        <v>314.992198914448</v>
      </c>
      <c r="K12" s="0" t="n">
        <f aca="false">IF(NOT(AND(Simulations!$A12&lt;&gt;"",OR(Simulations!$AQ12&lt;&gt;"",N(Simulations!$AS12)&gt;0))),0,MAX(N(Simulations!$AT12),N(Simulations!$AU12),N(Simulations!$AV12))/Simulations!$J12)</f>
        <v>1</v>
      </c>
      <c r="L12" s="0" t="n">
        <f aca="false">IF(OR(NOT(AND(Simulations!$A12&lt;&gt;"",OR(Simulations!$AQ12&lt;&gt;"",N(Simulations!$AS12)&gt;0))),N(Simulations!$AR12)&lt;=0),0,SQRT(2*Simulations!$AR12*1000000/(Simulations!$J12*1000))/Simulations!$T12)</f>
        <v>0.0418330013267038</v>
      </c>
      <c r="M12" s="0" t="n">
        <f aca="false">IF(AND(Simulations!$A12&lt;&gt;"",OR(Simulations!$AQ12&lt;&gt;"",N(Simulations!$AS12)&gt;0)),1,0)</f>
        <v>1</v>
      </c>
      <c r="N12" s="0" t="n">
        <f aca="false">IF(OR(NOT(AND(Simulations!$A12&lt;&gt;"",OR(Simulations!$BI12&lt;&gt;"",N(Simulations!$BK12)&gt;0))),N(Simulations!$BL12)&lt;=0,N(Simulations!$BK12)&lt;=0,1&gt;N(Simulations!$O12)),0,IF(Simulations!$BL12&lt;Simulations!$J12,Simulations!$BK12/(Simulations!$G12*Simulations!$H12*IF(Simulations!$I12&gt;0,Simulations!$I12,1))*Simulations!$BL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L12/Simulations!$J12)^1.5+SQRT(LN(Simulations!$BL12/Simulations!$J12))+Simulations!$BL12/Simulations!$J12*SQRT(PI())/2*ERFC(SQRT(LN(Simulations!$BL12/Simulations!$J12)))),PI()*Simulations!$T12^2/2*(LN(Simulations!$BL12/Simulations!$J12)+1))))</f>
        <v>2332.97493211706</v>
      </c>
      <c r="O12" s="0" t="n">
        <f aca="false">IF(OR(NOT(AND(Simulations!$A12&lt;&gt;"",OR(Simulations!$BI12&lt;&gt;"",N(Simulations!$BK12)&gt;0))),N(Simulations!$BM12)&lt;=0,N(Simulations!$BK12)&lt;=0,2&gt;N(Simulations!$O12)),0,IF(Simulations!$BM12&lt;Simulations!$J12,Simulations!$BK12/(Simulations!$G12*Simulations!$H12*IF(Simulations!$I12&gt;0,Simulations!$I12,1))*Simulations!$BM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M12/Simulations!$J12)^1.5+SQRT(LN(Simulations!$BM12/Simulations!$J12))+Simulations!$BM12/Simulations!$J12*SQRT(PI())/2*ERFC(SQRT(LN(Simulations!$BM12/Simulations!$J12)))),PI()*Simulations!$T12^2/2*(LN(Simulations!$BM12/Simulations!$J12)+1))))</f>
        <v>881.978156960456</v>
      </c>
      <c r="P12" s="0" t="n">
        <f aca="false">IF(OR(NOT(AND(Simulations!$A12&lt;&gt;"",OR(Simulations!$BI12&lt;&gt;"",N(Simulations!$BK12)&gt;0))),N(Simulations!$BN12)&lt;=0,N(Simulations!$BK12)&lt;=0,3&gt;N(Simulations!$O12)),0,IF(Simulations!$BN12&lt;Simulations!$J12,Simulations!$BK12/(Simulations!$G12*Simulations!$H12*IF(Simulations!$I12&gt;0,Simulations!$I12,1))*Simulations!$BN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N12/Simulations!$J12)^1.5+SQRT(LN(Simulations!$BN12/Simulations!$J12))+Simulations!$BN12/Simulations!$J12*SQRT(PI())/2*ERFC(SQRT(LN(Simulations!$BN12/Simulations!$J12)))),PI()*Simulations!$T12^2/2*(LN(Simulations!$BN12/Simulations!$J12)+1))))</f>
        <v>0</v>
      </c>
      <c r="Q12" s="0" t="n">
        <f aca="false">IF(NOT(AND(Simulations!$A12&lt;&gt;"",OR(Simulations!$BI12&lt;&gt;"",N(Simulations!$BK12)&gt;0))),0,MAX(N(Simulations!$BL12),N(Simulations!$BM12),N(Simulations!$BN12))/Simulations!$J12)</f>
        <v>2</v>
      </c>
      <c r="R12" s="0" t="n">
        <f aca="false">IF(OR(NOT(AND(Simulations!$A12&lt;&gt;"",OR(Simulations!$BI12&lt;&gt;"",N(Simulations!$BK12)&gt;0))),N(Simulations!$BJ12)&lt;=0),0,SQRT(2*Simulations!$BJ12*1000000/(Simulations!$J12*1000))/Simulations!$T12)</f>
        <v>0.0418330013267038</v>
      </c>
      <c r="S12" s="0" t="n">
        <f aca="false">IF(AND(Simulations!$A12&lt;&gt;"",OR(Simulations!$BI12&lt;&gt;"",N(Simulations!$BK12)&gt;0)),1,0)</f>
        <v>1</v>
      </c>
      <c r="T12" s="0" t="n">
        <f aca="false">IF(OR(NOT(AND(Simulations!$A12&lt;&gt;"",OR(Simulations!$CA12&lt;&gt;"",N(Simulations!$CC12)&gt;0))),N(Simulations!$CD12)&lt;=0,N(Simulations!$CC12)&lt;=0,1&gt;N(Simulations!$O12)),0,IF(Simulations!$CD12&lt;Simulations!$J12,Simulations!$CC12/(Simulations!$G12*Simulations!$H12*IF(Simulations!$I12&gt;0,Simulations!$I12,1))*Simulations!$CD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D12/Simulations!$J12)^1.5+SQRT(LN(Simulations!$CD12/Simulations!$J12))+Simulations!$CD12/Simulations!$J12*SQRT(PI())/2*ERFC(SQRT(LN(Simulations!$CD12/Simulations!$J12)))),PI()*Simulations!$T12^2/2*(LN(Simulations!$CD12/Simulations!$J12)+1))))</f>
        <v>0</v>
      </c>
      <c r="U12" s="0" t="n">
        <f aca="false">IF(OR(NOT(AND(Simulations!$A12&lt;&gt;"",OR(Simulations!$CA12&lt;&gt;"",N(Simulations!$CC12)&gt;0))),N(Simulations!$CE12)&lt;=0,N(Simulations!$CC12)&lt;=0,2&gt;N(Simulations!$O12)),0,IF(Simulations!$CE12&lt;Simulations!$J12,Simulations!$CC12/(Simulations!$G12*Simulations!$H12*IF(Simulations!$I12&gt;0,Simulations!$I12,1))*Simulations!$CE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E12/Simulations!$J12)^1.5+SQRT(LN(Simulations!$CE12/Simulations!$J12))+Simulations!$CE12/Simulations!$J12*SQRT(PI())/2*ERFC(SQRT(LN(Simulations!$CE12/Simulations!$J12)))),PI()*Simulations!$T12^2/2*(LN(Simulations!$CE12/Simulations!$J12)+1))))</f>
        <v>0</v>
      </c>
      <c r="V12" s="0" t="n">
        <f aca="false">IF(OR(NOT(AND(Simulations!$A12&lt;&gt;"",OR(Simulations!$CA12&lt;&gt;"",N(Simulations!$CC12)&gt;0))),N(Simulations!$CF12)&lt;=0,N(Simulations!$CC12)&lt;=0,3&gt;N(Simulations!$O12)),0,IF(Simulations!$CF12&lt;Simulations!$J12,Simulations!$CC12/(Simulations!$G12*Simulations!$H12*IF(Simulations!$I12&gt;0,Simulations!$I12,1))*Simulations!$CF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F12/Simulations!$J12)^1.5+SQRT(LN(Simulations!$CF12/Simulations!$J12))+Simulations!$CF12/Simulations!$J12*SQRT(PI())/2*ERFC(SQRT(LN(Simulations!$CF12/Simulations!$J12)))),PI()*Simulations!$T12^2/2*(LN(Simulations!$CF12/Simulations!$J12)+1))))</f>
        <v>0</v>
      </c>
      <c r="W12" s="0" t="n">
        <f aca="false">IF(NOT(AND(Simulations!$A12&lt;&gt;"",OR(Simulations!$CA12&lt;&gt;"",N(Simulations!$CC12)&gt;0))),0,MAX(N(Simulations!$CD12),N(Simulations!$CE12),N(Simulations!$CF12))/Simulations!$J12)</f>
        <v>0</v>
      </c>
      <c r="X12" s="0" t="n">
        <f aca="false">IF(OR(NOT(AND(Simulations!$A12&lt;&gt;"",OR(Simulations!$CA12&lt;&gt;"",N(Simulations!$CC12)&gt;0))),N(Simulations!$CB12)&lt;=0),0,SQRT(2*Simulations!$CB12*1000000/(Simulations!$J12*1000))/Simulations!$T12)</f>
        <v>0</v>
      </c>
      <c r="Y12" s="0" t="n">
        <f aca="false">IF(AND(Simulations!$A12&lt;&gt;"",OR(Simulations!$CA12&lt;&gt;"",N(Simulations!$CC12)&gt;0)),1,0)</f>
        <v>0</v>
      </c>
      <c r="Z12" s="0" t="n">
        <f aca="false">IF(OR(NOT(AND(Simulations!$A12&lt;&gt;"",OR(Simulations!$CS12&lt;&gt;"",N(Simulations!$CU12)&gt;0))),N(Simulations!$CV12)&lt;=0,N(Simulations!$CU12)&lt;=0,1&gt;N(Simulations!$O12)),0,IF(Simulations!$CV12&lt;Simulations!$J12,Simulations!$CU12/(Simulations!$G12*Simulations!$H12*IF(Simulations!$I12&gt;0,Simulations!$I12,1))*Simulations!$CV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V12/Simulations!$J12)^1.5+SQRT(LN(Simulations!$CV12/Simulations!$J12))+Simulations!$CV12/Simulations!$J12*SQRT(PI())/2*ERFC(SQRT(LN(Simulations!$CV12/Simulations!$J12)))),PI()*Simulations!$T12^2/2*(LN(Simulations!$CV12/Simulations!$J12)+1))))</f>
        <v>0</v>
      </c>
      <c r="AA12" s="0" t="n">
        <f aca="false">IF(OR(NOT(AND(Simulations!$A12&lt;&gt;"",OR(Simulations!$CS12&lt;&gt;"",N(Simulations!$CU12)&gt;0))),N(Simulations!$CW12)&lt;=0,N(Simulations!$CU12)&lt;=0,2&gt;N(Simulations!$O12)),0,IF(Simulations!$CW12&lt;Simulations!$J12,Simulations!$CU12/(Simulations!$G12*Simulations!$H12*IF(Simulations!$I12&gt;0,Simulations!$I12,1))*Simulations!$CW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W12/Simulations!$J12)^1.5+SQRT(LN(Simulations!$CW12/Simulations!$J12))+Simulations!$CW12/Simulations!$J12*SQRT(PI())/2*ERFC(SQRT(LN(Simulations!$CW12/Simulations!$J12)))),PI()*Simulations!$T12^2/2*(LN(Simulations!$CW12/Simulations!$J12)+1))))</f>
        <v>0</v>
      </c>
      <c r="AB12" s="0" t="n">
        <f aca="false">IF(OR(NOT(AND(Simulations!$A12&lt;&gt;"",OR(Simulations!$CS12&lt;&gt;"",N(Simulations!$CU12)&gt;0))),N(Simulations!$CX12)&lt;=0,N(Simulations!$CU12)&lt;=0,3&gt;N(Simulations!$O12)),0,IF(Simulations!$CX12&lt;Simulations!$J12,Simulations!$CU12/(Simulations!$G12*Simulations!$H12*IF(Simulations!$I12&gt;0,Simulations!$I12,1))*Simulations!$CX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X12/Simulations!$J12)^1.5+SQRT(LN(Simulations!$CX12/Simulations!$J12))+Simulations!$CX12/Simulations!$J12*SQRT(PI())/2*ERFC(SQRT(LN(Simulations!$CX12/Simulations!$J12)))),PI()*Simulations!$T12^2/2*(LN(Simulations!$CX12/Simulations!$J12)+1))))</f>
        <v>0</v>
      </c>
      <c r="AC12" s="0" t="n">
        <f aca="false">IF(NOT(AND(Simulations!$A12&lt;&gt;"",OR(Simulations!$CS12&lt;&gt;"",N(Simulations!$CU12)&gt;0))),0,MAX(N(Simulations!$CV12),N(Simulations!$CW12),N(Simulations!$CX12))/Simulations!$J12)</f>
        <v>0</v>
      </c>
      <c r="AD12" s="0" t="n">
        <f aca="false">IF(OR(NOT(AND(Simulations!$A12&lt;&gt;"",OR(Simulations!$CS12&lt;&gt;"",N(Simulations!$CU12)&gt;0))),N(Simulations!$CT12)&lt;=0),0,SQRT(2*Simulations!$CT12*1000000/(Simulations!$J12*1000))/Simulations!$T12)</f>
        <v>0</v>
      </c>
      <c r="AE12" s="0" t="n">
        <f aca="false">IF(AND(Simulations!$A12&lt;&gt;"",OR(Simulations!$CS12&lt;&gt;"",N(Simulations!$CU12)&gt;0)),1,0)</f>
        <v>0</v>
      </c>
      <c r="AF12" s="0" t="n">
        <f aca="false">IF(OR(NOT(AND(Simulations!$A12&lt;&gt;"",OR(Simulations!$DK12&lt;&gt;"",N(Simulations!$DM12)&gt;0))),N(Simulations!$DN12)&lt;=0,N(Simulations!$DM12)&lt;=0,1&gt;N(Simulations!$O12)),0,IF(Simulations!$DN12&lt;Simulations!$J12,Simulations!$DM12/(Simulations!$G12*Simulations!$H12*IF(Simulations!$I12&gt;0,Simulations!$I12,1))*Simulations!$DN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N12/Simulations!$J12)^1.5+SQRT(LN(Simulations!$DN12/Simulations!$J12))+Simulations!$DN12/Simulations!$J12*SQRT(PI())/2*ERFC(SQRT(LN(Simulations!$DN12/Simulations!$J12)))),PI()*Simulations!$T12^2/2*(LN(Simulations!$DN12/Simulations!$J12)+1))))</f>
        <v>0</v>
      </c>
      <c r="AG12" s="0" t="n">
        <f aca="false">IF(OR(NOT(AND(Simulations!$A12&lt;&gt;"",OR(Simulations!$DK12&lt;&gt;"",N(Simulations!$DM12)&gt;0))),N(Simulations!$DO12)&lt;=0,N(Simulations!$DM12)&lt;=0,2&gt;N(Simulations!$O12)),0,IF(Simulations!$DO12&lt;Simulations!$J12,Simulations!$DM12/(Simulations!$G12*Simulations!$H12*IF(Simulations!$I12&gt;0,Simulations!$I12,1))*Simulations!$DO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O12/Simulations!$J12)^1.5+SQRT(LN(Simulations!$DO12/Simulations!$J12))+Simulations!$DO12/Simulations!$J12*SQRT(PI())/2*ERFC(SQRT(LN(Simulations!$DO12/Simulations!$J12)))),PI()*Simulations!$T12^2/2*(LN(Simulations!$DO12/Simulations!$J12)+1))))</f>
        <v>0</v>
      </c>
      <c r="AH12" s="0" t="n">
        <f aca="false">IF(OR(NOT(AND(Simulations!$A12&lt;&gt;"",OR(Simulations!$DK12&lt;&gt;"",N(Simulations!$DM12)&gt;0))),N(Simulations!$DP12)&lt;=0,N(Simulations!$DM12)&lt;=0,3&gt;N(Simulations!$O12)),0,IF(Simulations!$DP12&lt;Simulations!$J12,Simulations!$DM12/(Simulations!$G12*Simulations!$H12*IF(Simulations!$I12&gt;0,Simulations!$I12,1))*Simulations!$DP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P12/Simulations!$J12)^1.5+SQRT(LN(Simulations!$DP12/Simulations!$J12))+Simulations!$DP12/Simulations!$J12*SQRT(PI())/2*ERFC(SQRT(LN(Simulations!$DP12/Simulations!$J12)))),PI()*Simulations!$T12^2/2*(LN(Simulations!$DP12/Simulations!$J12)+1))))</f>
        <v>0</v>
      </c>
      <c r="AI12" s="0" t="n">
        <f aca="false">IF(NOT(AND(Simulations!$A12&lt;&gt;"",OR(Simulations!$DK12&lt;&gt;"",N(Simulations!$DM12)&gt;0))),0,MAX(N(Simulations!$DN12),N(Simulations!$DO12),N(Simulations!$DP12))/Simulations!$J12)</f>
        <v>0</v>
      </c>
      <c r="AJ12" s="0" t="n">
        <f aca="false">IF(OR(NOT(AND(Simulations!$A12&lt;&gt;"",OR(Simulations!$DK12&lt;&gt;"",N(Simulations!$DM12)&gt;0))),N(Simulations!$DL12)&lt;=0),0,SQRT(2*Simulations!$DL12*1000000/(Simulations!$J12*1000))/Simulations!$T12)</f>
        <v>0</v>
      </c>
      <c r="AK12" s="0" t="n">
        <f aca="false">IF(AND(Simulations!$A12&lt;&gt;"",OR(Simulations!$DK12&lt;&gt;"",N(Simulations!$DM12)&gt;0)),1,0)</f>
        <v>0</v>
      </c>
    </row>
    <row r="13" customFormat="false" ht="15" hidden="false" customHeight="false" outlineLevel="0" collapsed="false">
      <c r="B13" s="0" t="n">
        <f aca="false">IF(OR(NOT(AND(Simulations!$A13&lt;&gt;"",OR(Simulations!$Y13&lt;&gt;"",N(Simulations!$AA13)&gt;0))),N(Simulations!$AB13)&lt;=0,N(Simulations!$AA13)&lt;=0,1&gt;N(Simulations!$O13)),0,IF(Simulations!$AB13&lt;Simulations!$J13,Simulations!$AA13/(Simulations!$G13*Simulations!$H13*IF(Simulations!$I13&gt;0,Simulations!$I13,1))*Simulations!$AB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B13/Simulations!$J13)^1.5+SQRT(LN(Simulations!$AB13/Simulations!$J13))+Simulations!$AB13/Simulations!$J13*SQRT(PI())/2*ERFC(SQRT(LN(Simulations!$AB13/Simulations!$J13)))),PI()*Simulations!$T13^2/2*(LN(Simulations!$AB13/Simulations!$J13)+1))))</f>
        <v>6.29984397828897</v>
      </c>
      <c r="C13" s="0" t="n">
        <f aca="false">IF(OR(NOT(AND(Simulations!$A13&lt;&gt;"",OR(Simulations!$Y13&lt;&gt;"",N(Simulations!$AA13)&gt;0))),N(Simulations!$AC13)&lt;=0,N(Simulations!$AA13)&lt;=0,2&gt;N(Simulations!$O13)),0,IF(Simulations!$AC13&lt;Simulations!$J13,Simulations!$AA13/(Simulations!$G13*Simulations!$H13*IF(Simulations!$I13&gt;0,Simulations!$I13,1))*Simulations!$AC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C13/Simulations!$J13)^1.5+SQRT(LN(Simulations!$AC13/Simulations!$J13))+Simulations!$AC13/Simulations!$J13*SQRT(PI())/2*ERFC(SQRT(LN(Simulations!$AC13/Simulations!$J13)))),PI()*Simulations!$T13^2/2*(LN(Simulations!$AC13/Simulations!$J13)+1))))</f>
        <v>4.40989078480228</v>
      </c>
      <c r="D13" s="0" t="n">
        <f aca="false">IF(OR(NOT(AND(Simulations!$A13&lt;&gt;"",OR(Simulations!$Y13&lt;&gt;"",N(Simulations!$AA13)&gt;0))),N(Simulations!$AD13)&lt;=0,N(Simulations!$AA13)&lt;=0,3&gt;N(Simulations!$O13)),0,IF(Simulations!$AD13&lt;Simulations!$J13,Simulations!$AA13/(Simulations!$G13*Simulations!$H13*IF(Simulations!$I13&gt;0,Simulations!$I13,1))*Simulations!$AD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D13/Simulations!$J13)^1.5+SQRT(LN(Simulations!$AD13/Simulations!$J13))+Simulations!$AD13/Simulations!$J13*SQRT(PI())/2*ERFC(SQRT(LN(Simulations!$AD13/Simulations!$J13)))),PI()*Simulations!$T13^2/2*(LN(Simulations!$AD13/Simulations!$J13)+1))))</f>
        <v>3.14992198914448</v>
      </c>
      <c r="E13" s="0" t="n">
        <f aca="false">IF(NOT(AND(Simulations!$A13&lt;&gt;"",OR(Simulations!$Y13&lt;&gt;"",N(Simulations!$AA13)&gt;0))),0,MAX(N(Simulations!$AB13),N(Simulations!$AC13),N(Simulations!$AD13))/Simulations!$J13)</f>
        <v>1</v>
      </c>
      <c r="F13" s="0" t="n">
        <f aca="false">IF(OR(NOT(AND(Simulations!$A13&lt;&gt;"",OR(Simulations!$Y13&lt;&gt;"",N(Simulations!$AA13)&gt;0))),N(Simulations!$Z13)&lt;=0),0,SQRT(2*Simulations!$Z13*1000000/(Simulations!$J13*1000))/Simulations!$T13)</f>
        <v>0.0418330013267038</v>
      </c>
      <c r="G13" s="0" t="n">
        <f aca="false">IF(AND(Simulations!$A13&lt;&gt;"",OR(Simulations!$Y13&lt;&gt;"",N(Simulations!$AA13)&gt;0)),1,0)</f>
        <v>1</v>
      </c>
      <c r="H13" s="0" t="n">
        <f aca="false">IF(OR(NOT(AND(Simulations!$A13&lt;&gt;"",OR(Simulations!$AQ13&lt;&gt;"",N(Simulations!$AS13)&gt;0))),N(Simulations!$AT13)&lt;=0,N(Simulations!$AS13)&lt;=0,1&gt;N(Simulations!$O13)),0,IF(Simulations!$AT13&lt;Simulations!$J13,Simulations!$AS13/(Simulations!$G13*Simulations!$H13*IF(Simulations!$I13&gt;0,Simulations!$I13,1))*Simulations!$AT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T13/Simulations!$J13)^1.5+SQRT(LN(Simulations!$AT13/Simulations!$J13))+Simulations!$AT13/Simulations!$J13*SQRT(PI())/2*ERFC(SQRT(LN(Simulations!$AT13/Simulations!$J13)))),PI()*Simulations!$T13^2/2*(LN(Simulations!$AT13/Simulations!$J13)+1))))</f>
        <v>6.29984397828897</v>
      </c>
      <c r="I13" s="0" t="n">
        <f aca="false">IF(OR(NOT(AND(Simulations!$A13&lt;&gt;"",OR(Simulations!$AQ13&lt;&gt;"",N(Simulations!$AS13)&gt;0))),N(Simulations!$AU13)&lt;=0,N(Simulations!$AS13)&lt;=0,2&gt;N(Simulations!$O13)),0,IF(Simulations!$AU13&lt;Simulations!$J13,Simulations!$AS13/(Simulations!$G13*Simulations!$H13*IF(Simulations!$I13&gt;0,Simulations!$I13,1))*Simulations!$AU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U13/Simulations!$J13)^1.5+SQRT(LN(Simulations!$AU13/Simulations!$J13))+Simulations!$AU13/Simulations!$J13*SQRT(PI())/2*ERFC(SQRT(LN(Simulations!$AU13/Simulations!$J13)))),PI()*Simulations!$T13^2/2*(LN(Simulations!$AU13/Simulations!$J13)+1))))</f>
        <v>0</v>
      </c>
      <c r="J13" s="0" t="n">
        <f aca="false">IF(OR(NOT(AND(Simulations!$A13&lt;&gt;"",OR(Simulations!$AQ13&lt;&gt;"",N(Simulations!$AS13)&gt;0))),N(Simulations!$AV13)&lt;=0,N(Simulations!$AS13)&lt;=0,3&gt;N(Simulations!$O13)),0,IF(Simulations!$AV13&lt;Simulations!$J13,Simulations!$AS13/(Simulations!$G13*Simulations!$H13*IF(Simulations!$I13&gt;0,Simulations!$I13,1))*Simulations!$AV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V13/Simulations!$J13)^1.5+SQRT(LN(Simulations!$AV13/Simulations!$J13))+Simulations!$AV13/Simulations!$J13*SQRT(PI())/2*ERFC(SQRT(LN(Simulations!$AV13/Simulations!$J13)))),PI()*Simulations!$T13^2/2*(LN(Simulations!$AV13/Simulations!$J13)+1))))</f>
        <v>3.14992198914448</v>
      </c>
      <c r="K13" s="0" t="n">
        <f aca="false">IF(NOT(AND(Simulations!$A13&lt;&gt;"",OR(Simulations!$AQ13&lt;&gt;"",N(Simulations!$AS13)&gt;0))),0,MAX(N(Simulations!$AT13),N(Simulations!$AU13),N(Simulations!$AV13))/Simulations!$J13)</f>
        <v>1</v>
      </c>
      <c r="L13" s="0" t="n">
        <f aca="false">IF(OR(NOT(AND(Simulations!$A13&lt;&gt;"",OR(Simulations!$AQ13&lt;&gt;"",N(Simulations!$AS13)&gt;0))),N(Simulations!$AR13)&lt;=0),0,SQRT(2*Simulations!$AR13*1000000/(Simulations!$J13*1000))/Simulations!$T13)</f>
        <v>0.0418330013267038</v>
      </c>
      <c r="M13" s="0" t="n">
        <f aca="false">IF(AND(Simulations!$A13&lt;&gt;"",OR(Simulations!$AQ13&lt;&gt;"",N(Simulations!$AS13)&gt;0)),1,0)</f>
        <v>1</v>
      </c>
      <c r="N13" s="0" t="n">
        <f aca="false">IF(OR(NOT(AND(Simulations!$A13&lt;&gt;"",OR(Simulations!$BI13&lt;&gt;"",N(Simulations!$BK13)&gt;0))),N(Simulations!$BL13)&lt;=0,N(Simulations!$BK13)&lt;=0,1&gt;N(Simulations!$O13)),0,IF(Simulations!$BL13&lt;Simulations!$J13,Simulations!$BK13/(Simulations!$G13*Simulations!$H13*IF(Simulations!$I13&gt;0,Simulations!$I13,1))*Simulations!$BL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L13/Simulations!$J13)^1.5+SQRT(LN(Simulations!$BL13/Simulations!$J13))+Simulations!$BL13/Simulations!$J13*SQRT(PI())/2*ERFC(SQRT(LN(Simulations!$BL13/Simulations!$J13)))),PI()*Simulations!$T13^2/2*(LN(Simulations!$BL13/Simulations!$J13)+1))))</f>
        <v>11.6648746605853</v>
      </c>
      <c r="O13" s="0" t="n">
        <f aca="false">IF(OR(NOT(AND(Simulations!$A13&lt;&gt;"",OR(Simulations!$BI13&lt;&gt;"",N(Simulations!$BK13)&gt;0))),N(Simulations!$BM13)&lt;=0,N(Simulations!$BK13)&lt;=0,2&gt;N(Simulations!$O13)),0,IF(Simulations!$BM13&lt;Simulations!$J13,Simulations!$BK13/(Simulations!$G13*Simulations!$H13*IF(Simulations!$I13&gt;0,Simulations!$I13,1))*Simulations!$BM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M13/Simulations!$J13)^1.5+SQRT(LN(Simulations!$BM13/Simulations!$J13))+Simulations!$BM13/Simulations!$J13*SQRT(PI())/2*ERFC(SQRT(LN(Simulations!$BM13/Simulations!$J13)))),PI()*Simulations!$T13^2/2*(LN(Simulations!$BM13/Simulations!$J13)+1))))</f>
        <v>4.40989078480228</v>
      </c>
      <c r="P13" s="0" t="n">
        <f aca="false">IF(OR(NOT(AND(Simulations!$A13&lt;&gt;"",OR(Simulations!$BI13&lt;&gt;"",N(Simulations!$BK13)&gt;0))),N(Simulations!$BN13)&lt;=0,N(Simulations!$BK13)&lt;=0,3&gt;N(Simulations!$O13)),0,IF(Simulations!$BN13&lt;Simulations!$J13,Simulations!$BK13/(Simulations!$G13*Simulations!$H13*IF(Simulations!$I13&gt;0,Simulations!$I13,1))*Simulations!$BN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N13/Simulations!$J13)^1.5+SQRT(LN(Simulations!$BN13/Simulations!$J13))+Simulations!$BN13/Simulations!$J13*SQRT(PI())/2*ERFC(SQRT(LN(Simulations!$BN13/Simulations!$J13)))),PI()*Simulations!$T13^2/2*(LN(Simulations!$BN13/Simulations!$J13)+1))))</f>
        <v>0</v>
      </c>
      <c r="Q13" s="0" t="n">
        <f aca="false">IF(NOT(AND(Simulations!$A13&lt;&gt;"",OR(Simulations!$BI13&lt;&gt;"",N(Simulations!$BK13)&gt;0))),0,MAX(N(Simulations!$BL13),N(Simulations!$BM13),N(Simulations!$BN13))/Simulations!$J13)</f>
        <v>2</v>
      </c>
      <c r="R13" s="0" t="n">
        <f aca="false">IF(OR(NOT(AND(Simulations!$A13&lt;&gt;"",OR(Simulations!$BI13&lt;&gt;"",N(Simulations!$BK13)&gt;0))),N(Simulations!$BJ13)&lt;=0),0,SQRT(2*Simulations!$BJ13*1000000/(Simulations!$J13*1000))/Simulations!$T13)</f>
        <v>0.0418330013267038</v>
      </c>
      <c r="S13" s="0" t="n">
        <f aca="false">IF(AND(Simulations!$A13&lt;&gt;"",OR(Simulations!$BI13&lt;&gt;"",N(Simulations!$BK13)&gt;0)),1,0)</f>
        <v>1</v>
      </c>
      <c r="T13" s="0" t="n">
        <f aca="false">IF(OR(NOT(AND(Simulations!$A13&lt;&gt;"",OR(Simulations!$CA13&lt;&gt;"",N(Simulations!$CC13)&gt;0))),N(Simulations!$CD13)&lt;=0,N(Simulations!$CC13)&lt;=0,1&gt;N(Simulations!$O13)),0,IF(Simulations!$CD13&lt;Simulations!$J13,Simulations!$CC13/(Simulations!$G13*Simulations!$H13*IF(Simulations!$I13&gt;0,Simulations!$I13,1))*Simulations!$CD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D13/Simulations!$J13)^1.5+SQRT(LN(Simulations!$CD13/Simulations!$J13))+Simulations!$CD13/Simulations!$J13*SQRT(PI())/2*ERFC(SQRT(LN(Simulations!$CD13/Simulations!$J13)))),PI()*Simulations!$T13^2/2*(LN(Simulations!$CD13/Simulations!$J13)+1))))</f>
        <v>0</v>
      </c>
      <c r="U13" s="0" t="n">
        <f aca="false">IF(OR(NOT(AND(Simulations!$A13&lt;&gt;"",OR(Simulations!$CA13&lt;&gt;"",N(Simulations!$CC13)&gt;0))),N(Simulations!$CE13)&lt;=0,N(Simulations!$CC13)&lt;=0,2&gt;N(Simulations!$O13)),0,IF(Simulations!$CE13&lt;Simulations!$J13,Simulations!$CC13/(Simulations!$G13*Simulations!$H13*IF(Simulations!$I13&gt;0,Simulations!$I13,1))*Simulations!$CE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E13/Simulations!$J13)^1.5+SQRT(LN(Simulations!$CE13/Simulations!$J13))+Simulations!$CE13/Simulations!$J13*SQRT(PI())/2*ERFC(SQRT(LN(Simulations!$CE13/Simulations!$J13)))),PI()*Simulations!$T13^2/2*(LN(Simulations!$CE13/Simulations!$J13)+1))))</f>
        <v>0</v>
      </c>
      <c r="V13" s="0" t="n">
        <f aca="false">IF(OR(NOT(AND(Simulations!$A13&lt;&gt;"",OR(Simulations!$CA13&lt;&gt;"",N(Simulations!$CC13)&gt;0))),N(Simulations!$CF13)&lt;=0,N(Simulations!$CC13)&lt;=0,3&gt;N(Simulations!$O13)),0,IF(Simulations!$CF13&lt;Simulations!$J13,Simulations!$CC13/(Simulations!$G13*Simulations!$H13*IF(Simulations!$I13&gt;0,Simulations!$I13,1))*Simulations!$CF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F13/Simulations!$J13)^1.5+SQRT(LN(Simulations!$CF13/Simulations!$J13))+Simulations!$CF13/Simulations!$J13*SQRT(PI())/2*ERFC(SQRT(LN(Simulations!$CF13/Simulations!$J13)))),PI()*Simulations!$T13^2/2*(LN(Simulations!$CF13/Simulations!$J13)+1))))</f>
        <v>0</v>
      </c>
      <c r="W13" s="0" t="n">
        <f aca="false">IF(NOT(AND(Simulations!$A13&lt;&gt;"",OR(Simulations!$CA13&lt;&gt;"",N(Simulations!$CC13)&gt;0))),0,MAX(N(Simulations!$CD13),N(Simulations!$CE13),N(Simulations!$CF13))/Simulations!$J13)</f>
        <v>0</v>
      </c>
      <c r="X13" s="0" t="n">
        <f aca="false">IF(OR(NOT(AND(Simulations!$A13&lt;&gt;"",OR(Simulations!$CA13&lt;&gt;"",N(Simulations!$CC13)&gt;0))),N(Simulations!$CB13)&lt;=0),0,SQRT(2*Simulations!$CB13*1000000/(Simulations!$J13*1000))/Simulations!$T13)</f>
        <v>0</v>
      </c>
      <c r="Y13" s="0" t="n">
        <f aca="false">IF(AND(Simulations!$A13&lt;&gt;"",OR(Simulations!$CA13&lt;&gt;"",N(Simulations!$CC13)&gt;0)),1,0)</f>
        <v>0</v>
      </c>
      <c r="Z13" s="0" t="n">
        <f aca="false">IF(OR(NOT(AND(Simulations!$A13&lt;&gt;"",OR(Simulations!$CS13&lt;&gt;"",N(Simulations!$CU13)&gt;0))),N(Simulations!$CV13)&lt;=0,N(Simulations!$CU13)&lt;=0,1&gt;N(Simulations!$O13)),0,IF(Simulations!$CV13&lt;Simulations!$J13,Simulations!$CU13/(Simulations!$G13*Simulations!$H13*IF(Simulations!$I13&gt;0,Simulations!$I13,1))*Simulations!$CV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V13/Simulations!$J13)^1.5+SQRT(LN(Simulations!$CV13/Simulations!$J13))+Simulations!$CV13/Simulations!$J13*SQRT(PI())/2*ERFC(SQRT(LN(Simulations!$CV13/Simulations!$J13)))),PI()*Simulations!$T13^2/2*(LN(Simulations!$CV13/Simulations!$J13)+1))))</f>
        <v>0</v>
      </c>
      <c r="AA13" s="0" t="n">
        <f aca="false">IF(OR(NOT(AND(Simulations!$A13&lt;&gt;"",OR(Simulations!$CS13&lt;&gt;"",N(Simulations!$CU13)&gt;0))),N(Simulations!$CW13)&lt;=0,N(Simulations!$CU13)&lt;=0,2&gt;N(Simulations!$O13)),0,IF(Simulations!$CW13&lt;Simulations!$J13,Simulations!$CU13/(Simulations!$G13*Simulations!$H13*IF(Simulations!$I13&gt;0,Simulations!$I13,1))*Simulations!$CW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W13/Simulations!$J13)^1.5+SQRT(LN(Simulations!$CW13/Simulations!$J13))+Simulations!$CW13/Simulations!$J13*SQRT(PI())/2*ERFC(SQRT(LN(Simulations!$CW13/Simulations!$J13)))),PI()*Simulations!$T13^2/2*(LN(Simulations!$CW13/Simulations!$J13)+1))))</f>
        <v>0</v>
      </c>
      <c r="AB13" s="0" t="n">
        <f aca="false">IF(OR(NOT(AND(Simulations!$A13&lt;&gt;"",OR(Simulations!$CS13&lt;&gt;"",N(Simulations!$CU13)&gt;0))),N(Simulations!$CX13)&lt;=0,N(Simulations!$CU13)&lt;=0,3&gt;N(Simulations!$O13)),0,IF(Simulations!$CX13&lt;Simulations!$J13,Simulations!$CU13/(Simulations!$G13*Simulations!$H13*IF(Simulations!$I13&gt;0,Simulations!$I13,1))*Simulations!$CX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X13/Simulations!$J13)^1.5+SQRT(LN(Simulations!$CX13/Simulations!$J13))+Simulations!$CX13/Simulations!$J13*SQRT(PI())/2*ERFC(SQRT(LN(Simulations!$CX13/Simulations!$J13)))),PI()*Simulations!$T13^2/2*(LN(Simulations!$CX13/Simulations!$J13)+1))))</f>
        <v>0</v>
      </c>
      <c r="AC13" s="0" t="n">
        <f aca="false">IF(NOT(AND(Simulations!$A13&lt;&gt;"",OR(Simulations!$CS13&lt;&gt;"",N(Simulations!$CU13)&gt;0))),0,MAX(N(Simulations!$CV13),N(Simulations!$CW13),N(Simulations!$CX13))/Simulations!$J13)</f>
        <v>0</v>
      </c>
      <c r="AD13" s="0" t="n">
        <f aca="false">IF(OR(NOT(AND(Simulations!$A13&lt;&gt;"",OR(Simulations!$CS13&lt;&gt;"",N(Simulations!$CU13)&gt;0))),N(Simulations!$CT13)&lt;=0),0,SQRT(2*Simulations!$CT13*1000000/(Simulations!$J13*1000))/Simulations!$T13)</f>
        <v>0</v>
      </c>
      <c r="AE13" s="0" t="n">
        <f aca="false">IF(AND(Simulations!$A13&lt;&gt;"",OR(Simulations!$CS13&lt;&gt;"",N(Simulations!$CU13)&gt;0)),1,0)</f>
        <v>0</v>
      </c>
      <c r="AF13" s="0" t="n">
        <f aca="false">IF(OR(NOT(AND(Simulations!$A13&lt;&gt;"",OR(Simulations!$DK13&lt;&gt;"",N(Simulations!$DM13)&gt;0))),N(Simulations!$DN13)&lt;=0,N(Simulations!$DM13)&lt;=0,1&gt;N(Simulations!$O13)),0,IF(Simulations!$DN13&lt;Simulations!$J13,Simulations!$DM13/(Simulations!$G13*Simulations!$H13*IF(Simulations!$I13&gt;0,Simulations!$I13,1))*Simulations!$DN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N13/Simulations!$J13)^1.5+SQRT(LN(Simulations!$DN13/Simulations!$J13))+Simulations!$DN13/Simulations!$J13*SQRT(PI())/2*ERFC(SQRT(LN(Simulations!$DN13/Simulations!$J13)))),PI()*Simulations!$T13^2/2*(LN(Simulations!$DN13/Simulations!$J13)+1))))</f>
        <v>0</v>
      </c>
      <c r="AG13" s="0" t="n">
        <f aca="false">IF(OR(NOT(AND(Simulations!$A13&lt;&gt;"",OR(Simulations!$DK13&lt;&gt;"",N(Simulations!$DM13)&gt;0))),N(Simulations!$DO13)&lt;=0,N(Simulations!$DM13)&lt;=0,2&gt;N(Simulations!$O13)),0,IF(Simulations!$DO13&lt;Simulations!$J13,Simulations!$DM13/(Simulations!$G13*Simulations!$H13*IF(Simulations!$I13&gt;0,Simulations!$I13,1))*Simulations!$DO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O13/Simulations!$J13)^1.5+SQRT(LN(Simulations!$DO13/Simulations!$J13))+Simulations!$DO13/Simulations!$J13*SQRT(PI())/2*ERFC(SQRT(LN(Simulations!$DO13/Simulations!$J13)))),PI()*Simulations!$T13^2/2*(LN(Simulations!$DO13/Simulations!$J13)+1))))</f>
        <v>0</v>
      </c>
      <c r="AH13" s="0" t="n">
        <f aca="false">IF(OR(NOT(AND(Simulations!$A13&lt;&gt;"",OR(Simulations!$DK13&lt;&gt;"",N(Simulations!$DM13)&gt;0))),N(Simulations!$DP13)&lt;=0,N(Simulations!$DM13)&lt;=0,3&gt;N(Simulations!$O13)),0,IF(Simulations!$DP13&lt;Simulations!$J13,Simulations!$DM13/(Simulations!$G13*Simulations!$H13*IF(Simulations!$I13&gt;0,Simulations!$I13,1))*Simulations!$DP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P13/Simulations!$J13)^1.5+SQRT(LN(Simulations!$DP13/Simulations!$J13))+Simulations!$DP13/Simulations!$J13*SQRT(PI())/2*ERFC(SQRT(LN(Simulations!$DP13/Simulations!$J13)))),PI()*Simulations!$T13^2/2*(LN(Simulations!$DP13/Simulations!$J13)+1))))</f>
        <v>0</v>
      </c>
      <c r="AI13" s="0" t="n">
        <f aca="false">IF(NOT(AND(Simulations!$A13&lt;&gt;"",OR(Simulations!$DK13&lt;&gt;"",N(Simulations!$DM13)&gt;0))),0,MAX(N(Simulations!$DN13),N(Simulations!$DO13),N(Simulations!$DP13))/Simulations!$J13)</f>
        <v>0</v>
      </c>
      <c r="AJ13" s="0" t="n">
        <f aca="false">IF(OR(NOT(AND(Simulations!$A13&lt;&gt;"",OR(Simulations!$DK13&lt;&gt;"",N(Simulations!$DM13)&gt;0))),N(Simulations!$DL13)&lt;=0),0,SQRT(2*Simulations!$DL13*1000000/(Simulations!$J13*1000))/Simulations!$T13)</f>
        <v>0</v>
      </c>
      <c r="AK13" s="0" t="n">
        <f aca="false">IF(AND(Simulations!$A13&lt;&gt;"",OR(Simulations!$DK13&lt;&gt;"",N(Simulations!$DM13)&gt;0)),1,0)</f>
        <v>0</v>
      </c>
    </row>
    <row r="14" customFormat="false" ht="15" hidden="false" customHeight="false" outlineLevel="0" collapsed="false">
      <c r="B14" s="0" t="n">
        <f aca="false">IF(OR(NOT(AND(Simulations!$A14&lt;&gt;"",OR(Simulations!$Y14&lt;&gt;"",N(Simulations!$AA14)&gt;0))),N(Simulations!$AB14)&lt;=0,N(Simulations!$AA14)&lt;=0,1&gt;N(Simulations!$O14)),0,IF(Simulations!$AB14&lt;Simulations!$J14,Simulations!$AA14/(Simulations!$G14*Simulations!$H14*IF(Simulations!$I14&gt;0,Simulations!$I14,1))*Simulations!$AB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B14/Simulations!$J14)^1.5+SQRT(LN(Simulations!$AB14/Simulations!$J14))+Simulations!$AB14/Simulations!$J14*SQRT(PI())/2*ERFC(SQRT(LN(Simulations!$AB14/Simulations!$J14)))),PI()*Simulations!$T14^2/2*(LN(Simulations!$AB14/Simulations!$J14)+1))))</f>
        <v>629.984397828897</v>
      </c>
      <c r="C14" s="0" t="n">
        <f aca="false">IF(OR(NOT(AND(Simulations!$A14&lt;&gt;"",OR(Simulations!$Y14&lt;&gt;"",N(Simulations!$AA14)&gt;0))),N(Simulations!$AC14)&lt;=0,N(Simulations!$AA14)&lt;=0,2&gt;N(Simulations!$O14)),0,IF(Simulations!$AC14&lt;Simulations!$J14,Simulations!$AA14/(Simulations!$G14*Simulations!$H14*IF(Simulations!$I14&gt;0,Simulations!$I14,1))*Simulations!$AC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C14/Simulations!$J14)^1.5+SQRT(LN(Simulations!$AC14/Simulations!$J14))+Simulations!$AC14/Simulations!$J14*SQRT(PI())/2*ERFC(SQRT(LN(Simulations!$AC14/Simulations!$J14)))),PI()*Simulations!$T14^2/2*(LN(Simulations!$AC14/Simulations!$J14)+1))))</f>
        <v>440.989078480228</v>
      </c>
      <c r="D14" s="0" t="n">
        <f aca="false">IF(OR(NOT(AND(Simulations!$A14&lt;&gt;"",OR(Simulations!$Y14&lt;&gt;"",N(Simulations!$AA14)&gt;0))),N(Simulations!$AD14)&lt;=0,N(Simulations!$AA14)&lt;=0,3&gt;N(Simulations!$O14)),0,IF(Simulations!$AD14&lt;Simulations!$J14,Simulations!$AA14/(Simulations!$G14*Simulations!$H14*IF(Simulations!$I14&gt;0,Simulations!$I14,1))*Simulations!$AD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D14/Simulations!$J14)^1.5+SQRT(LN(Simulations!$AD14/Simulations!$J14))+Simulations!$AD14/Simulations!$J14*SQRT(PI())/2*ERFC(SQRT(LN(Simulations!$AD14/Simulations!$J14)))),PI()*Simulations!$T14^2/2*(LN(Simulations!$AD14/Simulations!$J14)+1))))</f>
        <v>314.992198914448</v>
      </c>
      <c r="E14" s="0" t="n">
        <f aca="false">IF(NOT(AND(Simulations!$A14&lt;&gt;"",OR(Simulations!$Y14&lt;&gt;"",N(Simulations!$AA14)&gt;0))),0,MAX(N(Simulations!$AB14),N(Simulations!$AC14),N(Simulations!$AD14))/Simulations!$J14)</f>
        <v>1</v>
      </c>
      <c r="F14" s="0" t="n">
        <f aca="false">IF(OR(NOT(AND(Simulations!$A14&lt;&gt;"",OR(Simulations!$Y14&lt;&gt;"",N(Simulations!$AA14)&gt;0))),N(Simulations!$Z14)&lt;=0),0,SQRT(2*Simulations!$Z14*1000000/(Simulations!$J14*1000))/Simulations!$T14)</f>
        <v>0.0418330013267038</v>
      </c>
      <c r="G14" s="0" t="n">
        <f aca="false">IF(AND(Simulations!$A14&lt;&gt;"",OR(Simulations!$Y14&lt;&gt;"",N(Simulations!$AA14)&gt;0)),1,0)</f>
        <v>1</v>
      </c>
      <c r="H14" s="0" t="n">
        <f aca="false">IF(OR(NOT(AND(Simulations!$A14&lt;&gt;"",OR(Simulations!$AQ14&lt;&gt;"",N(Simulations!$AS14)&gt;0))),N(Simulations!$AT14)&lt;=0,N(Simulations!$AS14)&lt;=0,1&gt;N(Simulations!$O14)),0,IF(Simulations!$AT14&lt;Simulations!$J14,Simulations!$AS14/(Simulations!$G14*Simulations!$H14*IF(Simulations!$I14&gt;0,Simulations!$I14,1))*Simulations!$AT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T14/Simulations!$J14)^1.5+SQRT(LN(Simulations!$AT14/Simulations!$J14))+Simulations!$AT14/Simulations!$J14*SQRT(PI())/2*ERFC(SQRT(LN(Simulations!$AT14/Simulations!$J14)))),PI()*Simulations!$T14^2/2*(LN(Simulations!$AT14/Simulations!$J14)+1))))</f>
        <v>629.984397828897</v>
      </c>
      <c r="I14" s="0" t="n">
        <f aca="false">IF(OR(NOT(AND(Simulations!$A14&lt;&gt;"",OR(Simulations!$AQ14&lt;&gt;"",N(Simulations!$AS14)&gt;0))),N(Simulations!$AU14)&lt;=0,N(Simulations!$AS14)&lt;=0,2&gt;N(Simulations!$O14)),0,IF(Simulations!$AU14&lt;Simulations!$J14,Simulations!$AS14/(Simulations!$G14*Simulations!$H14*IF(Simulations!$I14&gt;0,Simulations!$I14,1))*Simulations!$AU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U14/Simulations!$J14)^1.5+SQRT(LN(Simulations!$AU14/Simulations!$J14))+Simulations!$AU14/Simulations!$J14*SQRT(PI())/2*ERFC(SQRT(LN(Simulations!$AU14/Simulations!$J14)))),PI()*Simulations!$T14^2/2*(LN(Simulations!$AU14/Simulations!$J14)+1))))</f>
        <v>0</v>
      </c>
      <c r="J14" s="0" t="n">
        <f aca="false">IF(OR(NOT(AND(Simulations!$A14&lt;&gt;"",OR(Simulations!$AQ14&lt;&gt;"",N(Simulations!$AS14)&gt;0))),N(Simulations!$AV14)&lt;=0,N(Simulations!$AS14)&lt;=0,3&gt;N(Simulations!$O14)),0,IF(Simulations!$AV14&lt;Simulations!$J14,Simulations!$AS14/(Simulations!$G14*Simulations!$H14*IF(Simulations!$I14&gt;0,Simulations!$I14,1))*Simulations!$AV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V14/Simulations!$J14)^1.5+SQRT(LN(Simulations!$AV14/Simulations!$J14))+Simulations!$AV14/Simulations!$J14*SQRT(PI())/2*ERFC(SQRT(LN(Simulations!$AV14/Simulations!$J14)))),PI()*Simulations!$T14^2/2*(LN(Simulations!$AV14/Simulations!$J14)+1))))</f>
        <v>314.992198914448</v>
      </c>
      <c r="K14" s="0" t="n">
        <f aca="false">IF(NOT(AND(Simulations!$A14&lt;&gt;"",OR(Simulations!$AQ14&lt;&gt;"",N(Simulations!$AS14)&gt;0))),0,MAX(N(Simulations!$AT14),N(Simulations!$AU14),N(Simulations!$AV14))/Simulations!$J14)</f>
        <v>1</v>
      </c>
      <c r="L14" s="0" t="n">
        <f aca="false">IF(OR(NOT(AND(Simulations!$A14&lt;&gt;"",OR(Simulations!$AQ14&lt;&gt;"",N(Simulations!$AS14)&gt;0))),N(Simulations!$AR14)&lt;=0),0,SQRT(2*Simulations!$AR14*1000000/(Simulations!$J14*1000))/Simulations!$T14)</f>
        <v>0.0418330013267038</v>
      </c>
      <c r="M14" s="0" t="n">
        <f aca="false">IF(AND(Simulations!$A14&lt;&gt;"",OR(Simulations!$AQ14&lt;&gt;"",N(Simulations!$AS14)&gt;0)),1,0)</f>
        <v>1</v>
      </c>
      <c r="N14" s="0" t="n">
        <f aca="false">IF(OR(NOT(AND(Simulations!$A14&lt;&gt;"",OR(Simulations!$BI14&lt;&gt;"",N(Simulations!$BK14)&gt;0))),N(Simulations!$BL14)&lt;=0,N(Simulations!$BK14)&lt;=0,1&gt;N(Simulations!$O14)),0,IF(Simulations!$BL14&lt;Simulations!$J14,Simulations!$BK14/(Simulations!$G14*Simulations!$H14*IF(Simulations!$I14&gt;0,Simulations!$I14,1))*Simulations!$BL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L14/Simulations!$J14)^1.5+SQRT(LN(Simulations!$BL14/Simulations!$J14))+Simulations!$BL14/Simulations!$J14*SQRT(PI())/2*ERFC(SQRT(LN(Simulations!$BL14/Simulations!$J14)))),PI()*Simulations!$T14^2/2*(LN(Simulations!$BL14/Simulations!$J14)+1))))</f>
        <v>1166.48746605853</v>
      </c>
      <c r="O14" s="0" t="n">
        <f aca="false">IF(OR(NOT(AND(Simulations!$A14&lt;&gt;"",OR(Simulations!$BI14&lt;&gt;"",N(Simulations!$BK14)&gt;0))),N(Simulations!$BM14)&lt;=0,N(Simulations!$BK14)&lt;=0,2&gt;N(Simulations!$O14)),0,IF(Simulations!$BM14&lt;Simulations!$J14,Simulations!$BK14/(Simulations!$G14*Simulations!$H14*IF(Simulations!$I14&gt;0,Simulations!$I14,1))*Simulations!$BM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M14/Simulations!$J14)^1.5+SQRT(LN(Simulations!$BM14/Simulations!$J14))+Simulations!$BM14/Simulations!$J14*SQRT(PI())/2*ERFC(SQRT(LN(Simulations!$BM14/Simulations!$J14)))),PI()*Simulations!$T14^2/2*(LN(Simulations!$BM14/Simulations!$J14)+1))))</f>
        <v>440.989078480228</v>
      </c>
      <c r="P14" s="0" t="n">
        <f aca="false">IF(OR(NOT(AND(Simulations!$A14&lt;&gt;"",OR(Simulations!$BI14&lt;&gt;"",N(Simulations!$BK14)&gt;0))),N(Simulations!$BN14)&lt;=0,N(Simulations!$BK14)&lt;=0,3&gt;N(Simulations!$O14)),0,IF(Simulations!$BN14&lt;Simulations!$J14,Simulations!$BK14/(Simulations!$G14*Simulations!$H14*IF(Simulations!$I14&gt;0,Simulations!$I14,1))*Simulations!$BN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N14/Simulations!$J14)^1.5+SQRT(LN(Simulations!$BN14/Simulations!$J14))+Simulations!$BN14/Simulations!$J14*SQRT(PI())/2*ERFC(SQRT(LN(Simulations!$BN14/Simulations!$J14)))),PI()*Simulations!$T14^2/2*(LN(Simulations!$BN14/Simulations!$J14)+1))))</f>
        <v>0</v>
      </c>
      <c r="Q14" s="0" t="n">
        <f aca="false">IF(NOT(AND(Simulations!$A14&lt;&gt;"",OR(Simulations!$BI14&lt;&gt;"",N(Simulations!$BK14)&gt;0))),0,MAX(N(Simulations!$BL14),N(Simulations!$BM14),N(Simulations!$BN14))/Simulations!$J14)</f>
        <v>2</v>
      </c>
      <c r="R14" s="0" t="n">
        <f aca="false">IF(OR(NOT(AND(Simulations!$A14&lt;&gt;"",OR(Simulations!$BI14&lt;&gt;"",N(Simulations!$BK14)&gt;0))),N(Simulations!$BJ14)&lt;=0),0,SQRT(2*Simulations!$BJ14*1000000/(Simulations!$J14*1000))/Simulations!$T14)</f>
        <v>0.0418330013267038</v>
      </c>
      <c r="S14" s="0" t="n">
        <f aca="false">IF(AND(Simulations!$A14&lt;&gt;"",OR(Simulations!$BI14&lt;&gt;"",N(Simulations!$BK14)&gt;0)),1,0)</f>
        <v>1</v>
      </c>
      <c r="T14" s="0" t="n">
        <f aca="false">IF(OR(NOT(AND(Simulations!$A14&lt;&gt;"",OR(Simulations!$CA14&lt;&gt;"",N(Simulations!$CC14)&gt;0))),N(Simulations!$CD14)&lt;=0,N(Simulations!$CC14)&lt;=0,1&gt;N(Simulations!$O14)),0,IF(Simulations!$CD14&lt;Simulations!$J14,Simulations!$CC14/(Simulations!$G14*Simulations!$H14*IF(Simulations!$I14&gt;0,Simulations!$I14,1))*Simulations!$CD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D14/Simulations!$J14)^1.5+SQRT(LN(Simulations!$CD14/Simulations!$J14))+Simulations!$CD14/Simulations!$J14*SQRT(PI())/2*ERFC(SQRT(LN(Simulations!$CD14/Simulations!$J14)))),PI()*Simulations!$T14^2/2*(LN(Simulations!$CD14/Simulations!$J14)+1))))</f>
        <v>0</v>
      </c>
      <c r="U14" s="0" t="n">
        <f aca="false">IF(OR(NOT(AND(Simulations!$A14&lt;&gt;"",OR(Simulations!$CA14&lt;&gt;"",N(Simulations!$CC14)&gt;0))),N(Simulations!$CE14)&lt;=0,N(Simulations!$CC14)&lt;=0,2&gt;N(Simulations!$O14)),0,IF(Simulations!$CE14&lt;Simulations!$J14,Simulations!$CC14/(Simulations!$G14*Simulations!$H14*IF(Simulations!$I14&gt;0,Simulations!$I14,1))*Simulations!$CE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E14/Simulations!$J14)^1.5+SQRT(LN(Simulations!$CE14/Simulations!$J14))+Simulations!$CE14/Simulations!$J14*SQRT(PI())/2*ERFC(SQRT(LN(Simulations!$CE14/Simulations!$J14)))),PI()*Simulations!$T14^2/2*(LN(Simulations!$CE14/Simulations!$J14)+1))))</f>
        <v>0</v>
      </c>
      <c r="V14" s="0" t="n">
        <f aca="false">IF(OR(NOT(AND(Simulations!$A14&lt;&gt;"",OR(Simulations!$CA14&lt;&gt;"",N(Simulations!$CC14)&gt;0))),N(Simulations!$CF14)&lt;=0,N(Simulations!$CC14)&lt;=0,3&gt;N(Simulations!$O14)),0,IF(Simulations!$CF14&lt;Simulations!$J14,Simulations!$CC14/(Simulations!$G14*Simulations!$H14*IF(Simulations!$I14&gt;0,Simulations!$I14,1))*Simulations!$CF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F14/Simulations!$J14)^1.5+SQRT(LN(Simulations!$CF14/Simulations!$J14))+Simulations!$CF14/Simulations!$J14*SQRT(PI())/2*ERFC(SQRT(LN(Simulations!$CF14/Simulations!$J14)))),PI()*Simulations!$T14^2/2*(LN(Simulations!$CF14/Simulations!$J14)+1))))</f>
        <v>0</v>
      </c>
      <c r="W14" s="0" t="n">
        <f aca="false">IF(NOT(AND(Simulations!$A14&lt;&gt;"",OR(Simulations!$CA14&lt;&gt;"",N(Simulations!$CC14)&gt;0))),0,MAX(N(Simulations!$CD14),N(Simulations!$CE14),N(Simulations!$CF14))/Simulations!$J14)</f>
        <v>0</v>
      </c>
      <c r="X14" s="0" t="n">
        <f aca="false">IF(OR(NOT(AND(Simulations!$A14&lt;&gt;"",OR(Simulations!$CA14&lt;&gt;"",N(Simulations!$CC14)&gt;0))),N(Simulations!$CB14)&lt;=0),0,SQRT(2*Simulations!$CB14*1000000/(Simulations!$J14*1000))/Simulations!$T14)</f>
        <v>0</v>
      </c>
      <c r="Y14" s="0" t="n">
        <f aca="false">IF(AND(Simulations!$A14&lt;&gt;"",OR(Simulations!$CA14&lt;&gt;"",N(Simulations!$CC14)&gt;0)),1,0)</f>
        <v>0</v>
      </c>
      <c r="Z14" s="0" t="n">
        <f aca="false">IF(OR(NOT(AND(Simulations!$A14&lt;&gt;"",OR(Simulations!$CS14&lt;&gt;"",N(Simulations!$CU14)&gt;0))),N(Simulations!$CV14)&lt;=0,N(Simulations!$CU14)&lt;=0,1&gt;N(Simulations!$O14)),0,IF(Simulations!$CV14&lt;Simulations!$J14,Simulations!$CU14/(Simulations!$G14*Simulations!$H14*IF(Simulations!$I14&gt;0,Simulations!$I14,1))*Simulations!$CV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V14/Simulations!$J14)^1.5+SQRT(LN(Simulations!$CV14/Simulations!$J14))+Simulations!$CV14/Simulations!$J14*SQRT(PI())/2*ERFC(SQRT(LN(Simulations!$CV14/Simulations!$J14)))),PI()*Simulations!$T14^2/2*(LN(Simulations!$CV14/Simulations!$J14)+1))))</f>
        <v>0</v>
      </c>
      <c r="AA14" s="0" t="n">
        <f aca="false">IF(OR(NOT(AND(Simulations!$A14&lt;&gt;"",OR(Simulations!$CS14&lt;&gt;"",N(Simulations!$CU14)&gt;0))),N(Simulations!$CW14)&lt;=0,N(Simulations!$CU14)&lt;=0,2&gt;N(Simulations!$O14)),0,IF(Simulations!$CW14&lt;Simulations!$J14,Simulations!$CU14/(Simulations!$G14*Simulations!$H14*IF(Simulations!$I14&gt;0,Simulations!$I14,1))*Simulations!$CW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W14/Simulations!$J14)^1.5+SQRT(LN(Simulations!$CW14/Simulations!$J14))+Simulations!$CW14/Simulations!$J14*SQRT(PI())/2*ERFC(SQRT(LN(Simulations!$CW14/Simulations!$J14)))),PI()*Simulations!$T14^2/2*(LN(Simulations!$CW14/Simulations!$J14)+1))))</f>
        <v>0</v>
      </c>
      <c r="AB14" s="0" t="n">
        <f aca="false">IF(OR(NOT(AND(Simulations!$A14&lt;&gt;"",OR(Simulations!$CS14&lt;&gt;"",N(Simulations!$CU14)&gt;0))),N(Simulations!$CX14)&lt;=0,N(Simulations!$CU14)&lt;=0,3&gt;N(Simulations!$O14)),0,IF(Simulations!$CX14&lt;Simulations!$J14,Simulations!$CU14/(Simulations!$G14*Simulations!$H14*IF(Simulations!$I14&gt;0,Simulations!$I14,1))*Simulations!$CX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X14/Simulations!$J14)^1.5+SQRT(LN(Simulations!$CX14/Simulations!$J14))+Simulations!$CX14/Simulations!$J14*SQRT(PI())/2*ERFC(SQRT(LN(Simulations!$CX14/Simulations!$J14)))),PI()*Simulations!$T14^2/2*(LN(Simulations!$CX14/Simulations!$J14)+1))))</f>
        <v>0</v>
      </c>
      <c r="AC14" s="0" t="n">
        <f aca="false">IF(NOT(AND(Simulations!$A14&lt;&gt;"",OR(Simulations!$CS14&lt;&gt;"",N(Simulations!$CU14)&gt;0))),0,MAX(N(Simulations!$CV14),N(Simulations!$CW14),N(Simulations!$CX14))/Simulations!$J14)</f>
        <v>0</v>
      </c>
      <c r="AD14" s="0" t="n">
        <f aca="false">IF(OR(NOT(AND(Simulations!$A14&lt;&gt;"",OR(Simulations!$CS14&lt;&gt;"",N(Simulations!$CU14)&gt;0))),N(Simulations!$CT14)&lt;=0),0,SQRT(2*Simulations!$CT14*1000000/(Simulations!$J14*1000))/Simulations!$T14)</f>
        <v>0</v>
      </c>
      <c r="AE14" s="0" t="n">
        <f aca="false">IF(AND(Simulations!$A14&lt;&gt;"",OR(Simulations!$CS14&lt;&gt;"",N(Simulations!$CU14)&gt;0)),1,0)</f>
        <v>0</v>
      </c>
      <c r="AF14" s="0" t="n">
        <f aca="false">IF(OR(NOT(AND(Simulations!$A14&lt;&gt;"",OR(Simulations!$DK14&lt;&gt;"",N(Simulations!$DM14)&gt;0))),N(Simulations!$DN14)&lt;=0,N(Simulations!$DM14)&lt;=0,1&gt;N(Simulations!$O14)),0,IF(Simulations!$DN14&lt;Simulations!$J14,Simulations!$DM14/(Simulations!$G14*Simulations!$H14*IF(Simulations!$I14&gt;0,Simulations!$I14,1))*Simulations!$DN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N14/Simulations!$J14)^1.5+SQRT(LN(Simulations!$DN14/Simulations!$J14))+Simulations!$DN14/Simulations!$J14*SQRT(PI())/2*ERFC(SQRT(LN(Simulations!$DN14/Simulations!$J14)))),PI()*Simulations!$T14^2/2*(LN(Simulations!$DN14/Simulations!$J14)+1))))</f>
        <v>0</v>
      </c>
      <c r="AG14" s="0" t="n">
        <f aca="false">IF(OR(NOT(AND(Simulations!$A14&lt;&gt;"",OR(Simulations!$DK14&lt;&gt;"",N(Simulations!$DM14)&gt;0))),N(Simulations!$DO14)&lt;=0,N(Simulations!$DM14)&lt;=0,2&gt;N(Simulations!$O14)),0,IF(Simulations!$DO14&lt;Simulations!$J14,Simulations!$DM14/(Simulations!$G14*Simulations!$H14*IF(Simulations!$I14&gt;0,Simulations!$I14,1))*Simulations!$DO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O14/Simulations!$J14)^1.5+SQRT(LN(Simulations!$DO14/Simulations!$J14))+Simulations!$DO14/Simulations!$J14*SQRT(PI())/2*ERFC(SQRT(LN(Simulations!$DO14/Simulations!$J14)))),PI()*Simulations!$T14^2/2*(LN(Simulations!$DO14/Simulations!$J14)+1))))</f>
        <v>0</v>
      </c>
      <c r="AH14" s="0" t="n">
        <f aca="false">IF(OR(NOT(AND(Simulations!$A14&lt;&gt;"",OR(Simulations!$DK14&lt;&gt;"",N(Simulations!$DM14)&gt;0))),N(Simulations!$DP14)&lt;=0,N(Simulations!$DM14)&lt;=0,3&gt;N(Simulations!$O14)),0,IF(Simulations!$DP14&lt;Simulations!$J14,Simulations!$DM14/(Simulations!$G14*Simulations!$H14*IF(Simulations!$I14&gt;0,Simulations!$I14,1))*Simulations!$DP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P14/Simulations!$J14)^1.5+SQRT(LN(Simulations!$DP14/Simulations!$J14))+Simulations!$DP14/Simulations!$J14*SQRT(PI())/2*ERFC(SQRT(LN(Simulations!$DP14/Simulations!$J14)))),PI()*Simulations!$T14^2/2*(LN(Simulations!$DP14/Simulations!$J14)+1))))</f>
        <v>0</v>
      </c>
      <c r="AI14" s="0" t="n">
        <f aca="false">IF(NOT(AND(Simulations!$A14&lt;&gt;"",OR(Simulations!$DK14&lt;&gt;"",N(Simulations!$DM14)&gt;0))),0,MAX(N(Simulations!$DN14),N(Simulations!$DO14),N(Simulations!$DP14))/Simulations!$J14)</f>
        <v>0</v>
      </c>
      <c r="AJ14" s="0" t="n">
        <f aca="false">IF(OR(NOT(AND(Simulations!$A14&lt;&gt;"",OR(Simulations!$DK14&lt;&gt;"",N(Simulations!$DM14)&gt;0))),N(Simulations!$DL14)&lt;=0),0,SQRT(2*Simulations!$DL14*1000000/(Simulations!$J14*1000))/Simulations!$T14)</f>
        <v>0</v>
      </c>
      <c r="AK14" s="0" t="n">
        <f aca="false">IF(AND(Simulations!$A14&lt;&gt;"",OR(Simulations!$DK14&lt;&gt;"",N(Simulations!$DM14)&gt;0)),1,0)</f>
        <v>0</v>
      </c>
    </row>
    <row r="15" customFormat="false" ht="15" hidden="false" customHeight="false" outlineLevel="0" collapsed="false">
      <c r="B15" s="0" t="n">
        <f aca="false">IF(OR(NOT(AND(Simulations!$A15&lt;&gt;"",OR(Simulations!$Y15&lt;&gt;"",N(Simulations!$AA15)&gt;0))),N(Simulations!$AB15)&lt;=0,N(Simulations!$AA15)&lt;=0,1&gt;N(Simulations!$O15)),0,IF(Simulations!$AB15&lt;Simulations!$J15,Simulations!$AA15/(Simulations!$G15*Simulations!$H15*IF(Simulations!$I15&gt;0,Simulations!$I15,1))*Simulations!$AB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B15/Simulations!$J15)^1.5+SQRT(LN(Simulations!$AB15/Simulations!$J15))+Simulations!$AB15/Simulations!$J15*SQRT(PI())/2*ERFC(SQRT(LN(Simulations!$AB15/Simulations!$J15)))),PI()*Simulations!$T15^2/2*(LN(Simulations!$AB15/Simulations!$J15)+1))))</f>
        <v>587.065461762353</v>
      </c>
      <c r="C15" s="0" t="n">
        <f aca="false">IF(OR(NOT(AND(Simulations!$A15&lt;&gt;"",OR(Simulations!$Y15&lt;&gt;"",N(Simulations!$AA15)&gt;0))),N(Simulations!$AC15)&lt;=0,N(Simulations!$AA15)&lt;=0,2&gt;N(Simulations!$O15)),0,IF(Simulations!$AC15&lt;Simulations!$J15,Simulations!$AA15/(Simulations!$G15*Simulations!$H15*IF(Simulations!$I15&gt;0,Simulations!$I15,1))*Simulations!$AC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C15/Simulations!$J15)^1.5+SQRT(LN(Simulations!$AC15/Simulations!$J15))+Simulations!$AC15/Simulations!$J15*SQRT(PI())/2*ERFC(SQRT(LN(Simulations!$AC15/Simulations!$J15)))),PI()*Simulations!$T15^2/2*(LN(Simulations!$AC15/Simulations!$J15)+1))))</f>
        <v>498.400644511572</v>
      </c>
      <c r="D15" s="0" t="n">
        <f aca="false">IF(OR(NOT(AND(Simulations!$A15&lt;&gt;"",OR(Simulations!$Y15&lt;&gt;"",N(Simulations!$AA15)&gt;0))),N(Simulations!$AD15)&lt;=0,N(Simulations!$AA15)&lt;=0,3&gt;N(Simulations!$O15)),0,IF(Simulations!$AD15&lt;Simulations!$J15,Simulations!$AA15/(Simulations!$G15*Simulations!$H15*IF(Simulations!$I15&gt;0,Simulations!$I15,1))*Simulations!$AD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D15/Simulations!$J15)^1.5+SQRT(LN(Simulations!$AD15/Simulations!$J15))+Simulations!$AD15/Simulations!$J15*SQRT(PI())/2*ERFC(SQRT(LN(Simulations!$AD15/Simulations!$J15)))),PI()*Simulations!$T15^2/2*(LN(Simulations!$AD15/Simulations!$J15)+1))))</f>
        <v>419.747754151457</v>
      </c>
      <c r="E15" s="0" t="n">
        <f aca="false">IF(NOT(AND(Simulations!$A15&lt;&gt;"",OR(Simulations!$Y15&lt;&gt;"",N(Simulations!$AA15)&gt;0))),0,MAX(N(Simulations!$AB15),N(Simulations!$AC15),N(Simulations!$AD15))/Simulations!$J15)</f>
        <v>10</v>
      </c>
      <c r="F15" s="0" t="n">
        <f aca="false">IF(OR(NOT(AND(Simulations!$A15&lt;&gt;"",OR(Simulations!$Y15&lt;&gt;"",N(Simulations!$AA15)&gt;0))),N(Simulations!$Z15)&lt;=0),0,SQRT(2*Simulations!$Z15*1000000/(Simulations!$J15*1000))/Simulations!$T15)</f>
        <v>0.0418330013267038</v>
      </c>
      <c r="G15" s="0" t="n">
        <f aca="false">IF(AND(Simulations!$A15&lt;&gt;"",OR(Simulations!$Y15&lt;&gt;"",N(Simulations!$AA15)&gt;0)),1,0)</f>
        <v>1</v>
      </c>
      <c r="H15" s="0" t="n">
        <f aca="false">IF(OR(NOT(AND(Simulations!$A15&lt;&gt;"",OR(Simulations!$AQ15&lt;&gt;"",N(Simulations!$AS15)&gt;0))),N(Simulations!$AT15)&lt;=0,N(Simulations!$AS15)&lt;=0,1&gt;N(Simulations!$O15)),0,IF(Simulations!$AT15&lt;Simulations!$J15,Simulations!$AS15/(Simulations!$G15*Simulations!$H15*IF(Simulations!$I15&gt;0,Simulations!$I15,1))*Simulations!$AT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T15/Simulations!$J15)^1.5+SQRT(LN(Simulations!$AT15/Simulations!$J15))+Simulations!$AT15/Simulations!$J15*SQRT(PI())/2*ERFC(SQRT(LN(Simulations!$AT15/Simulations!$J15)))),PI()*Simulations!$T15^2/2*(LN(Simulations!$AT15/Simulations!$J15)+1))))</f>
        <v>5870.65461762353</v>
      </c>
      <c r="I15" s="0" t="n">
        <f aca="false">IF(OR(NOT(AND(Simulations!$A15&lt;&gt;"",OR(Simulations!$AQ15&lt;&gt;"",N(Simulations!$AS15)&gt;0))),N(Simulations!$AU15)&lt;=0,N(Simulations!$AS15)&lt;=0,2&gt;N(Simulations!$O15)),0,IF(Simulations!$AU15&lt;Simulations!$J15,Simulations!$AS15/(Simulations!$G15*Simulations!$H15*IF(Simulations!$I15&gt;0,Simulations!$I15,1))*Simulations!$AU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U15/Simulations!$J15)^1.5+SQRT(LN(Simulations!$AU15/Simulations!$J15))+Simulations!$AU15/Simulations!$J15*SQRT(PI())/2*ERFC(SQRT(LN(Simulations!$AU15/Simulations!$J15)))),PI()*Simulations!$T15^2/2*(LN(Simulations!$AU15/Simulations!$J15)+1))))</f>
        <v>0</v>
      </c>
      <c r="J15" s="0" t="n">
        <f aca="false">IF(OR(NOT(AND(Simulations!$A15&lt;&gt;"",OR(Simulations!$AQ15&lt;&gt;"",N(Simulations!$AS15)&gt;0))),N(Simulations!$AV15)&lt;=0,N(Simulations!$AS15)&lt;=0,3&gt;N(Simulations!$O15)),0,IF(Simulations!$AV15&lt;Simulations!$J15,Simulations!$AS15/(Simulations!$G15*Simulations!$H15*IF(Simulations!$I15&gt;0,Simulations!$I15,1))*Simulations!$AV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V15/Simulations!$J15)^1.5+SQRT(LN(Simulations!$AV15/Simulations!$J15))+Simulations!$AV15/Simulations!$J15*SQRT(PI())/2*ERFC(SQRT(LN(Simulations!$AV15/Simulations!$J15)))),PI()*Simulations!$T15^2/2*(LN(Simulations!$AV15/Simulations!$J15)+1))))</f>
        <v>4197.47754151457</v>
      </c>
      <c r="K15" s="0" t="n">
        <f aca="false">IF(NOT(AND(Simulations!$A15&lt;&gt;"",OR(Simulations!$AQ15&lt;&gt;"",N(Simulations!$AS15)&gt;0))),0,MAX(N(Simulations!$AT15),N(Simulations!$AU15),N(Simulations!$AV15))/Simulations!$J15)</f>
        <v>10</v>
      </c>
      <c r="L15" s="0" t="n">
        <f aca="false">IF(OR(NOT(AND(Simulations!$A15&lt;&gt;"",OR(Simulations!$AQ15&lt;&gt;"",N(Simulations!$AS15)&gt;0))),N(Simulations!$AR15)&lt;=0),0,SQRT(2*Simulations!$AR15*1000000/(Simulations!$J15*1000))/Simulations!$T15)</f>
        <v>0.0418330013267038</v>
      </c>
      <c r="M15" s="0" t="n">
        <f aca="false">IF(AND(Simulations!$A15&lt;&gt;"",OR(Simulations!$AQ15&lt;&gt;"",N(Simulations!$AS15)&gt;0)),1,0)</f>
        <v>1</v>
      </c>
      <c r="N15" s="0" t="n">
        <f aca="false">IF(OR(NOT(AND(Simulations!$A15&lt;&gt;"",OR(Simulations!$BI15&lt;&gt;"",N(Simulations!$BK15)&gt;0))),N(Simulations!$BL15)&lt;=0,N(Simulations!$BK15)&lt;=0,1&gt;N(Simulations!$O15)),0,IF(Simulations!$BL15&lt;Simulations!$J15,Simulations!$BK15/(Simulations!$G15*Simulations!$H15*IF(Simulations!$I15&gt;0,Simulations!$I15,1))*Simulations!$BL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L15/Simulations!$J15)^1.5+SQRT(LN(Simulations!$BL15/Simulations!$J15))+Simulations!$BL15/Simulations!$J15*SQRT(PI())/2*ERFC(SQRT(LN(Simulations!$BL15/Simulations!$J15)))),PI()*Simulations!$T15^2/2*(LN(Simulations!$BL15/Simulations!$J15)+1))))</f>
        <v>15474.9539551923</v>
      </c>
      <c r="O15" s="0" t="n">
        <f aca="false">IF(OR(NOT(AND(Simulations!$A15&lt;&gt;"",OR(Simulations!$BI15&lt;&gt;"",N(Simulations!$BK15)&gt;0))),N(Simulations!$BM15)&lt;=0,N(Simulations!$BK15)&lt;=0,2&gt;N(Simulations!$O15)),0,IF(Simulations!$BM15&lt;Simulations!$J15,Simulations!$BK15/(Simulations!$G15*Simulations!$H15*IF(Simulations!$I15&gt;0,Simulations!$I15,1))*Simulations!$BM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M15/Simulations!$J15)^1.5+SQRT(LN(Simulations!$BM15/Simulations!$J15))+Simulations!$BM15/Simulations!$J15*SQRT(PI())/2*ERFC(SQRT(LN(Simulations!$BM15/Simulations!$J15)))),PI()*Simulations!$T15^2/2*(LN(Simulations!$BM15/Simulations!$J15)+1))))</f>
        <v>9968.01289023145</v>
      </c>
      <c r="P15" s="0" t="n">
        <f aca="false">IF(OR(NOT(AND(Simulations!$A15&lt;&gt;"",OR(Simulations!$BI15&lt;&gt;"",N(Simulations!$BK15)&gt;0))),N(Simulations!$BN15)&lt;=0,N(Simulations!$BK15)&lt;=0,3&gt;N(Simulations!$O15)),0,IF(Simulations!$BN15&lt;Simulations!$J15,Simulations!$BK15/(Simulations!$G15*Simulations!$H15*IF(Simulations!$I15&gt;0,Simulations!$I15,1))*Simulations!$BN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N15/Simulations!$J15)^1.5+SQRT(LN(Simulations!$BN15/Simulations!$J15))+Simulations!$BN15/Simulations!$J15*SQRT(PI())/2*ERFC(SQRT(LN(Simulations!$BN15/Simulations!$J15)))),PI()*Simulations!$T15^2/2*(LN(Simulations!$BN15/Simulations!$J15)+1))))</f>
        <v>0</v>
      </c>
      <c r="Q15" s="0" t="n">
        <f aca="false">IF(NOT(AND(Simulations!$A15&lt;&gt;"",OR(Simulations!$BI15&lt;&gt;"",N(Simulations!$BK15)&gt;0))),0,MAX(N(Simulations!$BL15),N(Simulations!$BM15),N(Simulations!$BN15))/Simulations!$J15)</f>
        <v>20</v>
      </c>
      <c r="R15" s="0" t="n">
        <f aca="false">IF(OR(NOT(AND(Simulations!$A15&lt;&gt;"",OR(Simulations!$BI15&lt;&gt;"",N(Simulations!$BK15)&gt;0))),N(Simulations!$BJ15)&lt;=0),0,SQRT(2*Simulations!$BJ15*1000000/(Simulations!$J15*1000))/Simulations!$T15)</f>
        <v>0.0418330013267038</v>
      </c>
      <c r="S15" s="0" t="n">
        <f aca="false">IF(AND(Simulations!$A15&lt;&gt;"",OR(Simulations!$BI15&lt;&gt;"",N(Simulations!$BK15)&gt;0)),1,0)</f>
        <v>1</v>
      </c>
      <c r="T15" s="0" t="n">
        <f aca="false">IF(OR(NOT(AND(Simulations!$A15&lt;&gt;"",OR(Simulations!$CA15&lt;&gt;"",N(Simulations!$CC15)&gt;0))),N(Simulations!$CD15)&lt;=0,N(Simulations!$CC15)&lt;=0,1&gt;N(Simulations!$O15)),0,IF(Simulations!$CD15&lt;Simulations!$J15,Simulations!$CC15/(Simulations!$G15*Simulations!$H15*IF(Simulations!$I15&gt;0,Simulations!$I15,1))*Simulations!$CD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D15/Simulations!$J15)^1.5+SQRT(LN(Simulations!$CD15/Simulations!$J15))+Simulations!$CD15/Simulations!$J15*SQRT(PI())/2*ERFC(SQRT(LN(Simulations!$CD15/Simulations!$J15)))),PI()*Simulations!$T15^2/2*(LN(Simulations!$CD15/Simulations!$J15)+1))))</f>
        <v>0</v>
      </c>
      <c r="U15" s="0" t="n">
        <f aca="false">IF(OR(NOT(AND(Simulations!$A15&lt;&gt;"",OR(Simulations!$CA15&lt;&gt;"",N(Simulations!$CC15)&gt;0))),N(Simulations!$CE15)&lt;=0,N(Simulations!$CC15)&lt;=0,2&gt;N(Simulations!$O15)),0,IF(Simulations!$CE15&lt;Simulations!$J15,Simulations!$CC15/(Simulations!$G15*Simulations!$H15*IF(Simulations!$I15&gt;0,Simulations!$I15,1))*Simulations!$CE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E15/Simulations!$J15)^1.5+SQRT(LN(Simulations!$CE15/Simulations!$J15))+Simulations!$CE15/Simulations!$J15*SQRT(PI())/2*ERFC(SQRT(LN(Simulations!$CE15/Simulations!$J15)))),PI()*Simulations!$T15^2/2*(LN(Simulations!$CE15/Simulations!$J15)+1))))</f>
        <v>0</v>
      </c>
      <c r="V15" s="0" t="n">
        <f aca="false">IF(OR(NOT(AND(Simulations!$A15&lt;&gt;"",OR(Simulations!$CA15&lt;&gt;"",N(Simulations!$CC15)&gt;0))),N(Simulations!$CF15)&lt;=0,N(Simulations!$CC15)&lt;=0,3&gt;N(Simulations!$O15)),0,IF(Simulations!$CF15&lt;Simulations!$J15,Simulations!$CC15/(Simulations!$G15*Simulations!$H15*IF(Simulations!$I15&gt;0,Simulations!$I15,1))*Simulations!$CF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F15/Simulations!$J15)^1.5+SQRT(LN(Simulations!$CF15/Simulations!$J15))+Simulations!$CF15/Simulations!$J15*SQRT(PI())/2*ERFC(SQRT(LN(Simulations!$CF15/Simulations!$J15)))),PI()*Simulations!$T15^2/2*(LN(Simulations!$CF15/Simulations!$J15)+1))))</f>
        <v>0</v>
      </c>
      <c r="W15" s="0" t="n">
        <f aca="false">IF(NOT(AND(Simulations!$A15&lt;&gt;"",OR(Simulations!$CA15&lt;&gt;"",N(Simulations!$CC15)&gt;0))),0,MAX(N(Simulations!$CD15),N(Simulations!$CE15),N(Simulations!$CF15))/Simulations!$J15)</f>
        <v>0</v>
      </c>
      <c r="X15" s="0" t="n">
        <f aca="false">IF(OR(NOT(AND(Simulations!$A15&lt;&gt;"",OR(Simulations!$CA15&lt;&gt;"",N(Simulations!$CC15)&gt;0))),N(Simulations!$CB15)&lt;=0),0,SQRT(2*Simulations!$CB15*1000000/(Simulations!$J15*1000))/Simulations!$T15)</f>
        <v>0</v>
      </c>
      <c r="Y15" s="0" t="n">
        <f aca="false">IF(AND(Simulations!$A15&lt;&gt;"",OR(Simulations!$CA15&lt;&gt;"",N(Simulations!$CC15)&gt;0)),1,0)</f>
        <v>0</v>
      </c>
      <c r="Z15" s="0" t="n">
        <f aca="false">IF(OR(NOT(AND(Simulations!$A15&lt;&gt;"",OR(Simulations!$CS15&lt;&gt;"",N(Simulations!$CU15)&gt;0))),N(Simulations!$CV15)&lt;=0,N(Simulations!$CU15)&lt;=0,1&gt;N(Simulations!$O15)),0,IF(Simulations!$CV15&lt;Simulations!$J15,Simulations!$CU15/(Simulations!$G15*Simulations!$H15*IF(Simulations!$I15&gt;0,Simulations!$I15,1))*Simulations!$CV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V15/Simulations!$J15)^1.5+SQRT(LN(Simulations!$CV15/Simulations!$J15))+Simulations!$CV15/Simulations!$J15*SQRT(PI())/2*ERFC(SQRT(LN(Simulations!$CV15/Simulations!$J15)))),PI()*Simulations!$T15^2/2*(LN(Simulations!$CV15/Simulations!$J15)+1))))</f>
        <v>0</v>
      </c>
      <c r="AA15" s="0" t="n">
        <f aca="false">IF(OR(NOT(AND(Simulations!$A15&lt;&gt;"",OR(Simulations!$CS15&lt;&gt;"",N(Simulations!$CU15)&gt;0))),N(Simulations!$CW15)&lt;=0,N(Simulations!$CU15)&lt;=0,2&gt;N(Simulations!$O15)),0,IF(Simulations!$CW15&lt;Simulations!$J15,Simulations!$CU15/(Simulations!$G15*Simulations!$H15*IF(Simulations!$I15&gt;0,Simulations!$I15,1))*Simulations!$CW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W15/Simulations!$J15)^1.5+SQRT(LN(Simulations!$CW15/Simulations!$J15))+Simulations!$CW15/Simulations!$J15*SQRT(PI())/2*ERFC(SQRT(LN(Simulations!$CW15/Simulations!$J15)))),PI()*Simulations!$T15^2/2*(LN(Simulations!$CW15/Simulations!$J15)+1))))</f>
        <v>0</v>
      </c>
      <c r="AB15" s="0" t="n">
        <f aca="false">IF(OR(NOT(AND(Simulations!$A15&lt;&gt;"",OR(Simulations!$CS15&lt;&gt;"",N(Simulations!$CU15)&gt;0))),N(Simulations!$CX15)&lt;=0,N(Simulations!$CU15)&lt;=0,3&gt;N(Simulations!$O15)),0,IF(Simulations!$CX15&lt;Simulations!$J15,Simulations!$CU15/(Simulations!$G15*Simulations!$H15*IF(Simulations!$I15&gt;0,Simulations!$I15,1))*Simulations!$CX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X15/Simulations!$J15)^1.5+SQRT(LN(Simulations!$CX15/Simulations!$J15))+Simulations!$CX15/Simulations!$J15*SQRT(PI())/2*ERFC(SQRT(LN(Simulations!$CX15/Simulations!$J15)))),PI()*Simulations!$T15^2/2*(LN(Simulations!$CX15/Simulations!$J15)+1))))</f>
        <v>0</v>
      </c>
      <c r="AC15" s="0" t="n">
        <f aca="false">IF(NOT(AND(Simulations!$A15&lt;&gt;"",OR(Simulations!$CS15&lt;&gt;"",N(Simulations!$CU15)&gt;0))),0,MAX(N(Simulations!$CV15),N(Simulations!$CW15),N(Simulations!$CX15))/Simulations!$J15)</f>
        <v>0</v>
      </c>
      <c r="AD15" s="0" t="n">
        <f aca="false">IF(OR(NOT(AND(Simulations!$A15&lt;&gt;"",OR(Simulations!$CS15&lt;&gt;"",N(Simulations!$CU15)&gt;0))),N(Simulations!$CT15)&lt;=0),0,SQRT(2*Simulations!$CT15*1000000/(Simulations!$J15*1000))/Simulations!$T15)</f>
        <v>0</v>
      </c>
      <c r="AE15" s="0" t="n">
        <f aca="false">IF(AND(Simulations!$A15&lt;&gt;"",OR(Simulations!$CS15&lt;&gt;"",N(Simulations!$CU15)&gt;0)),1,0)</f>
        <v>0</v>
      </c>
      <c r="AF15" s="0" t="n">
        <f aca="false">IF(OR(NOT(AND(Simulations!$A15&lt;&gt;"",OR(Simulations!$DK15&lt;&gt;"",N(Simulations!$DM15)&gt;0))),N(Simulations!$DN15)&lt;=0,N(Simulations!$DM15)&lt;=0,1&gt;N(Simulations!$O15)),0,IF(Simulations!$DN15&lt;Simulations!$J15,Simulations!$DM15/(Simulations!$G15*Simulations!$H15*IF(Simulations!$I15&gt;0,Simulations!$I15,1))*Simulations!$DN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N15/Simulations!$J15)^1.5+SQRT(LN(Simulations!$DN15/Simulations!$J15))+Simulations!$DN15/Simulations!$J15*SQRT(PI())/2*ERFC(SQRT(LN(Simulations!$DN15/Simulations!$J15)))),PI()*Simulations!$T15^2/2*(LN(Simulations!$DN15/Simulations!$J15)+1))))</f>
        <v>0</v>
      </c>
      <c r="AG15" s="0" t="n">
        <f aca="false">IF(OR(NOT(AND(Simulations!$A15&lt;&gt;"",OR(Simulations!$DK15&lt;&gt;"",N(Simulations!$DM15)&gt;0))),N(Simulations!$DO15)&lt;=0,N(Simulations!$DM15)&lt;=0,2&gt;N(Simulations!$O15)),0,IF(Simulations!$DO15&lt;Simulations!$J15,Simulations!$DM15/(Simulations!$G15*Simulations!$H15*IF(Simulations!$I15&gt;0,Simulations!$I15,1))*Simulations!$DO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O15/Simulations!$J15)^1.5+SQRT(LN(Simulations!$DO15/Simulations!$J15))+Simulations!$DO15/Simulations!$J15*SQRT(PI())/2*ERFC(SQRT(LN(Simulations!$DO15/Simulations!$J15)))),PI()*Simulations!$T15^2/2*(LN(Simulations!$DO15/Simulations!$J15)+1))))</f>
        <v>0</v>
      </c>
      <c r="AH15" s="0" t="n">
        <f aca="false">IF(OR(NOT(AND(Simulations!$A15&lt;&gt;"",OR(Simulations!$DK15&lt;&gt;"",N(Simulations!$DM15)&gt;0))),N(Simulations!$DP15)&lt;=0,N(Simulations!$DM15)&lt;=0,3&gt;N(Simulations!$O15)),0,IF(Simulations!$DP15&lt;Simulations!$J15,Simulations!$DM15/(Simulations!$G15*Simulations!$H15*IF(Simulations!$I15&gt;0,Simulations!$I15,1))*Simulations!$DP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P15/Simulations!$J15)^1.5+SQRT(LN(Simulations!$DP15/Simulations!$J15))+Simulations!$DP15/Simulations!$J15*SQRT(PI())/2*ERFC(SQRT(LN(Simulations!$DP15/Simulations!$J15)))),PI()*Simulations!$T15^2/2*(LN(Simulations!$DP15/Simulations!$J15)+1))))</f>
        <v>0</v>
      </c>
      <c r="AI15" s="0" t="n">
        <f aca="false">IF(NOT(AND(Simulations!$A15&lt;&gt;"",OR(Simulations!$DK15&lt;&gt;"",N(Simulations!$DM15)&gt;0))),0,MAX(N(Simulations!$DN15),N(Simulations!$DO15),N(Simulations!$DP15))/Simulations!$J15)</f>
        <v>0</v>
      </c>
      <c r="AJ15" s="0" t="n">
        <f aca="false">IF(OR(NOT(AND(Simulations!$A15&lt;&gt;"",OR(Simulations!$DK15&lt;&gt;"",N(Simulations!$DM15)&gt;0))),N(Simulations!$DL15)&lt;=0),0,SQRT(2*Simulations!$DL15*1000000/(Simulations!$J15*1000))/Simulations!$T15)</f>
        <v>0</v>
      </c>
      <c r="AK15" s="0" t="n">
        <f aca="false">IF(AND(Simulations!$A15&lt;&gt;"",OR(Simulations!$DK15&lt;&gt;"",N(Simulations!$DM15)&gt;0)),1,0)</f>
        <v>0</v>
      </c>
    </row>
    <row r="16" customFormat="false" ht="15" hidden="false" customHeight="false" outlineLevel="0" collapsed="false">
      <c r="B16" s="0" t="n">
        <f aca="false">IF(OR(NOT(AND(Simulations!$A16&lt;&gt;"",OR(Simulations!$Y16&lt;&gt;"",N(Simulations!$AA16)&gt;0))),N(Simulations!$AB16)&lt;=0,N(Simulations!$AA16)&lt;=0,1&gt;N(Simulations!$O16)),0,IF(Simulations!$AB16&lt;Simulations!$J16,Simulations!$AA16/(Simulations!$G16*Simulations!$H16*IF(Simulations!$I16&gt;0,Simulations!$I16,1))*Simulations!$AB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B16/Simulations!$J16)^1.5+SQRT(LN(Simulations!$AB16/Simulations!$J16))+Simulations!$AB16/Simulations!$J16*SQRT(PI())/2*ERFC(SQRT(LN(Simulations!$AB16/Simulations!$J16)))),PI()*Simulations!$T16^2/2*(LN(Simulations!$AB16/Simulations!$J16)+1))))</f>
        <v>0</v>
      </c>
      <c r="C16" s="0" t="n">
        <f aca="false">IF(OR(NOT(AND(Simulations!$A16&lt;&gt;"",OR(Simulations!$Y16&lt;&gt;"",N(Simulations!$AA16)&gt;0))),N(Simulations!$AC16)&lt;=0,N(Simulations!$AA16)&lt;=0,2&gt;N(Simulations!$O16)),0,IF(Simulations!$AC16&lt;Simulations!$J16,Simulations!$AA16/(Simulations!$G16*Simulations!$H16*IF(Simulations!$I16&gt;0,Simulations!$I16,1))*Simulations!$AC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C16/Simulations!$J16)^1.5+SQRT(LN(Simulations!$AC16/Simulations!$J16))+Simulations!$AC16/Simulations!$J16*SQRT(PI())/2*ERFC(SQRT(LN(Simulations!$AC16/Simulations!$J16)))),PI()*Simulations!$T16^2/2*(LN(Simulations!$AC16/Simulations!$J16)+1))))</f>
        <v>0</v>
      </c>
      <c r="D16" s="0" t="n">
        <f aca="false">IF(OR(NOT(AND(Simulations!$A16&lt;&gt;"",OR(Simulations!$Y16&lt;&gt;"",N(Simulations!$AA16)&gt;0))),N(Simulations!$AD16)&lt;=0,N(Simulations!$AA16)&lt;=0,3&gt;N(Simulations!$O16)),0,IF(Simulations!$AD16&lt;Simulations!$J16,Simulations!$AA16/(Simulations!$G16*Simulations!$H16*IF(Simulations!$I16&gt;0,Simulations!$I16,1))*Simulations!$AD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D16/Simulations!$J16)^1.5+SQRT(LN(Simulations!$AD16/Simulations!$J16))+Simulations!$AD16/Simulations!$J16*SQRT(PI())/2*ERFC(SQRT(LN(Simulations!$AD16/Simulations!$J16)))),PI()*Simulations!$T16^2/2*(LN(Simulations!$AD16/Simulations!$J16)+1))))</f>
        <v>0</v>
      </c>
      <c r="E16" s="0" t="n">
        <f aca="false">IF(NOT(AND(Simulations!$A16&lt;&gt;"",OR(Simulations!$Y16&lt;&gt;"",N(Simulations!$AA16)&gt;0))),0,MAX(N(Simulations!$AB16),N(Simulations!$AC16),N(Simulations!$AD16))/Simulations!$J16)</f>
        <v>0</v>
      </c>
      <c r="F16" s="0" t="n">
        <f aca="false">IF(OR(NOT(AND(Simulations!$A16&lt;&gt;"",OR(Simulations!$Y16&lt;&gt;"",N(Simulations!$AA16)&gt;0))),N(Simulations!$Z16)&lt;=0),0,SQRT(2*Simulations!$Z16*1000000/(Simulations!$J16*1000))/Simulations!$T16)</f>
        <v>0</v>
      </c>
      <c r="G16" s="0" t="n">
        <f aca="false">IF(AND(Simulations!$A16&lt;&gt;"",OR(Simulations!$Y16&lt;&gt;"",N(Simulations!$AA16)&gt;0)),1,0)</f>
        <v>0</v>
      </c>
      <c r="H16" s="0" t="n">
        <f aca="false">IF(OR(NOT(AND(Simulations!$A16&lt;&gt;"",OR(Simulations!$AQ16&lt;&gt;"",N(Simulations!$AS16)&gt;0))),N(Simulations!$AT16)&lt;=0,N(Simulations!$AS16)&lt;=0,1&gt;N(Simulations!$O16)),0,IF(Simulations!$AT16&lt;Simulations!$J16,Simulations!$AS16/(Simulations!$G16*Simulations!$H16*IF(Simulations!$I16&gt;0,Simulations!$I16,1))*Simulations!$AT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T16/Simulations!$J16)^1.5+SQRT(LN(Simulations!$AT16/Simulations!$J16))+Simulations!$AT16/Simulations!$J16*SQRT(PI())/2*ERFC(SQRT(LN(Simulations!$AT16/Simulations!$J16)))),PI()*Simulations!$T16^2/2*(LN(Simulations!$AT16/Simulations!$J16)+1))))</f>
        <v>0</v>
      </c>
      <c r="I16" s="0" t="n">
        <f aca="false">IF(OR(NOT(AND(Simulations!$A16&lt;&gt;"",OR(Simulations!$AQ16&lt;&gt;"",N(Simulations!$AS16)&gt;0))),N(Simulations!$AU16)&lt;=0,N(Simulations!$AS16)&lt;=0,2&gt;N(Simulations!$O16)),0,IF(Simulations!$AU16&lt;Simulations!$J16,Simulations!$AS16/(Simulations!$G16*Simulations!$H16*IF(Simulations!$I16&gt;0,Simulations!$I16,1))*Simulations!$AU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U16/Simulations!$J16)^1.5+SQRT(LN(Simulations!$AU16/Simulations!$J16))+Simulations!$AU16/Simulations!$J16*SQRT(PI())/2*ERFC(SQRT(LN(Simulations!$AU16/Simulations!$J16)))),PI()*Simulations!$T16^2/2*(LN(Simulations!$AU16/Simulations!$J16)+1))))</f>
        <v>0</v>
      </c>
      <c r="J16" s="0" t="n">
        <f aca="false">IF(OR(NOT(AND(Simulations!$A16&lt;&gt;"",OR(Simulations!$AQ16&lt;&gt;"",N(Simulations!$AS16)&gt;0))),N(Simulations!$AV16)&lt;=0,N(Simulations!$AS16)&lt;=0,3&gt;N(Simulations!$O16)),0,IF(Simulations!$AV16&lt;Simulations!$J16,Simulations!$AS16/(Simulations!$G16*Simulations!$H16*IF(Simulations!$I16&gt;0,Simulations!$I16,1))*Simulations!$AV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V16/Simulations!$J16)^1.5+SQRT(LN(Simulations!$AV16/Simulations!$J16))+Simulations!$AV16/Simulations!$J16*SQRT(PI())/2*ERFC(SQRT(LN(Simulations!$AV16/Simulations!$J16)))),PI()*Simulations!$T16^2/2*(LN(Simulations!$AV16/Simulations!$J16)+1))))</f>
        <v>0</v>
      </c>
      <c r="K16" s="0" t="n">
        <f aca="false">IF(NOT(AND(Simulations!$A16&lt;&gt;"",OR(Simulations!$AQ16&lt;&gt;"",N(Simulations!$AS16)&gt;0))),0,MAX(N(Simulations!$AT16),N(Simulations!$AU16),N(Simulations!$AV16))/Simulations!$J16)</f>
        <v>0</v>
      </c>
      <c r="L16" s="0" t="n">
        <f aca="false">IF(OR(NOT(AND(Simulations!$A16&lt;&gt;"",OR(Simulations!$AQ16&lt;&gt;"",N(Simulations!$AS16)&gt;0))),N(Simulations!$AR16)&lt;=0),0,SQRT(2*Simulations!$AR16*1000000/(Simulations!$J16*1000))/Simulations!$T16)</f>
        <v>0</v>
      </c>
      <c r="M16" s="0" t="n">
        <f aca="false">IF(AND(Simulations!$A16&lt;&gt;"",OR(Simulations!$AQ16&lt;&gt;"",N(Simulations!$AS16)&gt;0)),1,0)</f>
        <v>0</v>
      </c>
      <c r="N16" s="0" t="n">
        <f aca="false">IF(OR(NOT(AND(Simulations!$A16&lt;&gt;"",OR(Simulations!$BI16&lt;&gt;"",N(Simulations!$BK16)&gt;0))),N(Simulations!$BL16)&lt;=0,N(Simulations!$BK16)&lt;=0,1&gt;N(Simulations!$O16)),0,IF(Simulations!$BL16&lt;Simulations!$J16,Simulations!$BK16/(Simulations!$G16*Simulations!$H16*IF(Simulations!$I16&gt;0,Simulations!$I16,1))*Simulations!$BL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L16/Simulations!$J16)^1.5+SQRT(LN(Simulations!$BL16/Simulations!$J16))+Simulations!$BL16/Simulations!$J16*SQRT(PI())/2*ERFC(SQRT(LN(Simulations!$BL16/Simulations!$J16)))),PI()*Simulations!$T16^2/2*(LN(Simulations!$BL16/Simulations!$J16)+1))))</f>
        <v>0</v>
      </c>
      <c r="O16" s="0" t="n">
        <f aca="false">IF(OR(NOT(AND(Simulations!$A16&lt;&gt;"",OR(Simulations!$BI16&lt;&gt;"",N(Simulations!$BK16)&gt;0))),N(Simulations!$BM16)&lt;=0,N(Simulations!$BK16)&lt;=0,2&gt;N(Simulations!$O16)),0,IF(Simulations!$BM16&lt;Simulations!$J16,Simulations!$BK16/(Simulations!$G16*Simulations!$H16*IF(Simulations!$I16&gt;0,Simulations!$I16,1))*Simulations!$BM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M16/Simulations!$J16)^1.5+SQRT(LN(Simulations!$BM16/Simulations!$J16))+Simulations!$BM16/Simulations!$J16*SQRT(PI())/2*ERFC(SQRT(LN(Simulations!$BM16/Simulations!$J16)))),PI()*Simulations!$T16^2/2*(LN(Simulations!$BM16/Simulations!$J16)+1))))</f>
        <v>0</v>
      </c>
      <c r="P16" s="0" t="n">
        <f aca="false">IF(OR(NOT(AND(Simulations!$A16&lt;&gt;"",OR(Simulations!$BI16&lt;&gt;"",N(Simulations!$BK16)&gt;0))),N(Simulations!$BN16)&lt;=0,N(Simulations!$BK16)&lt;=0,3&gt;N(Simulations!$O16)),0,IF(Simulations!$BN16&lt;Simulations!$J16,Simulations!$BK16/(Simulations!$G16*Simulations!$H16*IF(Simulations!$I16&gt;0,Simulations!$I16,1))*Simulations!$BN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N16/Simulations!$J16)^1.5+SQRT(LN(Simulations!$BN16/Simulations!$J16))+Simulations!$BN16/Simulations!$J16*SQRT(PI())/2*ERFC(SQRT(LN(Simulations!$BN16/Simulations!$J16)))),PI()*Simulations!$T16^2/2*(LN(Simulations!$BN16/Simulations!$J16)+1))))</f>
        <v>0</v>
      </c>
      <c r="Q16" s="0" t="n">
        <f aca="false">IF(NOT(AND(Simulations!$A16&lt;&gt;"",OR(Simulations!$BI16&lt;&gt;"",N(Simulations!$BK16)&gt;0))),0,MAX(N(Simulations!$BL16),N(Simulations!$BM16),N(Simulations!$BN16))/Simulations!$J16)</f>
        <v>0</v>
      </c>
      <c r="R16" s="0" t="n">
        <f aca="false">IF(OR(NOT(AND(Simulations!$A16&lt;&gt;"",OR(Simulations!$BI16&lt;&gt;"",N(Simulations!$BK16)&gt;0))),N(Simulations!$BJ16)&lt;=0),0,SQRT(2*Simulations!$BJ16*1000000/(Simulations!$J16*1000))/Simulations!$T16)</f>
        <v>0</v>
      </c>
      <c r="S16" s="0" t="n">
        <f aca="false">IF(AND(Simulations!$A16&lt;&gt;"",OR(Simulations!$BI16&lt;&gt;"",N(Simulations!$BK16)&gt;0)),1,0)</f>
        <v>0</v>
      </c>
      <c r="T16" s="0" t="n">
        <f aca="false">IF(OR(NOT(AND(Simulations!$A16&lt;&gt;"",OR(Simulations!$CA16&lt;&gt;"",N(Simulations!$CC16)&gt;0))),N(Simulations!$CD16)&lt;=0,N(Simulations!$CC16)&lt;=0,1&gt;N(Simulations!$O16)),0,IF(Simulations!$CD16&lt;Simulations!$J16,Simulations!$CC16/(Simulations!$G16*Simulations!$H16*IF(Simulations!$I16&gt;0,Simulations!$I16,1))*Simulations!$CD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D16/Simulations!$J16)^1.5+SQRT(LN(Simulations!$CD16/Simulations!$J16))+Simulations!$CD16/Simulations!$J16*SQRT(PI())/2*ERFC(SQRT(LN(Simulations!$CD16/Simulations!$J16)))),PI()*Simulations!$T16^2/2*(LN(Simulations!$CD16/Simulations!$J16)+1))))</f>
        <v>0</v>
      </c>
      <c r="U16" s="0" t="n">
        <f aca="false">IF(OR(NOT(AND(Simulations!$A16&lt;&gt;"",OR(Simulations!$CA16&lt;&gt;"",N(Simulations!$CC16)&gt;0))),N(Simulations!$CE16)&lt;=0,N(Simulations!$CC16)&lt;=0,2&gt;N(Simulations!$O16)),0,IF(Simulations!$CE16&lt;Simulations!$J16,Simulations!$CC16/(Simulations!$G16*Simulations!$H16*IF(Simulations!$I16&gt;0,Simulations!$I16,1))*Simulations!$CE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E16/Simulations!$J16)^1.5+SQRT(LN(Simulations!$CE16/Simulations!$J16))+Simulations!$CE16/Simulations!$J16*SQRT(PI())/2*ERFC(SQRT(LN(Simulations!$CE16/Simulations!$J16)))),PI()*Simulations!$T16^2/2*(LN(Simulations!$CE16/Simulations!$J16)+1))))</f>
        <v>0</v>
      </c>
      <c r="V16" s="0" t="n">
        <f aca="false">IF(OR(NOT(AND(Simulations!$A16&lt;&gt;"",OR(Simulations!$CA16&lt;&gt;"",N(Simulations!$CC16)&gt;0))),N(Simulations!$CF16)&lt;=0,N(Simulations!$CC16)&lt;=0,3&gt;N(Simulations!$O16)),0,IF(Simulations!$CF16&lt;Simulations!$J16,Simulations!$CC16/(Simulations!$G16*Simulations!$H16*IF(Simulations!$I16&gt;0,Simulations!$I16,1))*Simulations!$CF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F16/Simulations!$J16)^1.5+SQRT(LN(Simulations!$CF16/Simulations!$J16))+Simulations!$CF16/Simulations!$J16*SQRT(PI())/2*ERFC(SQRT(LN(Simulations!$CF16/Simulations!$J16)))),PI()*Simulations!$T16^2/2*(LN(Simulations!$CF16/Simulations!$J16)+1))))</f>
        <v>0</v>
      </c>
      <c r="W16" s="0" t="n">
        <f aca="false">IF(NOT(AND(Simulations!$A16&lt;&gt;"",OR(Simulations!$CA16&lt;&gt;"",N(Simulations!$CC16)&gt;0))),0,MAX(N(Simulations!$CD16),N(Simulations!$CE16),N(Simulations!$CF16))/Simulations!$J16)</f>
        <v>0</v>
      </c>
      <c r="X16" s="0" t="n">
        <f aca="false">IF(OR(NOT(AND(Simulations!$A16&lt;&gt;"",OR(Simulations!$CA16&lt;&gt;"",N(Simulations!$CC16)&gt;0))),N(Simulations!$CB16)&lt;=0),0,SQRT(2*Simulations!$CB16*1000000/(Simulations!$J16*1000))/Simulations!$T16)</f>
        <v>0</v>
      </c>
      <c r="Y16" s="0" t="n">
        <f aca="false">IF(AND(Simulations!$A16&lt;&gt;"",OR(Simulations!$CA16&lt;&gt;"",N(Simulations!$CC16)&gt;0)),1,0)</f>
        <v>0</v>
      </c>
      <c r="Z16" s="0" t="n">
        <f aca="false">IF(OR(NOT(AND(Simulations!$A16&lt;&gt;"",OR(Simulations!$CS16&lt;&gt;"",N(Simulations!$CU16)&gt;0))),N(Simulations!$CV16)&lt;=0,N(Simulations!$CU16)&lt;=0,1&gt;N(Simulations!$O16)),0,IF(Simulations!$CV16&lt;Simulations!$J16,Simulations!$CU16/(Simulations!$G16*Simulations!$H16*IF(Simulations!$I16&gt;0,Simulations!$I16,1))*Simulations!$CV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V16/Simulations!$J16)^1.5+SQRT(LN(Simulations!$CV16/Simulations!$J16))+Simulations!$CV16/Simulations!$J16*SQRT(PI())/2*ERFC(SQRT(LN(Simulations!$CV16/Simulations!$J16)))),PI()*Simulations!$T16^2/2*(LN(Simulations!$CV16/Simulations!$J16)+1))))</f>
        <v>0</v>
      </c>
      <c r="AA16" s="0" t="n">
        <f aca="false">IF(OR(NOT(AND(Simulations!$A16&lt;&gt;"",OR(Simulations!$CS16&lt;&gt;"",N(Simulations!$CU16)&gt;0))),N(Simulations!$CW16)&lt;=0,N(Simulations!$CU16)&lt;=0,2&gt;N(Simulations!$O16)),0,IF(Simulations!$CW16&lt;Simulations!$J16,Simulations!$CU16/(Simulations!$G16*Simulations!$H16*IF(Simulations!$I16&gt;0,Simulations!$I16,1))*Simulations!$CW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W16/Simulations!$J16)^1.5+SQRT(LN(Simulations!$CW16/Simulations!$J16))+Simulations!$CW16/Simulations!$J16*SQRT(PI())/2*ERFC(SQRT(LN(Simulations!$CW16/Simulations!$J16)))),PI()*Simulations!$T16^2/2*(LN(Simulations!$CW16/Simulations!$J16)+1))))</f>
        <v>0</v>
      </c>
      <c r="AB16" s="0" t="n">
        <f aca="false">IF(OR(NOT(AND(Simulations!$A16&lt;&gt;"",OR(Simulations!$CS16&lt;&gt;"",N(Simulations!$CU16)&gt;0))),N(Simulations!$CX16)&lt;=0,N(Simulations!$CU16)&lt;=0,3&gt;N(Simulations!$O16)),0,IF(Simulations!$CX16&lt;Simulations!$J16,Simulations!$CU16/(Simulations!$G16*Simulations!$H16*IF(Simulations!$I16&gt;0,Simulations!$I16,1))*Simulations!$CX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X16/Simulations!$J16)^1.5+SQRT(LN(Simulations!$CX16/Simulations!$J16))+Simulations!$CX16/Simulations!$J16*SQRT(PI())/2*ERFC(SQRT(LN(Simulations!$CX16/Simulations!$J16)))),PI()*Simulations!$T16^2/2*(LN(Simulations!$CX16/Simulations!$J16)+1))))</f>
        <v>0</v>
      </c>
      <c r="AC16" s="0" t="n">
        <f aca="false">IF(NOT(AND(Simulations!$A16&lt;&gt;"",OR(Simulations!$CS16&lt;&gt;"",N(Simulations!$CU16)&gt;0))),0,MAX(N(Simulations!$CV16),N(Simulations!$CW16),N(Simulations!$CX16))/Simulations!$J16)</f>
        <v>0</v>
      </c>
      <c r="AD16" s="0" t="n">
        <f aca="false">IF(OR(NOT(AND(Simulations!$A16&lt;&gt;"",OR(Simulations!$CS16&lt;&gt;"",N(Simulations!$CU16)&gt;0))),N(Simulations!$CT16)&lt;=0),0,SQRT(2*Simulations!$CT16*1000000/(Simulations!$J16*1000))/Simulations!$T16)</f>
        <v>0</v>
      </c>
      <c r="AE16" s="0" t="n">
        <f aca="false">IF(AND(Simulations!$A16&lt;&gt;"",OR(Simulations!$CS16&lt;&gt;"",N(Simulations!$CU16)&gt;0)),1,0)</f>
        <v>0</v>
      </c>
      <c r="AF16" s="0" t="n">
        <f aca="false">IF(OR(NOT(AND(Simulations!$A16&lt;&gt;"",OR(Simulations!$DK16&lt;&gt;"",N(Simulations!$DM16)&gt;0))),N(Simulations!$DN16)&lt;=0,N(Simulations!$DM16)&lt;=0,1&gt;N(Simulations!$O16)),0,IF(Simulations!$DN16&lt;Simulations!$J16,Simulations!$DM16/(Simulations!$G16*Simulations!$H16*IF(Simulations!$I16&gt;0,Simulations!$I16,1))*Simulations!$DN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N16/Simulations!$J16)^1.5+SQRT(LN(Simulations!$DN16/Simulations!$J16))+Simulations!$DN16/Simulations!$J16*SQRT(PI())/2*ERFC(SQRT(LN(Simulations!$DN16/Simulations!$J16)))),PI()*Simulations!$T16^2/2*(LN(Simulations!$DN16/Simulations!$J16)+1))))</f>
        <v>0</v>
      </c>
      <c r="AG16" s="0" t="n">
        <f aca="false">IF(OR(NOT(AND(Simulations!$A16&lt;&gt;"",OR(Simulations!$DK16&lt;&gt;"",N(Simulations!$DM16)&gt;0))),N(Simulations!$DO16)&lt;=0,N(Simulations!$DM16)&lt;=0,2&gt;N(Simulations!$O16)),0,IF(Simulations!$DO16&lt;Simulations!$J16,Simulations!$DM16/(Simulations!$G16*Simulations!$H16*IF(Simulations!$I16&gt;0,Simulations!$I16,1))*Simulations!$DO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O16/Simulations!$J16)^1.5+SQRT(LN(Simulations!$DO16/Simulations!$J16))+Simulations!$DO16/Simulations!$J16*SQRT(PI())/2*ERFC(SQRT(LN(Simulations!$DO16/Simulations!$J16)))),PI()*Simulations!$T16^2/2*(LN(Simulations!$DO16/Simulations!$J16)+1))))</f>
        <v>0</v>
      </c>
      <c r="AH16" s="0" t="n">
        <f aca="false">IF(OR(NOT(AND(Simulations!$A16&lt;&gt;"",OR(Simulations!$DK16&lt;&gt;"",N(Simulations!$DM16)&gt;0))),N(Simulations!$DP16)&lt;=0,N(Simulations!$DM16)&lt;=0,3&gt;N(Simulations!$O16)),0,IF(Simulations!$DP16&lt;Simulations!$J16,Simulations!$DM16/(Simulations!$G16*Simulations!$H16*IF(Simulations!$I16&gt;0,Simulations!$I16,1))*Simulations!$DP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P16/Simulations!$J16)^1.5+SQRT(LN(Simulations!$DP16/Simulations!$J16))+Simulations!$DP16/Simulations!$J16*SQRT(PI())/2*ERFC(SQRT(LN(Simulations!$DP16/Simulations!$J16)))),PI()*Simulations!$T16^2/2*(LN(Simulations!$DP16/Simulations!$J16)+1))))</f>
        <v>0</v>
      </c>
      <c r="AI16" s="0" t="n">
        <f aca="false">IF(NOT(AND(Simulations!$A16&lt;&gt;"",OR(Simulations!$DK16&lt;&gt;"",N(Simulations!$DM16)&gt;0))),0,MAX(N(Simulations!$DN16),N(Simulations!$DO16),N(Simulations!$DP16))/Simulations!$J16)</f>
        <v>0</v>
      </c>
      <c r="AJ16" s="0" t="n">
        <f aca="false">IF(OR(NOT(AND(Simulations!$A16&lt;&gt;"",OR(Simulations!$DK16&lt;&gt;"",N(Simulations!$DM16)&gt;0))),N(Simulations!$DL16)&lt;=0),0,SQRT(2*Simulations!$DL16*1000000/(Simulations!$J16*1000))/Simulations!$T16)</f>
        <v>0</v>
      </c>
      <c r="AK16" s="0" t="n">
        <f aca="false">IF(AND(Simulations!$A16&lt;&gt;"",OR(Simulations!$DK16&lt;&gt;"",N(Simulations!$DM16)&gt;0)),1,0)</f>
        <v>0</v>
      </c>
    </row>
    <row r="17" customFormat="false" ht="15" hidden="false" customHeight="false" outlineLevel="0" collapsed="false">
      <c r="B17" s="0" t="n">
        <f aca="false">IF(OR(NOT(AND(Simulations!$A17&lt;&gt;"",OR(Simulations!$Y17&lt;&gt;"",N(Simulations!$AA17)&gt;0))),N(Simulations!$AB17)&lt;=0,N(Simulations!$AA17)&lt;=0,1&gt;N(Simulations!$O17)),0,IF(Simulations!$AB17&lt;Simulations!$J17,Simulations!$AA17/(Simulations!$G17*Simulations!$H17*IF(Simulations!$I17&gt;0,Simulations!$I17,1))*Simulations!$AB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B17/Simulations!$J17)^1.5+SQRT(LN(Simulations!$AB17/Simulations!$J17))+Simulations!$AB17/Simulations!$J17*SQRT(PI())/2*ERFC(SQRT(LN(Simulations!$AB17/Simulations!$J17)))),PI()*Simulations!$T17^2/2*(LN(Simulations!$AB17/Simulations!$J17)+1))))</f>
        <v>0</v>
      </c>
      <c r="C17" s="0" t="n">
        <f aca="false">IF(OR(NOT(AND(Simulations!$A17&lt;&gt;"",OR(Simulations!$Y17&lt;&gt;"",N(Simulations!$AA17)&gt;0))),N(Simulations!$AC17)&lt;=0,N(Simulations!$AA17)&lt;=0,2&gt;N(Simulations!$O17)),0,IF(Simulations!$AC17&lt;Simulations!$J17,Simulations!$AA17/(Simulations!$G17*Simulations!$H17*IF(Simulations!$I17&gt;0,Simulations!$I17,1))*Simulations!$AC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C17/Simulations!$J17)^1.5+SQRT(LN(Simulations!$AC17/Simulations!$J17))+Simulations!$AC17/Simulations!$J17*SQRT(PI())/2*ERFC(SQRT(LN(Simulations!$AC17/Simulations!$J17)))),PI()*Simulations!$T17^2/2*(LN(Simulations!$AC17/Simulations!$J17)+1))))</f>
        <v>0</v>
      </c>
      <c r="D17" s="0" t="n">
        <f aca="false">IF(OR(NOT(AND(Simulations!$A17&lt;&gt;"",OR(Simulations!$Y17&lt;&gt;"",N(Simulations!$AA17)&gt;0))),N(Simulations!$AD17)&lt;=0,N(Simulations!$AA17)&lt;=0,3&gt;N(Simulations!$O17)),0,IF(Simulations!$AD17&lt;Simulations!$J17,Simulations!$AA17/(Simulations!$G17*Simulations!$H17*IF(Simulations!$I17&gt;0,Simulations!$I17,1))*Simulations!$AD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D17/Simulations!$J17)^1.5+SQRT(LN(Simulations!$AD17/Simulations!$J17))+Simulations!$AD17/Simulations!$J17*SQRT(PI())/2*ERFC(SQRT(LN(Simulations!$AD17/Simulations!$J17)))),PI()*Simulations!$T17^2/2*(LN(Simulations!$AD17/Simulations!$J17)+1))))</f>
        <v>0</v>
      </c>
      <c r="E17" s="0" t="n">
        <f aca="false">IF(NOT(AND(Simulations!$A17&lt;&gt;"",OR(Simulations!$Y17&lt;&gt;"",N(Simulations!$AA17)&gt;0))),0,MAX(N(Simulations!$AB17),N(Simulations!$AC17),N(Simulations!$AD17))/Simulations!$J17)</f>
        <v>0</v>
      </c>
      <c r="F17" s="0" t="n">
        <f aca="false">IF(OR(NOT(AND(Simulations!$A17&lt;&gt;"",OR(Simulations!$Y17&lt;&gt;"",N(Simulations!$AA17)&gt;0))),N(Simulations!$Z17)&lt;=0),0,SQRT(2*Simulations!$Z17*1000000/(Simulations!$J17*1000))/Simulations!$T17)</f>
        <v>0</v>
      </c>
      <c r="G17" s="0" t="n">
        <f aca="false">IF(AND(Simulations!$A17&lt;&gt;"",OR(Simulations!$Y17&lt;&gt;"",N(Simulations!$AA17)&gt;0)),1,0)</f>
        <v>0</v>
      </c>
      <c r="H17" s="0" t="n">
        <f aca="false">IF(OR(NOT(AND(Simulations!$A17&lt;&gt;"",OR(Simulations!$AQ17&lt;&gt;"",N(Simulations!$AS17)&gt;0))),N(Simulations!$AT17)&lt;=0,N(Simulations!$AS17)&lt;=0,1&gt;N(Simulations!$O17)),0,IF(Simulations!$AT17&lt;Simulations!$J17,Simulations!$AS17/(Simulations!$G17*Simulations!$H17*IF(Simulations!$I17&gt;0,Simulations!$I17,1))*Simulations!$AT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T17/Simulations!$J17)^1.5+SQRT(LN(Simulations!$AT17/Simulations!$J17))+Simulations!$AT17/Simulations!$J17*SQRT(PI())/2*ERFC(SQRT(LN(Simulations!$AT17/Simulations!$J17)))),PI()*Simulations!$T17^2/2*(LN(Simulations!$AT17/Simulations!$J17)+1))))</f>
        <v>0</v>
      </c>
      <c r="I17" s="0" t="n">
        <f aca="false">IF(OR(NOT(AND(Simulations!$A17&lt;&gt;"",OR(Simulations!$AQ17&lt;&gt;"",N(Simulations!$AS17)&gt;0))),N(Simulations!$AU17)&lt;=0,N(Simulations!$AS17)&lt;=0,2&gt;N(Simulations!$O17)),0,IF(Simulations!$AU17&lt;Simulations!$J17,Simulations!$AS17/(Simulations!$G17*Simulations!$H17*IF(Simulations!$I17&gt;0,Simulations!$I17,1))*Simulations!$AU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U17/Simulations!$J17)^1.5+SQRT(LN(Simulations!$AU17/Simulations!$J17))+Simulations!$AU17/Simulations!$J17*SQRT(PI())/2*ERFC(SQRT(LN(Simulations!$AU17/Simulations!$J17)))),PI()*Simulations!$T17^2/2*(LN(Simulations!$AU17/Simulations!$J17)+1))))</f>
        <v>0</v>
      </c>
      <c r="J17" s="0" t="n">
        <f aca="false">IF(OR(NOT(AND(Simulations!$A17&lt;&gt;"",OR(Simulations!$AQ17&lt;&gt;"",N(Simulations!$AS17)&gt;0))),N(Simulations!$AV17)&lt;=0,N(Simulations!$AS17)&lt;=0,3&gt;N(Simulations!$O17)),0,IF(Simulations!$AV17&lt;Simulations!$J17,Simulations!$AS17/(Simulations!$G17*Simulations!$H17*IF(Simulations!$I17&gt;0,Simulations!$I17,1))*Simulations!$AV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V17/Simulations!$J17)^1.5+SQRT(LN(Simulations!$AV17/Simulations!$J17))+Simulations!$AV17/Simulations!$J17*SQRT(PI())/2*ERFC(SQRT(LN(Simulations!$AV17/Simulations!$J17)))),PI()*Simulations!$T17^2/2*(LN(Simulations!$AV17/Simulations!$J17)+1))))</f>
        <v>0</v>
      </c>
      <c r="K17" s="0" t="n">
        <f aca="false">IF(NOT(AND(Simulations!$A17&lt;&gt;"",OR(Simulations!$AQ17&lt;&gt;"",N(Simulations!$AS17)&gt;0))),0,MAX(N(Simulations!$AT17),N(Simulations!$AU17),N(Simulations!$AV17))/Simulations!$J17)</f>
        <v>0</v>
      </c>
      <c r="L17" s="0" t="n">
        <f aca="false">IF(OR(NOT(AND(Simulations!$A17&lt;&gt;"",OR(Simulations!$AQ17&lt;&gt;"",N(Simulations!$AS17)&gt;0))),N(Simulations!$AR17)&lt;=0),0,SQRT(2*Simulations!$AR17*1000000/(Simulations!$J17*1000))/Simulations!$T17)</f>
        <v>0</v>
      </c>
      <c r="M17" s="0" t="n">
        <f aca="false">IF(AND(Simulations!$A17&lt;&gt;"",OR(Simulations!$AQ17&lt;&gt;"",N(Simulations!$AS17)&gt;0)),1,0)</f>
        <v>0</v>
      </c>
      <c r="N17" s="0" t="n">
        <f aca="false">IF(OR(NOT(AND(Simulations!$A17&lt;&gt;"",OR(Simulations!$BI17&lt;&gt;"",N(Simulations!$BK17)&gt;0))),N(Simulations!$BL17)&lt;=0,N(Simulations!$BK17)&lt;=0,1&gt;N(Simulations!$O17)),0,IF(Simulations!$BL17&lt;Simulations!$J17,Simulations!$BK17/(Simulations!$G17*Simulations!$H17*IF(Simulations!$I17&gt;0,Simulations!$I17,1))*Simulations!$BL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L17/Simulations!$J17)^1.5+SQRT(LN(Simulations!$BL17/Simulations!$J17))+Simulations!$BL17/Simulations!$J17*SQRT(PI())/2*ERFC(SQRT(LN(Simulations!$BL17/Simulations!$J17)))),PI()*Simulations!$T17^2/2*(LN(Simulations!$BL17/Simulations!$J17)+1))))</f>
        <v>0</v>
      </c>
      <c r="O17" s="0" t="n">
        <f aca="false">IF(OR(NOT(AND(Simulations!$A17&lt;&gt;"",OR(Simulations!$BI17&lt;&gt;"",N(Simulations!$BK17)&gt;0))),N(Simulations!$BM17)&lt;=0,N(Simulations!$BK17)&lt;=0,2&gt;N(Simulations!$O17)),0,IF(Simulations!$BM17&lt;Simulations!$J17,Simulations!$BK17/(Simulations!$G17*Simulations!$H17*IF(Simulations!$I17&gt;0,Simulations!$I17,1))*Simulations!$BM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M17/Simulations!$J17)^1.5+SQRT(LN(Simulations!$BM17/Simulations!$J17))+Simulations!$BM17/Simulations!$J17*SQRT(PI())/2*ERFC(SQRT(LN(Simulations!$BM17/Simulations!$J17)))),PI()*Simulations!$T17^2/2*(LN(Simulations!$BM17/Simulations!$J17)+1))))</f>
        <v>0</v>
      </c>
      <c r="P17" s="0" t="n">
        <f aca="false">IF(OR(NOT(AND(Simulations!$A17&lt;&gt;"",OR(Simulations!$BI17&lt;&gt;"",N(Simulations!$BK17)&gt;0))),N(Simulations!$BN17)&lt;=0,N(Simulations!$BK17)&lt;=0,3&gt;N(Simulations!$O17)),0,IF(Simulations!$BN17&lt;Simulations!$J17,Simulations!$BK17/(Simulations!$G17*Simulations!$H17*IF(Simulations!$I17&gt;0,Simulations!$I17,1))*Simulations!$BN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N17/Simulations!$J17)^1.5+SQRT(LN(Simulations!$BN17/Simulations!$J17))+Simulations!$BN17/Simulations!$J17*SQRT(PI())/2*ERFC(SQRT(LN(Simulations!$BN17/Simulations!$J17)))),PI()*Simulations!$T17^2/2*(LN(Simulations!$BN17/Simulations!$J17)+1))))</f>
        <v>0</v>
      </c>
      <c r="Q17" s="0" t="n">
        <f aca="false">IF(NOT(AND(Simulations!$A17&lt;&gt;"",OR(Simulations!$BI17&lt;&gt;"",N(Simulations!$BK17)&gt;0))),0,MAX(N(Simulations!$BL17),N(Simulations!$BM17),N(Simulations!$BN17))/Simulations!$J17)</f>
        <v>0</v>
      </c>
      <c r="R17" s="0" t="n">
        <f aca="false">IF(OR(NOT(AND(Simulations!$A17&lt;&gt;"",OR(Simulations!$BI17&lt;&gt;"",N(Simulations!$BK17)&gt;0))),N(Simulations!$BJ17)&lt;=0),0,SQRT(2*Simulations!$BJ17*1000000/(Simulations!$J17*1000))/Simulations!$T17)</f>
        <v>0</v>
      </c>
      <c r="S17" s="0" t="n">
        <f aca="false">IF(AND(Simulations!$A17&lt;&gt;"",OR(Simulations!$BI17&lt;&gt;"",N(Simulations!$BK17)&gt;0)),1,0)</f>
        <v>0</v>
      </c>
      <c r="T17" s="0" t="n">
        <f aca="false">IF(OR(NOT(AND(Simulations!$A17&lt;&gt;"",OR(Simulations!$CA17&lt;&gt;"",N(Simulations!$CC17)&gt;0))),N(Simulations!$CD17)&lt;=0,N(Simulations!$CC17)&lt;=0,1&gt;N(Simulations!$O17)),0,IF(Simulations!$CD17&lt;Simulations!$J17,Simulations!$CC17/(Simulations!$G17*Simulations!$H17*IF(Simulations!$I17&gt;0,Simulations!$I17,1))*Simulations!$CD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D17/Simulations!$J17)^1.5+SQRT(LN(Simulations!$CD17/Simulations!$J17))+Simulations!$CD17/Simulations!$J17*SQRT(PI())/2*ERFC(SQRT(LN(Simulations!$CD17/Simulations!$J17)))),PI()*Simulations!$T17^2/2*(LN(Simulations!$CD17/Simulations!$J17)+1))))</f>
        <v>0</v>
      </c>
      <c r="U17" s="0" t="n">
        <f aca="false">IF(OR(NOT(AND(Simulations!$A17&lt;&gt;"",OR(Simulations!$CA17&lt;&gt;"",N(Simulations!$CC17)&gt;0))),N(Simulations!$CE17)&lt;=0,N(Simulations!$CC17)&lt;=0,2&gt;N(Simulations!$O17)),0,IF(Simulations!$CE17&lt;Simulations!$J17,Simulations!$CC17/(Simulations!$G17*Simulations!$H17*IF(Simulations!$I17&gt;0,Simulations!$I17,1))*Simulations!$CE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E17/Simulations!$J17)^1.5+SQRT(LN(Simulations!$CE17/Simulations!$J17))+Simulations!$CE17/Simulations!$J17*SQRT(PI())/2*ERFC(SQRT(LN(Simulations!$CE17/Simulations!$J17)))),PI()*Simulations!$T17^2/2*(LN(Simulations!$CE17/Simulations!$J17)+1))))</f>
        <v>0</v>
      </c>
      <c r="V17" s="0" t="n">
        <f aca="false">IF(OR(NOT(AND(Simulations!$A17&lt;&gt;"",OR(Simulations!$CA17&lt;&gt;"",N(Simulations!$CC17)&gt;0))),N(Simulations!$CF17)&lt;=0,N(Simulations!$CC17)&lt;=0,3&gt;N(Simulations!$O17)),0,IF(Simulations!$CF17&lt;Simulations!$J17,Simulations!$CC17/(Simulations!$G17*Simulations!$H17*IF(Simulations!$I17&gt;0,Simulations!$I17,1))*Simulations!$CF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F17/Simulations!$J17)^1.5+SQRT(LN(Simulations!$CF17/Simulations!$J17))+Simulations!$CF17/Simulations!$J17*SQRT(PI())/2*ERFC(SQRT(LN(Simulations!$CF17/Simulations!$J17)))),PI()*Simulations!$T17^2/2*(LN(Simulations!$CF17/Simulations!$J17)+1))))</f>
        <v>0</v>
      </c>
      <c r="W17" s="0" t="n">
        <f aca="false">IF(NOT(AND(Simulations!$A17&lt;&gt;"",OR(Simulations!$CA17&lt;&gt;"",N(Simulations!$CC17)&gt;0))),0,MAX(N(Simulations!$CD17),N(Simulations!$CE17),N(Simulations!$CF17))/Simulations!$J17)</f>
        <v>0</v>
      </c>
      <c r="X17" s="0" t="n">
        <f aca="false">IF(OR(NOT(AND(Simulations!$A17&lt;&gt;"",OR(Simulations!$CA17&lt;&gt;"",N(Simulations!$CC17)&gt;0))),N(Simulations!$CB17)&lt;=0),0,SQRT(2*Simulations!$CB17*1000000/(Simulations!$J17*1000))/Simulations!$T17)</f>
        <v>0</v>
      </c>
      <c r="Y17" s="0" t="n">
        <f aca="false">IF(AND(Simulations!$A17&lt;&gt;"",OR(Simulations!$CA17&lt;&gt;"",N(Simulations!$CC17)&gt;0)),1,0)</f>
        <v>0</v>
      </c>
      <c r="Z17" s="0" t="n">
        <f aca="false">IF(OR(NOT(AND(Simulations!$A17&lt;&gt;"",OR(Simulations!$CS17&lt;&gt;"",N(Simulations!$CU17)&gt;0))),N(Simulations!$CV17)&lt;=0,N(Simulations!$CU17)&lt;=0,1&gt;N(Simulations!$O17)),0,IF(Simulations!$CV17&lt;Simulations!$J17,Simulations!$CU17/(Simulations!$G17*Simulations!$H17*IF(Simulations!$I17&gt;0,Simulations!$I17,1))*Simulations!$CV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V17/Simulations!$J17)^1.5+SQRT(LN(Simulations!$CV17/Simulations!$J17))+Simulations!$CV17/Simulations!$J17*SQRT(PI())/2*ERFC(SQRT(LN(Simulations!$CV17/Simulations!$J17)))),PI()*Simulations!$T17^2/2*(LN(Simulations!$CV17/Simulations!$J17)+1))))</f>
        <v>0</v>
      </c>
      <c r="AA17" s="0" t="n">
        <f aca="false">IF(OR(NOT(AND(Simulations!$A17&lt;&gt;"",OR(Simulations!$CS17&lt;&gt;"",N(Simulations!$CU17)&gt;0))),N(Simulations!$CW17)&lt;=0,N(Simulations!$CU17)&lt;=0,2&gt;N(Simulations!$O17)),0,IF(Simulations!$CW17&lt;Simulations!$J17,Simulations!$CU17/(Simulations!$G17*Simulations!$H17*IF(Simulations!$I17&gt;0,Simulations!$I17,1))*Simulations!$CW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W17/Simulations!$J17)^1.5+SQRT(LN(Simulations!$CW17/Simulations!$J17))+Simulations!$CW17/Simulations!$J17*SQRT(PI())/2*ERFC(SQRT(LN(Simulations!$CW17/Simulations!$J17)))),PI()*Simulations!$T17^2/2*(LN(Simulations!$CW17/Simulations!$J17)+1))))</f>
        <v>0</v>
      </c>
      <c r="AB17" s="0" t="n">
        <f aca="false">IF(OR(NOT(AND(Simulations!$A17&lt;&gt;"",OR(Simulations!$CS17&lt;&gt;"",N(Simulations!$CU17)&gt;0))),N(Simulations!$CX17)&lt;=0,N(Simulations!$CU17)&lt;=0,3&gt;N(Simulations!$O17)),0,IF(Simulations!$CX17&lt;Simulations!$J17,Simulations!$CU17/(Simulations!$G17*Simulations!$H17*IF(Simulations!$I17&gt;0,Simulations!$I17,1))*Simulations!$CX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X17/Simulations!$J17)^1.5+SQRT(LN(Simulations!$CX17/Simulations!$J17))+Simulations!$CX17/Simulations!$J17*SQRT(PI())/2*ERFC(SQRT(LN(Simulations!$CX17/Simulations!$J17)))),PI()*Simulations!$T17^2/2*(LN(Simulations!$CX17/Simulations!$J17)+1))))</f>
        <v>0</v>
      </c>
      <c r="AC17" s="0" t="n">
        <f aca="false">IF(NOT(AND(Simulations!$A17&lt;&gt;"",OR(Simulations!$CS17&lt;&gt;"",N(Simulations!$CU17)&gt;0))),0,MAX(N(Simulations!$CV17),N(Simulations!$CW17),N(Simulations!$CX17))/Simulations!$J17)</f>
        <v>0</v>
      </c>
      <c r="AD17" s="0" t="n">
        <f aca="false">IF(OR(NOT(AND(Simulations!$A17&lt;&gt;"",OR(Simulations!$CS17&lt;&gt;"",N(Simulations!$CU17)&gt;0))),N(Simulations!$CT17)&lt;=0),0,SQRT(2*Simulations!$CT17*1000000/(Simulations!$J17*1000))/Simulations!$T17)</f>
        <v>0</v>
      </c>
      <c r="AE17" s="0" t="n">
        <f aca="false">IF(AND(Simulations!$A17&lt;&gt;"",OR(Simulations!$CS17&lt;&gt;"",N(Simulations!$CU17)&gt;0)),1,0)</f>
        <v>0</v>
      </c>
      <c r="AF17" s="0" t="n">
        <f aca="false">IF(OR(NOT(AND(Simulations!$A17&lt;&gt;"",OR(Simulations!$DK17&lt;&gt;"",N(Simulations!$DM17)&gt;0))),N(Simulations!$DN17)&lt;=0,N(Simulations!$DM17)&lt;=0,1&gt;N(Simulations!$O17)),0,IF(Simulations!$DN17&lt;Simulations!$J17,Simulations!$DM17/(Simulations!$G17*Simulations!$H17*IF(Simulations!$I17&gt;0,Simulations!$I17,1))*Simulations!$DN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N17/Simulations!$J17)^1.5+SQRT(LN(Simulations!$DN17/Simulations!$J17))+Simulations!$DN17/Simulations!$J17*SQRT(PI())/2*ERFC(SQRT(LN(Simulations!$DN17/Simulations!$J17)))),PI()*Simulations!$T17^2/2*(LN(Simulations!$DN17/Simulations!$J17)+1))))</f>
        <v>0</v>
      </c>
      <c r="AG17" s="0" t="n">
        <f aca="false">IF(OR(NOT(AND(Simulations!$A17&lt;&gt;"",OR(Simulations!$DK17&lt;&gt;"",N(Simulations!$DM17)&gt;0))),N(Simulations!$DO17)&lt;=0,N(Simulations!$DM17)&lt;=0,2&gt;N(Simulations!$O17)),0,IF(Simulations!$DO17&lt;Simulations!$J17,Simulations!$DM17/(Simulations!$G17*Simulations!$H17*IF(Simulations!$I17&gt;0,Simulations!$I17,1))*Simulations!$DO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O17/Simulations!$J17)^1.5+SQRT(LN(Simulations!$DO17/Simulations!$J17))+Simulations!$DO17/Simulations!$J17*SQRT(PI())/2*ERFC(SQRT(LN(Simulations!$DO17/Simulations!$J17)))),PI()*Simulations!$T17^2/2*(LN(Simulations!$DO17/Simulations!$J17)+1))))</f>
        <v>0</v>
      </c>
      <c r="AH17" s="0" t="n">
        <f aca="false">IF(OR(NOT(AND(Simulations!$A17&lt;&gt;"",OR(Simulations!$DK17&lt;&gt;"",N(Simulations!$DM17)&gt;0))),N(Simulations!$DP17)&lt;=0,N(Simulations!$DM17)&lt;=0,3&gt;N(Simulations!$O17)),0,IF(Simulations!$DP17&lt;Simulations!$J17,Simulations!$DM17/(Simulations!$G17*Simulations!$H17*IF(Simulations!$I17&gt;0,Simulations!$I17,1))*Simulations!$DP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P17/Simulations!$J17)^1.5+SQRT(LN(Simulations!$DP17/Simulations!$J17))+Simulations!$DP17/Simulations!$J17*SQRT(PI())/2*ERFC(SQRT(LN(Simulations!$DP17/Simulations!$J17)))),PI()*Simulations!$T17^2/2*(LN(Simulations!$DP17/Simulations!$J17)+1))))</f>
        <v>0</v>
      </c>
      <c r="AI17" s="0" t="n">
        <f aca="false">IF(NOT(AND(Simulations!$A17&lt;&gt;"",OR(Simulations!$DK17&lt;&gt;"",N(Simulations!$DM17)&gt;0))),0,MAX(N(Simulations!$DN17),N(Simulations!$DO17),N(Simulations!$DP17))/Simulations!$J17)</f>
        <v>0</v>
      </c>
      <c r="AJ17" s="0" t="n">
        <f aca="false">IF(OR(NOT(AND(Simulations!$A17&lt;&gt;"",OR(Simulations!$DK17&lt;&gt;"",N(Simulations!$DM17)&gt;0))),N(Simulations!$DL17)&lt;=0),0,SQRT(2*Simulations!$DL17*1000000/(Simulations!$J17*1000))/Simulations!$T17)</f>
        <v>0</v>
      </c>
      <c r="AK17" s="0" t="n">
        <f aca="false">IF(AND(Simulations!$A17&lt;&gt;"",OR(Simulations!$DK17&lt;&gt;"",N(Simulations!$DM17)&gt;0)),1,0)</f>
        <v>0</v>
      </c>
    </row>
    <row r="18" customFormat="false" ht="15" hidden="false" customHeight="false" outlineLevel="0" collapsed="false">
      <c r="B18" s="0" t="n">
        <f aca="false">IF(OR(NOT(AND(Simulations!$A18&lt;&gt;"",OR(Simulations!$Y18&lt;&gt;"",N(Simulations!$AA18)&gt;0))),N(Simulations!$AB18)&lt;=0,N(Simulations!$AA18)&lt;=0,1&gt;N(Simulations!$O18)),0,IF(Simulations!$AB18&lt;Simulations!$J18,Simulations!$AA18/(Simulations!$G18*Simulations!$H18*IF(Simulations!$I18&gt;0,Simulations!$I18,1))*Simulations!$AB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B18/Simulations!$J18)^1.5+SQRT(LN(Simulations!$AB18/Simulations!$J18))+Simulations!$AB18/Simulations!$J18*SQRT(PI())/2*ERFC(SQRT(LN(Simulations!$AB18/Simulations!$J18)))),PI()*Simulations!$T18^2/2*(LN(Simulations!$AB18/Simulations!$J18)+1))))</f>
        <v>0</v>
      </c>
      <c r="C18" s="0" t="n">
        <f aca="false">IF(OR(NOT(AND(Simulations!$A18&lt;&gt;"",OR(Simulations!$Y18&lt;&gt;"",N(Simulations!$AA18)&gt;0))),N(Simulations!$AC18)&lt;=0,N(Simulations!$AA18)&lt;=0,2&gt;N(Simulations!$O18)),0,IF(Simulations!$AC18&lt;Simulations!$J18,Simulations!$AA18/(Simulations!$G18*Simulations!$H18*IF(Simulations!$I18&gt;0,Simulations!$I18,1))*Simulations!$AC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C18/Simulations!$J18)^1.5+SQRT(LN(Simulations!$AC18/Simulations!$J18))+Simulations!$AC18/Simulations!$J18*SQRT(PI())/2*ERFC(SQRT(LN(Simulations!$AC18/Simulations!$J18)))),PI()*Simulations!$T18^2/2*(LN(Simulations!$AC18/Simulations!$J18)+1))))</f>
        <v>0</v>
      </c>
      <c r="D18" s="0" t="n">
        <f aca="false">IF(OR(NOT(AND(Simulations!$A18&lt;&gt;"",OR(Simulations!$Y18&lt;&gt;"",N(Simulations!$AA18)&gt;0))),N(Simulations!$AD18)&lt;=0,N(Simulations!$AA18)&lt;=0,3&gt;N(Simulations!$O18)),0,IF(Simulations!$AD18&lt;Simulations!$J18,Simulations!$AA18/(Simulations!$G18*Simulations!$H18*IF(Simulations!$I18&gt;0,Simulations!$I18,1))*Simulations!$AD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D18/Simulations!$J18)^1.5+SQRT(LN(Simulations!$AD18/Simulations!$J18))+Simulations!$AD18/Simulations!$J18*SQRT(PI())/2*ERFC(SQRT(LN(Simulations!$AD18/Simulations!$J18)))),PI()*Simulations!$T18^2/2*(LN(Simulations!$AD18/Simulations!$J18)+1))))</f>
        <v>0</v>
      </c>
      <c r="E18" s="0" t="n">
        <f aca="false">IF(NOT(AND(Simulations!$A18&lt;&gt;"",OR(Simulations!$Y18&lt;&gt;"",N(Simulations!$AA18)&gt;0))),0,MAX(N(Simulations!$AB18),N(Simulations!$AC18),N(Simulations!$AD18))/Simulations!$J18)</f>
        <v>0</v>
      </c>
      <c r="F18" s="0" t="n">
        <f aca="false">IF(OR(NOT(AND(Simulations!$A18&lt;&gt;"",OR(Simulations!$Y18&lt;&gt;"",N(Simulations!$AA18)&gt;0))),N(Simulations!$Z18)&lt;=0),0,SQRT(2*Simulations!$Z18*1000000/(Simulations!$J18*1000))/Simulations!$T18)</f>
        <v>0</v>
      </c>
      <c r="G18" s="0" t="n">
        <f aca="false">IF(AND(Simulations!$A18&lt;&gt;"",OR(Simulations!$Y18&lt;&gt;"",N(Simulations!$AA18)&gt;0)),1,0)</f>
        <v>0</v>
      </c>
      <c r="H18" s="0" t="n">
        <f aca="false">IF(OR(NOT(AND(Simulations!$A18&lt;&gt;"",OR(Simulations!$AQ18&lt;&gt;"",N(Simulations!$AS18)&gt;0))),N(Simulations!$AT18)&lt;=0,N(Simulations!$AS18)&lt;=0,1&gt;N(Simulations!$O18)),0,IF(Simulations!$AT18&lt;Simulations!$J18,Simulations!$AS18/(Simulations!$G18*Simulations!$H18*IF(Simulations!$I18&gt;0,Simulations!$I18,1))*Simulations!$AT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T18/Simulations!$J18)^1.5+SQRT(LN(Simulations!$AT18/Simulations!$J18))+Simulations!$AT18/Simulations!$J18*SQRT(PI())/2*ERFC(SQRT(LN(Simulations!$AT18/Simulations!$J18)))),PI()*Simulations!$T18^2/2*(LN(Simulations!$AT18/Simulations!$J18)+1))))</f>
        <v>0</v>
      </c>
      <c r="I18" s="0" t="n">
        <f aca="false">IF(OR(NOT(AND(Simulations!$A18&lt;&gt;"",OR(Simulations!$AQ18&lt;&gt;"",N(Simulations!$AS18)&gt;0))),N(Simulations!$AU18)&lt;=0,N(Simulations!$AS18)&lt;=0,2&gt;N(Simulations!$O18)),0,IF(Simulations!$AU18&lt;Simulations!$J18,Simulations!$AS18/(Simulations!$G18*Simulations!$H18*IF(Simulations!$I18&gt;0,Simulations!$I18,1))*Simulations!$AU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U18/Simulations!$J18)^1.5+SQRT(LN(Simulations!$AU18/Simulations!$J18))+Simulations!$AU18/Simulations!$J18*SQRT(PI())/2*ERFC(SQRT(LN(Simulations!$AU18/Simulations!$J18)))),PI()*Simulations!$T18^2/2*(LN(Simulations!$AU18/Simulations!$J18)+1))))</f>
        <v>0</v>
      </c>
      <c r="J18" s="0" t="n">
        <f aca="false">IF(OR(NOT(AND(Simulations!$A18&lt;&gt;"",OR(Simulations!$AQ18&lt;&gt;"",N(Simulations!$AS18)&gt;0))),N(Simulations!$AV18)&lt;=0,N(Simulations!$AS18)&lt;=0,3&gt;N(Simulations!$O18)),0,IF(Simulations!$AV18&lt;Simulations!$J18,Simulations!$AS18/(Simulations!$G18*Simulations!$H18*IF(Simulations!$I18&gt;0,Simulations!$I18,1))*Simulations!$AV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V18/Simulations!$J18)^1.5+SQRT(LN(Simulations!$AV18/Simulations!$J18))+Simulations!$AV18/Simulations!$J18*SQRT(PI())/2*ERFC(SQRT(LN(Simulations!$AV18/Simulations!$J18)))),PI()*Simulations!$T18^2/2*(LN(Simulations!$AV18/Simulations!$J18)+1))))</f>
        <v>0</v>
      </c>
      <c r="K18" s="0" t="n">
        <f aca="false">IF(NOT(AND(Simulations!$A18&lt;&gt;"",OR(Simulations!$AQ18&lt;&gt;"",N(Simulations!$AS18)&gt;0))),0,MAX(N(Simulations!$AT18),N(Simulations!$AU18),N(Simulations!$AV18))/Simulations!$J18)</f>
        <v>0</v>
      </c>
      <c r="L18" s="0" t="n">
        <f aca="false">IF(OR(NOT(AND(Simulations!$A18&lt;&gt;"",OR(Simulations!$AQ18&lt;&gt;"",N(Simulations!$AS18)&gt;0))),N(Simulations!$AR18)&lt;=0),0,SQRT(2*Simulations!$AR18*1000000/(Simulations!$J18*1000))/Simulations!$T18)</f>
        <v>0</v>
      </c>
      <c r="M18" s="0" t="n">
        <f aca="false">IF(AND(Simulations!$A18&lt;&gt;"",OR(Simulations!$AQ18&lt;&gt;"",N(Simulations!$AS18)&gt;0)),1,0)</f>
        <v>0</v>
      </c>
      <c r="N18" s="0" t="n">
        <f aca="false">IF(OR(NOT(AND(Simulations!$A18&lt;&gt;"",OR(Simulations!$BI18&lt;&gt;"",N(Simulations!$BK18)&gt;0))),N(Simulations!$BL18)&lt;=0,N(Simulations!$BK18)&lt;=0,1&gt;N(Simulations!$O18)),0,IF(Simulations!$BL18&lt;Simulations!$J18,Simulations!$BK18/(Simulations!$G18*Simulations!$H18*IF(Simulations!$I18&gt;0,Simulations!$I18,1))*Simulations!$BL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L18/Simulations!$J18)^1.5+SQRT(LN(Simulations!$BL18/Simulations!$J18))+Simulations!$BL18/Simulations!$J18*SQRT(PI())/2*ERFC(SQRT(LN(Simulations!$BL18/Simulations!$J18)))),PI()*Simulations!$T18^2/2*(LN(Simulations!$BL18/Simulations!$J18)+1))))</f>
        <v>0</v>
      </c>
      <c r="O18" s="0" t="n">
        <f aca="false">IF(OR(NOT(AND(Simulations!$A18&lt;&gt;"",OR(Simulations!$BI18&lt;&gt;"",N(Simulations!$BK18)&gt;0))),N(Simulations!$BM18)&lt;=0,N(Simulations!$BK18)&lt;=0,2&gt;N(Simulations!$O18)),0,IF(Simulations!$BM18&lt;Simulations!$J18,Simulations!$BK18/(Simulations!$G18*Simulations!$H18*IF(Simulations!$I18&gt;0,Simulations!$I18,1))*Simulations!$BM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M18/Simulations!$J18)^1.5+SQRT(LN(Simulations!$BM18/Simulations!$J18))+Simulations!$BM18/Simulations!$J18*SQRT(PI())/2*ERFC(SQRT(LN(Simulations!$BM18/Simulations!$J18)))),PI()*Simulations!$T18^2/2*(LN(Simulations!$BM18/Simulations!$J18)+1))))</f>
        <v>0</v>
      </c>
      <c r="P18" s="0" t="n">
        <f aca="false">IF(OR(NOT(AND(Simulations!$A18&lt;&gt;"",OR(Simulations!$BI18&lt;&gt;"",N(Simulations!$BK18)&gt;0))),N(Simulations!$BN18)&lt;=0,N(Simulations!$BK18)&lt;=0,3&gt;N(Simulations!$O18)),0,IF(Simulations!$BN18&lt;Simulations!$J18,Simulations!$BK18/(Simulations!$G18*Simulations!$H18*IF(Simulations!$I18&gt;0,Simulations!$I18,1))*Simulations!$BN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N18/Simulations!$J18)^1.5+SQRT(LN(Simulations!$BN18/Simulations!$J18))+Simulations!$BN18/Simulations!$J18*SQRT(PI())/2*ERFC(SQRT(LN(Simulations!$BN18/Simulations!$J18)))),PI()*Simulations!$T18^2/2*(LN(Simulations!$BN18/Simulations!$J18)+1))))</f>
        <v>0</v>
      </c>
      <c r="Q18" s="0" t="n">
        <f aca="false">IF(NOT(AND(Simulations!$A18&lt;&gt;"",OR(Simulations!$BI18&lt;&gt;"",N(Simulations!$BK18)&gt;0))),0,MAX(N(Simulations!$BL18),N(Simulations!$BM18),N(Simulations!$BN18))/Simulations!$J18)</f>
        <v>0</v>
      </c>
      <c r="R18" s="0" t="n">
        <f aca="false">IF(OR(NOT(AND(Simulations!$A18&lt;&gt;"",OR(Simulations!$BI18&lt;&gt;"",N(Simulations!$BK18)&gt;0))),N(Simulations!$BJ18)&lt;=0),0,SQRT(2*Simulations!$BJ18*1000000/(Simulations!$J18*1000))/Simulations!$T18)</f>
        <v>0</v>
      </c>
      <c r="S18" s="0" t="n">
        <f aca="false">IF(AND(Simulations!$A18&lt;&gt;"",OR(Simulations!$BI18&lt;&gt;"",N(Simulations!$BK18)&gt;0)),1,0)</f>
        <v>0</v>
      </c>
      <c r="T18" s="0" t="n">
        <f aca="false">IF(OR(NOT(AND(Simulations!$A18&lt;&gt;"",OR(Simulations!$CA18&lt;&gt;"",N(Simulations!$CC18)&gt;0))),N(Simulations!$CD18)&lt;=0,N(Simulations!$CC18)&lt;=0,1&gt;N(Simulations!$O18)),0,IF(Simulations!$CD18&lt;Simulations!$J18,Simulations!$CC18/(Simulations!$G18*Simulations!$H18*IF(Simulations!$I18&gt;0,Simulations!$I18,1))*Simulations!$CD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D18/Simulations!$J18)^1.5+SQRT(LN(Simulations!$CD18/Simulations!$J18))+Simulations!$CD18/Simulations!$J18*SQRT(PI())/2*ERFC(SQRT(LN(Simulations!$CD18/Simulations!$J18)))),PI()*Simulations!$T18^2/2*(LN(Simulations!$CD18/Simulations!$J18)+1))))</f>
        <v>0</v>
      </c>
      <c r="U18" s="0" t="n">
        <f aca="false">IF(OR(NOT(AND(Simulations!$A18&lt;&gt;"",OR(Simulations!$CA18&lt;&gt;"",N(Simulations!$CC18)&gt;0))),N(Simulations!$CE18)&lt;=0,N(Simulations!$CC18)&lt;=0,2&gt;N(Simulations!$O18)),0,IF(Simulations!$CE18&lt;Simulations!$J18,Simulations!$CC18/(Simulations!$G18*Simulations!$H18*IF(Simulations!$I18&gt;0,Simulations!$I18,1))*Simulations!$CE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E18/Simulations!$J18)^1.5+SQRT(LN(Simulations!$CE18/Simulations!$J18))+Simulations!$CE18/Simulations!$J18*SQRT(PI())/2*ERFC(SQRT(LN(Simulations!$CE18/Simulations!$J18)))),PI()*Simulations!$T18^2/2*(LN(Simulations!$CE18/Simulations!$J18)+1))))</f>
        <v>0</v>
      </c>
      <c r="V18" s="0" t="n">
        <f aca="false">IF(OR(NOT(AND(Simulations!$A18&lt;&gt;"",OR(Simulations!$CA18&lt;&gt;"",N(Simulations!$CC18)&gt;0))),N(Simulations!$CF18)&lt;=0,N(Simulations!$CC18)&lt;=0,3&gt;N(Simulations!$O18)),0,IF(Simulations!$CF18&lt;Simulations!$J18,Simulations!$CC18/(Simulations!$G18*Simulations!$H18*IF(Simulations!$I18&gt;0,Simulations!$I18,1))*Simulations!$CF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F18/Simulations!$J18)^1.5+SQRT(LN(Simulations!$CF18/Simulations!$J18))+Simulations!$CF18/Simulations!$J18*SQRT(PI())/2*ERFC(SQRT(LN(Simulations!$CF18/Simulations!$J18)))),PI()*Simulations!$T18^2/2*(LN(Simulations!$CF18/Simulations!$J18)+1))))</f>
        <v>0</v>
      </c>
      <c r="W18" s="0" t="n">
        <f aca="false">IF(NOT(AND(Simulations!$A18&lt;&gt;"",OR(Simulations!$CA18&lt;&gt;"",N(Simulations!$CC18)&gt;0))),0,MAX(N(Simulations!$CD18),N(Simulations!$CE18),N(Simulations!$CF18))/Simulations!$J18)</f>
        <v>0</v>
      </c>
      <c r="X18" s="0" t="n">
        <f aca="false">IF(OR(NOT(AND(Simulations!$A18&lt;&gt;"",OR(Simulations!$CA18&lt;&gt;"",N(Simulations!$CC18)&gt;0))),N(Simulations!$CB18)&lt;=0),0,SQRT(2*Simulations!$CB18*1000000/(Simulations!$J18*1000))/Simulations!$T18)</f>
        <v>0</v>
      </c>
      <c r="Y18" s="0" t="n">
        <f aca="false">IF(AND(Simulations!$A18&lt;&gt;"",OR(Simulations!$CA18&lt;&gt;"",N(Simulations!$CC18)&gt;0)),1,0)</f>
        <v>0</v>
      </c>
      <c r="Z18" s="0" t="n">
        <f aca="false">IF(OR(NOT(AND(Simulations!$A18&lt;&gt;"",OR(Simulations!$CS18&lt;&gt;"",N(Simulations!$CU18)&gt;0))),N(Simulations!$CV18)&lt;=0,N(Simulations!$CU18)&lt;=0,1&gt;N(Simulations!$O18)),0,IF(Simulations!$CV18&lt;Simulations!$J18,Simulations!$CU18/(Simulations!$G18*Simulations!$H18*IF(Simulations!$I18&gt;0,Simulations!$I18,1))*Simulations!$CV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V18/Simulations!$J18)^1.5+SQRT(LN(Simulations!$CV18/Simulations!$J18))+Simulations!$CV18/Simulations!$J18*SQRT(PI())/2*ERFC(SQRT(LN(Simulations!$CV18/Simulations!$J18)))),PI()*Simulations!$T18^2/2*(LN(Simulations!$CV18/Simulations!$J18)+1))))</f>
        <v>0</v>
      </c>
      <c r="AA18" s="0" t="n">
        <f aca="false">IF(OR(NOT(AND(Simulations!$A18&lt;&gt;"",OR(Simulations!$CS18&lt;&gt;"",N(Simulations!$CU18)&gt;0))),N(Simulations!$CW18)&lt;=0,N(Simulations!$CU18)&lt;=0,2&gt;N(Simulations!$O18)),0,IF(Simulations!$CW18&lt;Simulations!$J18,Simulations!$CU18/(Simulations!$G18*Simulations!$H18*IF(Simulations!$I18&gt;0,Simulations!$I18,1))*Simulations!$CW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W18/Simulations!$J18)^1.5+SQRT(LN(Simulations!$CW18/Simulations!$J18))+Simulations!$CW18/Simulations!$J18*SQRT(PI())/2*ERFC(SQRT(LN(Simulations!$CW18/Simulations!$J18)))),PI()*Simulations!$T18^2/2*(LN(Simulations!$CW18/Simulations!$J18)+1))))</f>
        <v>0</v>
      </c>
      <c r="AB18" s="0" t="n">
        <f aca="false">IF(OR(NOT(AND(Simulations!$A18&lt;&gt;"",OR(Simulations!$CS18&lt;&gt;"",N(Simulations!$CU18)&gt;0))),N(Simulations!$CX18)&lt;=0,N(Simulations!$CU18)&lt;=0,3&gt;N(Simulations!$O18)),0,IF(Simulations!$CX18&lt;Simulations!$J18,Simulations!$CU18/(Simulations!$G18*Simulations!$H18*IF(Simulations!$I18&gt;0,Simulations!$I18,1))*Simulations!$CX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X18/Simulations!$J18)^1.5+SQRT(LN(Simulations!$CX18/Simulations!$J18))+Simulations!$CX18/Simulations!$J18*SQRT(PI())/2*ERFC(SQRT(LN(Simulations!$CX18/Simulations!$J18)))),PI()*Simulations!$T18^2/2*(LN(Simulations!$CX18/Simulations!$J18)+1))))</f>
        <v>0</v>
      </c>
      <c r="AC18" s="0" t="n">
        <f aca="false">IF(NOT(AND(Simulations!$A18&lt;&gt;"",OR(Simulations!$CS18&lt;&gt;"",N(Simulations!$CU18)&gt;0))),0,MAX(N(Simulations!$CV18),N(Simulations!$CW18),N(Simulations!$CX18))/Simulations!$J18)</f>
        <v>0</v>
      </c>
      <c r="AD18" s="0" t="n">
        <f aca="false">IF(OR(NOT(AND(Simulations!$A18&lt;&gt;"",OR(Simulations!$CS18&lt;&gt;"",N(Simulations!$CU18)&gt;0))),N(Simulations!$CT18)&lt;=0),0,SQRT(2*Simulations!$CT18*1000000/(Simulations!$J18*1000))/Simulations!$T18)</f>
        <v>0</v>
      </c>
      <c r="AE18" s="0" t="n">
        <f aca="false">IF(AND(Simulations!$A18&lt;&gt;"",OR(Simulations!$CS18&lt;&gt;"",N(Simulations!$CU18)&gt;0)),1,0)</f>
        <v>0</v>
      </c>
      <c r="AF18" s="0" t="n">
        <f aca="false">IF(OR(NOT(AND(Simulations!$A18&lt;&gt;"",OR(Simulations!$DK18&lt;&gt;"",N(Simulations!$DM18)&gt;0))),N(Simulations!$DN18)&lt;=0,N(Simulations!$DM18)&lt;=0,1&gt;N(Simulations!$O18)),0,IF(Simulations!$DN18&lt;Simulations!$J18,Simulations!$DM18/(Simulations!$G18*Simulations!$H18*IF(Simulations!$I18&gt;0,Simulations!$I18,1))*Simulations!$DN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N18/Simulations!$J18)^1.5+SQRT(LN(Simulations!$DN18/Simulations!$J18))+Simulations!$DN18/Simulations!$J18*SQRT(PI())/2*ERFC(SQRT(LN(Simulations!$DN18/Simulations!$J18)))),PI()*Simulations!$T18^2/2*(LN(Simulations!$DN18/Simulations!$J18)+1))))</f>
        <v>0</v>
      </c>
      <c r="AG18" s="0" t="n">
        <f aca="false">IF(OR(NOT(AND(Simulations!$A18&lt;&gt;"",OR(Simulations!$DK18&lt;&gt;"",N(Simulations!$DM18)&gt;0))),N(Simulations!$DO18)&lt;=0,N(Simulations!$DM18)&lt;=0,2&gt;N(Simulations!$O18)),0,IF(Simulations!$DO18&lt;Simulations!$J18,Simulations!$DM18/(Simulations!$G18*Simulations!$H18*IF(Simulations!$I18&gt;0,Simulations!$I18,1))*Simulations!$DO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O18/Simulations!$J18)^1.5+SQRT(LN(Simulations!$DO18/Simulations!$J18))+Simulations!$DO18/Simulations!$J18*SQRT(PI())/2*ERFC(SQRT(LN(Simulations!$DO18/Simulations!$J18)))),PI()*Simulations!$T18^2/2*(LN(Simulations!$DO18/Simulations!$J18)+1))))</f>
        <v>0</v>
      </c>
      <c r="AH18" s="0" t="n">
        <f aca="false">IF(OR(NOT(AND(Simulations!$A18&lt;&gt;"",OR(Simulations!$DK18&lt;&gt;"",N(Simulations!$DM18)&gt;0))),N(Simulations!$DP18)&lt;=0,N(Simulations!$DM18)&lt;=0,3&gt;N(Simulations!$O18)),0,IF(Simulations!$DP18&lt;Simulations!$J18,Simulations!$DM18/(Simulations!$G18*Simulations!$H18*IF(Simulations!$I18&gt;0,Simulations!$I18,1))*Simulations!$DP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P18/Simulations!$J18)^1.5+SQRT(LN(Simulations!$DP18/Simulations!$J18))+Simulations!$DP18/Simulations!$J18*SQRT(PI())/2*ERFC(SQRT(LN(Simulations!$DP18/Simulations!$J18)))),PI()*Simulations!$T18^2/2*(LN(Simulations!$DP18/Simulations!$J18)+1))))</f>
        <v>0</v>
      </c>
      <c r="AI18" s="0" t="n">
        <f aca="false">IF(NOT(AND(Simulations!$A18&lt;&gt;"",OR(Simulations!$DK18&lt;&gt;"",N(Simulations!$DM18)&gt;0))),0,MAX(N(Simulations!$DN18),N(Simulations!$DO18),N(Simulations!$DP18))/Simulations!$J18)</f>
        <v>0</v>
      </c>
      <c r="AJ18" s="0" t="n">
        <f aca="false">IF(OR(NOT(AND(Simulations!$A18&lt;&gt;"",OR(Simulations!$DK18&lt;&gt;"",N(Simulations!$DM18)&gt;0))),N(Simulations!$DL18)&lt;=0),0,SQRT(2*Simulations!$DL18*1000000/(Simulations!$J18*1000))/Simulations!$T18)</f>
        <v>0</v>
      </c>
      <c r="AK18" s="0" t="n">
        <f aca="false">IF(AND(Simulations!$A18&lt;&gt;"",OR(Simulations!$DK18&lt;&gt;"",N(Simulations!$DM18)&gt;0)),1,0)</f>
        <v>0</v>
      </c>
    </row>
    <row r="19" customFormat="false" ht="15" hidden="false" customHeight="false" outlineLevel="0" collapsed="false">
      <c r="B19" s="0" t="n">
        <f aca="false">IF(OR(NOT(AND(Simulations!$A19&lt;&gt;"",OR(Simulations!$Y19&lt;&gt;"",N(Simulations!$AA19)&gt;0))),N(Simulations!$AB19)&lt;=0,N(Simulations!$AA19)&lt;=0,1&gt;N(Simulations!$O19)),0,IF(Simulations!$AB19&lt;Simulations!$J19,Simulations!$AA19/(Simulations!$G19*Simulations!$H19*IF(Simulations!$I19&gt;0,Simulations!$I19,1))*Simulations!$AB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B19/Simulations!$J19)^1.5+SQRT(LN(Simulations!$AB19/Simulations!$J19))+Simulations!$AB19/Simulations!$J19*SQRT(PI())/2*ERFC(SQRT(LN(Simulations!$AB19/Simulations!$J19)))),PI()*Simulations!$T19^2/2*(LN(Simulations!$AB19/Simulations!$J19)+1))))</f>
        <v>0</v>
      </c>
      <c r="C19" s="0" t="n">
        <f aca="false">IF(OR(NOT(AND(Simulations!$A19&lt;&gt;"",OR(Simulations!$Y19&lt;&gt;"",N(Simulations!$AA19)&gt;0))),N(Simulations!$AC19)&lt;=0,N(Simulations!$AA19)&lt;=0,2&gt;N(Simulations!$O19)),0,IF(Simulations!$AC19&lt;Simulations!$J19,Simulations!$AA19/(Simulations!$G19*Simulations!$H19*IF(Simulations!$I19&gt;0,Simulations!$I19,1))*Simulations!$AC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C19/Simulations!$J19)^1.5+SQRT(LN(Simulations!$AC19/Simulations!$J19))+Simulations!$AC19/Simulations!$J19*SQRT(PI())/2*ERFC(SQRT(LN(Simulations!$AC19/Simulations!$J19)))),PI()*Simulations!$T19^2/2*(LN(Simulations!$AC19/Simulations!$J19)+1))))</f>
        <v>0</v>
      </c>
      <c r="D19" s="0" t="n">
        <f aca="false">IF(OR(NOT(AND(Simulations!$A19&lt;&gt;"",OR(Simulations!$Y19&lt;&gt;"",N(Simulations!$AA19)&gt;0))),N(Simulations!$AD19)&lt;=0,N(Simulations!$AA19)&lt;=0,3&gt;N(Simulations!$O19)),0,IF(Simulations!$AD19&lt;Simulations!$J19,Simulations!$AA19/(Simulations!$G19*Simulations!$H19*IF(Simulations!$I19&gt;0,Simulations!$I19,1))*Simulations!$AD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D19/Simulations!$J19)^1.5+SQRT(LN(Simulations!$AD19/Simulations!$J19))+Simulations!$AD19/Simulations!$J19*SQRT(PI())/2*ERFC(SQRT(LN(Simulations!$AD19/Simulations!$J19)))),PI()*Simulations!$T19^2/2*(LN(Simulations!$AD19/Simulations!$J19)+1))))</f>
        <v>0</v>
      </c>
      <c r="E19" s="0" t="n">
        <f aca="false">IF(NOT(AND(Simulations!$A19&lt;&gt;"",OR(Simulations!$Y19&lt;&gt;"",N(Simulations!$AA19)&gt;0))),0,MAX(N(Simulations!$AB19),N(Simulations!$AC19),N(Simulations!$AD19))/Simulations!$J19)</f>
        <v>0</v>
      </c>
      <c r="F19" s="0" t="n">
        <f aca="false">IF(OR(NOT(AND(Simulations!$A19&lt;&gt;"",OR(Simulations!$Y19&lt;&gt;"",N(Simulations!$AA19)&gt;0))),N(Simulations!$Z19)&lt;=0),0,SQRT(2*Simulations!$Z19*1000000/(Simulations!$J19*1000))/Simulations!$T19)</f>
        <v>0</v>
      </c>
      <c r="G19" s="0" t="n">
        <f aca="false">IF(AND(Simulations!$A19&lt;&gt;"",OR(Simulations!$Y19&lt;&gt;"",N(Simulations!$AA19)&gt;0)),1,0)</f>
        <v>0</v>
      </c>
      <c r="H19" s="0" t="n">
        <f aca="false">IF(OR(NOT(AND(Simulations!$A19&lt;&gt;"",OR(Simulations!$AQ19&lt;&gt;"",N(Simulations!$AS19)&gt;0))),N(Simulations!$AT19)&lt;=0,N(Simulations!$AS19)&lt;=0,1&gt;N(Simulations!$O19)),0,IF(Simulations!$AT19&lt;Simulations!$J19,Simulations!$AS19/(Simulations!$G19*Simulations!$H19*IF(Simulations!$I19&gt;0,Simulations!$I19,1))*Simulations!$AT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T19/Simulations!$J19)^1.5+SQRT(LN(Simulations!$AT19/Simulations!$J19))+Simulations!$AT19/Simulations!$J19*SQRT(PI())/2*ERFC(SQRT(LN(Simulations!$AT19/Simulations!$J19)))),PI()*Simulations!$T19^2/2*(LN(Simulations!$AT19/Simulations!$J19)+1))))</f>
        <v>0</v>
      </c>
      <c r="I19" s="0" t="n">
        <f aca="false">IF(OR(NOT(AND(Simulations!$A19&lt;&gt;"",OR(Simulations!$AQ19&lt;&gt;"",N(Simulations!$AS19)&gt;0))),N(Simulations!$AU19)&lt;=0,N(Simulations!$AS19)&lt;=0,2&gt;N(Simulations!$O19)),0,IF(Simulations!$AU19&lt;Simulations!$J19,Simulations!$AS19/(Simulations!$G19*Simulations!$H19*IF(Simulations!$I19&gt;0,Simulations!$I19,1))*Simulations!$AU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U19/Simulations!$J19)^1.5+SQRT(LN(Simulations!$AU19/Simulations!$J19))+Simulations!$AU19/Simulations!$J19*SQRT(PI())/2*ERFC(SQRT(LN(Simulations!$AU19/Simulations!$J19)))),PI()*Simulations!$T19^2/2*(LN(Simulations!$AU19/Simulations!$J19)+1))))</f>
        <v>0</v>
      </c>
      <c r="J19" s="0" t="n">
        <f aca="false">IF(OR(NOT(AND(Simulations!$A19&lt;&gt;"",OR(Simulations!$AQ19&lt;&gt;"",N(Simulations!$AS19)&gt;0))),N(Simulations!$AV19)&lt;=0,N(Simulations!$AS19)&lt;=0,3&gt;N(Simulations!$O19)),0,IF(Simulations!$AV19&lt;Simulations!$J19,Simulations!$AS19/(Simulations!$G19*Simulations!$H19*IF(Simulations!$I19&gt;0,Simulations!$I19,1))*Simulations!$AV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V19/Simulations!$J19)^1.5+SQRT(LN(Simulations!$AV19/Simulations!$J19))+Simulations!$AV19/Simulations!$J19*SQRT(PI())/2*ERFC(SQRT(LN(Simulations!$AV19/Simulations!$J19)))),PI()*Simulations!$T19^2/2*(LN(Simulations!$AV19/Simulations!$J19)+1))))</f>
        <v>0</v>
      </c>
      <c r="K19" s="0" t="n">
        <f aca="false">IF(NOT(AND(Simulations!$A19&lt;&gt;"",OR(Simulations!$AQ19&lt;&gt;"",N(Simulations!$AS19)&gt;0))),0,MAX(N(Simulations!$AT19),N(Simulations!$AU19),N(Simulations!$AV19))/Simulations!$J19)</f>
        <v>0</v>
      </c>
      <c r="L19" s="0" t="n">
        <f aca="false">IF(OR(NOT(AND(Simulations!$A19&lt;&gt;"",OR(Simulations!$AQ19&lt;&gt;"",N(Simulations!$AS19)&gt;0))),N(Simulations!$AR19)&lt;=0),0,SQRT(2*Simulations!$AR19*1000000/(Simulations!$J19*1000))/Simulations!$T19)</f>
        <v>0</v>
      </c>
      <c r="M19" s="0" t="n">
        <f aca="false">IF(AND(Simulations!$A19&lt;&gt;"",OR(Simulations!$AQ19&lt;&gt;"",N(Simulations!$AS19)&gt;0)),1,0)</f>
        <v>0</v>
      </c>
      <c r="N19" s="0" t="n">
        <f aca="false">IF(OR(NOT(AND(Simulations!$A19&lt;&gt;"",OR(Simulations!$BI19&lt;&gt;"",N(Simulations!$BK19)&gt;0))),N(Simulations!$BL19)&lt;=0,N(Simulations!$BK19)&lt;=0,1&gt;N(Simulations!$O19)),0,IF(Simulations!$BL19&lt;Simulations!$J19,Simulations!$BK19/(Simulations!$G19*Simulations!$H19*IF(Simulations!$I19&gt;0,Simulations!$I19,1))*Simulations!$BL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L19/Simulations!$J19)^1.5+SQRT(LN(Simulations!$BL19/Simulations!$J19))+Simulations!$BL19/Simulations!$J19*SQRT(PI())/2*ERFC(SQRT(LN(Simulations!$BL19/Simulations!$J19)))),PI()*Simulations!$T19^2/2*(LN(Simulations!$BL19/Simulations!$J19)+1))))</f>
        <v>0</v>
      </c>
      <c r="O19" s="0" t="n">
        <f aca="false">IF(OR(NOT(AND(Simulations!$A19&lt;&gt;"",OR(Simulations!$BI19&lt;&gt;"",N(Simulations!$BK19)&gt;0))),N(Simulations!$BM19)&lt;=0,N(Simulations!$BK19)&lt;=0,2&gt;N(Simulations!$O19)),0,IF(Simulations!$BM19&lt;Simulations!$J19,Simulations!$BK19/(Simulations!$G19*Simulations!$H19*IF(Simulations!$I19&gt;0,Simulations!$I19,1))*Simulations!$BM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M19/Simulations!$J19)^1.5+SQRT(LN(Simulations!$BM19/Simulations!$J19))+Simulations!$BM19/Simulations!$J19*SQRT(PI())/2*ERFC(SQRT(LN(Simulations!$BM19/Simulations!$J19)))),PI()*Simulations!$T19^2/2*(LN(Simulations!$BM19/Simulations!$J19)+1))))</f>
        <v>0</v>
      </c>
      <c r="P19" s="0" t="n">
        <f aca="false">IF(OR(NOT(AND(Simulations!$A19&lt;&gt;"",OR(Simulations!$BI19&lt;&gt;"",N(Simulations!$BK19)&gt;0))),N(Simulations!$BN19)&lt;=0,N(Simulations!$BK19)&lt;=0,3&gt;N(Simulations!$O19)),0,IF(Simulations!$BN19&lt;Simulations!$J19,Simulations!$BK19/(Simulations!$G19*Simulations!$H19*IF(Simulations!$I19&gt;0,Simulations!$I19,1))*Simulations!$BN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N19/Simulations!$J19)^1.5+SQRT(LN(Simulations!$BN19/Simulations!$J19))+Simulations!$BN19/Simulations!$J19*SQRT(PI())/2*ERFC(SQRT(LN(Simulations!$BN19/Simulations!$J19)))),PI()*Simulations!$T19^2/2*(LN(Simulations!$BN19/Simulations!$J19)+1))))</f>
        <v>0</v>
      </c>
      <c r="Q19" s="0" t="n">
        <f aca="false">IF(NOT(AND(Simulations!$A19&lt;&gt;"",OR(Simulations!$BI19&lt;&gt;"",N(Simulations!$BK19)&gt;0))),0,MAX(N(Simulations!$BL19),N(Simulations!$BM19),N(Simulations!$BN19))/Simulations!$J19)</f>
        <v>0</v>
      </c>
      <c r="R19" s="0" t="n">
        <f aca="false">IF(OR(NOT(AND(Simulations!$A19&lt;&gt;"",OR(Simulations!$BI19&lt;&gt;"",N(Simulations!$BK19)&gt;0))),N(Simulations!$BJ19)&lt;=0),0,SQRT(2*Simulations!$BJ19*1000000/(Simulations!$J19*1000))/Simulations!$T19)</f>
        <v>0</v>
      </c>
      <c r="S19" s="0" t="n">
        <f aca="false">IF(AND(Simulations!$A19&lt;&gt;"",OR(Simulations!$BI19&lt;&gt;"",N(Simulations!$BK19)&gt;0)),1,0)</f>
        <v>0</v>
      </c>
      <c r="T19" s="0" t="n">
        <f aca="false">IF(OR(NOT(AND(Simulations!$A19&lt;&gt;"",OR(Simulations!$CA19&lt;&gt;"",N(Simulations!$CC19)&gt;0))),N(Simulations!$CD19)&lt;=0,N(Simulations!$CC19)&lt;=0,1&gt;N(Simulations!$O19)),0,IF(Simulations!$CD19&lt;Simulations!$J19,Simulations!$CC19/(Simulations!$G19*Simulations!$H19*IF(Simulations!$I19&gt;0,Simulations!$I19,1))*Simulations!$CD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D19/Simulations!$J19)^1.5+SQRT(LN(Simulations!$CD19/Simulations!$J19))+Simulations!$CD19/Simulations!$J19*SQRT(PI())/2*ERFC(SQRT(LN(Simulations!$CD19/Simulations!$J19)))),PI()*Simulations!$T19^2/2*(LN(Simulations!$CD19/Simulations!$J19)+1))))</f>
        <v>0</v>
      </c>
      <c r="U19" s="0" t="n">
        <f aca="false">IF(OR(NOT(AND(Simulations!$A19&lt;&gt;"",OR(Simulations!$CA19&lt;&gt;"",N(Simulations!$CC19)&gt;0))),N(Simulations!$CE19)&lt;=0,N(Simulations!$CC19)&lt;=0,2&gt;N(Simulations!$O19)),0,IF(Simulations!$CE19&lt;Simulations!$J19,Simulations!$CC19/(Simulations!$G19*Simulations!$H19*IF(Simulations!$I19&gt;0,Simulations!$I19,1))*Simulations!$CE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E19/Simulations!$J19)^1.5+SQRT(LN(Simulations!$CE19/Simulations!$J19))+Simulations!$CE19/Simulations!$J19*SQRT(PI())/2*ERFC(SQRT(LN(Simulations!$CE19/Simulations!$J19)))),PI()*Simulations!$T19^2/2*(LN(Simulations!$CE19/Simulations!$J19)+1))))</f>
        <v>0</v>
      </c>
      <c r="V19" s="0" t="n">
        <f aca="false">IF(OR(NOT(AND(Simulations!$A19&lt;&gt;"",OR(Simulations!$CA19&lt;&gt;"",N(Simulations!$CC19)&gt;0))),N(Simulations!$CF19)&lt;=0,N(Simulations!$CC19)&lt;=0,3&gt;N(Simulations!$O19)),0,IF(Simulations!$CF19&lt;Simulations!$J19,Simulations!$CC19/(Simulations!$G19*Simulations!$H19*IF(Simulations!$I19&gt;0,Simulations!$I19,1))*Simulations!$CF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F19/Simulations!$J19)^1.5+SQRT(LN(Simulations!$CF19/Simulations!$J19))+Simulations!$CF19/Simulations!$J19*SQRT(PI())/2*ERFC(SQRT(LN(Simulations!$CF19/Simulations!$J19)))),PI()*Simulations!$T19^2/2*(LN(Simulations!$CF19/Simulations!$J19)+1))))</f>
        <v>0</v>
      </c>
      <c r="W19" s="0" t="n">
        <f aca="false">IF(NOT(AND(Simulations!$A19&lt;&gt;"",OR(Simulations!$CA19&lt;&gt;"",N(Simulations!$CC19)&gt;0))),0,MAX(N(Simulations!$CD19),N(Simulations!$CE19),N(Simulations!$CF19))/Simulations!$J19)</f>
        <v>0</v>
      </c>
      <c r="X19" s="0" t="n">
        <f aca="false">IF(OR(NOT(AND(Simulations!$A19&lt;&gt;"",OR(Simulations!$CA19&lt;&gt;"",N(Simulations!$CC19)&gt;0))),N(Simulations!$CB19)&lt;=0),0,SQRT(2*Simulations!$CB19*1000000/(Simulations!$J19*1000))/Simulations!$T19)</f>
        <v>0</v>
      </c>
      <c r="Y19" s="0" t="n">
        <f aca="false">IF(AND(Simulations!$A19&lt;&gt;"",OR(Simulations!$CA19&lt;&gt;"",N(Simulations!$CC19)&gt;0)),1,0)</f>
        <v>0</v>
      </c>
      <c r="Z19" s="0" t="n">
        <f aca="false">IF(OR(NOT(AND(Simulations!$A19&lt;&gt;"",OR(Simulations!$CS19&lt;&gt;"",N(Simulations!$CU19)&gt;0))),N(Simulations!$CV19)&lt;=0,N(Simulations!$CU19)&lt;=0,1&gt;N(Simulations!$O19)),0,IF(Simulations!$CV19&lt;Simulations!$J19,Simulations!$CU19/(Simulations!$G19*Simulations!$H19*IF(Simulations!$I19&gt;0,Simulations!$I19,1))*Simulations!$CV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V19/Simulations!$J19)^1.5+SQRT(LN(Simulations!$CV19/Simulations!$J19))+Simulations!$CV19/Simulations!$J19*SQRT(PI())/2*ERFC(SQRT(LN(Simulations!$CV19/Simulations!$J19)))),PI()*Simulations!$T19^2/2*(LN(Simulations!$CV19/Simulations!$J19)+1))))</f>
        <v>0</v>
      </c>
      <c r="AA19" s="0" t="n">
        <f aca="false">IF(OR(NOT(AND(Simulations!$A19&lt;&gt;"",OR(Simulations!$CS19&lt;&gt;"",N(Simulations!$CU19)&gt;0))),N(Simulations!$CW19)&lt;=0,N(Simulations!$CU19)&lt;=0,2&gt;N(Simulations!$O19)),0,IF(Simulations!$CW19&lt;Simulations!$J19,Simulations!$CU19/(Simulations!$G19*Simulations!$H19*IF(Simulations!$I19&gt;0,Simulations!$I19,1))*Simulations!$CW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W19/Simulations!$J19)^1.5+SQRT(LN(Simulations!$CW19/Simulations!$J19))+Simulations!$CW19/Simulations!$J19*SQRT(PI())/2*ERFC(SQRT(LN(Simulations!$CW19/Simulations!$J19)))),PI()*Simulations!$T19^2/2*(LN(Simulations!$CW19/Simulations!$J19)+1))))</f>
        <v>0</v>
      </c>
      <c r="AB19" s="0" t="n">
        <f aca="false">IF(OR(NOT(AND(Simulations!$A19&lt;&gt;"",OR(Simulations!$CS19&lt;&gt;"",N(Simulations!$CU19)&gt;0))),N(Simulations!$CX19)&lt;=0,N(Simulations!$CU19)&lt;=0,3&gt;N(Simulations!$O19)),0,IF(Simulations!$CX19&lt;Simulations!$J19,Simulations!$CU19/(Simulations!$G19*Simulations!$H19*IF(Simulations!$I19&gt;0,Simulations!$I19,1))*Simulations!$CX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X19/Simulations!$J19)^1.5+SQRT(LN(Simulations!$CX19/Simulations!$J19))+Simulations!$CX19/Simulations!$J19*SQRT(PI())/2*ERFC(SQRT(LN(Simulations!$CX19/Simulations!$J19)))),PI()*Simulations!$T19^2/2*(LN(Simulations!$CX19/Simulations!$J19)+1))))</f>
        <v>0</v>
      </c>
      <c r="AC19" s="0" t="n">
        <f aca="false">IF(NOT(AND(Simulations!$A19&lt;&gt;"",OR(Simulations!$CS19&lt;&gt;"",N(Simulations!$CU19)&gt;0))),0,MAX(N(Simulations!$CV19),N(Simulations!$CW19),N(Simulations!$CX19))/Simulations!$J19)</f>
        <v>0</v>
      </c>
      <c r="AD19" s="0" t="n">
        <f aca="false">IF(OR(NOT(AND(Simulations!$A19&lt;&gt;"",OR(Simulations!$CS19&lt;&gt;"",N(Simulations!$CU19)&gt;0))),N(Simulations!$CT19)&lt;=0),0,SQRT(2*Simulations!$CT19*1000000/(Simulations!$J19*1000))/Simulations!$T19)</f>
        <v>0</v>
      </c>
      <c r="AE19" s="0" t="n">
        <f aca="false">IF(AND(Simulations!$A19&lt;&gt;"",OR(Simulations!$CS19&lt;&gt;"",N(Simulations!$CU19)&gt;0)),1,0)</f>
        <v>0</v>
      </c>
      <c r="AF19" s="0" t="n">
        <f aca="false">IF(OR(NOT(AND(Simulations!$A19&lt;&gt;"",OR(Simulations!$DK19&lt;&gt;"",N(Simulations!$DM19)&gt;0))),N(Simulations!$DN19)&lt;=0,N(Simulations!$DM19)&lt;=0,1&gt;N(Simulations!$O19)),0,IF(Simulations!$DN19&lt;Simulations!$J19,Simulations!$DM19/(Simulations!$G19*Simulations!$H19*IF(Simulations!$I19&gt;0,Simulations!$I19,1))*Simulations!$DN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N19/Simulations!$J19)^1.5+SQRT(LN(Simulations!$DN19/Simulations!$J19))+Simulations!$DN19/Simulations!$J19*SQRT(PI())/2*ERFC(SQRT(LN(Simulations!$DN19/Simulations!$J19)))),PI()*Simulations!$T19^2/2*(LN(Simulations!$DN19/Simulations!$J19)+1))))</f>
        <v>0</v>
      </c>
      <c r="AG19" s="0" t="n">
        <f aca="false">IF(OR(NOT(AND(Simulations!$A19&lt;&gt;"",OR(Simulations!$DK19&lt;&gt;"",N(Simulations!$DM19)&gt;0))),N(Simulations!$DO19)&lt;=0,N(Simulations!$DM19)&lt;=0,2&gt;N(Simulations!$O19)),0,IF(Simulations!$DO19&lt;Simulations!$J19,Simulations!$DM19/(Simulations!$G19*Simulations!$H19*IF(Simulations!$I19&gt;0,Simulations!$I19,1))*Simulations!$DO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O19/Simulations!$J19)^1.5+SQRT(LN(Simulations!$DO19/Simulations!$J19))+Simulations!$DO19/Simulations!$J19*SQRT(PI())/2*ERFC(SQRT(LN(Simulations!$DO19/Simulations!$J19)))),PI()*Simulations!$T19^2/2*(LN(Simulations!$DO19/Simulations!$J19)+1))))</f>
        <v>0</v>
      </c>
      <c r="AH19" s="0" t="n">
        <f aca="false">IF(OR(NOT(AND(Simulations!$A19&lt;&gt;"",OR(Simulations!$DK19&lt;&gt;"",N(Simulations!$DM19)&gt;0))),N(Simulations!$DP19)&lt;=0,N(Simulations!$DM19)&lt;=0,3&gt;N(Simulations!$O19)),0,IF(Simulations!$DP19&lt;Simulations!$J19,Simulations!$DM19/(Simulations!$G19*Simulations!$H19*IF(Simulations!$I19&gt;0,Simulations!$I19,1))*Simulations!$DP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P19/Simulations!$J19)^1.5+SQRT(LN(Simulations!$DP19/Simulations!$J19))+Simulations!$DP19/Simulations!$J19*SQRT(PI())/2*ERFC(SQRT(LN(Simulations!$DP19/Simulations!$J19)))),PI()*Simulations!$T19^2/2*(LN(Simulations!$DP19/Simulations!$J19)+1))))</f>
        <v>0</v>
      </c>
      <c r="AI19" s="0" t="n">
        <f aca="false">IF(NOT(AND(Simulations!$A19&lt;&gt;"",OR(Simulations!$DK19&lt;&gt;"",N(Simulations!$DM19)&gt;0))),0,MAX(N(Simulations!$DN19),N(Simulations!$DO19),N(Simulations!$DP19))/Simulations!$J19)</f>
        <v>0</v>
      </c>
      <c r="AJ19" s="0" t="n">
        <f aca="false">IF(OR(NOT(AND(Simulations!$A19&lt;&gt;"",OR(Simulations!$DK19&lt;&gt;"",N(Simulations!$DM19)&gt;0))),N(Simulations!$DL19)&lt;=0),0,SQRT(2*Simulations!$DL19*1000000/(Simulations!$J19*1000))/Simulations!$T19)</f>
        <v>0</v>
      </c>
      <c r="AK19" s="0" t="n">
        <f aca="false">IF(AND(Simulations!$A19&lt;&gt;"",OR(Simulations!$DK19&lt;&gt;"",N(Simulations!$DM19)&gt;0)),1,0)</f>
        <v>0</v>
      </c>
    </row>
    <row r="20" customFormat="false" ht="15" hidden="false" customHeight="false" outlineLevel="0" collapsed="false">
      <c r="B20" s="0" t="n">
        <f aca="false">IF(OR(NOT(AND(Simulations!$A20&lt;&gt;"",OR(Simulations!$Y20&lt;&gt;"",N(Simulations!$AA20)&gt;0))),N(Simulations!$AB20)&lt;=0,N(Simulations!$AA20)&lt;=0,1&gt;N(Simulations!$O20)),0,IF(Simulations!$AB20&lt;Simulations!$J20,Simulations!$AA20/(Simulations!$G20*Simulations!$H20*IF(Simulations!$I20&gt;0,Simulations!$I20,1))*Simulations!$AB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B20/Simulations!$J20)^1.5+SQRT(LN(Simulations!$AB20/Simulations!$J20))+Simulations!$AB20/Simulations!$J20*SQRT(PI())/2*ERFC(SQRT(LN(Simulations!$AB20/Simulations!$J20)))),PI()*Simulations!$T20^2/2*(LN(Simulations!$AB20/Simulations!$J20)+1))))</f>
        <v>0</v>
      </c>
      <c r="C20" s="0" t="n">
        <f aca="false">IF(OR(NOT(AND(Simulations!$A20&lt;&gt;"",OR(Simulations!$Y20&lt;&gt;"",N(Simulations!$AA20)&gt;0))),N(Simulations!$AC20)&lt;=0,N(Simulations!$AA20)&lt;=0,2&gt;N(Simulations!$O20)),0,IF(Simulations!$AC20&lt;Simulations!$J20,Simulations!$AA20/(Simulations!$G20*Simulations!$H20*IF(Simulations!$I20&gt;0,Simulations!$I20,1))*Simulations!$AC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C20/Simulations!$J20)^1.5+SQRT(LN(Simulations!$AC20/Simulations!$J20))+Simulations!$AC20/Simulations!$J20*SQRT(PI())/2*ERFC(SQRT(LN(Simulations!$AC20/Simulations!$J20)))),PI()*Simulations!$T20^2/2*(LN(Simulations!$AC20/Simulations!$J20)+1))))</f>
        <v>0</v>
      </c>
      <c r="D20" s="0" t="n">
        <f aca="false">IF(OR(NOT(AND(Simulations!$A20&lt;&gt;"",OR(Simulations!$Y20&lt;&gt;"",N(Simulations!$AA20)&gt;0))),N(Simulations!$AD20)&lt;=0,N(Simulations!$AA20)&lt;=0,3&gt;N(Simulations!$O20)),0,IF(Simulations!$AD20&lt;Simulations!$J20,Simulations!$AA20/(Simulations!$G20*Simulations!$H20*IF(Simulations!$I20&gt;0,Simulations!$I20,1))*Simulations!$AD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D20/Simulations!$J20)^1.5+SQRT(LN(Simulations!$AD20/Simulations!$J20))+Simulations!$AD20/Simulations!$J20*SQRT(PI())/2*ERFC(SQRT(LN(Simulations!$AD20/Simulations!$J20)))),PI()*Simulations!$T20^2/2*(LN(Simulations!$AD20/Simulations!$J20)+1))))</f>
        <v>0</v>
      </c>
      <c r="E20" s="0" t="n">
        <f aca="false">IF(NOT(AND(Simulations!$A20&lt;&gt;"",OR(Simulations!$Y20&lt;&gt;"",N(Simulations!$AA20)&gt;0))),0,MAX(N(Simulations!$AB20),N(Simulations!$AC20),N(Simulations!$AD20))/Simulations!$J20)</f>
        <v>0</v>
      </c>
      <c r="F20" s="0" t="n">
        <f aca="false">IF(OR(NOT(AND(Simulations!$A20&lt;&gt;"",OR(Simulations!$Y20&lt;&gt;"",N(Simulations!$AA20)&gt;0))),N(Simulations!$Z20)&lt;=0),0,SQRT(2*Simulations!$Z20*1000000/(Simulations!$J20*1000))/Simulations!$T20)</f>
        <v>0</v>
      </c>
      <c r="G20" s="0" t="n">
        <f aca="false">IF(AND(Simulations!$A20&lt;&gt;"",OR(Simulations!$Y20&lt;&gt;"",N(Simulations!$AA20)&gt;0)),1,0)</f>
        <v>0</v>
      </c>
      <c r="H20" s="0" t="n">
        <f aca="false">IF(OR(NOT(AND(Simulations!$A20&lt;&gt;"",OR(Simulations!$AQ20&lt;&gt;"",N(Simulations!$AS20)&gt;0))),N(Simulations!$AT20)&lt;=0,N(Simulations!$AS20)&lt;=0,1&gt;N(Simulations!$O20)),0,IF(Simulations!$AT20&lt;Simulations!$J20,Simulations!$AS20/(Simulations!$G20*Simulations!$H20*IF(Simulations!$I20&gt;0,Simulations!$I20,1))*Simulations!$AT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T20/Simulations!$J20)^1.5+SQRT(LN(Simulations!$AT20/Simulations!$J20))+Simulations!$AT20/Simulations!$J20*SQRT(PI())/2*ERFC(SQRT(LN(Simulations!$AT20/Simulations!$J20)))),PI()*Simulations!$T20^2/2*(LN(Simulations!$AT20/Simulations!$J20)+1))))</f>
        <v>0</v>
      </c>
      <c r="I20" s="0" t="n">
        <f aca="false">IF(OR(NOT(AND(Simulations!$A20&lt;&gt;"",OR(Simulations!$AQ20&lt;&gt;"",N(Simulations!$AS20)&gt;0))),N(Simulations!$AU20)&lt;=0,N(Simulations!$AS20)&lt;=0,2&gt;N(Simulations!$O20)),0,IF(Simulations!$AU20&lt;Simulations!$J20,Simulations!$AS20/(Simulations!$G20*Simulations!$H20*IF(Simulations!$I20&gt;0,Simulations!$I20,1))*Simulations!$AU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U20/Simulations!$J20)^1.5+SQRT(LN(Simulations!$AU20/Simulations!$J20))+Simulations!$AU20/Simulations!$J20*SQRT(PI())/2*ERFC(SQRT(LN(Simulations!$AU20/Simulations!$J20)))),PI()*Simulations!$T20^2/2*(LN(Simulations!$AU20/Simulations!$J20)+1))))</f>
        <v>0</v>
      </c>
      <c r="J20" s="0" t="n">
        <f aca="false">IF(OR(NOT(AND(Simulations!$A20&lt;&gt;"",OR(Simulations!$AQ20&lt;&gt;"",N(Simulations!$AS20)&gt;0))),N(Simulations!$AV20)&lt;=0,N(Simulations!$AS20)&lt;=0,3&gt;N(Simulations!$O20)),0,IF(Simulations!$AV20&lt;Simulations!$J20,Simulations!$AS20/(Simulations!$G20*Simulations!$H20*IF(Simulations!$I20&gt;0,Simulations!$I20,1))*Simulations!$AV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V20/Simulations!$J20)^1.5+SQRT(LN(Simulations!$AV20/Simulations!$J20))+Simulations!$AV20/Simulations!$J20*SQRT(PI())/2*ERFC(SQRT(LN(Simulations!$AV20/Simulations!$J20)))),PI()*Simulations!$T20^2/2*(LN(Simulations!$AV20/Simulations!$J20)+1))))</f>
        <v>0</v>
      </c>
      <c r="K20" s="0" t="n">
        <f aca="false">IF(NOT(AND(Simulations!$A20&lt;&gt;"",OR(Simulations!$AQ20&lt;&gt;"",N(Simulations!$AS20)&gt;0))),0,MAX(N(Simulations!$AT20),N(Simulations!$AU20),N(Simulations!$AV20))/Simulations!$J20)</f>
        <v>0</v>
      </c>
      <c r="L20" s="0" t="n">
        <f aca="false">IF(OR(NOT(AND(Simulations!$A20&lt;&gt;"",OR(Simulations!$AQ20&lt;&gt;"",N(Simulations!$AS20)&gt;0))),N(Simulations!$AR20)&lt;=0),0,SQRT(2*Simulations!$AR20*1000000/(Simulations!$J20*1000))/Simulations!$T20)</f>
        <v>0</v>
      </c>
      <c r="M20" s="0" t="n">
        <f aca="false">IF(AND(Simulations!$A20&lt;&gt;"",OR(Simulations!$AQ20&lt;&gt;"",N(Simulations!$AS20)&gt;0)),1,0)</f>
        <v>0</v>
      </c>
      <c r="N20" s="0" t="n">
        <f aca="false">IF(OR(NOT(AND(Simulations!$A20&lt;&gt;"",OR(Simulations!$BI20&lt;&gt;"",N(Simulations!$BK20)&gt;0))),N(Simulations!$BL20)&lt;=0,N(Simulations!$BK20)&lt;=0,1&gt;N(Simulations!$O20)),0,IF(Simulations!$BL20&lt;Simulations!$J20,Simulations!$BK20/(Simulations!$G20*Simulations!$H20*IF(Simulations!$I20&gt;0,Simulations!$I20,1))*Simulations!$BL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L20/Simulations!$J20)^1.5+SQRT(LN(Simulations!$BL20/Simulations!$J20))+Simulations!$BL20/Simulations!$J20*SQRT(PI())/2*ERFC(SQRT(LN(Simulations!$BL20/Simulations!$J20)))),PI()*Simulations!$T20^2/2*(LN(Simulations!$BL20/Simulations!$J20)+1))))</f>
        <v>0</v>
      </c>
      <c r="O20" s="0" t="n">
        <f aca="false">IF(OR(NOT(AND(Simulations!$A20&lt;&gt;"",OR(Simulations!$BI20&lt;&gt;"",N(Simulations!$BK20)&gt;0))),N(Simulations!$BM20)&lt;=0,N(Simulations!$BK20)&lt;=0,2&gt;N(Simulations!$O20)),0,IF(Simulations!$BM20&lt;Simulations!$J20,Simulations!$BK20/(Simulations!$G20*Simulations!$H20*IF(Simulations!$I20&gt;0,Simulations!$I20,1))*Simulations!$BM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M20/Simulations!$J20)^1.5+SQRT(LN(Simulations!$BM20/Simulations!$J20))+Simulations!$BM20/Simulations!$J20*SQRT(PI())/2*ERFC(SQRT(LN(Simulations!$BM20/Simulations!$J20)))),PI()*Simulations!$T20^2/2*(LN(Simulations!$BM20/Simulations!$J20)+1))))</f>
        <v>0</v>
      </c>
      <c r="P20" s="0" t="n">
        <f aca="false">IF(OR(NOT(AND(Simulations!$A20&lt;&gt;"",OR(Simulations!$BI20&lt;&gt;"",N(Simulations!$BK20)&gt;0))),N(Simulations!$BN20)&lt;=0,N(Simulations!$BK20)&lt;=0,3&gt;N(Simulations!$O20)),0,IF(Simulations!$BN20&lt;Simulations!$J20,Simulations!$BK20/(Simulations!$G20*Simulations!$H20*IF(Simulations!$I20&gt;0,Simulations!$I20,1))*Simulations!$BN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N20/Simulations!$J20)^1.5+SQRT(LN(Simulations!$BN20/Simulations!$J20))+Simulations!$BN20/Simulations!$J20*SQRT(PI())/2*ERFC(SQRT(LN(Simulations!$BN20/Simulations!$J20)))),PI()*Simulations!$T20^2/2*(LN(Simulations!$BN20/Simulations!$J20)+1))))</f>
        <v>0</v>
      </c>
      <c r="Q20" s="0" t="n">
        <f aca="false">IF(NOT(AND(Simulations!$A20&lt;&gt;"",OR(Simulations!$BI20&lt;&gt;"",N(Simulations!$BK20)&gt;0))),0,MAX(N(Simulations!$BL20),N(Simulations!$BM20),N(Simulations!$BN20))/Simulations!$J20)</f>
        <v>0</v>
      </c>
      <c r="R20" s="0" t="n">
        <f aca="false">IF(OR(NOT(AND(Simulations!$A20&lt;&gt;"",OR(Simulations!$BI20&lt;&gt;"",N(Simulations!$BK20)&gt;0))),N(Simulations!$BJ20)&lt;=0),0,SQRT(2*Simulations!$BJ20*1000000/(Simulations!$J20*1000))/Simulations!$T20)</f>
        <v>0</v>
      </c>
      <c r="S20" s="0" t="n">
        <f aca="false">IF(AND(Simulations!$A20&lt;&gt;"",OR(Simulations!$BI20&lt;&gt;"",N(Simulations!$BK20)&gt;0)),1,0)</f>
        <v>0</v>
      </c>
      <c r="T20" s="0" t="n">
        <f aca="false">IF(OR(NOT(AND(Simulations!$A20&lt;&gt;"",OR(Simulations!$CA20&lt;&gt;"",N(Simulations!$CC20)&gt;0))),N(Simulations!$CD20)&lt;=0,N(Simulations!$CC20)&lt;=0,1&gt;N(Simulations!$O20)),0,IF(Simulations!$CD20&lt;Simulations!$J20,Simulations!$CC20/(Simulations!$G20*Simulations!$H20*IF(Simulations!$I20&gt;0,Simulations!$I20,1))*Simulations!$CD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D20/Simulations!$J20)^1.5+SQRT(LN(Simulations!$CD20/Simulations!$J20))+Simulations!$CD20/Simulations!$J20*SQRT(PI())/2*ERFC(SQRT(LN(Simulations!$CD20/Simulations!$J20)))),PI()*Simulations!$T20^2/2*(LN(Simulations!$CD20/Simulations!$J20)+1))))</f>
        <v>0</v>
      </c>
      <c r="U20" s="0" t="n">
        <f aca="false">IF(OR(NOT(AND(Simulations!$A20&lt;&gt;"",OR(Simulations!$CA20&lt;&gt;"",N(Simulations!$CC20)&gt;0))),N(Simulations!$CE20)&lt;=0,N(Simulations!$CC20)&lt;=0,2&gt;N(Simulations!$O20)),0,IF(Simulations!$CE20&lt;Simulations!$J20,Simulations!$CC20/(Simulations!$G20*Simulations!$H20*IF(Simulations!$I20&gt;0,Simulations!$I20,1))*Simulations!$CE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E20/Simulations!$J20)^1.5+SQRT(LN(Simulations!$CE20/Simulations!$J20))+Simulations!$CE20/Simulations!$J20*SQRT(PI())/2*ERFC(SQRT(LN(Simulations!$CE20/Simulations!$J20)))),PI()*Simulations!$T20^2/2*(LN(Simulations!$CE20/Simulations!$J20)+1))))</f>
        <v>0</v>
      </c>
      <c r="V20" s="0" t="n">
        <f aca="false">IF(OR(NOT(AND(Simulations!$A20&lt;&gt;"",OR(Simulations!$CA20&lt;&gt;"",N(Simulations!$CC20)&gt;0))),N(Simulations!$CF20)&lt;=0,N(Simulations!$CC20)&lt;=0,3&gt;N(Simulations!$O20)),0,IF(Simulations!$CF20&lt;Simulations!$J20,Simulations!$CC20/(Simulations!$G20*Simulations!$H20*IF(Simulations!$I20&gt;0,Simulations!$I20,1))*Simulations!$CF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F20/Simulations!$J20)^1.5+SQRT(LN(Simulations!$CF20/Simulations!$J20))+Simulations!$CF20/Simulations!$J20*SQRT(PI())/2*ERFC(SQRT(LN(Simulations!$CF20/Simulations!$J20)))),PI()*Simulations!$T20^2/2*(LN(Simulations!$CF20/Simulations!$J20)+1))))</f>
        <v>0</v>
      </c>
      <c r="W20" s="0" t="n">
        <f aca="false">IF(NOT(AND(Simulations!$A20&lt;&gt;"",OR(Simulations!$CA20&lt;&gt;"",N(Simulations!$CC20)&gt;0))),0,MAX(N(Simulations!$CD20),N(Simulations!$CE20),N(Simulations!$CF20))/Simulations!$J20)</f>
        <v>0</v>
      </c>
      <c r="X20" s="0" t="n">
        <f aca="false">IF(OR(NOT(AND(Simulations!$A20&lt;&gt;"",OR(Simulations!$CA20&lt;&gt;"",N(Simulations!$CC20)&gt;0))),N(Simulations!$CB20)&lt;=0),0,SQRT(2*Simulations!$CB20*1000000/(Simulations!$J20*1000))/Simulations!$T20)</f>
        <v>0</v>
      </c>
      <c r="Y20" s="0" t="n">
        <f aca="false">IF(AND(Simulations!$A20&lt;&gt;"",OR(Simulations!$CA20&lt;&gt;"",N(Simulations!$CC20)&gt;0)),1,0)</f>
        <v>0</v>
      </c>
      <c r="Z20" s="0" t="n">
        <f aca="false">IF(OR(NOT(AND(Simulations!$A20&lt;&gt;"",OR(Simulations!$CS20&lt;&gt;"",N(Simulations!$CU20)&gt;0))),N(Simulations!$CV20)&lt;=0,N(Simulations!$CU20)&lt;=0,1&gt;N(Simulations!$O20)),0,IF(Simulations!$CV20&lt;Simulations!$J20,Simulations!$CU20/(Simulations!$G20*Simulations!$H20*IF(Simulations!$I20&gt;0,Simulations!$I20,1))*Simulations!$CV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V20/Simulations!$J20)^1.5+SQRT(LN(Simulations!$CV20/Simulations!$J20))+Simulations!$CV20/Simulations!$J20*SQRT(PI())/2*ERFC(SQRT(LN(Simulations!$CV20/Simulations!$J20)))),PI()*Simulations!$T20^2/2*(LN(Simulations!$CV20/Simulations!$J20)+1))))</f>
        <v>0</v>
      </c>
      <c r="AA20" s="0" t="n">
        <f aca="false">IF(OR(NOT(AND(Simulations!$A20&lt;&gt;"",OR(Simulations!$CS20&lt;&gt;"",N(Simulations!$CU20)&gt;0))),N(Simulations!$CW20)&lt;=0,N(Simulations!$CU20)&lt;=0,2&gt;N(Simulations!$O20)),0,IF(Simulations!$CW20&lt;Simulations!$J20,Simulations!$CU20/(Simulations!$G20*Simulations!$H20*IF(Simulations!$I20&gt;0,Simulations!$I20,1))*Simulations!$CW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W20/Simulations!$J20)^1.5+SQRT(LN(Simulations!$CW20/Simulations!$J20))+Simulations!$CW20/Simulations!$J20*SQRT(PI())/2*ERFC(SQRT(LN(Simulations!$CW20/Simulations!$J20)))),PI()*Simulations!$T20^2/2*(LN(Simulations!$CW20/Simulations!$J20)+1))))</f>
        <v>0</v>
      </c>
      <c r="AB20" s="0" t="n">
        <f aca="false">IF(OR(NOT(AND(Simulations!$A20&lt;&gt;"",OR(Simulations!$CS20&lt;&gt;"",N(Simulations!$CU20)&gt;0))),N(Simulations!$CX20)&lt;=0,N(Simulations!$CU20)&lt;=0,3&gt;N(Simulations!$O20)),0,IF(Simulations!$CX20&lt;Simulations!$J20,Simulations!$CU20/(Simulations!$G20*Simulations!$H20*IF(Simulations!$I20&gt;0,Simulations!$I20,1))*Simulations!$CX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X20/Simulations!$J20)^1.5+SQRT(LN(Simulations!$CX20/Simulations!$J20))+Simulations!$CX20/Simulations!$J20*SQRT(PI())/2*ERFC(SQRT(LN(Simulations!$CX20/Simulations!$J20)))),PI()*Simulations!$T20^2/2*(LN(Simulations!$CX20/Simulations!$J20)+1))))</f>
        <v>0</v>
      </c>
      <c r="AC20" s="0" t="n">
        <f aca="false">IF(NOT(AND(Simulations!$A20&lt;&gt;"",OR(Simulations!$CS20&lt;&gt;"",N(Simulations!$CU20)&gt;0))),0,MAX(N(Simulations!$CV20),N(Simulations!$CW20),N(Simulations!$CX20))/Simulations!$J20)</f>
        <v>0</v>
      </c>
      <c r="AD20" s="0" t="n">
        <f aca="false">IF(OR(NOT(AND(Simulations!$A20&lt;&gt;"",OR(Simulations!$CS20&lt;&gt;"",N(Simulations!$CU20)&gt;0))),N(Simulations!$CT20)&lt;=0),0,SQRT(2*Simulations!$CT20*1000000/(Simulations!$J20*1000))/Simulations!$T20)</f>
        <v>0</v>
      </c>
      <c r="AE20" s="0" t="n">
        <f aca="false">IF(AND(Simulations!$A20&lt;&gt;"",OR(Simulations!$CS20&lt;&gt;"",N(Simulations!$CU20)&gt;0)),1,0)</f>
        <v>0</v>
      </c>
      <c r="AF20" s="0" t="n">
        <f aca="false">IF(OR(NOT(AND(Simulations!$A20&lt;&gt;"",OR(Simulations!$DK20&lt;&gt;"",N(Simulations!$DM20)&gt;0))),N(Simulations!$DN20)&lt;=0,N(Simulations!$DM20)&lt;=0,1&gt;N(Simulations!$O20)),0,IF(Simulations!$DN20&lt;Simulations!$J20,Simulations!$DM20/(Simulations!$G20*Simulations!$H20*IF(Simulations!$I20&gt;0,Simulations!$I20,1))*Simulations!$DN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N20/Simulations!$J20)^1.5+SQRT(LN(Simulations!$DN20/Simulations!$J20))+Simulations!$DN20/Simulations!$J20*SQRT(PI())/2*ERFC(SQRT(LN(Simulations!$DN20/Simulations!$J20)))),PI()*Simulations!$T20^2/2*(LN(Simulations!$DN20/Simulations!$J20)+1))))</f>
        <v>0</v>
      </c>
      <c r="AG20" s="0" t="n">
        <f aca="false">IF(OR(NOT(AND(Simulations!$A20&lt;&gt;"",OR(Simulations!$DK20&lt;&gt;"",N(Simulations!$DM20)&gt;0))),N(Simulations!$DO20)&lt;=0,N(Simulations!$DM20)&lt;=0,2&gt;N(Simulations!$O20)),0,IF(Simulations!$DO20&lt;Simulations!$J20,Simulations!$DM20/(Simulations!$G20*Simulations!$H20*IF(Simulations!$I20&gt;0,Simulations!$I20,1))*Simulations!$DO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O20/Simulations!$J20)^1.5+SQRT(LN(Simulations!$DO20/Simulations!$J20))+Simulations!$DO20/Simulations!$J20*SQRT(PI())/2*ERFC(SQRT(LN(Simulations!$DO20/Simulations!$J20)))),PI()*Simulations!$T20^2/2*(LN(Simulations!$DO20/Simulations!$J20)+1))))</f>
        <v>0</v>
      </c>
      <c r="AH20" s="0" t="n">
        <f aca="false">IF(OR(NOT(AND(Simulations!$A20&lt;&gt;"",OR(Simulations!$DK20&lt;&gt;"",N(Simulations!$DM20)&gt;0))),N(Simulations!$DP20)&lt;=0,N(Simulations!$DM20)&lt;=0,3&gt;N(Simulations!$O20)),0,IF(Simulations!$DP20&lt;Simulations!$J20,Simulations!$DM20/(Simulations!$G20*Simulations!$H20*IF(Simulations!$I20&gt;0,Simulations!$I20,1))*Simulations!$DP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P20/Simulations!$J20)^1.5+SQRT(LN(Simulations!$DP20/Simulations!$J20))+Simulations!$DP20/Simulations!$J20*SQRT(PI())/2*ERFC(SQRT(LN(Simulations!$DP20/Simulations!$J20)))),PI()*Simulations!$T20^2/2*(LN(Simulations!$DP20/Simulations!$J20)+1))))</f>
        <v>0</v>
      </c>
      <c r="AI20" s="0" t="n">
        <f aca="false">IF(NOT(AND(Simulations!$A20&lt;&gt;"",OR(Simulations!$DK20&lt;&gt;"",N(Simulations!$DM20)&gt;0))),0,MAX(N(Simulations!$DN20),N(Simulations!$DO20),N(Simulations!$DP20))/Simulations!$J20)</f>
        <v>0</v>
      </c>
      <c r="AJ20" s="0" t="n">
        <f aca="false">IF(OR(NOT(AND(Simulations!$A20&lt;&gt;"",OR(Simulations!$DK20&lt;&gt;"",N(Simulations!$DM20)&gt;0))),N(Simulations!$DL20)&lt;=0),0,SQRT(2*Simulations!$DL20*1000000/(Simulations!$J20*1000))/Simulations!$T20)</f>
        <v>0</v>
      </c>
      <c r="AK20" s="0" t="n">
        <f aca="false">IF(AND(Simulations!$A20&lt;&gt;"",OR(Simulations!$DK20&lt;&gt;"",N(Simulations!$DM20)&gt;0)),1,0)</f>
        <v>0</v>
      </c>
    </row>
    <row r="21" customFormat="false" ht="15" hidden="false" customHeight="false" outlineLevel="0" collapsed="false">
      <c r="B21" s="0" t="n">
        <f aca="false">IF(OR(NOT(AND(Simulations!$A21&lt;&gt;"",OR(Simulations!$Y21&lt;&gt;"",N(Simulations!$AA21)&gt;0))),N(Simulations!$AB21)&lt;=0,N(Simulations!$AA21)&lt;=0,1&gt;N(Simulations!$O21)),0,IF(Simulations!$AB21&lt;Simulations!$J21,Simulations!$AA21/(Simulations!$G21*Simulations!$H21*IF(Simulations!$I21&gt;0,Simulations!$I21,1))*Simulations!$AB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B21/Simulations!$J21)^1.5+SQRT(LN(Simulations!$AB21/Simulations!$J21))+Simulations!$AB21/Simulations!$J21*SQRT(PI())/2*ERFC(SQRT(LN(Simulations!$AB21/Simulations!$J21)))),PI()*Simulations!$T21^2/2*(LN(Simulations!$AB21/Simulations!$J21)+1))))</f>
        <v>0</v>
      </c>
      <c r="C21" s="0" t="n">
        <f aca="false">IF(OR(NOT(AND(Simulations!$A21&lt;&gt;"",OR(Simulations!$Y21&lt;&gt;"",N(Simulations!$AA21)&gt;0))),N(Simulations!$AC21)&lt;=0,N(Simulations!$AA21)&lt;=0,2&gt;N(Simulations!$O21)),0,IF(Simulations!$AC21&lt;Simulations!$J21,Simulations!$AA21/(Simulations!$G21*Simulations!$H21*IF(Simulations!$I21&gt;0,Simulations!$I21,1))*Simulations!$AC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C21/Simulations!$J21)^1.5+SQRT(LN(Simulations!$AC21/Simulations!$J21))+Simulations!$AC21/Simulations!$J21*SQRT(PI())/2*ERFC(SQRT(LN(Simulations!$AC21/Simulations!$J21)))),PI()*Simulations!$T21^2/2*(LN(Simulations!$AC21/Simulations!$J21)+1))))</f>
        <v>0</v>
      </c>
      <c r="D21" s="0" t="n">
        <f aca="false">IF(OR(NOT(AND(Simulations!$A21&lt;&gt;"",OR(Simulations!$Y21&lt;&gt;"",N(Simulations!$AA21)&gt;0))),N(Simulations!$AD21)&lt;=0,N(Simulations!$AA21)&lt;=0,3&gt;N(Simulations!$O21)),0,IF(Simulations!$AD21&lt;Simulations!$J21,Simulations!$AA21/(Simulations!$G21*Simulations!$H21*IF(Simulations!$I21&gt;0,Simulations!$I21,1))*Simulations!$AD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D21/Simulations!$J21)^1.5+SQRT(LN(Simulations!$AD21/Simulations!$J21))+Simulations!$AD21/Simulations!$J21*SQRT(PI())/2*ERFC(SQRT(LN(Simulations!$AD21/Simulations!$J21)))),PI()*Simulations!$T21^2/2*(LN(Simulations!$AD21/Simulations!$J21)+1))))</f>
        <v>0</v>
      </c>
      <c r="E21" s="0" t="n">
        <f aca="false">IF(NOT(AND(Simulations!$A21&lt;&gt;"",OR(Simulations!$Y21&lt;&gt;"",N(Simulations!$AA21)&gt;0))),0,MAX(N(Simulations!$AB21),N(Simulations!$AC21),N(Simulations!$AD21))/Simulations!$J21)</f>
        <v>0</v>
      </c>
      <c r="F21" s="0" t="n">
        <f aca="false">IF(OR(NOT(AND(Simulations!$A21&lt;&gt;"",OR(Simulations!$Y21&lt;&gt;"",N(Simulations!$AA21)&gt;0))),N(Simulations!$Z21)&lt;=0),0,SQRT(2*Simulations!$Z21*1000000/(Simulations!$J21*1000))/Simulations!$T21)</f>
        <v>0</v>
      </c>
      <c r="G21" s="0" t="n">
        <f aca="false">IF(AND(Simulations!$A21&lt;&gt;"",OR(Simulations!$Y21&lt;&gt;"",N(Simulations!$AA21)&gt;0)),1,0)</f>
        <v>0</v>
      </c>
      <c r="H21" s="0" t="n">
        <f aca="false">IF(OR(NOT(AND(Simulations!$A21&lt;&gt;"",OR(Simulations!$AQ21&lt;&gt;"",N(Simulations!$AS21)&gt;0))),N(Simulations!$AT21)&lt;=0,N(Simulations!$AS21)&lt;=0,1&gt;N(Simulations!$O21)),0,IF(Simulations!$AT21&lt;Simulations!$J21,Simulations!$AS21/(Simulations!$G21*Simulations!$H21*IF(Simulations!$I21&gt;0,Simulations!$I21,1))*Simulations!$AT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T21/Simulations!$J21)^1.5+SQRT(LN(Simulations!$AT21/Simulations!$J21))+Simulations!$AT21/Simulations!$J21*SQRT(PI())/2*ERFC(SQRT(LN(Simulations!$AT21/Simulations!$J21)))),PI()*Simulations!$T21^2/2*(LN(Simulations!$AT21/Simulations!$J21)+1))))</f>
        <v>0</v>
      </c>
      <c r="I21" s="0" t="n">
        <f aca="false">IF(OR(NOT(AND(Simulations!$A21&lt;&gt;"",OR(Simulations!$AQ21&lt;&gt;"",N(Simulations!$AS21)&gt;0))),N(Simulations!$AU21)&lt;=0,N(Simulations!$AS21)&lt;=0,2&gt;N(Simulations!$O21)),0,IF(Simulations!$AU21&lt;Simulations!$J21,Simulations!$AS21/(Simulations!$G21*Simulations!$H21*IF(Simulations!$I21&gt;0,Simulations!$I21,1))*Simulations!$AU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U21/Simulations!$J21)^1.5+SQRT(LN(Simulations!$AU21/Simulations!$J21))+Simulations!$AU21/Simulations!$J21*SQRT(PI())/2*ERFC(SQRT(LN(Simulations!$AU21/Simulations!$J21)))),PI()*Simulations!$T21^2/2*(LN(Simulations!$AU21/Simulations!$J21)+1))))</f>
        <v>0</v>
      </c>
      <c r="J21" s="0" t="n">
        <f aca="false">IF(OR(NOT(AND(Simulations!$A21&lt;&gt;"",OR(Simulations!$AQ21&lt;&gt;"",N(Simulations!$AS21)&gt;0))),N(Simulations!$AV21)&lt;=0,N(Simulations!$AS21)&lt;=0,3&gt;N(Simulations!$O21)),0,IF(Simulations!$AV21&lt;Simulations!$J21,Simulations!$AS21/(Simulations!$G21*Simulations!$H21*IF(Simulations!$I21&gt;0,Simulations!$I21,1))*Simulations!$AV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V21/Simulations!$J21)^1.5+SQRT(LN(Simulations!$AV21/Simulations!$J21))+Simulations!$AV21/Simulations!$J21*SQRT(PI())/2*ERFC(SQRT(LN(Simulations!$AV21/Simulations!$J21)))),PI()*Simulations!$T21^2/2*(LN(Simulations!$AV21/Simulations!$J21)+1))))</f>
        <v>0</v>
      </c>
      <c r="K21" s="0" t="n">
        <f aca="false">IF(NOT(AND(Simulations!$A21&lt;&gt;"",OR(Simulations!$AQ21&lt;&gt;"",N(Simulations!$AS21)&gt;0))),0,MAX(N(Simulations!$AT21),N(Simulations!$AU21),N(Simulations!$AV21))/Simulations!$J21)</f>
        <v>0</v>
      </c>
      <c r="L21" s="0" t="n">
        <f aca="false">IF(OR(NOT(AND(Simulations!$A21&lt;&gt;"",OR(Simulations!$AQ21&lt;&gt;"",N(Simulations!$AS21)&gt;0))),N(Simulations!$AR21)&lt;=0),0,SQRT(2*Simulations!$AR21*1000000/(Simulations!$J21*1000))/Simulations!$T21)</f>
        <v>0</v>
      </c>
      <c r="M21" s="0" t="n">
        <f aca="false">IF(AND(Simulations!$A21&lt;&gt;"",OR(Simulations!$AQ21&lt;&gt;"",N(Simulations!$AS21)&gt;0)),1,0)</f>
        <v>0</v>
      </c>
      <c r="N21" s="0" t="n">
        <f aca="false">IF(OR(NOT(AND(Simulations!$A21&lt;&gt;"",OR(Simulations!$BI21&lt;&gt;"",N(Simulations!$BK21)&gt;0))),N(Simulations!$BL21)&lt;=0,N(Simulations!$BK21)&lt;=0,1&gt;N(Simulations!$O21)),0,IF(Simulations!$BL21&lt;Simulations!$J21,Simulations!$BK21/(Simulations!$G21*Simulations!$H21*IF(Simulations!$I21&gt;0,Simulations!$I21,1))*Simulations!$BL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L21/Simulations!$J21)^1.5+SQRT(LN(Simulations!$BL21/Simulations!$J21))+Simulations!$BL21/Simulations!$J21*SQRT(PI())/2*ERFC(SQRT(LN(Simulations!$BL21/Simulations!$J21)))),PI()*Simulations!$T21^2/2*(LN(Simulations!$BL21/Simulations!$J21)+1))))</f>
        <v>0</v>
      </c>
      <c r="O21" s="0" t="n">
        <f aca="false">IF(OR(NOT(AND(Simulations!$A21&lt;&gt;"",OR(Simulations!$BI21&lt;&gt;"",N(Simulations!$BK21)&gt;0))),N(Simulations!$BM21)&lt;=0,N(Simulations!$BK21)&lt;=0,2&gt;N(Simulations!$O21)),0,IF(Simulations!$BM21&lt;Simulations!$J21,Simulations!$BK21/(Simulations!$G21*Simulations!$H21*IF(Simulations!$I21&gt;0,Simulations!$I21,1))*Simulations!$BM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M21/Simulations!$J21)^1.5+SQRT(LN(Simulations!$BM21/Simulations!$J21))+Simulations!$BM21/Simulations!$J21*SQRT(PI())/2*ERFC(SQRT(LN(Simulations!$BM21/Simulations!$J21)))),PI()*Simulations!$T21^2/2*(LN(Simulations!$BM21/Simulations!$J21)+1))))</f>
        <v>0</v>
      </c>
      <c r="P21" s="0" t="n">
        <f aca="false">IF(OR(NOT(AND(Simulations!$A21&lt;&gt;"",OR(Simulations!$BI21&lt;&gt;"",N(Simulations!$BK21)&gt;0))),N(Simulations!$BN21)&lt;=0,N(Simulations!$BK21)&lt;=0,3&gt;N(Simulations!$O21)),0,IF(Simulations!$BN21&lt;Simulations!$J21,Simulations!$BK21/(Simulations!$G21*Simulations!$H21*IF(Simulations!$I21&gt;0,Simulations!$I21,1))*Simulations!$BN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N21/Simulations!$J21)^1.5+SQRT(LN(Simulations!$BN21/Simulations!$J21))+Simulations!$BN21/Simulations!$J21*SQRT(PI())/2*ERFC(SQRT(LN(Simulations!$BN21/Simulations!$J21)))),PI()*Simulations!$T21^2/2*(LN(Simulations!$BN21/Simulations!$J21)+1))))</f>
        <v>0</v>
      </c>
      <c r="Q21" s="0" t="n">
        <f aca="false">IF(NOT(AND(Simulations!$A21&lt;&gt;"",OR(Simulations!$BI21&lt;&gt;"",N(Simulations!$BK21)&gt;0))),0,MAX(N(Simulations!$BL21),N(Simulations!$BM21),N(Simulations!$BN21))/Simulations!$J21)</f>
        <v>0</v>
      </c>
      <c r="R21" s="0" t="n">
        <f aca="false">IF(OR(NOT(AND(Simulations!$A21&lt;&gt;"",OR(Simulations!$BI21&lt;&gt;"",N(Simulations!$BK21)&gt;0))),N(Simulations!$BJ21)&lt;=0),0,SQRT(2*Simulations!$BJ21*1000000/(Simulations!$J21*1000))/Simulations!$T21)</f>
        <v>0</v>
      </c>
      <c r="S21" s="0" t="n">
        <f aca="false">IF(AND(Simulations!$A21&lt;&gt;"",OR(Simulations!$BI21&lt;&gt;"",N(Simulations!$BK21)&gt;0)),1,0)</f>
        <v>0</v>
      </c>
      <c r="T21" s="0" t="n">
        <f aca="false">IF(OR(NOT(AND(Simulations!$A21&lt;&gt;"",OR(Simulations!$CA21&lt;&gt;"",N(Simulations!$CC21)&gt;0))),N(Simulations!$CD21)&lt;=0,N(Simulations!$CC21)&lt;=0,1&gt;N(Simulations!$O21)),0,IF(Simulations!$CD21&lt;Simulations!$J21,Simulations!$CC21/(Simulations!$G21*Simulations!$H21*IF(Simulations!$I21&gt;0,Simulations!$I21,1))*Simulations!$CD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D21/Simulations!$J21)^1.5+SQRT(LN(Simulations!$CD21/Simulations!$J21))+Simulations!$CD21/Simulations!$J21*SQRT(PI())/2*ERFC(SQRT(LN(Simulations!$CD21/Simulations!$J21)))),PI()*Simulations!$T21^2/2*(LN(Simulations!$CD21/Simulations!$J21)+1))))</f>
        <v>0</v>
      </c>
      <c r="U21" s="0" t="n">
        <f aca="false">IF(OR(NOT(AND(Simulations!$A21&lt;&gt;"",OR(Simulations!$CA21&lt;&gt;"",N(Simulations!$CC21)&gt;0))),N(Simulations!$CE21)&lt;=0,N(Simulations!$CC21)&lt;=0,2&gt;N(Simulations!$O21)),0,IF(Simulations!$CE21&lt;Simulations!$J21,Simulations!$CC21/(Simulations!$G21*Simulations!$H21*IF(Simulations!$I21&gt;0,Simulations!$I21,1))*Simulations!$CE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E21/Simulations!$J21)^1.5+SQRT(LN(Simulations!$CE21/Simulations!$J21))+Simulations!$CE21/Simulations!$J21*SQRT(PI())/2*ERFC(SQRT(LN(Simulations!$CE21/Simulations!$J21)))),PI()*Simulations!$T21^2/2*(LN(Simulations!$CE21/Simulations!$J21)+1))))</f>
        <v>0</v>
      </c>
      <c r="V21" s="0" t="n">
        <f aca="false">IF(OR(NOT(AND(Simulations!$A21&lt;&gt;"",OR(Simulations!$CA21&lt;&gt;"",N(Simulations!$CC21)&gt;0))),N(Simulations!$CF21)&lt;=0,N(Simulations!$CC21)&lt;=0,3&gt;N(Simulations!$O21)),0,IF(Simulations!$CF21&lt;Simulations!$J21,Simulations!$CC21/(Simulations!$G21*Simulations!$H21*IF(Simulations!$I21&gt;0,Simulations!$I21,1))*Simulations!$CF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F21/Simulations!$J21)^1.5+SQRT(LN(Simulations!$CF21/Simulations!$J21))+Simulations!$CF21/Simulations!$J21*SQRT(PI())/2*ERFC(SQRT(LN(Simulations!$CF21/Simulations!$J21)))),PI()*Simulations!$T21^2/2*(LN(Simulations!$CF21/Simulations!$J21)+1))))</f>
        <v>0</v>
      </c>
      <c r="W21" s="0" t="n">
        <f aca="false">IF(NOT(AND(Simulations!$A21&lt;&gt;"",OR(Simulations!$CA21&lt;&gt;"",N(Simulations!$CC21)&gt;0))),0,MAX(N(Simulations!$CD21),N(Simulations!$CE21),N(Simulations!$CF21))/Simulations!$J21)</f>
        <v>0</v>
      </c>
      <c r="X21" s="0" t="n">
        <f aca="false">IF(OR(NOT(AND(Simulations!$A21&lt;&gt;"",OR(Simulations!$CA21&lt;&gt;"",N(Simulations!$CC21)&gt;0))),N(Simulations!$CB21)&lt;=0),0,SQRT(2*Simulations!$CB21*1000000/(Simulations!$J21*1000))/Simulations!$T21)</f>
        <v>0</v>
      </c>
      <c r="Y21" s="0" t="n">
        <f aca="false">IF(AND(Simulations!$A21&lt;&gt;"",OR(Simulations!$CA21&lt;&gt;"",N(Simulations!$CC21)&gt;0)),1,0)</f>
        <v>0</v>
      </c>
      <c r="Z21" s="0" t="n">
        <f aca="false">IF(OR(NOT(AND(Simulations!$A21&lt;&gt;"",OR(Simulations!$CS21&lt;&gt;"",N(Simulations!$CU21)&gt;0))),N(Simulations!$CV21)&lt;=0,N(Simulations!$CU21)&lt;=0,1&gt;N(Simulations!$O21)),0,IF(Simulations!$CV21&lt;Simulations!$J21,Simulations!$CU21/(Simulations!$G21*Simulations!$H21*IF(Simulations!$I21&gt;0,Simulations!$I21,1))*Simulations!$CV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V21/Simulations!$J21)^1.5+SQRT(LN(Simulations!$CV21/Simulations!$J21))+Simulations!$CV21/Simulations!$J21*SQRT(PI())/2*ERFC(SQRT(LN(Simulations!$CV21/Simulations!$J21)))),PI()*Simulations!$T21^2/2*(LN(Simulations!$CV21/Simulations!$J21)+1))))</f>
        <v>0</v>
      </c>
      <c r="AA21" s="0" t="n">
        <f aca="false">IF(OR(NOT(AND(Simulations!$A21&lt;&gt;"",OR(Simulations!$CS21&lt;&gt;"",N(Simulations!$CU21)&gt;0))),N(Simulations!$CW21)&lt;=0,N(Simulations!$CU21)&lt;=0,2&gt;N(Simulations!$O21)),0,IF(Simulations!$CW21&lt;Simulations!$J21,Simulations!$CU21/(Simulations!$G21*Simulations!$H21*IF(Simulations!$I21&gt;0,Simulations!$I21,1))*Simulations!$CW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W21/Simulations!$J21)^1.5+SQRT(LN(Simulations!$CW21/Simulations!$J21))+Simulations!$CW21/Simulations!$J21*SQRT(PI())/2*ERFC(SQRT(LN(Simulations!$CW21/Simulations!$J21)))),PI()*Simulations!$T21^2/2*(LN(Simulations!$CW21/Simulations!$J21)+1))))</f>
        <v>0</v>
      </c>
      <c r="AB21" s="0" t="n">
        <f aca="false">IF(OR(NOT(AND(Simulations!$A21&lt;&gt;"",OR(Simulations!$CS21&lt;&gt;"",N(Simulations!$CU21)&gt;0))),N(Simulations!$CX21)&lt;=0,N(Simulations!$CU21)&lt;=0,3&gt;N(Simulations!$O21)),0,IF(Simulations!$CX21&lt;Simulations!$J21,Simulations!$CU21/(Simulations!$G21*Simulations!$H21*IF(Simulations!$I21&gt;0,Simulations!$I21,1))*Simulations!$CX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X21/Simulations!$J21)^1.5+SQRT(LN(Simulations!$CX21/Simulations!$J21))+Simulations!$CX21/Simulations!$J21*SQRT(PI())/2*ERFC(SQRT(LN(Simulations!$CX21/Simulations!$J21)))),PI()*Simulations!$T21^2/2*(LN(Simulations!$CX21/Simulations!$J21)+1))))</f>
        <v>0</v>
      </c>
      <c r="AC21" s="0" t="n">
        <f aca="false">IF(NOT(AND(Simulations!$A21&lt;&gt;"",OR(Simulations!$CS21&lt;&gt;"",N(Simulations!$CU21)&gt;0))),0,MAX(N(Simulations!$CV21),N(Simulations!$CW21),N(Simulations!$CX21))/Simulations!$J21)</f>
        <v>0</v>
      </c>
      <c r="AD21" s="0" t="n">
        <f aca="false">IF(OR(NOT(AND(Simulations!$A21&lt;&gt;"",OR(Simulations!$CS21&lt;&gt;"",N(Simulations!$CU21)&gt;0))),N(Simulations!$CT21)&lt;=0),0,SQRT(2*Simulations!$CT21*1000000/(Simulations!$J21*1000))/Simulations!$T21)</f>
        <v>0</v>
      </c>
      <c r="AE21" s="0" t="n">
        <f aca="false">IF(AND(Simulations!$A21&lt;&gt;"",OR(Simulations!$CS21&lt;&gt;"",N(Simulations!$CU21)&gt;0)),1,0)</f>
        <v>0</v>
      </c>
      <c r="AF21" s="0" t="n">
        <f aca="false">IF(OR(NOT(AND(Simulations!$A21&lt;&gt;"",OR(Simulations!$DK21&lt;&gt;"",N(Simulations!$DM21)&gt;0))),N(Simulations!$DN21)&lt;=0,N(Simulations!$DM21)&lt;=0,1&gt;N(Simulations!$O21)),0,IF(Simulations!$DN21&lt;Simulations!$J21,Simulations!$DM21/(Simulations!$G21*Simulations!$H21*IF(Simulations!$I21&gt;0,Simulations!$I21,1))*Simulations!$DN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N21/Simulations!$J21)^1.5+SQRT(LN(Simulations!$DN21/Simulations!$J21))+Simulations!$DN21/Simulations!$J21*SQRT(PI())/2*ERFC(SQRT(LN(Simulations!$DN21/Simulations!$J21)))),PI()*Simulations!$T21^2/2*(LN(Simulations!$DN21/Simulations!$J21)+1))))</f>
        <v>0</v>
      </c>
      <c r="AG21" s="0" t="n">
        <f aca="false">IF(OR(NOT(AND(Simulations!$A21&lt;&gt;"",OR(Simulations!$DK21&lt;&gt;"",N(Simulations!$DM21)&gt;0))),N(Simulations!$DO21)&lt;=0,N(Simulations!$DM21)&lt;=0,2&gt;N(Simulations!$O21)),0,IF(Simulations!$DO21&lt;Simulations!$J21,Simulations!$DM21/(Simulations!$G21*Simulations!$H21*IF(Simulations!$I21&gt;0,Simulations!$I21,1))*Simulations!$DO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O21/Simulations!$J21)^1.5+SQRT(LN(Simulations!$DO21/Simulations!$J21))+Simulations!$DO21/Simulations!$J21*SQRT(PI())/2*ERFC(SQRT(LN(Simulations!$DO21/Simulations!$J21)))),PI()*Simulations!$T21^2/2*(LN(Simulations!$DO21/Simulations!$J21)+1))))</f>
        <v>0</v>
      </c>
      <c r="AH21" s="0" t="n">
        <f aca="false">IF(OR(NOT(AND(Simulations!$A21&lt;&gt;"",OR(Simulations!$DK21&lt;&gt;"",N(Simulations!$DM21)&gt;0))),N(Simulations!$DP21)&lt;=0,N(Simulations!$DM21)&lt;=0,3&gt;N(Simulations!$O21)),0,IF(Simulations!$DP21&lt;Simulations!$J21,Simulations!$DM21/(Simulations!$G21*Simulations!$H21*IF(Simulations!$I21&gt;0,Simulations!$I21,1))*Simulations!$DP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P21/Simulations!$J21)^1.5+SQRT(LN(Simulations!$DP21/Simulations!$J21))+Simulations!$DP21/Simulations!$J21*SQRT(PI())/2*ERFC(SQRT(LN(Simulations!$DP21/Simulations!$J21)))),PI()*Simulations!$T21^2/2*(LN(Simulations!$DP21/Simulations!$J21)+1))))</f>
        <v>0</v>
      </c>
      <c r="AI21" s="0" t="n">
        <f aca="false">IF(NOT(AND(Simulations!$A21&lt;&gt;"",OR(Simulations!$DK21&lt;&gt;"",N(Simulations!$DM21)&gt;0))),0,MAX(N(Simulations!$DN21),N(Simulations!$DO21),N(Simulations!$DP21))/Simulations!$J21)</f>
        <v>0</v>
      </c>
      <c r="AJ21" s="0" t="n">
        <f aca="false">IF(OR(NOT(AND(Simulations!$A21&lt;&gt;"",OR(Simulations!$DK21&lt;&gt;"",N(Simulations!$DM21)&gt;0))),N(Simulations!$DL21)&lt;=0),0,SQRT(2*Simulations!$DL21*1000000/(Simulations!$J21*1000))/Simulations!$T21)</f>
        <v>0</v>
      </c>
      <c r="AK21" s="0" t="n">
        <f aca="false">IF(AND(Simulations!$A21&lt;&gt;"",OR(Simulations!$DK21&lt;&gt;"",N(Simulations!$DM21)&gt;0)),1,0)</f>
        <v>0</v>
      </c>
    </row>
    <row r="22" customFormat="false" ht="15" hidden="false" customHeight="false" outlineLevel="0" collapsed="false">
      <c r="B22" s="0" t="n">
        <f aca="false">IF(OR(NOT(AND(Simulations!$A22&lt;&gt;"",OR(Simulations!$Y22&lt;&gt;"",N(Simulations!$AA22)&gt;0))),N(Simulations!$AB22)&lt;=0,N(Simulations!$AA22)&lt;=0,1&gt;N(Simulations!$O22)),0,IF(Simulations!$AB22&lt;Simulations!$J22,Simulations!$AA22/(Simulations!$G22*Simulations!$H22*IF(Simulations!$I22&gt;0,Simulations!$I22,1))*Simulations!$AB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B22/Simulations!$J22)^1.5+SQRT(LN(Simulations!$AB22/Simulations!$J22))+Simulations!$AB22/Simulations!$J22*SQRT(PI())/2*ERFC(SQRT(LN(Simulations!$AB22/Simulations!$J22)))),PI()*Simulations!$T22^2/2*(LN(Simulations!$AB22/Simulations!$J22)+1))))</f>
        <v>0</v>
      </c>
      <c r="C22" s="0" t="n">
        <f aca="false">IF(OR(NOT(AND(Simulations!$A22&lt;&gt;"",OR(Simulations!$Y22&lt;&gt;"",N(Simulations!$AA22)&gt;0))),N(Simulations!$AC22)&lt;=0,N(Simulations!$AA22)&lt;=0,2&gt;N(Simulations!$O22)),0,IF(Simulations!$AC22&lt;Simulations!$J22,Simulations!$AA22/(Simulations!$G22*Simulations!$H22*IF(Simulations!$I22&gt;0,Simulations!$I22,1))*Simulations!$AC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C22/Simulations!$J22)^1.5+SQRT(LN(Simulations!$AC22/Simulations!$J22))+Simulations!$AC22/Simulations!$J22*SQRT(PI())/2*ERFC(SQRT(LN(Simulations!$AC22/Simulations!$J22)))),PI()*Simulations!$T22^2/2*(LN(Simulations!$AC22/Simulations!$J22)+1))))</f>
        <v>0</v>
      </c>
      <c r="D22" s="0" t="n">
        <f aca="false">IF(OR(NOT(AND(Simulations!$A22&lt;&gt;"",OR(Simulations!$Y22&lt;&gt;"",N(Simulations!$AA22)&gt;0))),N(Simulations!$AD22)&lt;=0,N(Simulations!$AA22)&lt;=0,3&gt;N(Simulations!$O22)),0,IF(Simulations!$AD22&lt;Simulations!$J22,Simulations!$AA22/(Simulations!$G22*Simulations!$H22*IF(Simulations!$I22&gt;0,Simulations!$I22,1))*Simulations!$AD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D22/Simulations!$J22)^1.5+SQRT(LN(Simulations!$AD22/Simulations!$J22))+Simulations!$AD22/Simulations!$J22*SQRT(PI())/2*ERFC(SQRT(LN(Simulations!$AD22/Simulations!$J22)))),PI()*Simulations!$T22^2/2*(LN(Simulations!$AD22/Simulations!$J22)+1))))</f>
        <v>0</v>
      </c>
      <c r="E22" s="0" t="n">
        <f aca="false">IF(NOT(AND(Simulations!$A22&lt;&gt;"",OR(Simulations!$Y22&lt;&gt;"",N(Simulations!$AA22)&gt;0))),0,MAX(N(Simulations!$AB22),N(Simulations!$AC22),N(Simulations!$AD22))/Simulations!$J22)</f>
        <v>0</v>
      </c>
      <c r="F22" s="0" t="n">
        <f aca="false">IF(OR(NOT(AND(Simulations!$A22&lt;&gt;"",OR(Simulations!$Y22&lt;&gt;"",N(Simulations!$AA22)&gt;0))),N(Simulations!$Z22)&lt;=0),0,SQRT(2*Simulations!$Z22*1000000/(Simulations!$J22*1000))/Simulations!$T22)</f>
        <v>0</v>
      </c>
      <c r="G22" s="0" t="n">
        <f aca="false">IF(AND(Simulations!$A22&lt;&gt;"",OR(Simulations!$Y22&lt;&gt;"",N(Simulations!$AA22)&gt;0)),1,0)</f>
        <v>0</v>
      </c>
      <c r="H22" s="0" t="n">
        <f aca="false">IF(OR(NOT(AND(Simulations!$A22&lt;&gt;"",OR(Simulations!$AQ22&lt;&gt;"",N(Simulations!$AS22)&gt;0))),N(Simulations!$AT22)&lt;=0,N(Simulations!$AS22)&lt;=0,1&gt;N(Simulations!$O22)),0,IF(Simulations!$AT22&lt;Simulations!$J22,Simulations!$AS22/(Simulations!$G22*Simulations!$H22*IF(Simulations!$I22&gt;0,Simulations!$I22,1))*Simulations!$AT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T22/Simulations!$J22)^1.5+SQRT(LN(Simulations!$AT22/Simulations!$J22))+Simulations!$AT22/Simulations!$J22*SQRT(PI())/2*ERFC(SQRT(LN(Simulations!$AT22/Simulations!$J22)))),PI()*Simulations!$T22^2/2*(LN(Simulations!$AT22/Simulations!$J22)+1))))</f>
        <v>0</v>
      </c>
      <c r="I22" s="0" t="n">
        <f aca="false">IF(OR(NOT(AND(Simulations!$A22&lt;&gt;"",OR(Simulations!$AQ22&lt;&gt;"",N(Simulations!$AS22)&gt;0))),N(Simulations!$AU22)&lt;=0,N(Simulations!$AS22)&lt;=0,2&gt;N(Simulations!$O22)),0,IF(Simulations!$AU22&lt;Simulations!$J22,Simulations!$AS22/(Simulations!$G22*Simulations!$H22*IF(Simulations!$I22&gt;0,Simulations!$I22,1))*Simulations!$AU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U22/Simulations!$J22)^1.5+SQRT(LN(Simulations!$AU22/Simulations!$J22))+Simulations!$AU22/Simulations!$J22*SQRT(PI())/2*ERFC(SQRT(LN(Simulations!$AU22/Simulations!$J22)))),PI()*Simulations!$T22^2/2*(LN(Simulations!$AU22/Simulations!$J22)+1))))</f>
        <v>0</v>
      </c>
      <c r="J22" s="0" t="n">
        <f aca="false">IF(OR(NOT(AND(Simulations!$A22&lt;&gt;"",OR(Simulations!$AQ22&lt;&gt;"",N(Simulations!$AS22)&gt;0))),N(Simulations!$AV22)&lt;=0,N(Simulations!$AS22)&lt;=0,3&gt;N(Simulations!$O22)),0,IF(Simulations!$AV22&lt;Simulations!$J22,Simulations!$AS22/(Simulations!$G22*Simulations!$H22*IF(Simulations!$I22&gt;0,Simulations!$I22,1))*Simulations!$AV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V22/Simulations!$J22)^1.5+SQRT(LN(Simulations!$AV22/Simulations!$J22))+Simulations!$AV22/Simulations!$J22*SQRT(PI())/2*ERFC(SQRT(LN(Simulations!$AV22/Simulations!$J22)))),PI()*Simulations!$T22^2/2*(LN(Simulations!$AV22/Simulations!$J22)+1))))</f>
        <v>0</v>
      </c>
      <c r="K22" s="0" t="n">
        <f aca="false">IF(NOT(AND(Simulations!$A22&lt;&gt;"",OR(Simulations!$AQ22&lt;&gt;"",N(Simulations!$AS22)&gt;0))),0,MAX(N(Simulations!$AT22),N(Simulations!$AU22),N(Simulations!$AV22))/Simulations!$J22)</f>
        <v>0</v>
      </c>
      <c r="L22" s="0" t="n">
        <f aca="false">IF(OR(NOT(AND(Simulations!$A22&lt;&gt;"",OR(Simulations!$AQ22&lt;&gt;"",N(Simulations!$AS22)&gt;0))),N(Simulations!$AR22)&lt;=0),0,SQRT(2*Simulations!$AR22*1000000/(Simulations!$J22*1000))/Simulations!$T22)</f>
        <v>0</v>
      </c>
      <c r="M22" s="0" t="n">
        <f aca="false">IF(AND(Simulations!$A22&lt;&gt;"",OR(Simulations!$AQ22&lt;&gt;"",N(Simulations!$AS22)&gt;0)),1,0)</f>
        <v>0</v>
      </c>
      <c r="N22" s="0" t="n">
        <f aca="false">IF(OR(NOT(AND(Simulations!$A22&lt;&gt;"",OR(Simulations!$BI22&lt;&gt;"",N(Simulations!$BK22)&gt;0))),N(Simulations!$BL22)&lt;=0,N(Simulations!$BK22)&lt;=0,1&gt;N(Simulations!$O22)),0,IF(Simulations!$BL22&lt;Simulations!$J22,Simulations!$BK22/(Simulations!$G22*Simulations!$H22*IF(Simulations!$I22&gt;0,Simulations!$I22,1))*Simulations!$BL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L22/Simulations!$J22)^1.5+SQRT(LN(Simulations!$BL22/Simulations!$J22))+Simulations!$BL22/Simulations!$J22*SQRT(PI())/2*ERFC(SQRT(LN(Simulations!$BL22/Simulations!$J22)))),PI()*Simulations!$T22^2/2*(LN(Simulations!$BL22/Simulations!$J22)+1))))</f>
        <v>0</v>
      </c>
      <c r="O22" s="0" t="n">
        <f aca="false">IF(OR(NOT(AND(Simulations!$A22&lt;&gt;"",OR(Simulations!$BI22&lt;&gt;"",N(Simulations!$BK22)&gt;0))),N(Simulations!$BM22)&lt;=0,N(Simulations!$BK22)&lt;=0,2&gt;N(Simulations!$O22)),0,IF(Simulations!$BM22&lt;Simulations!$J22,Simulations!$BK22/(Simulations!$G22*Simulations!$H22*IF(Simulations!$I22&gt;0,Simulations!$I22,1))*Simulations!$BM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M22/Simulations!$J22)^1.5+SQRT(LN(Simulations!$BM22/Simulations!$J22))+Simulations!$BM22/Simulations!$J22*SQRT(PI())/2*ERFC(SQRT(LN(Simulations!$BM22/Simulations!$J22)))),PI()*Simulations!$T22^2/2*(LN(Simulations!$BM22/Simulations!$J22)+1))))</f>
        <v>0</v>
      </c>
      <c r="P22" s="0" t="n">
        <f aca="false">IF(OR(NOT(AND(Simulations!$A22&lt;&gt;"",OR(Simulations!$BI22&lt;&gt;"",N(Simulations!$BK22)&gt;0))),N(Simulations!$BN22)&lt;=0,N(Simulations!$BK22)&lt;=0,3&gt;N(Simulations!$O22)),0,IF(Simulations!$BN22&lt;Simulations!$J22,Simulations!$BK22/(Simulations!$G22*Simulations!$H22*IF(Simulations!$I22&gt;0,Simulations!$I22,1))*Simulations!$BN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N22/Simulations!$J22)^1.5+SQRT(LN(Simulations!$BN22/Simulations!$J22))+Simulations!$BN22/Simulations!$J22*SQRT(PI())/2*ERFC(SQRT(LN(Simulations!$BN22/Simulations!$J22)))),PI()*Simulations!$T22^2/2*(LN(Simulations!$BN22/Simulations!$J22)+1))))</f>
        <v>0</v>
      </c>
      <c r="Q22" s="0" t="n">
        <f aca="false">IF(NOT(AND(Simulations!$A22&lt;&gt;"",OR(Simulations!$BI22&lt;&gt;"",N(Simulations!$BK22)&gt;0))),0,MAX(N(Simulations!$BL22),N(Simulations!$BM22),N(Simulations!$BN22))/Simulations!$J22)</f>
        <v>0</v>
      </c>
      <c r="R22" s="0" t="n">
        <f aca="false">IF(OR(NOT(AND(Simulations!$A22&lt;&gt;"",OR(Simulations!$BI22&lt;&gt;"",N(Simulations!$BK22)&gt;0))),N(Simulations!$BJ22)&lt;=0),0,SQRT(2*Simulations!$BJ22*1000000/(Simulations!$J22*1000))/Simulations!$T22)</f>
        <v>0</v>
      </c>
      <c r="S22" s="0" t="n">
        <f aca="false">IF(AND(Simulations!$A22&lt;&gt;"",OR(Simulations!$BI22&lt;&gt;"",N(Simulations!$BK22)&gt;0)),1,0)</f>
        <v>0</v>
      </c>
      <c r="T22" s="0" t="n">
        <f aca="false">IF(OR(NOT(AND(Simulations!$A22&lt;&gt;"",OR(Simulations!$CA22&lt;&gt;"",N(Simulations!$CC22)&gt;0))),N(Simulations!$CD22)&lt;=0,N(Simulations!$CC22)&lt;=0,1&gt;N(Simulations!$O22)),0,IF(Simulations!$CD22&lt;Simulations!$J22,Simulations!$CC22/(Simulations!$G22*Simulations!$H22*IF(Simulations!$I22&gt;0,Simulations!$I22,1))*Simulations!$CD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D22/Simulations!$J22)^1.5+SQRT(LN(Simulations!$CD22/Simulations!$J22))+Simulations!$CD22/Simulations!$J22*SQRT(PI())/2*ERFC(SQRT(LN(Simulations!$CD22/Simulations!$J22)))),PI()*Simulations!$T22^2/2*(LN(Simulations!$CD22/Simulations!$J22)+1))))</f>
        <v>0</v>
      </c>
      <c r="U22" s="0" t="n">
        <f aca="false">IF(OR(NOT(AND(Simulations!$A22&lt;&gt;"",OR(Simulations!$CA22&lt;&gt;"",N(Simulations!$CC22)&gt;0))),N(Simulations!$CE22)&lt;=0,N(Simulations!$CC22)&lt;=0,2&gt;N(Simulations!$O22)),0,IF(Simulations!$CE22&lt;Simulations!$J22,Simulations!$CC22/(Simulations!$G22*Simulations!$H22*IF(Simulations!$I22&gt;0,Simulations!$I22,1))*Simulations!$CE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E22/Simulations!$J22)^1.5+SQRT(LN(Simulations!$CE22/Simulations!$J22))+Simulations!$CE22/Simulations!$J22*SQRT(PI())/2*ERFC(SQRT(LN(Simulations!$CE22/Simulations!$J22)))),PI()*Simulations!$T22^2/2*(LN(Simulations!$CE22/Simulations!$J22)+1))))</f>
        <v>0</v>
      </c>
      <c r="V22" s="0" t="n">
        <f aca="false">IF(OR(NOT(AND(Simulations!$A22&lt;&gt;"",OR(Simulations!$CA22&lt;&gt;"",N(Simulations!$CC22)&gt;0))),N(Simulations!$CF22)&lt;=0,N(Simulations!$CC22)&lt;=0,3&gt;N(Simulations!$O22)),0,IF(Simulations!$CF22&lt;Simulations!$J22,Simulations!$CC22/(Simulations!$G22*Simulations!$H22*IF(Simulations!$I22&gt;0,Simulations!$I22,1))*Simulations!$CF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F22/Simulations!$J22)^1.5+SQRT(LN(Simulations!$CF22/Simulations!$J22))+Simulations!$CF22/Simulations!$J22*SQRT(PI())/2*ERFC(SQRT(LN(Simulations!$CF22/Simulations!$J22)))),PI()*Simulations!$T22^2/2*(LN(Simulations!$CF22/Simulations!$J22)+1))))</f>
        <v>0</v>
      </c>
      <c r="W22" s="0" t="n">
        <f aca="false">IF(NOT(AND(Simulations!$A22&lt;&gt;"",OR(Simulations!$CA22&lt;&gt;"",N(Simulations!$CC22)&gt;0))),0,MAX(N(Simulations!$CD22),N(Simulations!$CE22),N(Simulations!$CF22))/Simulations!$J22)</f>
        <v>0</v>
      </c>
      <c r="X22" s="0" t="n">
        <f aca="false">IF(OR(NOT(AND(Simulations!$A22&lt;&gt;"",OR(Simulations!$CA22&lt;&gt;"",N(Simulations!$CC22)&gt;0))),N(Simulations!$CB22)&lt;=0),0,SQRT(2*Simulations!$CB22*1000000/(Simulations!$J22*1000))/Simulations!$T22)</f>
        <v>0</v>
      </c>
      <c r="Y22" s="0" t="n">
        <f aca="false">IF(AND(Simulations!$A22&lt;&gt;"",OR(Simulations!$CA22&lt;&gt;"",N(Simulations!$CC22)&gt;0)),1,0)</f>
        <v>0</v>
      </c>
      <c r="Z22" s="0" t="n">
        <f aca="false">IF(OR(NOT(AND(Simulations!$A22&lt;&gt;"",OR(Simulations!$CS22&lt;&gt;"",N(Simulations!$CU22)&gt;0))),N(Simulations!$CV22)&lt;=0,N(Simulations!$CU22)&lt;=0,1&gt;N(Simulations!$O22)),0,IF(Simulations!$CV22&lt;Simulations!$J22,Simulations!$CU22/(Simulations!$G22*Simulations!$H22*IF(Simulations!$I22&gt;0,Simulations!$I22,1))*Simulations!$CV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V22/Simulations!$J22)^1.5+SQRT(LN(Simulations!$CV22/Simulations!$J22))+Simulations!$CV22/Simulations!$J22*SQRT(PI())/2*ERFC(SQRT(LN(Simulations!$CV22/Simulations!$J22)))),PI()*Simulations!$T22^2/2*(LN(Simulations!$CV22/Simulations!$J22)+1))))</f>
        <v>0</v>
      </c>
      <c r="AA22" s="0" t="n">
        <f aca="false">IF(OR(NOT(AND(Simulations!$A22&lt;&gt;"",OR(Simulations!$CS22&lt;&gt;"",N(Simulations!$CU22)&gt;0))),N(Simulations!$CW22)&lt;=0,N(Simulations!$CU22)&lt;=0,2&gt;N(Simulations!$O22)),0,IF(Simulations!$CW22&lt;Simulations!$J22,Simulations!$CU22/(Simulations!$G22*Simulations!$H22*IF(Simulations!$I22&gt;0,Simulations!$I22,1))*Simulations!$CW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W22/Simulations!$J22)^1.5+SQRT(LN(Simulations!$CW22/Simulations!$J22))+Simulations!$CW22/Simulations!$J22*SQRT(PI())/2*ERFC(SQRT(LN(Simulations!$CW22/Simulations!$J22)))),PI()*Simulations!$T22^2/2*(LN(Simulations!$CW22/Simulations!$J22)+1))))</f>
        <v>0</v>
      </c>
      <c r="AB22" s="0" t="n">
        <f aca="false">IF(OR(NOT(AND(Simulations!$A22&lt;&gt;"",OR(Simulations!$CS22&lt;&gt;"",N(Simulations!$CU22)&gt;0))),N(Simulations!$CX22)&lt;=0,N(Simulations!$CU22)&lt;=0,3&gt;N(Simulations!$O22)),0,IF(Simulations!$CX22&lt;Simulations!$J22,Simulations!$CU22/(Simulations!$G22*Simulations!$H22*IF(Simulations!$I22&gt;0,Simulations!$I22,1))*Simulations!$CX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X22/Simulations!$J22)^1.5+SQRT(LN(Simulations!$CX22/Simulations!$J22))+Simulations!$CX22/Simulations!$J22*SQRT(PI())/2*ERFC(SQRT(LN(Simulations!$CX22/Simulations!$J22)))),PI()*Simulations!$T22^2/2*(LN(Simulations!$CX22/Simulations!$J22)+1))))</f>
        <v>0</v>
      </c>
      <c r="AC22" s="0" t="n">
        <f aca="false">IF(NOT(AND(Simulations!$A22&lt;&gt;"",OR(Simulations!$CS22&lt;&gt;"",N(Simulations!$CU22)&gt;0))),0,MAX(N(Simulations!$CV22),N(Simulations!$CW22),N(Simulations!$CX22))/Simulations!$J22)</f>
        <v>0</v>
      </c>
      <c r="AD22" s="0" t="n">
        <f aca="false">IF(OR(NOT(AND(Simulations!$A22&lt;&gt;"",OR(Simulations!$CS22&lt;&gt;"",N(Simulations!$CU22)&gt;0))),N(Simulations!$CT22)&lt;=0),0,SQRT(2*Simulations!$CT22*1000000/(Simulations!$J22*1000))/Simulations!$T22)</f>
        <v>0</v>
      </c>
      <c r="AE22" s="0" t="n">
        <f aca="false">IF(AND(Simulations!$A22&lt;&gt;"",OR(Simulations!$CS22&lt;&gt;"",N(Simulations!$CU22)&gt;0)),1,0)</f>
        <v>0</v>
      </c>
      <c r="AF22" s="0" t="n">
        <f aca="false">IF(OR(NOT(AND(Simulations!$A22&lt;&gt;"",OR(Simulations!$DK22&lt;&gt;"",N(Simulations!$DM22)&gt;0))),N(Simulations!$DN22)&lt;=0,N(Simulations!$DM22)&lt;=0,1&gt;N(Simulations!$O22)),0,IF(Simulations!$DN22&lt;Simulations!$J22,Simulations!$DM22/(Simulations!$G22*Simulations!$H22*IF(Simulations!$I22&gt;0,Simulations!$I22,1))*Simulations!$DN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N22/Simulations!$J22)^1.5+SQRT(LN(Simulations!$DN22/Simulations!$J22))+Simulations!$DN22/Simulations!$J22*SQRT(PI())/2*ERFC(SQRT(LN(Simulations!$DN22/Simulations!$J22)))),PI()*Simulations!$T22^2/2*(LN(Simulations!$DN22/Simulations!$J22)+1))))</f>
        <v>0</v>
      </c>
      <c r="AG22" s="0" t="n">
        <f aca="false">IF(OR(NOT(AND(Simulations!$A22&lt;&gt;"",OR(Simulations!$DK22&lt;&gt;"",N(Simulations!$DM22)&gt;0))),N(Simulations!$DO22)&lt;=0,N(Simulations!$DM22)&lt;=0,2&gt;N(Simulations!$O22)),0,IF(Simulations!$DO22&lt;Simulations!$J22,Simulations!$DM22/(Simulations!$G22*Simulations!$H22*IF(Simulations!$I22&gt;0,Simulations!$I22,1))*Simulations!$DO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O22/Simulations!$J22)^1.5+SQRT(LN(Simulations!$DO22/Simulations!$J22))+Simulations!$DO22/Simulations!$J22*SQRT(PI())/2*ERFC(SQRT(LN(Simulations!$DO22/Simulations!$J22)))),PI()*Simulations!$T22^2/2*(LN(Simulations!$DO22/Simulations!$J22)+1))))</f>
        <v>0</v>
      </c>
      <c r="AH22" s="0" t="n">
        <f aca="false">IF(OR(NOT(AND(Simulations!$A22&lt;&gt;"",OR(Simulations!$DK22&lt;&gt;"",N(Simulations!$DM22)&gt;0))),N(Simulations!$DP22)&lt;=0,N(Simulations!$DM22)&lt;=0,3&gt;N(Simulations!$O22)),0,IF(Simulations!$DP22&lt;Simulations!$J22,Simulations!$DM22/(Simulations!$G22*Simulations!$H22*IF(Simulations!$I22&gt;0,Simulations!$I22,1))*Simulations!$DP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P22/Simulations!$J22)^1.5+SQRT(LN(Simulations!$DP22/Simulations!$J22))+Simulations!$DP22/Simulations!$J22*SQRT(PI())/2*ERFC(SQRT(LN(Simulations!$DP22/Simulations!$J22)))),PI()*Simulations!$T22^2/2*(LN(Simulations!$DP22/Simulations!$J22)+1))))</f>
        <v>0</v>
      </c>
      <c r="AI22" s="0" t="n">
        <f aca="false">IF(NOT(AND(Simulations!$A22&lt;&gt;"",OR(Simulations!$DK22&lt;&gt;"",N(Simulations!$DM22)&gt;0))),0,MAX(N(Simulations!$DN22),N(Simulations!$DO22),N(Simulations!$DP22))/Simulations!$J22)</f>
        <v>0</v>
      </c>
      <c r="AJ22" s="0" t="n">
        <f aca="false">IF(OR(NOT(AND(Simulations!$A22&lt;&gt;"",OR(Simulations!$DK22&lt;&gt;"",N(Simulations!$DM22)&gt;0))),N(Simulations!$DL22)&lt;=0),0,SQRT(2*Simulations!$DL22*1000000/(Simulations!$J22*1000))/Simulations!$T22)</f>
        <v>0</v>
      </c>
      <c r="AK22" s="0" t="n">
        <f aca="false">IF(AND(Simulations!$A22&lt;&gt;"",OR(Simulations!$DK22&lt;&gt;"",N(Simulations!$DM22)&gt;0)),1,0)</f>
        <v>0</v>
      </c>
    </row>
    <row r="23" customFormat="false" ht="15" hidden="false" customHeight="false" outlineLevel="0" collapsed="false">
      <c r="B23" s="0" t="n">
        <f aca="false">IF(OR(NOT(AND(Simulations!$A23&lt;&gt;"",OR(Simulations!$Y23&lt;&gt;"",N(Simulations!$AA23)&gt;0))),N(Simulations!$AB23)&lt;=0,N(Simulations!$AA23)&lt;=0,1&gt;N(Simulations!$O23)),0,IF(Simulations!$AB23&lt;Simulations!$J23,Simulations!$AA23/(Simulations!$G23*Simulations!$H23*IF(Simulations!$I23&gt;0,Simulations!$I23,1))*Simulations!$AB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B23/Simulations!$J23)^1.5+SQRT(LN(Simulations!$AB23/Simulations!$J23))+Simulations!$AB23/Simulations!$J23*SQRT(PI())/2*ERFC(SQRT(LN(Simulations!$AB23/Simulations!$J23)))),PI()*Simulations!$T23^2/2*(LN(Simulations!$AB23/Simulations!$J23)+1))))</f>
        <v>0</v>
      </c>
      <c r="C23" s="0" t="n">
        <f aca="false">IF(OR(NOT(AND(Simulations!$A23&lt;&gt;"",OR(Simulations!$Y23&lt;&gt;"",N(Simulations!$AA23)&gt;0))),N(Simulations!$AC23)&lt;=0,N(Simulations!$AA23)&lt;=0,2&gt;N(Simulations!$O23)),0,IF(Simulations!$AC23&lt;Simulations!$J23,Simulations!$AA23/(Simulations!$G23*Simulations!$H23*IF(Simulations!$I23&gt;0,Simulations!$I23,1))*Simulations!$AC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C23/Simulations!$J23)^1.5+SQRT(LN(Simulations!$AC23/Simulations!$J23))+Simulations!$AC23/Simulations!$J23*SQRT(PI())/2*ERFC(SQRT(LN(Simulations!$AC23/Simulations!$J23)))),PI()*Simulations!$T23^2/2*(LN(Simulations!$AC23/Simulations!$J23)+1))))</f>
        <v>0</v>
      </c>
      <c r="D23" s="0" t="n">
        <f aca="false">IF(OR(NOT(AND(Simulations!$A23&lt;&gt;"",OR(Simulations!$Y23&lt;&gt;"",N(Simulations!$AA23)&gt;0))),N(Simulations!$AD23)&lt;=0,N(Simulations!$AA23)&lt;=0,3&gt;N(Simulations!$O23)),0,IF(Simulations!$AD23&lt;Simulations!$J23,Simulations!$AA23/(Simulations!$G23*Simulations!$H23*IF(Simulations!$I23&gt;0,Simulations!$I23,1))*Simulations!$AD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D23/Simulations!$J23)^1.5+SQRT(LN(Simulations!$AD23/Simulations!$J23))+Simulations!$AD23/Simulations!$J23*SQRT(PI())/2*ERFC(SQRT(LN(Simulations!$AD23/Simulations!$J23)))),PI()*Simulations!$T23^2/2*(LN(Simulations!$AD23/Simulations!$J23)+1))))</f>
        <v>0</v>
      </c>
      <c r="E23" s="0" t="n">
        <f aca="false">IF(NOT(AND(Simulations!$A23&lt;&gt;"",OR(Simulations!$Y23&lt;&gt;"",N(Simulations!$AA23)&gt;0))),0,MAX(N(Simulations!$AB23),N(Simulations!$AC23),N(Simulations!$AD23))/Simulations!$J23)</f>
        <v>0</v>
      </c>
      <c r="F23" s="0" t="n">
        <f aca="false">IF(OR(NOT(AND(Simulations!$A23&lt;&gt;"",OR(Simulations!$Y23&lt;&gt;"",N(Simulations!$AA23)&gt;0))),N(Simulations!$Z23)&lt;=0),0,SQRT(2*Simulations!$Z23*1000000/(Simulations!$J23*1000))/Simulations!$T23)</f>
        <v>0</v>
      </c>
      <c r="G23" s="0" t="n">
        <f aca="false">IF(AND(Simulations!$A23&lt;&gt;"",OR(Simulations!$Y23&lt;&gt;"",N(Simulations!$AA23)&gt;0)),1,0)</f>
        <v>0</v>
      </c>
      <c r="H23" s="0" t="n">
        <f aca="false">IF(OR(NOT(AND(Simulations!$A23&lt;&gt;"",OR(Simulations!$AQ23&lt;&gt;"",N(Simulations!$AS23)&gt;0))),N(Simulations!$AT23)&lt;=0,N(Simulations!$AS23)&lt;=0,1&gt;N(Simulations!$O23)),0,IF(Simulations!$AT23&lt;Simulations!$J23,Simulations!$AS23/(Simulations!$G23*Simulations!$H23*IF(Simulations!$I23&gt;0,Simulations!$I23,1))*Simulations!$AT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T23/Simulations!$J23)^1.5+SQRT(LN(Simulations!$AT23/Simulations!$J23))+Simulations!$AT23/Simulations!$J23*SQRT(PI())/2*ERFC(SQRT(LN(Simulations!$AT23/Simulations!$J23)))),PI()*Simulations!$T23^2/2*(LN(Simulations!$AT23/Simulations!$J23)+1))))</f>
        <v>0</v>
      </c>
      <c r="I23" s="0" t="n">
        <f aca="false">IF(OR(NOT(AND(Simulations!$A23&lt;&gt;"",OR(Simulations!$AQ23&lt;&gt;"",N(Simulations!$AS23)&gt;0))),N(Simulations!$AU23)&lt;=0,N(Simulations!$AS23)&lt;=0,2&gt;N(Simulations!$O23)),0,IF(Simulations!$AU23&lt;Simulations!$J23,Simulations!$AS23/(Simulations!$G23*Simulations!$H23*IF(Simulations!$I23&gt;0,Simulations!$I23,1))*Simulations!$AU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U23/Simulations!$J23)^1.5+SQRT(LN(Simulations!$AU23/Simulations!$J23))+Simulations!$AU23/Simulations!$J23*SQRT(PI())/2*ERFC(SQRT(LN(Simulations!$AU23/Simulations!$J23)))),PI()*Simulations!$T23^2/2*(LN(Simulations!$AU23/Simulations!$J23)+1))))</f>
        <v>0</v>
      </c>
      <c r="J23" s="0" t="n">
        <f aca="false">IF(OR(NOT(AND(Simulations!$A23&lt;&gt;"",OR(Simulations!$AQ23&lt;&gt;"",N(Simulations!$AS23)&gt;0))),N(Simulations!$AV23)&lt;=0,N(Simulations!$AS23)&lt;=0,3&gt;N(Simulations!$O23)),0,IF(Simulations!$AV23&lt;Simulations!$J23,Simulations!$AS23/(Simulations!$G23*Simulations!$H23*IF(Simulations!$I23&gt;0,Simulations!$I23,1))*Simulations!$AV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V23/Simulations!$J23)^1.5+SQRT(LN(Simulations!$AV23/Simulations!$J23))+Simulations!$AV23/Simulations!$J23*SQRT(PI())/2*ERFC(SQRT(LN(Simulations!$AV23/Simulations!$J23)))),PI()*Simulations!$T23^2/2*(LN(Simulations!$AV23/Simulations!$J23)+1))))</f>
        <v>0</v>
      </c>
      <c r="K23" s="0" t="n">
        <f aca="false">IF(NOT(AND(Simulations!$A23&lt;&gt;"",OR(Simulations!$AQ23&lt;&gt;"",N(Simulations!$AS23)&gt;0))),0,MAX(N(Simulations!$AT23),N(Simulations!$AU23),N(Simulations!$AV23))/Simulations!$J23)</f>
        <v>0</v>
      </c>
      <c r="L23" s="0" t="n">
        <f aca="false">IF(OR(NOT(AND(Simulations!$A23&lt;&gt;"",OR(Simulations!$AQ23&lt;&gt;"",N(Simulations!$AS23)&gt;0))),N(Simulations!$AR23)&lt;=0),0,SQRT(2*Simulations!$AR23*1000000/(Simulations!$J23*1000))/Simulations!$T23)</f>
        <v>0</v>
      </c>
      <c r="M23" s="0" t="n">
        <f aca="false">IF(AND(Simulations!$A23&lt;&gt;"",OR(Simulations!$AQ23&lt;&gt;"",N(Simulations!$AS23)&gt;0)),1,0)</f>
        <v>0</v>
      </c>
      <c r="N23" s="0" t="n">
        <f aca="false">IF(OR(NOT(AND(Simulations!$A23&lt;&gt;"",OR(Simulations!$BI23&lt;&gt;"",N(Simulations!$BK23)&gt;0))),N(Simulations!$BL23)&lt;=0,N(Simulations!$BK23)&lt;=0,1&gt;N(Simulations!$O23)),0,IF(Simulations!$BL23&lt;Simulations!$J23,Simulations!$BK23/(Simulations!$G23*Simulations!$H23*IF(Simulations!$I23&gt;0,Simulations!$I23,1))*Simulations!$BL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L23/Simulations!$J23)^1.5+SQRT(LN(Simulations!$BL23/Simulations!$J23))+Simulations!$BL23/Simulations!$J23*SQRT(PI())/2*ERFC(SQRT(LN(Simulations!$BL23/Simulations!$J23)))),PI()*Simulations!$T23^2/2*(LN(Simulations!$BL23/Simulations!$J23)+1))))</f>
        <v>0</v>
      </c>
      <c r="O23" s="0" t="n">
        <f aca="false">IF(OR(NOT(AND(Simulations!$A23&lt;&gt;"",OR(Simulations!$BI23&lt;&gt;"",N(Simulations!$BK23)&gt;0))),N(Simulations!$BM23)&lt;=0,N(Simulations!$BK23)&lt;=0,2&gt;N(Simulations!$O23)),0,IF(Simulations!$BM23&lt;Simulations!$J23,Simulations!$BK23/(Simulations!$G23*Simulations!$H23*IF(Simulations!$I23&gt;0,Simulations!$I23,1))*Simulations!$BM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M23/Simulations!$J23)^1.5+SQRT(LN(Simulations!$BM23/Simulations!$J23))+Simulations!$BM23/Simulations!$J23*SQRT(PI())/2*ERFC(SQRT(LN(Simulations!$BM23/Simulations!$J23)))),PI()*Simulations!$T23^2/2*(LN(Simulations!$BM23/Simulations!$J23)+1))))</f>
        <v>0</v>
      </c>
      <c r="P23" s="0" t="n">
        <f aca="false">IF(OR(NOT(AND(Simulations!$A23&lt;&gt;"",OR(Simulations!$BI23&lt;&gt;"",N(Simulations!$BK23)&gt;0))),N(Simulations!$BN23)&lt;=0,N(Simulations!$BK23)&lt;=0,3&gt;N(Simulations!$O23)),0,IF(Simulations!$BN23&lt;Simulations!$J23,Simulations!$BK23/(Simulations!$G23*Simulations!$H23*IF(Simulations!$I23&gt;0,Simulations!$I23,1))*Simulations!$BN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N23/Simulations!$J23)^1.5+SQRT(LN(Simulations!$BN23/Simulations!$J23))+Simulations!$BN23/Simulations!$J23*SQRT(PI())/2*ERFC(SQRT(LN(Simulations!$BN23/Simulations!$J23)))),PI()*Simulations!$T23^2/2*(LN(Simulations!$BN23/Simulations!$J23)+1))))</f>
        <v>0</v>
      </c>
      <c r="Q23" s="0" t="n">
        <f aca="false">IF(NOT(AND(Simulations!$A23&lt;&gt;"",OR(Simulations!$BI23&lt;&gt;"",N(Simulations!$BK23)&gt;0))),0,MAX(N(Simulations!$BL23),N(Simulations!$BM23),N(Simulations!$BN23))/Simulations!$J23)</f>
        <v>0</v>
      </c>
      <c r="R23" s="0" t="n">
        <f aca="false">IF(OR(NOT(AND(Simulations!$A23&lt;&gt;"",OR(Simulations!$BI23&lt;&gt;"",N(Simulations!$BK23)&gt;0))),N(Simulations!$BJ23)&lt;=0),0,SQRT(2*Simulations!$BJ23*1000000/(Simulations!$J23*1000))/Simulations!$T23)</f>
        <v>0</v>
      </c>
      <c r="S23" s="0" t="n">
        <f aca="false">IF(AND(Simulations!$A23&lt;&gt;"",OR(Simulations!$BI23&lt;&gt;"",N(Simulations!$BK23)&gt;0)),1,0)</f>
        <v>0</v>
      </c>
      <c r="T23" s="0" t="n">
        <f aca="false">IF(OR(NOT(AND(Simulations!$A23&lt;&gt;"",OR(Simulations!$CA23&lt;&gt;"",N(Simulations!$CC23)&gt;0))),N(Simulations!$CD23)&lt;=0,N(Simulations!$CC23)&lt;=0,1&gt;N(Simulations!$O23)),0,IF(Simulations!$CD23&lt;Simulations!$J23,Simulations!$CC23/(Simulations!$G23*Simulations!$H23*IF(Simulations!$I23&gt;0,Simulations!$I23,1))*Simulations!$CD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D23/Simulations!$J23)^1.5+SQRT(LN(Simulations!$CD23/Simulations!$J23))+Simulations!$CD23/Simulations!$J23*SQRT(PI())/2*ERFC(SQRT(LN(Simulations!$CD23/Simulations!$J23)))),PI()*Simulations!$T23^2/2*(LN(Simulations!$CD23/Simulations!$J23)+1))))</f>
        <v>0</v>
      </c>
      <c r="U23" s="0" t="n">
        <f aca="false">IF(OR(NOT(AND(Simulations!$A23&lt;&gt;"",OR(Simulations!$CA23&lt;&gt;"",N(Simulations!$CC23)&gt;0))),N(Simulations!$CE23)&lt;=0,N(Simulations!$CC23)&lt;=0,2&gt;N(Simulations!$O23)),0,IF(Simulations!$CE23&lt;Simulations!$J23,Simulations!$CC23/(Simulations!$G23*Simulations!$H23*IF(Simulations!$I23&gt;0,Simulations!$I23,1))*Simulations!$CE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E23/Simulations!$J23)^1.5+SQRT(LN(Simulations!$CE23/Simulations!$J23))+Simulations!$CE23/Simulations!$J23*SQRT(PI())/2*ERFC(SQRT(LN(Simulations!$CE23/Simulations!$J23)))),PI()*Simulations!$T23^2/2*(LN(Simulations!$CE23/Simulations!$J23)+1))))</f>
        <v>0</v>
      </c>
      <c r="V23" s="0" t="n">
        <f aca="false">IF(OR(NOT(AND(Simulations!$A23&lt;&gt;"",OR(Simulations!$CA23&lt;&gt;"",N(Simulations!$CC23)&gt;0))),N(Simulations!$CF23)&lt;=0,N(Simulations!$CC23)&lt;=0,3&gt;N(Simulations!$O23)),0,IF(Simulations!$CF23&lt;Simulations!$J23,Simulations!$CC23/(Simulations!$G23*Simulations!$H23*IF(Simulations!$I23&gt;0,Simulations!$I23,1))*Simulations!$CF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F23/Simulations!$J23)^1.5+SQRT(LN(Simulations!$CF23/Simulations!$J23))+Simulations!$CF23/Simulations!$J23*SQRT(PI())/2*ERFC(SQRT(LN(Simulations!$CF23/Simulations!$J23)))),PI()*Simulations!$T23^2/2*(LN(Simulations!$CF23/Simulations!$J23)+1))))</f>
        <v>0</v>
      </c>
      <c r="W23" s="0" t="n">
        <f aca="false">IF(NOT(AND(Simulations!$A23&lt;&gt;"",OR(Simulations!$CA23&lt;&gt;"",N(Simulations!$CC23)&gt;0))),0,MAX(N(Simulations!$CD23),N(Simulations!$CE23),N(Simulations!$CF23))/Simulations!$J23)</f>
        <v>0</v>
      </c>
      <c r="X23" s="0" t="n">
        <f aca="false">IF(OR(NOT(AND(Simulations!$A23&lt;&gt;"",OR(Simulations!$CA23&lt;&gt;"",N(Simulations!$CC23)&gt;0))),N(Simulations!$CB23)&lt;=0),0,SQRT(2*Simulations!$CB23*1000000/(Simulations!$J23*1000))/Simulations!$T23)</f>
        <v>0</v>
      </c>
      <c r="Y23" s="0" t="n">
        <f aca="false">IF(AND(Simulations!$A23&lt;&gt;"",OR(Simulations!$CA23&lt;&gt;"",N(Simulations!$CC23)&gt;0)),1,0)</f>
        <v>0</v>
      </c>
      <c r="Z23" s="0" t="n">
        <f aca="false">IF(OR(NOT(AND(Simulations!$A23&lt;&gt;"",OR(Simulations!$CS23&lt;&gt;"",N(Simulations!$CU23)&gt;0))),N(Simulations!$CV23)&lt;=0,N(Simulations!$CU23)&lt;=0,1&gt;N(Simulations!$O23)),0,IF(Simulations!$CV23&lt;Simulations!$J23,Simulations!$CU23/(Simulations!$G23*Simulations!$H23*IF(Simulations!$I23&gt;0,Simulations!$I23,1))*Simulations!$CV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V23/Simulations!$J23)^1.5+SQRT(LN(Simulations!$CV23/Simulations!$J23))+Simulations!$CV23/Simulations!$J23*SQRT(PI())/2*ERFC(SQRT(LN(Simulations!$CV23/Simulations!$J23)))),PI()*Simulations!$T23^2/2*(LN(Simulations!$CV23/Simulations!$J23)+1))))</f>
        <v>0</v>
      </c>
      <c r="AA23" s="0" t="n">
        <f aca="false">IF(OR(NOT(AND(Simulations!$A23&lt;&gt;"",OR(Simulations!$CS23&lt;&gt;"",N(Simulations!$CU23)&gt;0))),N(Simulations!$CW23)&lt;=0,N(Simulations!$CU23)&lt;=0,2&gt;N(Simulations!$O23)),0,IF(Simulations!$CW23&lt;Simulations!$J23,Simulations!$CU23/(Simulations!$G23*Simulations!$H23*IF(Simulations!$I23&gt;0,Simulations!$I23,1))*Simulations!$CW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W23/Simulations!$J23)^1.5+SQRT(LN(Simulations!$CW23/Simulations!$J23))+Simulations!$CW23/Simulations!$J23*SQRT(PI())/2*ERFC(SQRT(LN(Simulations!$CW23/Simulations!$J23)))),PI()*Simulations!$T23^2/2*(LN(Simulations!$CW23/Simulations!$J23)+1))))</f>
        <v>0</v>
      </c>
      <c r="AB23" s="0" t="n">
        <f aca="false">IF(OR(NOT(AND(Simulations!$A23&lt;&gt;"",OR(Simulations!$CS23&lt;&gt;"",N(Simulations!$CU23)&gt;0))),N(Simulations!$CX23)&lt;=0,N(Simulations!$CU23)&lt;=0,3&gt;N(Simulations!$O23)),0,IF(Simulations!$CX23&lt;Simulations!$J23,Simulations!$CU23/(Simulations!$G23*Simulations!$H23*IF(Simulations!$I23&gt;0,Simulations!$I23,1))*Simulations!$CX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X23/Simulations!$J23)^1.5+SQRT(LN(Simulations!$CX23/Simulations!$J23))+Simulations!$CX23/Simulations!$J23*SQRT(PI())/2*ERFC(SQRT(LN(Simulations!$CX23/Simulations!$J23)))),PI()*Simulations!$T23^2/2*(LN(Simulations!$CX23/Simulations!$J23)+1))))</f>
        <v>0</v>
      </c>
      <c r="AC23" s="0" t="n">
        <f aca="false">IF(NOT(AND(Simulations!$A23&lt;&gt;"",OR(Simulations!$CS23&lt;&gt;"",N(Simulations!$CU23)&gt;0))),0,MAX(N(Simulations!$CV23),N(Simulations!$CW23),N(Simulations!$CX23))/Simulations!$J23)</f>
        <v>0</v>
      </c>
      <c r="AD23" s="0" t="n">
        <f aca="false">IF(OR(NOT(AND(Simulations!$A23&lt;&gt;"",OR(Simulations!$CS23&lt;&gt;"",N(Simulations!$CU23)&gt;0))),N(Simulations!$CT23)&lt;=0),0,SQRT(2*Simulations!$CT23*1000000/(Simulations!$J23*1000))/Simulations!$T23)</f>
        <v>0</v>
      </c>
      <c r="AE23" s="0" t="n">
        <f aca="false">IF(AND(Simulations!$A23&lt;&gt;"",OR(Simulations!$CS23&lt;&gt;"",N(Simulations!$CU23)&gt;0)),1,0)</f>
        <v>0</v>
      </c>
      <c r="AF23" s="0" t="n">
        <f aca="false">IF(OR(NOT(AND(Simulations!$A23&lt;&gt;"",OR(Simulations!$DK23&lt;&gt;"",N(Simulations!$DM23)&gt;0))),N(Simulations!$DN23)&lt;=0,N(Simulations!$DM23)&lt;=0,1&gt;N(Simulations!$O23)),0,IF(Simulations!$DN23&lt;Simulations!$J23,Simulations!$DM23/(Simulations!$G23*Simulations!$H23*IF(Simulations!$I23&gt;0,Simulations!$I23,1))*Simulations!$DN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N23/Simulations!$J23)^1.5+SQRT(LN(Simulations!$DN23/Simulations!$J23))+Simulations!$DN23/Simulations!$J23*SQRT(PI())/2*ERFC(SQRT(LN(Simulations!$DN23/Simulations!$J23)))),PI()*Simulations!$T23^2/2*(LN(Simulations!$DN23/Simulations!$J23)+1))))</f>
        <v>0</v>
      </c>
      <c r="AG23" s="0" t="n">
        <f aca="false">IF(OR(NOT(AND(Simulations!$A23&lt;&gt;"",OR(Simulations!$DK23&lt;&gt;"",N(Simulations!$DM23)&gt;0))),N(Simulations!$DO23)&lt;=0,N(Simulations!$DM23)&lt;=0,2&gt;N(Simulations!$O23)),0,IF(Simulations!$DO23&lt;Simulations!$J23,Simulations!$DM23/(Simulations!$G23*Simulations!$H23*IF(Simulations!$I23&gt;0,Simulations!$I23,1))*Simulations!$DO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O23/Simulations!$J23)^1.5+SQRT(LN(Simulations!$DO23/Simulations!$J23))+Simulations!$DO23/Simulations!$J23*SQRT(PI())/2*ERFC(SQRT(LN(Simulations!$DO23/Simulations!$J23)))),PI()*Simulations!$T23^2/2*(LN(Simulations!$DO23/Simulations!$J23)+1))))</f>
        <v>0</v>
      </c>
      <c r="AH23" s="0" t="n">
        <f aca="false">IF(OR(NOT(AND(Simulations!$A23&lt;&gt;"",OR(Simulations!$DK23&lt;&gt;"",N(Simulations!$DM23)&gt;0))),N(Simulations!$DP23)&lt;=0,N(Simulations!$DM23)&lt;=0,3&gt;N(Simulations!$O23)),0,IF(Simulations!$DP23&lt;Simulations!$J23,Simulations!$DM23/(Simulations!$G23*Simulations!$H23*IF(Simulations!$I23&gt;0,Simulations!$I23,1))*Simulations!$DP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P23/Simulations!$J23)^1.5+SQRT(LN(Simulations!$DP23/Simulations!$J23))+Simulations!$DP23/Simulations!$J23*SQRT(PI())/2*ERFC(SQRT(LN(Simulations!$DP23/Simulations!$J23)))),PI()*Simulations!$T23^2/2*(LN(Simulations!$DP23/Simulations!$J23)+1))))</f>
        <v>0</v>
      </c>
      <c r="AI23" s="0" t="n">
        <f aca="false">IF(NOT(AND(Simulations!$A23&lt;&gt;"",OR(Simulations!$DK23&lt;&gt;"",N(Simulations!$DM23)&gt;0))),0,MAX(N(Simulations!$DN23),N(Simulations!$DO23),N(Simulations!$DP23))/Simulations!$J23)</f>
        <v>0</v>
      </c>
      <c r="AJ23" s="0" t="n">
        <f aca="false">IF(OR(NOT(AND(Simulations!$A23&lt;&gt;"",OR(Simulations!$DK23&lt;&gt;"",N(Simulations!$DM23)&gt;0))),N(Simulations!$DL23)&lt;=0),0,SQRT(2*Simulations!$DL23*1000000/(Simulations!$J23*1000))/Simulations!$T23)</f>
        <v>0</v>
      </c>
      <c r="AK23" s="0" t="n">
        <f aca="false">IF(AND(Simulations!$A23&lt;&gt;"",OR(Simulations!$DK23&lt;&gt;"",N(Simulations!$DM23)&gt;0)),1,0)</f>
        <v>0</v>
      </c>
    </row>
    <row r="24" customFormat="false" ht="15" hidden="false" customHeight="false" outlineLevel="0" collapsed="false">
      <c r="B24" s="0" t="n">
        <f aca="false">IF(OR(NOT(AND(Simulations!$A24&lt;&gt;"",OR(Simulations!$Y24&lt;&gt;"",N(Simulations!$AA24)&gt;0))),N(Simulations!$AB24)&lt;=0,N(Simulations!$AA24)&lt;=0,1&gt;N(Simulations!$O24)),0,IF(Simulations!$AB24&lt;Simulations!$J24,Simulations!$AA24/(Simulations!$G24*Simulations!$H24*IF(Simulations!$I24&gt;0,Simulations!$I24,1))*Simulations!$AB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B24/Simulations!$J24)^1.5+SQRT(LN(Simulations!$AB24/Simulations!$J24))+Simulations!$AB24/Simulations!$J24*SQRT(PI())/2*ERFC(SQRT(LN(Simulations!$AB24/Simulations!$J24)))),PI()*Simulations!$T24^2/2*(LN(Simulations!$AB24/Simulations!$J24)+1))))</f>
        <v>0</v>
      </c>
      <c r="C24" s="0" t="n">
        <f aca="false">IF(OR(NOT(AND(Simulations!$A24&lt;&gt;"",OR(Simulations!$Y24&lt;&gt;"",N(Simulations!$AA24)&gt;0))),N(Simulations!$AC24)&lt;=0,N(Simulations!$AA24)&lt;=0,2&gt;N(Simulations!$O24)),0,IF(Simulations!$AC24&lt;Simulations!$J24,Simulations!$AA24/(Simulations!$G24*Simulations!$H24*IF(Simulations!$I24&gt;0,Simulations!$I24,1))*Simulations!$AC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C24/Simulations!$J24)^1.5+SQRT(LN(Simulations!$AC24/Simulations!$J24))+Simulations!$AC24/Simulations!$J24*SQRT(PI())/2*ERFC(SQRT(LN(Simulations!$AC24/Simulations!$J24)))),PI()*Simulations!$T24^2/2*(LN(Simulations!$AC24/Simulations!$J24)+1))))</f>
        <v>0</v>
      </c>
      <c r="D24" s="0" t="n">
        <f aca="false">IF(OR(NOT(AND(Simulations!$A24&lt;&gt;"",OR(Simulations!$Y24&lt;&gt;"",N(Simulations!$AA24)&gt;0))),N(Simulations!$AD24)&lt;=0,N(Simulations!$AA24)&lt;=0,3&gt;N(Simulations!$O24)),0,IF(Simulations!$AD24&lt;Simulations!$J24,Simulations!$AA24/(Simulations!$G24*Simulations!$H24*IF(Simulations!$I24&gt;0,Simulations!$I24,1))*Simulations!$AD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D24/Simulations!$J24)^1.5+SQRT(LN(Simulations!$AD24/Simulations!$J24))+Simulations!$AD24/Simulations!$J24*SQRT(PI())/2*ERFC(SQRT(LN(Simulations!$AD24/Simulations!$J24)))),PI()*Simulations!$T24^2/2*(LN(Simulations!$AD24/Simulations!$J24)+1))))</f>
        <v>0</v>
      </c>
      <c r="E24" s="0" t="n">
        <f aca="false">IF(NOT(AND(Simulations!$A24&lt;&gt;"",OR(Simulations!$Y24&lt;&gt;"",N(Simulations!$AA24)&gt;0))),0,MAX(N(Simulations!$AB24),N(Simulations!$AC24),N(Simulations!$AD24))/Simulations!$J24)</f>
        <v>0</v>
      </c>
      <c r="F24" s="0" t="n">
        <f aca="false">IF(OR(NOT(AND(Simulations!$A24&lt;&gt;"",OR(Simulations!$Y24&lt;&gt;"",N(Simulations!$AA24)&gt;0))),N(Simulations!$Z24)&lt;=0),0,SQRT(2*Simulations!$Z24*1000000/(Simulations!$J24*1000))/Simulations!$T24)</f>
        <v>0</v>
      </c>
      <c r="G24" s="0" t="n">
        <f aca="false">IF(AND(Simulations!$A24&lt;&gt;"",OR(Simulations!$Y24&lt;&gt;"",N(Simulations!$AA24)&gt;0)),1,0)</f>
        <v>0</v>
      </c>
      <c r="H24" s="0" t="n">
        <f aca="false">IF(OR(NOT(AND(Simulations!$A24&lt;&gt;"",OR(Simulations!$AQ24&lt;&gt;"",N(Simulations!$AS24)&gt;0))),N(Simulations!$AT24)&lt;=0,N(Simulations!$AS24)&lt;=0,1&gt;N(Simulations!$O24)),0,IF(Simulations!$AT24&lt;Simulations!$J24,Simulations!$AS24/(Simulations!$G24*Simulations!$H24*IF(Simulations!$I24&gt;0,Simulations!$I24,1))*Simulations!$AT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T24/Simulations!$J24)^1.5+SQRT(LN(Simulations!$AT24/Simulations!$J24))+Simulations!$AT24/Simulations!$J24*SQRT(PI())/2*ERFC(SQRT(LN(Simulations!$AT24/Simulations!$J24)))),PI()*Simulations!$T24^2/2*(LN(Simulations!$AT24/Simulations!$J24)+1))))</f>
        <v>0</v>
      </c>
      <c r="I24" s="0" t="n">
        <f aca="false">IF(OR(NOT(AND(Simulations!$A24&lt;&gt;"",OR(Simulations!$AQ24&lt;&gt;"",N(Simulations!$AS24)&gt;0))),N(Simulations!$AU24)&lt;=0,N(Simulations!$AS24)&lt;=0,2&gt;N(Simulations!$O24)),0,IF(Simulations!$AU24&lt;Simulations!$J24,Simulations!$AS24/(Simulations!$G24*Simulations!$H24*IF(Simulations!$I24&gt;0,Simulations!$I24,1))*Simulations!$AU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U24/Simulations!$J24)^1.5+SQRT(LN(Simulations!$AU24/Simulations!$J24))+Simulations!$AU24/Simulations!$J24*SQRT(PI())/2*ERFC(SQRT(LN(Simulations!$AU24/Simulations!$J24)))),PI()*Simulations!$T24^2/2*(LN(Simulations!$AU24/Simulations!$J24)+1))))</f>
        <v>0</v>
      </c>
      <c r="J24" s="0" t="n">
        <f aca="false">IF(OR(NOT(AND(Simulations!$A24&lt;&gt;"",OR(Simulations!$AQ24&lt;&gt;"",N(Simulations!$AS24)&gt;0))),N(Simulations!$AV24)&lt;=0,N(Simulations!$AS24)&lt;=0,3&gt;N(Simulations!$O24)),0,IF(Simulations!$AV24&lt;Simulations!$J24,Simulations!$AS24/(Simulations!$G24*Simulations!$H24*IF(Simulations!$I24&gt;0,Simulations!$I24,1))*Simulations!$AV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V24/Simulations!$J24)^1.5+SQRT(LN(Simulations!$AV24/Simulations!$J24))+Simulations!$AV24/Simulations!$J24*SQRT(PI())/2*ERFC(SQRT(LN(Simulations!$AV24/Simulations!$J24)))),PI()*Simulations!$T24^2/2*(LN(Simulations!$AV24/Simulations!$J24)+1))))</f>
        <v>0</v>
      </c>
      <c r="K24" s="0" t="n">
        <f aca="false">IF(NOT(AND(Simulations!$A24&lt;&gt;"",OR(Simulations!$AQ24&lt;&gt;"",N(Simulations!$AS24)&gt;0))),0,MAX(N(Simulations!$AT24),N(Simulations!$AU24),N(Simulations!$AV24))/Simulations!$J24)</f>
        <v>0</v>
      </c>
      <c r="L24" s="0" t="n">
        <f aca="false">IF(OR(NOT(AND(Simulations!$A24&lt;&gt;"",OR(Simulations!$AQ24&lt;&gt;"",N(Simulations!$AS24)&gt;0))),N(Simulations!$AR24)&lt;=0),0,SQRT(2*Simulations!$AR24*1000000/(Simulations!$J24*1000))/Simulations!$T24)</f>
        <v>0</v>
      </c>
      <c r="M24" s="0" t="n">
        <f aca="false">IF(AND(Simulations!$A24&lt;&gt;"",OR(Simulations!$AQ24&lt;&gt;"",N(Simulations!$AS24)&gt;0)),1,0)</f>
        <v>0</v>
      </c>
      <c r="N24" s="0" t="n">
        <f aca="false">IF(OR(NOT(AND(Simulations!$A24&lt;&gt;"",OR(Simulations!$BI24&lt;&gt;"",N(Simulations!$BK24)&gt;0))),N(Simulations!$BL24)&lt;=0,N(Simulations!$BK24)&lt;=0,1&gt;N(Simulations!$O24)),0,IF(Simulations!$BL24&lt;Simulations!$J24,Simulations!$BK24/(Simulations!$G24*Simulations!$H24*IF(Simulations!$I24&gt;0,Simulations!$I24,1))*Simulations!$BL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L24/Simulations!$J24)^1.5+SQRT(LN(Simulations!$BL24/Simulations!$J24))+Simulations!$BL24/Simulations!$J24*SQRT(PI())/2*ERFC(SQRT(LN(Simulations!$BL24/Simulations!$J24)))),PI()*Simulations!$T24^2/2*(LN(Simulations!$BL24/Simulations!$J24)+1))))</f>
        <v>0</v>
      </c>
      <c r="O24" s="0" t="n">
        <f aca="false">IF(OR(NOT(AND(Simulations!$A24&lt;&gt;"",OR(Simulations!$BI24&lt;&gt;"",N(Simulations!$BK24)&gt;0))),N(Simulations!$BM24)&lt;=0,N(Simulations!$BK24)&lt;=0,2&gt;N(Simulations!$O24)),0,IF(Simulations!$BM24&lt;Simulations!$J24,Simulations!$BK24/(Simulations!$G24*Simulations!$H24*IF(Simulations!$I24&gt;0,Simulations!$I24,1))*Simulations!$BM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M24/Simulations!$J24)^1.5+SQRT(LN(Simulations!$BM24/Simulations!$J24))+Simulations!$BM24/Simulations!$J24*SQRT(PI())/2*ERFC(SQRT(LN(Simulations!$BM24/Simulations!$J24)))),PI()*Simulations!$T24^2/2*(LN(Simulations!$BM24/Simulations!$J24)+1))))</f>
        <v>0</v>
      </c>
      <c r="P24" s="0" t="n">
        <f aca="false">IF(OR(NOT(AND(Simulations!$A24&lt;&gt;"",OR(Simulations!$BI24&lt;&gt;"",N(Simulations!$BK24)&gt;0))),N(Simulations!$BN24)&lt;=0,N(Simulations!$BK24)&lt;=0,3&gt;N(Simulations!$O24)),0,IF(Simulations!$BN24&lt;Simulations!$J24,Simulations!$BK24/(Simulations!$G24*Simulations!$H24*IF(Simulations!$I24&gt;0,Simulations!$I24,1))*Simulations!$BN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N24/Simulations!$J24)^1.5+SQRT(LN(Simulations!$BN24/Simulations!$J24))+Simulations!$BN24/Simulations!$J24*SQRT(PI())/2*ERFC(SQRT(LN(Simulations!$BN24/Simulations!$J24)))),PI()*Simulations!$T24^2/2*(LN(Simulations!$BN24/Simulations!$J24)+1))))</f>
        <v>0</v>
      </c>
      <c r="Q24" s="0" t="n">
        <f aca="false">IF(NOT(AND(Simulations!$A24&lt;&gt;"",OR(Simulations!$BI24&lt;&gt;"",N(Simulations!$BK24)&gt;0))),0,MAX(N(Simulations!$BL24),N(Simulations!$BM24),N(Simulations!$BN24))/Simulations!$J24)</f>
        <v>0</v>
      </c>
      <c r="R24" s="0" t="n">
        <f aca="false">IF(OR(NOT(AND(Simulations!$A24&lt;&gt;"",OR(Simulations!$BI24&lt;&gt;"",N(Simulations!$BK24)&gt;0))),N(Simulations!$BJ24)&lt;=0),0,SQRT(2*Simulations!$BJ24*1000000/(Simulations!$J24*1000))/Simulations!$T24)</f>
        <v>0</v>
      </c>
      <c r="S24" s="0" t="n">
        <f aca="false">IF(AND(Simulations!$A24&lt;&gt;"",OR(Simulations!$BI24&lt;&gt;"",N(Simulations!$BK24)&gt;0)),1,0)</f>
        <v>0</v>
      </c>
      <c r="T24" s="0" t="n">
        <f aca="false">IF(OR(NOT(AND(Simulations!$A24&lt;&gt;"",OR(Simulations!$CA24&lt;&gt;"",N(Simulations!$CC24)&gt;0))),N(Simulations!$CD24)&lt;=0,N(Simulations!$CC24)&lt;=0,1&gt;N(Simulations!$O24)),0,IF(Simulations!$CD24&lt;Simulations!$J24,Simulations!$CC24/(Simulations!$G24*Simulations!$H24*IF(Simulations!$I24&gt;0,Simulations!$I24,1))*Simulations!$CD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D24/Simulations!$J24)^1.5+SQRT(LN(Simulations!$CD24/Simulations!$J24))+Simulations!$CD24/Simulations!$J24*SQRT(PI())/2*ERFC(SQRT(LN(Simulations!$CD24/Simulations!$J24)))),PI()*Simulations!$T24^2/2*(LN(Simulations!$CD24/Simulations!$J24)+1))))</f>
        <v>0</v>
      </c>
      <c r="U24" s="0" t="n">
        <f aca="false">IF(OR(NOT(AND(Simulations!$A24&lt;&gt;"",OR(Simulations!$CA24&lt;&gt;"",N(Simulations!$CC24)&gt;0))),N(Simulations!$CE24)&lt;=0,N(Simulations!$CC24)&lt;=0,2&gt;N(Simulations!$O24)),0,IF(Simulations!$CE24&lt;Simulations!$J24,Simulations!$CC24/(Simulations!$G24*Simulations!$H24*IF(Simulations!$I24&gt;0,Simulations!$I24,1))*Simulations!$CE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E24/Simulations!$J24)^1.5+SQRT(LN(Simulations!$CE24/Simulations!$J24))+Simulations!$CE24/Simulations!$J24*SQRT(PI())/2*ERFC(SQRT(LN(Simulations!$CE24/Simulations!$J24)))),PI()*Simulations!$T24^2/2*(LN(Simulations!$CE24/Simulations!$J24)+1))))</f>
        <v>0</v>
      </c>
      <c r="V24" s="0" t="n">
        <f aca="false">IF(OR(NOT(AND(Simulations!$A24&lt;&gt;"",OR(Simulations!$CA24&lt;&gt;"",N(Simulations!$CC24)&gt;0))),N(Simulations!$CF24)&lt;=0,N(Simulations!$CC24)&lt;=0,3&gt;N(Simulations!$O24)),0,IF(Simulations!$CF24&lt;Simulations!$J24,Simulations!$CC24/(Simulations!$G24*Simulations!$H24*IF(Simulations!$I24&gt;0,Simulations!$I24,1))*Simulations!$CF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F24/Simulations!$J24)^1.5+SQRT(LN(Simulations!$CF24/Simulations!$J24))+Simulations!$CF24/Simulations!$J24*SQRT(PI())/2*ERFC(SQRT(LN(Simulations!$CF24/Simulations!$J24)))),PI()*Simulations!$T24^2/2*(LN(Simulations!$CF24/Simulations!$J24)+1))))</f>
        <v>0</v>
      </c>
      <c r="W24" s="0" t="n">
        <f aca="false">IF(NOT(AND(Simulations!$A24&lt;&gt;"",OR(Simulations!$CA24&lt;&gt;"",N(Simulations!$CC24)&gt;0))),0,MAX(N(Simulations!$CD24),N(Simulations!$CE24),N(Simulations!$CF24))/Simulations!$J24)</f>
        <v>0</v>
      </c>
      <c r="X24" s="0" t="n">
        <f aca="false">IF(OR(NOT(AND(Simulations!$A24&lt;&gt;"",OR(Simulations!$CA24&lt;&gt;"",N(Simulations!$CC24)&gt;0))),N(Simulations!$CB24)&lt;=0),0,SQRT(2*Simulations!$CB24*1000000/(Simulations!$J24*1000))/Simulations!$T24)</f>
        <v>0</v>
      </c>
      <c r="Y24" s="0" t="n">
        <f aca="false">IF(AND(Simulations!$A24&lt;&gt;"",OR(Simulations!$CA24&lt;&gt;"",N(Simulations!$CC24)&gt;0)),1,0)</f>
        <v>0</v>
      </c>
      <c r="Z24" s="0" t="n">
        <f aca="false">IF(OR(NOT(AND(Simulations!$A24&lt;&gt;"",OR(Simulations!$CS24&lt;&gt;"",N(Simulations!$CU24)&gt;0))),N(Simulations!$CV24)&lt;=0,N(Simulations!$CU24)&lt;=0,1&gt;N(Simulations!$O24)),0,IF(Simulations!$CV24&lt;Simulations!$J24,Simulations!$CU24/(Simulations!$G24*Simulations!$H24*IF(Simulations!$I24&gt;0,Simulations!$I24,1))*Simulations!$CV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V24/Simulations!$J24)^1.5+SQRT(LN(Simulations!$CV24/Simulations!$J24))+Simulations!$CV24/Simulations!$J24*SQRT(PI())/2*ERFC(SQRT(LN(Simulations!$CV24/Simulations!$J24)))),PI()*Simulations!$T24^2/2*(LN(Simulations!$CV24/Simulations!$J24)+1))))</f>
        <v>0</v>
      </c>
      <c r="AA24" s="0" t="n">
        <f aca="false">IF(OR(NOT(AND(Simulations!$A24&lt;&gt;"",OR(Simulations!$CS24&lt;&gt;"",N(Simulations!$CU24)&gt;0))),N(Simulations!$CW24)&lt;=0,N(Simulations!$CU24)&lt;=0,2&gt;N(Simulations!$O24)),0,IF(Simulations!$CW24&lt;Simulations!$J24,Simulations!$CU24/(Simulations!$G24*Simulations!$H24*IF(Simulations!$I24&gt;0,Simulations!$I24,1))*Simulations!$CW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W24/Simulations!$J24)^1.5+SQRT(LN(Simulations!$CW24/Simulations!$J24))+Simulations!$CW24/Simulations!$J24*SQRT(PI())/2*ERFC(SQRT(LN(Simulations!$CW24/Simulations!$J24)))),PI()*Simulations!$T24^2/2*(LN(Simulations!$CW24/Simulations!$J24)+1))))</f>
        <v>0</v>
      </c>
      <c r="AB24" s="0" t="n">
        <f aca="false">IF(OR(NOT(AND(Simulations!$A24&lt;&gt;"",OR(Simulations!$CS24&lt;&gt;"",N(Simulations!$CU24)&gt;0))),N(Simulations!$CX24)&lt;=0,N(Simulations!$CU24)&lt;=0,3&gt;N(Simulations!$O24)),0,IF(Simulations!$CX24&lt;Simulations!$J24,Simulations!$CU24/(Simulations!$G24*Simulations!$H24*IF(Simulations!$I24&gt;0,Simulations!$I24,1))*Simulations!$CX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X24/Simulations!$J24)^1.5+SQRT(LN(Simulations!$CX24/Simulations!$J24))+Simulations!$CX24/Simulations!$J24*SQRT(PI())/2*ERFC(SQRT(LN(Simulations!$CX24/Simulations!$J24)))),PI()*Simulations!$T24^2/2*(LN(Simulations!$CX24/Simulations!$J24)+1))))</f>
        <v>0</v>
      </c>
      <c r="AC24" s="0" t="n">
        <f aca="false">IF(NOT(AND(Simulations!$A24&lt;&gt;"",OR(Simulations!$CS24&lt;&gt;"",N(Simulations!$CU24)&gt;0))),0,MAX(N(Simulations!$CV24),N(Simulations!$CW24),N(Simulations!$CX24))/Simulations!$J24)</f>
        <v>0</v>
      </c>
      <c r="AD24" s="0" t="n">
        <f aca="false">IF(OR(NOT(AND(Simulations!$A24&lt;&gt;"",OR(Simulations!$CS24&lt;&gt;"",N(Simulations!$CU24)&gt;0))),N(Simulations!$CT24)&lt;=0),0,SQRT(2*Simulations!$CT24*1000000/(Simulations!$J24*1000))/Simulations!$T24)</f>
        <v>0</v>
      </c>
      <c r="AE24" s="0" t="n">
        <f aca="false">IF(AND(Simulations!$A24&lt;&gt;"",OR(Simulations!$CS24&lt;&gt;"",N(Simulations!$CU24)&gt;0)),1,0)</f>
        <v>0</v>
      </c>
      <c r="AF24" s="0" t="n">
        <f aca="false">IF(OR(NOT(AND(Simulations!$A24&lt;&gt;"",OR(Simulations!$DK24&lt;&gt;"",N(Simulations!$DM24)&gt;0))),N(Simulations!$DN24)&lt;=0,N(Simulations!$DM24)&lt;=0,1&gt;N(Simulations!$O24)),0,IF(Simulations!$DN24&lt;Simulations!$J24,Simulations!$DM24/(Simulations!$G24*Simulations!$H24*IF(Simulations!$I24&gt;0,Simulations!$I24,1))*Simulations!$DN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N24/Simulations!$J24)^1.5+SQRT(LN(Simulations!$DN24/Simulations!$J24))+Simulations!$DN24/Simulations!$J24*SQRT(PI())/2*ERFC(SQRT(LN(Simulations!$DN24/Simulations!$J24)))),PI()*Simulations!$T24^2/2*(LN(Simulations!$DN24/Simulations!$J24)+1))))</f>
        <v>0</v>
      </c>
      <c r="AG24" s="0" t="n">
        <f aca="false">IF(OR(NOT(AND(Simulations!$A24&lt;&gt;"",OR(Simulations!$DK24&lt;&gt;"",N(Simulations!$DM24)&gt;0))),N(Simulations!$DO24)&lt;=0,N(Simulations!$DM24)&lt;=0,2&gt;N(Simulations!$O24)),0,IF(Simulations!$DO24&lt;Simulations!$J24,Simulations!$DM24/(Simulations!$G24*Simulations!$H24*IF(Simulations!$I24&gt;0,Simulations!$I24,1))*Simulations!$DO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O24/Simulations!$J24)^1.5+SQRT(LN(Simulations!$DO24/Simulations!$J24))+Simulations!$DO24/Simulations!$J24*SQRT(PI())/2*ERFC(SQRT(LN(Simulations!$DO24/Simulations!$J24)))),PI()*Simulations!$T24^2/2*(LN(Simulations!$DO24/Simulations!$J24)+1))))</f>
        <v>0</v>
      </c>
      <c r="AH24" s="0" t="n">
        <f aca="false">IF(OR(NOT(AND(Simulations!$A24&lt;&gt;"",OR(Simulations!$DK24&lt;&gt;"",N(Simulations!$DM24)&gt;0))),N(Simulations!$DP24)&lt;=0,N(Simulations!$DM24)&lt;=0,3&gt;N(Simulations!$O24)),0,IF(Simulations!$DP24&lt;Simulations!$J24,Simulations!$DM24/(Simulations!$G24*Simulations!$H24*IF(Simulations!$I24&gt;0,Simulations!$I24,1))*Simulations!$DP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P24/Simulations!$J24)^1.5+SQRT(LN(Simulations!$DP24/Simulations!$J24))+Simulations!$DP24/Simulations!$J24*SQRT(PI())/2*ERFC(SQRT(LN(Simulations!$DP24/Simulations!$J24)))),PI()*Simulations!$T24^2/2*(LN(Simulations!$DP24/Simulations!$J24)+1))))</f>
        <v>0</v>
      </c>
      <c r="AI24" s="0" t="n">
        <f aca="false">IF(NOT(AND(Simulations!$A24&lt;&gt;"",OR(Simulations!$DK24&lt;&gt;"",N(Simulations!$DM24)&gt;0))),0,MAX(N(Simulations!$DN24),N(Simulations!$DO24),N(Simulations!$DP24))/Simulations!$J24)</f>
        <v>0</v>
      </c>
      <c r="AJ24" s="0" t="n">
        <f aca="false">IF(OR(NOT(AND(Simulations!$A24&lt;&gt;"",OR(Simulations!$DK24&lt;&gt;"",N(Simulations!$DM24)&gt;0))),N(Simulations!$DL24)&lt;=0),0,SQRT(2*Simulations!$DL24*1000000/(Simulations!$J24*1000))/Simulations!$T24)</f>
        <v>0</v>
      </c>
      <c r="AK24" s="0" t="n">
        <f aca="false">IF(AND(Simulations!$A24&lt;&gt;"",OR(Simulations!$DK24&lt;&gt;"",N(Simulations!$DM24)&gt;0)),1,0)</f>
        <v>0</v>
      </c>
    </row>
    <row r="25" customFormat="false" ht="15" hidden="false" customHeight="false" outlineLevel="0" collapsed="false">
      <c r="B25" s="0" t="n">
        <f aca="false">IF(OR(NOT(AND(Simulations!$A25&lt;&gt;"",OR(Simulations!$Y25&lt;&gt;"",N(Simulations!$AA25)&gt;0))),N(Simulations!$AB25)&lt;=0,N(Simulations!$AA25)&lt;=0,1&gt;N(Simulations!$O25)),0,IF(Simulations!$AB25&lt;Simulations!$J25,Simulations!$AA25/(Simulations!$G25*Simulations!$H25*IF(Simulations!$I25&gt;0,Simulations!$I25,1))*Simulations!$AB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B25/Simulations!$J25)^1.5+SQRT(LN(Simulations!$AB25/Simulations!$J25))+Simulations!$AB25/Simulations!$J25*SQRT(PI())/2*ERFC(SQRT(LN(Simulations!$AB25/Simulations!$J25)))),PI()*Simulations!$T25^2/2*(LN(Simulations!$AB25/Simulations!$J25)+1))))</f>
        <v>0</v>
      </c>
      <c r="C25" s="0" t="n">
        <f aca="false">IF(OR(NOT(AND(Simulations!$A25&lt;&gt;"",OR(Simulations!$Y25&lt;&gt;"",N(Simulations!$AA25)&gt;0))),N(Simulations!$AC25)&lt;=0,N(Simulations!$AA25)&lt;=0,2&gt;N(Simulations!$O25)),0,IF(Simulations!$AC25&lt;Simulations!$J25,Simulations!$AA25/(Simulations!$G25*Simulations!$H25*IF(Simulations!$I25&gt;0,Simulations!$I25,1))*Simulations!$AC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C25/Simulations!$J25)^1.5+SQRT(LN(Simulations!$AC25/Simulations!$J25))+Simulations!$AC25/Simulations!$J25*SQRT(PI())/2*ERFC(SQRT(LN(Simulations!$AC25/Simulations!$J25)))),PI()*Simulations!$T25^2/2*(LN(Simulations!$AC25/Simulations!$J25)+1))))</f>
        <v>0</v>
      </c>
      <c r="D25" s="0" t="n">
        <f aca="false">IF(OR(NOT(AND(Simulations!$A25&lt;&gt;"",OR(Simulations!$Y25&lt;&gt;"",N(Simulations!$AA25)&gt;0))),N(Simulations!$AD25)&lt;=0,N(Simulations!$AA25)&lt;=0,3&gt;N(Simulations!$O25)),0,IF(Simulations!$AD25&lt;Simulations!$J25,Simulations!$AA25/(Simulations!$G25*Simulations!$H25*IF(Simulations!$I25&gt;0,Simulations!$I25,1))*Simulations!$AD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D25/Simulations!$J25)^1.5+SQRT(LN(Simulations!$AD25/Simulations!$J25))+Simulations!$AD25/Simulations!$J25*SQRT(PI())/2*ERFC(SQRT(LN(Simulations!$AD25/Simulations!$J25)))),PI()*Simulations!$T25^2/2*(LN(Simulations!$AD25/Simulations!$J25)+1))))</f>
        <v>0</v>
      </c>
      <c r="E25" s="0" t="n">
        <f aca="false">IF(NOT(AND(Simulations!$A25&lt;&gt;"",OR(Simulations!$Y25&lt;&gt;"",N(Simulations!$AA25)&gt;0))),0,MAX(N(Simulations!$AB25),N(Simulations!$AC25),N(Simulations!$AD25))/Simulations!$J25)</f>
        <v>0</v>
      </c>
      <c r="F25" s="0" t="n">
        <f aca="false">IF(OR(NOT(AND(Simulations!$A25&lt;&gt;"",OR(Simulations!$Y25&lt;&gt;"",N(Simulations!$AA25)&gt;0))),N(Simulations!$Z25)&lt;=0),0,SQRT(2*Simulations!$Z25*1000000/(Simulations!$J25*1000))/Simulations!$T25)</f>
        <v>0</v>
      </c>
      <c r="G25" s="0" t="n">
        <f aca="false">IF(AND(Simulations!$A25&lt;&gt;"",OR(Simulations!$Y25&lt;&gt;"",N(Simulations!$AA25)&gt;0)),1,0)</f>
        <v>0</v>
      </c>
      <c r="H25" s="0" t="n">
        <f aca="false">IF(OR(NOT(AND(Simulations!$A25&lt;&gt;"",OR(Simulations!$AQ25&lt;&gt;"",N(Simulations!$AS25)&gt;0))),N(Simulations!$AT25)&lt;=0,N(Simulations!$AS25)&lt;=0,1&gt;N(Simulations!$O25)),0,IF(Simulations!$AT25&lt;Simulations!$J25,Simulations!$AS25/(Simulations!$G25*Simulations!$H25*IF(Simulations!$I25&gt;0,Simulations!$I25,1))*Simulations!$AT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T25/Simulations!$J25)^1.5+SQRT(LN(Simulations!$AT25/Simulations!$J25))+Simulations!$AT25/Simulations!$J25*SQRT(PI())/2*ERFC(SQRT(LN(Simulations!$AT25/Simulations!$J25)))),PI()*Simulations!$T25^2/2*(LN(Simulations!$AT25/Simulations!$J25)+1))))</f>
        <v>0</v>
      </c>
      <c r="I25" s="0" t="n">
        <f aca="false">IF(OR(NOT(AND(Simulations!$A25&lt;&gt;"",OR(Simulations!$AQ25&lt;&gt;"",N(Simulations!$AS25)&gt;0))),N(Simulations!$AU25)&lt;=0,N(Simulations!$AS25)&lt;=0,2&gt;N(Simulations!$O25)),0,IF(Simulations!$AU25&lt;Simulations!$J25,Simulations!$AS25/(Simulations!$G25*Simulations!$H25*IF(Simulations!$I25&gt;0,Simulations!$I25,1))*Simulations!$AU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U25/Simulations!$J25)^1.5+SQRT(LN(Simulations!$AU25/Simulations!$J25))+Simulations!$AU25/Simulations!$J25*SQRT(PI())/2*ERFC(SQRT(LN(Simulations!$AU25/Simulations!$J25)))),PI()*Simulations!$T25^2/2*(LN(Simulations!$AU25/Simulations!$J25)+1))))</f>
        <v>0</v>
      </c>
      <c r="J25" s="0" t="n">
        <f aca="false">IF(OR(NOT(AND(Simulations!$A25&lt;&gt;"",OR(Simulations!$AQ25&lt;&gt;"",N(Simulations!$AS25)&gt;0))),N(Simulations!$AV25)&lt;=0,N(Simulations!$AS25)&lt;=0,3&gt;N(Simulations!$O25)),0,IF(Simulations!$AV25&lt;Simulations!$J25,Simulations!$AS25/(Simulations!$G25*Simulations!$H25*IF(Simulations!$I25&gt;0,Simulations!$I25,1))*Simulations!$AV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V25/Simulations!$J25)^1.5+SQRT(LN(Simulations!$AV25/Simulations!$J25))+Simulations!$AV25/Simulations!$J25*SQRT(PI())/2*ERFC(SQRT(LN(Simulations!$AV25/Simulations!$J25)))),PI()*Simulations!$T25^2/2*(LN(Simulations!$AV25/Simulations!$J25)+1))))</f>
        <v>0</v>
      </c>
      <c r="K25" s="0" t="n">
        <f aca="false">IF(NOT(AND(Simulations!$A25&lt;&gt;"",OR(Simulations!$AQ25&lt;&gt;"",N(Simulations!$AS25)&gt;0))),0,MAX(N(Simulations!$AT25),N(Simulations!$AU25),N(Simulations!$AV25))/Simulations!$J25)</f>
        <v>0</v>
      </c>
      <c r="L25" s="0" t="n">
        <f aca="false">IF(OR(NOT(AND(Simulations!$A25&lt;&gt;"",OR(Simulations!$AQ25&lt;&gt;"",N(Simulations!$AS25)&gt;0))),N(Simulations!$AR25)&lt;=0),0,SQRT(2*Simulations!$AR25*1000000/(Simulations!$J25*1000))/Simulations!$T25)</f>
        <v>0</v>
      </c>
      <c r="M25" s="0" t="n">
        <f aca="false">IF(AND(Simulations!$A25&lt;&gt;"",OR(Simulations!$AQ25&lt;&gt;"",N(Simulations!$AS25)&gt;0)),1,0)</f>
        <v>0</v>
      </c>
      <c r="N25" s="0" t="n">
        <f aca="false">IF(OR(NOT(AND(Simulations!$A25&lt;&gt;"",OR(Simulations!$BI25&lt;&gt;"",N(Simulations!$BK25)&gt;0))),N(Simulations!$BL25)&lt;=0,N(Simulations!$BK25)&lt;=0,1&gt;N(Simulations!$O25)),0,IF(Simulations!$BL25&lt;Simulations!$J25,Simulations!$BK25/(Simulations!$G25*Simulations!$H25*IF(Simulations!$I25&gt;0,Simulations!$I25,1))*Simulations!$BL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L25/Simulations!$J25)^1.5+SQRT(LN(Simulations!$BL25/Simulations!$J25))+Simulations!$BL25/Simulations!$J25*SQRT(PI())/2*ERFC(SQRT(LN(Simulations!$BL25/Simulations!$J25)))),PI()*Simulations!$T25^2/2*(LN(Simulations!$BL25/Simulations!$J25)+1))))</f>
        <v>0</v>
      </c>
      <c r="O25" s="0" t="n">
        <f aca="false">IF(OR(NOT(AND(Simulations!$A25&lt;&gt;"",OR(Simulations!$BI25&lt;&gt;"",N(Simulations!$BK25)&gt;0))),N(Simulations!$BM25)&lt;=0,N(Simulations!$BK25)&lt;=0,2&gt;N(Simulations!$O25)),0,IF(Simulations!$BM25&lt;Simulations!$J25,Simulations!$BK25/(Simulations!$G25*Simulations!$H25*IF(Simulations!$I25&gt;0,Simulations!$I25,1))*Simulations!$BM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M25/Simulations!$J25)^1.5+SQRT(LN(Simulations!$BM25/Simulations!$J25))+Simulations!$BM25/Simulations!$J25*SQRT(PI())/2*ERFC(SQRT(LN(Simulations!$BM25/Simulations!$J25)))),PI()*Simulations!$T25^2/2*(LN(Simulations!$BM25/Simulations!$J25)+1))))</f>
        <v>0</v>
      </c>
      <c r="P25" s="0" t="n">
        <f aca="false">IF(OR(NOT(AND(Simulations!$A25&lt;&gt;"",OR(Simulations!$BI25&lt;&gt;"",N(Simulations!$BK25)&gt;0))),N(Simulations!$BN25)&lt;=0,N(Simulations!$BK25)&lt;=0,3&gt;N(Simulations!$O25)),0,IF(Simulations!$BN25&lt;Simulations!$J25,Simulations!$BK25/(Simulations!$G25*Simulations!$H25*IF(Simulations!$I25&gt;0,Simulations!$I25,1))*Simulations!$BN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N25/Simulations!$J25)^1.5+SQRT(LN(Simulations!$BN25/Simulations!$J25))+Simulations!$BN25/Simulations!$J25*SQRT(PI())/2*ERFC(SQRT(LN(Simulations!$BN25/Simulations!$J25)))),PI()*Simulations!$T25^2/2*(LN(Simulations!$BN25/Simulations!$J25)+1))))</f>
        <v>0</v>
      </c>
      <c r="Q25" s="0" t="n">
        <f aca="false">IF(NOT(AND(Simulations!$A25&lt;&gt;"",OR(Simulations!$BI25&lt;&gt;"",N(Simulations!$BK25)&gt;0))),0,MAX(N(Simulations!$BL25),N(Simulations!$BM25),N(Simulations!$BN25))/Simulations!$J25)</f>
        <v>0</v>
      </c>
      <c r="R25" s="0" t="n">
        <f aca="false">IF(OR(NOT(AND(Simulations!$A25&lt;&gt;"",OR(Simulations!$BI25&lt;&gt;"",N(Simulations!$BK25)&gt;0))),N(Simulations!$BJ25)&lt;=0),0,SQRT(2*Simulations!$BJ25*1000000/(Simulations!$J25*1000))/Simulations!$T25)</f>
        <v>0</v>
      </c>
      <c r="S25" s="0" t="n">
        <f aca="false">IF(AND(Simulations!$A25&lt;&gt;"",OR(Simulations!$BI25&lt;&gt;"",N(Simulations!$BK25)&gt;0)),1,0)</f>
        <v>0</v>
      </c>
      <c r="T25" s="0" t="n">
        <f aca="false">IF(OR(NOT(AND(Simulations!$A25&lt;&gt;"",OR(Simulations!$CA25&lt;&gt;"",N(Simulations!$CC25)&gt;0))),N(Simulations!$CD25)&lt;=0,N(Simulations!$CC25)&lt;=0,1&gt;N(Simulations!$O25)),0,IF(Simulations!$CD25&lt;Simulations!$J25,Simulations!$CC25/(Simulations!$G25*Simulations!$H25*IF(Simulations!$I25&gt;0,Simulations!$I25,1))*Simulations!$CD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D25/Simulations!$J25)^1.5+SQRT(LN(Simulations!$CD25/Simulations!$J25))+Simulations!$CD25/Simulations!$J25*SQRT(PI())/2*ERFC(SQRT(LN(Simulations!$CD25/Simulations!$J25)))),PI()*Simulations!$T25^2/2*(LN(Simulations!$CD25/Simulations!$J25)+1))))</f>
        <v>0</v>
      </c>
      <c r="U25" s="0" t="n">
        <f aca="false">IF(OR(NOT(AND(Simulations!$A25&lt;&gt;"",OR(Simulations!$CA25&lt;&gt;"",N(Simulations!$CC25)&gt;0))),N(Simulations!$CE25)&lt;=0,N(Simulations!$CC25)&lt;=0,2&gt;N(Simulations!$O25)),0,IF(Simulations!$CE25&lt;Simulations!$J25,Simulations!$CC25/(Simulations!$G25*Simulations!$H25*IF(Simulations!$I25&gt;0,Simulations!$I25,1))*Simulations!$CE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E25/Simulations!$J25)^1.5+SQRT(LN(Simulations!$CE25/Simulations!$J25))+Simulations!$CE25/Simulations!$J25*SQRT(PI())/2*ERFC(SQRT(LN(Simulations!$CE25/Simulations!$J25)))),PI()*Simulations!$T25^2/2*(LN(Simulations!$CE25/Simulations!$J25)+1))))</f>
        <v>0</v>
      </c>
      <c r="V25" s="0" t="n">
        <f aca="false">IF(OR(NOT(AND(Simulations!$A25&lt;&gt;"",OR(Simulations!$CA25&lt;&gt;"",N(Simulations!$CC25)&gt;0))),N(Simulations!$CF25)&lt;=0,N(Simulations!$CC25)&lt;=0,3&gt;N(Simulations!$O25)),0,IF(Simulations!$CF25&lt;Simulations!$J25,Simulations!$CC25/(Simulations!$G25*Simulations!$H25*IF(Simulations!$I25&gt;0,Simulations!$I25,1))*Simulations!$CF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F25/Simulations!$J25)^1.5+SQRT(LN(Simulations!$CF25/Simulations!$J25))+Simulations!$CF25/Simulations!$J25*SQRT(PI())/2*ERFC(SQRT(LN(Simulations!$CF25/Simulations!$J25)))),PI()*Simulations!$T25^2/2*(LN(Simulations!$CF25/Simulations!$J25)+1))))</f>
        <v>0</v>
      </c>
      <c r="W25" s="0" t="n">
        <f aca="false">IF(NOT(AND(Simulations!$A25&lt;&gt;"",OR(Simulations!$CA25&lt;&gt;"",N(Simulations!$CC25)&gt;0))),0,MAX(N(Simulations!$CD25),N(Simulations!$CE25),N(Simulations!$CF25))/Simulations!$J25)</f>
        <v>0</v>
      </c>
      <c r="X25" s="0" t="n">
        <f aca="false">IF(OR(NOT(AND(Simulations!$A25&lt;&gt;"",OR(Simulations!$CA25&lt;&gt;"",N(Simulations!$CC25)&gt;0))),N(Simulations!$CB25)&lt;=0),0,SQRT(2*Simulations!$CB25*1000000/(Simulations!$J25*1000))/Simulations!$T25)</f>
        <v>0</v>
      </c>
      <c r="Y25" s="0" t="n">
        <f aca="false">IF(AND(Simulations!$A25&lt;&gt;"",OR(Simulations!$CA25&lt;&gt;"",N(Simulations!$CC25)&gt;0)),1,0)</f>
        <v>0</v>
      </c>
      <c r="Z25" s="0" t="n">
        <f aca="false">IF(OR(NOT(AND(Simulations!$A25&lt;&gt;"",OR(Simulations!$CS25&lt;&gt;"",N(Simulations!$CU25)&gt;0))),N(Simulations!$CV25)&lt;=0,N(Simulations!$CU25)&lt;=0,1&gt;N(Simulations!$O25)),0,IF(Simulations!$CV25&lt;Simulations!$J25,Simulations!$CU25/(Simulations!$G25*Simulations!$H25*IF(Simulations!$I25&gt;0,Simulations!$I25,1))*Simulations!$CV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V25/Simulations!$J25)^1.5+SQRT(LN(Simulations!$CV25/Simulations!$J25))+Simulations!$CV25/Simulations!$J25*SQRT(PI())/2*ERFC(SQRT(LN(Simulations!$CV25/Simulations!$J25)))),PI()*Simulations!$T25^2/2*(LN(Simulations!$CV25/Simulations!$J25)+1))))</f>
        <v>0</v>
      </c>
      <c r="AA25" s="0" t="n">
        <f aca="false">IF(OR(NOT(AND(Simulations!$A25&lt;&gt;"",OR(Simulations!$CS25&lt;&gt;"",N(Simulations!$CU25)&gt;0))),N(Simulations!$CW25)&lt;=0,N(Simulations!$CU25)&lt;=0,2&gt;N(Simulations!$O25)),0,IF(Simulations!$CW25&lt;Simulations!$J25,Simulations!$CU25/(Simulations!$G25*Simulations!$H25*IF(Simulations!$I25&gt;0,Simulations!$I25,1))*Simulations!$CW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W25/Simulations!$J25)^1.5+SQRT(LN(Simulations!$CW25/Simulations!$J25))+Simulations!$CW25/Simulations!$J25*SQRT(PI())/2*ERFC(SQRT(LN(Simulations!$CW25/Simulations!$J25)))),PI()*Simulations!$T25^2/2*(LN(Simulations!$CW25/Simulations!$J25)+1))))</f>
        <v>0</v>
      </c>
      <c r="AB25" s="0" t="n">
        <f aca="false">IF(OR(NOT(AND(Simulations!$A25&lt;&gt;"",OR(Simulations!$CS25&lt;&gt;"",N(Simulations!$CU25)&gt;0))),N(Simulations!$CX25)&lt;=0,N(Simulations!$CU25)&lt;=0,3&gt;N(Simulations!$O25)),0,IF(Simulations!$CX25&lt;Simulations!$J25,Simulations!$CU25/(Simulations!$G25*Simulations!$H25*IF(Simulations!$I25&gt;0,Simulations!$I25,1))*Simulations!$CX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X25/Simulations!$J25)^1.5+SQRT(LN(Simulations!$CX25/Simulations!$J25))+Simulations!$CX25/Simulations!$J25*SQRT(PI())/2*ERFC(SQRT(LN(Simulations!$CX25/Simulations!$J25)))),PI()*Simulations!$T25^2/2*(LN(Simulations!$CX25/Simulations!$J25)+1))))</f>
        <v>0</v>
      </c>
      <c r="AC25" s="0" t="n">
        <f aca="false">IF(NOT(AND(Simulations!$A25&lt;&gt;"",OR(Simulations!$CS25&lt;&gt;"",N(Simulations!$CU25)&gt;0))),0,MAX(N(Simulations!$CV25),N(Simulations!$CW25),N(Simulations!$CX25))/Simulations!$J25)</f>
        <v>0</v>
      </c>
      <c r="AD25" s="0" t="n">
        <f aca="false">IF(OR(NOT(AND(Simulations!$A25&lt;&gt;"",OR(Simulations!$CS25&lt;&gt;"",N(Simulations!$CU25)&gt;0))),N(Simulations!$CT25)&lt;=0),0,SQRT(2*Simulations!$CT25*1000000/(Simulations!$J25*1000))/Simulations!$T25)</f>
        <v>0</v>
      </c>
      <c r="AE25" s="0" t="n">
        <f aca="false">IF(AND(Simulations!$A25&lt;&gt;"",OR(Simulations!$CS25&lt;&gt;"",N(Simulations!$CU25)&gt;0)),1,0)</f>
        <v>0</v>
      </c>
      <c r="AF25" s="0" t="n">
        <f aca="false">IF(OR(NOT(AND(Simulations!$A25&lt;&gt;"",OR(Simulations!$DK25&lt;&gt;"",N(Simulations!$DM25)&gt;0))),N(Simulations!$DN25)&lt;=0,N(Simulations!$DM25)&lt;=0,1&gt;N(Simulations!$O25)),0,IF(Simulations!$DN25&lt;Simulations!$J25,Simulations!$DM25/(Simulations!$G25*Simulations!$H25*IF(Simulations!$I25&gt;0,Simulations!$I25,1))*Simulations!$DN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N25/Simulations!$J25)^1.5+SQRT(LN(Simulations!$DN25/Simulations!$J25))+Simulations!$DN25/Simulations!$J25*SQRT(PI())/2*ERFC(SQRT(LN(Simulations!$DN25/Simulations!$J25)))),PI()*Simulations!$T25^2/2*(LN(Simulations!$DN25/Simulations!$J25)+1))))</f>
        <v>0</v>
      </c>
      <c r="AG25" s="0" t="n">
        <f aca="false">IF(OR(NOT(AND(Simulations!$A25&lt;&gt;"",OR(Simulations!$DK25&lt;&gt;"",N(Simulations!$DM25)&gt;0))),N(Simulations!$DO25)&lt;=0,N(Simulations!$DM25)&lt;=0,2&gt;N(Simulations!$O25)),0,IF(Simulations!$DO25&lt;Simulations!$J25,Simulations!$DM25/(Simulations!$G25*Simulations!$H25*IF(Simulations!$I25&gt;0,Simulations!$I25,1))*Simulations!$DO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O25/Simulations!$J25)^1.5+SQRT(LN(Simulations!$DO25/Simulations!$J25))+Simulations!$DO25/Simulations!$J25*SQRT(PI())/2*ERFC(SQRT(LN(Simulations!$DO25/Simulations!$J25)))),PI()*Simulations!$T25^2/2*(LN(Simulations!$DO25/Simulations!$J25)+1))))</f>
        <v>0</v>
      </c>
      <c r="AH25" s="0" t="n">
        <f aca="false">IF(OR(NOT(AND(Simulations!$A25&lt;&gt;"",OR(Simulations!$DK25&lt;&gt;"",N(Simulations!$DM25)&gt;0))),N(Simulations!$DP25)&lt;=0,N(Simulations!$DM25)&lt;=0,3&gt;N(Simulations!$O25)),0,IF(Simulations!$DP25&lt;Simulations!$J25,Simulations!$DM25/(Simulations!$G25*Simulations!$H25*IF(Simulations!$I25&gt;0,Simulations!$I25,1))*Simulations!$DP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P25/Simulations!$J25)^1.5+SQRT(LN(Simulations!$DP25/Simulations!$J25))+Simulations!$DP25/Simulations!$J25*SQRT(PI())/2*ERFC(SQRT(LN(Simulations!$DP25/Simulations!$J25)))),PI()*Simulations!$T25^2/2*(LN(Simulations!$DP25/Simulations!$J25)+1))))</f>
        <v>0</v>
      </c>
      <c r="AI25" s="0" t="n">
        <f aca="false">IF(NOT(AND(Simulations!$A25&lt;&gt;"",OR(Simulations!$DK25&lt;&gt;"",N(Simulations!$DM25)&gt;0))),0,MAX(N(Simulations!$DN25),N(Simulations!$DO25),N(Simulations!$DP25))/Simulations!$J25)</f>
        <v>0</v>
      </c>
      <c r="AJ25" s="0" t="n">
        <f aca="false">IF(OR(NOT(AND(Simulations!$A25&lt;&gt;"",OR(Simulations!$DK25&lt;&gt;"",N(Simulations!$DM25)&gt;0))),N(Simulations!$DL25)&lt;=0),0,SQRT(2*Simulations!$DL25*1000000/(Simulations!$J25*1000))/Simulations!$T25)</f>
        <v>0</v>
      </c>
      <c r="AK25" s="0" t="n">
        <f aca="false">IF(AND(Simulations!$A25&lt;&gt;"",OR(Simulations!$DK25&lt;&gt;"",N(Simulations!$DM25)&gt;0)),1,0)</f>
        <v>0</v>
      </c>
    </row>
    <row r="26" customFormat="false" ht="15" hidden="false" customHeight="false" outlineLevel="0" collapsed="false">
      <c r="B26" s="0" t="n">
        <f aca="false">IF(OR(NOT(AND(Simulations!$A26&lt;&gt;"",OR(Simulations!$Y26&lt;&gt;"",N(Simulations!$AA26)&gt;0))),N(Simulations!$AB26)&lt;=0,N(Simulations!$AA26)&lt;=0,1&gt;N(Simulations!$O26)),0,IF(Simulations!$AB26&lt;Simulations!$J26,Simulations!$AA26/(Simulations!$G26*Simulations!$H26*IF(Simulations!$I26&gt;0,Simulations!$I26,1))*Simulations!$AB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B26/Simulations!$J26)^1.5+SQRT(LN(Simulations!$AB26/Simulations!$J26))+Simulations!$AB26/Simulations!$J26*SQRT(PI())/2*ERFC(SQRT(LN(Simulations!$AB26/Simulations!$J26)))),PI()*Simulations!$T26^2/2*(LN(Simulations!$AB26/Simulations!$J26)+1))))</f>
        <v>0</v>
      </c>
      <c r="C26" s="0" t="n">
        <f aca="false">IF(OR(NOT(AND(Simulations!$A26&lt;&gt;"",OR(Simulations!$Y26&lt;&gt;"",N(Simulations!$AA26)&gt;0))),N(Simulations!$AC26)&lt;=0,N(Simulations!$AA26)&lt;=0,2&gt;N(Simulations!$O26)),0,IF(Simulations!$AC26&lt;Simulations!$J26,Simulations!$AA26/(Simulations!$G26*Simulations!$H26*IF(Simulations!$I26&gt;0,Simulations!$I26,1))*Simulations!$AC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C26/Simulations!$J26)^1.5+SQRT(LN(Simulations!$AC26/Simulations!$J26))+Simulations!$AC26/Simulations!$J26*SQRT(PI())/2*ERFC(SQRT(LN(Simulations!$AC26/Simulations!$J26)))),PI()*Simulations!$T26^2/2*(LN(Simulations!$AC26/Simulations!$J26)+1))))</f>
        <v>0</v>
      </c>
      <c r="D26" s="0" t="n">
        <f aca="false">IF(OR(NOT(AND(Simulations!$A26&lt;&gt;"",OR(Simulations!$Y26&lt;&gt;"",N(Simulations!$AA26)&gt;0))),N(Simulations!$AD26)&lt;=0,N(Simulations!$AA26)&lt;=0,3&gt;N(Simulations!$O26)),0,IF(Simulations!$AD26&lt;Simulations!$J26,Simulations!$AA26/(Simulations!$G26*Simulations!$H26*IF(Simulations!$I26&gt;0,Simulations!$I26,1))*Simulations!$AD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D26/Simulations!$J26)^1.5+SQRT(LN(Simulations!$AD26/Simulations!$J26))+Simulations!$AD26/Simulations!$J26*SQRT(PI())/2*ERFC(SQRT(LN(Simulations!$AD26/Simulations!$J26)))),PI()*Simulations!$T26^2/2*(LN(Simulations!$AD26/Simulations!$J26)+1))))</f>
        <v>0</v>
      </c>
      <c r="E26" s="0" t="n">
        <f aca="false">IF(NOT(AND(Simulations!$A26&lt;&gt;"",OR(Simulations!$Y26&lt;&gt;"",N(Simulations!$AA26)&gt;0))),0,MAX(N(Simulations!$AB26),N(Simulations!$AC26),N(Simulations!$AD26))/Simulations!$J26)</f>
        <v>0</v>
      </c>
      <c r="F26" s="0" t="n">
        <f aca="false">IF(OR(NOT(AND(Simulations!$A26&lt;&gt;"",OR(Simulations!$Y26&lt;&gt;"",N(Simulations!$AA26)&gt;0))),N(Simulations!$Z26)&lt;=0),0,SQRT(2*Simulations!$Z26*1000000/(Simulations!$J26*1000))/Simulations!$T26)</f>
        <v>0</v>
      </c>
      <c r="G26" s="0" t="n">
        <f aca="false">IF(AND(Simulations!$A26&lt;&gt;"",OR(Simulations!$Y26&lt;&gt;"",N(Simulations!$AA26)&gt;0)),1,0)</f>
        <v>0</v>
      </c>
      <c r="H26" s="0" t="n">
        <f aca="false">IF(OR(NOT(AND(Simulations!$A26&lt;&gt;"",OR(Simulations!$AQ26&lt;&gt;"",N(Simulations!$AS26)&gt;0))),N(Simulations!$AT26)&lt;=0,N(Simulations!$AS26)&lt;=0,1&gt;N(Simulations!$O26)),0,IF(Simulations!$AT26&lt;Simulations!$J26,Simulations!$AS26/(Simulations!$G26*Simulations!$H26*IF(Simulations!$I26&gt;0,Simulations!$I26,1))*Simulations!$AT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T26/Simulations!$J26)^1.5+SQRT(LN(Simulations!$AT26/Simulations!$J26))+Simulations!$AT26/Simulations!$J26*SQRT(PI())/2*ERFC(SQRT(LN(Simulations!$AT26/Simulations!$J26)))),PI()*Simulations!$T26^2/2*(LN(Simulations!$AT26/Simulations!$J26)+1))))</f>
        <v>0</v>
      </c>
      <c r="I26" s="0" t="n">
        <f aca="false">IF(OR(NOT(AND(Simulations!$A26&lt;&gt;"",OR(Simulations!$AQ26&lt;&gt;"",N(Simulations!$AS26)&gt;0))),N(Simulations!$AU26)&lt;=0,N(Simulations!$AS26)&lt;=0,2&gt;N(Simulations!$O26)),0,IF(Simulations!$AU26&lt;Simulations!$J26,Simulations!$AS26/(Simulations!$G26*Simulations!$H26*IF(Simulations!$I26&gt;0,Simulations!$I26,1))*Simulations!$AU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U26/Simulations!$J26)^1.5+SQRT(LN(Simulations!$AU26/Simulations!$J26))+Simulations!$AU26/Simulations!$J26*SQRT(PI())/2*ERFC(SQRT(LN(Simulations!$AU26/Simulations!$J26)))),PI()*Simulations!$T26^2/2*(LN(Simulations!$AU26/Simulations!$J26)+1))))</f>
        <v>0</v>
      </c>
      <c r="J26" s="0" t="n">
        <f aca="false">IF(OR(NOT(AND(Simulations!$A26&lt;&gt;"",OR(Simulations!$AQ26&lt;&gt;"",N(Simulations!$AS26)&gt;0))),N(Simulations!$AV26)&lt;=0,N(Simulations!$AS26)&lt;=0,3&gt;N(Simulations!$O26)),0,IF(Simulations!$AV26&lt;Simulations!$J26,Simulations!$AS26/(Simulations!$G26*Simulations!$H26*IF(Simulations!$I26&gt;0,Simulations!$I26,1))*Simulations!$AV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V26/Simulations!$J26)^1.5+SQRT(LN(Simulations!$AV26/Simulations!$J26))+Simulations!$AV26/Simulations!$J26*SQRT(PI())/2*ERFC(SQRT(LN(Simulations!$AV26/Simulations!$J26)))),PI()*Simulations!$T26^2/2*(LN(Simulations!$AV26/Simulations!$J26)+1))))</f>
        <v>0</v>
      </c>
      <c r="K26" s="0" t="n">
        <f aca="false">IF(NOT(AND(Simulations!$A26&lt;&gt;"",OR(Simulations!$AQ26&lt;&gt;"",N(Simulations!$AS26)&gt;0))),0,MAX(N(Simulations!$AT26),N(Simulations!$AU26),N(Simulations!$AV26))/Simulations!$J26)</f>
        <v>0</v>
      </c>
      <c r="L26" s="0" t="n">
        <f aca="false">IF(OR(NOT(AND(Simulations!$A26&lt;&gt;"",OR(Simulations!$AQ26&lt;&gt;"",N(Simulations!$AS26)&gt;0))),N(Simulations!$AR26)&lt;=0),0,SQRT(2*Simulations!$AR26*1000000/(Simulations!$J26*1000))/Simulations!$T26)</f>
        <v>0</v>
      </c>
      <c r="M26" s="0" t="n">
        <f aca="false">IF(AND(Simulations!$A26&lt;&gt;"",OR(Simulations!$AQ26&lt;&gt;"",N(Simulations!$AS26)&gt;0)),1,0)</f>
        <v>0</v>
      </c>
      <c r="N26" s="0" t="n">
        <f aca="false">IF(OR(NOT(AND(Simulations!$A26&lt;&gt;"",OR(Simulations!$BI26&lt;&gt;"",N(Simulations!$BK26)&gt;0))),N(Simulations!$BL26)&lt;=0,N(Simulations!$BK26)&lt;=0,1&gt;N(Simulations!$O26)),0,IF(Simulations!$BL26&lt;Simulations!$J26,Simulations!$BK26/(Simulations!$G26*Simulations!$H26*IF(Simulations!$I26&gt;0,Simulations!$I26,1))*Simulations!$BL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L26/Simulations!$J26)^1.5+SQRT(LN(Simulations!$BL26/Simulations!$J26))+Simulations!$BL26/Simulations!$J26*SQRT(PI())/2*ERFC(SQRT(LN(Simulations!$BL26/Simulations!$J26)))),PI()*Simulations!$T26^2/2*(LN(Simulations!$BL26/Simulations!$J26)+1))))</f>
        <v>0</v>
      </c>
      <c r="O26" s="0" t="n">
        <f aca="false">IF(OR(NOT(AND(Simulations!$A26&lt;&gt;"",OR(Simulations!$BI26&lt;&gt;"",N(Simulations!$BK26)&gt;0))),N(Simulations!$BM26)&lt;=0,N(Simulations!$BK26)&lt;=0,2&gt;N(Simulations!$O26)),0,IF(Simulations!$BM26&lt;Simulations!$J26,Simulations!$BK26/(Simulations!$G26*Simulations!$H26*IF(Simulations!$I26&gt;0,Simulations!$I26,1))*Simulations!$BM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M26/Simulations!$J26)^1.5+SQRT(LN(Simulations!$BM26/Simulations!$J26))+Simulations!$BM26/Simulations!$J26*SQRT(PI())/2*ERFC(SQRT(LN(Simulations!$BM26/Simulations!$J26)))),PI()*Simulations!$T26^2/2*(LN(Simulations!$BM26/Simulations!$J26)+1))))</f>
        <v>0</v>
      </c>
      <c r="P26" s="0" t="n">
        <f aca="false">IF(OR(NOT(AND(Simulations!$A26&lt;&gt;"",OR(Simulations!$BI26&lt;&gt;"",N(Simulations!$BK26)&gt;0))),N(Simulations!$BN26)&lt;=0,N(Simulations!$BK26)&lt;=0,3&gt;N(Simulations!$O26)),0,IF(Simulations!$BN26&lt;Simulations!$J26,Simulations!$BK26/(Simulations!$G26*Simulations!$H26*IF(Simulations!$I26&gt;0,Simulations!$I26,1))*Simulations!$BN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N26/Simulations!$J26)^1.5+SQRT(LN(Simulations!$BN26/Simulations!$J26))+Simulations!$BN26/Simulations!$J26*SQRT(PI())/2*ERFC(SQRT(LN(Simulations!$BN26/Simulations!$J26)))),PI()*Simulations!$T26^2/2*(LN(Simulations!$BN26/Simulations!$J26)+1))))</f>
        <v>0</v>
      </c>
      <c r="Q26" s="0" t="n">
        <f aca="false">IF(NOT(AND(Simulations!$A26&lt;&gt;"",OR(Simulations!$BI26&lt;&gt;"",N(Simulations!$BK26)&gt;0))),0,MAX(N(Simulations!$BL26),N(Simulations!$BM26),N(Simulations!$BN26))/Simulations!$J26)</f>
        <v>0</v>
      </c>
      <c r="R26" s="0" t="n">
        <f aca="false">IF(OR(NOT(AND(Simulations!$A26&lt;&gt;"",OR(Simulations!$BI26&lt;&gt;"",N(Simulations!$BK26)&gt;0))),N(Simulations!$BJ26)&lt;=0),0,SQRT(2*Simulations!$BJ26*1000000/(Simulations!$J26*1000))/Simulations!$T26)</f>
        <v>0</v>
      </c>
      <c r="S26" s="0" t="n">
        <f aca="false">IF(AND(Simulations!$A26&lt;&gt;"",OR(Simulations!$BI26&lt;&gt;"",N(Simulations!$BK26)&gt;0)),1,0)</f>
        <v>0</v>
      </c>
      <c r="T26" s="0" t="n">
        <f aca="false">IF(OR(NOT(AND(Simulations!$A26&lt;&gt;"",OR(Simulations!$CA26&lt;&gt;"",N(Simulations!$CC26)&gt;0))),N(Simulations!$CD26)&lt;=0,N(Simulations!$CC26)&lt;=0,1&gt;N(Simulations!$O26)),0,IF(Simulations!$CD26&lt;Simulations!$J26,Simulations!$CC26/(Simulations!$G26*Simulations!$H26*IF(Simulations!$I26&gt;0,Simulations!$I26,1))*Simulations!$CD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D26/Simulations!$J26)^1.5+SQRT(LN(Simulations!$CD26/Simulations!$J26))+Simulations!$CD26/Simulations!$J26*SQRT(PI())/2*ERFC(SQRT(LN(Simulations!$CD26/Simulations!$J26)))),PI()*Simulations!$T26^2/2*(LN(Simulations!$CD26/Simulations!$J26)+1))))</f>
        <v>0</v>
      </c>
      <c r="U26" s="0" t="n">
        <f aca="false">IF(OR(NOT(AND(Simulations!$A26&lt;&gt;"",OR(Simulations!$CA26&lt;&gt;"",N(Simulations!$CC26)&gt;0))),N(Simulations!$CE26)&lt;=0,N(Simulations!$CC26)&lt;=0,2&gt;N(Simulations!$O26)),0,IF(Simulations!$CE26&lt;Simulations!$J26,Simulations!$CC26/(Simulations!$G26*Simulations!$H26*IF(Simulations!$I26&gt;0,Simulations!$I26,1))*Simulations!$CE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E26/Simulations!$J26)^1.5+SQRT(LN(Simulations!$CE26/Simulations!$J26))+Simulations!$CE26/Simulations!$J26*SQRT(PI())/2*ERFC(SQRT(LN(Simulations!$CE26/Simulations!$J26)))),PI()*Simulations!$T26^2/2*(LN(Simulations!$CE26/Simulations!$J26)+1))))</f>
        <v>0</v>
      </c>
      <c r="V26" s="0" t="n">
        <f aca="false">IF(OR(NOT(AND(Simulations!$A26&lt;&gt;"",OR(Simulations!$CA26&lt;&gt;"",N(Simulations!$CC26)&gt;0))),N(Simulations!$CF26)&lt;=0,N(Simulations!$CC26)&lt;=0,3&gt;N(Simulations!$O26)),0,IF(Simulations!$CF26&lt;Simulations!$J26,Simulations!$CC26/(Simulations!$G26*Simulations!$H26*IF(Simulations!$I26&gt;0,Simulations!$I26,1))*Simulations!$CF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F26/Simulations!$J26)^1.5+SQRT(LN(Simulations!$CF26/Simulations!$J26))+Simulations!$CF26/Simulations!$J26*SQRT(PI())/2*ERFC(SQRT(LN(Simulations!$CF26/Simulations!$J26)))),PI()*Simulations!$T26^2/2*(LN(Simulations!$CF26/Simulations!$J26)+1))))</f>
        <v>0</v>
      </c>
      <c r="W26" s="0" t="n">
        <f aca="false">IF(NOT(AND(Simulations!$A26&lt;&gt;"",OR(Simulations!$CA26&lt;&gt;"",N(Simulations!$CC26)&gt;0))),0,MAX(N(Simulations!$CD26),N(Simulations!$CE26),N(Simulations!$CF26))/Simulations!$J26)</f>
        <v>0</v>
      </c>
      <c r="X26" s="0" t="n">
        <f aca="false">IF(OR(NOT(AND(Simulations!$A26&lt;&gt;"",OR(Simulations!$CA26&lt;&gt;"",N(Simulations!$CC26)&gt;0))),N(Simulations!$CB26)&lt;=0),0,SQRT(2*Simulations!$CB26*1000000/(Simulations!$J26*1000))/Simulations!$T26)</f>
        <v>0</v>
      </c>
      <c r="Y26" s="0" t="n">
        <f aca="false">IF(AND(Simulations!$A26&lt;&gt;"",OR(Simulations!$CA26&lt;&gt;"",N(Simulations!$CC26)&gt;0)),1,0)</f>
        <v>0</v>
      </c>
      <c r="Z26" s="0" t="n">
        <f aca="false">IF(OR(NOT(AND(Simulations!$A26&lt;&gt;"",OR(Simulations!$CS26&lt;&gt;"",N(Simulations!$CU26)&gt;0))),N(Simulations!$CV26)&lt;=0,N(Simulations!$CU26)&lt;=0,1&gt;N(Simulations!$O26)),0,IF(Simulations!$CV26&lt;Simulations!$J26,Simulations!$CU26/(Simulations!$G26*Simulations!$H26*IF(Simulations!$I26&gt;0,Simulations!$I26,1))*Simulations!$CV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V26/Simulations!$J26)^1.5+SQRT(LN(Simulations!$CV26/Simulations!$J26))+Simulations!$CV26/Simulations!$J26*SQRT(PI())/2*ERFC(SQRT(LN(Simulations!$CV26/Simulations!$J26)))),PI()*Simulations!$T26^2/2*(LN(Simulations!$CV26/Simulations!$J26)+1))))</f>
        <v>0</v>
      </c>
      <c r="AA26" s="0" t="n">
        <f aca="false">IF(OR(NOT(AND(Simulations!$A26&lt;&gt;"",OR(Simulations!$CS26&lt;&gt;"",N(Simulations!$CU26)&gt;0))),N(Simulations!$CW26)&lt;=0,N(Simulations!$CU26)&lt;=0,2&gt;N(Simulations!$O26)),0,IF(Simulations!$CW26&lt;Simulations!$J26,Simulations!$CU26/(Simulations!$G26*Simulations!$H26*IF(Simulations!$I26&gt;0,Simulations!$I26,1))*Simulations!$CW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W26/Simulations!$J26)^1.5+SQRT(LN(Simulations!$CW26/Simulations!$J26))+Simulations!$CW26/Simulations!$J26*SQRT(PI())/2*ERFC(SQRT(LN(Simulations!$CW26/Simulations!$J26)))),PI()*Simulations!$T26^2/2*(LN(Simulations!$CW26/Simulations!$J26)+1))))</f>
        <v>0</v>
      </c>
      <c r="AB26" s="0" t="n">
        <f aca="false">IF(OR(NOT(AND(Simulations!$A26&lt;&gt;"",OR(Simulations!$CS26&lt;&gt;"",N(Simulations!$CU26)&gt;0))),N(Simulations!$CX26)&lt;=0,N(Simulations!$CU26)&lt;=0,3&gt;N(Simulations!$O26)),0,IF(Simulations!$CX26&lt;Simulations!$J26,Simulations!$CU26/(Simulations!$G26*Simulations!$H26*IF(Simulations!$I26&gt;0,Simulations!$I26,1))*Simulations!$CX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X26/Simulations!$J26)^1.5+SQRT(LN(Simulations!$CX26/Simulations!$J26))+Simulations!$CX26/Simulations!$J26*SQRT(PI())/2*ERFC(SQRT(LN(Simulations!$CX26/Simulations!$J26)))),PI()*Simulations!$T26^2/2*(LN(Simulations!$CX26/Simulations!$J26)+1))))</f>
        <v>0</v>
      </c>
      <c r="AC26" s="0" t="n">
        <f aca="false">IF(NOT(AND(Simulations!$A26&lt;&gt;"",OR(Simulations!$CS26&lt;&gt;"",N(Simulations!$CU26)&gt;0))),0,MAX(N(Simulations!$CV26),N(Simulations!$CW26),N(Simulations!$CX26))/Simulations!$J26)</f>
        <v>0</v>
      </c>
      <c r="AD26" s="0" t="n">
        <f aca="false">IF(OR(NOT(AND(Simulations!$A26&lt;&gt;"",OR(Simulations!$CS26&lt;&gt;"",N(Simulations!$CU26)&gt;0))),N(Simulations!$CT26)&lt;=0),0,SQRT(2*Simulations!$CT26*1000000/(Simulations!$J26*1000))/Simulations!$T26)</f>
        <v>0</v>
      </c>
      <c r="AE26" s="0" t="n">
        <f aca="false">IF(AND(Simulations!$A26&lt;&gt;"",OR(Simulations!$CS26&lt;&gt;"",N(Simulations!$CU26)&gt;0)),1,0)</f>
        <v>0</v>
      </c>
      <c r="AF26" s="0" t="n">
        <f aca="false">IF(OR(NOT(AND(Simulations!$A26&lt;&gt;"",OR(Simulations!$DK26&lt;&gt;"",N(Simulations!$DM26)&gt;0))),N(Simulations!$DN26)&lt;=0,N(Simulations!$DM26)&lt;=0,1&gt;N(Simulations!$O26)),0,IF(Simulations!$DN26&lt;Simulations!$J26,Simulations!$DM26/(Simulations!$G26*Simulations!$H26*IF(Simulations!$I26&gt;0,Simulations!$I26,1))*Simulations!$DN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N26/Simulations!$J26)^1.5+SQRT(LN(Simulations!$DN26/Simulations!$J26))+Simulations!$DN26/Simulations!$J26*SQRT(PI())/2*ERFC(SQRT(LN(Simulations!$DN26/Simulations!$J26)))),PI()*Simulations!$T26^2/2*(LN(Simulations!$DN26/Simulations!$J26)+1))))</f>
        <v>0</v>
      </c>
      <c r="AG26" s="0" t="n">
        <f aca="false">IF(OR(NOT(AND(Simulations!$A26&lt;&gt;"",OR(Simulations!$DK26&lt;&gt;"",N(Simulations!$DM26)&gt;0))),N(Simulations!$DO26)&lt;=0,N(Simulations!$DM26)&lt;=0,2&gt;N(Simulations!$O26)),0,IF(Simulations!$DO26&lt;Simulations!$J26,Simulations!$DM26/(Simulations!$G26*Simulations!$H26*IF(Simulations!$I26&gt;0,Simulations!$I26,1))*Simulations!$DO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O26/Simulations!$J26)^1.5+SQRT(LN(Simulations!$DO26/Simulations!$J26))+Simulations!$DO26/Simulations!$J26*SQRT(PI())/2*ERFC(SQRT(LN(Simulations!$DO26/Simulations!$J26)))),PI()*Simulations!$T26^2/2*(LN(Simulations!$DO26/Simulations!$J26)+1))))</f>
        <v>0</v>
      </c>
      <c r="AH26" s="0" t="n">
        <f aca="false">IF(OR(NOT(AND(Simulations!$A26&lt;&gt;"",OR(Simulations!$DK26&lt;&gt;"",N(Simulations!$DM26)&gt;0))),N(Simulations!$DP26)&lt;=0,N(Simulations!$DM26)&lt;=0,3&gt;N(Simulations!$O26)),0,IF(Simulations!$DP26&lt;Simulations!$J26,Simulations!$DM26/(Simulations!$G26*Simulations!$H26*IF(Simulations!$I26&gt;0,Simulations!$I26,1))*Simulations!$DP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P26/Simulations!$J26)^1.5+SQRT(LN(Simulations!$DP26/Simulations!$J26))+Simulations!$DP26/Simulations!$J26*SQRT(PI())/2*ERFC(SQRT(LN(Simulations!$DP26/Simulations!$J26)))),PI()*Simulations!$T26^2/2*(LN(Simulations!$DP26/Simulations!$J26)+1))))</f>
        <v>0</v>
      </c>
      <c r="AI26" s="0" t="n">
        <f aca="false">IF(NOT(AND(Simulations!$A26&lt;&gt;"",OR(Simulations!$DK26&lt;&gt;"",N(Simulations!$DM26)&gt;0))),0,MAX(N(Simulations!$DN26),N(Simulations!$DO26),N(Simulations!$DP26))/Simulations!$J26)</f>
        <v>0</v>
      </c>
      <c r="AJ26" s="0" t="n">
        <f aca="false">IF(OR(NOT(AND(Simulations!$A26&lt;&gt;"",OR(Simulations!$DK26&lt;&gt;"",N(Simulations!$DM26)&gt;0))),N(Simulations!$DL26)&lt;=0),0,SQRT(2*Simulations!$DL26*1000000/(Simulations!$J26*1000))/Simulations!$T26)</f>
        <v>0</v>
      </c>
      <c r="AK26" s="0" t="n">
        <f aca="false">IF(AND(Simulations!$A26&lt;&gt;"",OR(Simulations!$DK26&lt;&gt;"",N(Simulations!$DM26)&gt;0)),1,0)</f>
        <v>0</v>
      </c>
    </row>
    <row r="27" customFormat="false" ht="15" hidden="false" customHeight="false" outlineLevel="0" collapsed="false">
      <c r="B27" s="0" t="n">
        <f aca="false">IF(OR(NOT(AND(Simulations!$A27&lt;&gt;"",OR(Simulations!$Y27&lt;&gt;"",N(Simulations!$AA27)&gt;0))),N(Simulations!$AB27)&lt;=0,N(Simulations!$AA27)&lt;=0,1&gt;N(Simulations!$O27)),0,IF(Simulations!$AB27&lt;Simulations!$J27,Simulations!$AA27/(Simulations!$G27*Simulations!$H27*IF(Simulations!$I27&gt;0,Simulations!$I27,1))*Simulations!$AB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B27/Simulations!$J27)^1.5+SQRT(LN(Simulations!$AB27/Simulations!$J27))+Simulations!$AB27/Simulations!$J27*SQRT(PI())/2*ERFC(SQRT(LN(Simulations!$AB27/Simulations!$J27)))),PI()*Simulations!$T27^2/2*(LN(Simulations!$AB27/Simulations!$J27)+1))))</f>
        <v>0</v>
      </c>
      <c r="C27" s="0" t="n">
        <f aca="false">IF(OR(NOT(AND(Simulations!$A27&lt;&gt;"",OR(Simulations!$Y27&lt;&gt;"",N(Simulations!$AA27)&gt;0))),N(Simulations!$AC27)&lt;=0,N(Simulations!$AA27)&lt;=0,2&gt;N(Simulations!$O27)),0,IF(Simulations!$AC27&lt;Simulations!$J27,Simulations!$AA27/(Simulations!$G27*Simulations!$H27*IF(Simulations!$I27&gt;0,Simulations!$I27,1))*Simulations!$AC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C27/Simulations!$J27)^1.5+SQRT(LN(Simulations!$AC27/Simulations!$J27))+Simulations!$AC27/Simulations!$J27*SQRT(PI())/2*ERFC(SQRT(LN(Simulations!$AC27/Simulations!$J27)))),PI()*Simulations!$T27^2/2*(LN(Simulations!$AC27/Simulations!$J27)+1))))</f>
        <v>0</v>
      </c>
      <c r="D27" s="0" t="n">
        <f aca="false">IF(OR(NOT(AND(Simulations!$A27&lt;&gt;"",OR(Simulations!$Y27&lt;&gt;"",N(Simulations!$AA27)&gt;0))),N(Simulations!$AD27)&lt;=0,N(Simulations!$AA27)&lt;=0,3&gt;N(Simulations!$O27)),0,IF(Simulations!$AD27&lt;Simulations!$J27,Simulations!$AA27/(Simulations!$G27*Simulations!$H27*IF(Simulations!$I27&gt;0,Simulations!$I27,1))*Simulations!$AD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D27/Simulations!$J27)^1.5+SQRT(LN(Simulations!$AD27/Simulations!$J27))+Simulations!$AD27/Simulations!$J27*SQRT(PI())/2*ERFC(SQRT(LN(Simulations!$AD27/Simulations!$J27)))),PI()*Simulations!$T27^2/2*(LN(Simulations!$AD27/Simulations!$J27)+1))))</f>
        <v>0</v>
      </c>
      <c r="E27" s="0" t="n">
        <f aca="false">IF(NOT(AND(Simulations!$A27&lt;&gt;"",OR(Simulations!$Y27&lt;&gt;"",N(Simulations!$AA27)&gt;0))),0,MAX(N(Simulations!$AB27),N(Simulations!$AC27),N(Simulations!$AD27))/Simulations!$J27)</f>
        <v>0</v>
      </c>
      <c r="F27" s="0" t="n">
        <f aca="false">IF(OR(NOT(AND(Simulations!$A27&lt;&gt;"",OR(Simulations!$Y27&lt;&gt;"",N(Simulations!$AA27)&gt;0))),N(Simulations!$Z27)&lt;=0),0,SQRT(2*Simulations!$Z27*1000000/(Simulations!$J27*1000))/Simulations!$T27)</f>
        <v>0</v>
      </c>
      <c r="G27" s="0" t="n">
        <f aca="false">IF(AND(Simulations!$A27&lt;&gt;"",OR(Simulations!$Y27&lt;&gt;"",N(Simulations!$AA27)&gt;0)),1,0)</f>
        <v>0</v>
      </c>
      <c r="H27" s="0" t="n">
        <f aca="false">IF(OR(NOT(AND(Simulations!$A27&lt;&gt;"",OR(Simulations!$AQ27&lt;&gt;"",N(Simulations!$AS27)&gt;0))),N(Simulations!$AT27)&lt;=0,N(Simulations!$AS27)&lt;=0,1&gt;N(Simulations!$O27)),0,IF(Simulations!$AT27&lt;Simulations!$J27,Simulations!$AS27/(Simulations!$G27*Simulations!$H27*IF(Simulations!$I27&gt;0,Simulations!$I27,1))*Simulations!$AT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T27/Simulations!$J27)^1.5+SQRT(LN(Simulations!$AT27/Simulations!$J27))+Simulations!$AT27/Simulations!$J27*SQRT(PI())/2*ERFC(SQRT(LN(Simulations!$AT27/Simulations!$J27)))),PI()*Simulations!$T27^2/2*(LN(Simulations!$AT27/Simulations!$J27)+1))))</f>
        <v>0</v>
      </c>
      <c r="I27" s="0" t="n">
        <f aca="false">IF(OR(NOT(AND(Simulations!$A27&lt;&gt;"",OR(Simulations!$AQ27&lt;&gt;"",N(Simulations!$AS27)&gt;0))),N(Simulations!$AU27)&lt;=0,N(Simulations!$AS27)&lt;=0,2&gt;N(Simulations!$O27)),0,IF(Simulations!$AU27&lt;Simulations!$J27,Simulations!$AS27/(Simulations!$G27*Simulations!$H27*IF(Simulations!$I27&gt;0,Simulations!$I27,1))*Simulations!$AU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U27/Simulations!$J27)^1.5+SQRT(LN(Simulations!$AU27/Simulations!$J27))+Simulations!$AU27/Simulations!$J27*SQRT(PI())/2*ERFC(SQRT(LN(Simulations!$AU27/Simulations!$J27)))),PI()*Simulations!$T27^2/2*(LN(Simulations!$AU27/Simulations!$J27)+1))))</f>
        <v>0</v>
      </c>
      <c r="J27" s="0" t="n">
        <f aca="false">IF(OR(NOT(AND(Simulations!$A27&lt;&gt;"",OR(Simulations!$AQ27&lt;&gt;"",N(Simulations!$AS27)&gt;0))),N(Simulations!$AV27)&lt;=0,N(Simulations!$AS27)&lt;=0,3&gt;N(Simulations!$O27)),0,IF(Simulations!$AV27&lt;Simulations!$J27,Simulations!$AS27/(Simulations!$G27*Simulations!$H27*IF(Simulations!$I27&gt;0,Simulations!$I27,1))*Simulations!$AV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V27/Simulations!$J27)^1.5+SQRT(LN(Simulations!$AV27/Simulations!$J27))+Simulations!$AV27/Simulations!$J27*SQRT(PI())/2*ERFC(SQRT(LN(Simulations!$AV27/Simulations!$J27)))),PI()*Simulations!$T27^2/2*(LN(Simulations!$AV27/Simulations!$J27)+1))))</f>
        <v>0</v>
      </c>
      <c r="K27" s="0" t="n">
        <f aca="false">IF(NOT(AND(Simulations!$A27&lt;&gt;"",OR(Simulations!$AQ27&lt;&gt;"",N(Simulations!$AS27)&gt;0))),0,MAX(N(Simulations!$AT27),N(Simulations!$AU27),N(Simulations!$AV27))/Simulations!$J27)</f>
        <v>0</v>
      </c>
      <c r="L27" s="0" t="n">
        <f aca="false">IF(OR(NOT(AND(Simulations!$A27&lt;&gt;"",OR(Simulations!$AQ27&lt;&gt;"",N(Simulations!$AS27)&gt;0))),N(Simulations!$AR27)&lt;=0),0,SQRT(2*Simulations!$AR27*1000000/(Simulations!$J27*1000))/Simulations!$T27)</f>
        <v>0</v>
      </c>
      <c r="M27" s="0" t="n">
        <f aca="false">IF(AND(Simulations!$A27&lt;&gt;"",OR(Simulations!$AQ27&lt;&gt;"",N(Simulations!$AS27)&gt;0)),1,0)</f>
        <v>0</v>
      </c>
      <c r="N27" s="0" t="n">
        <f aca="false">IF(OR(NOT(AND(Simulations!$A27&lt;&gt;"",OR(Simulations!$BI27&lt;&gt;"",N(Simulations!$BK27)&gt;0))),N(Simulations!$BL27)&lt;=0,N(Simulations!$BK27)&lt;=0,1&gt;N(Simulations!$O27)),0,IF(Simulations!$BL27&lt;Simulations!$J27,Simulations!$BK27/(Simulations!$G27*Simulations!$H27*IF(Simulations!$I27&gt;0,Simulations!$I27,1))*Simulations!$BL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L27/Simulations!$J27)^1.5+SQRT(LN(Simulations!$BL27/Simulations!$J27))+Simulations!$BL27/Simulations!$J27*SQRT(PI())/2*ERFC(SQRT(LN(Simulations!$BL27/Simulations!$J27)))),PI()*Simulations!$T27^2/2*(LN(Simulations!$BL27/Simulations!$J27)+1))))</f>
        <v>0</v>
      </c>
      <c r="O27" s="0" t="n">
        <f aca="false">IF(OR(NOT(AND(Simulations!$A27&lt;&gt;"",OR(Simulations!$BI27&lt;&gt;"",N(Simulations!$BK27)&gt;0))),N(Simulations!$BM27)&lt;=0,N(Simulations!$BK27)&lt;=0,2&gt;N(Simulations!$O27)),0,IF(Simulations!$BM27&lt;Simulations!$J27,Simulations!$BK27/(Simulations!$G27*Simulations!$H27*IF(Simulations!$I27&gt;0,Simulations!$I27,1))*Simulations!$BM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M27/Simulations!$J27)^1.5+SQRT(LN(Simulations!$BM27/Simulations!$J27))+Simulations!$BM27/Simulations!$J27*SQRT(PI())/2*ERFC(SQRT(LN(Simulations!$BM27/Simulations!$J27)))),PI()*Simulations!$T27^2/2*(LN(Simulations!$BM27/Simulations!$J27)+1))))</f>
        <v>0</v>
      </c>
      <c r="P27" s="0" t="n">
        <f aca="false">IF(OR(NOT(AND(Simulations!$A27&lt;&gt;"",OR(Simulations!$BI27&lt;&gt;"",N(Simulations!$BK27)&gt;0))),N(Simulations!$BN27)&lt;=0,N(Simulations!$BK27)&lt;=0,3&gt;N(Simulations!$O27)),0,IF(Simulations!$BN27&lt;Simulations!$J27,Simulations!$BK27/(Simulations!$G27*Simulations!$H27*IF(Simulations!$I27&gt;0,Simulations!$I27,1))*Simulations!$BN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N27/Simulations!$J27)^1.5+SQRT(LN(Simulations!$BN27/Simulations!$J27))+Simulations!$BN27/Simulations!$J27*SQRT(PI())/2*ERFC(SQRT(LN(Simulations!$BN27/Simulations!$J27)))),PI()*Simulations!$T27^2/2*(LN(Simulations!$BN27/Simulations!$J27)+1))))</f>
        <v>0</v>
      </c>
      <c r="Q27" s="0" t="n">
        <f aca="false">IF(NOT(AND(Simulations!$A27&lt;&gt;"",OR(Simulations!$BI27&lt;&gt;"",N(Simulations!$BK27)&gt;0))),0,MAX(N(Simulations!$BL27),N(Simulations!$BM27),N(Simulations!$BN27))/Simulations!$J27)</f>
        <v>0</v>
      </c>
      <c r="R27" s="0" t="n">
        <f aca="false">IF(OR(NOT(AND(Simulations!$A27&lt;&gt;"",OR(Simulations!$BI27&lt;&gt;"",N(Simulations!$BK27)&gt;0))),N(Simulations!$BJ27)&lt;=0),0,SQRT(2*Simulations!$BJ27*1000000/(Simulations!$J27*1000))/Simulations!$T27)</f>
        <v>0</v>
      </c>
      <c r="S27" s="0" t="n">
        <f aca="false">IF(AND(Simulations!$A27&lt;&gt;"",OR(Simulations!$BI27&lt;&gt;"",N(Simulations!$BK27)&gt;0)),1,0)</f>
        <v>0</v>
      </c>
      <c r="T27" s="0" t="n">
        <f aca="false">IF(OR(NOT(AND(Simulations!$A27&lt;&gt;"",OR(Simulations!$CA27&lt;&gt;"",N(Simulations!$CC27)&gt;0))),N(Simulations!$CD27)&lt;=0,N(Simulations!$CC27)&lt;=0,1&gt;N(Simulations!$O27)),0,IF(Simulations!$CD27&lt;Simulations!$J27,Simulations!$CC27/(Simulations!$G27*Simulations!$H27*IF(Simulations!$I27&gt;0,Simulations!$I27,1))*Simulations!$CD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D27/Simulations!$J27)^1.5+SQRT(LN(Simulations!$CD27/Simulations!$J27))+Simulations!$CD27/Simulations!$J27*SQRT(PI())/2*ERFC(SQRT(LN(Simulations!$CD27/Simulations!$J27)))),PI()*Simulations!$T27^2/2*(LN(Simulations!$CD27/Simulations!$J27)+1))))</f>
        <v>0</v>
      </c>
      <c r="U27" s="0" t="n">
        <f aca="false">IF(OR(NOT(AND(Simulations!$A27&lt;&gt;"",OR(Simulations!$CA27&lt;&gt;"",N(Simulations!$CC27)&gt;0))),N(Simulations!$CE27)&lt;=0,N(Simulations!$CC27)&lt;=0,2&gt;N(Simulations!$O27)),0,IF(Simulations!$CE27&lt;Simulations!$J27,Simulations!$CC27/(Simulations!$G27*Simulations!$H27*IF(Simulations!$I27&gt;0,Simulations!$I27,1))*Simulations!$CE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E27/Simulations!$J27)^1.5+SQRT(LN(Simulations!$CE27/Simulations!$J27))+Simulations!$CE27/Simulations!$J27*SQRT(PI())/2*ERFC(SQRT(LN(Simulations!$CE27/Simulations!$J27)))),PI()*Simulations!$T27^2/2*(LN(Simulations!$CE27/Simulations!$J27)+1))))</f>
        <v>0</v>
      </c>
      <c r="V27" s="0" t="n">
        <f aca="false">IF(OR(NOT(AND(Simulations!$A27&lt;&gt;"",OR(Simulations!$CA27&lt;&gt;"",N(Simulations!$CC27)&gt;0))),N(Simulations!$CF27)&lt;=0,N(Simulations!$CC27)&lt;=0,3&gt;N(Simulations!$O27)),0,IF(Simulations!$CF27&lt;Simulations!$J27,Simulations!$CC27/(Simulations!$G27*Simulations!$H27*IF(Simulations!$I27&gt;0,Simulations!$I27,1))*Simulations!$CF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F27/Simulations!$J27)^1.5+SQRT(LN(Simulations!$CF27/Simulations!$J27))+Simulations!$CF27/Simulations!$J27*SQRT(PI())/2*ERFC(SQRT(LN(Simulations!$CF27/Simulations!$J27)))),PI()*Simulations!$T27^2/2*(LN(Simulations!$CF27/Simulations!$J27)+1))))</f>
        <v>0</v>
      </c>
      <c r="W27" s="0" t="n">
        <f aca="false">IF(NOT(AND(Simulations!$A27&lt;&gt;"",OR(Simulations!$CA27&lt;&gt;"",N(Simulations!$CC27)&gt;0))),0,MAX(N(Simulations!$CD27),N(Simulations!$CE27),N(Simulations!$CF27))/Simulations!$J27)</f>
        <v>0</v>
      </c>
      <c r="X27" s="0" t="n">
        <f aca="false">IF(OR(NOT(AND(Simulations!$A27&lt;&gt;"",OR(Simulations!$CA27&lt;&gt;"",N(Simulations!$CC27)&gt;0))),N(Simulations!$CB27)&lt;=0),0,SQRT(2*Simulations!$CB27*1000000/(Simulations!$J27*1000))/Simulations!$T27)</f>
        <v>0</v>
      </c>
      <c r="Y27" s="0" t="n">
        <f aca="false">IF(AND(Simulations!$A27&lt;&gt;"",OR(Simulations!$CA27&lt;&gt;"",N(Simulations!$CC27)&gt;0)),1,0)</f>
        <v>0</v>
      </c>
      <c r="Z27" s="0" t="n">
        <f aca="false">IF(OR(NOT(AND(Simulations!$A27&lt;&gt;"",OR(Simulations!$CS27&lt;&gt;"",N(Simulations!$CU27)&gt;0))),N(Simulations!$CV27)&lt;=0,N(Simulations!$CU27)&lt;=0,1&gt;N(Simulations!$O27)),0,IF(Simulations!$CV27&lt;Simulations!$J27,Simulations!$CU27/(Simulations!$G27*Simulations!$H27*IF(Simulations!$I27&gt;0,Simulations!$I27,1))*Simulations!$CV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V27/Simulations!$J27)^1.5+SQRT(LN(Simulations!$CV27/Simulations!$J27))+Simulations!$CV27/Simulations!$J27*SQRT(PI())/2*ERFC(SQRT(LN(Simulations!$CV27/Simulations!$J27)))),PI()*Simulations!$T27^2/2*(LN(Simulations!$CV27/Simulations!$J27)+1))))</f>
        <v>0</v>
      </c>
      <c r="AA27" s="0" t="n">
        <f aca="false">IF(OR(NOT(AND(Simulations!$A27&lt;&gt;"",OR(Simulations!$CS27&lt;&gt;"",N(Simulations!$CU27)&gt;0))),N(Simulations!$CW27)&lt;=0,N(Simulations!$CU27)&lt;=0,2&gt;N(Simulations!$O27)),0,IF(Simulations!$CW27&lt;Simulations!$J27,Simulations!$CU27/(Simulations!$G27*Simulations!$H27*IF(Simulations!$I27&gt;0,Simulations!$I27,1))*Simulations!$CW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W27/Simulations!$J27)^1.5+SQRT(LN(Simulations!$CW27/Simulations!$J27))+Simulations!$CW27/Simulations!$J27*SQRT(PI())/2*ERFC(SQRT(LN(Simulations!$CW27/Simulations!$J27)))),PI()*Simulations!$T27^2/2*(LN(Simulations!$CW27/Simulations!$J27)+1))))</f>
        <v>0</v>
      </c>
      <c r="AB27" s="0" t="n">
        <f aca="false">IF(OR(NOT(AND(Simulations!$A27&lt;&gt;"",OR(Simulations!$CS27&lt;&gt;"",N(Simulations!$CU27)&gt;0))),N(Simulations!$CX27)&lt;=0,N(Simulations!$CU27)&lt;=0,3&gt;N(Simulations!$O27)),0,IF(Simulations!$CX27&lt;Simulations!$J27,Simulations!$CU27/(Simulations!$G27*Simulations!$H27*IF(Simulations!$I27&gt;0,Simulations!$I27,1))*Simulations!$CX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X27/Simulations!$J27)^1.5+SQRT(LN(Simulations!$CX27/Simulations!$J27))+Simulations!$CX27/Simulations!$J27*SQRT(PI())/2*ERFC(SQRT(LN(Simulations!$CX27/Simulations!$J27)))),PI()*Simulations!$T27^2/2*(LN(Simulations!$CX27/Simulations!$J27)+1))))</f>
        <v>0</v>
      </c>
      <c r="AC27" s="0" t="n">
        <f aca="false">IF(NOT(AND(Simulations!$A27&lt;&gt;"",OR(Simulations!$CS27&lt;&gt;"",N(Simulations!$CU27)&gt;0))),0,MAX(N(Simulations!$CV27),N(Simulations!$CW27),N(Simulations!$CX27))/Simulations!$J27)</f>
        <v>0</v>
      </c>
      <c r="AD27" s="0" t="n">
        <f aca="false">IF(OR(NOT(AND(Simulations!$A27&lt;&gt;"",OR(Simulations!$CS27&lt;&gt;"",N(Simulations!$CU27)&gt;0))),N(Simulations!$CT27)&lt;=0),0,SQRT(2*Simulations!$CT27*1000000/(Simulations!$J27*1000))/Simulations!$T27)</f>
        <v>0</v>
      </c>
      <c r="AE27" s="0" t="n">
        <f aca="false">IF(AND(Simulations!$A27&lt;&gt;"",OR(Simulations!$CS27&lt;&gt;"",N(Simulations!$CU27)&gt;0)),1,0)</f>
        <v>0</v>
      </c>
      <c r="AF27" s="0" t="n">
        <f aca="false">IF(OR(NOT(AND(Simulations!$A27&lt;&gt;"",OR(Simulations!$DK27&lt;&gt;"",N(Simulations!$DM27)&gt;0))),N(Simulations!$DN27)&lt;=0,N(Simulations!$DM27)&lt;=0,1&gt;N(Simulations!$O27)),0,IF(Simulations!$DN27&lt;Simulations!$J27,Simulations!$DM27/(Simulations!$G27*Simulations!$H27*IF(Simulations!$I27&gt;0,Simulations!$I27,1))*Simulations!$DN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N27/Simulations!$J27)^1.5+SQRT(LN(Simulations!$DN27/Simulations!$J27))+Simulations!$DN27/Simulations!$J27*SQRT(PI())/2*ERFC(SQRT(LN(Simulations!$DN27/Simulations!$J27)))),PI()*Simulations!$T27^2/2*(LN(Simulations!$DN27/Simulations!$J27)+1))))</f>
        <v>0</v>
      </c>
      <c r="AG27" s="0" t="n">
        <f aca="false">IF(OR(NOT(AND(Simulations!$A27&lt;&gt;"",OR(Simulations!$DK27&lt;&gt;"",N(Simulations!$DM27)&gt;0))),N(Simulations!$DO27)&lt;=0,N(Simulations!$DM27)&lt;=0,2&gt;N(Simulations!$O27)),0,IF(Simulations!$DO27&lt;Simulations!$J27,Simulations!$DM27/(Simulations!$G27*Simulations!$H27*IF(Simulations!$I27&gt;0,Simulations!$I27,1))*Simulations!$DO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O27/Simulations!$J27)^1.5+SQRT(LN(Simulations!$DO27/Simulations!$J27))+Simulations!$DO27/Simulations!$J27*SQRT(PI())/2*ERFC(SQRT(LN(Simulations!$DO27/Simulations!$J27)))),PI()*Simulations!$T27^2/2*(LN(Simulations!$DO27/Simulations!$J27)+1))))</f>
        <v>0</v>
      </c>
      <c r="AH27" s="0" t="n">
        <f aca="false">IF(OR(NOT(AND(Simulations!$A27&lt;&gt;"",OR(Simulations!$DK27&lt;&gt;"",N(Simulations!$DM27)&gt;0))),N(Simulations!$DP27)&lt;=0,N(Simulations!$DM27)&lt;=0,3&gt;N(Simulations!$O27)),0,IF(Simulations!$DP27&lt;Simulations!$J27,Simulations!$DM27/(Simulations!$G27*Simulations!$H27*IF(Simulations!$I27&gt;0,Simulations!$I27,1))*Simulations!$DP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P27/Simulations!$J27)^1.5+SQRT(LN(Simulations!$DP27/Simulations!$J27))+Simulations!$DP27/Simulations!$J27*SQRT(PI())/2*ERFC(SQRT(LN(Simulations!$DP27/Simulations!$J27)))),PI()*Simulations!$T27^2/2*(LN(Simulations!$DP27/Simulations!$J27)+1))))</f>
        <v>0</v>
      </c>
      <c r="AI27" s="0" t="n">
        <f aca="false">IF(NOT(AND(Simulations!$A27&lt;&gt;"",OR(Simulations!$DK27&lt;&gt;"",N(Simulations!$DM27)&gt;0))),0,MAX(N(Simulations!$DN27),N(Simulations!$DO27),N(Simulations!$DP27))/Simulations!$J27)</f>
        <v>0</v>
      </c>
      <c r="AJ27" s="0" t="n">
        <f aca="false">IF(OR(NOT(AND(Simulations!$A27&lt;&gt;"",OR(Simulations!$DK27&lt;&gt;"",N(Simulations!$DM27)&gt;0))),N(Simulations!$DL27)&lt;=0),0,SQRT(2*Simulations!$DL27*1000000/(Simulations!$J27*1000))/Simulations!$T27)</f>
        <v>0</v>
      </c>
      <c r="AK27" s="0" t="n">
        <f aca="false">IF(AND(Simulations!$A27&lt;&gt;"",OR(Simulations!$DK27&lt;&gt;"",N(Simulations!$DM27)&gt;0)),1,0)</f>
        <v>0</v>
      </c>
    </row>
    <row r="28" customFormat="false" ht="15" hidden="false" customHeight="false" outlineLevel="0" collapsed="false">
      <c r="B28" s="0" t="n">
        <f aca="false">IF(OR(NOT(AND(Simulations!$A28&lt;&gt;"",OR(Simulations!$Y28&lt;&gt;"",N(Simulations!$AA28)&gt;0))),N(Simulations!$AB28)&lt;=0,N(Simulations!$AA28)&lt;=0,1&gt;N(Simulations!$O28)),0,IF(Simulations!$AB28&lt;Simulations!$J28,Simulations!$AA28/(Simulations!$G28*Simulations!$H28*IF(Simulations!$I28&gt;0,Simulations!$I28,1))*Simulations!$AB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B28/Simulations!$J28)^1.5+SQRT(LN(Simulations!$AB28/Simulations!$J28))+Simulations!$AB28/Simulations!$J28*SQRT(PI())/2*ERFC(SQRT(LN(Simulations!$AB28/Simulations!$J28)))),PI()*Simulations!$T28^2/2*(LN(Simulations!$AB28/Simulations!$J28)+1))))</f>
        <v>0</v>
      </c>
      <c r="C28" s="0" t="n">
        <f aca="false">IF(OR(NOT(AND(Simulations!$A28&lt;&gt;"",OR(Simulations!$Y28&lt;&gt;"",N(Simulations!$AA28)&gt;0))),N(Simulations!$AC28)&lt;=0,N(Simulations!$AA28)&lt;=0,2&gt;N(Simulations!$O28)),0,IF(Simulations!$AC28&lt;Simulations!$J28,Simulations!$AA28/(Simulations!$G28*Simulations!$H28*IF(Simulations!$I28&gt;0,Simulations!$I28,1))*Simulations!$AC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C28/Simulations!$J28)^1.5+SQRT(LN(Simulations!$AC28/Simulations!$J28))+Simulations!$AC28/Simulations!$J28*SQRT(PI())/2*ERFC(SQRT(LN(Simulations!$AC28/Simulations!$J28)))),PI()*Simulations!$T28^2/2*(LN(Simulations!$AC28/Simulations!$J28)+1))))</f>
        <v>0</v>
      </c>
      <c r="D28" s="0" t="n">
        <f aca="false">IF(OR(NOT(AND(Simulations!$A28&lt;&gt;"",OR(Simulations!$Y28&lt;&gt;"",N(Simulations!$AA28)&gt;0))),N(Simulations!$AD28)&lt;=0,N(Simulations!$AA28)&lt;=0,3&gt;N(Simulations!$O28)),0,IF(Simulations!$AD28&lt;Simulations!$J28,Simulations!$AA28/(Simulations!$G28*Simulations!$H28*IF(Simulations!$I28&gt;0,Simulations!$I28,1))*Simulations!$AD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D28/Simulations!$J28)^1.5+SQRT(LN(Simulations!$AD28/Simulations!$J28))+Simulations!$AD28/Simulations!$J28*SQRT(PI())/2*ERFC(SQRT(LN(Simulations!$AD28/Simulations!$J28)))),PI()*Simulations!$T28^2/2*(LN(Simulations!$AD28/Simulations!$J28)+1))))</f>
        <v>0</v>
      </c>
      <c r="E28" s="0" t="n">
        <f aca="false">IF(NOT(AND(Simulations!$A28&lt;&gt;"",OR(Simulations!$Y28&lt;&gt;"",N(Simulations!$AA28)&gt;0))),0,MAX(N(Simulations!$AB28),N(Simulations!$AC28),N(Simulations!$AD28))/Simulations!$J28)</f>
        <v>0</v>
      </c>
      <c r="F28" s="0" t="n">
        <f aca="false">IF(OR(NOT(AND(Simulations!$A28&lt;&gt;"",OR(Simulations!$Y28&lt;&gt;"",N(Simulations!$AA28)&gt;0))),N(Simulations!$Z28)&lt;=0),0,SQRT(2*Simulations!$Z28*1000000/(Simulations!$J28*1000))/Simulations!$T28)</f>
        <v>0</v>
      </c>
      <c r="G28" s="0" t="n">
        <f aca="false">IF(AND(Simulations!$A28&lt;&gt;"",OR(Simulations!$Y28&lt;&gt;"",N(Simulations!$AA28)&gt;0)),1,0)</f>
        <v>0</v>
      </c>
      <c r="H28" s="0" t="n">
        <f aca="false">IF(OR(NOT(AND(Simulations!$A28&lt;&gt;"",OR(Simulations!$AQ28&lt;&gt;"",N(Simulations!$AS28)&gt;0))),N(Simulations!$AT28)&lt;=0,N(Simulations!$AS28)&lt;=0,1&gt;N(Simulations!$O28)),0,IF(Simulations!$AT28&lt;Simulations!$J28,Simulations!$AS28/(Simulations!$G28*Simulations!$H28*IF(Simulations!$I28&gt;0,Simulations!$I28,1))*Simulations!$AT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T28/Simulations!$J28)^1.5+SQRT(LN(Simulations!$AT28/Simulations!$J28))+Simulations!$AT28/Simulations!$J28*SQRT(PI())/2*ERFC(SQRT(LN(Simulations!$AT28/Simulations!$J28)))),PI()*Simulations!$T28^2/2*(LN(Simulations!$AT28/Simulations!$J28)+1))))</f>
        <v>0</v>
      </c>
      <c r="I28" s="0" t="n">
        <f aca="false">IF(OR(NOT(AND(Simulations!$A28&lt;&gt;"",OR(Simulations!$AQ28&lt;&gt;"",N(Simulations!$AS28)&gt;0))),N(Simulations!$AU28)&lt;=0,N(Simulations!$AS28)&lt;=0,2&gt;N(Simulations!$O28)),0,IF(Simulations!$AU28&lt;Simulations!$J28,Simulations!$AS28/(Simulations!$G28*Simulations!$H28*IF(Simulations!$I28&gt;0,Simulations!$I28,1))*Simulations!$AU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U28/Simulations!$J28)^1.5+SQRT(LN(Simulations!$AU28/Simulations!$J28))+Simulations!$AU28/Simulations!$J28*SQRT(PI())/2*ERFC(SQRT(LN(Simulations!$AU28/Simulations!$J28)))),PI()*Simulations!$T28^2/2*(LN(Simulations!$AU28/Simulations!$J28)+1))))</f>
        <v>0</v>
      </c>
      <c r="J28" s="0" t="n">
        <f aca="false">IF(OR(NOT(AND(Simulations!$A28&lt;&gt;"",OR(Simulations!$AQ28&lt;&gt;"",N(Simulations!$AS28)&gt;0))),N(Simulations!$AV28)&lt;=0,N(Simulations!$AS28)&lt;=0,3&gt;N(Simulations!$O28)),0,IF(Simulations!$AV28&lt;Simulations!$J28,Simulations!$AS28/(Simulations!$G28*Simulations!$H28*IF(Simulations!$I28&gt;0,Simulations!$I28,1))*Simulations!$AV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V28/Simulations!$J28)^1.5+SQRT(LN(Simulations!$AV28/Simulations!$J28))+Simulations!$AV28/Simulations!$J28*SQRT(PI())/2*ERFC(SQRT(LN(Simulations!$AV28/Simulations!$J28)))),PI()*Simulations!$T28^2/2*(LN(Simulations!$AV28/Simulations!$J28)+1))))</f>
        <v>0</v>
      </c>
      <c r="K28" s="0" t="n">
        <f aca="false">IF(NOT(AND(Simulations!$A28&lt;&gt;"",OR(Simulations!$AQ28&lt;&gt;"",N(Simulations!$AS28)&gt;0))),0,MAX(N(Simulations!$AT28),N(Simulations!$AU28),N(Simulations!$AV28))/Simulations!$J28)</f>
        <v>0</v>
      </c>
      <c r="L28" s="0" t="n">
        <f aca="false">IF(OR(NOT(AND(Simulations!$A28&lt;&gt;"",OR(Simulations!$AQ28&lt;&gt;"",N(Simulations!$AS28)&gt;0))),N(Simulations!$AR28)&lt;=0),0,SQRT(2*Simulations!$AR28*1000000/(Simulations!$J28*1000))/Simulations!$T28)</f>
        <v>0</v>
      </c>
      <c r="M28" s="0" t="n">
        <f aca="false">IF(AND(Simulations!$A28&lt;&gt;"",OR(Simulations!$AQ28&lt;&gt;"",N(Simulations!$AS28)&gt;0)),1,0)</f>
        <v>0</v>
      </c>
      <c r="N28" s="0" t="n">
        <f aca="false">IF(OR(NOT(AND(Simulations!$A28&lt;&gt;"",OR(Simulations!$BI28&lt;&gt;"",N(Simulations!$BK28)&gt;0))),N(Simulations!$BL28)&lt;=0,N(Simulations!$BK28)&lt;=0,1&gt;N(Simulations!$O28)),0,IF(Simulations!$BL28&lt;Simulations!$J28,Simulations!$BK28/(Simulations!$G28*Simulations!$H28*IF(Simulations!$I28&gt;0,Simulations!$I28,1))*Simulations!$BL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L28/Simulations!$J28)^1.5+SQRT(LN(Simulations!$BL28/Simulations!$J28))+Simulations!$BL28/Simulations!$J28*SQRT(PI())/2*ERFC(SQRT(LN(Simulations!$BL28/Simulations!$J28)))),PI()*Simulations!$T28^2/2*(LN(Simulations!$BL28/Simulations!$J28)+1))))</f>
        <v>0</v>
      </c>
      <c r="O28" s="0" t="n">
        <f aca="false">IF(OR(NOT(AND(Simulations!$A28&lt;&gt;"",OR(Simulations!$BI28&lt;&gt;"",N(Simulations!$BK28)&gt;0))),N(Simulations!$BM28)&lt;=0,N(Simulations!$BK28)&lt;=0,2&gt;N(Simulations!$O28)),0,IF(Simulations!$BM28&lt;Simulations!$J28,Simulations!$BK28/(Simulations!$G28*Simulations!$H28*IF(Simulations!$I28&gt;0,Simulations!$I28,1))*Simulations!$BM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M28/Simulations!$J28)^1.5+SQRT(LN(Simulations!$BM28/Simulations!$J28))+Simulations!$BM28/Simulations!$J28*SQRT(PI())/2*ERFC(SQRT(LN(Simulations!$BM28/Simulations!$J28)))),PI()*Simulations!$T28^2/2*(LN(Simulations!$BM28/Simulations!$J28)+1))))</f>
        <v>0</v>
      </c>
      <c r="P28" s="0" t="n">
        <f aca="false">IF(OR(NOT(AND(Simulations!$A28&lt;&gt;"",OR(Simulations!$BI28&lt;&gt;"",N(Simulations!$BK28)&gt;0))),N(Simulations!$BN28)&lt;=0,N(Simulations!$BK28)&lt;=0,3&gt;N(Simulations!$O28)),0,IF(Simulations!$BN28&lt;Simulations!$J28,Simulations!$BK28/(Simulations!$G28*Simulations!$H28*IF(Simulations!$I28&gt;0,Simulations!$I28,1))*Simulations!$BN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N28/Simulations!$J28)^1.5+SQRT(LN(Simulations!$BN28/Simulations!$J28))+Simulations!$BN28/Simulations!$J28*SQRT(PI())/2*ERFC(SQRT(LN(Simulations!$BN28/Simulations!$J28)))),PI()*Simulations!$T28^2/2*(LN(Simulations!$BN28/Simulations!$J28)+1))))</f>
        <v>0</v>
      </c>
      <c r="Q28" s="0" t="n">
        <f aca="false">IF(NOT(AND(Simulations!$A28&lt;&gt;"",OR(Simulations!$BI28&lt;&gt;"",N(Simulations!$BK28)&gt;0))),0,MAX(N(Simulations!$BL28),N(Simulations!$BM28),N(Simulations!$BN28))/Simulations!$J28)</f>
        <v>0</v>
      </c>
      <c r="R28" s="0" t="n">
        <f aca="false">IF(OR(NOT(AND(Simulations!$A28&lt;&gt;"",OR(Simulations!$BI28&lt;&gt;"",N(Simulations!$BK28)&gt;0))),N(Simulations!$BJ28)&lt;=0),0,SQRT(2*Simulations!$BJ28*1000000/(Simulations!$J28*1000))/Simulations!$T28)</f>
        <v>0</v>
      </c>
      <c r="S28" s="0" t="n">
        <f aca="false">IF(AND(Simulations!$A28&lt;&gt;"",OR(Simulations!$BI28&lt;&gt;"",N(Simulations!$BK28)&gt;0)),1,0)</f>
        <v>0</v>
      </c>
      <c r="T28" s="0" t="n">
        <f aca="false">IF(OR(NOT(AND(Simulations!$A28&lt;&gt;"",OR(Simulations!$CA28&lt;&gt;"",N(Simulations!$CC28)&gt;0))),N(Simulations!$CD28)&lt;=0,N(Simulations!$CC28)&lt;=0,1&gt;N(Simulations!$O28)),0,IF(Simulations!$CD28&lt;Simulations!$J28,Simulations!$CC28/(Simulations!$G28*Simulations!$H28*IF(Simulations!$I28&gt;0,Simulations!$I28,1))*Simulations!$CD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D28/Simulations!$J28)^1.5+SQRT(LN(Simulations!$CD28/Simulations!$J28))+Simulations!$CD28/Simulations!$J28*SQRT(PI())/2*ERFC(SQRT(LN(Simulations!$CD28/Simulations!$J28)))),PI()*Simulations!$T28^2/2*(LN(Simulations!$CD28/Simulations!$J28)+1))))</f>
        <v>0</v>
      </c>
      <c r="U28" s="0" t="n">
        <f aca="false">IF(OR(NOT(AND(Simulations!$A28&lt;&gt;"",OR(Simulations!$CA28&lt;&gt;"",N(Simulations!$CC28)&gt;0))),N(Simulations!$CE28)&lt;=0,N(Simulations!$CC28)&lt;=0,2&gt;N(Simulations!$O28)),0,IF(Simulations!$CE28&lt;Simulations!$J28,Simulations!$CC28/(Simulations!$G28*Simulations!$H28*IF(Simulations!$I28&gt;0,Simulations!$I28,1))*Simulations!$CE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E28/Simulations!$J28)^1.5+SQRT(LN(Simulations!$CE28/Simulations!$J28))+Simulations!$CE28/Simulations!$J28*SQRT(PI())/2*ERFC(SQRT(LN(Simulations!$CE28/Simulations!$J28)))),PI()*Simulations!$T28^2/2*(LN(Simulations!$CE28/Simulations!$J28)+1))))</f>
        <v>0</v>
      </c>
      <c r="V28" s="0" t="n">
        <f aca="false">IF(OR(NOT(AND(Simulations!$A28&lt;&gt;"",OR(Simulations!$CA28&lt;&gt;"",N(Simulations!$CC28)&gt;0))),N(Simulations!$CF28)&lt;=0,N(Simulations!$CC28)&lt;=0,3&gt;N(Simulations!$O28)),0,IF(Simulations!$CF28&lt;Simulations!$J28,Simulations!$CC28/(Simulations!$G28*Simulations!$H28*IF(Simulations!$I28&gt;0,Simulations!$I28,1))*Simulations!$CF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F28/Simulations!$J28)^1.5+SQRT(LN(Simulations!$CF28/Simulations!$J28))+Simulations!$CF28/Simulations!$J28*SQRT(PI())/2*ERFC(SQRT(LN(Simulations!$CF28/Simulations!$J28)))),PI()*Simulations!$T28^2/2*(LN(Simulations!$CF28/Simulations!$J28)+1))))</f>
        <v>0</v>
      </c>
      <c r="W28" s="0" t="n">
        <f aca="false">IF(NOT(AND(Simulations!$A28&lt;&gt;"",OR(Simulations!$CA28&lt;&gt;"",N(Simulations!$CC28)&gt;0))),0,MAX(N(Simulations!$CD28),N(Simulations!$CE28),N(Simulations!$CF28))/Simulations!$J28)</f>
        <v>0</v>
      </c>
      <c r="X28" s="0" t="n">
        <f aca="false">IF(OR(NOT(AND(Simulations!$A28&lt;&gt;"",OR(Simulations!$CA28&lt;&gt;"",N(Simulations!$CC28)&gt;0))),N(Simulations!$CB28)&lt;=0),0,SQRT(2*Simulations!$CB28*1000000/(Simulations!$J28*1000))/Simulations!$T28)</f>
        <v>0</v>
      </c>
      <c r="Y28" s="0" t="n">
        <f aca="false">IF(AND(Simulations!$A28&lt;&gt;"",OR(Simulations!$CA28&lt;&gt;"",N(Simulations!$CC28)&gt;0)),1,0)</f>
        <v>0</v>
      </c>
      <c r="Z28" s="0" t="n">
        <f aca="false">IF(OR(NOT(AND(Simulations!$A28&lt;&gt;"",OR(Simulations!$CS28&lt;&gt;"",N(Simulations!$CU28)&gt;0))),N(Simulations!$CV28)&lt;=0,N(Simulations!$CU28)&lt;=0,1&gt;N(Simulations!$O28)),0,IF(Simulations!$CV28&lt;Simulations!$J28,Simulations!$CU28/(Simulations!$G28*Simulations!$H28*IF(Simulations!$I28&gt;0,Simulations!$I28,1))*Simulations!$CV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V28/Simulations!$J28)^1.5+SQRT(LN(Simulations!$CV28/Simulations!$J28))+Simulations!$CV28/Simulations!$J28*SQRT(PI())/2*ERFC(SQRT(LN(Simulations!$CV28/Simulations!$J28)))),PI()*Simulations!$T28^2/2*(LN(Simulations!$CV28/Simulations!$J28)+1))))</f>
        <v>0</v>
      </c>
      <c r="AA28" s="0" t="n">
        <f aca="false">IF(OR(NOT(AND(Simulations!$A28&lt;&gt;"",OR(Simulations!$CS28&lt;&gt;"",N(Simulations!$CU28)&gt;0))),N(Simulations!$CW28)&lt;=0,N(Simulations!$CU28)&lt;=0,2&gt;N(Simulations!$O28)),0,IF(Simulations!$CW28&lt;Simulations!$J28,Simulations!$CU28/(Simulations!$G28*Simulations!$H28*IF(Simulations!$I28&gt;0,Simulations!$I28,1))*Simulations!$CW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W28/Simulations!$J28)^1.5+SQRT(LN(Simulations!$CW28/Simulations!$J28))+Simulations!$CW28/Simulations!$J28*SQRT(PI())/2*ERFC(SQRT(LN(Simulations!$CW28/Simulations!$J28)))),PI()*Simulations!$T28^2/2*(LN(Simulations!$CW28/Simulations!$J28)+1))))</f>
        <v>0</v>
      </c>
      <c r="AB28" s="0" t="n">
        <f aca="false">IF(OR(NOT(AND(Simulations!$A28&lt;&gt;"",OR(Simulations!$CS28&lt;&gt;"",N(Simulations!$CU28)&gt;0))),N(Simulations!$CX28)&lt;=0,N(Simulations!$CU28)&lt;=0,3&gt;N(Simulations!$O28)),0,IF(Simulations!$CX28&lt;Simulations!$J28,Simulations!$CU28/(Simulations!$G28*Simulations!$H28*IF(Simulations!$I28&gt;0,Simulations!$I28,1))*Simulations!$CX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X28/Simulations!$J28)^1.5+SQRT(LN(Simulations!$CX28/Simulations!$J28))+Simulations!$CX28/Simulations!$J28*SQRT(PI())/2*ERFC(SQRT(LN(Simulations!$CX28/Simulations!$J28)))),PI()*Simulations!$T28^2/2*(LN(Simulations!$CX28/Simulations!$J28)+1))))</f>
        <v>0</v>
      </c>
      <c r="AC28" s="0" t="n">
        <f aca="false">IF(NOT(AND(Simulations!$A28&lt;&gt;"",OR(Simulations!$CS28&lt;&gt;"",N(Simulations!$CU28)&gt;0))),0,MAX(N(Simulations!$CV28),N(Simulations!$CW28),N(Simulations!$CX28))/Simulations!$J28)</f>
        <v>0</v>
      </c>
      <c r="AD28" s="0" t="n">
        <f aca="false">IF(OR(NOT(AND(Simulations!$A28&lt;&gt;"",OR(Simulations!$CS28&lt;&gt;"",N(Simulations!$CU28)&gt;0))),N(Simulations!$CT28)&lt;=0),0,SQRT(2*Simulations!$CT28*1000000/(Simulations!$J28*1000))/Simulations!$T28)</f>
        <v>0</v>
      </c>
      <c r="AE28" s="0" t="n">
        <f aca="false">IF(AND(Simulations!$A28&lt;&gt;"",OR(Simulations!$CS28&lt;&gt;"",N(Simulations!$CU28)&gt;0)),1,0)</f>
        <v>0</v>
      </c>
      <c r="AF28" s="0" t="n">
        <f aca="false">IF(OR(NOT(AND(Simulations!$A28&lt;&gt;"",OR(Simulations!$DK28&lt;&gt;"",N(Simulations!$DM28)&gt;0))),N(Simulations!$DN28)&lt;=0,N(Simulations!$DM28)&lt;=0,1&gt;N(Simulations!$O28)),0,IF(Simulations!$DN28&lt;Simulations!$J28,Simulations!$DM28/(Simulations!$G28*Simulations!$H28*IF(Simulations!$I28&gt;0,Simulations!$I28,1))*Simulations!$DN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N28/Simulations!$J28)^1.5+SQRT(LN(Simulations!$DN28/Simulations!$J28))+Simulations!$DN28/Simulations!$J28*SQRT(PI())/2*ERFC(SQRT(LN(Simulations!$DN28/Simulations!$J28)))),PI()*Simulations!$T28^2/2*(LN(Simulations!$DN28/Simulations!$J28)+1))))</f>
        <v>0</v>
      </c>
      <c r="AG28" s="0" t="n">
        <f aca="false">IF(OR(NOT(AND(Simulations!$A28&lt;&gt;"",OR(Simulations!$DK28&lt;&gt;"",N(Simulations!$DM28)&gt;0))),N(Simulations!$DO28)&lt;=0,N(Simulations!$DM28)&lt;=0,2&gt;N(Simulations!$O28)),0,IF(Simulations!$DO28&lt;Simulations!$J28,Simulations!$DM28/(Simulations!$G28*Simulations!$H28*IF(Simulations!$I28&gt;0,Simulations!$I28,1))*Simulations!$DO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O28/Simulations!$J28)^1.5+SQRT(LN(Simulations!$DO28/Simulations!$J28))+Simulations!$DO28/Simulations!$J28*SQRT(PI())/2*ERFC(SQRT(LN(Simulations!$DO28/Simulations!$J28)))),PI()*Simulations!$T28^2/2*(LN(Simulations!$DO28/Simulations!$J28)+1))))</f>
        <v>0</v>
      </c>
      <c r="AH28" s="0" t="n">
        <f aca="false">IF(OR(NOT(AND(Simulations!$A28&lt;&gt;"",OR(Simulations!$DK28&lt;&gt;"",N(Simulations!$DM28)&gt;0))),N(Simulations!$DP28)&lt;=0,N(Simulations!$DM28)&lt;=0,3&gt;N(Simulations!$O28)),0,IF(Simulations!$DP28&lt;Simulations!$J28,Simulations!$DM28/(Simulations!$G28*Simulations!$H28*IF(Simulations!$I28&gt;0,Simulations!$I28,1))*Simulations!$DP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P28/Simulations!$J28)^1.5+SQRT(LN(Simulations!$DP28/Simulations!$J28))+Simulations!$DP28/Simulations!$J28*SQRT(PI())/2*ERFC(SQRT(LN(Simulations!$DP28/Simulations!$J28)))),PI()*Simulations!$T28^2/2*(LN(Simulations!$DP28/Simulations!$J28)+1))))</f>
        <v>0</v>
      </c>
      <c r="AI28" s="0" t="n">
        <f aca="false">IF(NOT(AND(Simulations!$A28&lt;&gt;"",OR(Simulations!$DK28&lt;&gt;"",N(Simulations!$DM28)&gt;0))),0,MAX(N(Simulations!$DN28),N(Simulations!$DO28),N(Simulations!$DP28))/Simulations!$J28)</f>
        <v>0</v>
      </c>
      <c r="AJ28" s="0" t="n">
        <f aca="false">IF(OR(NOT(AND(Simulations!$A28&lt;&gt;"",OR(Simulations!$DK28&lt;&gt;"",N(Simulations!$DM28)&gt;0))),N(Simulations!$DL28)&lt;=0),0,SQRT(2*Simulations!$DL28*1000000/(Simulations!$J28*1000))/Simulations!$T28)</f>
        <v>0</v>
      </c>
      <c r="AK28" s="0" t="n">
        <f aca="false">IF(AND(Simulations!$A28&lt;&gt;"",OR(Simulations!$DK28&lt;&gt;"",N(Simulations!$DM28)&gt;0)),1,0)</f>
        <v>0</v>
      </c>
    </row>
    <row r="29" customFormat="false" ht="15" hidden="false" customHeight="false" outlineLevel="0" collapsed="false">
      <c r="B29" s="0" t="n">
        <f aca="false">IF(OR(NOT(AND(Simulations!$A29&lt;&gt;"",OR(Simulations!$Y29&lt;&gt;"",N(Simulations!$AA29)&gt;0))),N(Simulations!$AB29)&lt;=0,N(Simulations!$AA29)&lt;=0,1&gt;N(Simulations!$O29)),0,IF(Simulations!$AB29&lt;Simulations!$J29,Simulations!$AA29/(Simulations!$G29*Simulations!$H29*IF(Simulations!$I29&gt;0,Simulations!$I29,1))*Simulations!$AB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B29/Simulations!$J29)^1.5+SQRT(LN(Simulations!$AB29/Simulations!$J29))+Simulations!$AB29/Simulations!$J29*SQRT(PI())/2*ERFC(SQRT(LN(Simulations!$AB29/Simulations!$J29)))),PI()*Simulations!$T29^2/2*(LN(Simulations!$AB29/Simulations!$J29)+1))))</f>
        <v>0</v>
      </c>
      <c r="C29" s="0" t="n">
        <f aca="false">IF(OR(NOT(AND(Simulations!$A29&lt;&gt;"",OR(Simulations!$Y29&lt;&gt;"",N(Simulations!$AA29)&gt;0))),N(Simulations!$AC29)&lt;=0,N(Simulations!$AA29)&lt;=0,2&gt;N(Simulations!$O29)),0,IF(Simulations!$AC29&lt;Simulations!$J29,Simulations!$AA29/(Simulations!$G29*Simulations!$H29*IF(Simulations!$I29&gt;0,Simulations!$I29,1))*Simulations!$AC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C29/Simulations!$J29)^1.5+SQRT(LN(Simulations!$AC29/Simulations!$J29))+Simulations!$AC29/Simulations!$J29*SQRT(PI())/2*ERFC(SQRT(LN(Simulations!$AC29/Simulations!$J29)))),PI()*Simulations!$T29^2/2*(LN(Simulations!$AC29/Simulations!$J29)+1))))</f>
        <v>0</v>
      </c>
      <c r="D29" s="0" t="n">
        <f aca="false">IF(OR(NOT(AND(Simulations!$A29&lt;&gt;"",OR(Simulations!$Y29&lt;&gt;"",N(Simulations!$AA29)&gt;0))),N(Simulations!$AD29)&lt;=0,N(Simulations!$AA29)&lt;=0,3&gt;N(Simulations!$O29)),0,IF(Simulations!$AD29&lt;Simulations!$J29,Simulations!$AA29/(Simulations!$G29*Simulations!$H29*IF(Simulations!$I29&gt;0,Simulations!$I29,1))*Simulations!$AD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D29/Simulations!$J29)^1.5+SQRT(LN(Simulations!$AD29/Simulations!$J29))+Simulations!$AD29/Simulations!$J29*SQRT(PI())/2*ERFC(SQRT(LN(Simulations!$AD29/Simulations!$J29)))),PI()*Simulations!$T29^2/2*(LN(Simulations!$AD29/Simulations!$J29)+1))))</f>
        <v>0</v>
      </c>
      <c r="E29" s="0" t="n">
        <f aca="false">IF(NOT(AND(Simulations!$A29&lt;&gt;"",OR(Simulations!$Y29&lt;&gt;"",N(Simulations!$AA29)&gt;0))),0,MAX(N(Simulations!$AB29),N(Simulations!$AC29),N(Simulations!$AD29))/Simulations!$J29)</f>
        <v>0</v>
      </c>
      <c r="F29" s="0" t="n">
        <f aca="false">IF(OR(NOT(AND(Simulations!$A29&lt;&gt;"",OR(Simulations!$Y29&lt;&gt;"",N(Simulations!$AA29)&gt;0))),N(Simulations!$Z29)&lt;=0),0,SQRT(2*Simulations!$Z29*1000000/(Simulations!$J29*1000))/Simulations!$T29)</f>
        <v>0</v>
      </c>
      <c r="G29" s="0" t="n">
        <f aca="false">IF(AND(Simulations!$A29&lt;&gt;"",OR(Simulations!$Y29&lt;&gt;"",N(Simulations!$AA29)&gt;0)),1,0)</f>
        <v>0</v>
      </c>
      <c r="H29" s="0" t="n">
        <f aca="false">IF(OR(NOT(AND(Simulations!$A29&lt;&gt;"",OR(Simulations!$AQ29&lt;&gt;"",N(Simulations!$AS29)&gt;0))),N(Simulations!$AT29)&lt;=0,N(Simulations!$AS29)&lt;=0,1&gt;N(Simulations!$O29)),0,IF(Simulations!$AT29&lt;Simulations!$J29,Simulations!$AS29/(Simulations!$G29*Simulations!$H29*IF(Simulations!$I29&gt;0,Simulations!$I29,1))*Simulations!$AT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T29/Simulations!$J29)^1.5+SQRT(LN(Simulations!$AT29/Simulations!$J29))+Simulations!$AT29/Simulations!$J29*SQRT(PI())/2*ERFC(SQRT(LN(Simulations!$AT29/Simulations!$J29)))),PI()*Simulations!$T29^2/2*(LN(Simulations!$AT29/Simulations!$J29)+1))))</f>
        <v>0</v>
      </c>
      <c r="I29" s="0" t="n">
        <f aca="false">IF(OR(NOT(AND(Simulations!$A29&lt;&gt;"",OR(Simulations!$AQ29&lt;&gt;"",N(Simulations!$AS29)&gt;0))),N(Simulations!$AU29)&lt;=0,N(Simulations!$AS29)&lt;=0,2&gt;N(Simulations!$O29)),0,IF(Simulations!$AU29&lt;Simulations!$J29,Simulations!$AS29/(Simulations!$G29*Simulations!$H29*IF(Simulations!$I29&gt;0,Simulations!$I29,1))*Simulations!$AU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U29/Simulations!$J29)^1.5+SQRT(LN(Simulations!$AU29/Simulations!$J29))+Simulations!$AU29/Simulations!$J29*SQRT(PI())/2*ERFC(SQRT(LN(Simulations!$AU29/Simulations!$J29)))),PI()*Simulations!$T29^2/2*(LN(Simulations!$AU29/Simulations!$J29)+1))))</f>
        <v>0</v>
      </c>
      <c r="J29" s="0" t="n">
        <f aca="false">IF(OR(NOT(AND(Simulations!$A29&lt;&gt;"",OR(Simulations!$AQ29&lt;&gt;"",N(Simulations!$AS29)&gt;0))),N(Simulations!$AV29)&lt;=0,N(Simulations!$AS29)&lt;=0,3&gt;N(Simulations!$O29)),0,IF(Simulations!$AV29&lt;Simulations!$J29,Simulations!$AS29/(Simulations!$G29*Simulations!$H29*IF(Simulations!$I29&gt;0,Simulations!$I29,1))*Simulations!$AV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V29/Simulations!$J29)^1.5+SQRT(LN(Simulations!$AV29/Simulations!$J29))+Simulations!$AV29/Simulations!$J29*SQRT(PI())/2*ERFC(SQRT(LN(Simulations!$AV29/Simulations!$J29)))),PI()*Simulations!$T29^2/2*(LN(Simulations!$AV29/Simulations!$J29)+1))))</f>
        <v>0</v>
      </c>
      <c r="K29" s="0" t="n">
        <f aca="false">IF(NOT(AND(Simulations!$A29&lt;&gt;"",OR(Simulations!$AQ29&lt;&gt;"",N(Simulations!$AS29)&gt;0))),0,MAX(N(Simulations!$AT29),N(Simulations!$AU29),N(Simulations!$AV29))/Simulations!$J29)</f>
        <v>0</v>
      </c>
      <c r="L29" s="0" t="n">
        <f aca="false">IF(OR(NOT(AND(Simulations!$A29&lt;&gt;"",OR(Simulations!$AQ29&lt;&gt;"",N(Simulations!$AS29)&gt;0))),N(Simulations!$AR29)&lt;=0),0,SQRT(2*Simulations!$AR29*1000000/(Simulations!$J29*1000))/Simulations!$T29)</f>
        <v>0</v>
      </c>
      <c r="M29" s="0" t="n">
        <f aca="false">IF(AND(Simulations!$A29&lt;&gt;"",OR(Simulations!$AQ29&lt;&gt;"",N(Simulations!$AS29)&gt;0)),1,0)</f>
        <v>0</v>
      </c>
      <c r="N29" s="0" t="n">
        <f aca="false">IF(OR(NOT(AND(Simulations!$A29&lt;&gt;"",OR(Simulations!$BI29&lt;&gt;"",N(Simulations!$BK29)&gt;0))),N(Simulations!$BL29)&lt;=0,N(Simulations!$BK29)&lt;=0,1&gt;N(Simulations!$O29)),0,IF(Simulations!$BL29&lt;Simulations!$J29,Simulations!$BK29/(Simulations!$G29*Simulations!$H29*IF(Simulations!$I29&gt;0,Simulations!$I29,1))*Simulations!$BL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L29/Simulations!$J29)^1.5+SQRT(LN(Simulations!$BL29/Simulations!$J29))+Simulations!$BL29/Simulations!$J29*SQRT(PI())/2*ERFC(SQRT(LN(Simulations!$BL29/Simulations!$J29)))),PI()*Simulations!$T29^2/2*(LN(Simulations!$BL29/Simulations!$J29)+1))))</f>
        <v>0</v>
      </c>
      <c r="O29" s="0" t="n">
        <f aca="false">IF(OR(NOT(AND(Simulations!$A29&lt;&gt;"",OR(Simulations!$BI29&lt;&gt;"",N(Simulations!$BK29)&gt;0))),N(Simulations!$BM29)&lt;=0,N(Simulations!$BK29)&lt;=0,2&gt;N(Simulations!$O29)),0,IF(Simulations!$BM29&lt;Simulations!$J29,Simulations!$BK29/(Simulations!$G29*Simulations!$H29*IF(Simulations!$I29&gt;0,Simulations!$I29,1))*Simulations!$BM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M29/Simulations!$J29)^1.5+SQRT(LN(Simulations!$BM29/Simulations!$J29))+Simulations!$BM29/Simulations!$J29*SQRT(PI())/2*ERFC(SQRT(LN(Simulations!$BM29/Simulations!$J29)))),PI()*Simulations!$T29^2/2*(LN(Simulations!$BM29/Simulations!$J29)+1))))</f>
        <v>0</v>
      </c>
      <c r="P29" s="0" t="n">
        <f aca="false">IF(OR(NOT(AND(Simulations!$A29&lt;&gt;"",OR(Simulations!$BI29&lt;&gt;"",N(Simulations!$BK29)&gt;0))),N(Simulations!$BN29)&lt;=0,N(Simulations!$BK29)&lt;=0,3&gt;N(Simulations!$O29)),0,IF(Simulations!$BN29&lt;Simulations!$J29,Simulations!$BK29/(Simulations!$G29*Simulations!$H29*IF(Simulations!$I29&gt;0,Simulations!$I29,1))*Simulations!$BN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N29/Simulations!$J29)^1.5+SQRT(LN(Simulations!$BN29/Simulations!$J29))+Simulations!$BN29/Simulations!$J29*SQRT(PI())/2*ERFC(SQRT(LN(Simulations!$BN29/Simulations!$J29)))),PI()*Simulations!$T29^2/2*(LN(Simulations!$BN29/Simulations!$J29)+1))))</f>
        <v>0</v>
      </c>
      <c r="Q29" s="0" t="n">
        <f aca="false">IF(NOT(AND(Simulations!$A29&lt;&gt;"",OR(Simulations!$BI29&lt;&gt;"",N(Simulations!$BK29)&gt;0))),0,MAX(N(Simulations!$BL29),N(Simulations!$BM29),N(Simulations!$BN29))/Simulations!$J29)</f>
        <v>0</v>
      </c>
      <c r="R29" s="0" t="n">
        <f aca="false">IF(OR(NOT(AND(Simulations!$A29&lt;&gt;"",OR(Simulations!$BI29&lt;&gt;"",N(Simulations!$BK29)&gt;0))),N(Simulations!$BJ29)&lt;=0),0,SQRT(2*Simulations!$BJ29*1000000/(Simulations!$J29*1000))/Simulations!$T29)</f>
        <v>0</v>
      </c>
      <c r="S29" s="0" t="n">
        <f aca="false">IF(AND(Simulations!$A29&lt;&gt;"",OR(Simulations!$BI29&lt;&gt;"",N(Simulations!$BK29)&gt;0)),1,0)</f>
        <v>0</v>
      </c>
      <c r="T29" s="0" t="n">
        <f aca="false">IF(OR(NOT(AND(Simulations!$A29&lt;&gt;"",OR(Simulations!$CA29&lt;&gt;"",N(Simulations!$CC29)&gt;0))),N(Simulations!$CD29)&lt;=0,N(Simulations!$CC29)&lt;=0,1&gt;N(Simulations!$O29)),0,IF(Simulations!$CD29&lt;Simulations!$J29,Simulations!$CC29/(Simulations!$G29*Simulations!$H29*IF(Simulations!$I29&gt;0,Simulations!$I29,1))*Simulations!$CD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D29/Simulations!$J29)^1.5+SQRT(LN(Simulations!$CD29/Simulations!$J29))+Simulations!$CD29/Simulations!$J29*SQRT(PI())/2*ERFC(SQRT(LN(Simulations!$CD29/Simulations!$J29)))),PI()*Simulations!$T29^2/2*(LN(Simulations!$CD29/Simulations!$J29)+1))))</f>
        <v>0</v>
      </c>
      <c r="U29" s="0" t="n">
        <f aca="false">IF(OR(NOT(AND(Simulations!$A29&lt;&gt;"",OR(Simulations!$CA29&lt;&gt;"",N(Simulations!$CC29)&gt;0))),N(Simulations!$CE29)&lt;=0,N(Simulations!$CC29)&lt;=0,2&gt;N(Simulations!$O29)),0,IF(Simulations!$CE29&lt;Simulations!$J29,Simulations!$CC29/(Simulations!$G29*Simulations!$H29*IF(Simulations!$I29&gt;0,Simulations!$I29,1))*Simulations!$CE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E29/Simulations!$J29)^1.5+SQRT(LN(Simulations!$CE29/Simulations!$J29))+Simulations!$CE29/Simulations!$J29*SQRT(PI())/2*ERFC(SQRT(LN(Simulations!$CE29/Simulations!$J29)))),PI()*Simulations!$T29^2/2*(LN(Simulations!$CE29/Simulations!$J29)+1))))</f>
        <v>0</v>
      </c>
      <c r="V29" s="0" t="n">
        <f aca="false">IF(OR(NOT(AND(Simulations!$A29&lt;&gt;"",OR(Simulations!$CA29&lt;&gt;"",N(Simulations!$CC29)&gt;0))),N(Simulations!$CF29)&lt;=0,N(Simulations!$CC29)&lt;=0,3&gt;N(Simulations!$O29)),0,IF(Simulations!$CF29&lt;Simulations!$J29,Simulations!$CC29/(Simulations!$G29*Simulations!$H29*IF(Simulations!$I29&gt;0,Simulations!$I29,1))*Simulations!$CF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F29/Simulations!$J29)^1.5+SQRT(LN(Simulations!$CF29/Simulations!$J29))+Simulations!$CF29/Simulations!$J29*SQRT(PI())/2*ERFC(SQRT(LN(Simulations!$CF29/Simulations!$J29)))),PI()*Simulations!$T29^2/2*(LN(Simulations!$CF29/Simulations!$J29)+1))))</f>
        <v>0</v>
      </c>
      <c r="W29" s="0" t="n">
        <f aca="false">IF(NOT(AND(Simulations!$A29&lt;&gt;"",OR(Simulations!$CA29&lt;&gt;"",N(Simulations!$CC29)&gt;0))),0,MAX(N(Simulations!$CD29),N(Simulations!$CE29),N(Simulations!$CF29))/Simulations!$J29)</f>
        <v>0</v>
      </c>
      <c r="X29" s="0" t="n">
        <f aca="false">IF(OR(NOT(AND(Simulations!$A29&lt;&gt;"",OR(Simulations!$CA29&lt;&gt;"",N(Simulations!$CC29)&gt;0))),N(Simulations!$CB29)&lt;=0),0,SQRT(2*Simulations!$CB29*1000000/(Simulations!$J29*1000))/Simulations!$T29)</f>
        <v>0</v>
      </c>
      <c r="Y29" s="0" t="n">
        <f aca="false">IF(AND(Simulations!$A29&lt;&gt;"",OR(Simulations!$CA29&lt;&gt;"",N(Simulations!$CC29)&gt;0)),1,0)</f>
        <v>0</v>
      </c>
      <c r="Z29" s="0" t="n">
        <f aca="false">IF(OR(NOT(AND(Simulations!$A29&lt;&gt;"",OR(Simulations!$CS29&lt;&gt;"",N(Simulations!$CU29)&gt;0))),N(Simulations!$CV29)&lt;=0,N(Simulations!$CU29)&lt;=0,1&gt;N(Simulations!$O29)),0,IF(Simulations!$CV29&lt;Simulations!$J29,Simulations!$CU29/(Simulations!$G29*Simulations!$H29*IF(Simulations!$I29&gt;0,Simulations!$I29,1))*Simulations!$CV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V29/Simulations!$J29)^1.5+SQRT(LN(Simulations!$CV29/Simulations!$J29))+Simulations!$CV29/Simulations!$J29*SQRT(PI())/2*ERFC(SQRT(LN(Simulations!$CV29/Simulations!$J29)))),PI()*Simulations!$T29^2/2*(LN(Simulations!$CV29/Simulations!$J29)+1))))</f>
        <v>0</v>
      </c>
      <c r="AA29" s="0" t="n">
        <f aca="false">IF(OR(NOT(AND(Simulations!$A29&lt;&gt;"",OR(Simulations!$CS29&lt;&gt;"",N(Simulations!$CU29)&gt;0))),N(Simulations!$CW29)&lt;=0,N(Simulations!$CU29)&lt;=0,2&gt;N(Simulations!$O29)),0,IF(Simulations!$CW29&lt;Simulations!$J29,Simulations!$CU29/(Simulations!$G29*Simulations!$H29*IF(Simulations!$I29&gt;0,Simulations!$I29,1))*Simulations!$CW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W29/Simulations!$J29)^1.5+SQRT(LN(Simulations!$CW29/Simulations!$J29))+Simulations!$CW29/Simulations!$J29*SQRT(PI())/2*ERFC(SQRT(LN(Simulations!$CW29/Simulations!$J29)))),PI()*Simulations!$T29^2/2*(LN(Simulations!$CW29/Simulations!$J29)+1))))</f>
        <v>0</v>
      </c>
      <c r="AB29" s="0" t="n">
        <f aca="false">IF(OR(NOT(AND(Simulations!$A29&lt;&gt;"",OR(Simulations!$CS29&lt;&gt;"",N(Simulations!$CU29)&gt;0))),N(Simulations!$CX29)&lt;=0,N(Simulations!$CU29)&lt;=0,3&gt;N(Simulations!$O29)),0,IF(Simulations!$CX29&lt;Simulations!$J29,Simulations!$CU29/(Simulations!$G29*Simulations!$H29*IF(Simulations!$I29&gt;0,Simulations!$I29,1))*Simulations!$CX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X29/Simulations!$J29)^1.5+SQRT(LN(Simulations!$CX29/Simulations!$J29))+Simulations!$CX29/Simulations!$J29*SQRT(PI())/2*ERFC(SQRT(LN(Simulations!$CX29/Simulations!$J29)))),PI()*Simulations!$T29^2/2*(LN(Simulations!$CX29/Simulations!$J29)+1))))</f>
        <v>0</v>
      </c>
      <c r="AC29" s="0" t="n">
        <f aca="false">IF(NOT(AND(Simulations!$A29&lt;&gt;"",OR(Simulations!$CS29&lt;&gt;"",N(Simulations!$CU29)&gt;0))),0,MAX(N(Simulations!$CV29),N(Simulations!$CW29),N(Simulations!$CX29))/Simulations!$J29)</f>
        <v>0</v>
      </c>
      <c r="AD29" s="0" t="n">
        <f aca="false">IF(OR(NOT(AND(Simulations!$A29&lt;&gt;"",OR(Simulations!$CS29&lt;&gt;"",N(Simulations!$CU29)&gt;0))),N(Simulations!$CT29)&lt;=0),0,SQRT(2*Simulations!$CT29*1000000/(Simulations!$J29*1000))/Simulations!$T29)</f>
        <v>0</v>
      </c>
      <c r="AE29" s="0" t="n">
        <f aca="false">IF(AND(Simulations!$A29&lt;&gt;"",OR(Simulations!$CS29&lt;&gt;"",N(Simulations!$CU29)&gt;0)),1,0)</f>
        <v>0</v>
      </c>
      <c r="AF29" s="0" t="n">
        <f aca="false">IF(OR(NOT(AND(Simulations!$A29&lt;&gt;"",OR(Simulations!$DK29&lt;&gt;"",N(Simulations!$DM29)&gt;0))),N(Simulations!$DN29)&lt;=0,N(Simulations!$DM29)&lt;=0,1&gt;N(Simulations!$O29)),0,IF(Simulations!$DN29&lt;Simulations!$J29,Simulations!$DM29/(Simulations!$G29*Simulations!$H29*IF(Simulations!$I29&gt;0,Simulations!$I29,1))*Simulations!$DN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N29/Simulations!$J29)^1.5+SQRT(LN(Simulations!$DN29/Simulations!$J29))+Simulations!$DN29/Simulations!$J29*SQRT(PI())/2*ERFC(SQRT(LN(Simulations!$DN29/Simulations!$J29)))),PI()*Simulations!$T29^2/2*(LN(Simulations!$DN29/Simulations!$J29)+1))))</f>
        <v>0</v>
      </c>
      <c r="AG29" s="0" t="n">
        <f aca="false">IF(OR(NOT(AND(Simulations!$A29&lt;&gt;"",OR(Simulations!$DK29&lt;&gt;"",N(Simulations!$DM29)&gt;0))),N(Simulations!$DO29)&lt;=0,N(Simulations!$DM29)&lt;=0,2&gt;N(Simulations!$O29)),0,IF(Simulations!$DO29&lt;Simulations!$J29,Simulations!$DM29/(Simulations!$G29*Simulations!$H29*IF(Simulations!$I29&gt;0,Simulations!$I29,1))*Simulations!$DO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O29/Simulations!$J29)^1.5+SQRT(LN(Simulations!$DO29/Simulations!$J29))+Simulations!$DO29/Simulations!$J29*SQRT(PI())/2*ERFC(SQRT(LN(Simulations!$DO29/Simulations!$J29)))),PI()*Simulations!$T29^2/2*(LN(Simulations!$DO29/Simulations!$J29)+1))))</f>
        <v>0</v>
      </c>
      <c r="AH29" s="0" t="n">
        <f aca="false">IF(OR(NOT(AND(Simulations!$A29&lt;&gt;"",OR(Simulations!$DK29&lt;&gt;"",N(Simulations!$DM29)&gt;0))),N(Simulations!$DP29)&lt;=0,N(Simulations!$DM29)&lt;=0,3&gt;N(Simulations!$O29)),0,IF(Simulations!$DP29&lt;Simulations!$J29,Simulations!$DM29/(Simulations!$G29*Simulations!$H29*IF(Simulations!$I29&gt;0,Simulations!$I29,1))*Simulations!$DP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P29/Simulations!$J29)^1.5+SQRT(LN(Simulations!$DP29/Simulations!$J29))+Simulations!$DP29/Simulations!$J29*SQRT(PI())/2*ERFC(SQRT(LN(Simulations!$DP29/Simulations!$J29)))),PI()*Simulations!$T29^2/2*(LN(Simulations!$DP29/Simulations!$J29)+1))))</f>
        <v>0</v>
      </c>
      <c r="AI29" s="0" t="n">
        <f aca="false">IF(NOT(AND(Simulations!$A29&lt;&gt;"",OR(Simulations!$DK29&lt;&gt;"",N(Simulations!$DM29)&gt;0))),0,MAX(N(Simulations!$DN29),N(Simulations!$DO29),N(Simulations!$DP29))/Simulations!$J29)</f>
        <v>0</v>
      </c>
      <c r="AJ29" s="0" t="n">
        <f aca="false">IF(OR(NOT(AND(Simulations!$A29&lt;&gt;"",OR(Simulations!$DK29&lt;&gt;"",N(Simulations!$DM29)&gt;0))),N(Simulations!$DL29)&lt;=0),0,SQRT(2*Simulations!$DL29*1000000/(Simulations!$J29*1000))/Simulations!$T29)</f>
        <v>0</v>
      </c>
      <c r="AK29" s="0" t="n">
        <f aca="false">IF(AND(Simulations!$A29&lt;&gt;"",OR(Simulations!$DK29&lt;&gt;"",N(Simulations!$DM29)&gt;0)),1,0)</f>
        <v>0</v>
      </c>
    </row>
    <row r="30" customFormat="false" ht="15" hidden="false" customHeight="false" outlineLevel="0" collapsed="false">
      <c r="B30" s="0" t="n">
        <f aca="false">IF(OR(NOT(AND(Simulations!$A30&lt;&gt;"",OR(Simulations!$Y30&lt;&gt;"",N(Simulations!$AA30)&gt;0))),N(Simulations!$AB30)&lt;=0,N(Simulations!$AA30)&lt;=0,1&gt;N(Simulations!$O30)),0,IF(Simulations!$AB30&lt;Simulations!$J30,Simulations!$AA30/(Simulations!$G30*Simulations!$H30*IF(Simulations!$I30&gt;0,Simulations!$I30,1))*Simulations!$AB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B30/Simulations!$J30)^1.5+SQRT(LN(Simulations!$AB30/Simulations!$J30))+Simulations!$AB30/Simulations!$J30*SQRT(PI())/2*ERFC(SQRT(LN(Simulations!$AB30/Simulations!$J30)))),PI()*Simulations!$T30^2/2*(LN(Simulations!$AB30/Simulations!$J30)+1))))</f>
        <v>0</v>
      </c>
      <c r="C30" s="0" t="n">
        <f aca="false">IF(OR(NOT(AND(Simulations!$A30&lt;&gt;"",OR(Simulations!$Y30&lt;&gt;"",N(Simulations!$AA30)&gt;0))),N(Simulations!$AC30)&lt;=0,N(Simulations!$AA30)&lt;=0,2&gt;N(Simulations!$O30)),0,IF(Simulations!$AC30&lt;Simulations!$J30,Simulations!$AA30/(Simulations!$G30*Simulations!$H30*IF(Simulations!$I30&gt;0,Simulations!$I30,1))*Simulations!$AC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C30/Simulations!$J30)^1.5+SQRT(LN(Simulations!$AC30/Simulations!$J30))+Simulations!$AC30/Simulations!$J30*SQRT(PI())/2*ERFC(SQRT(LN(Simulations!$AC30/Simulations!$J30)))),PI()*Simulations!$T30^2/2*(LN(Simulations!$AC30/Simulations!$J30)+1))))</f>
        <v>0</v>
      </c>
      <c r="D30" s="0" t="n">
        <f aca="false">IF(OR(NOT(AND(Simulations!$A30&lt;&gt;"",OR(Simulations!$Y30&lt;&gt;"",N(Simulations!$AA30)&gt;0))),N(Simulations!$AD30)&lt;=0,N(Simulations!$AA30)&lt;=0,3&gt;N(Simulations!$O30)),0,IF(Simulations!$AD30&lt;Simulations!$J30,Simulations!$AA30/(Simulations!$G30*Simulations!$H30*IF(Simulations!$I30&gt;0,Simulations!$I30,1))*Simulations!$AD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D30/Simulations!$J30)^1.5+SQRT(LN(Simulations!$AD30/Simulations!$J30))+Simulations!$AD30/Simulations!$J30*SQRT(PI())/2*ERFC(SQRT(LN(Simulations!$AD30/Simulations!$J30)))),PI()*Simulations!$T30^2/2*(LN(Simulations!$AD30/Simulations!$J30)+1))))</f>
        <v>0</v>
      </c>
      <c r="E30" s="0" t="n">
        <f aca="false">IF(NOT(AND(Simulations!$A30&lt;&gt;"",OR(Simulations!$Y30&lt;&gt;"",N(Simulations!$AA30)&gt;0))),0,MAX(N(Simulations!$AB30),N(Simulations!$AC30),N(Simulations!$AD30))/Simulations!$J30)</f>
        <v>0</v>
      </c>
      <c r="F30" s="0" t="n">
        <f aca="false">IF(OR(NOT(AND(Simulations!$A30&lt;&gt;"",OR(Simulations!$Y30&lt;&gt;"",N(Simulations!$AA30)&gt;0))),N(Simulations!$Z30)&lt;=0),0,SQRT(2*Simulations!$Z30*1000000/(Simulations!$J30*1000))/Simulations!$T30)</f>
        <v>0</v>
      </c>
      <c r="G30" s="0" t="n">
        <f aca="false">IF(AND(Simulations!$A30&lt;&gt;"",OR(Simulations!$Y30&lt;&gt;"",N(Simulations!$AA30)&gt;0)),1,0)</f>
        <v>0</v>
      </c>
      <c r="H30" s="0" t="n">
        <f aca="false">IF(OR(NOT(AND(Simulations!$A30&lt;&gt;"",OR(Simulations!$AQ30&lt;&gt;"",N(Simulations!$AS30)&gt;0))),N(Simulations!$AT30)&lt;=0,N(Simulations!$AS30)&lt;=0,1&gt;N(Simulations!$O30)),0,IF(Simulations!$AT30&lt;Simulations!$J30,Simulations!$AS30/(Simulations!$G30*Simulations!$H30*IF(Simulations!$I30&gt;0,Simulations!$I30,1))*Simulations!$AT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T30/Simulations!$J30)^1.5+SQRT(LN(Simulations!$AT30/Simulations!$J30))+Simulations!$AT30/Simulations!$J30*SQRT(PI())/2*ERFC(SQRT(LN(Simulations!$AT30/Simulations!$J30)))),PI()*Simulations!$T30^2/2*(LN(Simulations!$AT30/Simulations!$J30)+1))))</f>
        <v>0</v>
      </c>
      <c r="I30" s="0" t="n">
        <f aca="false">IF(OR(NOT(AND(Simulations!$A30&lt;&gt;"",OR(Simulations!$AQ30&lt;&gt;"",N(Simulations!$AS30)&gt;0))),N(Simulations!$AU30)&lt;=0,N(Simulations!$AS30)&lt;=0,2&gt;N(Simulations!$O30)),0,IF(Simulations!$AU30&lt;Simulations!$J30,Simulations!$AS30/(Simulations!$G30*Simulations!$H30*IF(Simulations!$I30&gt;0,Simulations!$I30,1))*Simulations!$AU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U30/Simulations!$J30)^1.5+SQRT(LN(Simulations!$AU30/Simulations!$J30))+Simulations!$AU30/Simulations!$J30*SQRT(PI())/2*ERFC(SQRT(LN(Simulations!$AU30/Simulations!$J30)))),PI()*Simulations!$T30^2/2*(LN(Simulations!$AU30/Simulations!$J30)+1))))</f>
        <v>0</v>
      </c>
      <c r="J30" s="0" t="n">
        <f aca="false">IF(OR(NOT(AND(Simulations!$A30&lt;&gt;"",OR(Simulations!$AQ30&lt;&gt;"",N(Simulations!$AS30)&gt;0))),N(Simulations!$AV30)&lt;=0,N(Simulations!$AS30)&lt;=0,3&gt;N(Simulations!$O30)),0,IF(Simulations!$AV30&lt;Simulations!$J30,Simulations!$AS30/(Simulations!$G30*Simulations!$H30*IF(Simulations!$I30&gt;0,Simulations!$I30,1))*Simulations!$AV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V30/Simulations!$J30)^1.5+SQRT(LN(Simulations!$AV30/Simulations!$J30))+Simulations!$AV30/Simulations!$J30*SQRT(PI())/2*ERFC(SQRT(LN(Simulations!$AV30/Simulations!$J30)))),PI()*Simulations!$T30^2/2*(LN(Simulations!$AV30/Simulations!$J30)+1))))</f>
        <v>0</v>
      </c>
      <c r="K30" s="0" t="n">
        <f aca="false">IF(NOT(AND(Simulations!$A30&lt;&gt;"",OR(Simulations!$AQ30&lt;&gt;"",N(Simulations!$AS30)&gt;0))),0,MAX(N(Simulations!$AT30),N(Simulations!$AU30),N(Simulations!$AV30))/Simulations!$J30)</f>
        <v>0</v>
      </c>
      <c r="L30" s="0" t="n">
        <f aca="false">IF(OR(NOT(AND(Simulations!$A30&lt;&gt;"",OR(Simulations!$AQ30&lt;&gt;"",N(Simulations!$AS30)&gt;0))),N(Simulations!$AR30)&lt;=0),0,SQRT(2*Simulations!$AR30*1000000/(Simulations!$J30*1000))/Simulations!$T30)</f>
        <v>0</v>
      </c>
      <c r="M30" s="0" t="n">
        <f aca="false">IF(AND(Simulations!$A30&lt;&gt;"",OR(Simulations!$AQ30&lt;&gt;"",N(Simulations!$AS30)&gt;0)),1,0)</f>
        <v>0</v>
      </c>
      <c r="N30" s="0" t="n">
        <f aca="false">IF(OR(NOT(AND(Simulations!$A30&lt;&gt;"",OR(Simulations!$BI30&lt;&gt;"",N(Simulations!$BK30)&gt;0))),N(Simulations!$BL30)&lt;=0,N(Simulations!$BK30)&lt;=0,1&gt;N(Simulations!$O30)),0,IF(Simulations!$BL30&lt;Simulations!$J30,Simulations!$BK30/(Simulations!$G30*Simulations!$H30*IF(Simulations!$I30&gt;0,Simulations!$I30,1))*Simulations!$BL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L30/Simulations!$J30)^1.5+SQRT(LN(Simulations!$BL30/Simulations!$J30))+Simulations!$BL30/Simulations!$J30*SQRT(PI())/2*ERFC(SQRT(LN(Simulations!$BL30/Simulations!$J30)))),PI()*Simulations!$T30^2/2*(LN(Simulations!$BL30/Simulations!$J30)+1))))</f>
        <v>0</v>
      </c>
      <c r="O30" s="0" t="n">
        <f aca="false">IF(OR(NOT(AND(Simulations!$A30&lt;&gt;"",OR(Simulations!$BI30&lt;&gt;"",N(Simulations!$BK30)&gt;0))),N(Simulations!$BM30)&lt;=0,N(Simulations!$BK30)&lt;=0,2&gt;N(Simulations!$O30)),0,IF(Simulations!$BM30&lt;Simulations!$J30,Simulations!$BK30/(Simulations!$G30*Simulations!$H30*IF(Simulations!$I30&gt;0,Simulations!$I30,1))*Simulations!$BM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M30/Simulations!$J30)^1.5+SQRT(LN(Simulations!$BM30/Simulations!$J30))+Simulations!$BM30/Simulations!$J30*SQRT(PI())/2*ERFC(SQRT(LN(Simulations!$BM30/Simulations!$J30)))),PI()*Simulations!$T30^2/2*(LN(Simulations!$BM30/Simulations!$J30)+1))))</f>
        <v>0</v>
      </c>
      <c r="P30" s="0" t="n">
        <f aca="false">IF(OR(NOT(AND(Simulations!$A30&lt;&gt;"",OR(Simulations!$BI30&lt;&gt;"",N(Simulations!$BK30)&gt;0))),N(Simulations!$BN30)&lt;=0,N(Simulations!$BK30)&lt;=0,3&gt;N(Simulations!$O30)),0,IF(Simulations!$BN30&lt;Simulations!$J30,Simulations!$BK30/(Simulations!$G30*Simulations!$H30*IF(Simulations!$I30&gt;0,Simulations!$I30,1))*Simulations!$BN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N30/Simulations!$J30)^1.5+SQRT(LN(Simulations!$BN30/Simulations!$J30))+Simulations!$BN30/Simulations!$J30*SQRT(PI())/2*ERFC(SQRT(LN(Simulations!$BN30/Simulations!$J30)))),PI()*Simulations!$T30^2/2*(LN(Simulations!$BN30/Simulations!$J30)+1))))</f>
        <v>0</v>
      </c>
      <c r="Q30" s="0" t="n">
        <f aca="false">IF(NOT(AND(Simulations!$A30&lt;&gt;"",OR(Simulations!$BI30&lt;&gt;"",N(Simulations!$BK30)&gt;0))),0,MAX(N(Simulations!$BL30),N(Simulations!$BM30),N(Simulations!$BN30))/Simulations!$J30)</f>
        <v>0</v>
      </c>
      <c r="R30" s="0" t="n">
        <f aca="false">IF(OR(NOT(AND(Simulations!$A30&lt;&gt;"",OR(Simulations!$BI30&lt;&gt;"",N(Simulations!$BK30)&gt;0))),N(Simulations!$BJ30)&lt;=0),0,SQRT(2*Simulations!$BJ30*1000000/(Simulations!$J30*1000))/Simulations!$T30)</f>
        <v>0</v>
      </c>
      <c r="S30" s="0" t="n">
        <f aca="false">IF(AND(Simulations!$A30&lt;&gt;"",OR(Simulations!$BI30&lt;&gt;"",N(Simulations!$BK30)&gt;0)),1,0)</f>
        <v>0</v>
      </c>
      <c r="T30" s="0" t="n">
        <f aca="false">IF(OR(NOT(AND(Simulations!$A30&lt;&gt;"",OR(Simulations!$CA30&lt;&gt;"",N(Simulations!$CC30)&gt;0))),N(Simulations!$CD30)&lt;=0,N(Simulations!$CC30)&lt;=0,1&gt;N(Simulations!$O30)),0,IF(Simulations!$CD30&lt;Simulations!$J30,Simulations!$CC30/(Simulations!$G30*Simulations!$H30*IF(Simulations!$I30&gt;0,Simulations!$I30,1))*Simulations!$CD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D30/Simulations!$J30)^1.5+SQRT(LN(Simulations!$CD30/Simulations!$J30))+Simulations!$CD30/Simulations!$J30*SQRT(PI())/2*ERFC(SQRT(LN(Simulations!$CD30/Simulations!$J30)))),PI()*Simulations!$T30^2/2*(LN(Simulations!$CD30/Simulations!$J30)+1))))</f>
        <v>0</v>
      </c>
      <c r="U30" s="0" t="n">
        <f aca="false">IF(OR(NOT(AND(Simulations!$A30&lt;&gt;"",OR(Simulations!$CA30&lt;&gt;"",N(Simulations!$CC30)&gt;0))),N(Simulations!$CE30)&lt;=0,N(Simulations!$CC30)&lt;=0,2&gt;N(Simulations!$O30)),0,IF(Simulations!$CE30&lt;Simulations!$J30,Simulations!$CC30/(Simulations!$G30*Simulations!$H30*IF(Simulations!$I30&gt;0,Simulations!$I30,1))*Simulations!$CE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E30/Simulations!$J30)^1.5+SQRT(LN(Simulations!$CE30/Simulations!$J30))+Simulations!$CE30/Simulations!$J30*SQRT(PI())/2*ERFC(SQRT(LN(Simulations!$CE30/Simulations!$J30)))),PI()*Simulations!$T30^2/2*(LN(Simulations!$CE30/Simulations!$J30)+1))))</f>
        <v>0</v>
      </c>
      <c r="V30" s="0" t="n">
        <f aca="false">IF(OR(NOT(AND(Simulations!$A30&lt;&gt;"",OR(Simulations!$CA30&lt;&gt;"",N(Simulations!$CC30)&gt;0))),N(Simulations!$CF30)&lt;=0,N(Simulations!$CC30)&lt;=0,3&gt;N(Simulations!$O30)),0,IF(Simulations!$CF30&lt;Simulations!$J30,Simulations!$CC30/(Simulations!$G30*Simulations!$H30*IF(Simulations!$I30&gt;0,Simulations!$I30,1))*Simulations!$CF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F30/Simulations!$J30)^1.5+SQRT(LN(Simulations!$CF30/Simulations!$J30))+Simulations!$CF30/Simulations!$J30*SQRT(PI())/2*ERFC(SQRT(LN(Simulations!$CF30/Simulations!$J30)))),PI()*Simulations!$T30^2/2*(LN(Simulations!$CF30/Simulations!$J30)+1))))</f>
        <v>0</v>
      </c>
      <c r="W30" s="0" t="n">
        <f aca="false">IF(NOT(AND(Simulations!$A30&lt;&gt;"",OR(Simulations!$CA30&lt;&gt;"",N(Simulations!$CC30)&gt;0))),0,MAX(N(Simulations!$CD30),N(Simulations!$CE30),N(Simulations!$CF30))/Simulations!$J30)</f>
        <v>0</v>
      </c>
      <c r="X30" s="0" t="n">
        <f aca="false">IF(OR(NOT(AND(Simulations!$A30&lt;&gt;"",OR(Simulations!$CA30&lt;&gt;"",N(Simulations!$CC30)&gt;0))),N(Simulations!$CB30)&lt;=0),0,SQRT(2*Simulations!$CB30*1000000/(Simulations!$J30*1000))/Simulations!$T30)</f>
        <v>0</v>
      </c>
      <c r="Y30" s="0" t="n">
        <f aca="false">IF(AND(Simulations!$A30&lt;&gt;"",OR(Simulations!$CA30&lt;&gt;"",N(Simulations!$CC30)&gt;0)),1,0)</f>
        <v>0</v>
      </c>
      <c r="Z30" s="0" t="n">
        <f aca="false">IF(OR(NOT(AND(Simulations!$A30&lt;&gt;"",OR(Simulations!$CS30&lt;&gt;"",N(Simulations!$CU30)&gt;0))),N(Simulations!$CV30)&lt;=0,N(Simulations!$CU30)&lt;=0,1&gt;N(Simulations!$O30)),0,IF(Simulations!$CV30&lt;Simulations!$J30,Simulations!$CU30/(Simulations!$G30*Simulations!$H30*IF(Simulations!$I30&gt;0,Simulations!$I30,1))*Simulations!$CV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V30/Simulations!$J30)^1.5+SQRT(LN(Simulations!$CV30/Simulations!$J30))+Simulations!$CV30/Simulations!$J30*SQRT(PI())/2*ERFC(SQRT(LN(Simulations!$CV30/Simulations!$J30)))),PI()*Simulations!$T30^2/2*(LN(Simulations!$CV30/Simulations!$J30)+1))))</f>
        <v>0</v>
      </c>
      <c r="AA30" s="0" t="n">
        <f aca="false">IF(OR(NOT(AND(Simulations!$A30&lt;&gt;"",OR(Simulations!$CS30&lt;&gt;"",N(Simulations!$CU30)&gt;0))),N(Simulations!$CW30)&lt;=0,N(Simulations!$CU30)&lt;=0,2&gt;N(Simulations!$O30)),0,IF(Simulations!$CW30&lt;Simulations!$J30,Simulations!$CU30/(Simulations!$G30*Simulations!$H30*IF(Simulations!$I30&gt;0,Simulations!$I30,1))*Simulations!$CW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W30/Simulations!$J30)^1.5+SQRT(LN(Simulations!$CW30/Simulations!$J30))+Simulations!$CW30/Simulations!$J30*SQRT(PI())/2*ERFC(SQRT(LN(Simulations!$CW30/Simulations!$J30)))),PI()*Simulations!$T30^2/2*(LN(Simulations!$CW30/Simulations!$J30)+1))))</f>
        <v>0</v>
      </c>
      <c r="AB30" s="0" t="n">
        <f aca="false">IF(OR(NOT(AND(Simulations!$A30&lt;&gt;"",OR(Simulations!$CS30&lt;&gt;"",N(Simulations!$CU30)&gt;0))),N(Simulations!$CX30)&lt;=0,N(Simulations!$CU30)&lt;=0,3&gt;N(Simulations!$O30)),0,IF(Simulations!$CX30&lt;Simulations!$J30,Simulations!$CU30/(Simulations!$G30*Simulations!$H30*IF(Simulations!$I30&gt;0,Simulations!$I30,1))*Simulations!$CX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X30/Simulations!$J30)^1.5+SQRT(LN(Simulations!$CX30/Simulations!$J30))+Simulations!$CX30/Simulations!$J30*SQRT(PI())/2*ERFC(SQRT(LN(Simulations!$CX30/Simulations!$J30)))),PI()*Simulations!$T30^2/2*(LN(Simulations!$CX30/Simulations!$J30)+1))))</f>
        <v>0</v>
      </c>
      <c r="AC30" s="0" t="n">
        <f aca="false">IF(NOT(AND(Simulations!$A30&lt;&gt;"",OR(Simulations!$CS30&lt;&gt;"",N(Simulations!$CU30)&gt;0))),0,MAX(N(Simulations!$CV30),N(Simulations!$CW30),N(Simulations!$CX30))/Simulations!$J30)</f>
        <v>0</v>
      </c>
      <c r="AD30" s="0" t="n">
        <f aca="false">IF(OR(NOT(AND(Simulations!$A30&lt;&gt;"",OR(Simulations!$CS30&lt;&gt;"",N(Simulations!$CU30)&gt;0))),N(Simulations!$CT30)&lt;=0),0,SQRT(2*Simulations!$CT30*1000000/(Simulations!$J30*1000))/Simulations!$T30)</f>
        <v>0</v>
      </c>
      <c r="AE30" s="0" t="n">
        <f aca="false">IF(AND(Simulations!$A30&lt;&gt;"",OR(Simulations!$CS30&lt;&gt;"",N(Simulations!$CU30)&gt;0)),1,0)</f>
        <v>0</v>
      </c>
      <c r="AF30" s="0" t="n">
        <f aca="false">IF(OR(NOT(AND(Simulations!$A30&lt;&gt;"",OR(Simulations!$DK30&lt;&gt;"",N(Simulations!$DM30)&gt;0))),N(Simulations!$DN30)&lt;=0,N(Simulations!$DM30)&lt;=0,1&gt;N(Simulations!$O30)),0,IF(Simulations!$DN30&lt;Simulations!$J30,Simulations!$DM30/(Simulations!$G30*Simulations!$H30*IF(Simulations!$I30&gt;0,Simulations!$I30,1))*Simulations!$DN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N30/Simulations!$J30)^1.5+SQRT(LN(Simulations!$DN30/Simulations!$J30))+Simulations!$DN30/Simulations!$J30*SQRT(PI())/2*ERFC(SQRT(LN(Simulations!$DN30/Simulations!$J30)))),PI()*Simulations!$T30^2/2*(LN(Simulations!$DN30/Simulations!$J30)+1))))</f>
        <v>0</v>
      </c>
      <c r="AG30" s="0" t="n">
        <f aca="false">IF(OR(NOT(AND(Simulations!$A30&lt;&gt;"",OR(Simulations!$DK30&lt;&gt;"",N(Simulations!$DM30)&gt;0))),N(Simulations!$DO30)&lt;=0,N(Simulations!$DM30)&lt;=0,2&gt;N(Simulations!$O30)),0,IF(Simulations!$DO30&lt;Simulations!$J30,Simulations!$DM30/(Simulations!$G30*Simulations!$H30*IF(Simulations!$I30&gt;0,Simulations!$I30,1))*Simulations!$DO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O30/Simulations!$J30)^1.5+SQRT(LN(Simulations!$DO30/Simulations!$J30))+Simulations!$DO30/Simulations!$J30*SQRT(PI())/2*ERFC(SQRT(LN(Simulations!$DO30/Simulations!$J30)))),PI()*Simulations!$T30^2/2*(LN(Simulations!$DO30/Simulations!$J30)+1))))</f>
        <v>0</v>
      </c>
      <c r="AH30" s="0" t="n">
        <f aca="false">IF(OR(NOT(AND(Simulations!$A30&lt;&gt;"",OR(Simulations!$DK30&lt;&gt;"",N(Simulations!$DM30)&gt;0))),N(Simulations!$DP30)&lt;=0,N(Simulations!$DM30)&lt;=0,3&gt;N(Simulations!$O30)),0,IF(Simulations!$DP30&lt;Simulations!$J30,Simulations!$DM30/(Simulations!$G30*Simulations!$H30*IF(Simulations!$I30&gt;0,Simulations!$I30,1))*Simulations!$DP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P30/Simulations!$J30)^1.5+SQRT(LN(Simulations!$DP30/Simulations!$J30))+Simulations!$DP30/Simulations!$J30*SQRT(PI())/2*ERFC(SQRT(LN(Simulations!$DP30/Simulations!$J30)))),PI()*Simulations!$T30^2/2*(LN(Simulations!$DP30/Simulations!$J30)+1))))</f>
        <v>0</v>
      </c>
      <c r="AI30" s="0" t="n">
        <f aca="false">IF(NOT(AND(Simulations!$A30&lt;&gt;"",OR(Simulations!$DK30&lt;&gt;"",N(Simulations!$DM30)&gt;0))),0,MAX(N(Simulations!$DN30),N(Simulations!$DO30),N(Simulations!$DP30))/Simulations!$J30)</f>
        <v>0</v>
      </c>
      <c r="AJ30" s="0" t="n">
        <f aca="false">IF(OR(NOT(AND(Simulations!$A30&lt;&gt;"",OR(Simulations!$DK30&lt;&gt;"",N(Simulations!$DM30)&gt;0))),N(Simulations!$DL30)&lt;=0),0,SQRT(2*Simulations!$DL30*1000000/(Simulations!$J30*1000))/Simulations!$T30)</f>
        <v>0</v>
      </c>
      <c r="AK30" s="0" t="n">
        <f aca="false">IF(AND(Simulations!$A30&lt;&gt;"",OR(Simulations!$DK30&lt;&gt;"",N(Simulations!$DM30)&gt;0)),1,0)</f>
        <v>0</v>
      </c>
    </row>
    <row r="31" customFormat="false" ht="15" hidden="false" customHeight="false" outlineLevel="0" collapsed="false">
      <c r="B31" s="0" t="n">
        <f aca="false">IF(OR(NOT(AND(Simulations!$A31&lt;&gt;"",OR(Simulations!$Y31&lt;&gt;"",N(Simulations!$AA31)&gt;0))),N(Simulations!$AB31)&lt;=0,N(Simulations!$AA31)&lt;=0,1&gt;N(Simulations!$O31)),0,IF(Simulations!$AB31&lt;Simulations!$J31,Simulations!$AA31/(Simulations!$G31*Simulations!$H31*IF(Simulations!$I31&gt;0,Simulations!$I31,1))*Simulations!$AB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B31/Simulations!$J31)^1.5+SQRT(LN(Simulations!$AB31/Simulations!$J31))+Simulations!$AB31/Simulations!$J31*SQRT(PI())/2*ERFC(SQRT(LN(Simulations!$AB31/Simulations!$J31)))),PI()*Simulations!$T31^2/2*(LN(Simulations!$AB31/Simulations!$J31)+1))))</f>
        <v>0</v>
      </c>
      <c r="C31" s="0" t="n">
        <f aca="false">IF(OR(NOT(AND(Simulations!$A31&lt;&gt;"",OR(Simulations!$Y31&lt;&gt;"",N(Simulations!$AA31)&gt;0))),N(Simulations!$AC31)&lt;=0,N(Simulations!$AA31)&lt;=0,2&gt;N(Simulations!$O31)),0,IF(Simulations!$AC31&lt;Simulations!$J31,Simulations!$AA31/(Simulations!$G31*Simulations!$H31*IF(Simulations!$I31&gt;0,Simulations!$I31,1))*Simulations!$AC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C31/Simulations!$J31)^1.5+SQRT(LN(Simulations!$AC31/Simulations!$J31))+Simulations!$AC31/Simulations!$J31*SQRT(PI())/2*ERFC(SQRT(LN(Simulations!$AC31/Simulations!$J31)))),PI()*Simulations!$T31^2/2*(LN(Simulations!$AC31/Simulations!$J31)+1))))</f>
        <v>0</v>
      </c>
      <c r="D31" s="0" t="n">
        <f aca="false">IF(OR(NOT(AND(Simulations!$A31&lt;&gt;"",OR(Simulations!$Y31&lt;&gt;"",N(Simulations!$AA31)&gt;0))),N(Simulations!$AD31)&lt;=0,N(Simulations!$AA31)&lt;=0,3&gt;N(Simulations!$O31)),0,IF(Simulations!$AD31&lt;Simulations!$J31,Simulations!$AA31/(Simulations!$G31*Simulations!$H31*IF(Simulations!$I31&gt;0,Simulations!$I31,1))*Simulations!$AD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D31/Simulations!$J31)^1.5+SQRT(LN(Simulations!$AD31/Simulations!$J31))+Simulations!$AD31/Simulations!$J31*SQRT(PI())/2*ERFC(SQRT(LN(Simulations!$AD31/Simulations!$J31)))),PI()*Simulations!$T31^2/2*(LN(Simulations!$AD31/Simulations!$J31)+1))))</f>
        <v>0</v>
      </c>
      <c r="E31" s="0" t="n">
        <f aca="false">IF(NOT(AND(Simulations!$A31&lt;&gt;"",OR(Simulations!$Y31&lt;&gt;"",N(Simulations!$AA31)&gt;0))),0,MAX(N(Simulations!$AB31),N(Simulations!$AC31),N(Simulations!$AD31))/Simulations!$J31)</f>
        <v>0</v>
      </c>
      <c r="F31" s="0" t="n">
        <f aca="false">IF(OR(NOT(AND(Simulations!$A31&lt;&gt;"",OR(Simulations!$Y31&lt;&gt;"",N(Simulations!$AA31)&gt;0))),N(Simulations!$Z31)&lt;=0),0,SQRT(2*Simulations!$Z31*1000000/(Simulations!$J31*1000))/Simulations!$T31)</f>
        <v>0</v>
      </c>
      <c r="G31" s="0" t="n">
        <f aca="false">IF(AND(Simulations!$A31&lt;&gt;"",OR(Simulations!$Y31&lt;&gt;"",N(Simulations!$AA31)&gt;0)),1,0)</f>
        <v>0</v>
      </c>
      <c r="H31" s="0" t="n">
        <f aca="false">IF(OR(NOT(AND(Simulations!$A31&lt;&gt;"",OR(Simulations!$AQ31&lt;&gt;"",N(Simulations!$AS31)&gt;0))),N(Simulations!$AT31)&lt;=0,N(Simulations!$AS31)&lt;=0,1&gt;N(Simulations!$O31)),0,IF(Simulations!$AT31&lt;Simulations!$J31,Simulations!$AS31/(Simulations!$G31*Simulations!$H31*IF(Simulations!$I31&gt;0,Simulations!$I31,1))*Simulations!$AT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T31/Simulations!$J31)^1.5+SQRT(LN(Simulations!$AT31/Simulations!$J31))+Simulations!$AT31/Simulations!$J31*SQRT(PI())/2*ERFC(SQRT(LN(Simulations!$AT31/Simulations!$J31)))),PI()*Simulations!$T31^2/2*(LN(Simulations!$AT31/Simulations!$J31)+1))))</f>
        <v>0</v>
      </c>
      <c r="I31" s="0" t="n">
        <f aca="false">IF(OR(NOT(AND(Simulations!$A31&lt;&gt;"",OR(Simulations!$AQ31&lt;&gt;"",N(Simulations!$AS31)&gt;0))),N(Simulations!$AU31)&lt;=0,N(Simulations!$AS31)&lt;=0,2&gt;N(Simulations!$O31)),0,IF(Simulations!$AU31&lt;Simulations!$J31,Simulations!$AS31/(Simulations!$G31*Simulations!$H31*IF(Simulations!$I31&gt;0,Simulations!$I31,1))*Simulations!$AU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U31/Simulations!$J31)^1.5+SQRT(LN(Simulations!$AU31/Simulations!$J31))+Simulations!$AU31/Simulations!$J31*SQRT(PI())/2*ERFC(SQRT(LN(Simulations!$AU31/Simulations!$J31)))),PI()*Simulations!$T31^2/2*(LN(Simulations!$AU31/Simulations!$J31)+1))))</f>
        <v>0</v>
      </c>
      <c r="J31" s="0" t="n">
        <f aca="false">IF(OR(NOT(AND(Simulations!$A31&lt;&gt;"",OR(Simulations!$AQ31&lt;&gt;"",N(Simulations!$AS31)&gt;0))),N(Simulations!$AV31)&lt;=0,N(Simulations!$AS31)&lt;=0,3&gt;N(Simulations!$O31)),0,IF(Simulations!$AV31&lt;Simulations!$J31,Simulations!$AS31/(Simulations!$G31*Simulations!$H31*IF(Simulations!$I31&gt;0,Simulations!$I31,1))*Simulations!$AV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V31/Simulations!$J31)^1.5+SQRT(LN(Simulations!$AV31/Simulations!$J31))+Simulations!$AV31/Simulations!$J31*SQRT(PI())/2*ERFC(SQRT(LN(Simulations!$AV31/Simulations!$J31)))),PI()*Simulations!$T31^2/2*(LN(Simulations!$AV31/Simulations!$J31)+1))))</f>
        <v>0</v>
      </c>
      <c r="K31" s="0" t="n">
        <f aca="false">IF(NOT(AND(Simulations!$A31&lt;&gt;"",OR(Simulations!$AQ31&lt;&gt;"",N(Simulations!$AS31)&gt;0))),0,MAX(N(Simulations!$AT31),N(Simulations!$AU31),N(Simulations!$AV31))/Simulations!$J31)</f>
        <v>0</v>
      </c>
      <c r="L31" s="0" t="n">
        <f aca="false">IF(OR(NOT(AND(Simulations!$A31&lt;&gt;"",OR(Simulations!$AQ31&lt;&gt;"",N(Simulations!$AS31)&gt;0))),N(Simulations!$AR31)&lt;=0),0,SQRT(2*Simulations!$AR31*1000000/(Simulations!$J31*1000))/Simulations!$T31)</f>
        <v>0</v>
      </c>
      <c r="M31" s="0" t="n">
        <f aca="false">IF(AND(Simulations!$A31&lt;&gt;"",OR(Simulations!$AQ31&lt;&gt;"",N(Simulations!$AS31)&gt;0)),1,0)</f>
        <v>0</v>
      </c>
      <c r="N31" s="0" t="n">
        <f aca="false">IF(OR(NOT(AND(Simulations!$A31&lt;&gt;"",OR(Simulations!$BI31&lt;&gt;"",N(Simulations!$BK31)&gt;0))),N(Simulations!$BL31)&lt;=0,N(Simulations!$BK31)&lt;=0,1&gt;N(Simulations!$O31)),0,IF(Simulations!$BL31&lt;Simulations!$J31,Simulations!$BK31/(Simulations!$G31*Simulations!$H31*IF(Simulations!$I31&gt;0,Simulations!$I31,1))*Simulations!$BL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L31/Simulations!$J31)^1.5+SQRT(LN(Simulations!$BL31/Simulations!$J31))+Simulations!$BL31/Simulations!$J31*SQRT(PI())/2*ERFC(SQRT(LN(Simulations!$BL31/Simulations!$J31)))),PI()*Simulations!$T31^2/2*(LN(Simulations!$BL31/Simulations!$J31)+1))))</f>
        <v>0</v>
      </c>
      <c r="O31" s="0" t="n">
        <f aca="false">IF(OR(NOT(AND(Simulations!$A31&lt;&gt;"",OR(Simulations!$BI31&lt;&gt;"",N(Simulations!$BK31)&gt;0))),N(Simulations!$BM31)&lt;=0,N(Simulations!$BK31)&lt;=0,2&gt;N(Simulations!$O31)),0,IF(Simulations!$BM31&lt;Simulations!$J31,Simulations!$BK31/(Simulations!$G31*Simulations!$H31*IF(Simulations!$I31&gt;0,Simulations!$I31,1))*Simulations!$BM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M31/Simulations!$J31)^1.5+SQRT(LN(Simulations!$BM31/Simulations!$J31))+Simulations!$BM31/Simulations!$J31*SQRT(PI())/2*ERFC(SQRT(LN(Simulations!$BM31/Simulations!$J31)))),PI()*Simulations!$T31^2/2*(LN(Simulations!$BM31/Simulations!$J31)+1))))</f>
        <v>0</v>
      </c>
      <c r="P31" s="0" t="n">
        <f aca="false">IF(OR(NOT(AND(Simulations!$A31&lt;&gt;"",OR(Simulations!$BI31&lt;&gt;"",N(Simulations!$BK31)&gt;0))),N(Simulations!$BN31)&lt;=0,N(Simulations!$BK31)&lt;=0,3&gt;N(Simulations!$O31)),0,IF(Simulations!$BN31&lt;Simulations!$J31,Simulations!$BK31/(Simulations!$G31*Simulations!$H31*IF(Simulations!$I31&gt;0,Simulations!$I31,1))*Simulations!$BN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N31/Simulations!$J31)^1.5+SQRT(LN(Simulations!$BN31/Simulations!$J31))+Simulations!$BN31/Simulations!$J31*SQRT(PI())/2*ERFC(SQRT(LN(Simulations!$BN31/Simulations!$J31)))),PI()*Simulations!$T31^2/2*(LN(Simulations!$BN31/Simulations!$J31)+1))))</f>
        <v>0</v>
      </c>
      <c r="Q31" s="0" t="n">
        <f aca="false">IF(NOT(AND(Simulations!$A31&lt;&gt;"",OR(Simulations!$BI31&lt;&gt;"",N(Simulations!$BK31)&gt;0))),0,MAX(N(Simulations!$BL31),N(Simulations!$BM31),N(Simulations!$BN31))/Simulations!$J31)</f>
        <v>0</v>
      </c>
      <c r="R31" s="0" t="n">
        <f aca="false">IF(OR(NOT(AND(Simulations!$A31&lt;&gt;"",OR(Simulations!$BI31&lt;&gt;"",N(Simulations!$BK31)&gt;0))),N(Simulations!$BJ31)&lt;=0),0,SQRT(2*Simulations!$BJ31*1000000/(Simulations!$J31*1000))/Simulations!$T31)</f>
        <v>0</v>
      </c>
      <c r="S31" s="0" t="n">
        <f aca="false">IF(AND(Simulations!$A31&lt;&gt;"",OR(Simulations!$BI31&lt;&gt;"",N(Simulations!$BK31)&gt;0)),1,0)</f>
        <v>0</v>
      </c>
      <c r="T31" s="0" t="n">
        <f aca="false">IF(OR(NOT(AND(Simulations!$A31&lt;&gt;"",OR(Simulations!$CA31&lt;&gt;"",N(Simulations!$CC31)&gt;0))),N(Simulations!$CD31)&lt;=0,N(Simulations!$CC31)&lt;=0,1&gt;N(Simulations!$O31)),0,IF(Simulations!$CD31&lt;Simulations!$J31,Simulations!$CC31/(Simulations!$G31*Simulations!$H31*IF(Simulations!$I31&gt;0,Simulations!$I31,1))*Simulations!$CD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D31/Simulations!$J31)^1.5+SQRT(LN(Simulations!$CD31/Simulations!$J31))+Simulations!$CD31/Simulations!$J31*SQRT(PI())/2*ERFC(SQRT(LN(Simulations!$CD31/Simulations!$J31)))),PI()*Simulations!$T31^2/2*(LN(Simulations!$CD31/Simulations!$J31)+1))))</f>
        <v>0</v>
      </c>
      <c r="U31" s="0" t="n">
        <f aca="false">IF(OR(NOT(AND(Simulations!$A31&lt;&gt;"",OR(Simulations!$CA31&lt;&gt;"",N(Simulations!$CC31)&gt;0))),N(Simulations!$CE31)&lt;=0,N(Simulations!$CC31)&lt;=0,2&gt;N(Simulations!$O31)),0,IF(Simulations!$CE31&lt;Simulations!$J31,Simulations!$CC31/(Simulations!$G31*Simulations!$H31*IF(Simulations!$I31&gt;0,Simulations!$I31,1))*Simulations!$CE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E31/Simulations!$J31)^1.5+SQRT(LN(Simulations!$CE31/Simulations!$J31))+Simulations!$CE31/Simulations!$J31*SQRT(PI())/2*ERFC(SQRT(LN(Simulations!$CE31/Simulations!$J31)))),PI()*Simulations!$T31^2/2*(LN(Simulations!$CE31/Simulations!$J31)+1))))</f>
        <v>0</v>
      </c>
      <c r="V31" s="0" t="n">
        <f aca="false">IF(OR(NOT(AND(Simulations!$A31&lt;&gt;"",OR(Simulations!$CA31&lt;&gt;"",N(Simulations!$CC31)&gt;0))),N(Simulations!$CF31)&lt;=0,N(Simulations!$CC31)&lt;=0,3&gt;N(Simulations!$O31)),0,IF(Simulations!$CF31&lt;Simulations!$J31,Simulations!$CC31/(Simulations!$G31*Simulations!$H31*IF(Simulations!$I31&gt;0,Simulations!$I31,1))*Simulations!$CF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F31/Simulations!$J31)^1.5+SQRT(LN(Simulations!$CF31/Simulations!$J31))+Simulations!$CF31/Simulations!$J31*SQRT(PI())/2*ERFC(SQRT(LN(Simulations!$CF31/Simulations!$J31)))),PI()*Simulations!$T31^2/2*(LN(Simulations!$CF31/Simulations!$J31)+1))))</f>
        <v>0</v>
      </c>
      <c r="W31" s="0" t="n">
        <f aca="false">IF(NOT(AND(Simulations!$A31&lt;&gt;"",OR(Simulations!$CA31&lt;&gt;"",N(Simulations!$CC31)&gt;0))),0,MAX(N(Simulations!$CD31),N(Simulations!$CE31),N(Simulations!$CF31))/Simulations!$J31)</f>
        <v>0</v>
      </c>
      <c r="X31" s="0" t="n">
        <f aca="false">IF(OR(NOT(AND(Simulations!$A31&lt;&gt;"",OR(Simulations!$CA31&lt;&gt;"",N(Simulations!$CC31)&gt;0))),N(Simulations!$CB31)&lt;=0),0,SQRT(2*Simulations!$CB31*1000000/(Simulations!$J31*1000))/Simulations!$T31)</f>
        <v>0</v>
      </c>
      <c r="Y31" s="0" t="n">
        <f aca="false">IF(AND(Simulations!$A31&lt;&gt;"",OR(Simulations!$CA31&lt;&gt;"",N(Simulations!$CC31)&gt;0)),1,0)</f>
        <v>0</v>
      </c>
      <c r="Z31" s="0" t="n">
        <f aca="false">IF(OR(NOT(AND(Simulations!$A31&lt;&gt;"",OR(Simulations!$CS31&lt;&gt;"",N(Simulations!$CU31)&gt;0))),N(Simulations!$CV31)&lt;=0,N(Simulations!$CU31)&lt;=0,1&gt;N(Simulations!$O31)),0,IF(Simulations!$CV31&lt;Simulations!$J31,Simulations!$CU31/(Simulations!$G31*Simulations!$H31*IF(Simulations!$I31&gt;0,Simulations!$I31,1))*Simulations!$CV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V31/Simulations!$J31)^1.5+SQRT(LN(Simulations!$CV31/Simulations!$J31))+Simulations!$CV31/Simulations!$J31*SQRT(PI())/2*ERFC(SQRT(LN(Simulations!$CV31/Simulations!$J31)))),PI()*Simulations!$T31^2/2*(LN(Simulations!$CV31/Simulations!$J31)+1))))</f>
        <v>0</v>
      </c>
      <c r="AA31" s="0" t="n">
        <f aca="false">IF(OR(NOT(AND(Simulations!$A31&lt;&gt;"",OR(Simulations!$CS31&lt;&gt;"",N(Simulations!$CU31)&gt;0))),N(Simulations!$CW31)&lt;=0,N(Simulations!$CU31)&lt;=0,2&gt;N(Simulations!$O31)),0,IF(Simulations!$CW31&lt;Simulations!$J31,Simulations!$CU31/(Simulations!$G31*Simulations!$H31*IF(Simulations!$I31&gt;0,Simulations!$I31,1))*Simulations!$CW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W31/Simulations!$J31)^1.5+SQRT(LN(Simulations!$CW31/Simulations!$J31))+Simulations!$CW31/Simulations!$J31*SQRT(PI())/2*ERFC(SQRT(LN(Simulations!$CW31/Simulations!$J31)))),PI()*Simulations!$T31^2/2*(LN(Simulations!$CW31/Simulations!$J31)+1))))</f>
        <v>0</v>
      </c>
      <c r="AB31" s="0" t="n">
        <f aca="false">IF(OR(NOT(AND(Simulations!$A31&lt;&gt;"",OR(Simulations!$CS31&lt;&gt;"",N(Simulations!$CU31)&gt;0))),N(Simulations!$CX31)&lt;=0,N(Simulations!$CU31)&lt;=0,3&gt;N(Simulations!$O31)),0,IF(Simulations!$CX31&lt;Simulations!$J31,Simulations!$CU31/(Simulations!$G31*Simulations!$H31*IF(Simulations!$I31&gt;0,Simulations!$I31,1))*Simulations!$CX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X31/Simulations!$J31)^1.5+SQRT(LN(Simulations!$CX31/Simulations!$J31))+Simulations!$CX31/Simulations!$J31*SQRT(PI())/2*ERFC(SQRT(LN(Simulations!$CX31/Simulations!$J31)))),PI()*Simulations!$T31^2/2*(LN(Simulations!$CX31/Simulations!$J31)+1))))</f>
        <v>0</v>
      </c>
      <c r="AC31" s="0" t="n">
        <f aca="false">IF(NOT(AND(Simulations!$A31&lt;&gt;"",OR(Simulations!$CS31&lt;&gt;"",N(Simulations!$CU31)&gt;0))),0,MAX(N(Simulations!$CV31),N(Simulations!$CW31),N(Simulations!$CX31))/Simulations!$J31)</f>
        <v>0</v>
      </c>
      <c r="AD31" s="0" t="n">
        <f aca="false">IF(OR(NOT(AND(Simulations!$A31&lt;&gt;"",OR(Simulations!$CS31&lt;&gt;"",N(Simulations!$CU31)&gt;0))),N(Simulations!$CT31)&lt;=0),0,SQRT(2*Simulations!$CT31*1000000/(Simulations!$J31*1000))/Simulations!$T31)</f>
        <v>0</v>
      </c>
      <c r="AE31" s="0" t="n">
        <f aca="false">IF(AND(Simulations!$A31&lt;&gt;"",OR(Simulations!$CS31&lt;&gt;"",N(Simulations!$CU31)&gt;0)),1,0)</f>
        <v>0</v>
      </c>
      <c r="AF31" s="0" t="n">
        <f aca="false">IF(OR(NOT(AND(Simulations!$A31&lt;&gt;"",OR(Simulations!$DK31&lt;&gt;"",N(Simulations!$DM31)&gt;0))),N(Simulations!$DN31)&lt;=0,N(Simulations!$DM31)&lt;=0,1&gt;N(Simulations!$O31)),0,IF(Simulations!$DN31&lt;Simulations!$J31,Simulations!$DM31/(Simulations!$G31*Simulations!$H31*IF(Simulations!$I31&gt;0,Simulations!$I31,1))*Simulations!$DN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N31/Simulations!$J31)^1.5+SQRT(LN(Simulations!$DN31/Simulations!$J31))+Simulations!$DN31/Simulations!$J31*SQRT(PI())/2*ERFC(SQRT(LN(Simulations!$DN31/Simulations!$J31)))),PI()*Simulations!$T31^2/2*(LN(Simulations!$DN31/Simulations!$J31)+1))))</f>
        <v>0</v>
      </c>
      <c r="AG31" s="0" t="n">
        <f aca="false">IF(OR(NOT(AND(Simulations!$A31&lt;&gt;"",OR(Simulations!$DK31&lt;&gt;"",N(Simulations!$DM31)&gt;0))),N(Simulations!$DO31)&lt;=0,N(Simulations!$DM31)&lt;=0,2&gt;N(Simulations!$O31)),0,IF(Simulations!$DO31&lt;Simulations!$J31,Simulations!$DM31/(Simulations!$G31*Simulations!$H31*IF(Simulations!$I31&gt;0,Simulations!$I31,1))*Simulations!$DO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O31/Simulations!$J31)^1.5+SQRT(LN(Simulations!$DO31/Simulations!$J31))+Simulations!$DO31/Simulations!$J31*SQRT(PI())/2*ERFC(SQRT(LN(Simulations!$DO31/Simulations!$J31)))),PI()*Simulations!$T31^2/2*(LN(Simulations!$DO31/Simulations!$J31)+1))))</f>
        <v>0</v>
      </c>
      <c r="AH31" s="0" t="n">
        <f aca="false">IF(OR(NOT(AND(Simulations!$A31&lt;&gt;"",OR(Simulations!$DK31&lt;&gt;"",N(Simulations!$DM31)&gt;0))),N(Simulations!$DP31)&lt;=0,N(Simulations!$DM31)&lt;=0,3&gt;N(Simulations!$O31)),0,IF(Simulations!$DP31&lt;Simulations!$J31,Simulations!$DM31/(Simulations!$G31*Simulations!$H31*IF(Simulations!$I31&gt;0,Simulations!$I31,1))*Simulations!$DP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P31/Simulations!$J31)^1.5+SQRT(LN(Simulations!$DP31/Simulations!$J31))+Simulations!$DP31/Simulations!$J31*SQRT(PI())/2*ERFC(SQRT(LN(Simulations!$DP31/Simulations!$J31)))),PI()*Simulations!$T31^2/2*(LN(Simulations!$DP31/Simulations!$J31)+1))))</f>
        <v>0</v>
      </c>
      <c r="AI31" s="0" t="n">
        <f aca="false">IF(NOT(AND(Simulations!$A31&lt;&gt;"",OR(Simulations!$DK31&lt;&gt;"",N(Simulations!$DM31)&gt;0))),0,MAX(N(Simulations!$DN31),N(Simulations!$DO31),N(Simulations!$DP31))/Simulations!$J31)</f>
        <v>0</v>
      </c>
      <c r="AJ31" s="0" t="n">
        <f aca="false">IF(OR(NOT(AND(Simulations!$A31&lt;&gt;"",OR(Simulations!$DK31&lt;&gt;"",N(Simulations!$DM31)&gt;0))),N(Simulations!$DL31)&lt;=0),0,SQRT(2*Simulations!$DL31*1000000/(Simulations!$J31*1000))/Simulations!$T31)</f>
        <v>0</v>
      </c>
      <c r="AK31" s="0" t="n">
        <f aca="false">IF(AND(Simulations!$A31&lt;&gt;"",OR(Simulations!$DK31&lt;&gt;"",N(Simulations!$DM31)&gt;0)),1,0)</f>
        <v>0</v>
      </c>
    </row>
    <row r="32" customFormat="false" ht="15" hidden="false" customHeight="false" outlineLevel="0" collapsed="false">
      <c r="B32" s="0" t="n">
        <f aca="false">IF(OR(NOT(AND(Simulations!$A32&lt;&gt;"",OR(Simulations!$Y32&lt;&gt;"",N(Simulations!$AA32)&gt;0))),N(Simulations!$AB32)&lt;=0,N(Simulations!$AA32)&lt;=0,1&gt;N(Simulations!$O32)),0,IF(Simulations!$AB32&lt;Simulations!$J32,Simulations!$AA32/(Simulations!$G32*Simulations!$H32*IF(Simulations!$I32&gt;0,Simulations!$I32,1))*Simulations!$AB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B32/Simulations!$J32)^1.5+SQRT(LN(Simulations!$AB32/Simulations!$J32))+Simulations!$AB32/Simulations!$J32*SQRT(PI())/2*ERFC(SQRT(LN(Simulations!$AB32/Simulations!$J32)))),PI()*Simulations!$T32^2/2*(LN(Simulations!$AB32/Simulations!$J32)+1))))</f>
        <v>0</v>
      </c>
      <c r="C32" s="0" t="n">
        <f aca="false">IF(OR(NOT(AND(Simulations!$A32&lt;&gt;"",OR(Simulations!$Y32&lt;&gt;"",N(Simulations!$AA32)&gt;0))),N(Simulations!$AC32)&lt;=0,N(Simulations!$AA32)&lt;=0,2&gt;N(Simulations!$O32)),0,IF(Simulations!$AC32&lt;Simulations!$J32,Simulations!$AA32/(Simulations!$G32*Simulations!$H32*IF(Simulations!$I32&gt;0,Simulations!$I32,1))*Simulations!$AC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C32/Simulations!$J32)^1.5+SQRT(LN(Simulations!$AC32/Simulations!$J32))+Simulations!$AC32/Simulations!$J32*SQRT(PI())/2*ERFC(SQRT(LN(Simulations!$AC32/Simulations!$J32)))),PI()*Simulations!$T32^2/2*(LN(Simulations!$AC32/Simulations!$J32)+1))))</f>
        <v>0</v>
      </c>
      <c r="D32" s="0" t="n">
        <f aca="false">IF(OR(NOT(AND(Simulations!$A32&lt;&gt;"",OR(Simulations!$Y32&lt;&gt;"",N(Simulations!$AA32)&gt;0))),N(Simulations!$AD32)&lt;=0,N(Simulations!$AA32)&lt;=0,3&gt;N(Simulations!$O32)),0,IF(Simulations!$AD32&lt;Simulations!$J32,Simulations!$AA32/(Simulations!$G32*Simulations!$H32*IF(Simulations!$I32&gt;0,Simulations!$I32,1))*Simulations!$AD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D32/Simulations!$J32)^1.5+SQRT(LN(Simulations!$AD32/Simulations!$J32))+Simulations!$AD32/Simulations!$J32*SQRT(PI())/2*ERFC(SQRT(LN(Simulations!$AD32/Simulations!$J32)))),PI()*Simulations!$T32^2/2*(LN(Simulations!$AD32/Simulations!$J32)+1))))</f>
        <v>0</v>
      </c>
      <c r="E32" s="0" t="n">
        <f aca="false">IF(NOT(AND(Simulations!$A32&lt;&gt;"",OR(Simulations!$Y32&lt;&gt;"",N(Simulations!$AA32)&gt;0))),0,MAX(N(Simulations!$AB32),N(Simulations!$AC32),N(Simulations!$AD32))/Simulations!$J32)</f>
        <v>0</v>
      </c>
      <c r="F32" s="0" t="n">
        <f aca="false">IF(OR(NOT(AND(Simulations!$A32&lt;&gt;"",OR(Simulations!$Y32&lt;&gt;"",N(Simulations!$AA32)&gt;0))),N(Simulations!$Z32)&lt;=0),0,SQRT(2*Simulations!$Z32*1000000/(Simulations!$J32*1000))/Simulations!$T32)</f>
        <v>0</v>
      </c>
      <c r="G32" s="0" t="n">
        <f aca="false">IF(AND(Simulations!$A32&lt;&gt;"",OR(Simulations!$Y32&lt;&gt;"",N(Simulations!$AA32)&gt;0)),1,0)</f>
        <v>0</v>
      </c>
      <c r="H32" s="0" t="n">
        <f aca="false">IF(OR(NOT(AND(Simulations!$A32&lt;&gt;"",OR(Simulations!$AQ32&lt;&gt;"",N(Simulations!$AS32)&gt;0))),N(Simulations!$AT32)&lt;=0,N(Simulations!$AS32)&lt;=0,1&gt;N(Simulations!$O32)),0,IF(Simulations!$AT32&lt;Simulations!$J32,Simulations!$AS32/(Simulations!$G32*Simulations!$H32*IF(Simulations!$I32&gt;0,Simulations!$I32,1))*Simulations!$AT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T32/Simulations!$J32)^1.5+SQRT(LN(Simulations!$AT32/Simulations!$J32))+Simulations!$AT32/Simulations!$J32*SQRT(PI())/2*ERFC(SQRT(LN(Simulations!$AT32/Simulations!$J32)))),PI()*Simulations!$T32^2/2*(LN(Simulations!$AT32/Simulations!$J32)+1))))</f>
        <v>0</v>
      </c>
      <c r="I32" s="0" t="n">
        <f aca="false">IF(OR(NOT(AND(Simulations!$A32&lt;&gt;"",OR(Simulations!$AQ32&lt;&gt;"",N(Simulations!$AS32)&gt;0))),N(Simulations!$AU32)&lt;=0,N(Simulations!$AS32)&lt;=0,2&gt;N(Simulations!$O32)),0,IF(Simulations!$AU32&lt;Simulations!$J32,Simulations!$AS32/(Simulations!$G32*Simulations!$H32*IF(Simulations!$I32&gt;0,Simulations!$I32,1))*Simulations!$AU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U32/Simulations!$J32)^1.5+SQRT(LN(Simulations!$AU32/Simulations!$J32))+Simulations!$AU32/Simulations!$J32*SQRT(PI())/2*ERFC(SQRT(LN(Simulations!$AU32/Simulations!$J32)))),PI()*Simulations!$T32^2/2*(LN(Simulations!$AU32/Simulations!$J32)+1))))</f>
        <v>0</v>
      </c>
      <c r="J32" s="0" t="n">
        <f aca="false">IF(OR(NOT(AND(Simulations!$A32&lt;&gt;"",OR(Simulations!$AQ32&lt;&gt;"",N(Simulations!$AS32)&gt;0))),N(Simulations!$AV32)&lt;=0,N(Simulations!$AS32)&lt;=0,3&gt;N(Simulations!$O32)),0,IF(Simulations!$AV32&lt;Simulations!$J32,Simulations!$AS32/(Simulations!$G32*Simulations!$H32*IF(Simulations!$I32&gt;0,Simulations!$I32,1))*Simulations!$AV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V32/Simulations!$J32)^1.5+SQRT(LN(Simulations!$AV32/Simulations!$J32))+Simulations!$AV32/Simulations!$J32*SQRT(PI())/2*ERFC(SQRT(LN(Simulations!$AV32/Simulations!$J32)))),PI()*Simulations!$T32^2/2*(LN(Simulations!$AV32/Simulations!$J32)+1))))</f>
        <v>0</v>
      </c>
      <c r="K32" s="0" t="n">
        <f aca="false">IF(NOT(AND(Simulations!$A32&lt;&gt;"",OR(Simulations!$AQ32&lt;&gt;"",N(Simulations!$AS32)&gt;0))),0,MAX(N(Simulations!$AT32),N(Simulations!$AU32),N(Simulations!$AV32))/Simulations!$J32)</f>
        <v>0</v>
      </c>
      <c r="L32" s="0" t="n">
        <f aca="false">IF(OR(NOT(AND(Simulations!$A32&lt;&gt;"",OR(Simulations!$AQ32&lt;&gt;"",N(Simulations!$AS32)&gt;0))),N(Simulations!$AR32)&lt;=0),0,SQRT(2*Simulations!$AR32*1000000/(Simulations!$J32*1000))/Simulations!$T32)</f>
        <v>0</v>
      </c>
      <c r="M32" s="0" t="n">
        <f aca="false">IF(AND(Simulations!$A32&lt;&gt;"",OR(Simulations!$AQ32&lt;&gt;"",N(Simulations!$AS32)&gt;0)),1,0)</f>
        <v>0</v>
      </c>
      <c r="N32" s="0" t="n">
        <f aca="false">IF(OR(NOT(AND(Simulations!$A32&lt;&gt;"",OR(Simulations!$BI32&lt;&gt;"",N(Simulations!$BK32)&gt;0))),N(Simulations!$BL32)&lt;=0,N(Simulations!$BK32)&lt;=0,1&gt;N(Simulations!$O32)),0,IF(Simulations!$BL32&lt;Simulations!$J32,Simulations!$BK32/(Simulations!$G32*Simulations!$H32*IF(Simulations!$I32&gt;0,Simulations!$I32,1))*Simulations!$BL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L32/Simulations!$J32)^1.5+SQRT(LN(Simulations!$BL32/Simulations!$J32))+Simulations!$BL32/Simulations!$J32*SQRT(PI())/2*ERFC(SQRT(LN(Simulations!$BL32/Simulations!$J32)))),PI()*Simulations!$T32^2/2*(LN(Simulations!$BL32/Simulations!$J32)+1))))</f>
        <v>0</v>
      </c>
      <c r="O32" s="0" t="n">
        <f aca="false">IF(OR(NOT(AND(Simulations!$A32&lt;&gt;"",OR(Simulations!$BI32&lt;&gt;"",N(Simulations!$BK32)&gt;0))),N(Simulations!$BM32)&lt;=0,N(Simulations!$BK32)&lt;=0,2&gt;N(Simulations!$O32)),0,IF(Simulations!$BM32&lt;Simulations!$J32,Simulations!$BK32/(Simulations!$G32*Simulations!$H32*IF(Simulations!$I32&gt;0,Simulations!$I32,1))*Simulations!$BM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M32/Simulations!$J32)^1.5+SQRT(LN(Simulations!$BM32/Simulations!$J32))+Simulations!$BM32/Simulations!$J32*SQRT(PI())/2*ERFC(SQRT(LN(Simulations!$BM32/Simulations!$J32)))),PI()*Simulations!$T32^2/2*(LN(Simulations!$BM32/Simulations!$J32)+1))))</f>
        <v>0</v>
      </c>
      <c r="P32" s="0" t="n">
        <f aca="false">IF(OR(NOT(AND(Simulations!$A32&lt;&gt;"",OR(Simulations!$BI32&lt;&gt;"",N(Simulations!$BK32)&gt;0))),N(Simulations!$BN32)&lt;=0,N(Simulations!$BK32)&lt;=0,3&gt;N(Simulations!$O32)),0,IF(Simulations!$BN32&lt;Simulations!$J32,Simulations!$BK32/(Simulations!$G32*Simulations!$H32*IF(Simulations!$I32&gt;0,Simulations!$I32,1))*Simulations!$BN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N32/Simulations!$J32)^1.5+SQRT(LN(Simulations!$BN32/Simulations!$J32))+Simulations!$BN32/Simulations!$J32*SQRT(PI())/2*ERFC(SQRT(LN(Simulations!$BN32/Simulations!$J32)))),PI()*Simulations!$T32^2/2*(LN(Simulations!$BN32/Simulations!$J32)+1))))</f>
        <v>0</v>
      </c>
      <c r="Q32" s="0" t="n">
        <f aca="false">IF(NOT(AND(Simulations!$A32&lt;&gt;"",OR(Simulations!$BI32&lt;&gt;"",N(Simulations!$BK32)&gt;0))),0,MAX(N(Simulations!$BL32),N(Simulations!$BM32),N(Simulations!$BN32))/Simulations!$J32)</f>
        <v>0</v>
      </c>
      <c r="R32" s="0" t="n">
        <f aca="false">IF(OR(NOT(AND(Simulations!$A32&lt;&gt;"",OR(Simulations!$BI32&lt;&gt;"",N(Simulations!$BK32)&gt;0))),N(Simulations!$BJ32)&lt;=0),0,SQRT(2*Simulations!$BJ32*1000000/(Simulations!$J32*1000))/Simulations!$T32)</f>
        <v>0</v>
      </c>
      <c r="S32" s="0" t="n">
        <f aca="false">IF(AND(Simulations!$A32&lt;&gt;"",OR(Simulations!$BI32&lt;&gt;"",N(Simulations!$BK32)&gt;0)),1,0)</f>
        <v>0</v>
      </c>
      <c r="T32" s="0" t="n">
        <f aca="false">IF(OR(NOT(AND(Simulations!$A32&lt;&gt;"",OR(Simulations!$CA32&lt;&gt;"",N(Simulations!$CC32)&gt;0))),N(Simulations!$CD32)&lt;=0,N(Simulations!$CC32)&lt;=0,1&gt;N(Simulations!$O32)),0,IF(Simulations!$CD32&lt;Simulations!$J32,Simulations!$CC32/(Simulations!$G32*Simulations!$H32*IF(Simulations!$I32&gt;0,Simulations!$I32,1))*Simulations!$CD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D32/Simulations!$J32)^1.5+SQRT(LN(Simulations!$CD32/Simulations!$J32))+Simulations!$CD32/Simulations!$J32*SQRT(PI())/2*ERFC(SQRT(LN(Simulations!$CD32/Simulations!$J32)))),PI()*Simulations!$T32^2/2*(LN(Simulations!$CD32/Simulations!$J32)+1))))</f>
        <v>0</v>
      </c>
      <c r="U32" s="0" t="n">
        <f aca="false">IF(OR(NOT(AND(Simulations!$A32&lt;&gt;"",OR(Simulations!$CA32&lt;&gt;"",N(Simulations!$CC32)&gt;0))),N(Simulations!$CE32)&lt;=0,N(Simulations!$CC32)&lt;=0,2&gt;N(Simulations!$O32)),0,IF(Simulations!$CE32&lt;Simulations!$J32,Simulations!$CC32/(Simulations!$G32*Simulations!$H32*IF(Simulations!$I32&gt;0,Simulations!$I32,1))*Simulations!$CE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E32/Simulations!$J32)^1.5+SQRT(LN(Simulations!$CE32/Simulations!$J32))+Simulations!$CE32/Simulations!$J32*SQRT(PI())/2*ERFC(SQRT(LN(Simulations!$CE32/Simulations!$J32)))),PI()*Simulations!$T32^2/2*(LN(Simulations!$CE32/Simulations!$J32)+1))))</f>
        <v>0</v>
      </c>
      <c r="V32" s="0" t="n">
        <f aca="false">IF(OR(NOT(AND(Simulations!$A32&lt;&gt;"",OR(Simulations!$CA32&lt;&gt;"",N(Simulations!$CC32)&gt;0))),N(Simulations!$CF32)&lt;=0,N(Simulations!$CC32)&lt;=0,3&gt;N(Simulations!$O32)),0,IF(Simulations!$CF32&lt;Simulations!$J32,Simulations!$CC32/(Simulations!$G32*Simulations!$H32*IF(Simulations!$I32&gt;0,Simulations!$I32,1))*Simulations!$CF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F32/Simulations!$J32)^1.5+SQRT(LN(Simulations!$CF32/Simulations!$J32))+Simulations!$CF32/Simulations!$J32*SQRT(PI())/2*ERFC(SQRT(LN(Simulations!$CF32/Simulations!$J32)))),PI()*Simulations!$T32^2/2*(LN(Simulations!$CF32/Simulations!$J32)+1))))</f>
        <v>0</v>
      </c>
      <c r="W32" s="0" t="n">
        <f aca="false">IF(NOT(AND(Simulations!$A32&lt;&gt;"",OR(Simulations!$CA32&lt;&gt;"",N(Simulations!$CC32)&gt;0))),0,MAX(N(Simulations!$CD32),N(Simulations!$CE32),N(Simulations!$CF32))/Simulations!$J32)</f>
        <v>0</v>
      </c>
      <c r="X32" s="0" t="n">
        <f aca="false">IF(OR(NOT(AND(Simulations!$A32&lt;&gt;"",OR(Simulations!$CA32&lt;&gt;"",N(Simulations!$CC32)&gt;0))),N(Simulations!$CB32)&lt;=0),0,SQRT(2*Simulations!$CB32*1000000/(Simulations!$J32*1000))/Simulations!$T32)</f>
        <v>0</v>
      </c>
      <c r="Y32" s="0" t="n">
        <f aca="false">IF(AND(Simulations!$A32&lt;&gt;"",OR(Simulations!$CA32&lt;&gt;"",N(Simulations!$CC32)&gt;0)),1,0)</f>
        <v>0</v>
      </c>
      <c r="Z32" s="0" t="n">
        <f aca="false">IF(OR(NOT(AND(Simulations!$A32&lt;&gt;"",OR(Simulations!$CS32&lt;&gt;"",N(Simulations!$CU32)&gt;0))),N(Simulations!$CV32)&lt;=0,N(Simulations!$CU32)&lt;=0,1&gt;N(Simulations!$O32)),0,IF(Simulations!$CV32&lt;Simulations!$J32,Simulations!$CU32/(Simulations!$G32*Simulations!$H32*IF(Simulations!$I32&gt;0,Simulations!$I32,1))*Simulations!$CV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V32/Simulations!$J32)^1.5+SQRT(LN(Simulations!$CV32/Simulations!$J32))+Simulations!$CV32/Simulations!$J32*SQRT(PI())/2*ERFC(SQRT(LN(Simulations!$CV32/Simulations!$J32)))),PI()*Simulations!$T32^2/2*(LN(Simulations!$CV32/Simulations!$J32)+1))))</f>
        <v>0</v>
      </c>
      <c r="AA32" s="0" t="n">
        <f aca="false">IF(OR(NOT(AND(Simulations!$A32&lt;&gt;"",OR(Simulations!$CS32&lt;&gt;"",N(Simulations!$CU32)&gt;0))),N(Simulations!$CW32)&lt;=0,N(Simulations!$CU32)&lt;=0,2&gt;N(Simulations!$O32)),0,IF(Simulations!$CW32&lt;Simulations!$J32,Simulations!$CU32/(Simulations!$G32*Simulations!$H32*IF(Simulations!$I32&gt;0,Simulations!$I32,1))*Simulations!$CW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W32/Simulations!$J32)^1.5+SQRT(LN(Simulations!$CW32/Simulations!$J32))+Simulations!$CW32/Simulations!$J32*SQRT(PI())/2*ERFC(SQRT(LN(Simulations!$CW32/Simulations!$J32)))),PI()*Simulations!$T32^2/2*(LN(Simulations!$CW32/Simulations!$J32)+1))))</f>
        <v>0</v>
      </c>
      <c r="AB32" s="0" t="n">
        <f aca="false">IF(OR(NOT(AND(Simulations!$A32&lt;&gt;"",OR(Simulations!$CS32&lt;&gt;"",N(Simulations!$CU32)&gt;0))),N(Simulations!$CX32)&lt;=0,N(Simulations!$CU32)&lt;=0,3&gt;N(Simulations!$O32)),0,IF(Simulations!$CX32&lt;Simulations!$J32,Simulations!$CU32/(Simulations!$G32*Simulations!$H32*IF(Simulations!$I32&gt;0,Simulations!$I32,1))*Simulations!$CX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X32/Simulations!$J32)^1.5+SQRT(LN(Simulations!$CX32/Simulations!$J32))+Simulations!$CX32/Simulations!$J32*SQRT(PI())/2*ERFC(SQRT(LN(Simulations!$CX32/Simulations!$J32)))),PI()*Simulations!$T32^2/2*(LN(Simulations!$CX32/Simulations!$J32)+1))))</f>
        <v>0</v>
      </c>
      <c r="AC32" s="0" t="n">
        <f aca="false">IF(NOT(AND(Simulations!$A32&lt;&gt;"",OR(Simulations!$CS32&lt;&gt;"",N(Simulations!$CU32)&gt;0))),0,MAX(N(Simulations!$CV32),N(Simulations!$CW32),N(Simulations!$CX32))/Simulations!$J32)</f>
        <v>0</v>
      </c>
      <c r="AD32" s="0" t="n">
        <f aca="false">IF(OR(NOT(AND(Simulations!$A32&lt;&gt;"",OR(Simulations!$CS32&lt;&gt;"",N(Simulations!$CU32)&gt;0))),N(Simulations!$CT32)&lt;=0),0,SQRT(2*Simulations!$CT32*1000000/(Simulations!$J32*1000))/Simulations!$T32)</f>
        <v>0</v>
      </c>
      <c r="AE32" s="0" t="n">
        <f aca="false">IF(AND(Simulations!$A32&lt;&gt;"",OR(Simulations!$CS32&lt;&gt;"",N(Simulations!$CU32)&gt;0)),1,0)</f>
        <v>0</v>
      </c>
      <c r="AF32" s="0" t="n">
        <f aca="false">IF(OR(NOT(AND(Simulations!$A32&lt;&gt;"",OR(Simulations!$DK32&lt;&gt;"",N(Simulations!$DM32)&gt;0))),N(Simulations!$DN32)&lt;=0,N(Simulations!$DM32)&lt;=0,1&gt;N(Simulations!$O32)),0,IF(Simulations!$DN32&lt;Simulations!$J32,Simulations!$DM32/(Simulations!$G32*Simulations!$H32*IF(Simulations!$I32&gt;0,Simulations!$I32,1))*Simulations!$DN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N32/Simulations!$J32)^1.5+SQRT(LN(Simulations!$DN32/Simulations!$J32))+Simulations!$DN32/Simulations!$J32*SQRT(PI())/2*ERFC(SQRT(LN(Simulations!$DN32/Simulations!$J32)))),PI()*Simulations!$T32^2/2*(LN(Simulations!$DN32/Simulations!$J32)+1))))</f>
        <v>0</v>
      </c>
      <c r="AG32" s="0" t="n">
        <f aca="false">IF(OR(NOT(AND(Simulations!$A32&lt;&gt;"",OR(Simulations!$DK32&lt;&gt;"",N(Simulations!$DM32)&gt;0))),N(Simulations!$DO32)&lt;=0,N(Simulations!$DM32)&lt;=0,2&gt;N(Simulations!$O32)),0,IF(Simulations!$DO32&lt;Simulations!$J32,Simulations!$DM32/(Simulations!$G32*Simulations!$H32*IF(Simulations!$I32&gt;0,Simulations!$I32,1))*Simulations!$DO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O32/Simulations!$J32)^1.5+SQRT(LN(Simulations!$DO32/Simulations!$J32))+Simulations!$DO32/Simulations!$J32*SQRT(PI())/2*ERFC(SQRT(LN(Simulations!$DO32/Simulations!$J32)))),PI()*Simulations!$T32^2/2*(LN(Simulations!$DO32/Simulations!$J32)+1))))</f>
        <v>0</v>
      </c>
      <c r="AH32" s="0" t="n">
        <f aca="false">IF(OR(NOT(AND(Simulations!$A32&lt;&gt;"",OR(Simulations!$DK32&lt;&gt;"",N(Simulations!$DM32)&gt;0))),N(Simulations!$DP32)&lt;=0,N(Simulations!$DM32)&lt;=0,3&gt;N(Simulations!$O32)),0,IF(Simulations!$DP32&lt;Simulations!$J32,Simulations!$DM32/(Simulations!$G32*Simulations!$H32*IF(Simulations!$I32&gt;0,Simulations!$I32,1))*Simulations!$DP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P32/Simulations!$J32)^1.5+SQRT(LN(Simulations!$DP32/Simulations!$J32))+Simulations!$DP32/Simulations!$J32*SQRT(PI())/2*ERFC(SQRT(LN(Simulations!$DP32/Simulations!$J32)))),PI()*Simulations!$T32^2/2*(LN(Simulations!$DP32/Simulations!$J32)+1))))</f>
        <v>0</v>
      </c>
      <c r="AI32" s="0" t="n">
        <f aca="false">IF(NOT(AND(Simulations!$A32&lt;&gt;"",OR(Simulations!$DK32&lt;&gt;"",N(Simulations!$DM32)&gt;0))),0,MAX(N(Simulations!$DN32),N(Simulations!$DO32),N(Simulations!$DP32))/Simulations!$J32)</f>
        <v>0</v>
      </c>
      <c r="AJ32" s="0" t="n">
        <f aca="false">IF(OR(NOT(AND(Simulations!$A32&lt;&gt;"",OR(Simulations!$DK32&lt;&gt;"",N(Simulations!$DM32)&gt;0))),N(Simulations!$DL32)&lt;=0),0,SQRT(2*Simulations!$DL32*1000000/(Simulations!$J32*1000))/Simulations!$T32)</f>
        <v>0</v>
      </c>
      <c r="AK32" s="0" t="n">
        <f aca="false">IF(AND(Simulations!$A32&lt;&gt;"",OR(Simulations!$DK32&lt;&gt;"",N(Simulations!$DM32)&gt;0)),1,0)</f>
        <v>0</v>
      </c>
    </row>
    <row r="33" customFormat="false" ht="15" hidden="false" customHeight="false" outlineLevel="0" collapsed="false">
      <c r="B33" s="0" t="n">
        <f aca="false">IF(OR(NOT(AND(Simulations!$A33&lt;&gt;"",OR(Simulations!$Y33&lt;&gt;"",N(Simulations!$AA33)&gt;0))),N(Simulations!$AB33)&lt;=0,N(Simulations!$AA33)&lt;=0,1&gt;N(Simulations!$O33)),0,IF(Simulations!$AB33&lt;Simulations!$J33,Simulations!$AA33/(Simulations!$G33*Simulations!$H33*IF(Simulations!$I33&gt;0,Simulations!$I33,1))*Simulations!$AB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B33/Simulations!$J33)^1.5+SQRT(LN(Simulations!$AB33/Simulations!$J33))+Simulations!$AB33/Simulations!$J33*SQRT(PI())/2*ERFC(SQRT(LN(Simulations!$AB33/Simulations!$J33)))),PI()*Simulations!$T33^2/2*(LN(Simulations!$AB33/Simulations!$J33)+1))))</f>
        <v>0</v>
      </c>
      <c r="C33" s="0" t="n">
        <f aca="false">IF(OR(NOT(AND(Simulations!$A33&lt;&gt;"",OR(Simulations!$Y33&lt;&gt;"",N(Simulations!$AA33)&gt;0))),N(Simulations!$AC33)&lt;=0,N(Simulations!$AA33)&lt;=0,2&gt;N(Simulations!$O33)),0,IF(Simulations!$AC33&lt;Simulations!$J33,Simulations!$AA33/(Simulations!$G33*Simulations!$H33*IF(Simulations!$I33&gt;0,Simulations!$I33,1))*Simulations!$AC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C33/Simulations!$J33)^1.5+SQRT(LN(Simulations!$AC33/Simulations!$J33))+Simulations!$AC33/Simulations!$J33*SQRT(PI())/2*ERFC(SQRT(LN(Simulations!$AC33/Simulations!$J33)))),PI()*Simulations!$T33^2/2*(LN(Simulations!$AC33/Simulations!$J33)+1))))</f>
        <v>0</v>
      </c>
      <c r="D33" s="0" t="n">
        <f aca="false">IF(OR(NOT(AND(Simulations!$A33&lt;&gt;"",OR(Simulations!$Y33&lt;&gt;"",N(Simulations!$AA33)&gt;0))),N(Simulations!$AD33)&lt;=0,N(Simulations!$AA33)&lt;=0,3&gt;N(Simulations!$O33)),0,IF(Simulations!$AD33&lt;Simulations!$J33,Simulations!$AA33/(Simulations!$G33*Simulations!$H33*IF(Simulations!$I33&gt;0,Simulations!$I33,1))*Simulations!$AD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D33/Simulations!$J33)^1.5+SQRT(LN(Simulations!$AD33/Simulations!$J33))+Simulations!$AD33/Simulations!$J33*SQRT(PI())/2*ERFC(SQRT(LN(Simulations!$AD33/Simulations!$J33)))),PI()*Simulations!$T33^2/2*(LN(Simulations!$AD33/Simulations!$J33)+1))))</f>
        <v>0</v>
      </c>
      <c r="E33" s="0" t="n">
        <f aca="false">IF(NOT(AND(Simulations!$A33&lt;&gt;"",OR(Simulations!$Y33&lt;&gt;"",N(Simulations!$AA33)&gt;0))),0,MAX(N(Simulations!$AB33),N(Simulations!$AC33),N(Simulations!$AD33))/Simulations!$J33)</f>
        <v>0</v>
      </c>
      <c r="F33" s="0" t="n">
        <f aca="false">IF(OR(NOT(AND(Simulations!$A33&lt;&gt;"",OR(Simulations!$Y33&lt;&gt;"",N(Simulations!$AA33)&gt;0))),N(Simulations!$Z33)&lt;=0),0,SQRT(2*Simulations!$Z33*1000000/(Simulations!$J33*1000))/Simulations!$T33)</f>
        <v>0</v>
      </c>
      <c r="G33" s="0" t="n">
        <f aca="false">IF(AND(Simulations!$A33&lt;&gt;"",OR(Simulations!$Y33&lt;&gt;"",N(Simulations!$AA33)&gt;0)),1,0)</f>
        <v>0</v>
      </c>
      <c r="H33" s="0" t="n">
        <f aca="false">IF(OR(NOT(AND(Simulations!$A33&lt;&gt;"",OR(Simulations!$AQ33&lt;&gt;"",N(Simulations!$AS33)&gt;0))),N(Simulations!$AT33)&lt;=0,N(Simulations!$AS33)&lt;=0,1&gt;N(Simulations!$O33)),0,IF(Simulations!$AT33&lt;Simulations!$J33,Simulations!$AS33/(Simulations!$G33*Simulations!$H33*IF(Simulations!$I33&gt;0,Simulations!$I33,1))*Simulations!$AT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T33/Simulations!$J33)^1.5+SQRT(LN(Simulations!$AT33/Simulations!$J33))+Simulations!$AT33/Simulations!$J33*SQRT(PI())/2*ERFC(SQRT(LN(Simulations!$AT33/Simulations!$J33)))),PI()*Simulations!$T33^2/2*(LN(Simulations!$AT33/Simulations!$J33)+1))))</f>
        <v>0</v>
      </c>
      <c r="I33" s="0" t="n">
        <f aca="false">IF(OR(NOT(AND(Simulations!$A33&lt;&gt;"",OR(Simulations!$AQ33&lt;&gt;"",N(Simulations!$AS33)&gt;0))),N(Simulations!$AU33)&lt;=0,N(Simulations!$AS33)&lt;=0,2&gt;N(Simulations!$O33)),0,IF(Simulations!$AU33&lt;Simulations!$J33,Simulations!$AS33/(Simulations!$G33*Simulations!$H33*IF(Simulations!$I33&gt;0,Simulations!$I33,1))*Simulations!$AU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U33/Simulations!$J33)^1.5+SQRT(LN(Simulations!$AU33/Simulations!$J33))+Simulations!$AU33/Simulations!$J33*SQRT(PI())/2*ERFC(SQRT(LN(Simulations!$AU33/Simulations!$J33)))),PI()*Simulations!$T33^2/2*(LN(Simulations!$AU33/Simulations!$J33)+1))))</f>
        <v>0</v>
      </c>
      <c r="J33" s="0" t="n">
        <f aca="false">IF(OR(NOT(AND(Simulations!$A33&lt;&gt;"",OR(Simulations!$AQ33&lt;&gt;"",N(Simulations!$AS33)&gt;0))),N(Simulations!$AV33)&lt;=0,N(Simulations!$AS33)&lt;=0,3&gt;N(Simulations!$O33)),0,IF(Simulations!$AV33&lt;Simulations!$J33,Simulations!$AS33/(Simulations!$G33*Simulations!$H33*IF(Simulations!$I33&gt;0,Simulations!$I33,1))*Simulations!$AV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V33/Simulations!$J33)^1.5+SQRT(LN(Simulations!$AV33/Simulations!$J33))+Simulations!$AV33/Simulations!$J33*SQRT(PI())/2*ERFC(SQRT(LN(Simulations!$AV33/Simulations!$J33)))),PI()*Simulations!$T33^2/2*(LN(Simulations!$AV33/Simulations!$J33)+1))))</f>
        <v>0</v>
      </c>
      <c r="K33" s="0" t="n">
        <f aca="false">IF(NOT(AND(Simulations!$A33&lt;&gt;"",OR(Simulations!$AQ33&lt;&gt;"",N(Simulations!$AS33)&gt;0))),0,MAX(N(Simulations!$AT33),N(Simulations!$AU33),N(Simulations!$AV33))/Simulations!$J33)</f>
        <v>0</v>
      </c>
      <c r="L33" s="0" t="n">
        <f aca="false">IF(OR(NOT(AND(Simulations!$A33&lt;&gt;"",OR(Simulations!$AQ33&lt;&gt;"",N(Simulations!$AS33)&gt;0))),N(Simulations!$AR33)&lt;=0),0,SQRT(2*Simulations!$AR33*1000000/(Simulations!$J33*1000))/Simulations!$T33)</f>
        <v>0</v>
      </c>
      <c r="M33" s="0" t="n">
        <f aca="false">IF(AND(Simulations!$A33&lt;&gt;"",OR(Simulations!$AQ33&lt;&gt;"",N(Simulations!$AS33)&gt;0)),1,0)</f>
        <v>0</v>
      </c>
      <c r="N33" s="0" t="n">
        <f aca="false">IF(OR(NOT(AND(Simulations!$A33&lt;&gt;"",OR(Simulations!$BI33&lt;&gt;"",N(Simulations!$BK33)&gt;0))),N(Simulations!$BL33)&lt;=0,N(Simulations!$BK33)&lt;=0,1&gt;N(Simulations!$O33)),0,IF(Simulations!$BL33&lt;Simulations!$J33,Simulations!$BK33/(Simulations!$G33*Simulations!$H33*IF(Simulations!$I33&gt;0,Simulations!$I33,1))*Simulations!$BL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L33/Simulations!$J33)^1.5+SQRT(LN(Simulations!$BL33/Simulations!$J33))+Simulations!$BL33/Simulations!$J33*SQRT(PI())/2*ERFC(SQRT(LN(Simulations!$BL33/Simulations!$J33)))),PI()*Simulations!$T33^2/2*(LN(Simulations!$BL33/Simulations!$J33)+1))))</f>
        <v>0</v>
      </c>
      <c r="O33" s="0" t="n">
        <f aca="false">IF(OR(NOT(AND(Simulations!$A33&lt;&gt;"",OR(Simulations!$BI33&lt;&gt;"",N(Simulations!$BK33)&gt;0))),N(Simulations!$BM33)&lt;=0,N(Simulations!$BK33)&lt;=0,2&gt;N(Simulations!$O33)),0,IF(Simulations!$BM33&lt;Simulations!$J33,Simulations!$BK33/(Simulations!$G33*Simulations!$H33*IF(Simulations!$I33&gt;0,Simulations!$I33,1))*Simulations!$BM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M33/Simulations!$J33)^1.5+SQRT(LN(Simulations!$BM33/Simulations!$J33))+Simulations!$BM33/Simulations!$J33*SQRT(PI())/2*ERFC(SQRT(LN(Simulations!$BM33/Simulations!$J33)))),PI()*Simulations!$T33^2/2*(LN(Simulations!$BM33/Simulations!$J33)+1))))</f>
        <v>0</v>
      </c>
      <c r="P33" s="0" t="n">
        <f aca="false">IF(OR(NOT(AND(Simulations!$A33&lt;&gt;"",OR(Simulations!$BI33&lt;&gt;"",N(Simulations!$BK33)&gt;0))),N(Simulations!$BN33)&lt;=0,N(Simulations!$BK33)&lt;=0,3&gt;N(Simulations!$O33)),0,IF(Simulations!$BN33&lt;Simulations!$J33,Simulations!$BK33/(Simulations!$G33*Simulations!$H33*IF(Simulations!$I33&gt;0,Simulations!$I33,1))*Simulations!$BN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N33/Simulations!$J33)^1.5+SQRT(LN(Simulations!$BN33/Simulations!$J33))+Simulations!$BN33/Simulations!$J33*SQRT(PI())/2*ERFC(SQRT(LN(Simulations!$BN33/Simulations!$J33)))),PI()*Simulations!$T33^2/2*(LN(Simulations!$BN33/Simulations!$J33)+1))))</f>
        <v>0</v>
      </c>
      <c r="Q33" s="0" t="n">
        <f aca="false">IF(NOT(AND(Simulations!$A33&lt;&gt;"",OR(Simulations!$BI33&lt;&gt;"",N(Simulations!$BK33)&gt;0))),0,MAX(N(Simulations!$BL33),N(Simulations!$BM33),N(Simulations!$BN33))/Simulations!$J33)</f>
        <v>0</v>
      </c>
      <c r="R33" s="0" t="n">
        <f aca="false">IF(OR(NOT(AND(Simulations!$A33&lt;&gt;"",OR(Simulations!$BI33&lt;&gt;"",N(Simulations!$BK33)&gt;0))),N(Simulations!$BJ33)&lt;=0),0,SQRT(2*Simulations!$BJ33*1000000/(Simulations!$J33*1000))/Simulations!$T33)</f>
        <v>0</v>
      </c>
      <c r="S33" s="0" t="n">
        <f aca="false">IF(AND(Simulations!$A33&lt;&gt;"",OR(Simulations!$BI33&lt;&gt;"",N(Simulations!$BK33)&gt;0)),1,0)</f>
        <v>0</v>
      </c>
      <c r="T33" s="0" t="n">
        <f aca="false">IF(OR(NOT(AND(Simulations!$A33&lt;&gt;"",OR(Simulations!$CA33&lt;&gt;"",N(Simulations!$CC33)&gt;0))),N(Simulations!$CD33)&lt;=0,N(Simulations!$CC33)&lt;=0,1&gt;N(Simulations!$O33)),0,IF(Simulations!$CD33&lt;Simulations!$J33,Simulations!$CC33/(Simulations!$G33*Simulations!$H33*IF(Simulations!$I33&gt;0,Simulations!$I33,1))*Simulations!$CD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D33/Simulations!$J33)^1.5+SQRT(LN(Simulations!$CD33/Simulations!$J33))+Simulations!$CD33/Simulations!$J33*SQRT(PI())/2*ERFC(SQRT(LN(Simulations!$CD33/Simulations!$J33)))),PI()*Simulations!$T33^2/2*(LN(Simulations!$CD33/Simulations!$J33)+1))))</f>
        <v>0</v>
      </c>
      <c r="U33" s="0" t="n">
        <f aca="false">IF(OR(NOT(AND(Simulations!$A33&lt;&gt;"",OR(Simulations!$CA33&lt;&gt;"",N(Simulations!$CC33)&gt;0))),N(Simulations!$CE33)&lt;=0,N(Simulations!$CC33)&lt;=0,2&gt;N(Simulations!$O33)),0,IF(Simulations!$CE33&lt;Simulations!$J33,Simulations!$CC33/(Simulations!$G33*Simulations!$H33*IF(Simulations!$I33&gt;0,Simulations!$I33,1))*Simulations!$CE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E33/Simulations!$J33)^1.5+SQRT(LN(Simulations!$CE33/Simulations!$J33))+Simulations!$CE33/Simulations!$J33*SQRT(PI())/2*ERFC(SQRT(LN(Simulations!$CE33/Simulations!$J33)))),PI()*Simulations!$T33^2/2*(LN(Simulations!$CE33/Simulations!$J33)+1))))</f>
        <v>0</v>
      </c>
      <c r="V33" s="0" t="n">
        <f aca="false">IF(OR(NOT(AND(Simulations!$A33&lt;&gt;"",OR(Simulations!$CA33&lt;&gt;"",N(Simulations!$CC33)&gt;0))),N(Simulations!$CF33)&lt;=0,N(Simulations!$CC33)&lt;=0,3&gt;N(Simulations!$O33)),0,IF(Simulations!$CF33&lt;Simulations!$J33,Simulations!$CC33/(Simulations!$G33*Simulations!$H33*IF(Simulations!$I33&gt;0,Simulations!$I33,1))*Simulations!$CF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F33/Simulations!$J33)^1.5+SQRT(LN(Simulations!$CF33/Simulations!$J33))+Simulations!$CF33/Simulations!$J33*SQRT(PI())/2*ERFC(SQRT(LN(Simulations!$CF33/Simulations!$J33)))),PI()*Simulations!$T33^2/2*(LN(Simulations!$CF33/Simulations!$J33)+1))))</f>
        <v>0</v>
      </c>
      <c r="W33" s="0" t="n">
        <f aca="false">IF(NOT(AND(Simulations!$A33&lt;&gt;"",OR(Simulations!$CA33&lt;&gt;"",N(Simulations!$CC33)&gt;0))),0,MAX(N(Simulations!$CD33),N(Simulations!$CE33),N(Simulations!$CF33))/Simulations!$J33)</f>
        <v>0</v>
      </c>
      <c r="X33" s="0" t="n">
        <f aca="false">IF(OR(NOT(AND(Simulations!$A33&lt;&gt;"",OR(Simulations!$CA33&lt;&gt;"",N(Simulations!$CC33)&gt;0))),N(Simulations!$CB33)&lt;=0),0,SQRT(2*Simulations!$CB33*1000000/(Simulations!$J33*1000))/Simulations!$T33)</f>
        <v>0</v>
      </c>
      <c r="Y33" s="0" t="n">
        <f aca="false">IF(AND(Simulations!$A33&lt;&gt;"",OR(Simulations!$CA33&lt;&gt;"",N(Simulations!$CC33)&gt;0)),1,0)</f>
        <v>0</v>
      </c>
      <c r="Z33" s="0" t="n">
        <f aca="false">IF(OR(NOT(AND(Simulations!$A33&lt;&gt;"",OR(Simulations!$CS33&lt;&gt;"",N(Simulations!$CU33)&gt;0))),N(Simulations!$CV33)&lt;=0,N(Simulations!$CU33)&lt;=0,1&gt;N(Simulations!$O33)),0,IF(Simulations!$CV33&lt;Simulations!$J33,Simulations!$CU33/(Simulations!$G33*Simulations!$H33*IF(Simulations!$I33&gt;0,Simulations!$I33,1))*Simulations!$CV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V33/Simulations!$J33)^1.5+SQRT(LN(Simulations!$CV33/Simulations!$J33))+Simulations!$CV33/Simulations!$J33*SQRT(PI())/2*ERFC(SQRT(LN(Simulations!$CV33/Simulations!$J33)))),PI()*Simulations!$T33^2/2*(LN(Simulations!$CV33/Simulations!$J33)+1))))</f>
        <v>0</v>
      </c>
      <c r="AA33" s="0" t="n">
        <f aca="false">IF(OR(NOT(AND(Simulations!$A33&lt;&gt;"",OR(Simulations!$CS33&lt;&gt;"",N(Simulations!$CU33)&gt;0))),N(Simulations!$CW33)&lt;=0,N(Simulations!$CU33)&lt;=0,2&gt;N(Simulations!$O33)),0,IF(Simulations!$CW33&lt;Simulations!$J33,Simulations!$CU33/(Simulations!$G33*Simulations!$H33*IF(Simulations!$I33&gt;0,Simulations!$I33,1))*Simulations!$CW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W33/Simulations!$J33)^1.5+SQRT(LN(Simulations!$CW33/Simulations!$J33))+Simulations!$CW33/Simulations!$J33*SQRT(PI())/2*ERFC(SQRT(LN(Simulations!$CW33/Simulations!$J33)))),PI()*Simulations!$T33^2/2*(LN(Simulations!$CW33/Simulations!$J33)+1))))</f>
        <v>0</v>
      </c>
      <c r="AB33" s="0" t="n">
        <f aca="false">IF(OR(NOT(AND(Simulations!$A33&lt;&gt;"",OR(Simulations!$CS33&lt;&gt;"",N(Simulations!$CU33)&gt;0))),N(Simulations!$CX33)&lt;=0,N(Simulations!$CU33)&lt;=0,3&gt;N(Simulations!$O33)),0,IF(Simulations!$CX33&lt;Simulations!$J33,Simulations!$CU33/(Simulations!$G33*Simulations!$H33*IF(Simulations!$I33&gt;0,Simulations!$I33,1))*Simulations!$CX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X33/Simulations!$J33)^1.5+SQRT(LN(Simulations!$CX33/Simulations!$J33))+Simulations!$CX33/Simulations!$J33*SQRT(PI())/2*ERFC(SQRT(LN(Simulations!$CX33/Simulations!$J33)))),PI()*Simulations!$T33^2/2*(LN(Simulations!$CX33/Simulations!$J33)+1))))</f>
        <v>0</v>
      </c>
      <c r="AC33" s="0" t="n">
        <f aca="false">IF(NOT(AND(Simulations!$A33&lt;&gt;"",OR(Simulations!$CS33&lt;&gt;"",N(Simulations!$CU33)&gt;0))),0,MAX(N(Simulations!$CV33),N(Simulations!$CW33),N(Simulations!$CX33))/Simulations!$J33)</f>
        <v>0</v>
      </c>
      <c r="AD33" s="0" t="n">
        <f aca="false">IF(OR(NOT(AND(Simulations!$A33&lt;&gt;"",OR(Simulations!$CS33&lt;&gt;"",N(Simulations!$CU33)&gt;0))),N(Simulations!$CT33)&lt;=0),0,SQRT(2*Simulations!$CT33*1000000/(Simulations!$J33*1000))/Simulations!$T33)</f>
        <v>0</v>
      </c>
      <c r="AE33" s="0" t="n">
        <f aca="false">IF(AND(Simulations!$A33&lt;&gt;"",OR(Simulations!$CS33&lt;&gt;"",N(Simulations!$CU33)&gt;0)),1,0)</f>
        <v>0</v>
      </c>
      <c r="AF33" s="0" t="n">
        <f aca="false">IF(OR(NOT(AND(Simulations!$A33&lt;&gt;"",OR(Simulations!$DK33&lt;&gt;"",N(Simulations!$DM33)&gt;0))),N(Simulations!$DN33)&lt;=0,N(Simulations!$DM33)&lt;=0,1&gt;N(Simulations!$O33)),0,IF(Simulations!$DN33&lt;Simulations!$J33,Simulations!$DM33/(Simulations!$G33*Simulations!$H33*IF(Simulations!$I33&gt;0,Simulations!$I33,1))*Simulations!$DN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N33/Simulations!$J33)^1.5+SQRT(LN(Simulations!$DN33/Simulations!$J33))+Simulations!$DN33/Simulations!$J33*SQRT(PI())/2*ERFC(SQRT(LN(Simulations!$DN33/Simulations!$J33)))),PI()*Simulations!$T33^2/2*(LN(Simulations!$DN33/Simulations!$J33)+1))))</f>
        <v>0</v>
      </c>
      <c r="AG33" s="0" t="n">
        <f aca="false">IF(OR(NOT(AND(Simulations!$A33&lt;&gt;"",OR(Simulations!$DK33&lt;&gt;"",N(Simulations!$DM33)&gt;0))),N(Simulations!$DO33)&lt;=0,N(Simulations!$DM33)&lt;=0,2&gt;N(Simulations!$O33)),0,IF(Simulations!$DO33&lt;Simulations!$J33,Simulations!$DM33/(Simulations!$G33*Simulations!$H33*IF(Simulations!$I33&gt;0,Simulations!$I33,1))*Simulations!$DO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O33/Simulations!$J33)^1.5+SQRT(LN(Simulations!$DO33/Simulations!$J33))+Simulations!$DO33/Simulations!$J33*SQRT(PI())/2*ERFC(SQRT(LN(Simulations!$DO33/Simulations!$J33)))),PI()*Simulations!$T33^2/2*(LN(Simulations!$DO33/Simulations!$J33)+1))))</f>
        <v>0</v>
      </c>
      <c r="AH33" s="0" t="n">
        <f aca="false">IF(OR(NOT(AND(Simulations!$A33&lt;&gt;"",OR(Simulations!$DK33&lt;&gt;"",N(Simulations!$DM33)&gt;0))),N(Simulations!$DP33)&lt;=0,N(Simulations!$DM33)&lt;=0,3&gt;N(Simulations!$O33)),0,IF(Simulations!$DP33&lt;Simulations!$J33,Simulations!$DM33/(Simulations!$G33*Simulations!$H33*IF(Simulations!$I33&gt;0,Simulations!$I33,1))*Simulations!$DP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P33/Simulations!$J33)^1.5+SQRT(LN(Simulations!$DP33/Simulations!$J33))+Simulations!$DP33/Simulations!$J33*SQRT(PI())/2*ERFC(SQRT(LN(Simulations!$DP33/Simulations!$J33)))),PI()*Simulations!$T33^2/2*(LN(Simulations!$DP33/Simulations!$J33)+1))))</f>
        <v>0</v>
      </c>
      <c r="AI33" s="0" t="n">
        <f aca="false">IF(NOT(AND(Simulations!$A33&lt;&gt;"",OR(Simulations!$DK33&lt;&gt;"",N(Simulations!$DM33)&gt;0))),0,MAX(N(Simulations!$DN33),N(Simulations!$DO33),N(Simulations!$DP33))/Simulations!$J33)</f>
        <v>0</v>
      </c>
      <c r="AJ33" s="0" t="n">
        <f aca="false">IF(OR(NOT(AND(Simulations!$A33&lt;&gt;"",OR(Simulations!$DK33&lt;&gt;"",N(Simulations!$DM33)&gt;0))),N(Simulations!$DL33)&lt;=0),0,SQRT(2*Simulations!$DL33*1000000/(Simulations!$J33*1000))/Simulations!$T33)</f>
        <v>0</v>
      </c>
      <c r="AK33" s="0" t="n">
        <f aca="false">IF(AND(Simulations!$A33&lt;&gt;"",OR(Simulations!$DK33&lt;&gt;"",N(Simulations!$DM33)&gt;0)),1,0)</f>
        <v>0</v>
      </c>
    </row>
    <row r="34" customFormat="false" ht="15" hidden="false" customHeight="false" outlineLevel="0" collapsed="false">
      <c r="B34" s="0" t="n">
        <f aca="false">IF(OR(NOT(AND(Simulations!$A34&lt;&gt;"",OR(Simulations!$Y34&lt;&gt;"",N(Simulations!$AA34)&gt;0))),N(Simulations!$AB34)&lt;=0,N(Simulations!$AA34)&lt;=0,1&gt;N(Simulations!$O34)),0,IF(Simulations!$AB34&lt;Simulations!$J34,Simulations!$AA34/(Simulations!$G34*Simulations!$H34*IF(Simulations!$I34&gt;0,Simulations!$I34,1))*Simulations!$AB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B34/Simulations!$J34)^1.5+SQRT(LN(Simulations!$AB34/Simulations!$J34))+Simulations!$AB34/Simulations!$J34*SQRT(PI())/2*ERFC(SQRT(LN(Simulations!$AB34/Simulations!$J34)))),PI()*Simulations!$T34^2/2*(LN(Simulations!$AB34/Simulations!$J34)+1))))</f>
        <v>0</v>
      </c>
      <c r="C34" s="0" t="n">
        <f aca="false">IF(OR(NOT(AND(Simulations!$A34&lt;&gt;"",OR(Simulations!$Y34&lt;&gt;"",N(Simulations!$AA34)&gt;0))),N(Simulations!$AC34)&lt;=0,N(Simulations!$AA34)&lt;=0,2&gt;N(Simulations!$O34)),0,IF(Simulations!$AC34&lt;Simulations!$J34,Simulations!$AA34/(Simulations!$G34*Simulations!$H34*IF(Simulations!$I34&gt;0,Simulations!$I34,1))*Simulations!$AC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C34/Simulations!$J34)^1.5+SQRT(LN(Simulations!$AC34/Simulations!$J34))+Simulations!$AC34/Simulations!$J34*SQRT(PI())/2*ERFC(SQRT(LN(Simulations!$AC34/Simulations!$J34)))),PI()*Simulations!$T34^2/2*(LN(Simulations!$AC34/Simulations!$J34)+1))))</f>
        <v>0</v>
      </c>
      <c r="D34" s="0" t="n">
        <f aca="false">IF(OR(NOT(AND(Simulations!$A34&lt;&gt;"",OR(Simulations!$Y34&lt;&gt;"",N(Simulations!$AA34)&gt;0))),N(Simulations!$AD34)&lt;=0,N(Simulations!$AA34)&lt;=0,3&gt;N(Simulations!$O34)),0,IF(Simulations!$AD34&lt;Simulations!$J34,Simulations!$AA34/(Simulations!$G34*Simulations!$H34*IF(Simulations!$I34&gt;0,Simulations!$I34,1))*Simulations!$AD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D34/Simulations!$J34)^1.5+SQRT(LN(Simulations!$AD34/Simulations!$J34))+Simulations!$AD34/Simulations!$J34*SQRT(PI())/2*ERFC(SQRT(LN(Simulations!$AD34/Simulations!$J34)))),PI()*Simulations!$T34^2/2*(LN(Simulations!$AD34/Simulations!$J34)+1))))</f>
        <v>0</v>
      </c>
      <c r="E34" s="0" t="n">
        <f aca="false">IF(NOT(AND(Simulations!$A34&lt;&gt;"",OR(Simulations!$Y34&lt;&gt;"",N(Simulations!$AA34)&gt;0))),0,MAX(N(Simulations!$AB34),N(Simulations!$AC34),N(Simulations!$AD34))/Simulations!$J34)</f>
        <v>0</v>
      </c>
      <c r="F34" s="0" t="n">
        <f aca="false">IF(OR(NOT(AND(Simulations!$A34&lt;&gt;"",OR(Simulations!$Y34&lt;&gt;"",N(Simulations!$AA34)&gt;0))),N(Simulations!$Z34)&lt;=0),0,SQRT(2*Simulations!$Z34*1000000/(Simulations!$J34*1000))/Simulations!$T34)</f>
        <v>0</v>
      </c>
      <c r="G34" s="0" t="n">
        <f aca="false">IF(AND(Simulations!$A34&lt;&gt;"",OR(Simulations!$Y34&lt;&gt;"",N(Simulations!$AA34)&gt;0)),1,0)</f>
        <v>0</v>
      </c>
      <c r="H34" s="0" t="n">
        <f aca="false">IF(OR(NOT(AND(Simulations!$A34&lt;&gt;"",OR(Simulations!$AQ34&lt;&gt;"",N(Simulations!$AS34)&gt;0))),N(Simulations!$AT34)&lt;=0,N(Simulations!$AS34)&lt;=0,1&gt;N(Simulations!$O34)),0,IF(Simulations!$AT34&lt;Simulations!$J34,Simulations!$AS34/(Simulations!$G34*Simulations!$H34*IF(Simulations!$I34&gt;0,Simulations!$I34,1))*Simulations!$AT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T34/Simulations!$J34)^1.5+SQRT(LN(Simulations!$AT34/Simulations!$J34))+Simulations!$AT34/Simulations!$J34*SQRT(PI())/2*ERFC(SQRT(LN(Simulations!$AT34/Simulations!$J34)))),PI()*Simulations!$T34^2/2*(LN(Simulations!$AT34/Simulations!$J34)+1))))</f>
        <v>0</v>
      </c>
      <c r="I34" s="0" t="n">
        <f aca="false">IF(OR(NOT(AND(Simulations!$A34&lt;&gt;"",OR(Simulations!$AQ34&lt;&gt;"",N(Simulations!$AS34)&gt;0))),N(Simulations!$AU34)&lt;=0,N(Simulations!$AS34)&lt;=0,2&gt;N(Simulations!$O34)),0,IF(Simulations!$AU34&lt;Simulations!$J34,Simulations!$AS34/(Simulations!$G34*Simulations!$H34*IF(Simulations!$I34&gt;0,Simulations!$I34,1))*Simulations!$AU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U34/Simulations!$J34)^1.5+SQRT(LN(Simulations!$AU34/Simulations!$J34))+Simulations!$AU34/Simulations!$J34*SQRT(PI())/2*ERFC(SQRT(LN(Simulations!$AU34/Simulations!$J34)))),PI()*Simulations!$T34^2/2*(LN(Simulations!$AU34/Simulations!$J34)+1))))</f>
        <v>0</v>
      </c>
      <c r="J34" s="0" t="n">
        <f aca="false">IF(OR(NOT(AND(Simulations!$A34&lt;&gt;"",OR(Simulations!$AQ34&lt;&gt;"",N(Simulations!$AS34)&gt;0))),N(Simulations!$AV34)&lt;=0,N(Simulations!$AS34)&lt;=0,3&gt;N(Simulations!$O34)),0,IF(Simulations!$AV34&lt;Simulations!$J34,Simulations!$AS34/(Simulations!$G34*Simulations!$H34*IF(Simulations!$I34&gt;0,Simulations!$I34,1))*Simulations!$AV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V34/Simulations!$J34)^1.5+SQRT(LN(Simulations!$AV34/Simulations!$J34))+Simulations!$AV34/Simulations!$J34*SQRT(PI())/2*ERFC(SQRT(LN(Simulations!$AV34/Simulations!$J34)))),PI()*Simulations!$T34^2/2*(LN(Simulations!$AV34/Simulations!$J34)+1))))</f>
        <v>0</v>
      </c>
      <c r="K34" s="0" t="n">
        <f aca="false">IF(NOT(AND(Simulations!$A34&lt;&gt;"",OR(Simulations!$AQ34&lt;&gt;"",N(Simulations!$AS34)&gt;0))),0,MAX(N(Simulations!$AT34),N(Simulations!$AU34),N(Simulations!$AV34))/Simulations!$J34)</f>
        <v>0</v>
      </c>
      <c r="L34" s="0" t="n">
        <f aca="false">IF(OR(NOT(AND(Simulations!$A34&lt;&gt;"",OR(Simulations!$AQ34&lt;&gt;"",N(Simulations!$AS34)&gt;0))),N(Simulations!$AR34)&lt;=0),0,SQRT(2*Simulations!$AR34*1000000/(Simulations!$J34*1000))/Simulations!$T34)</f>
        <v>0</v>
      </c>
      <c r="M34" s="0" t="n">
        <f aca="false">IF(AND(Simulations!$A34&lt;&gt;"",OR(Simulations!$AQ34&lt;&gt;"",N(Simulations!$AS34)&gt;0)),1,0)</f>
        <v>0</v>
      </c>
      <c r="N34" s="0" t="n">
        <f aca="false">IF(OR(NOT(AND(Simulations!$A34&lt;&gt;"",OR(Simulations!$BI34&lt;&gt;"",N(Simulations!$BK34)&gt;0))),N(Simulations!$BL34)&lt;=0,N(Simulations!$BK34)&lt;=0,1&gt;N(Simulations!$O34)),0,IF(Simulations!$BL34&lt;Simulations!$J34,Simulations!$BK34/(Simulations!$G34*Simulations!$H34*IF(Simulations!$I34&gt;0,Simulations!$I34,1))*Simulations!$BL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L34/Simulations!$J34)^1.5+SQRT(LN(Simulations!$BL34/Simulations!$J34))+Simulations!$BL34/Simulations!$J34*SQRT(PI())/2*ERFC(SQRT(LN(Simulations!$BL34/Simulations!$J34)))),PI()*Simulations!$T34^2/2*(LN(Simulations!$BL34/Simulations!$J34)+1))))</f>
        <v>0</v>
      </c>
      <c r="O34" s="0" t="n">
        <f aca="false">IF(OR(NOT(AND(Simulations!$A34&lt;&gt;"",OR(Simulations!$BI34&lt;&gt;"",N(Simulations!$BK34)&gt;0))),N(Simulations!$BM34)&lt;=0,N(Simulations!$BK34)&lt;=0,2&gt;N(Simulations!$O34)),0,IF(Simulations!$BM34&lt;Simulations!$J34,Simulations!$BK34/(Simulations!$G34*Simulations!$H34*IF(Simulations!$I34&gt;0,Simulations!$I34,1))*Simulations!$BM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M34/Simulations!$J34)^1.5+SQRT(LN(Simulations!$BM34/Simulations!$J34))+Simulations!$BM34/Simulations!$J34*SQRT(PI())/2*ERFC(SQRT(LN(Simulations!$BM34/Simulations!$J34)))),PI()*Simulations!$T34^2/2*(LN(Simulations!$BM34/Simulations!$J34)+1))))</f>
        <v>0</v>
      </c>
      <c r="P34" s="0" t="n">
        <f aca="false">IF(OR(NOT(AND(Simulations!$A34&lt;&gt;"",OR(Simulations!$BI34&lt;&gt;"",N(Simulations!$BK34)&gt;0))),N(Simulations!$BN34)&lt;=0,N(Simulations!$BK34)&lt;=0,3&gt;N(Simulations!$O34)),0,IF(Simulations!$BN34&lt;Simulations!$J34,Simulations!$BK34/(Simulations!$G34*Simulations!$H34*IF(Simulations!$I34&gt;0,Simulations!$I34,1))*Simulations!$BN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N34/Simulations!$J34)^1.5+SQRT(LN(Simulations!$BN34/Simulations!$J34))+Simulations!$BN34/Simulations!$J34*SQRT(PI())/2*ERFC(SQRT(LN(Simulations!$BN34/Simulations!$J34)))),PI()*Simulations!$T34^2/2*(LN(Simulations!$BN34/Simulations!$J34)+1))))</f>
        <v>0</v>
      </c>
      <c r="Q34" s="0" t="n">
        <f aca="false">IF(NOT(AND(Simulations!$A34&lt;&gt;"",OR(Simulations!$BI34&lt;&gt;"",N(Simulations!$BK34)&gt;0))),0,MAX(N(Simulations!$BL34),N(Simulations!$BM34),N(Simulations!$BN34))/Simulations!$J34)</f>
        <v>0</v>
      </c>
      <c r="R34" s="0" t="n">
        <f aca="false">IF(OR(NOT(AND(Simulations!$A34&lt;&gt;"",OR(Simulations!$BI34&lt;&gt;"",N(Simulations!$BK34)&gt;0))),N(Simulations!$BJ34)&lt;=0),0,SQRT(2*Simulations!$BJ34*1000000/(Simulations!$J34*1000))/Simulations!$T34)</f>
        <v>0</v>
      </c>
      <c r="S34" s="0" t="n">
        <f aca="false">IF(AND(Simulations!$A34&lt;&gt;"",OR(Simulations!$BI34&lt;&gt;"",N(Simulations!$BK34)&gt;0)),1,0)</f>
        <v>0</v>
      </c>
      <c r="T34" s="0" t="n">
        <f aca="false">IF(OR(NOT(AND(Simulations!$A34&lt;&gt;"",OR(Simulations!$CA34&lt;&gt;"",N(Simulations!$CC34)&gt;0))),N(Simulations!$CD34)&lt;=0,N(Simulations!$CC34)&lt;=0,1&gt;N(Simulations!$O34)),0,IF(Simulations!$CD34&lt;Simulations!$J34,Simulations!$CC34/(Simulations!$G34*Simulations!$H34*IF(Simulations!$I34&gt;0,Simulations!$I34,1))*Simulations!$CD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D34/Simulations!$J34)^1.5+SQRT(LN(Simulations!$CD34/Simulations!$J34))+Simulations!$CD34/Simulations!$J34*SQRT(PI())/2*ERFC(SQRT(LN(Simulations!$CD34/Simulations!$J34)))),PI()*Simulations!$T34^2/2*(LN(Simulations!$CD34/Simulations!$J34)+1))))</f>
        <v>0</v>
      </c>
      <c r="U34" s="0" t="n">
        <f aca="false">IF(OR(NOT(AND(Simulations!$A34&lt;&gt;"",OR(Simulations!$CA34&lt;&gt;"",N(Simulations!$CC34)&gt;0))),N(Simulations!$CE34)&lt;=0,N(Simulations!$CC34)&lt;=0,2&gt;N(Simulations!$O34)),0,IF(Simulations!$CE34&lt;Simulations!$J34,Simulations!$CC34/(Simulations!$G34*Simulations!$H34*IF(Simulations!$I34&gt;0,Simulations!$I34,1))*Simulations!$CE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E34/Simulations!$J34)^1.5+SQRT(LN(Simulations!$CE34/Simulations!$J34))+Simulations!$CE34/Simulations!$J34*SQRT(PI())/2*ERFC(SQRT(LN(Simulations!$CE34/Simulations!$J34)))),PI()*Simulations!$T34^2/2*(LN(Simulations!$CE34/Simulations!$J34)+1))))</f>
        <v>0</v>
      </c>
      <c r="V34" s="0" t="n">
        <f aca="false">IF(OR(NOT(AND(Simulations!$A34&lt;&gt;"",OR(Simulations!$CA34&lt;&gt;"",N(Simulations!$CC34)&gt;0))),N(Simulations!$CF34)&lt;=0,N(Simulations!$CC34)&lt;=0,3&gt;N(Simulations!$O34)),0,IF(Simulations!$CF34&lt;Simulations!$J34,Simulations!$CC34/(Simulations!$G34*Simulations!$H34*IF(Simulations!$I34&gt;0,Simulations!$I34,1))*Simulations!$CF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F34/Simulations!$J34)^1.5+SQRT(LN(Simulations!$CF34/Simulations!$J34))+Simulations!$CF34/Simulations!$J34*SQRT(PI())/2*ERFC(SQRT(LN(Simulations!$CF34/Simulations!$J34)))),PI()*Simulations!$T34^2/2*(LN(Simulations!$CF34/Simulations!$J34)+1))))</f>
        <v>0</v>
      </c>
      <c r="W34" s="0" t="n">
        <f aca="false">IF(NOT(AND(Simulations!$A34&lt;&gt;"",OR(Simulations!$CA34&lt;&gt;"",N(Simulations!$CC34)&gt;0))),0,MAX(N(Simulations!$CD34),N(Simulations!$CE34),N(Simulations!$CF34))/Simulations!$J34)</f>
        <v>0</v>
      </c>
      <c r="X34" s="0" t="n">
        <f aca="false">IF(OR(NOT(AND(Simulations!$A34&lt;&gt;"",OR(Simulations!$CA34&lt;&gt;"",N(Simulations!$CC34)&gt;0))),N(Simulations!$CB34)&lt;=0),0,SQRT(2*Simulations!$CB34*1000000/(Simulations!$J34*1000))/Simulations!$T34)</f>
        <v>0</v>
      </c>
      <c r="Y34" s="0" t="n">
        <f aca="false">IF(AND(Simulations!$A34&lt;&gt;"",OR(Simulations!$CA34&lt;&gt;"",N(Simulations!$CC34)&gt;0)),1,0)</f>
        <v>0</v>
      </c>
      <c r="Z34" s="0" t="n">
        <f aca="false">IF(OR(NOT(AND(Simulations!$A34&lt;&gt;"",OR(Simulations!$CS34&lt;&gt;"",N(Simulations!$CU34)&gt;0))),N(Simulations!$CV34)&lt;=0,N(Simulations!$CU34)&lt;=0,1&gt;N(Simulations!$O34)),0,IF(Simulations!$CV34&lt;Simulations!$J34,Simulations!$CU34/(Simulations!$G34*Simulations!$H34*IF(Simulations!$I34&gt;0,Simulations!$I34,1))*Simulations!$CV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V34/Simulations!$J34)^1.5+SQRT(LN(Simulations!$CV34/Simulations!$J34))+Simulations!$CV34/Simulations!$J34*SQRT(PI())/2*ERFC(SQRT(LN(Simulations!$CV34/Simulations!$J34)))),PI()*Simulations!$T34^2/2*(LN(Simulations!$CV34/Simulations!$J34)+1))))</f>
        <v>0</v>
      </c>
      <c r="AA34" s="0" t="n">
        <f aca="false">IF(OR(NOT(AND(Simulations!$A34&lt;&gt;"",OR(Simulations!$CS34&lt;&gt;"",N(Simulations!$CU34)&gt;0))),N(Simulations!$CW34)&lt;=0,N(Simulations!$CU34)&lt;=0,2&gt;N(Simulations!$O34)),0,IF(Simulations!$CW34&lt;Simulations!$J34,Simulations!$CU34/(Simulations!$G34*Simulations!$H34*IF(Simulations!$I34&gt;0,Simulations!$I34,1))*Simulations!$CW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W34/Simulations!$J34)^1.5+SQRT(LN(Simulations!$CW34/Simulations!$J34))+Simulations!$CW34/Simulations!$J34*SQRT(PI())/2*ERFC(SQRT(LN(Simulations!$CW34/Simulations!$J34)))),PI()*Simulations!$T34^2/2*(LN(Simulations!$CW34/Simulations!$J34)+1))))</f>
        <v>0</v>
      </c>
      <c r="AB34" s="0" t="n">
        <f aca="false">IF(OR(NOT(AND(Simulations!$A34&lt;&gt;"",OR(Simulations!$CS34&lt;&gt;"",N(Simulations!$CU34)&gt;0))),N(Simulations!$CX34)&lt;=0,N(Simulations!$CU34)&lt;=0,3&gt;N(Simulations!$O34)),0,IF(Simulations!$CX34&lt;Simulations!$J34,Simulations!$CU34/(Simulations!$G34*Simulations!$H34*IF(Simulations!$I34&gt;0,Simulations!$I34,1))*Simulations!$CX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X34/Simulations!$J34)^1.5+SQRT(LN(Simulations!$CX34/Simulations!$J34))+Simulations!$CX34/Simulations!$J34*SQRT(PI())/2*ERFC(SQRT(LN(Simulations!$CX34/Simulations!$J34)))),PI()*Simulations!$T34^2/2*(LN(Simulations!$CX34/Simulations!$J34)+1))))</f>
        <v>0</v>
      </c>
      <c r="AC34" s="0" t="n">
        <f aca="false">IF(NOT(AND(Simulations!$A34&lt;&gt;"",OR(Simulations!$CS34&lt;&gt;"",N(Simulations!$CU34)&gt;0))),0,MAX(N(Simulations!$CV34),N(Simulations!$CW34),N(Simulations!$CX34))/Simulations!$J34)</f>
        <v>0</v>
      </c>
      <c r="AD34" s="0" t="n">
        <f aca="false">IF(OR(NOT(AND(Simulations!$A34&lt;&gt;"",OR(Simulations!$CS34&lt;&gt;"",N(Simulations!$CU34)&gt;0))),N(Simulations!$CT34)&lt;=0),0,SQRT(2*Simulations!$CT34*1000000/(Simulations!$J34*1000))/Simulations!$T34)</f>
        <v>0</v>
      </c>
      <c r="AE34" s="0" t="n">
        <f aca="false">IF(AND(Simulations!$A34&lt;&gt;"",OR(Simulations!$CS34&lt;&gt;"",N(Simulations!$CU34)&gt;0)),1,0)</f>
        <v>0</v>
      </c>
      <c r="AF34" s="0" t="n">
        <f aca="false">IF(OR(NOT(AND(Simulations!$A34&lt;&gt;"",OR(Simulations!$DK34&lt;&gt;"",N(Simulations!$DM34)&gt;0))),N(Simulations!$DN34)&lt;=0,N(Simulations!$DM34)&lt;=0,1&gt;N(Simulations!$O34)),0,IF(Simulations!$DN34&lt;Simulations!$J34,Simulations!$DM34/(Simulations!$G34*Simulations!$H34*IF(Simulations!$I34&gt;0,Simulations!$I34,1))*Simulations!$DN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N34/Simulations!$J34)^1.5+SQRT(LN(Simulations!$DN34/Simulations!$J34))+Simulations!$DN34/Simulations!$J34*SQRT(PI())/2*ERFC(SQRT(LN(Simulations!$DN34/Simulations!$J34)))),PI()*Simulations!$T34^2/2*(LN(Simulations!$DN34/Simulations!$J34)+1))))</f>
        <v>0</v>
      </c>
      <c r="AG34" s="0" t="n">
        <f aca="false">IF(OR(NOT(AND(Simulations!$A34&lt;&gt;"",OR(Simulations!$DK34&lt;&gt;"",N(Simulations!$DM34)&gt;0))),N(Simulations!$DO34)&lt;=0,N(Simulations!$DM34)&lt;=0,2&gt;N(Simulations!$O34)),0,IF(Simulations!$DO34&lt;Simulations!$J34,Simulations!$DM34/(Simulations!$G34*Simulations!$H34*IF(Simulations!$I34&gt;0,Simulations!$I34,1))*Simulations!$DO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O34/Simulations!$J34)^1.5+SQRT(LN(Simulations!$DO34/Simulations!$J34))+Simulations!$DO34/Simulations!$J34*SQRT(PI())/2*ERFC(SQRT(LN(Simulations!$DO34/Simulations!$J34)))),PI()*Simulations!$T34^2/2*(LN(Simulations!$DO34/Simulations!$J34)+1))))</f>
        <v>0</v>
      </c>
      <c r="AH34" s="0" t="n">
        <f aca="false">IF(OR(NOT(AND(Simulations!$A34&lt;&gt;"",OR(Simulations!$DK34&lt;&gt;"",N(Simulations!$DM34)&gt;0))),N(Simulations!$DP34)&lt;=0,N(Simulations!$DM34)&lt;=0,3&gt;N(Simulations!$O34)),0,IF(Simulations!$DP34&lt;Simulations!$J34,Simulations!$DM34/(Simulations!$G34*Simulations!$H34*IF(Simulations!$I34&gt;0,Simulations!$I34,1))*Simulations!$DP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P34/Simulations!$J34)^1.5+SQRT(LN(Simulations!$DP34/Simulations!$J34))+Simulations!$DP34/Simulations!$J34*SQRT(PI())/2*ERFC(SQRT(LN(Simulations!$DP34/Simulations!$J34)))),PI()*Simulations!$T34^2/2*(LN(Simulations!$DP34/Simulations!$J34)+1))))</f>
        <v>0</v>
      </c>
      <c r="AI34" s="0" t="n">
        <f aca="false">IF(NOT(AND(Simulations!$A34&lt;&gt;"",OR(Simulations!$DK34&lt;&gt;"",N(Simulations!$DM34)&gt;0))),0,MAX(N(Simulations!$DN34),N(Simulations!$DO34),N(Simulations!$DP34))/Simulations!$J34)</f>
        <v>0</v>
      </c>
      <c r="AJ34" s="0" t="n">
        <f aca="false">IF(OR(NOT(AND(Simulations!$A34&lt;&gt;"",OR(Simulations!$DK34&lt;&gt;"",N(Simulations!$DM34)&gt;0))),N(Simulations!$DL34)&lt;=0),0,SQRT(2*Simulations!$DL34*1000000/(Simulations!$J34*1000))/Simulations!$T34)</f>
        <v>0</v>
      </c>
      <c r="AK34" s="0" t="n">
        <f aca="false">IF(AND(Simulations!$A34&lt;&gt;"",OR(Simulations!$DK34&lt;&gt;"",N(Simulations!$DM34)&gt;0)),1,0)</f>
        <v>0</v>
      </c>
    </row>
    <row r="35" customFormat="false" ht="15" hidden="false" customHeight="false" outlineLevel="0" collapsed="false">
      <c r="B35" s="0" t="n">
        <f aca="false">IF(OR(NOT(AND(Simulations!$A35&lt;&gt;"",OR(Simulations!$Y35&lt;&gt;"",N(Simulations!$AA35)&gt;0))),N(Simulations!$AB35)&lt;=0,N(Simulations!$AA35)&lt;=0,1&gt;N(Simulations!$O35)),0,IF(Simulations!$AB35&lt;Simulations!$J35,Simulations!$AA35/(Simulations!$G35*Simulations!$H35*IF(Simulations!$I35&gt;0,Simulations!$I35,1))*Simulations!$AB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B35/Simulations!$J35)^1.5+SQRT(LN(Simulations!$AB35/Simulations!$J35))+Simulations!$AB35/Simulations!$J35*SQRT(PI())/2*ERFC(SQRT(LN(Simulations!$AB35/Simulations!$J35)))),PI()*Simulations!$T35^2/2*(LN(Simulations!$AB35/Simulations!$J35)+1))))</f>
        <v>0</v>
      </c>
      <c r="C35" s="0" t="n">
        <f aca="false">IF(OR(NOT(AND(Simulations!$A35&lt;&gt;"",OR(Simulations!$Y35&lt;&gt;"",N(Simulations!$AA35)&gt;0))),N(Simulations!$AC35)&lt;=0,N(Simulations!$AA35)&lt;=0,2&gt;N(Simulations!$O35)),0,IF(Simulations!$AC35&lt;Simulations!$J35,Simulations!$AA35/(Simulations!$G35*Simulations!$H35*IF(Simulations!$I35&gt;0,Simulations!$I35,1))*Simulations!$AC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C35/Simulations!$J35)^1.5+SQRT(LN(Simulations!$AC35/Simulations!$J35))+Simulations!$AC35/Simulations!$J35*SQRT(PI())/2*ERFC(SQRT(LN(Simulations!$AC35/Simulations!$J35)))),PI()*Simulations!$T35^2/2*(LN(Simulations!$AC35/Simulations!$J35)+1))))</f>
        <v>0</v>
      </c>
      <c r="D35" s="0" t="n">
        <f aca="false">IF(OR(NOT(AND(Simulations!$A35&lt;&gt;"",OR(Simulations!$Y35&lt;&gt;"",N(Simulations!$AA35)&gt;0))),N(Simulations!$AD35)&lt;=0,N(Simulations!$AA35)&lt;=0,3&gt;N(Simulations!$O35)),0,IF(Simulations!$AD35&lt;Simulations!$J35,Simulations!$AA35/(Simulations!$G35*Simulations!$H35*IF(Simulations!$I35&gt;0,Simulations!$I35,1))*Simulations!$AD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D35/Simulations!$J35)^1.5+SQRT(LN(Simulations!$AD35/Simulations!$J35))+Simulations!$AD35/Simulations!$J35*SQRT(PI())/2*ERFC(SQRT(LN(Simulations!$AD35/Simulations!$J35)))),PI()*Simulations!$T35^2/2*(LN(Simulations!$AD35/Simulations!$J35)+1))))</f>
        <v>0</v>
      </c>
      <c r="E35" s="0" t="n">
        <f aca="false">IF(NOT(AND(Simulations!$A35&lt;&gt;"",OR(Simulations!$Y35&lt;&gt;"",N(Simulations!$AA35)&gt;0))),0,MAX(N(Simulations!$AB35),N(Simulations!$AC35),N(Simulations!$AD35))/Simulations!$J35)</f>
        <v>0</v>
      </c>
      <c r="F35" s="0" t="n">
        <f aca="false">IF(OR(NOT(AND(Simulations!$A35&lt;&gt;"",OR(Simulations!$Y35&lt;&gt;"",N(Simulations!$AA35)&gt;0))),N(Simulations!$Z35)&lt;=0),0,SQRT(2*Simulations!$Z35*1000000/(Simulations!$J35*1000))/Simulations!$T35)</f>
        <v>0</v>
      </c>
      <c r="G35" s="0" t="n">
        <f aca="false">IF(AND(Simulations!$A35&lt;&gt;"",OR(Simulations!$Y35&lt;&gt;"",N(Simulations!$AA35)&gt;0)),1,0)</f>
        <v>0</v>
      </c>
      <c r="H35" s="0" t="n">
        <f aca="false">IF(OR(NOT(AND(Simulations!$A35&lt;&gt;"",OR(Simulations!$AQ35&lt;&gt;"",N(Simulations!$AS35)&gt;0))),N(Simulations!$AT35)&lt;=0,N(Simulations!$AS35)&lt;=0,1&gt;N(Simulations!$O35)),0,IF(Simulations!$AT35&lt;Simulations!$J35,Simulations!$AS35/(Simulations!$G35*Simulations!$H35*IF(Simulations!$I35&gt;0,Simulations!$I35,1))*Simulations!$AT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T35/Simulations!$J35)^1.5+SQRT(LN(Simulations!$AT35/Simulations!$J35))+Simulations!$AT35/Simulations!$J35*SQRT(PI())/2*ERFC(SQRT(LN(Simulations!$AT35/Simulations!$J35)))),PI()*Simulations!$T35^2/2*(LN(Simulations!$AT35/Simulations!$J35)+1))))</f>
        <v>0</v>
      </c>
      <c r="I35" s="0" t="n">
        <f aca="false">IF(OR(NOT(AND(Simulations!$A35&lt;&gt;"",OR(Simulations!$AQ35&lt;&gt;"",N(Simulations!$AS35)&gt;0))),N(Simulations!$AU35)&lt;=0,N(Simulations!$AS35)&lt;=0,2&gt;N(Simulations!$O35)),0,IF(Simulations!$AU35&lt;Simulations!$J35,Simulations!$AS35/(Simulations!$G35*Simulations!$H35*IF(Simulations!$I35&gt;0,Simulations!$I35,1))*Simulations!$AU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U35/Simulations!$J35)^1.5+SQRT(LN(Simulations!$AU35/Simulations!$J35))+Simulations!$AU35/Simulations!$J35*SQRT(PI())/2*ERFC(SQRT(LN(Simulations!$AU35/Simulations!$J35)))),PI()*Simulations!$T35^2/2*(LN(Simulations!$AU35/Simulations!$J35)+1))))</f>
        <v>0</v>
      </c>
      <c r="J35" s="0" t="n">
        <f aca="false">IF(OR(NOT(AND(Simulations!$A35&lt;&gt;"",OR(Simulations!$AQ35&lt;&gt;"",N(Simulations!$AS35)&gt;0))),N(Simulations!$AV35)&lt;=0,N(Simulations!$AS35)&lt;=0,3&gt;N(Simulations!$O35)),0,IF(Simulations!$AV35&lt;Simulations!$J35,Simulations!$AS35/(Simulations!$G35*Simulations!$H35*IF(Simulations!$I35&gt;0,Simulations!$I35,1))*Simulations!$AV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V35/Simulations!$J35)^1.5+SQRT(LN(Simulations!$AV35/Simulations!$J35))+Simulations!$AV35/Simulations!$J35*SQRT(PI())/2*ERFC(SQRT(LN(Simulations!$AV35/Simulations!$J35)))),PI()*Simulations!$T35^2/2*(LN(Simulations!$AV35/Simulations!$J35)+1))))</f>
        <v>0</v>
      </c>
      <c r="K35" s="0" t="n">
        <f aca="false">IF(NOT(AND(Simulations!$A35&lt;&gt;"",OR(Simulations!$AQ35&lt;&gt;"",N(Simulations!$AS35)&gt;0))),0,MAX(N(Simulations!$AT35),N(Simulations!$AU35),N(Simulations!$AV35))/Simulations!$J35)</f>
        <v>0</v>
      </c>
      <c r="L35" s="0" t="n">
        <f aca="false">IF(OR(NOT(AND(Simulations!$A35&lt;&gt;"",OR(Simulations!$AQ35&lt;&gt;"",N(Simulations!$AS35)&gt;0))),N(Simulations!$AR35)&lt;=0),0,SQRT(2*Simulations!$AR35*1000000/(Simulations!$J35*1000))/Simulations!$T35)</f>
        <v>0</v>
      </c>
      <c r="M35" s="0" t="n">
        <f aca="false">IF(AND(Simulations!$A35&lt;&gt;"",OR(Simulations!$AQ35&lt;&gt;"",N(Simulations!$AS35)&gt;0)),1,0)</f>
        <v>0</v>
      </c>
      <c r="N35" s="0" t="n">
        <f aca="false">IF(OR(NOT(AND(Simulations!$A35&lt;&gt;"",OR(Simulations!$BI35&lt;&gt;"",N(Simulations!$BK35)&gt;0))),N(Simulations!$BL35)&lt;=0,N(Simulations!$BK35)&lt;=0,1&gt;N(Simulations!$O35)),0,IF(Simulations!$BL35&lt;Simulations!$J35,Simulations!$BK35/(Simulations!$G35*Simulations!$H35*IF(Simulations!$I35&gt;0,Simulations!$I35,1))*Simulations!$BL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L35/Simulations!$J35)^1.5+SQRT(LN(Simulations!$BL35/Simulations!$J35))+Simulations!$BL35/Simulations!$J35*SQRT(PI())/2*ERFC(SQRT(LN(Simulations!$BL35/Simulations!$J35)))),PI()*Simulations!$T35^2/2*(LN(Simulations!$BL35/Simulations!$J35)+1))))</f>
        <v>0</v>
      </c>
      <c r="O35" s="0" t="n">
        <f aca="false">IF(OR(NOT(AND(Simulations!$A35&lt;&gt;"",OR(Simulations!$BI35&lt;&gt;"",N(Simulations!$BK35)&gt;0))),N(Simulations!$BM35)&lt;=0,N(Simulations!$BK35)&lt;=0,2&gt;N(Simulations!$O35)),0,IF(Simulations!$BM35&lt;Simulations!$J35,Simulations!$BK35/(Simulations!$G35*Simulations!$H35*IF(Simulations!$I35&gt;0,Simulations!$I35,1))*Simulations!$BM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M35/Simulations!$J35)^1.5+SQRT(LN(Simulations!$BM35/Simulations!$J35))+Simulations!$BM35/Simulations!$J35*SQRT(PI())/2*ERFC(SQRT(LN(Simulations!$BM35/Simulations!$J35)))),PI()*Simulations!$T35^2/2*(LN(Simulations!$BM35/Simulations!$J35)+1))))</f>
        <v>0</v>
      </c>
      <c r="P35" s="0" t="n">
        <f aca="false">IF(OR(NOT(AND(Simulations!$A35&lt;&gt;"",OR(Simulations!$BI35&lt;&gt;"",N(Simulations!$BK35)&gt;0))),N(Simulations!$BN35)&lt;=0,N(Simulations!$BK35)&lt;=0,3&gt;N(Simulations!$O35)),0,IF(Simulations!$BN35&lt;Simulations!$J35,Simulations!$BK35/(Simulations!$G35*Simulations!$H35*IF(Simulations!$I35&gt;0,Simulations!$I35,1))*Simulations!$BN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N35/Simulations!$J35)^1.5+SQRT(LN(Simulations!$BN35/Simulations!$J35))+Simulations!$BN35/Simulations!$J35*SQRT(PI())/2*ERFC(SQRT(LN(Simulations!$BN35/Simulations!$J35)))),PI()*Simulations!$T35^2/2*(LN(Simulations!$BN35/Simulations!$J35)+1))))</f>
        <v>0</v>
      </c>
      <c r="Q35" s="0" t="n">
        <f aca="false">IF(NOT(AND(Simulations!$A35&lt;&gt;"",OR(Simulations!$BI35&lt;&gt;"",N(Simulations!$BK35)&gt;0))),0,MAX(N(Simulations!$BL35),N(Simulations!$BM35),N(Simulations!$BN35))/Simulations!$J35)</f>
        <v>0</v>
      </c>
      <c r="R35" s="0" t="n">
        <f aca="false">IF(OR(NOT(AND(Simulations!$A35&lt;&gt;"",OR(Simulations!$BI35&lt;&gt;"",N(Simulations!$BK35)&gt;0))),N(Simulations!$BJ35)&lt;=0),0,SQRT(2*Simulations!$BJ35*1000000/(Simulations!$J35*1000))/Simulations!$T35)</f>
        <v>0</v>
      </c>
      <c r="S35" s="0" t="n">
        <f aca="false">IF(AND(Simulations!$A35&lt;&gt;"",OR(Simulations!$BI35&lt;&gt;"",N(Simulations!$BK35)&gt;0)),1,0)</f>
        <v>0</v>
      </c>
      <c r="T35" s="0" t="n">
        <f aca="false">IF(OR(NOT(AND(Simulations!$A35&lt;&gt;"",OR(Simulations!$CA35&lt;&gt;"",N(Simulations!$CC35)&gt;0))),N(Simulations!$CD35)&lt;=0,N(Simulations!$CC35)&lt;=0,1&gt;N(Simulations!$O35)),0,IF(Simulations!$CD35&lt;Simulations!$J35,Simulations!$CC35/(Simulations!$G35*Simulations!$H35*IF(Simulations!$I35&gt;0,Simulations!$I35,1))*Simulations!$CD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D35/Simulations!$J35)^1.5+SQRT(LN(Simulations!$CD35/Simulations!$J35))+Simulations!$CD35/Simulations!$J35*SQRT(PI())/2*ERFC(SQRT(LN(Simulations!$CD35/Simulations!$J35)))),PI()*Simulations!$T35^2/2*(LN(Simulations!$CD35/Simulations!$J35)+1))))</f>
        <v>0</v>
      </c>
      <c r="U35" s="0" t="n">
        <f aca="false">IF(OR(NOT(AND(Simulations!$A35&lt;&gt;"",OR(Simulations!$CA35&lt;&gt;"",N(Simulations!$CC35)&gt;0))),N(Simulations!$CE35)&lt;=0,N(Simulations!$CC35)&lt;=0,2&gt;N(Simulations!$O35)),0,IF(Simulations!$CE35&lt;Simulations!$J35,Simulations!$CC35/(Simulations!$G35*Simulations!$H35*IF(Simulations!$I35&gt;0,Simulations!$I35,1))*Simulations!$CE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E35/Simulations!$J35)^1.5+SQRT(LN(Simulations!$CE35/Simulations!$J35))+Simulations!$CE35/Simulations!$J35*SQRT(PI())/2*ERFC(SQRT(LN(Simulations!$CE35/Simulations!$J35)))),PI()*Simulations!$T35^2/2*(LN(Simulations!$CE35/Simulations!$J35)+1))))</f>
        <v>0</v>
      </c>
      <c r="V35" s="0" t="n">
        <f aca="false">IF(OR(NOT(AND(Simulations!$A35&lt;&gt;"",OR(Simulations!$CA35&lt;&gt;"",N(Simulations!$CC35)&gt;0))),N(Simulations!$CF35)&lt;=0,N(Simulations!$CC35)&lt;=0,3&gt;N(Simulations!$O35)),0,IF(Simulations!$CF35&lt;Simulations!$J35,Simulations!$CC35/(Simulations!$G35*Simulations!$H35*IF(Simulations!$I35&gt;0,Simulations!$I35,1))*Simulations!$CF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F35/Simulations!$J35)^1.5+SQRT(LN(Simulations!$CF35/Simulations!$J35))+Simulations!$CF35/Simulations!$J35*SQRT(PI())/2*ERFC(SQRT(LN(Simulations!$CF35/Simulations!$J35)))),PI()*Simulations!$T35^2/2*(LN(Simulations!$CF35/Simulations!$J35)+1))))</f>
        <v>0</v>
      </c>
      <c r="W35" s="0" t="n">
        <f aca="false">IF(NOT(AND(Simulations!$A35&lt;&gt;"",OR(Simulations!$CA35&lt;&gt;"",N(Simulations!$CC35)&gt;0))),0,MAX(N(Simulations!$CD35),N(Simulations!$CE35),N(Simulations!$CF35))/Simulations!$J35)</f>
        <v>0</v>
      </c>
      <c r="X35" s="0" t="n">
        <f aca="false">IF(OR(NOT(AND(Simulations!$A35&lt;&gt;"",OR(Simulations!$CA35&lt;&gt;"",N(Simulations!$CC35)&gt;0))),N(Simulations!$CB35)&lt;=0),0,SQRT(2*Simulations!$CB35*1000000/(Simulations!$J35*1000))/Simulations!$T35)</f>
        <v>0</v>
      </c>
      <c r="Y35" s="0" t="n">
        <f aca="false">IF(AND(Simulations!$A35&lt;&gt;"",OR(Simulations!$CA35&lt;&gt;"",N(Simulations!$CC35)&gt;0)),1,0)</f>
        <v>0</v>
      </c>
      <c r="Z35" s="0" t="n">
        <f aca="false">IF(OR(NOT(AND(Simulations!$A35&lt;&gt;"",OR(Simulations!$CS35&lt;&gt;"",N(Simulations!$CU35)&gt;0))),N(Simulations!$CV35)&lt;=0,N(Simulations!$CU35)&lt;=0,1&gt;N(Simulations!$O35)),0,IF(Simulations!$CV35&lt;Simulations!$J35,Simulations!$CU35/(Simulations!$G35*Simulations!$H35*IF(Simulations!$I35&gt;0,Simulations!$I35,1))*Simulations!$CV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V35/Simulations!$J35)^1.5+SQRT(LN(Simulations!$CV35/Simulations!$J35))+Simulations!$CV35/Simulations!$J35*SQRT(PI())/2*ERFC(SQRT(LN(Simulations!$CV35/Simulations!$J35)))),PI()*Simulations!$T35^2/2*(LN(Simulations!$CV35/Simulations!$J35)+1))))</f>
        <v>0</v>
      </c>
      <c r="AA35" s="0" t="n">
        <f aca="false">IF(OR(NOT(AND(Simulations!$A35&lt;&gt;"",OR(Simulations!$CS35&lt;&gt;"",N(Simulations!$CU35)&gt;0))),N(Simulations!$CW35)&lt;=0,N(Simulations!$CU35)&lt;=0,2&gt;N(Simulations!$O35)),0,IF(Simulations!$CW35&lt;Simulations!$J35,Simulations!$CU35/(Simulations!$G35*Simulations!$H35*IF(Simulations!$I35&gt;0,Simulations!$I35,1))*Simulations!$CW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W35/Simulations!$J35)^1.5+SQRT(LN(Simulations!$CW35/Simulations!$J35))+Simulations!$CW35/Simulations!$J35*SQRT(PI())/2*ERFC(SQRT(LN(Simulations!$CW35/Simulations!$J35)))),PI()*Simulations!$T35^2/2*(LN(Simulations!$CW35/Simulations!$J35)+1))))</f>
        <v>0</v>
      </c>
      <c r="AB35" s="0" t="n">
        <f aca="false">IF(OR(NOT(AND(Simulations!$A35&lt;&gt;"",OR(Simulations!$CS35&lt;&gt;"",N(Simulations!$CU35)&gt;0))),N(Simulations!$CX35)&lt;=0,N(Simulations!$CU35)&lt;=0,3&gt;N(Simulations!$O35)),0,IF(Simulations!$CX35&lt;Simulations!$J35,Simulations!$CU35/(Simulations!$G35*Simulations!$H35*IF(Simulations!$I35&gt;0,Simulations!$I35,1))*Simulations!$CX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X35/Simulations!$J35)^1.5+SQRT(LN(Simulations!$CX35/Simulations!$J35))+Simulations!$CX35/Simulations!$J35*SQRT(PI())/2*ERFC(SQRT(LN(Simulations!$CX35/Simulations!$J35)))),PI()*Simulations!$T35^2/2*(LN(Simulations!$CX35/Simulations!$J35)+1))))</f>
        <v>0</v>
      </c>
      <c r="AC35" s="0" t="n">
        <f aca="false">IF(NOT(AND(Simulations!$A35&lt;&gt;"",OR(Simulations!$CS35&lt;&gt;"",N(Simulations!$CU35)&gt;0))),0,MAX(N(Simulations!$CV35),N(Simulations!$CW35),N(Simulations!$CX35))/Simulations!$J35)</f>
        <v>0</v>
      </c>
      <c r="AD35" s="0" t="n">
        <f aca="false">IF(OR(NOT(AND(Simulations!$A35&lt;&gt;"",OR(Simulations!$CS35&lt;&gt;"",N(Simulations!$CU35)&gt;0))),N(Simulations!$CT35)&lt;=0),0,SQRT(2*Simulations!$CT35*1000000/(Simulations!$J35*1000))/Simulations!$T35)</f>
        <v>0</v>
      </c>
      <c r="AE35" s="0" t="n">
        <f aca="false">IF(AND(Simulations!$A35&lt;&gt;"",OR(Simulations!$CS35&lt;&gt;"",N(Simulations!$CU35)&gt;0)),1,0)</f>
        <v>0</v>
      </c>
      <c r="AF35" s="0" t="n">
        <f aca="false">IF(OR(NOT(AND(Simulations!$A35&lt;&gt;"",OR(Simulations!$DK35&lt;&gt;"",N(Simulations!$DM35)&gt;0))),N(Simulations!$DN35)&lt;=0,N(Simulations!$DM35)&lt;=0,1&gt;N(Simulations!$O35)),0,IF(Simulations!$DN35&lt;Simulations!$J35,Simulations!$DM35/(Simulations!$G35*Simulations!$H35*IF(Simulations!$I35&gt;0,Simulations!$I35,1))*Simulations!$DN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N35/Simulations!$J35)^1.5+SQRT(LN(Simulations!$DN35/Simulations!$J35))+Simulations!$DN35/Simulations!$J35*SQRT(PI())/2*ERFC(SQRT(LN(Simulations!$DN35/Simulations!$J35)))),PI()*Simulations!$T35^2/2*(LN(Simulations!$DN35/Simulations!$J35)+1))))</f>
        <v>0</v>
      </c>
      <c r="AG35" s="0" t="n">
        <f aca="false">IF(OR(NOT(AND(Simulations!$A35&lt;&gt;"",OR(Simulations!$DK35&lt;&gt;"",N(Simulations!$DM35)&gt;0))),N(Simulations!$DO35)&lt;=0,N(Simulations!$DM35)&lt;=0,2&gt;N(Simulations!$O35)),0,IF(Simulations!$DO35&lt;Simulations!$J35,Simulations!$DM35/(Simulations!$G35*Simulations!$H35*IF(Simulations!$I35&gt;0,Simulations!$I35,1))*Simulations!$DO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O35/Simulations!$J35)^1.5+SQRT(LN(Simulations!$DO35/Simulations!$J35))+Simulations!$DO35/Simulations!$J35*SQRT(PI())/2*ERFC(SQRT(LN(Simulations!$DO35/Simulations!$J35)))),PI()*Simulations!$T35^2/2*(LN(Simulations!$DO35/Simulations!$J35)+1))))</f>
        <v>0</v>
      </c>
      <c r="AH35" s="0" t="n">
        <f aca="false">IF(OR(NOT(AND(Simulations!$A35&lt;&gt;"",OR(Simulations!$DK35&lt;&gt;"",N(Simulations!$DM35)&gt;0))),N(Simulations!$DP35)&lt;=0,N(Simulations!$DM35)&lt;=0,3&gt;N(Simulations!$O35)),0,IF(Simulations!$DP35&lt;Simulations!$J35,Simulations!$DM35/(Simulations!$G35*Simulations!$H35*IF(Simulations!$I35&gt;0,Simulations!$I35,1))*Simulations!$DP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P35/Simulations!$J35)^1.5+SQRT(LN(Simulations!$DP35/Simulations!$J35))+Simulations!$DP35/Simulations!$J35*SQRT(PI())/2*ERFC(SQRT(LN(Simulations!$DP35/Simulations!$J35)))),PI()*Simulations!$T35^2/2*(LN(Simulations!$DP35/Simulations!$J35)+1))))</f>
        <v>0</v>
      </c>
      <c r="AI35" s="0" t="n">
        <f aca="false">IF(NOT(AND(Simulations!$A35&lt;&gt;"",OR(Simulations!$DK35&lt;&gt;"",N(Simulations!$DM35)&gt;0))),0,MAX(N(Simulations!$DN35),N(Simulations!$DO35),N(Simulations!$DP35))/Simulations!$J35)</f>
        <v>0</v>
      </c>
      <c r="AJ35" s="0" t="n">
        <f aca="false">IF(OR(NOT(AND(Simulations!$A35&lt;&gt;"",OR(Simulations!$DK35&lt;&gt;"",N(Simulations!$DM35)&gt;0))),N(Simulations!$DL35)&lt;=0),0,SQRT(2*Simulations!$DL35*1000000/(Simulations!$J35*1000))/Simulations!$T35)</f>
        <v>0</v>
      </c>
      <c r="AK35" s="0" t="n">
        <f aca="false">IF(AND(Simulations!$A35&lt;&gt;"",OR(Simulations!$DK35&lt;&gt;"",N(Simulations!$DM35)&gt;0)),1,0)</f>
        <v>0</v>
      </c>
    </row>
    <row r="36" customFormat="false" ht="15" hidden="false" customHeight="false" outlineLevel="0" collapsed="false">
      <c r="B36" s="0" t="n">
        <f aca="false">IF(OR(NOT(AND(Simulations!$A36&lt;&gt;"",OR(Simulations!$Y36&lt;&gt;"",N(Simulations!$AA36)&gt;0))),N(Simulations!$AB36)&lt;=0,N(Simulations!$AA36)&lt;=0,1&gt;N(Simulations!$O36)),0,IF(Simulations!$AB36&lt;Simulations!$J36,Simulations!$AA36/(Simulations!$G36*Simulations!$H36*IF(Simulations!$I36&gt;0,Simulations!$I36,1))*Simulations!$AB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B36/Simulations!$J36)^1.5+SQRT(LN(Simulations!$AB36/Simulations!$J36))+Simulations!$AB36/Simulations!$J36*SQRT(PI())/2*ERFC(SQRT(LN(Simulations!$AB36/Simulations!$J36)))),PI()*Simulations!$T36^2/2*(LN(Simulations!$AB36/Simulations!$J36)+1))))</f>
        <v>0</v>
      </c>
      <c r="C36" s="0" t="n">
        <f aca="false">IF(OR(NOT(AND(Simulations!$A36&lt;&gt;"",OR(Simulations!$Y36&lt;&gt;"",N(Simulations!$AA36)&gt;0))),N(Simulations!$AC36)&lt;=0,N(Simulations!$AA36)&lt;=0,2&gt;N(Simulations!$O36)),0,IF(Simulations!$AC36&lt;Simulations!$J36,Simulations!$AA36/(Simulations!$G36*Simulations!$H36*IF(Simulations!$I36&gt;0,Simulations!$I36,1))*Simulations!$AC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C36/Simulations!$J36)^1.5+SQRT(LN(Simulations!$AC36/Simulations!$J36))+Simulations!$AC36/Simulations!$J36*SQRT(PI())/2*ERFC(SQRT(LN(Simulations!$AC36/Simulations!$J36)))),PI()*Simulations!$T36^2/2*(LN(Simulations!$AC36/Simulations!$J36)+1))))</f>
        <v>0</v>
      </c>
      <c r="D36" s="0" t="n">
        <f aca="false">IF(OR(NOT(AND(Simulations!$A36&lt;&gt;"",OR(Simulations!$Y36&lt;&gt;"",N(Simulations!$AA36)&gt;0))),N(Simulations!$AD36)&lt;=0,N(Simulations!$AA36)&lt;=0,3&gt;N(Simulations!$O36)),0,IF(Simulations!$AD36&lt;Simulations!$J36,Simulations!$AA36/(Simulations!$G36*Simulations!$H36*IF(Simulations!$I36&gt;0,Simulations!$I36,1))*Simulations!$AD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D36/Simulations!$J36)^1.5+SQRT(LN(Simulations!$AD36/Simulations!$J36))+Simulations!$AD36/Simulations!$J36*SQRT(PI())/2*ERFC(SQRT(LN(Simulations!$AD36/Simulations!$J36)))),PI()*Simulations!$T36^2/2*(LN(Simulations!$AD36/Simulations!$J36)+1))))</f>
        <v>0</v>
      </c>
      <c r="E36" s="0" t="n">
        <f aca="false">IF(NOT(AND(Simulations!$A36&lt;&gt;"",OR(Simulations!$Y36&lt;&gt;"",N(Simulations!$AA36)&gt;0))),0,MAX(N(Simulations!$AB36),N(Simulations!$AC36),N(Simulations!$AD36))/Simulations!$J36)</f>
        <v>0</v>
      </c>
      <c r="F36" s="0" t="n">
        <f aca="false">IF(OR(NOT(AND(Simulations!$A36&lt;&gt;"",OR(Simulations!$Y36&lt;&gt;"",N(Simulations!$AA36)&gt;0))),N(Simulations!$Z36)&lt;=0),0,SQRT(2*Simulations!$Z36*1000000/(Simulations!$J36*1000))/Simulations!$T36)</f>
        <v>0</v>
      </c>
      <c r="G36" s="0" t="n">
        <f aca="false">IF(AND(Simulations!$A36&lt;&gt;"",OR(Simulations!$Y36&lt;&gt;"",N(Simulations!$AA36)&gt;0)),1,0)</f>
        <v>0</v>
      </c>
      <c r="H36" s="0" t="n">
        <f aca="false">IF(OR(NOT(AND(Simulations!$A36&lt;&gt;"",OR(Simulations!$AQ36&lt;&gt;"",N(Simulations!$AS36)&gt;0))),N(Simulations!$AT36)&lt;=0,N(Simulations!$AS36)&lt;=0,1&gt;N(Simulations!$O36)),0,IF(Simulations!$AT36&lt;Simulations!$J36,Simulations!$AS36/(Simulations!$G36*Simulations!$H36*IF(Simulations!$I36&gt;0,Simulations!$I36,1))*Simulations!$AT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T36/Simulations!$J36)^1.5+SQRT(LN(Simulations!$AT36/Simulations!$J36))+Simulations!$AT36/Simulations!$J36*SQRT(PI())/2*ERFC(SQRT(LN(Simulations!$AT36/Simulations!$J36)))),PI()*Simulations!$T36^2/2*(LN(Simulations!$AT36/Simulations!$J36)+1))))</f>
        <v>0</v>
      </c>
      <c r="I36" s="0" t="n">
        <f aca="false">IF(OR(NOT(AND(Simulations!$A36&lt;&gt;"",OR(Simulations!$AQ36&lt;&gt;"",N(Simulations!$AS36)&gt;0))),N(Simulations!$AU36)&lt;=0,N(Simulations!$AS36)&lt;=0,2&gt;N(Simulations!$O36)),0,IF(Simulations!$AU36&lt;Simulations!$J36,Simulations!$AS36/(Simulations!$G36*Simulations!$H36*IF(Simulations!$I36&gt;0,Simulations!$I36,1))*Simulations!$AU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U36/Simulations!$J36)^1.5+SQRT(LN(Simulations!$AU36/Simulations!$J36))+Simulations!$AU36/Simulations!$J36*SQRT(PI())/2*ERFC(SQRT(LN(Simulations!$AU36/Simulations!$J36)))),PI()*Simulations!$T36^2/2*(LN(Simulations!$AU36/Simulations!$J36)+1))))</f>
        <v>0</v>
      </c>
      <c r="J36" s="0" t="n">
        <f aca="false">IF(OR(NOT(AND(Simulations!$A36&lt;&gt;"",OR(Simulations!$AQ36&lt;&gt;"",N(Simulations!$AS36)&gt;0))),N(Simulations!$AV36)&lt;=0,N(Simulations!$AS36)&lt;=0,3&gt;N(Simulations!$O36)),0,IF(Simulations!$AV36&lt;Simulations!$J36,Simulations!$AS36/(Simulations!$G36*Simulations!$H36*IF(Simulations!$I36&gt;0,Simulations!$I36,1))*Simulations!$AV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V36/Simulations!$J36)^1.5+SQRT(LN(Simulations!$AV36/Simulations!$J36))+Simulations!$AV36/Simulations!$J36*SQRT(PI())/2*ERFC(SQRT(LN(Simulations!$AV36/Simulations!$J36)))),PI()*Simulations!$T36^2/2*(LN(Simulations!$AV36/Simulations!$J36)+1))))</f>
        <v>0</v>
      </c>
      <c r="K36" s="0" t="n">
        <f aca="false">IF(NOT(AND(Simulations!$A36&lt;&gt;"",OR(Simulations!$AQ36&lt;&gt;"",N(Simulations!$AS36)&gt;0))),0,MAX(N(Simulations!$AT36),N(Simulations!$AU36),N(Simulations!$AV36))/Simulations!$J36)</f>
        <v>0</v>
      </c>
      <c r="L36" s="0" t="n">
        <f aca="false">IF(OR(NOT(AND(Simulations!$A36&lt;&gt;"",OR(Simulations!$AQ36&lt;&gt;"",N(Simulations!$AS36)&gt;0))),N(Simulations!$AR36)&lt;=0),0,SQRT(2*Simulations!$AR36*1000000/(Simulations!$J36*1000))/Simulations!$T36)</f>
        <v>0</v>
      </c>
      <c r="M36" s="0" t="n">
        <f aca="false">IF(AND(Simulations!$A36&lt;&gt;"",OR(Simulations!$AQ36&lt;&gt;"",N(Simulations!$AS36)&gt;0)),1,0)</f>
        <v>0</v>
      </c>
      <c r="N36" s="0" t="n">
        <f aca="false">IF(OR(NOT(AND(Simulations!$A36&lt;&gt;"",OR(Simulations!$BI36&lt;&gt;"",N(Simulations!$BK36)&gt;0))),N(Simulations!$BL36)&lt;=0,N(Simulations!$BK36)&lt;=0,1&gt;N(Simulations!$O36)),0,IF(Simulations!$BL36&lt;Simulations!$J36,Simulations!$BK36/(Simulations!$G36*Simulations!$H36*IF(Simulations!$I36&gt;0,Simulations!$I36,1))*Simulations!$BL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L36/Simulations!$J36)^1.5+SQRT(LN(Simulations!$BL36/Simulations!$J36))+Simulations!$BL36/Simulations!$J36*SQRT(PI())/2*ERFC(SQRT(LN(Simulations!$BL36/Simulations!$J36)))),PI()*Simulations!$T36^2/2*(LN(Simulations!$BL36/Simulations!$J36)+1))))</f>
        <v>0</v>
      </c>
      <c r="O36" s="0" t="n">
        <f aca="false">IF(OR(NOT(AND(Simulations!$A36&lt;&gt;"",OR(Simulations!$BI36&lt;&gt;"",N(Simulations!$BK36)&gt;0))),N(Simulations!$BM36)&lt;=0,N(Simulations!$BK36)&lt;=0,2&gt;N(Simulations!$O36)),0,IF(Simulations!$BM36&lt;Simulations!$J36,Simulations!$BK36/(Simulations!$G36*Simulations!$H36*IF(Simulations!$I36&gt;0,Simulations!$I36,1))*Simulations!$BM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M36/Simulations!$J36)^1.5+SQRT(LN(Simulations!$BM36/Simulations!$J36))+Simulations!$BM36/Simulations!$J36*SQRT(PI())/2*ERFC(SQRT(LN(Simulations!$BM36/Simulations!$J36)))),PI()*Simulations!$T36^2/2*(LN(Simulations!$BM36/Simulations!$J36)+1))))</f>
        <v>0</v>
      </c>
      <c r="P36" s="0" t="n">
        <f aca="false">IF(OR(NOT(AND(Simulations!$A36&lt;&gt;"",OR(Simulations!$BI36&lt;&gt;"",N(Simulations!$BK36)&gt;0))),N(Simulations!$BN36)&lt;=0,N(Simulations!$BK36)&lt;=0,3&gt;N(Simulations!$O36)),0,IF(Simulations!$BN36&lt;Simulations!$J36,Simulations!$BK36/(Simulations!$G36*Simulations!$H36*IF(Simulations!$I36&gt;0,Simulations!$I36,1))*Simulations!$BN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N36/Simulations!$J36)^1.5+SQRT(LN(Simulations!$BN36/Simulations!$J36))+Simulations!$BN36/Simulations!$J36*SQRT(PI())/2*ERFC(SQRT(LN(Simulations!$BN36/Simulations!$J36)))),PI()*Simulations!$T36^2/2*(LN(Simulations!$BN36/Simulations!$J36)+1))))</f>
        <v>0</v>
      </c>
      <c r="Q36" s="0" t="n">
        <f aca="false">IF(NOT(AND(Simulations!$A36&lt;&gt;"",OR(Simulations!$BI36&lt;&gt;"",N(Simulations!$BK36)&gt;0))),0,MAX(N(Simulations!$BL36),N(Simulations!$BM36),N(Simulations!$BN36))/Simulations!$J36)</f>
        <v>0</v>
      </c>
      <c r="R36" s="0" t="n">
        <f aca="false">IF(OR(NOT(AND(Simulations!$A36&lt;&gt;"",OR(Simulations!$BI36&lt;&gt;"",N(Simulations!$BK36)&gt;0))),N(Simulations!$BJ36)&lt;=0),0,SQRT(2*Simulations!$BJ36*1000000/(Simulations!$J36*1000))/Simulations!$T36)</f>
        <v>0</v>
      </c>
      <c r="S36" s="0" t="n">
        <f aca="false">IF(AND(Simulations!$A36&lt;&gt;"",OR(Simulations!$BI36&lt;&gt;"",N(Simulations!$BK36)&gt;0)),1,0)</f>
        <v>0</v>
      </c>
      <c r="T36" s="0" t="n">
        <f aca="false">IF(OR(NOT(AND(Simulations!$A36&lt;&gt;"",OR(Simulations!$CA36&lt;&gt;"",N(Simulations!$CC36)&gt;0))),N(Simulations!$CD36)&lt;=0,N(Simulations!$CC36)&lt;=0,1&gt;N(Simulations!$O36)),0,IF(Simulations!$CD36&lt;Simulations!$J36,Simulations!$CC36/(Simulations!$G36*Simulations!$H36*IF(Simulations!$I36&gt;0,Simulations!$I36,1))*Simulations!$CD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D36/Simulations!$J36)^1.5+SQRT(LN(Simulations!$CD36/Simulations!$J36))+Simulations!$CD36/Simulations!$J36*SQRT(PI())/2*ERFC(SQRT(LN(Simulations!$CD36/Simulations!$J36)))),PI()*Simulations!$T36^2/2*(LN(Simulations!$CD36/Simulations!$J36)+1))))</f>
        <v>0</v>
      </c>
      <c r="U36" s="0" t="n">
        <f aca="false">IF(OR(NOT(AND(Simulations!$A36&lt;&gt;"",OR(Simulations!$CA36&lt;&gt;"",N(Simulations!$CC36)&gt;0))),N(Simulations!$CE36)&lt;=0,N(Simulations!$CC36)&lt;=0,2&gt;N(Simulations!$O36)),0,IF(Simulations!$CE36&lt;Simulations!$J36,Simulations!$CC36/(Simulations!$G36*Simulations!$H36*IF(Simulations!$I36&gt;0,Simulations!$I36,1))*Simulations!$CE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E36/Simulations!$J36)^1.5+SQRT(LN(Simulations!$CE36/Simulations!$J36))+Simulations!$CE36/Simulations!$J36*SQRT(PI())/2*ERFC(SQRT(LN(Simulations!$CE36/Simulations!$J36)))),PI()*Simulations!$T36^2/2*(LN(Simulations!$CE36/Simulations!$J36)+1))))</f>
        <v>0</v>
      </c>
      <c r="V36" s="0" t="n">
        <f aca="false">IF(OR(NOT(AND(Simulations!$A36&lt;&gt;"",OR(Simulations!$CA36&lt;&gt;"",N(Simulations!$CC36)&gt;0))),N(Simulations!$CF36)&lt;=0,N(Simulations!$CC36)&lt;=0,3&gt;N(Simulations!$O36)),0,IF(Simulations!$CF36&lt;Simulations!$J36,Simulations!$CC36/(Simulations!$G36*Simulations!$H36*IF(Simulations!$I36&gt;0,Simulations!$I36,1))*Simulations!$CF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F36/Simulations!$J36)^1.5+SQRT(LN(Simulations!$CF36/Simulations!$J36))+Simulations!$CF36/Simulations!$J36*SQRT(PI())/2*ERFC(SQRT(LN(Simulations!$CF36/Simulations!$J36)))),PI()*Simulations!$T36^2/2*(LN(Simulations!$CF36/Simulations!$J36)+1))))</f>
        <v>0</v>
      </c>
      <c r="W36" s="0" t="n">
        <f aca="false">IF(NOT(AND(Simulations!$A36&lt;&gt;"",OR(Simulations!$CA36&lt;&gt;"",N(Simulations!$CC36)&gt;0))),0,MAX(N(Simulations!$CD36),N(Simulations!$CE36),N(Simulations!$CF36))/Simulations!$J36)</f>
        <v>0</v>
      </c>
      <c r="X36" s="0" t="n">
        <f aca="false">IF(OR(NOT(AND(Simulations!$A36&lt;&gt;"",OR(Simulations!$CA36&lt;&gt;"",N(Simulations!$CC36)&gt;0))),N(Simulations!$CB36)&lt;=0),0,SQRT(2*Simulations!$CB36*1000000/(Simulations!$J36*1000))/Simulations!$T36)</f>
        <v>0</v>
      </c>
      <c r="Y36" s="0" t="n">
        <f aca="false">IF(AND(Simulations!$A36&lt;&gt;"",OR(Simulations!$CA36&lt;&gt;"",N(Simulations!$CC36)&gt;0)),1,0)</f>
        <v>0</v>
      </c>
      <c r="Z36" s="0" t="n">
        <f aca="false">IF(OR(NOT(AND(Simulations!$A36&lt;&gt;"",OR(Simulations!$CS36&lt;&gt;"",N(Simulations!$CU36)&gt;0))),N(Simulations!$CV36)&lt;=0,N(Simulations!$CU36)&lt;=0,1&gt;N(Simulations!$O36)),0,IF(Simulations!$CV36&lt;Simulations!$J36,Simulations!$CU36/(Simulations!$G36*Simulations!$H36*IF(Simulations!$I36&gt;0,Simulations!$I36,1))*Simulations!$CV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V36/Simulations!$J36)^1.5+SQRT(LN(Simulations!$CV36/Simulations!$J36))+Simulations!$CV36/Simulations!$J36*SQRT(PI())/2*ERFC(SQRT(LN(Simulations!$CV36/Simulations!$J36)))),PI()*Simulations!$T36^2/2*(LN(Simulations!$CV36/Simulations!$J36)+1))))</f>
        <v>0</v>
      </c>
      <c r="AA36" s="0" t="n">
        <f aca="false">IF(OR(NOT(AND(Simulations!$A36&lt;&gt;"",OR(Simulations!$CS36&lt;&gt;"",N(Simulations!$CU36)&gt;0))),N(Simulations!$CW36)&lt;=0,N(Simulations!$CU36)&lt;=0,2&gt;N(Simulations!$O36)),0,IF(Simulations!$CW36&lt;Simulations!$J36,Simulations!$CU36/(Simulations!$G36*Simulations!$H36*IF(Simulations!$I36&gt;0,Simulations!$I36,1))*Simulations!$CW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W36/Simulations!$J36)^1.5+SQRT(LN(Simulations!$CW36/Simulations!$J36))+Simulations!$CW36/Simulations!$J36*SQRT(PI())/2*ERFC(SQRT(LN(Simulations!$CW36/Simulations!$J36)))),PI()*Simulations!$T36^2/2*(LN(Simulations!$CW36/Simulations!$J36)+1))))</f>
        <v>0</v>
      </c>
      <c r="AB36" s="0" t="n">
        <f aca="false">IF(OR(NOT(AND(Simulations!$A36&lt;&gt;"",OR(Simulations!$CS36&lt;&gt;"",N(Simulations!$CU36)&gt;0))),N(Simulations!$CX36)&lt;=0,N(Simulations!$CU36)&lt;=0,3&gt;N(Simulations!$O36)),0,IF(Simulations!$CX36&lt;Simulations!$J36,Simulations!$CU36/(Simulations!$G36*Simulations!$H36*IF(Simulations!$I36&gt;0,Simulations!$I36,1))*Simulations!$CX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X36/Simulations!$J36)^1.5+SQRT(LN(Simulations!$CX36/Simulations!$J36))+Simulations!$CX36/Simulations!$J36*SQRT(PI())/2*ERFC(SQRT(LN(Simulations!$CX36/Simulations!$J36)))),PI()*Simulations!$T36^2/2*(LN(Simulations!$CX36/Simulations!$J36)+1))))</f>
        <v>0</v>
      </c>
      <c r="AC36" s="0" t="n">
        <f aca="false">IF(NOT(AND(Simulations!$A36&lt;&gt;"",OR(Simulations!$CS36&lt;&gt;"",N(Simulations!$CU36)&gt;0))),0,MAX(N(Simulations!$CV36),N(Simulations!$CW36),N(Simulations!$CX36))/Simulations!$J36)</f>
        <v>0</v>
      </c>
      <c r="AD36" s="0" t="n">
        <f aca="false">IF(OR(NOT(AND(Simulations!$A36&lt;&gt;"",OR(Simulations!$CS36&lt;&gt;"",N(Simulations!$CU36)&gt;0))),N(Simulations!$CT36)&lt;=0),0,SQRT(2*Simulations!$CT36*1000000/(Simulations!$J36*1000))/Simulations!$T36)</f>
        <v>0</v>
      </c>
      <c r="AE36" s="0" t="n">
        <f aca="false">IF(AND(Simulations!$A36&lt;&gt;"",OR(Simulations!$CS36&lt;&gt;"",N(Simulations!$CU36)&gt;0)),1,0)</f>
        <v>0</v>
      </c>
      <c r="AF36" s="0" t="n">
        <f aca="false">IF(OR(NOT(AND(Simulations!$A36&lt;&gt;"",OR(Simulations!$DK36&lt;&gt;"",N(Simulations!$DM36)&gt;0))),N(Simulations!$DN36)&lt;=0,N(Simulations!$DM36)&lt;=0,1&gt;N(Simulations!$O36)),0,IF(Simulations!$DN36&lt;Simulations!$J36,Simulations!$DM36/(Simulations!$G36*Simulations!$H36*IF(Simulations!$I36&gt;0,Simulations!$I36,1))*Simulations!$DN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N36/Simulations!$J36)^1.5+SQRT(LN(Simulations!$DN36/Simulations!$J36))+Simulations!$DN36/Simulations!$J36*SQRT(PI())/2*ERFC(SQRT(LN(Simulations!$DN36/Simulations!$J36)))),PI()*Simulations!$T36^2/2*(LN(Simulations!$DN36/Simulations!$J36)+1))))</f>
        <v>0</v>
      </c>
      <c r="AG36" s="0" t="n">
        <f aca="false">IF(OR(NOT(AND(Simulations!$A36&lt;&gt;"",OR(Simulations!$DK36&lt;&gt;"",N(Simulations!$DM36)&gt;0))),N(Simulations!$DO36)&lt;=0,N(Simulations!$DM36)&lt;=0,2&gt;N(Simulations!$O36)),0,IF(Simulations!$DO36&lt;Simulations!$J36,Simulations!$DM36/(Simulations!$G36*Simulations!$H36*IF(Simulations!$I36&gt;0,Simulations!$I36,1))*Simulations!$DO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O36/Simulations!$J36)^1.5+SQRT(LN(Simulations!$DO36/Simulations!$J36))+Simulations!$DO36/Simulations!$J36*SQRT(PI())/2*ERFC(SQRT(LN(Simulations!$DO36/Simulations!$J36)))),PI()*Simulations!$T36^2/2*(LN(Simulations!$DO36/Simulations!$J36)+1))))</f>
        <v>0</v>
      </c>
      <c r="AH36" s="0" t="n">
        <f aca="false">IF(OR(NOT(AND(Simulations!$A36&lt;&gt;"",OR(Simulations!$DK36&lt;&gt;"",N(Simulations!$DM36)&gt;0))),N(Simulations!$DP36)&lt;=0,N(Simulations!$DM36)&lt;=0,3&gt;N(Simulations!$O36)),0,IF(Simulations!$DP36&lt;Simulations!$J36,Simulations!$DM36/(Simulations!$G36*Simulations!$H36*IF(Simulations!$I36&gt;0,Simulations!$I36,1))*Simulations!$DP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P36/Simulations!$J36)^1.5+SQRT(LN(Simulations!$DP36/Simulations!$J36))+Simulations!$DP36/Simulations!$J36*SQRT(PI())/2*ERFC(SQRT(LN(Simulations!$DP36/Simulations!$J36)))),PI()*Simulations!$T36^2/2*(LN(Simulations!$DP36/Simulations!$J36)+1))))</f>
        <v>0</v>
      </c>
      <c r="AI36" s="0" t="n">
        <f aca="false">IF(NOT(AND(Simulations!$A36&lt;&gt;"",OR(Simulations!$DK36&lt;&gt;"",N(Simulations!$DM36)&gt;0))),0,MAX(N(Simulations!$DN36),N(Simulations!$DO36),N(Simulations!$DP36))/Simulations!$J36)</f>
        <v>0</v>
      </c>
      <c r="AJ36" s="0" t="n">
        <f aca="false">IF(OR(NOT(AND(Simulations!$A36&lt;&gt;"",OR(Simulations!$DK36&lt;&gt;"",N(Simulations!$DM36)&gt;0))),N(Simulations!$DL36)&lt;=0),0,SQRT(2*Simulations!$DL36*1000000/(Simulations!$J36*1000))/Simulations!$T36)</f>
        <v>0</v>
      </c>
      <c r="AK36" s="0" t="n">
        <f aca="false">IF(AND(Simulations!$A36&lt;&gt;"",OR(Simulations!$DK36&lt;&gt;"",N(Simulations!$DM36)&gt;0)),1,0)</f>
        <v>0</v>
      </c>
    </row>
    <row r="37" customFormat="false" ht="15" hidden="false" customHeight="false" outlineLevel="0" collapsed="false">
      <c r="B37" s="0" t="n">
        <f aca="false">IF(OR(NOT(AND(Simulations!$A37&lt;&gt;"",OR(Simulations!$Y37&lt;&gt;"",N(Simulations!$AA37)&gt;0))),N(Simulations!$AB37)&lt;=0,N(Simulations!$AA37)&lt;=0,1&gt;N(Simulations!$O37)),0,IF(Simulations!$AB37&lt;Simulations!$J37,Simulations!$AA37/(Simulations!$G37*Simulations!$H37*IF(Simulations!$I37&gt;0,Simulations!$I37,1))*Simulations!$AB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B37/Simulations!$J37)^1.5+SQRT(LN(Simulations!$AB37/Simulations!$J37))+Simulations!$AB37/Simulations!$J37*SQRT(PI())/2*ERFC(SQRT(LN(Simulations!$AB37/Simulations!$J37)))),PI()*Simulations!$T37^2/2*(LN(Simulations!$AB37/Simulations!$J37)+1))))</f>
        <v>0</v>
      </c>
      <c r="C37" s="0" t="n">
        <f aca="false">IF(OR(NOT(AND(Simulations!$A37&lt;&gt;"",OR(Simulations!$Y37&lt;&gt;"",N(Simulations!$AA37)&gt;0))),N(Simulations!$AC37)&lt;=0,N(Simulations!$AA37)&lt;=0,2&gt;N(Simulations!$O37)),0,IF(Simulations!$AC37&lt;Simulations!$J37,Simulations!$AA37/(Simulations!$G37*Simulations!$H37*IF(Simulations!$I37&gt;0,Simulations!$I37,1))*Simulations!$AC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C37/Simulations!$J37)^1.5+SQRT(LN(Simulations!$AC37/Simulations!$J37))+Simulations!$AC37/Simulations!$J37*SQRT(PI())/2*ERFC(SQRT(LN(Simulations!$AC37/Simulations!$J37)))),PI()*Simulations!$T37^2/2*(LN(Simulations!$AC37/Simulations!$J37)+1))))</f>
        <v>0</v>
      </c>
      <c r="D37" s="0" t="n">
        <f aca="false">IF(OR(NOT(AND(Simulations!$A37&lt;&gt;"",OR(Simulations!$Y37&lt;&gt;"",N(Simulations!$AA37)&gt;0))),N(Simulations!$AD37)&lt;=0,N(Simulations!$AA37)&lt;=0,3&gt;N(Simulations!$O37)),0,IF(Simulations!$AD37&lt;Simulations!$J37,Simulations!$AA37/(Simulations!$G37*Simulations!$H37*IF(Simulations!$I37&gt;0,Simulations!$I37,1))*Simulations!$AD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D37/Simulations!$J37)^1.5+SQRT(LN(Simulations!$AD37/Simulations!$J37))+Simulations!$AD37/Simulations!$J37*SQRT(PI())/2*ERFC(SQRT(LN(Simulations!$AD37/Simulations!$J37)))),PI()*Simulations!$T37^2/2*(LN(Simulations!$AD37/Simulations!$J37)+1))))</f>
        <v>0</v>
      </c>
      <c r="E37" s="0" t="n">
        <f aca="false">IF(NOT(AND(Simulations!$A37&lt;&gt;"",OR(Simulations!$Y37&lt;&gt;"",N(Simulations!$AA37)&gt;0))),0,MAX(N(Simulations!$AB37),N(Simulations!$AC37),N(Simulations!$AD37))/Simulations!$J37)</f>
        <v>0</v>
      </c>
      <c r="F37" s="0" t="n">
        <f aca="false">IF(OR(NOT(AND(Simulations!$A37&lt;&gt;"",OR(Simulations!$Y37&lt;&gt;"",N(Simulations!$AA37)&gt;0))),N(Simulations!$Z37)&lt;=0),0,SQRT(2*Simulations!$Z37*1000000/(Simulations!$J37*1000))/Simulations!$T37)</f>
        <v>0</v>
      </c>
      <c r="G37" s="0" t="n">
        <f aca="false">IF(AND(Simulations!$A37&lt;&gt;"",OR(Simulations!$Y37&lt;&gt;"",N(Simulations!$AA37)&gt;0)),1,0)</f>
        <v>0</v>
      </c>
      <c r="H37" s="0" t="n">
        <f aca="false">IF(OR(NOT(AND(Simulations!$A37&lt;&gt;"",OR(Simulations!$AQ37&lt;&gt;"",N(Simulations!$AS37)&gt;0))),N(Simulations!$AT37)&lt;=0,N(Simulations!$AS37)&lt;=0,1&gt;N(Simulations!$O37)),0,IF(Simulations!$AT37&lt;Simulations!$J37,Simulations!$AS37/(Simulations!$G37*Simulations!$H37*IF(Simulations!$I37&gt;0,Simulations!$I37,1))*Simulations!$AT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T37/Simulations!$J37)^1.5+SQRT(LN(Simulations!$AT37/Simulations!$J37))+Simulations!$AT37/Simulations!$J37*SQRT(PI())/2*ERFC(SQRT(LN(Simulations!$AT37/Simulations!$J37)))),PI()*Simulations!$T37^2/2*(LN(Simulations!$AT37/Simulations!$J37)+1))))</f>
        <v>0</v>
      </c>
      <c r="I37" s="0" t="n">
        <f aca="false">IF(OR(NOT(AND(Simulations!$A37&lt;&gt;"",OR(Simulations!$AQ37&lt;&gt;"",N(Simulations!$AS37)&gt;0))),N(Simulations!$AU37)&lt;=0,N(Simulations!$AS37)&lt;=0,2&gt;N(Simulations!$O37)),0,IF(Simulations!$AU37&lt;Simulations!$J37,Simulations!$AS37/(Simulations!$G37*Simulations!$H37*IF(Simulations!$I37&gt;0,Simulations!$I37,1))*Simulations!$AU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U37/Simulations!$J37)^1.5+SQRT(LN(Simulations!$AU37/Simulations!$J37))+Simulations!$AU37/Simulations!$J37*SQRT(PI())/2*ERFC(SQRT(LN(Simulations!$AU37/Simulations!$J37)))),PI()*Simulations!$T37^2/2*(LN(Simulations!$AU37/Simulations!$J37)+1))))</f>
        <v>0</v>
      </c>
      <c r="J37" s="0" t="n">
        <f aca="false">IF(OR(NOT(AND(Simulations!$A37&lt;&gt;"",OR(Simulations!$AQ37&lt;&gt;"",N(Simulations!$AS37)&gt;0))),N(Simulations!$AV37)&lt;=0,N(Simulations!$AS37)&lt;=0,3&gt;N(Simulations!$O37)),0,IF(Simulations!$AV37&lt;Simulations!$J37,Simulations!$AS37/(Simulations!$G37*Simulations!$H37*IF(Simulations!$I37&gt;0,Simulations!$I37,1))*Simulations!$AV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V37/Simulations!$J37)^1.5+SQRT(LN(Simulations!$AV37/Simulations!$J37))+Simulations!$AV37/Simulations!$J37*SQRT(PI())/2*ERFC(SQRT(LN(Simulations!$AV37/Simulations!$J37)))),PI()*Simulations!$T37^2/2*(LN(Simulations!$AV37/Simulations!$J37)+1))))</f>
        <v>0</v>
      </c>
      <c r="K37" s="0" t="n">
        <f aca="false">IF(NOT(AND(Simulations!$A37&lt;&gt;"",OR(Simulations!$AQ37&lt;&gt;"",N(Simulations!$AS37)&gt;0))),0,MAX(N(Simulations!$AT37),N(Simulations!$AU37),N(Simulations!$AV37))/Simulations!$J37)</f>
        <v>0</v>
      </c>
      <c r="L37" s="0" t="n">
        <f aca="false">IF(OR(NOT(AND(Simulations!$A37&lt;&gt;"",OR(Simulations!$AQ37&lt;&gt;"",N(Simulations!$AS37)&gt;0))),N(Simulations!$AR37)&lt;=0),0,SQRT(2*Simulations!$AR37*1000000/(Simulations!$J37*1000))/Simulations!$T37)</f>
        <v>0</v>
      </c>
      <c r="M37" s="0" t="n">
        <f aca="false">IF(AND(Simulations!$A37&lt;&gt;"",OR(Simulations!$AQ37&lt;&gt;"",N(Simulations!$AS37)&gt;0)),1,0)</f>
        <v>0</v>
      </c>
      <c r="N37" s="0" t="n">
        <f aca="false">IF(OR(NOT(AND(Simulations!$A37&lt;&gt;"",OR(Simulations!$BI37&lt;&gt;"",N(Simulations!$BK37)&gt;0))),N(Simulations!$BL37)&lt;=0,N(Simulations!$BK37)&lt;=0,1&gt;N(Simulations!$O37)),0,IF(Simulations!$BL37&lt;Simulations!$J37,Simulations!$BK37/(Simulations!$G37*Simulations!$H37*IF(Simulations!$I37&gt;0,Simulations!$I37,1))*Simulations!$BL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L37/Simulations!$J37)^1.5+SQRT(LN(Simulations!$BL37/Simulations!$J37))+Simulations!$BL37/Simulations!$J37*SQRT(PI())/2*ERFC(SQRT(LN(Simulations!$BL37/Simulations!$J37)))),PI()*Simulations!$T37^2/2*(LN(Simulations!$BL37/Simulations!$J37)+1))))</f>
        <v>0</v>
      </c>
      <c r="O37" s="0" t="n">
        <f aca="false">IF(OR(NOT(AND(Simulations!$A37&lt;&gt;"",OR(Simulations!$BI37&lt;&gt;"",N(Simulations!$BK37)&gt;0))),N(Simulations!$BM37)&lt;=0,N(Simulations!$BK37)&lt;=0,2&gt;N(Simulations!$O37)),0,IF(Simulations!$BM37&lt;Simulations!$J37,Simulations!$BK37/(Simulations!$G37*Simulations!$H37*IF(Simulations!$I37&gt;0,Simulations!$I37,1))*Simulations!$BM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M37/Simulations!$J37)^1.5+SQRT(LN(Simulations!$BM37/Simulations!$J37))+Simulations!$BM37/Simulations!$J37*SQRT(PI())/2*ERFC(SQRT(LN(Simulations!$BM37/Simulations!$J37)))),PI()*Simulations!$T37^2/2*(LN(Simulations!$BM37/Simulations!$J37)+1))))</f>
        <v>0</v>
      </c>
      <c r="P37" s="0" t="n">
        <f aca="false">IF(OR(NOT(AND(Simulations!$A37&lt;&gt;"",OR(Simulations!$BI37&lt;&gt;"",N(Simulations!$BK37)&gt;0))),N(Simulations!$BN37)&lt;=0,N(Simulations!$BK37)&lt;=0,3&gt;N(Simulations!$O37)),0,IF(Simulations!$BN37&lt;Simulations!$J37,Simulations!$BK37/(Simulations!$G37*Simulations!$H37*IF(Simulations!$I37&gt;0,Simulations!$I37,1))*Simulations!$BN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N37/Simulations!$J37)^1.5+SQRT(LN(Simulations!$BN37/Simulations!$J37))+Simulations!$BN37/Simulations!$J37*SQRT(PI())/2*ERFC(SQRT(LN(Simulations!$BN37/Simulations!$J37)))),PI()*Simulations!$T37^2/2*(LN(Simulations!$BN37/Simulations!$J37)+1))))</f>
        <v>0</v>
      </c>
      <c r="Q37" s="0" t="n">
        <f aca="false">IF(NOT(AND(Simulations!$A37&lt;&gt;"",OR(Simulations!$BI37&lt;&gt;"",N(Simulations!$BK37)&gt;0))),0,MAX(N(Simulations!$BL37),N(Simulations!$BM37),N(Simulations!$BN37))/Simulations!$J37)</f>
        <v>0</v>
      </c>
      <c r="R37" s="0" t="n">
        <f aca="false">IF(OR(NOT(AND(Simulations!$A37&lt;&gt;"",OR(Simulations!$BI37&lt;&gt;"",N(Simulations!$BK37)&gt;0))),N(Simulations!$BJ37)&lt;=0),0,SQRT(2*Simulations!$BJ37*1000000/(Simulations!$J37*1000))/Simulations!$T37)</f>
        <v>0</v>
      </c>
      <c r="S37" s="0" t="n">
        <f aca="false">IF(AND(Simulations!$A37&lt;&gt;"",OR(Simulations!$BI37&lt;&gt;"",N(Simulations!$BK37)&gt;0)),1,0)</f>
        <v>0</v>
      </c>
      <c r="T37" s="0" t="n">
        <f aca="false">IF(OR(NOT(AND(Simulations!$A37&lt;&gt;"",OR(Simulations!$CA37&lt;&gt;"",N(Simulations!$CC37)&gt;0))),N(Simulations!$CD37)&lt;=0,N(Simulations!$CC37)&lt;=0,1&gt;N(Simulations!$O37)),0,IF(Simulations!$CD37&lt;Simulations!$J37,Simulations!$CC37/(Simulations!$G37*Simulations!$H37*IF(Simulations!$I37&gt;0,Simulations!$I37,1))*Simulations!$CD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D37/Simulations!$J37)^1.5+SQRT(LN(Simulations!$CD37/Simulations!$J37))+Simulations!$CD37/Simulations!$J37*SQRT(PI())/2*ERFC(SQRT(LN(Simulations!$CD37/Simulations!$J37)))),PI()*Simulations!$T37^2/2*(LN(Simulations!$CD37/Simulations!$J37)+1))))</f>
        <v>0</v>
      </c>
      <c r="U37" s="0" t="n">
        <f aca="false">IF(OR(NOT(AND(Simulations!$A37&lt;&gt;"",OR(Simulations!$CA37&lt;&gt;"",N(Simulations!$CC37)&gt;0))),N(Simulations!$CE37)&lt;=0,N(Simulations!$CC37)&lt;=0,2&gt;N(Simulations!$O37)),0,IF(Simulations!$CE37&lt;Simulations!$J37,Simulations!$CC37/(Simulations!$G37*Simulations!$H37*IF(Simulations!$I37&gt;0,Simulations!$I37,1))*Simulations!$CE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E37/Simulations!$J37)^1.5+SQRT(LN(Simulations!$CE37/Simulations!$J37))+Simulations!$CE37/Simulations!$J37*SQRT(PI())/2*ERFC(SQRT(LN(Simulations!$CE37/Simulations!$J37)))),PI()*Simulations!$T37^2/2*(LN(Simulations!$CE37/Simulations!$J37)+1))))</f>
        <v>0</v>
      </c>
      <c r="V37" s="0" t="n">
        <f aca="false">IF(OR(NOT(AND(Simulations!$A37&lt;&gt;"",OR(Simulations!$CA37&lt;&gt;"",N(Simulations!$CC37)&gt;0))),N(Simulations!$CF37)&lt;=0,N(Simulations!$CC37)&lt;=0,3&gt;N(Simulations!$O37)),0,IF(Simulations!$CF37&lt;Simulations!$J37,Simulations!$CC37/(Simulations!$G37*Simulations!$H37*IF(Simulations!$I37&gt;0,Simulations!$I37,1))*Simulations!$CF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F37/Simulations!$J37)^1.5+SQRT(LN(Simulations!$CF37/Simulations!$J37))+Simulations!$CF37/Simulations!$J37*SQRT(PI())/2*ERFC(SQRT(LN(Simulations!$CF37/Simulations!$J37)))),PI()*Simulations!$T37^2/2*(LN(Simulations!$CF37/Simulations!$J37)+1))))</f>
        <v>0</v>
      </c>
      <c r="W37" s="0" t="n">
        <f aca="false">IF(NOT(AND(Simulations!$A37&lt;&gt;"",OR(Simulations!$CA37&lt;&gt;"",N(Simulations!$CC37)&gt;0))),0,MAX(N(Simulations!$CD37),N(Simulations!$CE37),N(Simulations!$CF37))/Simulations!$J37)</f>
        <v>0</v>
      </c>
      <c r="X37" s="0" t="n">
        <f aca="false">IF(OR(NOT(AND(Simulations!$A37&lt;&gt;"",OR(Simulations!$CA37&lt;&gt;"",N(Simulations!$CC37)&gt;0))),N(Simulations!$CB37)&lt;=0),0,SQRT(2*Simulations!$CB37*1000000/(Simulations!$J37*1000))/Simulations!$T37)</f>
        <v>0</v>
      </c>
      <c r="Y37" s="0" t="n">
        <f aca="false">IF(AND(Simulations!$A37&lt;&gt;"",OR(Simulations!$CA37&lt;&gt;"",N(Simulations!$CC37)&gt;0)),1,0)</f>
        <v>0</v>
      </c>
      <c r="Z37" s="0" t="n">
        <f aca="false">IF(OR(NOT(AND(Simulations!$A37&lt;&gt;"",OR(Simulations!$CS37&lt;&gt;"",N(Simulations!$CU37)&gt;0))),N(Simulations!$CV37)&lt;=0,N(Simulations!$CU37)&lt;=0,1&gt;N(Simulations!$O37)),0,IF(Simulations!$CV37&lt;Simulations!$J37,Simulations!$CU37/(Simulations!$G37*Simulations!$H37*IF(Simulations!$I37&gt;0,Simulations!$I37,1))*Simulations!$CV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V37/Simulations!$J37)^1.5+SQRT(LN(Simulations!$CV37/Simulations!$J37))+Simulations!$CV37/Simulations!$J37*SQRT(PI())/2*ERFC(SQRT(LN(Simulations!$CV37/Simulations!$J37)))),PI()*Simulations!$T37^2/2*(LN(Simulations!$CV37/Simulations!$J37)+1))))</f>
        <v>0</v>
      </c>
      <c r="AA37" s="0" t="n">
        <f aca="false">IF(OR(NOT(AND(Simulations!$A37&lt;&gt;"",OR(Simulations!$CS37&lt;&gt;"",N(Simulations!$CU37)&gt;0))),N(Simulations!$CW37)&lt;=0,N(Simulations!$CU37)&lt;=0,2&gt;N(Simulations!$O37)),0,IF(Simulations!$CW37&lt;Simulations!$J37,Simulations!$CU37/(Simulations!$G37*Simulations!$H37*IF(Simulations!$I37&gt;0,Simulations!$I37,1))*Simulations!$CW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W37/Simulations!$J37)^1.5+SQRT(LN(Simulations!$CW37/Simulations!$J37))+Simulations!$CW37/Simulations!$J37*SQRT(PI())/2*ERFC(SQRT(LN(Simulations!$CW37/Simulations!$J37)))),PI()*Simulations!$T37^2/2*(LN(Simulations!$CW37/Simulations!$J37)+1))))</f>
        <v>0</v>
      </c>
      <c r="AB37" s="0" t="n">
        <f aca="false">IF(OR(NOT(AND(Simulations!$A37&lt;&gt;"",OR(Simulations!$CS37&lt;&gt;"",N(Simulations!$CU37)&gt;0))),N(Simulations!$CX37)&lt;=0,N(Simulations!$CU37)&lt;=0,3&gt;N(Simulations!$O37)),0,IF(Simulations!$CX37&lt;Simulations!$J37,Simulations!$CU37/(Simulations!$G37*Simulations!$H37*IF(Simulations!$I37&gt;0,Simulations!$I37,1))*Simulations!$CX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X37/Simulations!$J37)^1.5+SQRT(LN(Simulations!$CX37/Simulations!$J37))+Simulations!$CX37/Simulations!$J37*SQRT(PI())/2*ERFC(SQRT(LN(Simulations!$CX37/Simulations!$J37)))),PI()*Simulations!$T37^2/2*(LN(Simulations!$CX37/Simulations!$J37)+1))))</f>
        <v>0</v>
      </c>
      <c r="AC37" s="0" t="n">
        <f aca="false">IF(NOT(AND(Simulations!$A37&lt;&gt;"",OR(Simulations!$CS37&lt;&gt;"",N(Simulations!$CU37)&gt;0))),0,MAX(N(Simulations!$CV37),N(Simulations!$CW37),N(Simulations!$CX37))/Simulations!$J37)</f>
        <v>0</v>
      </c>
      <c r="AD37" s="0" t="n">
        <f aca="false">IF(OR(NOT(AND(Simulations!$A37&lt;&gt;"",OR(Simulations!$CS37&lt;&gt;"",N(Simulations!$CU37)&gt;0))),N(Simulations!$CT37)&lt;=0),0,SQRT(2*Simulations!$CT37*1000000/(Simulations!$J37*1000))/Simulations!$T37)</f>
        <v>0</v>
      </c>
      <c r="AE37" s="0" t="n">
        <f aca="false">IF(AND(Simulations!$A37&lt;&gt;"",OR(Simulations!$CS37&lt;&gt;"",N(Simulations!$CU37)&gt;0)),1,0)</f>
        <v>0</v>
      </c>
      <c r="AF37" s="0" t="n">
        <f aca="false">IF(OR(NOT(AND(Simulations!$A37&lt;&gt;"",OR(Simulations!$DK37&lt;&gt;"",N(Simulations!$DM37)&gt;0))),N(Simulations!$DN37)&lt;=0,N(Simulations!$DM37)&lt;=0,1&gt;N(Simulations!$O37)),0,IF(Simulations!$DN37&lt;Simulations!$J37,Simulations!$DM37/(Simulations!$G37*Simulations!$H37*IF(Simulations!$I37&gt;0,Simulations!$I37,1))*Simulations!$DN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N37/Simulations!$J37)^1.5+SQRT(LN(Simulations!$DN37/Simulations!$J37))+Simulations!$DN37/Simulations!$J37*SQRT(PI())/2*ERFC(SQRT(LN(Simulations!$DN37/Simulations!$J37)))),PI()*Simulations!$T37^2/2*(LN(Simulations!$DN37/Simulations!$J37)+1))))</f>
        <v>0</v>
      </c>
      <c r="AG37" s="0" t="n">
        <f aca="false">IF(OR(NOT(AND(Simulations!$A37&lt;&gt;"",OR(Simulations!$DK37&lt;&gt;"",N(Simulations!$DM37)&gt;0))),N(Simulations!$DO37)&lt;=0,N(Simulations!$DM37)&lt;=0,2&gt;N(Simulations!$O37)),0,IF(Simulations!$DO37&lt;Simulations!$J37,Simulations!$DM37/(Simulations!$G37*Simulations!$H37*IF(Simulations!$I37&gt;0,Simulations!$I37,1))*Simulations!$DO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O37/Simulations!$J37)^1.5+SQRT(LN(Simulations!$DO37/Simulations!$J37))+Simulations!$DO37/Simulations!$J37*SQRT(PI())/2*ERFC(SQRT(LN(Simulations!$DO37/Simulations!$J37)))),PI()*Simulations!$T37^2/2*(LN(Simulations!$DO37/Simulations!$J37)+1))))</f>
        <v>0</v>
      </c>
      <c r="AH37" s="0" t="n">
        <f aca="false">IF(OR(NOT(AND(Simulations!$A37&lt;&gt;"",OR(Simulations!$DK37&lt;&gt;"",N(Simulations!$DM37)&gt;0))),N(Simulations!$DP37)&lt;=0,N(Simulations!$DM37)&lt;=0,3&gt;N(Simulations!$O37)),0,IF(Simulations!$DP37&lt;Simulations!$J37,Simulations!$DM37/(Simulations!$G37*Simulations!$H37*IF(Simulations!$I37&gt;0,Simulations!$I37,1))*Simulations!$DP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P37/Simulations!$J37)^1.5+SQRT(LN(Simulations!$DP37/Simulations!$J37))+Simulations!$DP37/Simulations!$J37*SQRT(PI())/2*ERFC(SQRT(LN(Simulations!$DP37/Simulations!$J37)))),PI()*Simulations!$T37^2/2*(LN(Simulations!$DP37/Simulations!$J37)+1))))</f>
        <v>0</v>
      </c>
      <c r="AI37" s="0" t="n">
        <f aca="false">IF(NOT(AND(Simulations!$A37&lt;&gt;"",OR(Simulations!$DK37&lt;&gt;"",N(Simulations!$DM37)&gt;0))),0,MAX(N(Simulations!$DN37),N(Simulations!$DO37),N(Simulations!$DP37))/Simulations!$J37)</f>
        <v>0</v>
      </c>
      <c r="AJ37" s="0" t="n">
        <f aca="false">IF(OR(NOT(AND(Simulations!$A37&lt;&gt;"",OR(Simulations!$DK37&lt;&gt;"",N(Simulations!$DM37)&gt;0))),N(Simulations!$DL37)&lt;=0),0,SQRT(2*Simulations!$DL37*1000000/(Simulations!$J37*1000))/Simulations!$T37)</f>
        <v>0</v>
      </c>
      <c r="AK37" s="0" t="n">
        <f aca="false">IF(AND(Simulations!$A37&lt;&gt;"",OR(Simulations!$DK37&lt;&gt;"",N(Simulations!$DM37)&gt;0)),1,0)</f>
        <v>0</v>
      </c>
    </row>
    <row r="38" customFormat="false" ht="15" hidden="false" customHeight="false" outlineLevel="0" collapsed="false">
      <c r="B38" s="0" t="n">
        <f aca="false">IF(OR(NOT(AND(Simulations!$A38&lt;&gt;"",OR(Simulations!$Y38&lt;&gt;"",N(Simulations!$AA38)&gt;0))),N(Simulations!$AB38)&lt;=0,N(Simulations!$AA38)&lt;=0,1&gt;N(Simulations!$O38)),0,IF(Simulations!$AB38&lt;Simulations!$J38,Simulations!$AA38/(Simulations!$G38*Simulations!$H38*IF(Simulations!$I38&gt;0,Simulations!$I38,1))*Simulations!$AB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B38/Simulations!$J38)^1.5+SQRT(LN(Simulations!$AB38/Simulations!$J38))+Simulations!$AB38/Simulations!$J38*SQRT(PI())/2*ERFC(SQRT(LN(Simulations!$AB38/Simulations!$J38)))),PI()*Simulations!$T38^2/2*(LN(Simulations!$AB38/Simulations!$J38)+1))))</f>
        <v>0</v>
      </c>
      <c r="C38" s="0" t="n">
        <f aca="false">IF(OR(NOT(AND(Simulations!$A38&lt;&gt;"",OR(Simulations!$Y38&lt;&gt;"",N(Simulations!$AA38)&gt;0))),N(Simulations!$AC38)&lt;=0,N(Simulations!$AA38)&lt;=0,2&gt;N(Simulations!$O38)),0,IF(Simulations!$AC38&lt;Simulations!$J38,Simulations!$AA38/(Simulations!$G38*Simulations!$H38*IF(Simulations!$I38&gt;0,Simulations!$I38,1))*Simulations!$AC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C38/Simulations!$J38)^1.5+SQRT(LN(Simulations!$AC38/Simulations!$J38))+Simulations!$AC38/Simulations!$J38*SQRT(PI())/2*ERFC(SQRT(LN(Simulations!$AC38/Simulations!$J38)))),PI()*Simulations!$T38^2/2*(LN(Simulations!$AC38/Simulations!$J38)+1))))</f>
        <v>0</v>
      </c>
      <c r="D38" s="0" t="n">
        <f aca="false">IF(OR(NOT(AND(Simulations!$A38&lt;&gt;"",OR(Simulations!$Y38&lt;&gt;"",N(Simulations!$AA38)&gt;0))),N(Simulations!$AD38)&lt;=0,N(Simulations!$AA38)&lt;=0,3&gt;N(Simulations!$O38)),0,IF(Simulations!$AD38&lt;Simulations!$J38,Simulations!$AA38/(Simulations!$G38*Simulations!$H38*IF(Simulations!$I38&gt;0,Simulations!$I38,1))*Simulations!$AD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D38/Simulations!$J38)^1.5+SQRT(LN(Simulations!$AD38/Simulations!$J38))+Simulations!$AD38/Simulations!$J38*SQRT(PI())/2*ERFC(SQRT(LN(Simulations!$AD38/Simulations!$J38)))),PI()*Simulations!$T38^2/2*(LN(Simulations!$AD38/Simulations!$J38)+1))))</f>
        <v>0</v>
      </c>
      <c r="E38" s="0" t="n">
        <f aca="false">IF(NOT(AND(Simulations!$A38&lt;&gt;"",OR(Simulations!$Y38&lt;&gt;"",N(Simulations!$AA38)&gt;0))),0,MAX(N(Simulations!$AB38),N(Simulations!$AC38),N(Simulations!$AD38))/Simulations!$J38)</f>
        <v>0</v>
      </c>
      <c r="F38" s="0" t="n">
        <f aca="false">IF(OR(NOT(AND(Simulations!$A38&lt;&gt;"",OR(Simulations!$Y38&lt;&gt;"",N(Simulations!$AA38)&gt;0))),N(Simulations!$Z38)&lt;=0),0,SQRT(2*Simulations!$Z38*1000000/(Simulations!$J38*1000))/Simulations!$T38)</f>
        <v>0</v>
      </c>
      <c r="G38" s="0" t="n">
        <f aca="false">IF(AND(Simulations!$A38&lt;&gt;"",OR(Simulations!$Y38&lt;&gt;"",N(Simulations!$AA38)&gt;0)),1,0)</f>
        <v>0</v>
      </c>
      <c r="H38" s="0" t="n">
        <f aca="false">IF(OR(NOT(AND(Simulations!$A38&lt;&gt;"",OR(Simulations!$AQ38&lt;&gt;"",N(Simulations!$AS38)&gt;0))),N(Simulations!$AT38)&lt;=0,N(Simulations!$AS38)&lt;=0,1&gt;N(Simulations!$O38)),0,IF(Simulations!$AT38&lt;Simulations!$J38,Simulations!$AS38/(Simulations!$G38*Simulations!$H38*IF(Simulations!$I38&gt;0,Simulations!$I38,1))*Simulations!$AT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T38/Simulations!$J38)^1.5+SQRT(LN(Simulations!$AT38/Simulations!$J38))+Simulations!$AT38/Simulations!$J38*SQRT(PI())/2*ERFC(SQRT(LN(Simulations!$AT38/Simulations!$J38)))),PI()*Simulations!$T38^2/2*(LN(Simulations!$AT38/Simulations!$J38)+1))))</f>
        <v>0</v>
      </c>
      <c r="I38" s="0" t="n">
        <f aca="false">IF(OR(NOT(AND(Simulations!$A38&lt;&gt;"",OR(Simulations!$AQ38&lt;&gt;"",N(Simulations!$AS38)&gt;0))),N(Simulations!$AU38)&lt;=0,N(Simulations!$AS38)&lt;=0,2&gt;N(Simulations!$O38)),0,IF(Simulations!$AU38&lt;Simulations!$J38,Simulations!$AS38/(Simulations!$G38*Simulations!$H38*IF(Simulations!$I38&gt;0,Simulations!$I38,1))*Simulations!$AU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U38/Simulations!$J38)^1.5+SQRT(LN(Simulations!$AU38/Simulations!$J38))+Simulations!$AU38/Simulations!$J38*SQRT(PI())/2*ERFC(SQRT(LN(Simulations!$AU38/Simulations!$J38)))),PI()*Simulations!$T38^2/2*(LN(Simulations!$AU38/Simulations!$J38)+1))))</f>
        <v>0</v>
      </c>
      <c r="J38" s="0" t="n">
        <f aca="false">IF(OR(NOT(AND(Simulations!$A38&lt;&gt;"",OR(Simulations!$AQ38&lt;&gt;"",N(Simulations!$AS38)&gt;0))),N(Simulations!$AV38)&lt;=0,N(Simulations!$AS38)&lt;=0,3&gt;N(Simulations!$O38)),0,IF(Simulations!$AV38&lt;Simulations!$J38,Simulations!$AS38/(Simulations!$G38*Simulations!$H38*IF(Simulations!$I38&gt;0,Simulations!$I38,1))*Simulations!$AV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V38/Simulations!$J38)^1.5+SQRT(LN(Simulations!$AV38/Simulations!$J38))+Simulations!$AV38/Simulations!$J38*SQRT(PI())/2*ERFC(SQRT(LN(Simulations!$AV38/Simulations!$J38)))),PI()*Simulations!$T38^2/2*(LN(Simulations!$AV38/Simulations!$J38)+1))))</f>
        <v>0</v>
      </c>
      <c r="K38" s="0" t="n">
        <f aca="false">IF(NOT(AND(Simulations!$A38&lt;&gt;"",OR(Simulations!$AQ38&lt;&gt;"",N(Simulations!$AS38)&gt;0))),0,MAX(N(Simulations!$AT38),N(Simulations!$AU38),N(Simulations!$AV38))/Simulations!$J38)</f>
        <v>0</v>
      </c>
      <c r="L38" s="0" t="n">
        <f aca="false">IF(OR(NOT(AND(Simulations!$A38&lt;&gt;"",OR(Simulations!$AQ38&lt;&gt;"",N(Simulations!$AS38)&gt;0))),N(Simulations!$AR38)&lt;=0),0,SQRT(2*Simulations!$AR38*1000000/(Simulations!$J38*1000))/Simulations!$T38)</f>
        <v>0</v>
      </c>
      <c r="M38" s="0" t="n">
        <f aca="false">IF(AND(Simulations!$A38&lt;&gt;"",OR(Simulations!$AQ38&lt;&gt;"",N(Simulations!$AS38)&gt;0)),1,0)</f>
        <v>0</v>
      </c>
      <c r="N38" s="0" t="n">
        <f aca="false">IF(OR(NOT(AND(Simulations!$A38&lt;&gt;"",OR(Simulations!$BI38&lt;&gt;"",N(Simulations!$BK38)&gt;0))),N(Simulations!$BL38)&lt;=0,N(Simulations!$BK38)&lt;=0,1&gt;N(Simulations!$O38)),0,IF(Simulations!$BL38&lt;Simulations!$J38,Simulations!$BK38/(Simulations!$G38*Simulations!$H38*IF(Simulations!$I38&gt;0,Simulations!$I38,1))*Simulations!$BL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L38/Simulations!$J38)^1.5+SQRT(LN(Simulations!$BL38/Simulations!$J38))+Simulations!$BL38/Simulations!$J38*SQRT(PI())/2*ERFC(SQRT(LN(Simulations!$BL38/Simulations!$J38)))),PI()*Simulations!$T38^2/2*(LN(Simulations!$BL38/Simulations!$J38)+1))))</f>
        <v>0</v>
      </c>
      <c r="O38" s="0" t="n">
        <f aca="false">IF(OR(NOT(AND(Simulations!$A38&lt;&gt;"",OR(Simulations!$BI38&lt;&gt;"",N(Simulations!$BK38)&gt;0))),N(Simulations!$BM38)&lt;=0,N(Simulations!$BK38)&lt;=0,2&gt;N(Simulations!$O38)),0,IF(Simulations!$BM38&lt;Simulations!$J38,Simulations!$BK38/(Simulations!$G38*Simulations!$H38*IF(Simulations!$I38&gt;0,Simulations!$I38,1))*Simulations!$BM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M38/Simulations!$J38)^1.5+SQRT(LN(Simulations!$BM38/Simulations!$J38))+Simulations!$BM38/Simulations!$J38*SQRT(PI())/2*ERFC(SQRT(LN(Simulations!$BM38/Simulations!$J38)))),PI()*Simulations!$T38^2/2*(LN(Simulations!$BM38/Simulations!$J38)+1))))</f>
        <v>0</v>
      </c>
      <c r="P38" s="0" t="n">
        <f aca="false">IF(OR(NOT(AND(Simulations!$A38&lt;&gt;"",OR(Simulations!$BI38&lt;&gt;"",N(Simulations!$BK38)&gt;0))),N(Simulations!$BN38)&lt;=0,N(Simulations!$BK38)&lt;=0,3&gt;N(Simulations!$O38)),0,IF(Simulations!$BN38&lt;Simulations!$J38,Simulations!$BK38/(Simulations!$G38*Simulations!$H38*IF(Simulations!$I38&gt;0,Simulations!$I38,1))*Simulations!$BN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N38/Simulations!$J38)^1.5+SQRT(LN(Simulations!$BN38/Simulations!$J38))+Simulations!$BN38/Simulations!$J38*SQRT(PI())/2*ERFC(SQRT(LN(Simulations!$BN38/Simulations!$J38)))),PI()*Simulations!$T38^2/2*(LN(Simulations!$BN38/Simulations!$J38)+1))))</f>
        <v>0</v>
      </c>
      <c r="Q38" s="0" t="n">
        <f aca="false">IF(NOT(AND(Simulations!$A38&lt;&gt;"",OR(Simulations!$BI38&lt;&gt;"",N(Simulations!$BK38)&gt;0))),0,MAX(N(Simulations!$BL38),N(Simulations!$BM38),N(Simulations!$BN38))/Simulations!$J38)</f>
        <v>0</v>
      </c>
      <c r="R38" s="0" t="n">
        <f aca="false">IF(OR(NOT(AND(Simulations!$A38&lt;&gt;"",OR(Simulations!$BI38&lt;&gt;"",N(Simulations!$BK38)&gt;0))),N(Simulations!$BJ38)&lt;=0),0,SQRT(2*Simulations!$BJ38*1000000/(Simulations!$J38*1000))/Simulations!$T38)</f>
        <v>0</v>
      </c>
      <c r="S38" s="0" t="n">
        <f aca="false">IF(AND(Simulations!$A38&lt;&gt;"",OR(Simulations!$BI38&lt;&gt;"",N(Simulations!$BK38)&gt;0)),1,0)</f>
        <v>0</v>
      </c>
      <c r="T38" s="0" t="n">
        <f aca="false">IF(OR(NOT(AND(Simulations!$A38&lt;&gt;"",OR(Simulations!$CA38&lt;&gt;"",N(Simulations!$CC38)&gt;0))),N(Simulations!$CD38)&lt;=0,N(Simulations!$CC38)&lt;=0,1&gt;N(Simulations!$O38)),0,IF(Simulations!$CD38&lt;Simulations!$J38,Simulations!$CC38/(Simulations!$G38*Simulations!$H38*IF(Simulations!$I38&gt;0,Simulations!$I38,1))*Simulations!$CD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D38/Simulations!$J38)^1.5+SQRT(LN(Simulations!$CD38/Simulations!$J38))+Simulations!$CD38/Simulations!$J38*SQRT(PI())/2*ERFC(SQRT(LN(Simulations!$CD38/Simulations!$J38)))),PI()*Simulations!$T38^2/2*(LN(Simulations!$CD38/Simulations!$J38)+1))))</f>
        <v>0</v>
      </c>
      <c r="U38" s="0" t="n">
        <f aca="false">IF(OR(NOT(AND(Simulations!$A38&lt;&gt;"",OR(Simulations!$CA38&lt;&gt;"",N(Simulations!$CC38)&gt;0))),N(Simulations!$CE38)&lt;=0,N(Simulations!$CC38)&lt;=0,2&gt;N(Simulations!$O38)),0,IF(Simulations!$CE38&lt;Simulations!$J38,Simulations!$CC38/(Simulations!$G38*Simulations!$H38*IF(Simulations!$I38&gt;0,Simulations!$I38,1))*Simulations!$CE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E38/Simulations!$J38)^1.5+SQRT(LN(Simulations!$CE38/Simulations!$J38))+Simulations!$CE38/Simulations!$J38*SQRT(PI())/2*ERFC(SQRT(LN(Simulations!$CE38/Simulations!$J38)))),PI()*Simulations!$T38^2/2*(LN(Simulations!$CE38/Simulations!$J38)+1))))</f>
        <v>0</v>
      </c>
      <c r="V38" s="0" t="n">
        <f aca="false">IF(OR(NOT(AND(Simulations!$A38&lt;&gt;"",OR(Simulations!$CA38&lt;&gt;"",N(Simulations!$CC38)&gt;0))),N(Simulations!$CF38)&lt;=0,N(Simulations!$CC38)&lt;=0,3&gt;N(Simulations!$O38)),0,IF(Simulations!$CF38&lt;Simulations!$J38,Simulations!$CC38/(Simulations!$G38*Simulations!$H38*IF(Simulations!$I38&gt;0,Simulations!$I38,1))*Simulations!$CF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F38/Simulations!$J38)^1.5+SQRT(LN(Simulations!$CF38/Simulations!$J38))+Simulations!$CF38/Simulations!$J38*SQRT(PI())/2*ERFC(SQRT(LN(Simulations!$CF38/Simulations!$J38)))),PI()*Simulations!$T38^2/2*(LN(Simulations!$CF38/Simulations!$J38)+1))))</f>
        <v>0</v>
      </c>
      <c r="W38" s="0" t="n">
        <f aca="false">IF(NOT(AND(Simulations!$A38&lt;&gt;"",OR(Simulations!$CA38&lt;&gt;"",N(Simulations!$CC38)&gt;0))),0,MAX(N(Simulations!$CD38),N(Simulations!$CE38),N(Simulations!$CF38))/Simulations!$J38)</f>
        <v>0</v>
      </c>
      <c r="X38" s="0" t="n">
        <f aca="false">IF(OR(NOT(AND(Simulations!$A38&lt;&gt;"",OR(Simulations!$CA38&lt;&gt;"",N(Simulations!$CC38)&gt;0))),N(Simulations!$CB38)&lt;=0),0,SQRT(2*Simulations!$CB38*1000000/(Simulations!$J38*1000))/Simulations!$T38)</f>
        <v>0</v>
      </c>
      <c r="Y38" s="0" t="n">
        <f aca="false">IF(AND(Simulations!$A38&lt;&gt;"",OR(Simulations!$CA38&lt;&gt;"",N(Simulations!$CC38)&gt;0)),1,0)</f>
        <v>0</v>
      </c>
      <c r="Z38" s="0" t="n">
        <f aca="false">IF(OR(NOT(AND(Simulations!$A38&lt;&gt;"",OR(Simulations!$CS38&lt;&gt;"",N(Simulations!$CU38)&gt;0))),N(Simulations!$CV38)&lt;=0,N(Simulations!$CU38)&lt;=0,1&gt;N(Simulations!$O38)),0,IF(Simulations!$CV38&lt;Simulations!$J38,Simulations!$CU38/(Simulations!$G38*Simulations!$H38*IF(Simulations!$I38&gt;0,Simulations!$I38,1))*Simulations!$CV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V38/Simulations!$J38)^1.5+SQRT(LN(Simulations!$CV38/Simulations!$J38))+Simulations!$CV38/Simulations!$J38*SQRT(PI())/2*ERFC(SQRT(LN(Simulations!$CV38/Simulations!$J38)))),PI()*Simulations!$T38^2/2*(LN(Simulations!$CV38/Simulations!$J38)+1))))</f>
        <v>0</v>
      </c>
      <c r="AA38" s="0" t="n">
        <f aca="false">IF(OR(NOT(AND(Simulations!$A38&lt;&gt;"",OR(Simulations!$CS38&lt;&gt;"",N(Simulations!$CU38)&gt;0))),N(Simulations!$CW38)&lt;=0,N(Simulations!$CU38)&lt;=0,2&gt;N(Simulations!$O38)),0,IF(Simulations!$CW38&lt;Simulations!$J38,Simulations!$CU38/(Simulations!$G38*Simulations!$H38*IF(Simulations!$I38&gt;0,Simulations!$I38,1))*Simulations!$CW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W38/Simulations!$J38)^1.5+SQRT(LN(Simulations!$CW38/Simulations!$J38))+Simulations!$CW38/Simulations!$J38*SQRT(PI())/2*ERFC(SQRT(LN(Simulations!$CW38/Simulations!$J38)))),PI()*Simulations!$T38^2/2*(LN(Simulations!$CW38/Simulations!$J38)+1))))</f>
        <v>0</v>
      </c>
      <c r="AB38" s="0" t="n">
        <f aca="false">IF(OR(NOT(AND(Simulations!$A38&lt;&gt;"",OR(Simulations!$CS38&lt;&gt;"",N(Simulations!$CU38)&gt;0))),N(Simulations!$CX38)&lt;=0,N(Simulations!$CU38)&lt;=0,3&gt;N(Simulations!$O38)),0,IF(Simulations!$CX38&lt;Simulations!$J38,Simulations!$CU38/(Simulations!$G38*Simulations!$H38*IF(Simulations!$I38&gt;0,Simulations!$I38,1))*Simulations!$CX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X38/Simulations!$J38)^1.5+SQRT(LN(Simulations!$CX38/Simulations!$J38))+Simulations!$CX38/Simulations!$J38*SQRT(PI())/2*ERFC(SQRT(LN(Simulations!$CX38/Simulations!$J38)))),PI()*Simulations!$T38^2/2*(LN(Simulations!$CX38/Simulations!$J38)+1))))</f>
        <v>0</v>
      </c>
      <c r="AC38" s="0" t="n">
        <f aca="false">IF(NOT(AND(Simulations!$A38&lt;&gt;"",OR(Simulations!$CS38&lt;&gt;"",N(Simulations!$CU38)&gt;0))),0,MAX(N(Simulations!$CV38),N(Simulations!$CW38),N(Simulations!$CX38))/Simulations!$J38)</f>
        <v>0</v>
      </c>
      <c r="AD38" s="0" t="n">
        <f aca="false">IF(OR(NOT(AND(Simulations!$A38&lt;&gt;"",OR(Simulations!$CS38&lt;&gt;"",N(Simulations!$CU38)&gt;0))),N(Simulations!$CT38)&lt;=0),0,SQRT(2*Simulations!$CT38*1000000/(Simulations!$J38*1000))/Simulations!$T38)</f>
        <v>0</v>
      </c>
      <c r="AE38" s="0" t="n">
        <f aca="false">IF(AND(Simulations!$A38&lt;&gt;"",OR(Simulations!$CS38&lt;&gt;"",N(Simulations!$CU38)&gt;0)),1,0)</f>
        <v>0</v>
      </c>
      <c r="AF38" s="0" t="n">
        <f aca="false">IF(OR(NOT(AND(Simulations!$A38&lt;&gt;"",OR(Simulations!$DK38&lt;&gt;"",N(Simulations!$DM38)&gt;0))),N(Simulations!$DN38)&lt;=0,N(Simulations!$DM38)&lt;=0,1&gt;N(Simulations!$O38)),0,IF(Simulations!$DN38&lt;Simulations!$J38,Simulations!$DM38/(Simulations!$G38*Simulations!$H38*IF(Simulations!$I38&gt;0,Simulations!$I38,1))*Simulations!$DN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N38/Simulations!$J38)^1.5+SQRT(LN(Simulations!$DN38/Simulations!$J38))+Simulations!$DN38/Simulations!$J38*SQRT(PI())/2*ERFC(SQRT(LN(Simulations!$DN38/Simulations!$J38)))),PI()*Simulations!$T38^2/2*(LN(Simulations!$DN38/Simulations!$J38)+1))))</f>
        <v>0</v>
      </c>
      <c r="AG38" s="0" t="n">
        <f aca="false">IF(OR(NOT(AND(Simulations!$A38&lt;&gt;"",OR(Simulations!$DK38&lt;&gt;"",N(Simulations!$DM38)&gt;0))),N(Simulations!$DO38)&lt;=0,N(Simulations!$DM38)&lt;=0,2&gt;N(Simulations!$O38)),0,IF(Simulations!$DO38&lt;Simulations!$J38,Simulations!$DM38/(Simulations!$G38*Simulations!$H38*IF(Simulations!$I38&gt;0,Simulations!$I38,1))*Simulations!$DO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O38/Simulations!$J38)^1.5+SQRT(LN(Simulations!$DO38/Simulations!$J38))+Simulations!$DO38/Simulations!$J38*SQRT(PI())/2*ERFC(SQRT(LN(Simulations!$DO38/Simulations!$J38)))),PI()*Simulations!$T38^2/2*(LN(Simulations!$DO38/Simulations!$J38)+1))))</f>
        <v>0</v>
      </c>
      <c r="AH38" s="0" t="n">
        <f aca="false">IF(OR(NOT(AND(Simulations!$A38&lt;&gt;"",OR(Simulations!$DK38&lt;&gt;"",N(Simulations!$DM38)&gt;0))),N(Simulations!$DP38)&lt;=0,N(Simulations!$DM38)&lt;=0,3&gt;N(Simulations!$O38)),0,IF(Simulations!$DP38&lt;Simulations!$J38,Simulations!$DM38/(Simulations!$G38*Simulations!$H38*IF(Simulations!$I38&gt;0,Simulations!$I38,1))*Simulations!$DP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P38/Simulations!$J38)^1.5+SQRT(LN(Simulations!$DP38/Simulations!$J38))+Simulations!$DP38/Simulations!$J38*SQRT(PI())/2*ERFC(SQRT(LN(Simulations!$DP38/Simulations!$J38)))),PI()*Simulations!$T38^2/2*(LN(Simulations!$DP38/Simulations!$J38)+1))))</f>
        <v>0</v>
      </c>
      <c r="AI38" s="0" t="n">
        <f aca="false">IF(NOT(AND(Simulations!$A38&lt;&gt;"",OR(Simulations!$DK38&lt;&gt;"",N(Simulations!$DM38)&gt;0))),0,MAX(N(Simulations!$DN38),N(Simulations!$DO38),N(Simulations!$DP38))/Simulations!$J38)</f>
        <v>0</v>
      </c>
      <c r="AJ38" s="0" t="n">
        <f aca="false">IF(OR(NOT(AND(Simulations!$A38&lt;&gt;"",OR(Simulations!$DK38&lt;&gt;"",N(Simulations!$DM38)&gt;0))),N(Simulations!$DL38)&lt;=0),0,SQRT(2*Simulations!$DL38*1000000/(Simulations!$J38*1000))/Simulations!$T38)</f>
        <v>0</v>
      </c>
      <c r="AK38" s="0" t="n">
        <f aca="false">IF(AND(Simulations!$A38&lt;&gt;"",OR(Simulations!$DK38&lt;&gt;"",N(Simulations!$DM38)&gt;0)),1,0)</f>
        <v>0</v>
      </c>
    </row>
    <row r="39" customFormat="false" ht="15" hidden="false" customHeight="false" outlineLevel="0" collapsed="false">
      <c r="B39" s="0" t="n">
        <f aca="false">IF(OR(NOT(AND(Simulations!$A39&lt;&gt;"",OR(Simulations!$Y39&lt;&gt;"",N(Simulations!$AA39)&gt;0))),N(Simulations!$AB39)&lt;=0,N(Simulations!$AA39)&lt;=0,1&gt;N(Simulations!$O39)),0,IF(Simulations!$AB39&lt;Simulations!$J39,Simulations!$AA39/(Simulations!$G39*Simulations!$H39*IF(Simulations!$I39&gt;0,Simulations!$I39,1))*Simulations!$AB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B39/Simulations!$J39)^1.5+SQRT(LN(Simulations!$AB39/Simulations!$J39))+Simulations!$AB39/Simulations!$J39*SQRT(PI())/2*ERFC(SQRT(LN(Simulations!$AB39/Simulations!$J39)))),PI()*Simulations!$T39^2/2*(LN(Simulations!$AB39/Simulations!$J39)+1))))</f>
        <v>0</v>
      </c>
      <c r="C39" s="0" t="n">
        <f aca="false">IF(OR(NOT(AND(Simulations!$A39&lt;&gt;"",OR(Simulations!$Y39&lt;&gt;"",N(Simulations!$AA39)&gt;0))),N(Simulations!$AC39)&lt;=0,N(Simulations!$AA39)&lt;=0,2&gt;N(Simulations!$O39)),0,IF(Simulations!$AC39&lt;Simulations!$J39,Simulations!$AA39/(Simulations!$G39*Simulations!$H39*IF(Simulations!$I39&gt;0,Simulations!$I39,1))*Simulations!$AC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C39/Simulations!$J39)^1.5+SQRT(LN(Simulations!$AC39/Simulations!$J39))+Simulations!$AC39/Simulations!$J39*SQRT(PI())/2*ERFC(SQRT(LN(Simulations!$AC39/Simulations!$J39)))),PI()*Simulations!$T39^2/2*(LN(Simulations!$AC39/Simulations!$J39)+1))))</f>
        <v>0</v>
      </c>
      <c r="D39" s="0" t="n">
        <f aca="false">IF(OR(NOT(AND(Simulations!$A39&lt;&gt;"",OR(Simulations!$Y39&lt;&gt;"",N(Simulations!$AA39)&gt;0))),N(Simulations!$AD39)&lt;=0,N(Simulations!$AA39)&lt;=0,3&gt;N(Simulations!$O39)),0,IF(Simulations!$AD39&lt;Simulations!$J39,Simulations!$AA39/(Simulations!$G39*Simulations!$H39*IF(Simulations!$I39&gt;0,Simulations!$I39,1))*Simulations!$AD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D39/Simulations!$J39)^1.5+SQRT(LN(Simulations!$AD39/Simulations!$J39))+Simulations!$AD39/Simulations!$J39*SQRT(PI())/2*ERFC(SQRT(LN(Simulations!$AD39/Simulations!$J39)))),PI()*Simulations!$T39^2/2*(LN(Simulations!$AD39/Simulations!$J39)+1))))</f>
        <v>0</v>
      </c>
      <c r="E39" s="0" t="n">
        <f aca="false">IF(NOT(AND(Simulations!$A39&lt;&gt;"",OR(Simulations!$Y39&lt;&gt;"",N(Simulations!$AA39)&gt;0))),0,MAX(N(Simulations!$AB39),N(Simulations!$AC39),N(Simulations!$AD39))/Simulations!$J39)</f>
        <v>0</v>
      </c>
      <c r="F39" s="0" t="n">
        <f aca="false">IF(OR(NOT(AND(Simulations!$A39&lt;&gt;"",OR(Simulations!$Y39&lt;&gt;"",N(Simulations!$AA39)&gt;0))),N(Simulations!$Z39)&lt;=0),0,SQRT(2*Simulations!$Z39*1000000/(Simulations!$J39*1000))/Simulations!$T39)</f>
        <v>0</v>
      </c>
      <c r="G39" s="0" t="n">
        <f aca="false">IF(AND(Simulations!$A39&lt;&gt;"",OR(Simulations!$Y39&lt;&gt;"",N(Simulations!$AA39)&gt;0)),1,0)</f>
        <v>0</v>
      </c>
      <c r="H39" s="0" t="n">
        <f aca="false">IF(OR(NOT(AND(Simulations!$A39&lt;&gt;"",OR(Simulations!$AQ39&lt;&gt;"",N(Simulations!$AS39)&gt;0))),N(Simulations!$AT39)&lt;=0,N(Simulations!$AS39)&lt;=0,1&gt;N(Simulations!$O39)),0,IF(Simulations!$AT39&lt;Simulations!$J39,Simulations!$AS39/(Simulations!$G39*Simulations!$H39*IF(Simulations!$I39&gt;0,Simulations!$I39,1))*Simulations!$AT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T39/Simulations!$J39)^1.5+SQRT(LN(Simulations!$AT39/Simulations!$J39))+Simulations!$AT39/Simulations!$J39*SQRT(PI())/2*ERFC(SQRT(LN(Simulations!$AT39/Simulations!$J39)))),PI()*Simulations!$T39^2/2*(LN(Simulations!$AT39/Simulations!$J39)+1))))</f>
        <v>0</v>
      </c>
      <c r="I39" s="0" t="n">
        <f aca="false">IF(OR(NOT(AND(Simulations!$A39&lt;&gt;"",OR(Simulations!$AQ39&lt;&gt;"",N(Simulations!$AS39)&gt;0))),N(Simulations!$AU39)&lt;=0,N(Simulations!$AS39)&lt;=0,2&gt;N(Simulations!$O39)),0,IF(Simulations!$AU39&lt;Simulations!$J39,Simulations!$AS39/(Simulations!$G39*Simulations!$H39*IF(Simulations!$I39&gt;0,Simulations!$I39,1))*Simulations!$AU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U39/Simulations!$J39)^1.5+SQRT(LN(Simulations!$AU39/Simulations!$J39))+Simulations!$AU39/Simulations!$J39*SQRT(PI())/2*ERFC(SQRT(LN(Simulations!$AU39/Simulations!$J39)))),PI()*Simulations!$T39^2/2*(LN(Simulations!$AU39/Simulations!$J39)+1))))</f>
        <v>0</v>
      </c>
      <c r="J39" s="0" t="n">
        <f aca="false">IF(OR(NOT(AND(Simulations!$A39&lt;&gt;"",OR(Simulations!$AQ39&lt;&gt;"",N(Simulations!$AS39)&gt;0))),N(Simulations!$AV39)&lt;=0,N(Simulations!$AS39)&lt;=0,3&gt;N(Simulations!$O39)),0,IF(Simulations!$AV39&lt;Simulations!$J39,Simulations!$AS39/(Simulations!$G39*Simulations!$H39*IF(Simulations!$I39&gt;0,Simulations!$I39,1))*Simulations!$AV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V39/Simulations!$J39)^1.5+SQRT(LN(Simulations!$AV39/Simulations!$J39))+Simulations!$AV39/Simulations!$J39*SQRT(PI())/2*ERFC(SQRT(LN(Simulations!$AV39/Simulations!$J39)))),PI()*Simulations!$T39^2/2*(LN(Simulations!$AV39/Simulations!$J39)+1))))</f>
        <v>0</v>
      </c>
      <c r="K39" s="0" t="n">
        <f aca="false">IF(NOT(AND(Simulations!$A39&lt;&gt;"",OR(Simulations!$AQ39&lt;&gt;"",N(Simulations!$AS39)&gt;0))),0,MAX(N(Simulations!$AT39),N(Simulations!$AU39),N(Simulations!$AV39))/Simulations!$J39)</f>
        <v>0</v>
      </c>
      <c r="L39" s="0" t="n">
        <f aca="false">IF(OR(NOT(AND(Simulations!$A39&lt;&gt;"",OR(Simulations!$AQ39&lt;&gt;"",N(Simulations!$AS39)&gt;0))),N(Simulations!$AR39)&lt;=0),0,SQRT(2*Simulations!$AR39*1000000/(Simulations!$J39*1000))/Simulations!$T39)</f>
        <v>0</v>
      </c>
      <c r="M39" s="0" t="n">
        <f aca="false">IF(AND(Simulations!$A39&lt;&gt;"",OR(Simulations!$AQ39&lt;&gt;"",N(Simulations!$AS39)&gt;0)),1,0)</f>
        <v>0</v>
      </c>
      <c r="N39" s="0" t="n">
        <f aca="false">IF(OR(NOT(AND(Simulations!$A39&lt;&gt;"",OR(Simulations!$BI39&lt;&gt;"",N(Simulations!$BK39)&gt;0))),N(Simulations!$BL39)&lt;=0,N(Simulations!$BK39)&lt;=0,1&gt;N(Simulations!$O39)),0,IF(Simulations!$BL39&lt;Simulations!$J39,Simulations!$BK39/(Simulations!$G39*Simulations!$H39*IF(Simulations!$I39&gt;0,Simulations!$I39,1))*Simulations!$BL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L39/Simulations!$J39)^1.5+SQRT(LN(Simulations!$BL39/Simulations!$J39))+Simulations!$BL39/Simulations!$J39*SQRT(PI())/2*ERFC(SQRT(LN(Simulations!$BL39/Simulations!$J39)))),PI()*Simulations!$T39^2/2*(LN(Simulations!$BL39/Simulations!$J39)+1))))</f>
        <v>0</v>
      </c>
      <c r="O39" s="0" t="n">
        <f aca="false">IF(OR(NOT(AND(Simulations!$A39&lt;&gt;"",OR(Simulations!$BI39&lt;&gt;"",N(Simulations!$BK39)&gt;0))),N(Simulations!$BM39)&lt;=0,N(Simulations!$BK39)&lt;=0,2&gt;N(Simulations!$O39)),0,IF(Simulations!$BM39&lt;Simulations!$J39,Simulations!$BK39/(Simulations!$G39*Simulations!$H39*IF(Simulations!$I39&gt;0,Simulations!$I39,1))*Simulations!$BM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M39/Simulations!$J39)^1.5+SQRT(LN(Simulations!$BM39/Simulations!$J39))+Simulations!$BM39/Simulations!$J39*SQRT(PI())/2*ERFC(SQRT(LN(Simulations!$BM39/Simulations!$J39)))),PI()*Simulations!$T39^2/2*(LN(Simulations!$BM39/Simulations!$J39)+1))))</f>
        <v>0</v>
      </c>
      <c r="P39" s="0" t="n">
        <f aca="false">IF(OR(NOT(AND(Simulations!$A39&lt;&gt;"",OR(Simulations!$BI39&lt;&gt;"",N(Simulations!$BK39)&gt;0))),N(Simulations!$BN39)&lt;=0,N(Simulations!$BK39)&lt;=0,3&gt;N(Simulations!$O39)),0,IF(Simulations!$BN39&lt;Simulations!$J39,Simulations!$BK39/(Simulations!$G39*Simulations!$H39*IF(Simulations!$I39&gt;0,Simulations!$I39,1))*Simulations!$BN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N39/Simulations!$J39)^1.5+SQRT(LN(Simulations!$BN39/Simulations!$J39))+Simulations!$BN39/Simulations!$J39*SQRT(PI())/2*ERFC(SQRT(LN(Simulations!$BN39/Simulations!$J39)))),PI()*Simulations!$T39^2/2*(LN(Simulations!$BN39/Simulations!$J39)+1))))</f>
        <v>0</v>
      </c>
      <c r="Q39" s="0" t="n">
        <f aca="false">IF(NOT(AND(Simulations!$A39&lt;&gt;"",OR(Simulations!$BI39&lt;&gt;"",N(Simulations!$BK39)&gt;0))),0,MAX(N(Simulations!$BL39),N(Simulations!$BM39),N(Simulations!$BN39))/Simulations!$J39)</f>
        <v>0</v>
      </c>
      <c r="R39" s="0" t="n">
        <f aca="false">IF(OR(NOT(AND(Simulations!$A39&lt;&gt;"",OR(Simulations!$BI39&lt;&gt;"",N(Simulations!$BK39)&gt;0))),N(Simulations!$BJ39)&lt;=0),0,SQRT(2*Simulations!$BJ39*1000000/(Simulations!$J39*1000))/Simulations!$T39)</f>
        <v>0</v>
      </c>
      <c r="S39" s="0" t="n">
        <f aca="false">IF(AND(Simulations!$A39&lt;&gt;"",OR(Simulations!$BI39&lt;&gt;"",N(Simulations!$BK39)&gt;0)),1,0)</f>
        <v>0</v>
      </c>
      <c r="T39" s="0" t="n">
        <f aca="false">IF(OR(NOT(AND(Simulations!$A39&lt;&gt;"",OR(Simulations!$CA39&lt;&gt;"",N(Simulations!$CC39)&gt;0))),N(Simulations!$CD39)&lt;=0,N(Simulations!$CC39)&lt;=0,1&gt;N(Simulations!$O39)),0,IF(Simulations!$CD39&lt;Simulations!$J39,Simulations!$CC39/(Simulations!$G39*Simulations!$H39*IF(Simulations!$I39&gt;0,Simulations!$I39,1))*Simulations!$CD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D39/Simulations!$J39)^1.5+SQRT(LN(Simulations!$CD39/Simulations!$J39))+Simulations!$CD39/Simulations!$J39*SQRT(PI())/2*ERFC(SQRT(LN(Simulations!$CD39/Simulations!$J39)))),PI()*Simulations!$T39^2/2*(LN(Simulations!$CD39/Simulations!$J39)+1))))</f>
        <v>0</v>
      </c>
      <c r="U39" s="0" t="n">
        <f aca="false">IF(OR(NOT(AND(Simulations!$A39&lt;&gt;"",OR(Simulations!$CA39&lt;&gt;"",N(Simulations!$CC39)&gt;0))),N(Simulations!$CE39)&lt;=0,N(Simulations!$CC39)&lt;=0,2&gt;N(Simulations!$O39)),0,IF(Simulations!$CE39&lt;Simulations!$J39,Simulations!$CC39/(Simulations!$G39*Simulations!$H39*IF(Simulations!$I39&gt;0,Simulations!$I39,1))*Simulations!$CE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E39/Simulations!$J39)^1.5+SQRT(LN(Simulations!$CE39/Simulations!$J39))+Simulations!$CE39/Simulations!$J39*SQRT(PI())/2*ERFC(SQRT(LN(Simulations!$CE39/Simulations!$J39)))),PI()*Simulations!$T39^2/2*(LN(Simulations!$CE39/Simulations!$J39)+1))))</f>
        <v>0</v>
      </c>
      <c r="V39" s="0" t="n">
        <f aca="false">IF(OR(NOT(AND(Simulations!$A39&lt;&gt;"",OR(Simulations!$CA39&lt;&gt;"",N(Simulations!$CC39)&gt;0))),N(Simulations!$CF39)&lt;=0,N(Simulations!$CC39)&lt;=0,3&gt;N(Simulations!$O39)),0,IF(Simulations!$CF39&lt;Simulations!$J39,Simulations!$CC39/(Simulations!$G39*Simulations!$H39*IF(Simulations!$I39&gt;0,Simulations!$I39,1))*Simulations!$CF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F39/Simulations!$J39)^1.5+SQRT(LN(Simulations!$CF39/Simulations!$J39))+Simulations!$CF39/Simulations!$J39*SQRT(PI())/2*ERFC(SQRT(LN(Simulations!$CF39/Simulations!$J39)))),PI()*Simulations!$T39^2/2*(LN(Simulations!$CF39/Simulations!$J39)+1))))</f>
        <v>0</v>
      </c>
      <c r="W39" s="0" t="n">
        <f aca="false">IF(NOT(AND(Simulations!$A39&lt;&gt;"",OR(Simulations!$CA39&lt;&gt;"",N(Simulations!$CC39)&gt;0))),0,MAX(N(Simulations!$CD39),N(Simulations!$CE39),N(Simulations!$CF39))/Simulations!$J39)</f>
        <v>0</v>
      </c>
      <c r="X39" s="0" t="n">
        <f aca="false">IF(OR(NOT(AND(Simulations!$A39&lt;&gt;"",OR(Simulations!$CA39&lt;&gt;"",N(Simulations!$CC39)&gt;0))),N(Simulations!$CB39)&lt;=0),0,SQRT(2*Simulations!$CB39*1000000/(Simulations!$J39*1000))/Simulations!$T39)</f>
        <v>0</v>
      </c>
      <c r="Y39" s="0" t="n">
        <f aca="false">IF(AND(Simulations!$A39&lt;&gt;"",OR(Simulations!$CA39&lt;&gt;"",N(Simulations!$CC39)&gt;0)),1,0)</f>
        <v>0</v>
      </c>
      <c r="Z39" s="0" t="n">
        <f aca="false">IF(OR(NOT(AND(Simulations!$A39&lt;&gt;"",OR(Simulations!$CS39&lt;&gt;"",N(Simulations!$CU39)&gt;0))),N(Simulations!$CV39)&lt;=0,N(Simulations!$CU39)&lt;=0,1&gt;N(Simulations!$O39)),0,IF(Simulations!$CV39&lt;Simulations!$J39,Simulations!$CU39/(Simulations!$G39*Simulations!$H39*IF(Simulations!$I39&gt;0,Simulations!$I39,1))*Simulations!$CV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V39/Simulations!$J39)^1.5+SQRT(LN(Simulations!$CV39/Simulations!$J39))+Simulations!$CV39/Simulations!$J39*SQRT(PI())/2*ERFC(SQRT(LN(Simulations!$CV39/Simulations!$J39)))),PI()*Simulations!$T39^2/2*(LN(Simulations!$CV39/Simulations!$J39)+1))))</f>
        <v>0</v>
      </c>
      <c r="AA39" s="0" t="n">
        <f aca="false">IF(OR(NOT(AND(Simulations!$A39&lt;&gt;"",OR(Simulations!$CS39&lt;&gt;"",N(Simulations!$CU39)&gt;0))),N(Simulations!$CW39)&lt;=0,N(Simulations!$CU39)&lt;=0,2&gt;N(Simulations!$O39)),0,IF(Simulations!$CW39&lt;Simulations!$J39,Simulations!$CU39/(Simulations!$G39*Simulations!$H39*IF(Simulations!$I39&gt;0,Simulations!$I39,1))*Simulations!$CW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W39/Simulations!$J39)^1.5+SQRT(LN(Simulations!$CW39/Simulations!$J39))+Simulations!$CW39/Simulations!$J39*SQRT(PI())/2*ERFC(SQRT(LN(Simulations!$CW39/Simulations!$J39)))),PI()*Simulations!$T39^2/2*(LN(Simulations!$CW39/Simulations!$J39)+1))))</f>
        <v>0</v>
      </c>
      <c r="AB39" s="0" t="n">
        <f aca="false">IF(OR(NOT(AND(Simulations!$A39&lt;&gt;"",OR(Simulations!$CS39&lt;&gt;"",N(Simulations!$CU39)&gt;0))),N(Simulations!$CX39)&lt;=0,N(Simulations!$CU39)&lt;=0,3&gt;N(Simulations!$O39)),0,IF(Simulations!$CX39&lt;Simulations!$J39,Simulations!$CU39/(Simulations!$G39*Simulations!$H39*IF(Simulations!$I39&gt;0,Simulations!$I39,1))*Simulations!$CX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X39/Simulations!$J39)^1.5+SQRT(LN(Simulations!$CX39/Simulations!$J39))+Simulations!$CX39/Simulations!$J39*SQRT(PI())/2*ERFC(SQRT(LN(Simulations!$CX39/Simulations!$J39)))),PI()*Simulations!$T39^2/2*(LN(Simulations!$CX39/Simulations!$J39)+1))))</f>
        <v>0</v>
      </c>
      <c r="AC39" s="0" t="n">
        <f aca="false">IF(NOT(AND(Simulations!$A39&lt;&gt;"",OR(Simulations!$CS39&lt;&gt;"",N(Simulations!$CU39)&gt;0))),0,MAX(N(Simulations!$CV39),N(Simulations!$CW39),N(Simulations!$CX39))/Simulations!$J39)</f>
        <v>0</v>
      </c>
      <c r="AD39" s="0" t="n">
        <f aca="false">IF(OR(NOT(AND(Simulations!$A39&lt;&gt;"",OR(Simulations!$CS39&lt;&gt;"",N(Simulations!$CU39)&gt;0))),N(Simulations!$CT39)&lt;=0),0,SQRT(2*Simulations!$CT39*1000000/(Simulations!$J39*1000))/Simulations!$T39)</f>
        <v>0</v>
      </c>
      <c r="AE39" s="0" t="n">
        <f aca="false">IF(AND(Simulations!$A39&lt;&gt;"",OR(Simulations!$CS39&lt;&gt;"",N(Simulations!$CU39)&gt;0)),1,0)</f>
        <v>0</v>
      </c>
      <c r="AF39" s="0" t="n">
        <f aca="false">IF(OR(NOT(AND(Simulations!$A39&lt;&gt;"",OR(Simulations!$DK39&lt;&gt;"",N(Simulations!$DM39)&gt;0))),N(Simulations!$DN39)&lt;=0,N(Simulations!$DM39)&lt;=0,1&gt;N(Simulations!$O39)),0,IF(Simulations!$DN39&lt;Simulations!$J39,Simulations!$DM39/(Simulations!$G39*Simulations!$H39*IF(Simulations!$I39&gt;0,Simulations!$I39,1))*Simulations!$DN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N39/Simulations!$J39)^1.5+SQRT(LN(Simulations!$DN39/Simulations!$J39))+Simulations!$DN39/Simulations!$J39*SQRT(PI())/2*ERFC(SQRT(LN(Simulations!$DN39/Simulations!$J39)))),PI()*Simulations!$T39^2/2*(LN(Simulations!$DN39/Simulations!$J39)+1))))</f>
        <v>0</v>
      </c>
      <c r="AG39" s="0" t="n">
        <f aca="false">IF(OR(NOT(AND(Simulations!$A39&lt;&gt;"",OR(Simulations!$DK39&lt;&gt;"",N(Simulations!$DM39)&gt;0))),N(Simulations!$DO39)&lt;=0,N(Simulations!$DM39)&lt;=0,2&gt;N(Simulations!$O39)),0,IF(Simulations!$DO39&lt;Simulations!$J39,Simulations!$DM39/(Simulations!$G39*Simulations!$H39*IF(Simulations!$I39&gt;0,Simulations!$I39,1))*Simulations!$DO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O39/Simulations!$J39)^1.5+SQRT(LN(Simulations!$DO39/Simulations!$J39))+Simulations!$DO39/Simulations!$J39*SQRT(PI())/2*ERFC(SQRT(LN(Simulations!$DO39/Simulations!$J39)))),PI()*Simulations!$T39^2/2*(LN(Simulations!$DO39/Simulations!$J39)+1))))</f>
        <v>0</v>
      </c>
      <c r="AH39" s="0" t="n">
        <f aca="false">IF(OR(NOT(AND(Simulations!$A39&lt;&gt;"",OR(Simulations!$DK39&lt;&gt;"",N(Simulations!$DM39)&gt;0))),N(Simulations!$DP39)&lt;=0,N(Simulations!$DM39)&lt;=0,3&gt;N(Simulations!$O39)),0,IF(Simulations!$DP39&lt;Simulations!$J39,Simulations!$DM39/(Simulations!$G39*Simulations!$H39*IF(Simulations!$I39&gt;0,Simulations!$I39,1))*Simulations!$DP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P39/Simulations!$J39)^1.5+SQRT(LN(Simulations!$DP39/Simulations!$J39))+Simulations!$DP39/Simulations!$J39*SQRT(PI())/2*ERFC(SQRT(LN(Simulations!$DP39/Simulations!$J39)))),PI()*Simulations!$T39^2/2*(LN(Simulations!$DP39/Simulations!$J39)+1))))</f>
        <v>0</v>
      </c>
      <c r="AI39" s="0" t="n">
        <f aca="false">IF(NOT(AND(Simulations!$A39&lt;&gt;"",OR(Simulations!$DK39&lt;&gt;"",N(Simulations!$DM39)&gt;0))),0,MAX(N(Simulations!$DN39),N(Simulations!$DO39),N(Simulations!$DP39))/Simulations!$J39)</f>
        <v>0</v>
      </c>
      <c r="AJ39" s="0" t="n">
        <f aca="false">IF(OR(NOT(AND(Simulations!$A39&lt;&gt;"",OR(Simulations!$DK39&lt;&gt;"",N(Simulations!$DM39)&gt;0))),N(Simulations!$DL39)&lt;=0),0,SQRT(2*Simulations!$DL39*1000000/(Simulations!$J39*1000))/Simulations!$T39)</f>
        <v>0</v>
      </c>
      <c r="AK39" s="0" t="n">
        <f aca="false">IF(AND(Simulations!$A39&lt;&gt;"",OR(Simulations!$DK39&lt;&gt;"",N(Simulations!$DM39)&gt;0)),1,0)</f>
        <v>0</v>
      </c>
    </row>
    <row r="40" customFormat="false" ht="15" hidden="false" customHeight="false" outlineLevel="0" collapsed="false">
      <c r="B40" s="0" t="n">
        <f aca="false">IF(OR(NOT(AND(Simulations!$A40&lt;&gt;"",OR(Simulations!$Y40&lt;&gt;"",N(Simulations!$AA40)&gt;0))),N(Simulations!$AB40)&lt;=0,N(Simulations!$AA40)&lt;=0,1&gt;N(Simulations!$O40)),0,IF(Simulations!$AB40&lt;Simulations!$J40,Simulations!$AA40/(Simulations!$G40*Simulations!$H40*IF(Simulations!$I40&gt;0,Simulations!$I40,1))*Simulations!$AB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B40/Simulations!$J40)^1.5+SQRT(LN(Simulations!$AB40/Simulations!$J40))+Simulations!$AB40/Simulations!$J40*SQRT(PI())/2*ERFC(SQRT(LN(Simulations!$AB40/Simulations!$J40)))),PI()*Simulations!$T40^2/2*(LN(Simulations!$AB40/Simulations!$J40)+1))))</f>
        <v>0</v>
      </c>
      <c r="C40" s="0" t="n">
        <f aca="false">IF(OR(NOT(AND(Simulations!$A40&lt;&gt;"",OR(Simulations!$Y40&lt;&gt;"",N(Simulations!$AA40)&gt;0))),N(Simulations!$AC40)&lt;=0,N(Simulations!$AA40)&lt;=0,2&gt;N(Simulations!$O40)),0,IF(Simulations!$AC40&lt;Simulations!$J40,Simulations!$AA40/(Simulations!$G40*Simulations!$H40*IF(Simulations!$I40&gt;0,Simulations!$I40,1))*Simulations!$AC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C40/Simulations!$J40)^1.5+SQRT(LN(Simulations!$AC40/Simulations!$J40))+Simulations!$AC40/Simulations!$J40*SQRT(PI())/2*ERFC(SQRT(LN(Simulations!$AC40/Simulations!$J40)))),PI()*Simulations!$T40^2/2*(LN(Simulations!$AC40/Simulations!$J40)+1))))</f>
        <v>0</v>
      </c>
      <c r="D40" s="0" t="n">
        <f aca="false">IF(OR(NOT(AND(Simulations!$A40&lt;&gt;"",OR(Simulations!$Y40&lt;&gt;"",N(Simulations!$AA40)&gt;0))),N(Simulations!$AD40)&lt;=0,N(Simulations!$AA40)&lt;=0,3&gt;N(Simulations!$O40)),0,IF(Simulations!$AD40&lt;Simulations!$J40,Simulations!$AA40/(Simulations!$G40*Simulations!$H40*IF(Simulations!$I40&gt;0,Simulations!$I40,1))*Simulations!$AD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D40/Simulations!$J40)^1.5+SQRT(LN(Simulations!$AD40/Simulations!$J40))+Simulations!$AD40/Simulations!$J40*SQRT(PI())/2*ERFC(SQRT(LN(Simulations!$AD40/Simulations!$J40)))),PI()*Simulations!$T40^2/2*(LN(Simulations!$AD40/Simulations!$J40)+1))))</f>
        <v>0</v>
      </c>
      <c r="E40" s="0" t="n">
        <f aca="false">IF(NOT(AND(Simulations!$A40&lt;&gt;"",OR(Simulations!$Y40&lt;&gt;"",N(Simulations!$AA40)&gt;0))),0,MAX(N(Simulations!$AB40),N(Simulations!$AC40),N(Simulations!$AD40))/Simulations!$J40)</f>
        <v>0</v>
      </c>
      <c r="F40" s="0" t="n">
        <f aca="false">IF(OR(NOT(AND(Simulations!$A40&lt;&gt;"",OR(Simulations!$Y40&lt;&gt;"",N(Simulations!$AA40)&gt;0))),N(Simulations!$Z40)&lt;=0),0,SQRT(2*Simulations!$Z40*1000000/(Simulations!$J40*1000))/Simulations!$T40)</f>
        <v>0</v>
      </c>
      <c r="G40" s="0" t="n">
        <f aca="false">IF(AND(Simulations!$A40&lt;&gt;"",OR(Simulations!$Y40&lt;&gt;"",N(Simulations!$AA40)&gt;0)),1,0)</f>
        <v>0</v>
      </c>
      <c r="H40" s="0" t="n">
        <f aca="false">IF(OR(NOT(AND(Simulations!$A40&lt;&gt;"",OR(Simulations!$AQ40&lt;&gt;"",N(Simulations!$AS40)&gt;0))),N(Simulations!$AT40)&lt;=0,N(Simulations!$AS40)&lt;=0,1&gt;N(Simulations!$O40)),0,IF(Simulations!$AT40&lt;Simulations!$J40,Simulations!$AS40/(Simulations!$G40*Simulations!$H40*IF(Simulations!$I40&gt;0,Simulations!$I40,1))*Simulations!$AT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T40/Simulations!$J40)^1.5+SQRT(LN(Simulations!$AT40/Simulations!$J40))+Simulations!$AT40/Simulations!$J40*SQRT(PI())/2*ERFC(SQRT(LN(Simulations!$AT40/Simulations!$J40)))),PI()*Simulations!$T40^2/2*(LN(Simulations!$AT40/Simulations!$J40)+1))))</f>
        <v>0</v>
      </c>
      <c r="I40" s="0" t="n">
        <f aca="false">IF(OR(NOT(AND(Simulations!$A40&lt;&gt;"",OR(Simulations!$AQ40&lt;&gt;"",N(Simulations!$AS40)&gt;0))),N(Simulations!$AU40)&lt;=0,N(Simulations!$AS40)&lt;=0,2&gt;N(Simulations!$O40)),0,IF(Simulations!$AU40&lt;Simulations!$J40,Simulations!$AS40/(Simulations!$G40*Simulations!$H40*IF(Simulations!$I40&gt;0,Simulations!$I40,1))*Simulations!$AU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U40/Simulations!$J40)^1.5+SQRT(LN(Simulations!$AU40/Simulations!$J40))+Simulations!$AU40/Simulations!$J40*SQRT(PI())/2*ERFC(SQRT(LN(Simulations!$AU40/Simulations!$J40)))),PI()*Simulations!$T40^2/2*(LN(Simulations!$AU40/Simulations!$J40)+1))))</f>
        <v>0</v>
      </c>
      <c r="J40" s="0" t="n">
        <f aca="false">IF(OR(NOT(AND(Simulations!$A40&lt;&gt;"",OR(Simulations!$AQ40&lt;&gt;"",N(Simulations!$AS40)&gt;0))),N(Simulations!$AV40)&lt;=0,N(Simulations!$AS40)&lt;=0,3&gt;N(Simulations!$O40)),0,IF(Simulations!$AV40&lt;Simulations!$J40,Simulations!$AS40/(Simulations!$G40*Simulations!$H40*IF(Simulations!$I40&gt;0,Simulations!$I40,1))*Simulations!$AV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V40/Simulations!$J40)^1.5+SQRT(LN(Simulations!$AV40/Simulations!$J40))+Simulations!$AV40/Simulations!$J40*SQRT(PI())/2*ERFC(SQRT(LN(Simulations!$AV40/Simulations!$J40)))),PI()*Simulations!$T40^2/2*(LN(Simulations!$AV40/Simulations!$J40)+1))))</f>
        <v>0</v>
      </c>
      <c r="K40" s="0" t="n">
        <f aca="false">IF(NOT(AND(Simulations!$A40&lt;&gt;"",OR(Simulations!$AQ40&lt;&gt;"",N(Simulations!$AS40)&gt;0))),0,MAX(N(Simulations!$AT40),N(Simulations!$AU40),N(Simulations!$AV40))/Simulations!$J40)</f>
        <v>0</v>
      </c>
      <c r="L40" s="0" t="n">
        <f aca="false">IF(OR(NOT(AND(Simulations!$A40&lt;&gt;"",OR(Simulations!$AQ40&lt;&gt;"",N(Simulations!$AS40)&gt;0))),N(Simulations!$AR40)&lt;=0),0,SQRT(2*Simulations!$AR40*1000000/(Simulations!$J40*1000))/Simulations!$T40)</f>
        <v>0</v>
      </c>
      <c r="M40" s="0" t="n">
        <f aca="false">IF(AND(Simulations!$A40&lt;&gt;"",OR(Simulations!$AQ40&lt;&gt;"",N(Simulations!$AS40)&gt;0)),1,0)</f>
        <v>0</v>
      </c>
      <c r="N40" s="0" t="n">
        <f aca="false">IF(OR(NOT(AND(Simulations!$A40&lt;&gt;"",OR(Simulations!$BI40&lt;&gt;"",N(Simulations!$BK40)&gt;0))),N(Simulations!$BL40)&lt;=0,N(Simulations!$BK40)&lt;=0,1&gt;N(Simulations!$O40)),0,IF(Simulations!$BL40&lt;Simulations!$J40,Simulations!$BK40/(Simulations!$G40*Simulations!$H40*IF(Simulations!$I40&gt;0,Simulations!$I40,1))*Simulations!$BL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L40/Simulations!$J40)^1.5+SQRT(LN(Simulations!$BL40/Simulations!$J40))+Simulations!$BL40/Simulations!$J40*SQRT(PI())/2*ERFC(SQRT(LN(Simulations!$BL40/Simulations!$J40)))),PI()*Simulations!$T40^2/2*(LN(Simulations!$BL40/Simulations!$J40)+1))))</f>
        <v>0</v>
      </c>
      <c r="O40" s="0" t="n">
        <f aca="false">IF(OR(NOT(AND(Simulations!$A40&lt;&gt;"",OR(Simulations!$BI40&lt;&gt;"",N(Simulations!$BK40)&gt;0))),N(Simulations!$BM40)&lt;=0,N(Simulations!$BK40)&lt;=0,2&gt;N(Simulations!$O40)),0,IF(Simulations!$BM40&lt;Simulations!$J40,Simulations!$BK40/(Simulations!$G40*Simulations!$H40*IF(Simulations!$I40&gt;0,Simulations!$I40,1))*Simulations!$BM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M40/Simulations!$J40)^1.5+SQRT(LN(Simulations!$BM40/Simulations!$J40))+Simulations!$BM40/Simulations!$J40*SQRT(PI())/2*ERFC(SQRT(LN(Simulations!$BM40/Simulations!$J40)))),PI()*Simulations!$T40^2/2*(LN(Simulations!$BM40/Simulations!$J40)+1))))</f>
        <v>0</v>
      </c>
      <c r="P40" s="0" t="n">
        <f aca="false">IF(OR(NOT(AND(Simulations!$A40&lt;&gt;"",OR(Simulations!$BI40&lt;&gt;"",N(Simulations!$BK40)&gt;0))),N(Simulations!$BN40)&lt;=0,N(Simulations!$BK40)&lt;=0,3&gt;N(Simulations!$O40)),0,IF(Simulations!$BN40&lt;Simulations!$J40,Simulations!$BK40/(Simulations!$G40*Simulations!$H40*IF(Simulations!$I40&gt;0,Simulations!$I40,1))*Simulations!$BN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N40/Simulations!$J40)^1.5+SQRT(LN(Simulations!$BN40/Simulations!$J40))+Simulations!$BN40/Simulations!$J40*SQRT(PI())/2*ERFC(SQRT(LN(Simulations!$BN40/Simulations!$J40)))),PI()*Simulations!$T40^2/2*(LN(Simulations!$BN40/Simulations!$J40)+1))))</f>
        <v>0</v>
      </c>
      <c r="Q40" s="0" t="n">
        <f aca="false">IF(NOT(AND(Simulations!$A40&lt;&gt;"",OR(Simulations!$BI40&lt;&gt;"",N(Simulations!$BK40)&gt;0))),0,MAX(N(Simulations!$BL40),N(Simulations!$BM40),N(Simulations!$BN40))/Simulations!$J40)</f>
        <v>0</v>
      </c>
      <c r="R40" s="0" t="n">
        <f aca="false">IF(OR(NOT(AND(Simulations!$A40&lt;&gt;"",OR(Simulations!$BI40&lt;&gt;"",N(Simulations!$BK40)&gt;0))),N(Simulations!$BJ40)&lt;=0),0,SQRT(2*Simulations!$BJ40*1000000/(Simulations!$J40*1000))/Simulations!$T40)</f>
        <v>0</v>
      </c>
      <c r="S40" s="0" t="n">
        <f aca="false">IF(AND(Simulations!$A40&lt;&gt;"",OR(Simulations!$BI40&lt;&gt;"",N(Simulations!$BK40)&gt;0)),1,0)</f>
        <v>0</v>
      </c>
      <c r="T40" s="0" t="n">
        <f aca="false">IF(OR(NOT(AND(Simulations!$A40&lt;&gt;"",OR(Simulations!$CA40&lt;&gt;"",N(Simulations!$CC40)&gt;0))),N(Simulations!$CD40)&lt;=0,N(Simulations!$CC40)&lt;=0,1&gt;N(Simulations!$O40)),0,IF(Simulations!$CD40&lt;Simulations!$J40,Simulations!$CC40/(Simulations!$G40*Simulations!$H40*IF(Simulations!$I40&gt;0,Simulations!$I40,1))*Simulations!$CD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D40/Simulations!$J40)^1.5+SQRT(LN(Simulations!$CD40/Simulations!$J40))+Simulations!$CD40/Simulations!$J40*SQRT(PI())/2*ERFC(SQRT(LN(Simulations!$CD40/Simulations!$J40)))),PI()*Simulations!$T40^2/2*(LN(Simulations!$CD40/Simulations!$J40)+1))))</f>
        <v>0</v>
      </c>
      <c r="U40" s="0" t="n">
        <f aca="false">IF(OR(NOT(AND(Simulations!$A40&lt;&gt;"",OR(Simulations!$CA40&lt;&gt;"",N(Simulations!$CC40)&gt;0))),N(Simulations!$CE40)&lt;=0,N(Simulations!$CC40)&lt;=0,2&gt;N(Simulations!$O40)),0,IF(Simulations!$CE40&lt;Simulations!$J40,Simulations!$CC40/(Simulations!$G40*Simulations!$H40*IF(Simulations!$I40&gt;0,Simulations!$I40,1))*Simulations!$CE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E40/Simulations!$J40)^1.5+SQRT(LN(Simulations!$CE40/Simulations!$J40))+Simulations!$CE40/Simulations!$J40*SQRT(PI())/2*ERFC(SQRT(LN(Simulations!$CE40/Simulations!$J40)))),PI()*Simulations!$T40^2/2*(LN(Simulations!$CE40/Simulations!$J40)+1))))</f>
        <v>0</v>
      </c>
      <c r="V40" s="0" t="n">
        <f aca="false">IF(OR(NOT(AND(Simulations!$A40&lt;&gt;"",OR(Simulations!$CA40&lt;&gt;"",N(Simulations!$CC40)&gt;0))),N(Simulations!$CF40)&lt;=0,N(Simulations!$CC40)&lt;=0,3&gt;N(Simulations!$O40)),0,IF(Simulations!$CF40&lt;Simulations!$J40,Simulations!$CC40/(Simulations!$G40*Simulations!$H40*IF(Simulations!$I40&gt;0,Simulations!$I40,1))*Simulations!$CF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F40/Simulations!$J40)^1.5+SQRT(LN(Simulations!$CF40/Simulations!$J40))+Simulations!$CF40/Simulations!$J40*SQRT(PI())/2*ERFC(SQRT(LN(Simulations!$CF40/Simulations!$J40)))),PI()*Simulations!$T40^2/2*(LN(Simulations!$CF40/Simulations!$J40)+1))))</f>
        <v>0</v>
      </c>
      <c r="W40" s="0" t="n">
        <f aca="false">IF(NOT(AND(Simulations!$A40&lt;&gt;"",OR(Simulations!$CA40&lt;&gt;"",N(Simulations!$CC40)&gt;0))),0,MAX(N(Simulations!$CD40),N(Simulations!$CE40),N(Simulations!$CF40))/Simulations!$J40)</f>
        <v>0</v>
      </c>
      <c r="X40" s="0" t="n">
        <f aca="false">IF(OR(NOT(AND(Simulations!$A40&lt;&gt;"",OR(Simulations!$CA40&lt;&gt;"",N(Simulations!$CC40)&gt;0))),N(Simulations!$CB40)&lt;=0),0,SQRT(2*Simulations!$CB40*1000000/(Simulations!$J40*1000))/Simulations!$T40)</f>
        <v>0</v>
      </c>
      <c r="Y40" s="0" t="n">
        <f aca="false">IF(AND(Simulations!$A40&lt;&gt;"",OR(Simulations!$CA40&lt;&gt;"",N(Simulations!$CC40)&gt;0)),1,0)</f>
        <v>0</v>
      </c>
      <c r="Z40" s="0" t="n">
        <f aca="false">IF(OR(NOT(AND(Simulations!$A40&lt;&gt;"",OR(Simulations!$CS40&lt;&gt;"",N(Simulations!$CU40)&gt;0))),N(Simulations!$CV40)&lt;=0,N(Simulations!$CU40)&lt;=0,1&gt;N(Simulations!$O40)),0,IF(Simulations!$CV40&lt;Simulations!$J40,Simulations!$CU40/(Simulations!$G40*Simulations!$H40*IF(Simulations!$I40&gt;0,Simulations!$I40,1))*Simulations!$CV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V40/Simulations!$J40)^1.5+SQRT(LN(Simulations!$CV40/Simulations!$J40))+Simulations!$CV40/Simulations!$J40*SQRT(PI())/2*ERFC(SQRT(LN(Simulations!$CV40/Simulations!$J40)))),PI()*Simulations!$T40^2/2*(LN(Simulations!$CV40/Simulations!$J40)+1))))</f>
        <v>0</v>
      </c>
      <c r="AA40" s="0" t="n">
        <f aca="false">IF(OR(NOT(AND(Simulations!$A40&lt;&gt;"",OR(Simulations!$CS40&lt;&gt;"",N(Simulations!$CU40)&gt;0))),N(Simulations!$CW40)&lt;=0,N(Simulations!$CU40)&lt;=0,2&gt;N(Simulations!$O40)),0,IF(Simulations!$CW40&lt;Simulations!$J40,Simulations!$CU40/(Simulations!$G40*Simulations!$H40*IF(Simulations!$I40&gt;0,Simulations!$I40,1))*Simulations!$CW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W40/Simulations!$J40)^1.5+SQRT(LN(Simulations!$CW40/Simulations!$J40))+Simulations!$CW40/Simulations!$J40*SQRT(PI())/2*ERFC(SQRT(LN(Simulations!$CW40/Simulations!$J40)))),PI()*Simulations!$T40^2/2*(LN(Simulations!$CW40/Simulations!$J40)+1))))</f>
        <v>0</v>
      </c>
      <c r="AB40" s="0" t="n">
        <f aca="false">IF(OR(NOT(AND(Simulations!$A40&lt;&gt;"",OR(Simulations!$CS40&lt;&gt;"",N(Simulations!$CU40)&gt;0))),N(Simulations!$CX40)&lt;=0,N(Simulations!$CU40)&lt;=0,3&gt;N(Simulations!$O40)),0,IF(Simulations!$CX40&lt;Simulations!$J40,Simulations!$CU40/(Simulations!$G40*Simulations!$H40*IF(Simulations!$I40&gt;0,Simulations!$I40,1))*Simulations!$CX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X40/Simulations!$J40)^1.5+SQRT(LN(Simulations!$CX40/Simulations!$J40))+Simulations!$CX40/Simulations!$J40*SQRT(PI())/2*ERFC(SQRT(LN(Simulations!$CX40/Simulations!$J40)))),PI()*Simulations!$T40^2/2*(LN(Simulations!$CX40/Simulations!$J40)+1))))</f>
        <v>0</v>
      </c>
      <c r="AC40" s="0" t="n">
        <f aca="false">IF(NOT(AND(Simulations!$A40&lt;&gt;"",OR(Simulations!$CS40&lt;&gt;"",N(Simulations!$CU40)&gt;0))),0,MAX(N(Simulations!$CV40),N(Simulations!$CW40),N(Simulations!$CX40))/Simulations!$J40)</f>
        <v>0</v>
      </c>
      <c r="AD40" s="0" t="n">
        <f aca="false">IF(OR(NOT(AND(Simulations!$A40&lt;&gt;"",OR(Simulations!$CS40&lt;&gt;"",N(Simulations!$CU40)&gt;0))),N(Simulations!$CT40)&lt;=0),0,SQRT(2*Simulations!$CT40*1000000/(Simulations!$J40*1000))/Simulations!$T40)</f>
        <v>0</v>
      </c>
      <c r="AE40" s="0" t="n">
        <f aca="false">IF(AND(Simulations!$A40&lt;&gt;"",OR(Simulations!$CS40&lt;&gt;"",N(Simulations!$CU40)&gt;0)),1,0)</f>
        <v>0</v>
      </c>
      <c r="AF40" s="0" t="n">
        <f aca="false">IF(OR(NOT(AND(Simulations!$A40&lt;&gt;"",OR(Simulations!$DK40&lt;&gt;"",N(Simulations!$DM40)&gt;0))),N(Simulations!$DN40)&lt;=0,N(Simulations!$DM40)&lt;=0,1&gt;N(Simulations!$O40)),0,IF(Simulations!$DN40&lt;Simulations!$J40,Simulations!$DM40/(Simulations!$G40*Simulations!$H40*IF(Simulations!$I40&gt;0,Simulations!$I40,1))*Simulations!$DN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N40/Simulations!$J40)^1.5+SQRT(LN(Simulations!$DN40/Simulations!$J40))+Simulations!$DN40/Simulations!$J40*SQRT(PI())/2*ERFC(SQRT(LN(Simulations!$DN40/Simulations!$J40)))),PI()*Simulations!$T40^2/2*(LN(Simulations!$DN40/Simulations!$J40)+1))))</f>
        <v>0</v>
      </c>
      <c r="AG40" s="0" t="n">
        <f aca="false">IF(OR(NOT(AND(Simulations!$A40&lt;&gt;"",OR(Simulations!$DK40&lt;&gt;"",N(Simulations!$DM40)&gt;0))),N(Simulations!$DO40)&lt;=0,N(Simulations!$DM40)&lt;=0,2&gt;N(Simulations!$O40)),0,IF(Simulations!$DO40&lt;Simulations!$J40,Simulations!$DM40/(Simulations!$G40*Simulations!$H40*IF(Simulations!$I40&gt;0,Simulations!$I40,1))*Simulations!$DO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O40/Simulations!$J40)^1.5+SQRT(LN(Simulations!$DO40/Simulations!$J40))+Simulations!$DO40/Simulations!$J40*SQRT(PI())/2*ERFC(SQRT(LN(Simulations!$DO40/Simulations!$J40)))),PI()*Simulations!$T40^2/2*(LN(Simulations!$DO40/Simulations!$J40)+1))))</f>
        <v>0</v>
      </c>
      <c r="AH40" s="0" t="n">
        <f aca="false">IF(OR(NOT(AND(Simulations!$A40&lt;&gt;"",OR(Simulations!$DK40&lt;&gt;"",N(Simulations!$DM40)&gt;0))),N(Simulations!$DP40)&lt;=0,N(Simulations!$DM40)&lt;=0,3&gt;N(Simulations!$O40)),0,IF(Simulations!$DP40&lt;Simulations!$J40,Simulations!$DM40/(Simulations!$G40*Simulations!$H40*IF(Simulations!$I40&gt;0,Simulations!$I40,1))*Simulations!$DP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P40/Simulations!$J40)^1.5+SQRT(LN(Simulations!$DP40/Simulations!$J40))+Simulations!$DP40/Simulations!$J40*SQRT(PI())/2*ERFC(SQRT(LN(Simulations!$DP40/Simulations!$J40)))),PI()*Simulations!$T40^2/2*(LN(Simulations!$DP40/Simulations!$J40)+1))))</f>
        <v>0</v>
      </c>
      <c r="AI40" s="0" t="n">
        <f aca="false">IF(NOT(AND(Simulations!$A40&lt;&gt;"",OR(Simulations!$DK40&lt;&gt;"",N(Simulations!$DM40)&gt;0))),0,MAX(N(Simulations!$DN40),N(Simulations!$DO40),N(Simulations!$DP40))/Simulations!$J40)</f>
        <v>0</v>
      </c>
      <c r="AJ40" s="0" t="n">
        <f aca="false">IF(OR(NOT(AND(Simulations!$A40&lt;&gt;"",OR(Simulations!$DK40&lt;&gt;"",N(Simulations!$DM40)&gt;0))),N(Simulations!$DL40)&lt;=0),0,SQRT(2*Simulations!$DL40*1000000/(Simulations!$J40*1000))/Simulations!$T40)</f>
        <v>0</v>
      </c>
      <c r="AK40" s="0" t="n">
        <f aca="false">IF(AND(Simulations!$A40&lt;&gt;"",OR(Simulations!$DK40&lt;&gt;"",N(Simulations!$DM40)&gt;0)),1,0)</f>
        <v>0</v>
      </c>
    </row>
    <row r="41" customFormat="false" ht="15" hidden="false" customHeight="false" outlineLevel="0" collapsed="false">
      <c r="B41" s="0" t="n">
        <f aca="false">IF(OR(NOT(AND(Simulations!$A41&lt;&gt;"",OR(Simulations!$Y41&lt;&gt;"",N(Simulations!$AA41)&gt;0))),N(Simulations!$AB41)&lt;=0,N(Simulations!$AA41)&lt;=0,1&gt;N(Simulations!$O41)),0,IF(Simulations!$AB41&lt;Simulations!$J41,Simulations!$AA41/(Simulations!$G41*Simulations!$H41*IF(Simulations!$I41&gt;0,Simulations!$I41,1))*Simulations!$AB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B41/Simulations!$J41)^1.5+SQRT(LN(Simulations!$AB41/Simulations!$J41))+Simulations!$AB41/Simulations!$J41*SQRT(PI())/2*ERFC(SQRT(LN(Simulations!$AB41/Simulations!$J41)))),PI()*Simulations!$T41^2/2*(LN(Simulations!$AB41/Simulations!$J41)+1))))</f>
        <v>0</v>
      </c>
      <c r="C41" s="0" t="n">
        <f aca="false">IF(OR(NOT(AND(Simulations!$A41&lt;&gt;"",OR(Simulations!$Y41&lt;&gt;"",N(Simulations!$AA41)&gt;0))),N(Simulations!$AC41)&lt;=0,N(Simulations!$AA41)&lt;=0,2&gt;N(Simulations!$O41)),0,IF(Simulations!$AC41&lt;Simulations!$J41,Simulations!$AA41/(Simulations!$G41*Simulations!$H41*IF(Simulations!$I41&gt;0,Simulations!$I41,1))*Simulations!$AC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C41/Simulations!$J41)^1.5+SQRT(LN(Simulations!$AC41/Simulations!$J41))+Simulations!$AC41/Simulations!$J41*SQRT(PI())/2*ERFC(SQRT(LN(Simulations!$AC41/Simulations!$J41)))),PI()*Simulations!$T41^2/2*(LN(Simulations!$AC41/Simulations!$J41)+1))))</f>
        <v>0</v>
      </c>
      <c r="D41" s="0" t="n">
        <f aca="false">IF(OR(NOT(AND(Simulations!$A41&lt;&gt;"",OR(Simulations!$Y41&lt;&gt;"",N(Simulations!$AA41)&gt;0))),N(Simulations!$AD41)&lt;=0,N(Simulations!$AA41)&lt;=0,3&gt;N(Simulations!$O41)),0,IF(Simulations!$AD41&lt;Simulations!$J41,Simulations!$AA41/(Simulations!$G41*Simulations!$H41*IF(Simulations!$I41&gt;0,Simulations!$I41,1))*Simulations!$AD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D41/Simulations!$J41)^1.5+SQRT(LN(Simulations!$AD41/Simulations!$J41))+Simulations!$AD41/Simulations!$J41*SQRT(PI())/2*ERFC(SQRT(LN(Simulations!$AD41/Simulations!$J41)))),PI()*Simulations!$T41^2/2*(LN(Simulations!$AD41/Simulations!$J41)+1))))</f>
        <v>0</v>
      </c>
      <c r="E41" s="0" t="n">
        <f aca="false">IF(NOT(AND(Simulations!$A41&lt;&gt;"",OR(Simulations!$Y41&lt;&gt;"",N(Simulations!$AA41)&gt;0))),0,MAX(N(Simulations!$AB41),N(Simulations!$AC41),N(Simulations!$AD41))/Simulations!$J41)</f>
        <v>0</v>
      </c>
      <c r="F41" s="0" t="n">
        <f aca="false">IF(OR(NOT(AND(Simulations!$A41&lt;&gt;"",OR(Simulations!$Y41&lt;&gt;"",N(Simulations!$AA41)&gt;0))),N(Simulations!$Z41)&lt;=0),0,SQRT(2*Simulations!$Z41*1000000/(Simulations!$J41*1000))/Simulations!$T41)</f>
        <v>0</v>
      </c>
      <c r="G41" s="0" t="n">
        <f aca="false">IF(AND(Simulations!$A41&lt;&gt;"",OR(Simulations!$Y41&lt;&gt;"",N(Simulations!$AA41)&gt;0)),1,0)</f>
        <v>0</v>
      </c>
      <c r="H41" s="0" t="n">
        <f aca="false">IF(OR(NOT(AND(Simulations!$A41&lt;&gt;"",OR(Simulations!$AQ41&lt;&gt;"",N(Simulations!$AS41)&gt;0))),N(Simulations!$AT41)&lt;=0,N(Simulations!$AS41)&lt;=0,1&gt;N(Simulations!$O41)),0,IF(Simulations!$AT41&lt;Simulations!$J41,Simulations!$AS41/(Simulations!$G41*Simulations!$H41*IF(Simulations!$I41&gt;0,Simulations!$I41,1))*Simulations!$AT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T41/Simulations!$J41)^1.5+SQRT(LN(Simulations!$AT41/Simulations!$J41))+Simulations!$AT41/Simulations!$J41*SQRT(PI())/2*ERFC(SQRT(LN(Simulations!$AT41/Simulations!$J41)))),PI()*Simulations!$T41^2/2*(LN(Simulations!$AT41/Simulations!$J41)+1))))</f>
        <v>0</v>
      </c>
      <c r="I41" s="0" t="n">
        <f aca="false">IF(OR(NOT(AND(Simulations!$A41&lt;&gt;"",OR(Simulations!$AQ41&lt;&gt;"",N(Simulations!$AS41)&gt;0))),N(Simulations!$AU41)&lt;=0,N(Simulations!$AS41)&lt;=0,2&gt;N(Simulations!$O41)),0,IF(Simulations!$AU41&lt;Simulations!$J41,Simulations!$AS41/(Simulations!$G41*Simulations!$H41*IF(Simulations!$I41&gt;0,Simulations!$I41,1))*Simulations!$AU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U41/Simulations!$J41)^1.5+SQRT(LN(Simulations!$AU41/Simulations!$J41))+Simulations!$AU41/Simulations!$J41*SQRT(PI())/2*ERFC(SQRT(LN(Simulations!$AU41/Simulations!$J41)))),PI()*Simulations!$T41^2/2*(LN(Simulations!$AU41/Simulations!$J41)+1))))</f>
        <v>0</v>
      </c>
      <c r="J41" s="0" t="n">
        <f aca="false">IF(OR(NOT(AND(Simulations!$A41&lt;&gt;"",OR(Simulations!$AQ41&lt;&gt;"",N(Simulations!$AS41)&gt;0))),N(Simulations!$AV41)&lt;=0,N(Simulations!$AS41)&lt;=0,3&gt;N(Simulations!$O41)),0,IF(Simulations!$AV41&lt;Simulations!$J41,Simulations!$AS41/(Simulations!$G41*Simulations!$H41*IF(Simulations!$I41&gt;0,Simulations!$I41,1))*Simulations!$AV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V41/Simulations!$J41)^1.5+SQRT(LN(Simulations!$AV41/Simulations!$J41))+Simulations!$AV41/Simulations!$J41*SQRT(PI())/2*ERFC(SQRT(LN(Simulations!$AV41/Simulations!$J41)))),PI()*Simulations!$T41^2/2*(LN(Simulations!$AV41/Simulations!$J41)+1))))</f>
        <v>0</v>
      </c>
      <c r="K41" s="0" t="n">
        <f aca="false">IF(NOT(AND(Simulations!$A41&lt;&gt;"",OR(Simulations!$AQ41&lt;&gt;"",N(Simulations!$AS41)&gt;0))),0,MAX(N(Simulations!$AT41),N(Simulations!$AU41),N(Simulations!$AV41))/Simulations!$J41)</f>
        <v>0</v>
      </c>
      <c r="L41" s="0" t="n">
        <f aca="false">IF(OR(NOT(AND(Simulations!$A41&lt;&gt;"",OR(Simulations!$AQ41&lt;&gt;"",N(Simulations!$AS41)&gt;0))),N(Simulations!$AR41)&lt;=0),0,SQRT(2*Simulations!$AR41*1000000/(Simulations!$J41*1000))/Simulations!$T41)</f>
        <v>0</v>
      </c>
      <c r="M41" s="0" t="n">
        <f aca="false">IF(AND(Simulations!$A41&lt;&gt;"",OR(Simulations!$AQ41&lt;&gt;"",N(Simulations!$AS41)&gt;0)),1,0)</f>
        <v>0</v>
      </c>
      <c r="N41" s="0" t="n">
        <f aca="false">IF(OR(NOT(AND(Simulations!$A41&lt;&gt;"",OR(Simulations!$BI41&lt;&gt;"",N(Simulations!$BK41)&gt;0))),N(Simulations!$BL41)&lt;=0,N(Simulations!$BK41)&lt;=0,1&gt;N(Simulations!$O41)),0,IF(Simulations!$BL41&lt;Simulations!$J41,Simulations!$BK41/(Simulations!$G41*Simulations!$H41*IF(Simulations!$I41&gt;0,Simulations!$I41,1))*Simulations!$BL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L41/Simulations!$J41)^1.5+SQRT(LN(Simulations!$BL41/Simulations!$J41))+Simulations!$BL41/Simulations!$J41*SQRT(PI())/2*ERFC(SQRT(LN(Simulations!$BL41/Simulations!$J41)))),PI()*Simulations!$T41^2/2*(LN(Simulations!$BL41/Simulations!$J41)+1))))</f>
        <v>0</v>
      </c>
      <c r="O41" s="0" t="n">
        <f aca="false">IF(OR(NOT(AND(Simulations!$A41&lt;&gt;"",OR(Simulations!$BI41&lt;&gt;"",N(Simulations!$BK41)&gt;0))),N(Simulations!$BM41)&lt;=0,N(Simulations!$BK41)&lt;=0,2&gt;N(Simulations!$O41)),0,IF(Simulations!$BM41&lt;Simulations!$J41,Simulations!$BK41/(Simulations!$G41*Simulations!$H41*IF(Simulations!$I41&gt;0,Simulations!$I41,1))*Simulations!$BM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M41/Simulations!$J41)^1.5+SQRT(LN(Simulations!$BM41/Simulations!$J41))+Simulations!$BM41/Simulations!$J41*SQRT(PI())/2*ERFC(SQRT(LN(Simulations!$BM41/Simulations!$J41)))),PI()*Simulations!$T41^2/2*(LN(Simulations!$BM41/Simulations!$J41)+1))))</f>
        <v>0</v>
      </c>
      <c r="P41" s="0" t="n">
        <f aca="false">IF(OR(NOT(AND(Simulations!$A41&lt;&gt;"",OR(Simulations!$BI41&lt;&gt;"",N(Simulations!$BK41)&gt;0))),N(Simulations!$BN41)&lt;=0,N(Simulations!$BK41)&lt;=0,3&gt;N(Simulations!$O41)),0,IF(Simulations!$BN41&lt;Simulations!$J41,Simulations!$BK41/(Simulations!$G41*Simulations!$H41*IF(Simulations!$I41&gt;0,Simulations!$I41,1))*Simulations!$BN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N41/Simulations!$J41)^1.5+SQRT(LN(Simulations!$BN41/Simulations!$J41))+Simulations!$BN41/Simulations!$J41*SQRT(PI())/2*ERFC(SQRT(LN(Simulations!$BN41/Simulations!$J41)))),PI()*Simulations!$T41^2/2*(LN(Simulations!$BN41/Simulations!$J41)+1))))</f>
        <v>0</v>
      </c>
      <c r="Q41" s="0" t="n">
        <f aca="false">IF(NOT(AND(Simulations!$A41&lt;&gt;"",OR(Simulations!$BI41&lt;&gt;"",N(Simulations!$BK41)&gt;0))),0,MAX(N(Simulations!$BL41),N(Simulations!$BM41),N(Simulations!$BN41))/Simulations!$J41)</f>
        <v>0</v>
      </c>
      <c r="R41" s="0" t="n">
        <f aca="false">IF(OR(NOT(AND(Simulations!$A41&lt;&gt;"",OR(Simulations!$BI41&lt;&gt;"",N(Simulations!$BK41)&gt;0))),N(Simulations!$BJ41)&lt;=0),0,SQRT(2*Simulations!$BJ41*1000000/(Simulations!$J41*1000))/Simulations!$T41)</f>
        <v>0</v>
      </c>
      <c r="S41" s="0" t="n">
        <f aca="false">IF(AND(Simulations!$A41&lt;&gt;"",OR(Simulations!$BI41&lt;&gt;"",N(Simulations!$BK41)&gt;0)),1,0)</f>
        <v>0</v>
      </c>
      <c r="T41" s="0" t="n">
        <f aca="false">IF(OR(NOT(AND(Simulations!$A41&lt;&gt;"",OR(Simulations!$CA41&lt;&gt;"",N(Simulations!$CC41)&gt;0))),N(Simulations!$CD41)&lt;=0,N(Simulations!$CC41)&lt;=0,1&gt;N(Simulations!$O41)),0,IF(Simulations!$CD41&lt;Simulations!$J41,Simulations!$CC41/(Simulations!$G41*Simulations!$H41*IF(Simulations!$I41&gt;0,Simulations!$I41,1))*Simulations!$CD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D41/Simulations!$J41)^1.5+SQRT(LN(Simulations!$CD41/Simulations!$J41))+Simulations!$CD41/Simulations!$J41*SQRT(PI())/2*ERFC(SQRT(LN(Simulations!$CD41/Simulations!$J41)))),PI()*Simulations!$T41^2/2*(LN(Simulations!$CD41/Simulations!$J41)+1))))</f>
        <v>0</v>
      </c>
      <c r="U41" s="0" t="n">
        <f aca="false">IF(OR(NOT(AND(Simulations!$A41&lt;&gt;"",OR(Simulations!$CA41&lt;&gt;"",N(Simulations!$CC41)&gt;0))),N(Simulations!$CE41)&lt;=0,N(Simulations!$CC41)&lt;=0,2&gt;N(Simulations!$O41)),0,IF(Simulations!$CE41&lt;Simulations!$J41,Simulations!$CC41/(Simulations!$G41*Simulations!$H41*IF(Simulations!$I41&gt;0,Simulations!$I41,1))*Simulations!$CE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E41/Simulations!$J41)^1.5+SQRT(LN(Simulations!$CE41/Simulations!$J41))+Simulations!$CE41/Simulations!$J41*SQRT(PI())/2*ERFC(SQRT(LN(Simulations!$CE41/Simulations!$J41)))),PI()*Simulations!$T41^2/2*(LN(Simulations!$CE41/Simulations!$J41)+1))))</f>
        <v>0</v>
      </c>
      <c r="V41" s="0" t="n">
        <f aca="false">IF(OR(NOT(AND(Simulations!$A41&lt;&gt;"",OR(Simulations!$CA41&lt;&gt;"",N(Simulations!$CC41)&gt;0))),N(Simulations!$CF41)&lt;=0,N(Simulations!$CC41)&lt;=0,3&gt;N(Simulations!$O41)),0,IF(Simulations!$CF41&lt;Simulations!$J41,Simulations!$CC41/(Simulations!$G41*Simulations!$H41*IF(Simulations!$I41&gt;0,Simulations!$I41,1))*Simulations!$CF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F41/Simulations!$J41)^1.5+SQRT(LN(Simulations!$CF41/Simulations!$J41))+Simulations!$CF41/Simulations!$J41*SQRT(PI())/2*ERFC(SQRT(LN(Simulations!$CF41/Simulations!$J41)))),PI()*Simulations!$T41^2/2*(LN(Simulations!$CF41/Simulations!$J41)+1))))</f>
        <v>0</v>
      </c>
      <c r="W41" s="0" t="n">
        <f aca="false">IF(NOT(AND(Simulations!$A41&lt;&gt;"",OR(Simulations!$CA41&lt;&gt;"",N(Simulations!$CC41)&gt;0))),0,MAX(N(Simulations!$CD41),N(Simulations!$CE41),N(Simulations!$CF41))/Simulations!$J41)</f>
        <v>0</v>
      </c>
      <c r="X41" s="0" t="n">
        <f aca="false">IF(OR(NOT(AND(Simulations!$A41&lt;&gt;"",OR(Simulations!$CA41&lt;&gt;"",N(Simulations!$CC41)&gt;0))),N(Simulations!$CB41)&lt;=0),0,SQRT(2*Simulations!$CB41*1000000/(Simulations!$J41*1000))/Simulations!$T41)</f>
        <v>0</v>
      </c>
      <c r="Y41" s="0" t="n">
        <f aca="false">IF(AND(Simulations!$A41&lt;&gt;"",OR(Simulations!$CA41&lt;&gt;"",N(Simulations!$CC41)&gt;0)),1,0)</f>
        <v>0</v>
      </c>
      <c r="Z41" s="0" t="n">
        <f aca="false">IF(OR(NOT(AND(Simulations!$A41&lt;&gt;"",OR(Simulations!$CS41&lt;&gt;"",N(Simulations!$CU41)&gt;0))),N(Simulations!$CV41)&lt;=0,N(Simulations!$CU41)&lt;=0,1&gt;N(Simulations!$O41)),0,IF(Simulations!$CV41&lt;Simulations!$J41,Simulations!$CU41/(Simulations!$G41*Simulations!$H41*IF(Simulations!$I41&gt;0,Simulations!$I41,1))*Simulations!$CV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V41/Simulations!$J41)^1.5+SQRT(LN(Simulations!$CV41/Simulations!$J41))+Simulations!$CV41/Simulations!$J41*SQRT(PI())/2*ERFC(SQRT(LN(Simulations!$CV41/Simulations!$J41)))),PI()*Simulations!$T41^2/2*(LN(Simulations!$CV41/Simulations!$J41)+1))))</f>
        <v>0</v>
      </c>
      <c r="AA41" s="0" t="n">
        <f aca="false">IF(OR(NOT(AND(Simulations!$A41&lt;&gt;"",OR(Simulations!$CS41&lt;&gt;"",N(Simulations!$CU41)&gt;0))),N(Simulations!$CW41)&lt;=0,N(Simulations!$CU41)&lt;=0,2&gt;N(Simulations!$O41)),0,IF(Simulations!$CW41&lt;Simulations!$J41,Simulations!$CU41/(Simulations!$G41*Simulations!$H41*IF(Simulations!$I41&gt;0,Simulations!$I41,1))*Simulations!$CW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W41/Simulations!$J41)^1.5+SQRT(LN(Simulations!$CW41/Simulations!$J41))+Simulations!$CW41/Simulations!$J41*SQRT(PI())/2*ERFC(SQRT(LN(Simulations!$CW41/Simulations!$J41)))),PI()*Simulations!$T41^2/2*(LN(Simulations!$CW41/Simulations!$J41)+1))))</f>
        <v>0</v>
      </c>
      <c r="AB41" s="0" t="n">
        <f aca="false">IF(OR(NOT(AND(Simulations!$A41&lt;&gt;"",OR(Simulations!$CS41&lt;&gt;"",N(Simulations!$CU41)&gt;0))),N(Simulations!$CX41)&lt;=0,N(Simulations!$CU41)&lt;=0,3&gt;N(Simulations!$O41)),0,IF(Simulations!$CX41&lt;Simulations!$J41,Simulations!$CU41/(Simulations!$G41*Simulations!$H41*IF(Simulations!$I41&gt;0,Simulations!$I41,1))*Simulations!$CX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X41/Simulations!$J41)^1.5+SQRT(LN(Simulations!$CX41/Simulations!$J41))+Simulations!$CX41/Simulations!$J41*SQRT(PI())/2*ERFC(SQRT(LN(Simulations!$CX41/Simulations!$J41)))),PI()*Simulations!$T41^2/2*(LN(Simulations!$CX41/Simulations!$J41)+1))))</f>
        <v>0</v>
      </c>
      <c r="AC41" s="0" t="n">
        <f aca="false">IF(NOT(AND(Simulations!$A41&lt;&gt;"",OR(Simulations!$CS41&lt;&gt;"",N(Simulations!$CU41)&gt;0))),0,MAX(N(Simulations!$CV41),N(Simulations!$CW41),N(Simulations!$CX41))/Simulations!$J41)</f>
        <v>0</v>
      </c>
      <c r="AD41" s="0" t="n">
        <f aca="false">IF(OR(NOT(AND(Simulations!$A41&lt;&gt;"",OR(Simulations!$CS41&lt;&gt;"",N(Simulations!$CU41)&gt;0))),N(Simulations!$CT41)&lt;=0),0,SQRT(2*Simulations!$CT41*1000000/(Simulations!$J41*1000))/Simulations!$T41)</f>
        <v>0</v>
      </c>
      <c r="AE41" s="0" t="n">
        <f aca="false">IF(AND(Simulations!$A41&lt;&gt;"",OR(Simulations!$CS41&lt;&gt;"",N(Simulations!$CU41)&gt;0)),1,0)</f>
        <v>0</v>
      </c>
      <c r="AF41" s="0" t="n">
        <f aca="false">IF(OR(NOT(AND(Simulations!$A41&lt;&gt;"",OR(Simulations!$DK41&lt;&gt;"",N(Simulations!$DM41)&gt;0))),N(Simulations!$DN41)&lt;=0,N(Simulations!$DM41)&lt;=0,1&gt;N(Simulations!$O41)),0,IF(Simulations!$DN41&lt;Simulations!$J41,Simulations!$DM41/(Simulations!$G41*Simulations!$H41*IF(Simulations!$I41&gt;0,Simulations!$I41,1))*Simulations!$DN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N41/Simulations!$J41)^1.5+SQRT(LN(Simulations!$DN41/Simulations!$J41))+Simulations!$DN41/Simulations!$J41*SQRT(PI())/2*ERFC(SQRT(LN(Simulations!$DN41/Simulations!$J41)))),PI()*Simulations!$T41^2/2*(LN(Simulations!$DN41/Simulations!$J41)+1))))</f>
        <v>0</v>
      </c>
      <c r="AG41" s="0" t="n">
        <f aca="false">IF(OR(NOT(AND(Simulations!$A41&lt;&gt;"",OR(Simulations!$DK41&lt;&gt;"",N(Simulations!$DM41)&gt;0))),N(Simulations!$DO41)&lt;=0,N(Simulations!$DM41)&lt;=0,2&gt;N(Simulations!$O41)),0,IF(Simulations!$DO41&lt;Simulations!$J41,Simulations!$DM41/(Simulations!$G41*Simulations!$H41*IF(Simulations!$I41&gt;0,Simulations!$I41,1))*Simulations!$DO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O41/Simulations!$J41)^1.5+SQRT(LN(Simulations!$DO41/Simulations!$J41))+Simulations!$DO41/Simulations!$J41*SQRT(PI())/2*ERFC(SQRT(LN(Simulations!$DO41/Simulations!$J41)))),PI()*Simulations!$T41^2/2*(LN(Simulations!$DO41/Simulations!$J41)+1))))</f>
        <v>0</v>
      </c>
      <c r="AH41" s="0" t="n">
        <f aca="false">IF(OR(NOT(AND(Simulations!$A41&lt;&gt;"",OR(Simulations!$DK41&lt;&gt;"",N(Simulations!$DM41)&gt;0))),N(Simulations!$DP41)&lt;=0,N(Simulations!$DM41)&lt;=0,3&gt;N(Simulations!$O41)),0,IF(Simulations!$DP41&lt;Simulations!$J41,Simulations!$DM41/(Simulations!$G41*Simulations!$H41*IF(Simulations!$I41&gt;0,Simulations!$I41,1))*Simulations!$DP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P41/Simulations!$J41)^1.5+SQRT(LN(Simulations!$DP41/Simulations!$J41))+Simulations!$DP41/Simulations!$J41*SQRT(PI())/2*ERFC(SQRT(LN(Simulations!$DP41/Simulations!$J41)))),PI()*Simulations!$T41^2/2*(LN(Simulations!$DP41/Simulations!$J41)+1))))</f>
        <v>0</v>
      </c>
      <c r="AI41" s="0" t="n">
        <f aca="false">IF(NOT(AND(Simulations!$A41&lt;&gt;"",OR(Simulations!$DK41&lt;&gt;"",N(Simulations!$DM41)&gt;0))),0,MAX(N(Simulations!$DN41),N(Simulations!$DO41),N(Simulations!$DP41))/Simulations!$J41)</f>
        <v>0</v>
      </c>
      <c r="AJ41" s="0" t="n">
        <f aca="false">IF(OR(NOT(AND(Simulations!$A41&lt;&gt;"",OR(Simulations!$DK41&lt;&gt;"",N(Simulations!$DM41)&gt;0))),N(Simulations!$DL41)&lt;=0),0,SQRT(2*Simulations!$DL41*1000000/(Simulations!$J41*1000))/Simulations!$T41)</f>
        <v>0</v>
      </c>
      <c r="AK41" s="0" t="n">
        <f aca="false">IF(AND(Simulations!$A41&lt;&gt;"",OR(Simulations!$DK41&lt;&gt;"",N(Simulations!$DM41)&gt;0)),1,0)</f>
        <v>0</v>
      </c>
    </row>
    <row r="42" customFormat="false" ht="15" hidden="false" customHeight="false" outlineLevel="0" collapsed="false">
      <c r="B42" s="0" t="n">
        <f aca="false">IF(OR(NOT(AND(Simulations!$A42&lt;&gt;"",OR(Simulations!$Y42&lt;&gt;"",N(Simulations!$AA42)&gt;0))),N(Simulations!$AB42)&lt;=0,N(Simulations!$AA42)&lt;=0,1&gt;N(Simulations!$O42)),0,IF(Simulations!$AB42&lt;Simulations!$J42,Simulations!$AA42/(Simulations!$G42*Simulations!$H42*IF(Simulations!$I42&gt;0,Simulations!$I42,1))*Simulations!$AB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B42/Simulations!$J42)^1.5+SQRT(LN(Simulations!$AB42/Simulations!$J42))+Simulations!$AB42/Simulations!$J42*SQRT(PI())/2*ERFC(SQRT(LN(Simulations!$AB42/Simulations!$J42)))),PI()*Simulations!$T42^2/2*(LN(Simulations!$AB42/Simulations!$J42)+1))))</f>
        <v>0</v>
      </c>
      <c r="C42" s="0" t="n">
        <f aca="false">IF(OR(NOT(AND(Simulations!$A42&lt;&gt;"",OR(Simulations!$Y42&lt;&gt;"",N(Simulations!$AA42)&gt;0))),N(Simulations!$AC42)&lt;=0,N(Simulations!$AA42)&lt;=0,2&gt;N(Simulations!$O42)),0,IF(Simulations!$AC42&lt;Simulations!$J42,Simulations!$AA42/(Simulations!$G42*Simulations!$H42*IF(Simulations!$I42&gt;0,Simulations!$I42,1))*Simulations!$AC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C42/Simulations!$J42)^1.5+SQRT(LN(Simulations!$AC42/Simulations!$J42))+Simulations!$AC42/Simulations!$J42*SQRT(PI())/2*ERFC(SQRT(LN(Simulations!$AC42/Simulations!$J42)))),PI()*Simulations!$T42^2/2*(LN(Simulations!$AC42/Simulations!$J42)+1))))</f>
        <v>0</v>
      </c>
      <c r="D42" s="0" t="n">
        <f aca="false">IF(OR(NOT(AND(Simulations!$A42&lt;&gt;"",OR(Simulations!$Y42&lt;&gt;"",N(Simulations!$AA42)&gt;0))),N(Simulations!$AD42)&lt;=0,N(Simulations!$AA42)&lt;=0,3&gt;N(Simulations!$O42)),0,IF(Simulations!$AD42&lt;Simulations!$J42,Simulations!$AA42/(Simulations!$G42*Simulations!$H42*IF(Simulations!$I42&gt;0,Simulations!$I42,1))*Simulations!$AD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D42/Simulations!$J42)^1.5+SQRT(LN(Simulations!$AD42/Simulations!$J42))+Simulations!$AD42/Simulations!$J42*SQRT(PI())/2*ERFC(SQRT(LN(Simulations!$AD42/Simulations!$J42)))),PI()*Simulations!$T42^2/2*(LN(Simulations!$AD42/Simulations!$J42)+1))))</f>
        <v>0</v>
      </c>
      <c r="E42" s="0" t="n">
        <f aca="false">IF(NOT(AND(Simulations!$A42&lt;&gt;"",OR(Simulations!$Y42&lt;&gt;"",N(Simulations!$AA42)&gt;0))),0,MAX(N(Simulations!$AB42),N(Simulations!$AC42),N(Simulations!$AD42))/Simulations!$J42)</f>
        <v>0</v>
      </c>
      <c r="F42" s="0" t="n">
        <f aca="false">IF(OR(NOT(AND(Simulations!$A42&lt;&gt;"",OR(Simulations!$Y42&lt;&gt;"",N(Simulations!$AA42)&gt;0))),N(Simulations!$Z42)&lt;=0),0,SQRT(2*Simulations!$Z42*1000000/(Simulations!$J42*1000))/Simulations!$T42)</f>
        <v>0</v>
      </c>
      <c r="G42" s="0" t="n">
        <f aca="false">IF(AND(Simulations!$A42&lt;&gt;"",OR(Simulations!$Y42&lt;&gt;"",N(Simulations!$AA42)&gt;0)),1,0)</f>
        <v>0</v>
      </c>
      <c r="H42" s="0" t="n">
        <f aca="false">IF(OR(NOT(AND(Simulations!$A42&lt;&gt;"",OR(Simulations!$AQ42&lt;&gt;"",N(Simulations!$AS42)&gt;0))),N(Simulations!$AT42)&lt;=0,N(Simulations!$AS42)&lt;=0,1&gt;N(Simulations!$O42)),0,IF(Simulations!$AT42&lt;Simulations!$J42,Simulations!$AS42/(Simulations!$G42*Simulations!$H42*IF(Simulations!$I42&gt;0,Simulations!$I42,1))*Simulations!$AT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T42/Simulations!$J42)^1.5+SQRT(LN(Simulations!$AT42/Simulations!$J42))+Simulations!$AT42/Simulations!$J42*SQRT(PI())/2*ERFC(SQRT(LN(Simulations!$AT42/Simulations!$J42)))),PI()*Simulations!$T42^2/2*(LN(Simulations!$AT42/Simulations!$J42)+1))))</f>
        <v>0</v>
      </c>
      <c r="I42" s="0" t="n">
        <f aca="false">IF(OR(NOT(AND(Simulations!$A42&lt;&gt;"",OR(Simulations!$AQ42&lt;&gt;"",N(Simulations!$AS42)&gt;0))),N(Simulations!$AU42)&lt;=0,N(Simulations!$AS42)&lt;=0,2&gt;N(Simulations!$O42)),0,IF(Simulations!$AU42&lt;Simulations!$J42,Simulations!$AS42/(Simulations!$G42*Simulations!$H42*IF(Simulations!$I42&gt;0,Simulations!$I42,1))*Simulations!$AU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U42/Simulations!$J42)^1.5+SQRT(LN(Simulations!$AU42/Simulations!$J42))+Simulations!$AU42/Simulations!$J42*SQRT(PI())/2*ERFC(SQRT(LN(Simulations!$AU42/Simulations!$J42)))),PI()*Simulations!$T42^2/2*(LN(Simulations!$AU42/Simulations!$J42)+1))))</f>
        <v>0</v>
      </c>
      <c r="J42" s="0" t="n">
        <f aca="false">IF(OR(NOT(AND(Simulations!$A42&lt;&gt;"",OR(Simulations!$AQ42&lt;&gt;"",N(Simulations!$AS42)&gt;0))),N(Simulations!$AV42)&lt;=0,N(Simulations!$AS42)&lt;=0,3&gt;N(Simulations!$O42)),0,IF(Simulations!$AV42&lt;Simulations!$J42,Simulations!$AS42/(Simulations!$G42*Simulations!$H42*IF(Simulations!$I42&gt;0,Simulations!$I42,1))*Simulations!$AV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V42/Simulations!$J42)^1.5+SQRT(LN(Simulations!$AV42/Simulations!$J42))+Simulations!$AV42/Simulations!$J42*SQRT(PI())/2*ERFC(SQRT(LN(Simulations!$AV42/Simulations!$J42)))),PI()*Simulations!$T42^2/2*(LN(Simulations!$AV42/Simulations!$J42)+1))))</f>
        <v>0</v>
      </c>
      <c r="K42" s="0" t="n">
        <f aca="false">IF(NOT(AND(Simulations!$A42&lt;&gt;"",OR(Simulations!$AQ42&lt;&gt;"",N(Simulations!$AS42)&gt;0))),0,MAX(N(Simulations!$AT42),N(Simulations!$AU42),N(Simulations!$AV42))/Simulations!$J42)</f>
        <v>0</v>
      </c>
      <c r="L42" s="0" t="n">
        <f aca="false">IF(OR(NOT(AND(Simulations!$A42&lt;&gt;"",OR(Simulations!$AQ42&lt;&gt;"",N(Simulations!$AS42)&gt;0))),N(Simulations!$AR42)&lt;=0),0,SQRT(2*Simulations!$AR42*1000000/(Simulations!$J42*1000))/Simulations!$T42)</f>
        <v>0</v>
      </c>
      <c r="M42" s="0" t="n">
        <f aca="false">IF(AND(Simulations!$A42&lt;&gt;"",OR(Simulations!$AQ42&lt;&gt;"",N(Simulations!$AS42)&gt;0)),1,0)</f>
        <v>0</v>
      </c>
      <c r="N42" s="0" t="n">
        <f aca="false">IF(OR(NOT(AND(Simulations!$A42&lt;&gt;"",OR(Simulations!$BI42&lt;&gt;"",N(Simulations!$BK42)&gt;0))),N(Simulations!$BL42)&lt;=0,N(Simulations!$BK42)&lt;=0,1&gt;N(Simulations!$O42)),0,IF(Simulations!$BL42&lt;Simulations!$J42,Simulations!$BK42/(Simulations!$G42*Simulations!$H42*IF(Simulations!$I42&gt;0,Simulations!$I42,1))*Simulations!$BL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L42/Simulations!$J42)^1.5+SQRT(LN(Simulations!$BL42/Simulations!$J42))+Simulations!$BL42/Simulations!$J42*SQRT(PI())/2*ERFC(SQRT(LN(Simulations!$BL42/Simulations!$J42)))),PI()*Simulations!$T42^2/2*(LN(Simulations!$BL42/Simulations!$J42)+1))))</f>
        <v>0</v>
      </c>
      <c r="O42" s="0" t="n">
        <f aca="false">IF(OR(NOT(AND(Simulations!$A42&lt;&gt;"",OR(Simulations!$BI42&lt;&gt;"",N(Simulations!$BK42)&gt;0))),N(Simulations!$BM42)&lt;=0,N(Simulations!$BK42)&lt;=0,2&gt;N(Simulations!$O42)),0,IF(Simulations!$BM42&lt;Simulations!$J42,Simulations!$BK42/(Simulations!$G42*Simulations!$H42*IF(Simulations!$I42&gt;0,Simulations!$I42,1))*Simulations!$BM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M42/Simulations!$J42)^1.5+SQRT(LN(Simulations!$BM42/Simulations!$J42))+Simulations!$BM42/Simulations!$J42*SQRT(PI())/2*ERFC(SQRT(LN(Simulations!$BM42/Simulations!$J42)))),PI()*Simulations!$T42^2/2*(LN(Simulations!$BM42/Simulations!$J42)+1))))</f>
        <v>0</v>
      </c>
      <c r="P42" s="0" t="n">
        <f aca="false">IF(OR(NOT(AND(Simulations!$A42&lt;&gt;"",OR(Simulations!$BI42&lt;&gt;"",N(Simulations!$BK42)&gt;0))),N(Simulations!$BN42)&lt;=0,N(Simulations!$BK42)&lt;=0,3&gt;N(Simulations!$O42)),0,IF(Simulations!$BN42&lt;Simulations!$J42,Simulations!$BK42/(Simulations!$G42*Simulations!$H42*IF(Simulations!$I42&gt;0,Simulations!$I42,1))*Simulations!$BN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N42/Simulations!$J42)^1.5+SQRT(LN(Simulations!$BN42/Simulations!$J42))+Simulations!$BN42/Simulations!$J42*SQRT(PI())/2*ERFC(SQRT(LN(Simulations!$BN42/Simulations!$J42)))),PI()*Simulations!$T42^2/2*(LN(Simulations!$BN42/Simulations!$J42)+1))))</f>
        <v>0</v>
      </c>
      <c r="Q42" s="0" t="n">
        <f aca="false">IF(NOT(AND(Simulations!$A42&lt;&gt;"",OR(Simulations!$BI42&lt;&gt;"",N(Simulations!$BK42)&gt;0))),0,MAX(N(Simulations!$BL42),N(Simulations!$BM42),N(Simulations!$BN42))/Simulations!$J42)</f>
        <v>0</v>
      </c>
      <c r="R42" s="0" t="n">
        <f aca="false">IF(OR(NOT(AND(Simulations!$A42&lt;&gt;"",OR(Simulations!$BI42&lt;&gt;"",N(Simulations!$BK42)&gt;0))),N(Simulations!$BJ42)&lt;=0),0,SQRT(2*Simulations!$BJ42*1000000/(Simulations!$J42*1000))/Simulations!$T42)</f>
        <v>0</v>
      </c>
      <c r="S42" s="0" t="n">
        <f aca="false">IF(AND(Simulations!$A42&lt;&gt;"",OR(Simulations!$BI42&lt;&gt;"",N(Simulations!$BK42)&gt;0)),1,0)</f>
        <v>0</v>
      </c>
      <c r="T42" s="0" t="n">
        <f aca="false">IF(OR(NOT(AND(Simulations!$A42&lt;&gt;"",OR(Simulations!$CA42&lt;&gt;"",N(Simulations!$CC42)&gt;0))),N(Simulations!$CD42)&lt;=0,N(Simulations!$CC42)&lt;=0,1&gt;N(Simulations!$O42)),0,IF(Simulations!$CD42&lt;Simulations!$J42,Simulations!$CC42/(Simulations!$G42*Simulations!$H42*IF(Simulations!$I42&gt;0,Simulations!$I42,1))*Simulations!$CD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D42/Simulations!$J42)^1.5+SQRT(LN(Simulations!$CD42/Simulations!$J42))+Simulations!$CD42/Simulations!$J42*SQRT(PI())/2*ERFC(SQRT(LN(Simulations!$CD42/Simulations!$J42)))),PI()*Simulations!$T42^2/2*(LN(Simulations!$CD42/Simulations!$J42)+1))))</f>
        <v>0</v>
      </c>
      <c r="U42" s="0" t="n">
        <f aca="false">IF(OR(NOT(AND(Simulations!$A42&lt;&gt;"",OR(Simulations!$CA42&lt;&gt;"",N(Simulations!$CC42)&gt;0))),N(Simulations!$CE42)&lt;=0,N(Simulations!$CC42)&lt;=0,2&gt;N(Simulations!$O42)),0,IF(Simulations!$CE42&lt;Simulations!$J42,Simulations!$CC42/(Simulations!$G42*Simulations!$H42*IF(Simulations!$I42&gt;0,Simulations!$I42,1))*Simulations!$CE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E42/Simulations!$J42)^1.5+SQRT(LN(Simulations!$CE42/Simulations!$J42))+Simulations!$CE42/Simulations!$J42*SQRT(PI())/2*ERFC(SQRT(LN(Simulations!$CE42/Simulations!$J42)))),PI()*Simulations!$T42^2/2*(LN(Simulations!$CE42/Simulations!$J42)+1))))</f>
        <v>0</v>
      </c>
      <c r="V42" s="0" t="n">
        <f aca="false">IF(OR(NOT(AND(Simulations!$A42&lt;&gt;"",OR(Simulations!$CA42&lt;&gt;"",N(Simulations!$CC42)&gt;0))),N(Simulations!$CF42)&lt;=0,N(Simulations!$CC42)&lt;=0,3&gt;N(Simulations!$O42)),0,IF(Simulations!$CF42&lt;Simulations!$J42,Simulations!$CC42/(Simulations!$G42*Simulations!$H42*IF(Simulations!$I42&gt;0,Simulations!$I42,1))*Simulations!$CF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F42/Simulations!$J42)^1.5+SQRT(LN(Simulations!$CF42/Simulations!$J42))+Simulations!$CF42/Simulations!$J42*SQRT(PI())/2*ERFC(SQRT(LN(Simulations!$CF42/Simulations!$J42)))),PI()*Simulations!$T42^2/2*(LN(Simulations!$CF42/Simulations!$J42)+1))))</f>
        <v>0</v>
      </c>
      <c r="W42" s="0" t="n">
        <f aca="false">IF(NOT(AND(Simulations!$A42&lt;&gt;"",OR(Simulations!$CA42&lt;&gt;"",N(Simulations!$CC42)&gt;0))),0,MAX(N(Simulations!$CD42),N(Simulations!$CE42),N(Simulations!$CF42))/Simulations!$J42)</f>
        <v>0</v>
      </c>
      <c r="X42" s="0" t="n">
        <f aca="false">IF(OR(NOT(AND(Simulations!$A42&lt;&gt;"",OR(Simulations!$CA42&lt;&gt;"",N(Simulations!$CC42)&gt;0))),N(Simulations!$CB42)&lt;=0),0,SQRT(2*Simulations!$CB42*1000000/(Simulations!$J42*1000))/Simulations!$T42)</f>
        <v>0</v>
      </c>
      <c r="Y42" s="0" t="n">
        <f aca="false">IF(AND(Simulations!$A42&lt;&gt;"",OR(Simulations!$CA42&lt;&gt;"",N(Simulations!$CC42)&gt;0)),1,0)</f>
        <v>0</v>
      </c>
      <c r="Z42" s="0" t="n">
        <f aca="false">IF(OR(NOT(AND(Simulations!$A42&lt;&gt;"",OR(Simulations!$CS42&lt;&gt;"",N(Simulations!$CU42)&gt;0))),N(Simulations!$CV42)&lt;=0,N(Simulations!$CU42)&lt;=0,1&gt;N(Simulations!$O42)),0,IF(Simulations!$CV42&lt;Simulations!$J42,Simulations!$CU42/(Simulations!$G42*Simulations!$H42*IF(Simulations!$I42&gt;0,Simulations!$I42,1))*Simulations!$CV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V42/Simulations!$J42)^1.5+SQRT(LN(Simulations!$CV42/Simulations!$J42))+Simulations!$CV42/Simulations!$J42*SQRT(PI())/2*ERFC(SQRT(LN(Simulations!$CV42/Simulations!$J42)))),PI()*Simulations!$T42^2/2*(LN(Simulations!$CV42/Simulations!$J42)+1))))</f>
        <v>0</v>
      </c>
      <c r="AA42" s="0" t="n">
        <f aca="false">IF(OR(NOT(AND(Simulations!$A42&lt;&gt;"",OR(Simulations!$CS42&lt;&gt;"",N(Simulations!$CU42)&gt;0))),N(Simulations!$CW42)&lt;=0,N(Simulations!$CU42)&lt;=0,2&gt;N(Simulations!$O42)),0,IF(Simulations!$CW42&lt;Simulations!$J42,Simulations!$CU42/(Simulations!$G42*Simulations!$H42*IF(Simulations!$I42&gt;0,Simulations!$I42,1))*Simulations!$CW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W42/Simulations!$J42)^1.5+SQRT(LN(Simulations!$CW42/Simulations!$J42))+Simulations!$CW42/Simulations!$J42*SQRT(PI())/2*ERFC(SQRT(LN(Simulations!$CW42/Simulations!$J42)))),PI()*Simulations!$T42^2/2*(LN(Simulations!$CW42/Simulations!$J42)+1))))</f>
        <v>0</v>
      </c>
      <c r="AB42" s="0" t="n">
        <f aca="false">IF(OR(NOT(AND(Simulations!$A42&lt;&gt;"",OR(Simulations!$CS42&lt;&gt;"",N(Simulations!$CU42)&gt;0))),N(Simulations!$CX42)&lt;=0,N(Simulations!$CU42)&lt;=0,3&gt;N(Simulations!$O42)),0,IF(Simulations!$CX42&lt;Simulations!$J42,Simulations!$CU42/(Simulations!$G42*Simulations!$H42*IF(Simulations!$I42&gt;0,Simulations!$I42,1))*Simulations!$CX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X42/Simulations!$J42)^1.5+SQRT(LN(Simulations!$CX42/Simulations!$J42))+Simulations!$CX42/Simulations!$J42*SQRT(PI())/2*ERFC(SQRT(LN(Simulations!$CX42/Simulations!$J42)))),PI()*Simulations!$T42^2/2*(LN(Simulations!$CX42/Simulations!$J42)+1))))</f>
        <v>0</v>
      </c>
      <c r="AC42" s="0" t="n">
        <f aca="false">IF(NOT(AND(Simulations!$A42&lt;&gt;"",OR(Simulations!$CS42&lt;&gt;"",N(Simulations!$CU42)&gt;0))),0,MAX(N(Simulations!$CV42),N(Simulations!$CW42),N(Simulations!$CX42))/Simulations!$J42)</f>
        <v>0</v>
      </c>
      <c r="AD42" s="0" t="n">
        <f aca="false">IF(OR(NOT(AND(Simulations!$A42&lt;&gt;"",OR(Simulations!$CS42&lt;&gt;"",N(Simulations!$CU42)&gt;0))),N(Simulations!$CT42)&lt;=0),0,SQRT(2*Simulations!$CT42*1000000/(Simulations!$J42*1000))/Simulations!$T42)</f>
        <v>0</v>
      </c>
      <c r="AE42" s="0" t="n">
        <f aca="false">IF(AND(Simulations!$A42&lt;&gt;"",OR(Simulations!$CS42&lt;&gt;"",N(Simulations!$CU42)&gt;0)),1,0)</f>
        <v>0</v>
      </c>
      <c r="AF42" s="0" t="n">
        <f aca="false">IF(OR(NOT(AND(Simulations!$A42&lt;&gt;"",OR(Simulations!$DK42&lt;&gt;"",N(Simulations!$DM42)&gt;0))),N(Simulations!$DN42)&lt;=0,N(Simulations!$DM42)&lt;=0,1&gt;N(Simulations!$O42)),0,IF(Simulations!$DN42&lt;Simulations!$J42,Simulations!$DM42/(Simulations!$G42*Simulations!$H42*IF(Simulations!$I42&gt;0,Simulations!$I42,1))*Simulations!$DN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N42/Simulations!$J42)^1.5+SQRT(LN(Simulations!$DN42/Simulations!$J42))+Simulations!$DN42/Simulations!$J42*SQRT(PI())/2*ERFC(SQRT(LN(Simulations!$DN42/Simulations!$J42)))),PI()*Simulations!$T42^2/2*(LN(Simulations!$DN42/Simulations!$J42)+1))))</f>
        <v>0</v>
      </c>
      <c r="AG42" s="0" t="n">
        <f aca="false">IF(OR(NOT(AND(Simulations!$A42&lt;&gt;"",OR(Simulations!$DK42&lt;&gt;"",N(Simulations!$DM42)&gt;0))),N(Simulations!$DO42)&lt;=0,N(Simulations!$DM42)&lt;=0,2&gt;N(Simulations!$O42)),0,IF(Simulations!$DO42&lt;Simulations!$J42,Simulations!$DM42/(Simulations!$G42*Simulations!$H42*IF(Simulations!$I42&gt;0,Simulations!$I42,1))*Simulations!$DO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O42/Simulations!$J42)^1.5+SQRT(LN(Simulations!$DO42/Simulations!$J42))+Simulations!$DO42/Simulations!$J42*SQRT(PI())/2*ERFC(SQRT(LN(Simulations!$DO42/Simulations!$J42)))),PI()*Simulations!$T42^2/2*(LN(Simulations!$DO42/Simulations!$J42)+1))))</f>
        <v>0</v>
      </c>
      <c r="AH42" s="0" t="n">
        <f aca="false">IF(OR(NOT(AND(Simulations!$A42&lt;&gt;"",OR(Simulations!$DK42&lt;&gt;"",N(Simulations!$DM42)&gt;0))),N(Simulations!$DP42)&lt;=0,N(Simulations!$DM42)&lt;=0,3&gt;N(Simulations!$O42)),0,IF(Simulations!$DP42&lt;Simulations!$J42,Simulations!$DM42/(Simulations!$G42*Simulations!$H42*IF(Simulations!$I42&gt;0,Simulations!$I42,1))*Simulations!$DP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P42/Simulations!$J42)^1.5+SQRT(LN(Simulations!$DP42/Simulations!$J42))+Simulations!$DP42/Simulations!$J42*SQRT(PI())/2*ERFC(SQRT(LN(Simulations!$DP42/Simulations!$J42)))),PI()*Simulations!$T42^2/2*(LN(Simulations!$DP42/Simulations!$J42)+1))))</f>
        <v>0</v>
      </c>
      <c r="AI42" s="0" t="n">
        <f aca="false">IF(NOT(AND(Simulations!$A42&lt;&gt;"",OR(Simulations!$DK42&lt;&gt;"",N(Simulations!$DM42)&gt;0))),0,MAX(N(Simulations!$DN42),N(Simulations!$DO42),N(Simulations!$DP42))/Simulations!$J42)</f>
        <v>0</v>
      </c>
      <c r="AJ42" s="0" t="n">
        <f aca="false">IF(OR(NOT(AND(Simulations!$A42&lt;&gt;"",OR(Simulations!$DK42&lt;&gt;"",N(Simulations!$DM42)&gt;0))),N(Simulations!$DL42)&lt;=0),0,SQRT(2*Simulations!$DL42*1000000/(Simulations!$J42*1000))/Simulations!$T42)</f>
        <v>0</v>
      </c>
      <c r="AK42" s="0" t="n">
        <f aca="false">IF(AND(Simulations!$A42&lt;&gt;"",OR(Simulations!$DK42&lt;&gt;"",N(Simulations!$DM42)&gt;0)),1,0)</f>
        <v>0</v>
      </c>
    </row>
    <row r="43" customFormat="false" ht="15" hidden="false" customHeight="false" outlineLevel="0" collapsed="false">
      <c r="B43" s="0" t="n">
        <f aca="false">IF(OR(NOT(AND(Simulations!$A43&lt;&gt;"",OR(Simulations!$Y43&lt;&gt;"",N(Simulations!$AA43)&gt;0))),N(Simulations!$AB43)&lt;=0,N(Simulations!$AA43)&lt;=0,1&gt;N(Simulations!$O43)),0,IF(Simulations!$AB43&lt;Simulations!$J43,Simulations!$AA43/(Simulations!$G43*Simulations!$H43*IF(Simulations!$I43&gt;0,Simulations!$I43,1))*Simulations!$AB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B43/Simulations!$J43)^1.5+SQRT(LN(Simulations!$AB43/Simulations!$J43))+Simulations!$AB43/Simulations!$J43*SQRT(PI())/2*ERFC(SQRT(LN(Simulations!$AB43/Simulations!$J43)))),PI()*Simulations!$T43^2/2*(LN(Simulations!$AB43/Simulations!$J43)+1))))</f>
        <v>0</v>
      </c>
      <c r="C43" s="0" t="n">
        <f aca="false">IF(OR(NOT(AND(Simulations!$A43&lt;&gt;"",OR(Simulations!$Y43&lt;&gt;"",N(Simulations!$AA43)&gt;0))),N(Simulations!$AC43)&lt;=0,N(Simulations!$AA43)&lt;=0,2&gt;N(Simulations!$O43)),0,IF(Simulations!$AC43&lt;Simulations!$J43,Simulations!$AA43/(Simulations!$G43*Simulations!$H43*IF(Simulations!$I43&gt;0,Simulations!$I43,1))*Simulations!$AC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C43/Simulations!$J43)^1.5+SQRT(LN(Simulations!$AC43/Simulations!$J43))+Simulations!$AC43/Simulations!$J43*SQRT(PI())/2*ERFC(SQRT(LN(Simulations!$AC43/Simulations!$J43)))),PI()*Simulations!$T43^2/2*(LN(Simulations!$AC43/Simulations!$J43)+1))))</f>
        <v>0</v>
      </c>
      <c r="D43" s="0" t="n">
        <f aca="false">IF(OR(NOT(AND(Simulations!$A43&lt;&gt;"",OR(Simulations!$Y43&lt;&gt;"",N(Simulations!$AA43)&gt;0))),N(Simulations!$AD43)&lt;=0,N(Simulations!$AA43)&lt;=0,3&gt;N(Simulations!$O43)),0,IF(Simulations!$AD43&lt;Simulations!$J43,Simulations!$AA43/(Simulations!$G43*Simulations!$H43*IF(Simulations!$I43&gt;0,Simulations!$I43,1))*Simulations!$AD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D43/Simulations!$J43)^1.5+SQRT(LN(Simulations!$AD43/Simulations!$J43))+Simulations!$AD43/Simulations!$J43*SQRT(PI())/2*ERFC(SQRT(LN(Simulations!$AD43/Simulations!$J43)))),PI()*Simulations!$T43^2/2*(LN(Simulations!$AD43/Simulations!$J43)+1))))</f>
        <v>0</v>
      </c>
      <c r="E43" s="0" t="n">
        <f aca="false">IF(NOT(AND(Simulations!$A43&lt;&gt;"",OR(Simulations!$Y43&lt;&gt;"",N(Simulations!$AA43)&gt;0))),0,MAX(N(Simulations!$AB43),N(Simulations!$AC43),N(Simulations!$AD43))/Simulations!$J43)</f>
        <v>0</v>
      </c>
      <c r="F43" s="0" t="n">
        <f aca="false">IF(OR(NOT(AND(Simulations!$A43&lt;&gt;"",OR(Simulations!$Y43&lt;&gt;"",N(Simulations!$AA43)&gt;0))),N(Simulations!$Z43)&lt;=0),0,SQRT(2*Simulations!$Z43*1000000/(Simulations!$J43*1000))/Simulations!$T43)</f>
        <v>0</v>
      </c>
      <c r="G43" s="0" t="n">
        <f aca="false">IF(AND(Simulations!$A43&lt;&gt;"",OR(Simulations!$Y43&lt;&gt;"",N(Simulations!$AA43)&gt;0)),1,0)</f>
        <v>0</v>
      </c>
      <c r="H43" s="0" t="n">
        <f aca="false">IF(OR(NOT(AND(Simulations!$A43&lt;&gt;"",OR(Simulations!$AQ43&lt;&gt;"",N(Simulations!$AS43)&gt;0))),N(Simulations!$AT43)&lt;=0,N(Simulations!$AS43)&lt;=0,1&gt;N(Simulations!$O43)),0,IF(Simulations!$AT43&lt;Simulations!$J43,Simulations!$AS43/(Simulations!$G43*Simulations!$H43*IF(Simulations!$I43&gt;0,Simulations!$I43,1))*Simulations!$AT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T43/Simulations!$J43)^1.5+SQRT(LN(Simulations!$AT43/Simulations!$J43))+Simulations!$AT43/Simulations!$J43*SQRT(PI())/2*ERFC(SQRT(LN(Simulations!$AT43/Simulations!$J43)))),PI()*Simulations!$T43^2/2*(LN(Simulations!$AT43/Simulations!$J43)+1))))</f>
        <v>0</v>
      </c>
      <c r="I43" s="0" t="n">
        <f aca="false">IF(OR(NOT(AND(Simulations!$A43&lt;&gt;"",OR(Simulations!$AQ43&lt;&gt;"",N(Simulations!$AS43)&gt;0))),N(Simulations!$AU43)&lt;=0,N(Simulations!$AS43)&lt;=0,2&gt;N(Simulations!$O43)),0,IF(Simulations!$AU43&lt;Simulations!$J43,Simulations!$AS43/(Simulations!$G43*Simulations!$H43*IF(Simulations!$I43&gt;0,Simulations!$I43,1))*Simulations!$AU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U43/Simulations!$J43)^1.5+SQRT(LN(Simulations!$AU43/Simulations!$J43))+Simulations!$AU43/Simulations!$J43*SQRT(PI())/2*ERFC(SQRT(LN(Simulations!$AU43/Simulations!$J43)))),PI()*Simulations!$T43^2/2*(LN(Simulations!$AU43/Simulations!$J43)+1))))</f>
        <v>0</v>
      </c>
      <c r="J43" s="0" t="n">
        <f aca="false">IF(OR(NOT(AND(Simulations!$A43&lt;&gt;"",OR(Simulations!$AQ43&lt;&gt;"",N(Simulations!$AS43)&gt;0))),N(Simulations!$AV43)&lt;=0,N(Simulations!$AS43)&lt;=0,3&gt;N(Simulations!$O43)),0,IF(Simulations!$AV43&lt;Simulations!$J43,Simulations!$AS43/(Simulations!$G43*Simulations!$H43*IF(Simulations!$I43&gt;0,Simulations!$I43,1))*Simulations!$AV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V43/Simulations!$J43)^1.5+SQRT(LN(Simulations!$AV43/Simulations!$J43))+Simulations!$AV43/Simulations!$J43*SQRT(PI())/2*ERFC(SQRT(LN(Simulations!$AV43/Simulations!$J43)))),PI()*Simulations!$T43^2/2*(LN(Simulations!$AV43/Simulations!$J43)+1))))</f>
        <v>0</v>
      </c>
      <c r="K43" s="0" t="n">
        <f aca="false">IF(NOT(AND(Simulations!$A43&lt;&gt;"",OR(Simulations!$AQ43&lt;&gt;"",N(Simulations!$AS43)&gt;0))),0,MAX(N(Simulations!$AT43),N(Simulations!$AU43),N(Simulations!$AV43))/Simulations!$J43)</f>
        <v>0</v>
      </c>
      <c r="L43" s="0" t="n">
        <f aca="false">IF(OR(NOT(AND(Simulations!$A43&lt;&gt;"",OR(Simulations!$AQ43&lt;&gt;"",N(Simulations!$AS43)&gt;0))),N(Simulations!$AR43)&lt;=0),0,SQRT(2*Simulations!$AR43*1000000/(Simulations!$J43*1000))/Simulations!$T43)</f>
        <v>0</v>
      </c>
      <c r="M43" s="0" t="n">
        <f aca="false">IF(AND(Simulations!$A43&lt;&gt;"",OR(Simulations!$AQ43&lt;&gt;"",N(Simulations!$AS43)&gt;0)),1,0)</f>
        <v>0</v>
      </c>
      <c r="N43" s="0" t="n">
        <f aca="false">IF(OR(NOT(AND(Simulations!$A43&lt;&gt;"",OR(Simulations!$BI43&lt;&gt;"",N(Simulations!$BK43)&gt;0))),N(Simulations!$BL43)&lt;=0,N(Simulations!$BK43)&lt;=0,1&gt;N(Simulations!$O43)),0,IF(Simulations!$BL43&lt;Simulations!$J43,Simulations!$BK43/(Simulations!$G43*Simulations!$H43*IF(Simulations!$I43&gt;0,Simulations!$I43,1))*Simulations!$BL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L43/Simulations!$J43)^1.5+SQRT(LN(Simulations!$BL43/Simulations!$J43))+Simulations!$BL43/Simulations!$J43*SQRT(PI())/2*ERFC(SQRT(LN(Simulations!$BL43/Simulations!$J43)))),PI()*Simulations!$T43^2/2*(LN(Simulations!$BL43/Simulations!$J43)+1))))</f>
        <v>0</v>
      </c>
      <c r="O43" s="0" t="n">
        <f aca="false">IF(OR(NOT(AND(Simulations!$A43&lt;&gt;"",OR(Simulations!$BI43&lt;&gt;"",N(Simulations!$BK43)&gt;0))),N(Simulations!$BM43)&lt;=0,N(Simulations!$BK43)&lt;=0,2&gt;N(Simulations!$O43)),0,IF(Simulations!$BM43&lt;Simulations!$J43,Simulations!$BK43/(Simulations!$G43*Simulations!$H43*IF(Simulations!$I43&gt;0,Simulations!$I43,1))*Simulations!$BM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M43/Simulations!$J43)^1.5+SQRT(LN(Simulations!$BM43/Simulations!$J43))+Simulations!$BM43/Simulations!$J43*SQRT(PI())/2*ERFC(SQRT(LN(Simulations!$BM43/Simulations!$J43)))),PI()*Simulations!$T43^2/2*(LN(Simulations!$BM43/Simulations!$J43)+1))))</f>
        <v>0</v>
      </c>
      <c r="P43" s="0" t="n">
        <f aca="false">IF(OR(NOT(AND(Simulations!$A43&lt;&gt;"",OR(Simulations!$BI43&lt;&gt;"",N(Simulations!$BK43)&gt;0))),N(Simulations!$BN43)&lt;=0,N(Simulations!$BK43)&lt;=0,3&gt;N(Simulations!$O43)),0,IF(Simulations!$BN43&lt;Simulations!$J43,Simulations!$BK43/(Simulations!$G43*Simulations!$H43*IF(Simulations!$I43&gt;0,Simulations!$I43,1))*Simulations!$BN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N43/Simulations!$J43)^1.5+SQRT(LN(Simulations!$BN43/Simulations!$J43))+Simulations!$BN43/Simulations!$J43*SQRT(PI())/2*ERFC(SQRT(LN(Simulations!$BN43/Simulations!$J43)))),PI()*Simulations!$T43^2/2*(LN(Simulations!$BN43/Simulations!$J43)+1))))</f>
        <v>0</v>
      </c>
      <c r="Q43" s="0" t="n">
        <f aca="false">IF(NOT(AND(Simulations!$A43&lt;&gt;"",OR(Simulations!$BI43&lt;&gt;"",N(Simulations!$BK43)&gt;0))),0,MAX(N(Simulations!$BL43),N(Simulations!$BM43),N(Simulations!$BN43))/Simulations!$J43)</f>
        <v>0</v>
      </c>
      <c r="R43" s="0" t="n">
        <f aca="false">IF(OR(NOT(AND(Simulations!$A43&lt;&gt;"",OR(Simulations!$BI43&lt;&gt;"",N(Simulations!$BK43)&gt;0))),N(Simulations!$BJ43)&lt;=0),0,SQRT(2*Simulations!$BJ43*1000000/(Simulations!$J43*1000))/Simulations!$T43)</f>
        <v>0</v>
      </c>
      <c r="S43" s="0" t="n">
        <f aca="false">IF(AND(Simulations!$A43&lt;&gt;"",OR(Simulations!$BI43&lt;&gt;"",N(Simulations!$BK43)&gt;0)),1,0)</f>
        <v>0</v>
      </c>
      <c r="T43" s="0" t="n">
        <f aca="false">IF(OR(NOT(AND(Simulations!$A43&lt;&gt;"",OR(Simulations!$CA43&lt;&gt;"",N(Simulations!$CC43)&gt;0))),N(Simulations!$CD43)&lt;=0,N(Simulations!$CC43)&lt;=0,1&gt;N(Simulations!$O43)),0,IF(Simulations!$CD43&lt;Simulations!$J43,Simulations!$CC43/(Simulations!$G43*Simulations!$H43*IF(Simulations!$I43&gt;0,Simulations!$I43,1))*Simulations!$CD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D43/Simulations!$J43)^1.5+SQRT(LN(Simulations!$CD43/Simulations!$J43))+Simulations!$CD43/Simulations!$J43*SQRT(PI())/2*ERFC(SQRT(LN(Simulations!$CD43/Simulations!$J43)))),PI()*Simulations!$T43^2/2*(LN(Simulations!$CD43/Simulations!$J43)+1))))</f>
        <v>0</v>
      </c>
      <c r="U43" s="0" t="n">
        <f aca="false">IF(OR(NOT(AND(Simulations!$A43&lt;&gt;"",OR(Simulations!$CA43&lt;&gt;"",N(Simulations!$CC43)&gt;0))),N(Simulations!$CE43)&lt;=0,N(Simulations!$CC43)&lt;=0,2&gt;N(Simulations!$O43)),0,IF(Simulations!$CE43&lt;Simulations!$J43,Simulations!$CC43/(Simulations!$G43*Simulations!$H43*IF(Simulations!$I43&gt;0,Simulations!$I43,1))*Simulations!$CE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E43/Simulations!$J43)^1.5+SQRT(LN(Simulations!$CE43/Simulations!$J43))+Simulations!$CE43/Simulations!$J43*SQRT(PI())/2*ERFC(SQRT(LN(Simulations!$CE43/Simulations!$J43)))),PI()*Simulations!$T43^2/2*(LN(Simulations!$CE43/Simulations!$J43)+1))))</f>
        <v>0</v>
      </c>
      <c r="V43" s="0" t="n">
        <f aca="false">IF(OR(NOT(AND(Simulations!$A43&lt;&gt;"",OR(Simulations!$CA43&lt;&gt;"",N(Simulations!$CC43)&gt;0))),N(Simulations!$CF43)&lt;=0,N(Simulations!$CC43)&lt;=0,3&gt;N(Simulations!$O43)),0,IF(Simulations!$CF43&lt;Simulations!$J43,Simulations!$CC43/(Simulations!$G43*Simulations!$H43*IF(Simulations!$I43&gt;0,Simulations!$I43,1))*Simulations!$CF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F43/Simulations!$J43)^1.5+SQRT(LN(Simulations!$CF43/Simulations!$J43))+Simulations!$CF43/Simulations!$J43*SQRT(PI())/2*ERFC(SQRT(LN(Simulations!$CF43/Simulations!$J43)))),PI()*Simulations!$T43^2/2*(LN(Simulations!$CF43/Simulations!$J43)+1))))</f>
        <v>0</v>
      </c>
      <c r="W43" s="0" t="n">
        <f aca="false">IF(NOT(AND(Simulations!$A43&lt;&gt;"",OR(Simulations!$CA43&lt;&gt;"",N(Simulations!$CC43)&gt;0))),0,MAX(N(Simulations!$CD43),N(Simulations!$CE43),N(Simulations!$CF43))/Simulations!$J43)</f>
        <v>0</v>
      </c>
      <c r="X43" s="0" t="n">
        <f aca="false">IF(OR(NOT(AND(Simulations!$A43&lt;&gt;"",OR(Simulations!$CA43&lt;&gt;"",N(Simulations!$CC43)&gt;0))),N(Simulations!$CB43)&lt;=0),0,SQRT(2*Simulations!$CB43*1000000/(Simulations!$J43*1000))/Simulations!$T43)</f>
        <v>0</v>
      </c>
      <c r="Y43" s="0" t="n">
        <f aca="false">IF(AND(Simulations!$A43&lt;&gt;"",OR(Simulations!$CA43&lt;&gt;"",N(Simulations!$CC43)&gt;0)),1,0)</f>
        <v>0</v>
      </c>
      <c r="Z43" s="0" t="n">
        <f aca="false">IF(OR(NOT(AND(Simulations!$A43&lt;&gt;"",OR(Simulations!$CS43&lt;&gt;"",N(Simulations!$CU43)&gt;0))),N(Simulations!$CV43)&lt;=0,N(Simulations!$CU43)&lt;=0,1&gt;N(Simulations!$O43)),0,IF(Simulations!$CV43&lt;Simulations!$J43,Simulations!$CU43/(Simulations!$G43*Simulations!$H43*IF(Simulations!$I43&gt;0,Simulations!$I43,1))*Simulations!$CV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V43/Simulations!$J43)^1.5+SQRT(LN(Simulations!$CV43/Simulations!$J43))+Simulations!$CV43/Simulations!$J43*SQRT(PI())/2*ERFC(SQRT(LN(Simulations!$CV43/Simulations!$J43)))),PI()*Simulations!$T43^2/2*(LN(Simulations!$CV43/Simulations!$J43)+1))))</f>
        <v>0</v>
      </c>
      <c r="AA43" s="0" t="n">
        <f aca="false">IF(OR(NOT(AND(Simulations!$A43&lt;&gt;"",OR(Simulations!$CS43&lt;&gt;"",N(Simulations!$CU43)&gt;0))),N(Simulations!$CW43)&lt;=0,N(Simulations!$CU43)&lt;=0,2&gt;N(Simulations!$O43)),0,IF(Simulations!$CW43&lt;Simulations!$J43,Simulations!$CU43/(Simulations!$G43*Simulations!$H43*IF(Simulations!$I43&gt;0,Simulations!$I43,1))*Simulations!$CW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W43/Simulations!$J43)^1.5+SQRT(LN(Simulations!$CW43/Simulations!$J43))+Simulations!$CW43/Simulations!$J43*SQRT(PI())/2*ERFC(SQRT(LN(Simulations!$CW43/Simulations!$J43)))),PI()*Simulations!$T43^2/2*(LN(Simulations!$CW43/Simulations!$J43)+1))))</f>
        <v>0</v>
      </c>
      <c r="AB43" s="0" t="n">
        <f aca="false">IF(OR(NOT(AND(Simulations!$A43&lt;&gt;"",OR(Simulations!$CS43&lt;&gt;"",N(Simulations!$CU43)&gt;0))),N(Simulations!$CX43)&lt;=0,N(Simulations!$CU43)&lt;=0,3&gt;N(Simulations!$O43)),0,IF(Simulations!$CX43&lt;Simulations!$J43,Simulations!$CU43/(Simulations!$G43*Simulations!$H43*IF(Simulations!$I43&gt;0,Simulations!$I43,1))*Simulations!$CX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X43/Simulations!$J43)^1.5+SQRT(LN(Simulations!$CX43/Simulations!$J43))+Simulations!$CX43/Simulations!$J43*SQRT(PI())/2*ERFC(SQRT(LN(Simulations!$CX43/Simulations!$J43)))),PI()*Simulations!$T43^2/2*(LN(Simulations!$CX43/Simulations!$J43)+1))))</f>
        <v>0</v>
      </c>
      <c r="AC43" s="0" t="n">
        <f aca="false">IF(NOT(AND(Simulations!$A43&lt;&gt;"",OR(Simulations!$CS43&lt;&gt;"",N(Simulations!$CU43)&gt;0))),0,MAX(N(Simulations!$CV43),N(Simulations!$CW43),N(Simulations!$CX43))/Simulations!$J43)</f>
        <v>0</v>
      </c>
      <c r="AD43" s="0" t="n">
        <f aca="false">IF(OR(NOT(AND(Simulations!$A43&lt;&gt;"",OR(Simulations!$CS43&lt;&gt;"",N(Simulations!$CU43)&gt;0))),N(Simulations!$CT43)&lt;=0),0,SQRT(2*Simulations!$CT43*1000000/(Simulations!$J43*1000))/Simulations!$T43)</f>
        <v>0</v>
      </c>
      <c r="AE43" s="0" t="n">
        <f aca="false">IF(AND(Simulations!$A43&lt;&gt;"",OR(Simulations!$CS43&lt;&gt;"",N(Simulations!$CU43)&gt;0)),1,0)</f>
        <v>0</v>
      </c>
      <c r="AF43" s="0" t="n">
        <f aca="false">IF(OR(NOT(AND(Simulations!$A43&lt;&gt;"",OR(Simulations!$DK43&lt;&gt;"",N(Simulations!$DM43)&gt;0))),N(Simulations!$DN43)&lt;=0,N(Simulations!$DM43)&lt;=0,1&gt;N(Simulations!$O43)),0,IF(Simulations!$DN43&lt;Simulations!$J43,Simulations!$DM43/(Simulations!$G43*Simulations!$H43*IF(Simulations!$I43&gt;0,Simulations!$I43,1))*Simulations!$DN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N43/Simulations!$J43)^1.5+SQRT(LN(Simulations!$DN43/Simulations!$J43))+Simulations!$DN43/Simulations!$J43*SQRT(PI())/2*ERFC(SQRT(LN(Simulations!$DN43/Simulations!$J43)))),PI()*Simulations!$T43^2/2*(LN(Simulations!$DN43/Simulations!$J43)+1))))</f>
        <v>0</v>
      </c>
      <c r="AG43" s="0" t="n">
        <f aca="false">IF(OR(NOT(AND(Simulations!$A43&lt;&gt;"",OR(Simulations!$DK43&lt;&gt;"",N(Simulations!$DM43)&gt;0))),N(Simulations!$DO43)&lt;=0,N(Simulations!$DM43)&lt;=0,2&gt;N(Simulations!$O43)),0,IF(Simulations!$DO43&lt;Simulations!$J43,Simulations!$DM43/(Simulations!$G43*Simulations!$H43*IF(Simulations!$I43&gt;0,Simulations!$I43,1))*Simulations!$DO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O43/Simulations!$J43)^1.5+SQRT(LN(Simulations!$DO43/Simulations!$J43))+Simulations!$DO43/Simulations!$J43*SQRT(PI())/2*ERFC(SQRT(LN(Simulations!$DO43/Simulations!$J43)))),PI()*Simulations!$T43^2/2*(LN(Simulations!$DO43/Simulations!$J43)+1))))</f>
        <v>0</v>
      </c>
      <c r="AH43" s="0" t="n">
        <f aca="false">IF(OR(NOT(AND(Simulations!$A43&lt;&gt;"",OR(Simulations!$DK43&lt;&gt;"",N(Simulations!$DM43)&gt;0))),N(Simulations!$DP43)&lt;=0,N(Simulations!$DM43)&lt;=0,3&gt;N(Simulations!$O43)),0,IF(Simulations!$DP43&lt;Simulations!$J43,Simulations!$DM43/(Simulations!$G43*Simulations!$H43*IF(Simulations!$I43&gt;0,Simulations!$I43,1))*Simulations!$DP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P43/Simulations!$J43)^1.5+SQRT(LN(Simulations!$DP43/Simulations!$J43))+Simulations!$DP43/Simulations!$J43*SQRT(PI())/2*ERFC(SQRT(LN(Simulations!$DP43/Simulations!$J43)))),PI()*Simulations!$T43^2/2*(LN(Simulations!$DP43/Simulations!$J43)+1))))</f>
        <v>0</v>
      </c>
      <c r="AI43" s="0" t="n">
        <f aca="false">IF(NOT(AND(Simulations!$A43&lt;&gt;"",OR(Simulations!$DK43&lt;&gt;"",N(Simulations!$DM43)&gt;0))),0,MAX(N(Simulations!$DN43),N(Simulations!$DO43),N(Simulations!$DP43))/Simulations!$J43)</f>
        <v>0</v>
      </c>
      <c r="AJ43" s="0" t="n">
        <f aca="false">IF(OR(NOT(AND(Simulations!$A43&lt;&gt;"",OR(Simulations!$DK43&lt;&gt;"",N(Simulations!$DM43)&gt;0))),N(Simulations!$DL43)&lt;=0),0,SQRT(2*Simulations!$DL43*1000000/(Simulations!$J43*1000))/Simulations!$T43)</f>
        <v>0</v>
      </c>
      <c r="AK43" s="0" t="n">
        <f aca="false">IF(AND(Simulations!$A43&lt;&gt;"",OR(Simulations!$DK43&lt;&gt;"",N(Simulations!$DM43)&gt;0)),1,0)</f>
        <v>0</v>
      </c>
    </row>
    <row r="44" customFormat="false" ht="15" hidden="false" customHeight="false" outlineLevel="0" collapsed="false">
      <c r="B44" s="0" t="n">
        <f aca="false">IF(OR(NOT(AND(Simulations!$A44&lt;&gt;"",OR(Simulations!$Y44&lt;&gt;"",N(Simulations!$AA44)&gt;0))),N(Simulations!$AB44)&lt;=0,N(Simulations!$AA44)&lt;=0,1&gt;N(Simulations!$O44)),0,IF(Simulations!$AB44&lt;Simulations!$J44,Simulations!$AA44/(Simulations!$G44*Simulations!$H44*IF(Simulations!$I44&gt;0,Simulations!$I44,1))*Simulations!$AB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B44/Simulations!$J44)^1.5+SQRT(LN(Simulations!$AB44/Simulations!$J44))+Simulations!$AB44/Simulations!$J44*SQRT(PI())/2*ERFC(SQRT(LN(Simulations!$AB44/Simulations!$J44)))),PI()*Simulations!$T44^2/2*(LN(Simulations!$AB44/Simulations!$J44)+1))))</f>
        <v>0</v>
      </c>
      <c r="C44" s="0" t="n">
        <f aca="false">IF(OR(NOT(AND(Simulations!$A44&lt;&gt;"",OR(Simulations!$Y44&lt;&gt;"",N(Simulations!$AA44)&gt;0))),N(Simulations!$AC44)&lt;=0,N(Simulations!$AA44)&lt;=0,2&gt;N(Simulations!$O44)),0,IF(Simulations!$AC44&lt;Simulations!$J44,Simulations!$AA44/(Simulations!$G44*Simulations!$H44*IF(Simulations!$I44&gt;0,Simulations!$I44,1))*Simulations!$AC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C44/Simulations!$J44)^1.5+SQRT(LN(Simulations!$AC44/Simulations!$J44))+Simulations!$AC44/Simulations!$J44*SQRT(PI())/2*ERFC(SQRT(LN(Simulations!$AC44/Simulations!$J44)))),PI()*Simulations!$T44^2/2*(LN(Simulations!$AC44/Simulations!$J44)+1))))</f>
        <v>0</v>
      </c>
      <c r="D44" s="0" t="n">
        <f aca="false">IF(OR(NOT(AND(Simulations!$A44&lt;&gt;"",OR(Simulations!$Y44&lt;&gt;"",N(Simulations!$AA44)&gt;0))),N(Simulations!$AD44)&lt;=0,N(Simulations!$AA44)&lt;=0,3&gt;N(Simulations!$O44)),0,IF(Simulations!$AD44&lt;Simulations!$J44,Simulations!$AA44/(Simulations!$G44*Simulations!$H44*IF(Simulations!$I44&gt;0,Simulations!$I44,1))*Simulations!$AD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D44/Simulations!$J44)^1.5+SQRT(LN(Simulations!$AD44/Simulations!$J44))+Simulations!$AD44/Simulations!$J44*SQRT(PI())/2*ERFC(SQRT(LN(Simulations!$AD44/Simulations!$J44)))),PI()*Simulations!$T44^2/2*(LN(Simulations!$AD44/Simulations!$J44)+1))))</f>
        <v>0</v>
      </c>
      <c r="E44" s="0" t="n">
        <f aca="false">IF(NOT(AND(Simulations!$A44&lt;&gt;"",OR(Simulations!$Y44&lt;&gt;"",N(Simulations!$AA44)&gt;0))),0,MAX(N(Simulations!$AB44),N(Simulations!$AC44),N(Simulations!$AD44))/Simulations!$J44)</f>
        <v>0</v>
      </c>
      <c r="F44" s="0" t="n">
        <f aca="false">IF(OR(NOT(AND(Simulations!$A44&lt;&gt;"",OR(Simulations!$Y44&lt;&gt;"",N(Simulations!$AA44)&gt;0))),N(Simulations!$Z44)&lt;=0),0,SQRT(2*Simulations!$Z44*1000000/(Simulations!$J44*1000))/Simulations!$T44)</f>
        <v>0</v>
      </c>
      <c r="G44" s="0" t="n">
        <f aca="false">IF(AND(Simulations!$A44&lt;&gt;"",OR(Simulations!$Y44&lt;&gt;"",N(Simulations!$AA44)&gt;0)),1,0)</f>
        <v>0</v>
      </c>
      <c r="H44" s="0" t="n">
        <f aca="false">IF(OR(NOT(AND(Simulations!$A44&lt;&gt;"",OR(Simulations!$AQ44&lt;&gt;"",N(Simulations!$AS44)&gt;0))),N(Simulations!$AT44)&lt;=0,N(Simulations!$AS44)&lt;=0,1&gt;N(Simulations!$O44)),0,IF(Simulations!$AT44&lt;Simulations!$J44,Simulations!$AS44/(Simulations!$G44*Simulations!$H44*IF(Simulations!$I44&gt;0,Simulations!$I44,1))*Simulations!$AT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T44/Simulations!$J44)^1.5+SQRT(LN(Simulations!$AT44/Simulations!$J44))+Simulations!$AT44/Simulations!$J44*SQRT(PI())/2*ERFC(SQRT(LN(Simulations!$AT44/Simulations!$J44)))),PI()*Simulations!$T44^2/2*(LN(Simulations!$AT44/Simulations!$J44)+1))))</f>
        <v>0</v>
      </c>
      <c r="I44" s="0" t="n">
        <f aca="false">IF(OR(NOT(AND(Simulations!$A44&lt;&gt;"",OR(Simulations!$AQ44&lt;&gt;"",N(Simulations!$AS44)&gt;0))),N(Simulations!$AU44)&lt;=0,N(Simulations!$AS44)&lt;=0,2&gt;N(Simulations!$O44)),0,IF(Simulations!$AU44&lt;Simulations!$J44,Simulations!$AS44/(Simulations!$G44*Simulations!$H44*IF(Simulations!$I44&gt;0,Simulations!$I44,1))*Simulations!$AU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U44/Simulations!$J44)^1.5+SQRT(LN(Simulations!$AU44/Simulations!$J44))+Simulations!$AU44/Simulations!$J44*SQRT(PI())/2*ERFC(SQRT(LN(Simulations!$AU44/Simulations!$J44)))),PI()*Simulations!$T44^2/2*(LN(Simulations!$AU44/Simulations!$J44)+1))))</f>
        <v>0</v>
      </c>
      <c r="J44" s="0" t="n">
        <f aca="false">IF(OR(NOT(AND(Simulations!$A44&lt;&gt;"",OR(Simulations!$AQ44&lt;&gt;"",N(Simulations!$AS44)&gt;0))),N(Simulations!$AV44)&lt;=0,N(Simulations!$AS44)&lt;=0,3&gt;N(Simulations!$O44)),0,IF(Simulations!$AV44&lt;Simulations!$J44,Simulations!$AS44/(Simulations!$G44*Simulations!$H44*IF(Simulations!$I44&gt;0,Simulations!$I44,1))*Simulations!$AV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V44/Simulations!$J44)^1.5+SQRT(LN(Simulations!$AV44/Simulations!$J44))+Simulations!$AV44/Simulations!$J44*SQRT(PI())/2*ERFC(SQRT(LN(Simulations!$AV44/Simulations!$J44)))),PI()*Simulations!$T44^2/2*(LN(Simulations!$AV44/Simulations!$J44)+1))))</f>
        <v>0</v>
      </c>
      <c r="K44" s="0" t="n">
        <f aca="false">IF(NOT(AND(Simulations!$A44&lt;&gt;"",OR(Simulations!$AQ44&lt;&gt;"",N(Simulations!$AS44)&gt;0))),0,MAX(N(Simulations!$AT44),N(Simulations!$AU44),N(Simulations!$AV44))/Simulations!$J44)</f>
        <v>0</v>
      </c>
      <c r="L44" s="0" t="n">
        <f aca="false">IF(OR(NOT(AND(Simulations!$A44&lt;&gt;"",OR(Simulations!$AQ44&lt;&gt;"",N(Simulations!$AS44)&gt;0))),N(Simulations!$AR44)&lt;=0),0,SQRT(2*Simulations!$AR44*1000000/(Simulations!$J44*1000))/Simulations!$T44)</f>
        <v>0</v>
      </c>
      <c r="M44" s="0" t="n">
        <f aca="false">IF(AND(Simulations!$A44&lt;&gt;"",OR(Simulations!$AQ44&lt;&gt;"",N(Simulations!$AS44)&gt;0)),1,0)</f>
        <v>0</v>
      </c>
      <c r="N44" s="0" t="n">
        <f aca="false">IF(OR(NOT(AND(Simulations!$A44&lt;&gt;"",OR(Simulations!$BI44&lt;&gt;"",N(Simulations!$BK44)&gt;0))),N(Simulations!$BL44)&lt;=0,N(Simulations!$BK44)&lt;=0,1&gt;N(Simulations!$O44)),0,IF(Simulations!$BL44&lt;Simulations!$J44,Simulations!$BK44/(Simulations!$G44*Simulations!$H44*IF(Simulations!$I44&gt;0,Simulations!$I44,1))*Simulations!$BL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L44/Simulations!$J44)^1.5+SQRT(LN(Simulations!$BL44/Simulations!$J44))+Simulations!$BL44/Simulations!$J44*SQRT(PI())/2*ERFC(SQRT(LN(Simulations!$BL44/Simulations!$J44)))),PI()*Simulations!$T44^2/2*(LN(Simulations!$BL44/Simulations!$J44)+1))))</f>
        <v>0</v>
      </c>
      <c r="O44" s="0" t="n">
        <f aca="false">IF(OR(NOT(AND(Simulations!$A44&lt;&gt;"",OR(Simulations!$BI44&lt;&gt;"",N(Simulations!$BK44)&gt;0))),N(Simulations!$BM44)&lt;=0,N(Simulations!$BK44)&lt;=0,2&gt;N(Simulations!$O44)),0,IF(Simulations!$BM44&lt;Simulations!$J44,Simulations!$BK44/(Simulations!$G44*Simulations!$H44*IF(Simulations!$I44&gt;0,Simulations!$I44,1))*Simulations!$BM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M44/Simulations!$J44)^1.5+SQRT(LN(Simulations!$BM44/Simulations!$J44))+Simulations!$BM44/Simulations!$J44*SQRT(PI())/2*ERFC(SQRT(LN(Simulations!$BM44/Simulations!$J44)))),PI()*Simulations!$T44^2/2*(LN(Simulations!$BM44/Simulations!$J44)+1))))</f>
        <v>0</v>
      </c>
      <c r="P44" s="0" t="n">
        <f aca="false">IF(OR(NOT(AND(Simulations!$A44&lt;&gt;"",OR(Simulations!$BI44&lt;&gt;"",N(Simulations!$BK44)&gt;0))),N(Simulations!$BN44)&lt;=0,N(Simulations!$BK44)&lt;=0,3&gt;N(Simulations!$O44)),0,IF(Simulations!$BN44&lt;Simulations!$J44,Simulations!$BK44/(Simulations!$G44*Simulations!$H44*IF(Simulations!$I44&gt;0,Simulations!$I44,1))*Simulations!$BN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N44/Simulations!$J44)^1.5+SQRT(LN(Simulations!$BN44/Simulations!$J44))+Simulations!$BN44/Simulations!$J44*SQRT(PI())/2*ERFC(SQRT(LN(Simulations!$BN44/Simulations!$J44)))),PI()*Simulations!$T44^2/2*(LN(Simulations!$BN44/Simulations!$J44)+1))))</f>
        <v>0</v>
      </c>
      <c r="Q44" s="0" t="n">
        <f aca="false">IF(NOT(AND(Simulations!$A44&lt;&gt;"",OR(Simulations!$BI44&lt;&gt;"",N(Simulations!$BK44)&gt;0))),0,MAX(N(Simulations!$BL44),N(Simulations!$BM44),N(Simulations!$BN44))/Simulations!$J44)</f>
        <v>0</v>
      </c>
      <c r="R44" s="0" t="n">
        <f aca="false">IF(OR(NOT(AND(Simulations!$A44&lt;&gt;"",OR(Simulations!$BI44&lt;&gt;"",N(Simulations!$BK44)&gt;0))),N(Simulations!$BJ44)&lt;=0),0,SQRT(2*Simulations!$BJ44*1000000/(Simulations!$J44*1000))/Simulations!$T44)</f>
        <v>0</v>
      </c>
      <c r="S44" s="0" t="n">
        <f aca="false">IF(AND(Simulations!$A44&lt;&gt;"",OR(Simulations!$BI44&lt;&gt;"",N(Simulations!$BK44)&gt;0)),1,0)</f>
        <v>0</v>
      </c>
      <c r="T44" s="0" t="n">
        <f aca="false">IF(OR(NOT(AND(Simulations!$A44&lt;&gt;"",OR(Simulations!$CA44&lt;&gt;"",N(Simulations!$CC44)&gt;0))),N(Simulations!$CD44)&lt;=0,N(Simulations!$CC44)&lt;=0,1&gt;N(Simulations!$O44)),0,IF(Simulations!$CD44&lt;Simulations!$J44,Simulations!$CC44/(Simulations!$G44*Simulations!$H44*IF(Simulations!$I44&gt;0,Simulations!$I44,1))*Simulations!$CD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D44/Simulations!$J44)^1.5+SQRT(LN(Simulations!$CD44/Simulations!$J44))+Simulations!$CD44/Simulations!$J44*SQRT(PI())/2*ERFC(SQRT(LN(Simulations!$CD44/Simulations!$J44)))),PI()*Simulations!$T44^2/2*(LN(Simulations!$CD44/Simulations!$J44)+1))))</f>
        <v>0</v>
      </c>
      <c r="U44" s="0" t="n">
        <f aca="false">IF(OR(NOT(AND(Simulations!$A44&lt;&gt;"",OR(Simulations!$CA44&lt;&gt;"",N(Simulations!$CC44)&gt;0))),N(Simulations!$CE44)&lt;=0,N(Simulations!$CC44)&lt;=0,2&gt;N(Simulations!$O44)),0,IF(Simulations!$CE44&lt;Simulations!$J44,Simulations!$CC44/(Simulations!$G44*Simulations!$H44*IF(Simulations!$I44&gt;0,Simulations!$I44,1))*Simulations!$CE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E44/Simulations!$J44)^1.5+SQRT(LN(Simulations!$CE44/Simulations!$J44))+Simulations!$CE44/Simulations!$J44*SQRT(PI())/2*ERFC(SQRT(LN(Simulations!$CE44/Simulations!$J44)))),PI()*Simulations!$T44^2/2*(LN(Simulations!$CE44/Simulations!$J44)+1))))</f>
        <v>0</v>
      </c>
      <c r="V44" s="0" t="n">
        <f aca="false">IF(OR(NOT(AND(Simulations!$A44&lt;&gt;"",OR(Simulations!$CA44&lt;&gt;"",N(Simulations!$CC44)&gt;0))),N(Simulations!$CF44)&lt;=0,N(Simulations!$CC44)&lt;=0,3&gt;N(Simulations!$O44)),0,IF(Simulations!$CF44&lt;Simulations!$J44,Simulations!$CC44/(Simulations!$G44*Simulations!$H44*IF(Simulations!$I44&gt;0,Simulations!$I44,1))*Simulations!$CF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F44/Simulations!$J44)^1.5+SQRT(LN(Simulations!$CF44/Simulations!$J44))+Simulations!$CF44/Simulations!$J44*SQRT(PI())/2*ERFC(SQRT(LN(Simulations!$CF44/Simulations!$J44)))),PI()*Simulations!$T44^2/2*(LN(Simulations!$CF44/Simulations!$J44)+1))))</f>
        <v>0</v>
      </c>
      <c r="W44" s="0" t="n">
        <f aca="false">IF(NOT(AND(Simulations!$A44&lt;&gt;"",OR(Simulations!$CA44&lt;&gt;"",N(Simulations!$CC44)&gt;0))),0,MAX(N(Simulations!$CD44),N(Simulations!$CE44),N(Simulations!$CF44))/Simulations!$J44)</f>
        <v>0</v>
      </c>
      <c r="X44" s="0" t="n">
        <f aca="false">IF(OR(NOT(AND(Simulations!$A44&lt;&gt;"",OR(Simulations!$CA44&lt;&gt;"",N(Simulations!$CC44)&gt;0))),N(Simulations!$CB44)&lt;=0),0,SQRT(2*Simulations!$CB44*1000000/(Simulations!$J44*1000))/Simulations!$T44)</f>
        <v>0</v>
      </c>
      <c r="Y44" s="0" t="n">
        <f aca="false">IF(AND(Simulations!$A44&lt;&gt;"",OR(Simulations!$CA44&lt;&gt;"",N(Simulations!$CC44)&gt;0)),1,0)</f>
        <v>0</v>
      </c>
      <c r="Z44" s="0" t="n">
        <f aca="false">IF(OR(NOT(AND(Simulations!$A44&lt;&gt;"",OR(Simulations!$CS44&lt;&gt;"",N(Simulations!$CU44)&gt;0))),N(Simulations!$CV44)&lt;=0,N(Simulations!$CU44)&lt;=0,1&gt;N(Simulations!$O44)),0,IF(Simulations!$CV44&lt;Simulations!$J44,Simulations!$CU44/(Simulations!$G44*Simulations!$H44*IF(Simulations!$I44&gt;0,Simulations!$I44,1))*Simulations!$CV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V44/Simulations!$J44)^1.5+SQRT(LN(Simulations!$CV44/Simulations!$J44))+Simulations!$CV44/Simulations!$J44*SQRT(PI())/2*ERFC(SQRT(LN(Simulations!$CV44/Simulations!$J44)))),PI()*Simulations!$T44^2/2*(LN(Simulations!$CV44/Simulations!$J44)+1))))</f>
        <v>0</v>
      </c>
      <c r="AA44" s="0" t="n">
        <f aca="false">IF(OR(NOT(AND(Simulations!$A44&lt;&gt;"",OR(Simulations!$CS44&lt;&gt;"",N(Simulations!$CU44)&gt;0))),N(Simulations!$CW44)&lt;=0,N(Simulations!$CU44)&lt;=0,2&gt;N(Simulations!$O44)),0,IF(Simulations!$CW44&lt;Simulations!$J44,Simulations!$CU44/(Simulations!$G44*Simulations!$H44*IF(Simulations!$I44&gt;0,Simulations!$I44,1))*Simulations!$CW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W44/Simulations!$J44)^1.5+SQRT(LN(Simulations!$CW44/Simulations!$J44))+Simulations!$CW44/Simulations!$J44*SQRT(PI())/2*ERFC(SQRT(LN(Simulations!$CW44/Simulations!$J44)))),PI()*Simulations!$T44^2/2*(LN(Simulations!$CW44/Simulations!$J44)+1))))</f>
        <v>0</v>
      </c>
      <c r="AB44" s="0" t="n">
        <f aca="false">IF(OR(NOT(AND(Simulations!$A44&lt;&gt;"",OR(Simulations!$CS44&lt;&gt;"",N(Simulations!$CU44)&gt;0))),N(Simulations!$CX44)&lt;=0,N(Simulations!$CU44)&lt;=0,3&gt;N(Simulations!$O44)),0,IF(Simulations!$CX44&lt;Simulations!$J44,Simulations!$CU44/(Simulations!$G44*Simulations!$H44*IF(Simulations!$I44&gt;0,Simulations!$I44,1))*Simulations!$CX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X44/Simulations!$J44)^1.5+SQRT(LN(Simulations!$CX44/Simulations!$J44))+Simulations!$CX44/Simulations!$J44*SQRT(PI())/2*ERFC(SQRT(LN(Simulations!$CX44/Simulations!$J44)))),PI()*Simulations!$T44^2/2*(LN(Simulations!$CX44/Simulations!$J44)+1))))</f>
        <v>0</v>
      </c>
      <c r="AC44" s="0" t="n">
        <f aca="false">IF(NOT(AND(Simulations!$A44&lt;&gt;"",OR(Simulations!$CS44&lt;&gt;"",N(Simulations!$CU44)&gt;0))),0,MAX(N(Simulations!$CV44),N(Simulations!$CW44),N(Simulations!$CX44))/Simulations!$J44)</f>
        <v>0</v>
      </c>
      <c r="AD44" s="0" t="n">
        <f aca="false">IF(OR(NOT(AND(Simulations!$A44&lt;&gt;"",OR(Simulations!$CS44&lt;&gt;"",N(Simulations!$CU44)&gt;0))),N(Simulations!$CT44)&lt;=0),0,SQRT(2*Simulations!$CT44*1000000/(Simulations!$J44*1000))/Simulations!$T44)</f>
        <v>0</v>
      </c>
      <c r="AE44" s="0" t="n">
        <f aca="false">IF(AND(Simulations!$A44&lt;&gt;"",OR(Simulations!$CS44&lt;&gt;"",N(Simulations!$CU44)&gt;0)),1,0)</f>
        <v>0</v>
      </c>
      <c r="AF44" s="0" t="n">
        <f aca="false">IF(OR(NOT(AND(Simulations!$A44&lt;&gt;"",OR(Simulations!$DK44&lt;&gt;"",N(Simulations!$DM44)&gt;0))),N(Simulations!$DN44)&lt;=0,N(Simulations!$DM44)&lt;=0,1&gt;N(Simulations!$O44)),0,IF(Simulations!$DN44&lt;Simulations!$J44,Simulations!$DM44/(Simulations!$G44*Simulations!$H44*IF(Simulations!$I44&gt;0,Simulations!$I44,1))*Simulations!$DN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N44/Simulations!$J44)^1.5+SQRT(LN(Simulations!$DN44/Simulations!$J44))+Simulations!$DN44/Simulations!$J44*SQRT(PI())/2*ERFC(SQRT(LN(Simulations!$DN44/Simulations!$J44)))),PI()*Simulations!$T44^2/2*(LN(Simulations!$DN44/Simulations!$J44)+1))))</f>
        <v>0</v>
      </c>
      <c r="AG44" s="0" t="n">
        <f aca="false">IF(OR(NOT(AND(Simulations!$A44&lt;&gt;"",OR(Simulations!$DK44&lt;&gt;"",N(Simulations!$DM44)&gt;0))),N(Simulations!$DO44)&lt;=0,N(Simulations!$DM44)&lt;=0,2&gt;N(Simulations!$O44)),0,IF(Simulations!$DO44&lt;Simulations!$J44,Simulations!$DM44/(Simulations!$G44*Simulations!$H44*IF(Simulations!$I44&gt;0,Simulations!$I44,1))*Simulations!$DO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O44/Simulations!$J44)^1.5+SQRT(LN(Simulations!$DO44/Simulations!$J44))+Simulations!$DO44/Simulations!$J44*SQRT(PI())/2*ERFC(SQRT(LN(Simulations!$DO44/Simulations!$J44)))),PI()*Simulations!$T44^2/2*(LN(Simulations!$DO44/Simulations!$J44)+1))))</f>
        <v>0</v>
      </c>
      <c r="AH44" s="0" t="n">
        <f aca="false">IF(OR(NOT(AND(Simulations!$A44&lt;&gt;"",OR(Simulations!$DK44&lt;&gt;"",N(Simulations!$DM44)&gt;0))),N(Simulations!$DP44)&lt;=0,N(Simulations!$DM44)&lt;=0,3&gt;N(Simulations!$O44)),0,IF(Simulations!$DP44&lt;Simulations!$J44,Simulations!$DM44/(Simulations!$G44*Simulations!$H44*IF(Simulations!$I44&gt;0,Simulations!$I44,1))*Simulations!$DP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P44/Simulations!$J44)^1.5+SQRT(LN(Simulations!$DP44/Simulations!$J44))+Simulations!$DP44/Simulations!$J44*SQRT(PI())/2*ERFC(SQRT(LN(Simulations!$DP44/Simulations!$J44)))),PI()*Simulations!$T44^2/2*(LN(Simulations!$DP44/Simulations!$J44)+1))))</f>
        <v>0</v>
      </c>
      <c r="AI44" s="0" t="n">
        <f aca="false">IF(NOT(AND(Simulations!$A44&lt;&gt;"",OR(Simulations!$DK44&lt;&gt;"",N(Simulations!$DM44)&gt;0))),0,MAX(N(Simulations!$DN44),N(Simulations!$DO44),N(Simulations!$DP44))/Simulations!$J44)</f>
        <v>0</v>
      </c>
      <c r="AJ44" s="0" t="n">
        <f aca="false">IF(OR(NOT(AND(Simulations!$A44&lt;&gt;"",OR(Simulations!$DK44&lt;&gt;"",N(Simulations!$DM44)&gt;0))),N(Simulations!$DL44)&lt;=0),0,SQRT(2*Simulations!$DL44*1000000/(Simulations!$J44*1000))/Simulations!$T44)</f>
        <v>0</v>
      </c>
      <c r="AK44" s="0" t="n">
        <f aca="false">IF(AND(Simulations!$A44&lt;&gt;"",OR(Simulations!$DK44&lt;&gt;"",N(Simulations!$DM44)&gt;0)),1,0)</f>
        <v>0</v>
      </c>
    </row>
    <row r="45" customFormat="false" ht="15" hidden="false" customHeight="false" outlineLevel="0" collapsed="false">
      <c r="B45" s="0" t="n">
        <f aca="false">IF(OR(NOT(AND(Simulations!$A45&lt;&gt;"",OR(Simulations!$Y45&lt;&gt;"",N(Simulations!$AA45)&gt;0))),N(Simulations!$AB45)&lt;=0,N(Simulations!$AA45)&lt;=0,1&gt;N(Simulations!$O45)),0,IF(Simulations!$AB45&lt;Simulations!$J45,Simulations!$AA45/(Simulations!$G45*Simulations!$H45*IF(Simulations!$I45&gt;0,Simulations!$I45,1))*Simulations!$AB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B45/Simulations!$J45)^1.5+SQRT(LN(Simulations!$AB45/Simulations!$J45))+Simulations!$AB45/Simulations!$J45*SQRT(PI())/2*ERFC(SQRT(LN(Simulations!$AB45/Simulations!$J45)))),PI()*Simulations!$T45^2/2*(LN(Simulations!$AB45/Simulations!$J45)+1))))</f>
        <v>0</v>
      </c>
      <c r="C45" s="0" t="n">
        <f aca="false">IF(OR(NOT(AND(Simulations!$A45&lt;&gt;"",OR(Simulations!$Y45&lt;&gt;"",N(Simulations!$AA45)&gt;0))),N(Simulations!$AC45)&lt;=0,N(Simulations!$AA45)&lt;=0,2&gt;N(Simulations!$O45)),0,IF(Simulations!$AC45&lt;Simulations!$J45,Simulations!$AA45/(Simulations!$G45*Simulations!$H45*IF(Simulations!$I45&gt;0,Simulations!$I45,1))*Simulations!$AC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C45/Simulations!$J45)^1.5+SQRT(LN(Simulations!$AC45/Simulations!$J45))+Simulations!$AC45/Simulations!$J45*SQRT(PI())/2*ERFC(SQRT(LN(Simulations!$AC45/Simulations!$J45)))),PI()*Simulations!$T45^2/2*(LN(Simulations!$AC45/Simulations!$J45)+1))))</f>
        <v>0</v>
      </c>
      <c r="D45" s="0" t="n">
        <f aca="false">IF(OR(NOT(AND(Simulations!$A45&lt;&gt;"",OR(Simulations!$Y45&lt;&gt;"",N(Simulations!$AA45)&gt;0))),N(Simulations!$AD45)&lt;=0,N(Simulations!$AA45)&lt;=0,3&gt;N(Simulations!$O45)),0,IF(Simulations!$AD45&lt;Simulations!$J45,Simulations!$AA45/(Simulations!$G45*Simulations!$H45*IF(Simulations!$I45&gt;0,Simulations!$I45,1))*Simulations!$AD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D45/Simulations!$J45)^1.5+SQRT(LN(Simulations!$AD45/Simulations!$J45))+Simulations!$AD45/Simulations!$J45*SQRT(PI())/2*ERFC(SQRT(LN(Simulations!$AD45/Simulations!$J45)))),PI()*Simulations!$T45^2/2*(LN(Simulations!$AD45/Simulations!$J45)+1))))</f>
        <v>0</v>
      </c>
      <c r="E45" s="0" t="n">
        <f aca="false">IF(NOT(AND(Simulations!$A45&lt;&gt;"",OR(Simulations!$Y45&lt;&gt;"",N(Simulations!$AA45)&gt;0))),0,MAX(N(Simulations!$AB45),N(Simulations!$AC45),N(Simulations!$AD45))/Simulations!$J45)</f>
        <v>0</v>
      </c>
      <c r="F45" s="0" t="n">
        <f aca="false">IF(OR(NOT(AND(Simulations!$A45&lt;&gt;"",OR(Simulations!$Y45&lt;&gt;"",N(Simulations!$AA45)&gt;0))),N(Simulations!$Z45)&lt;=0),0,SQRT(2*Simulations!$Z45*1000000/(Simulations!$J45*1000))/Simulations!$T45)</f>
        <v>0</v>
      </c>
      <c r="G45" s="0" t="n">
        <f aca="false">IF(AND(Simulations!$A45&lt;&gt;"",OR(Simulations!$Y45&lt;&gt;"",N(Simulations!$AA45)&gt;0)),1,0)</f>
        <v>0</v>
      </c>
      <c r="H45" s="0" t="n">
        <f aca="false">IF(OR(NOT(AND(Simulations!$A45&lt;&gt;"",OR(Simulations!$AQ45&lt;&gt;"",N(Simulations!$AS45)&gt;0))),N(Simulations!$AT45)&lt;=0,N(Simulations!$AS45)&lt;=0,1&gt;N(Simulations!$O45)),0,IF(Simulations!$AT45&lt;Simulations!$J45,Simulations!$AS45/(Simulations!$G45*Simulations!$H45*IF(Simulations!$I45&gt;0,Simulations!$I45,1))*Simulations!$AT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T45/Simulations!$J45)^1.5+SQRT(LN(Simulations!$AT45/Simulations!$J45))+Simulations!$AT45/Simulations!$J45*SQRT(PI())/2*ERFC(SQRT(LN(Simulations!$AT45/Simulations!$J45)))),PI()*Simulations!$T45^2/2*(LN(Simulations!$AT45/Simulations!$J45)+1))))</f>
        <v>0</v>
      </c>
      <c r="I45" s="0" t="n">
        <f aca="false">IF(OR(NOT(AND(Simulations!$A45&lt;&gt;"",OR(Simulations!$AQ45&lt;&gt;"",N(Simulations!$AS45)&gt;0))),N(Simulations!$AU45)&lt;=0,N(Simulations!$AS45)&lt;=0,2&gt;N(Simulations!$O45)),0,IF(Simulations!$AU45&lt;Simulations!$J45,Simulations!$AS45/(Simulations!$G45*Simulations!$H45*IF(Simulations!$I45&gt;0,Simulations!$I45,1))*Simulations!$AU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U45/Simulations!$J45)^1.5+SQRT(LN(Simulations!$AU45/Simulations!$J45))+Simulations!$AU45/Simulations!$J45*SQRT(PI())/2*ERFC(SQRT(LN(Simulations!$AU45/Simulations!$J45)))),PI()*Simulations!$T45^2/2*(LN(Simulations!$AU45/Simulations!$J45)+1))))</f>
        <v>0</v>
      </c>
      <c r="J45" s="0" t="n">
        <f aca="false">IF(OR(NOT(AND(Simulations!$A45&lt;&gt;"",OR(Simulations!$AQ45&lt;&gt;"",N(Simulations!$AS45)&gt;0))),N(Simulations!$AV45)&lt;=0,N(Simulations!$AS45)&lt;=0,3&gt;N(Simulations!$O45)),0,IF(Simulations!$AV45&lt;Simulations!$J45,Simulations!$AS45/(Simulations!$G45*Simulations!$H45*IF(Simulations!$I45&gt;0,Simulations!$I45,1))*Simulations!$AV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V45/Simulations!$J45)^1.5+SQRT(LN(Simulations!$AV45/Simulations!$J45))+Simulations!$AV45/Simulations!$J45*SQRT(PI())/2*ERFC(SQRT(LN(Simulations!$AV45/Simulations!$J45)))),PI()*Simulations!$T45^2/2*(LN(Simulations!$AV45/Simulations!$J45)+1))))</f>
        <v>0</v>
      </c>
      <c r="K45" s="0" t="n">
        <f aca="false">IF(NOT(AND(Simulations!$A45&lt;&gt;"",OR(Simulations!$AQ45&lt;&gt;"",N(Simulations!$AS45)&gt;0))),0,MAX(N(Simulations!$AT45),N(Simulations!$AU45),N(Simulations!$AV45))/Simulations!$J45)</f>
        <v>0</v>
      </c>
      <c r="L45" s="0" t="n">
        <f aca="false">IF(OR(NOT(AND(Simulations!$A45&lt;&gt;"",OR(Simulations!$AQ45&lt;&gt;"",N(Simulations!$AS45)&gt;0))),N(Simulations!$AR45)&lt;=0),0,SQRT(2*Simulations!$AR45*1000000/(Simulations!$J45*1000))/Simulations!$T45)</f>
        <v>0</v>
      </c>
      <c r="M45" s="0" t="n">
        <f aca="false">IF(AND(Simulations!$A45&lt;&gt;"",OR(Simulations!$AQ45&lt;&gt;"",N(Simulations!$AS45)&gt;0)),1,0)</f>
        <v>0</v>
      </c>
      <c r="N45" s="0" t="n">
        <f aca="false">IF(OR(NOT(AND(Simulations!$A45&lt;&gt;"",OR(Simulations!$BI45&lt;&gt;"",N(Simulations!$BK45)&gt;0))),N(Simulations!$BL45)&lt;=0,N(Simulations!$BK45)&lt;=0,1&gt;N(Simulations!$O45)),0,IF(Simulations!$BL45&lt;Simulations!$J45,Simulations!$BK45/(Simulations!$G45*Simulations!$H45*IF(Simulations!$I45&gt;0,Simulations!$I45,1))*Simulations!$BL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L45/Simulations!$J45)^1.5+SQRT(LN(Simulations!$BL45/Simulations!$J45))+Simulations!$BL45/Simulations!$J45*SQRT(PI())/2*ERFC(SQRT(LN(Simulations!$BL45/Simulations!$J45)))),PI()*Simulations!$T45^2/2*(LN(Simulations!$BL45/Simulations!$J45)+1))))</f>
        <v>0</v>
      </c>
      <c r="O45" s="0" t="n">
        <f aca="false">IF(OR(NOT(AND(Simulations!$A45&lt;&gt;"",OR(Simulations!$BI45&lt;&gt;"",N(Simulations!$BK45)&gt;0))),N(Simulations!$BM45)&lt;=0,N(Simulations!$BK45)&lt;=0,2&gt;N(Simulations!$O45)),0,IF(Simulations!$BM45&lt;Simulations!$J45,Simulations!$BK45/(Simulations!$G45*Simulations!$H45*IF(Simulations!$I45&gt;0,Simulations!$I45,1))*Simulations!$BM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M45/Simulations!$J45)^1.5+SQRT(LN(Simulations!$BM45/Simulations!$J45))+Simulations!$BM45/Simulations!$J45*SQRT(PI())/2*ERFC(SQRT(LN(Simulations!$BM45/Simulations!$J45)))),PI()*Simulations!$T45^2/2*(LN(Simulations!$BM45/Simulations!$J45)+1))))</f>
        <v>0</v>
      </c>
      <c r="P45" s="0" t="n">
        <f aca="false">IF(OR(NOT(AND(Simulations!$A45&lt;&gt;"",OR(Simulations!$BI45&lt;&gt;"",N(Simulations!$BK45)&gt;0))),N(Simulations!$BN45)&lt;=0,N(Simulations!$BK45)&lt;=0,3&gt;N(Simulations!$O45)),0,IF(Simulations!$BN45&lt;Simulations!$J45,Simulations!$BK45/(Simulations!$G45*Simulations!$H45*IF(Simulations!$I45&gt;0,Simulations!$I45,1))*Simulations!$BN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N45/Simulations!$J45)^1.5+SQRT(LN(Simulations!$BN45/Simulations!$J45))+Simulations!$BN45/Simulations!$J45*SQRT(PI())/2*ERFC(SQRT(LN(Simulations!$BN45/Simulations!$J45)))),PI()*Simulations!$T45^2/2*(LN(Simulations!$BN45/Simulations!$J45)+1))))</f>
        <v>0</v>
      </c>
      <c r="Q45" s="0" t="n">
        <f aca="false">IF(NOT(AND(Simulations!$A45&lt;&gt;"",OR(Simulations!$BI45&lt;&gt;"",N(Simulations!$BK45)&gt;0))),0,MAX(N(Simulations!$BL45),N(Simulations!$BM45),N(Simulations!$BN45))/Simulations!$J45)</f>
        <v>0</v>
      </c>
      <c r="R45" s="0" t="n">
        <f aca="false">IF(OR(NOT(AND(Simulations!$A45&lt;&gt;"",OR(Simulations!$BI45&lt;&gt;"",N(Simulations!$BK45)&gt;0))),N(Simulations!$BJ45)&lt;=0),0,SQRT(2*Simulations!$BJ45*1000000/(Simulations!$J45*1000))/Simulations!$T45)</f>
        <v>0</v>
      </c>
      <c r="S45" s="0" t="n">
        <f aca="false">IF(AND(Simulations!$A45&lt;&gt;"",OR(Simulations!$BI45&lt;&gt;"",N(Simulations!$BK45)&gt;0)),1,0)</f>
        <v>0</v>
      </c>
      <c r="T45" s="0" t="n">
        <f aca="false">IF(OR(NOT(AND(Simulations!$A45&lt;&gt;"",OR(Simulations!$CA45&lt;&gt;"",N(Simulations!$CC45)&gt;0))),N(Simulations!$CD45)&lt;=0,N(Simulations!$CC45)&lt;=0,1&gt;N(Simulations!$O45)),0,IF(Simulations!$CD45&lt;Simulations!$J45,Simulations!$CC45/(Simulations!$G45*Simulations!$H45*IF(Simulations!$I45&gt;0,Simulations!$I45,1))*Simulations!$CD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D45/Simulations!$J45)^1.5+SQRT(LN(Simulations!$CD45/Simulations!$J45))+Simulations!$CD45/Simulations!$J45*SQRT(PI())/2*ERFC(SQRT(LN(Simulations!$CD45/Simulations!$J45)))),PI()*Simulations!$T45^2/2*(LN(Simulations!$CD45/Simulations!$J45)+1))))</f>
        <v>0</v>
      </c>
      <c r="U45" s="0" t="n">
        <f aca="false">IF(OR(NOT(AND(Simulations!$A45&lt;&gt;"",OR(Simulations!$CA45&lt;&gt;"",N(Simulations!$CC45)&gt;0))),N(Simulations!$CE45)&lt;=0,N(Simulations!$CC45)&lt;=0,2&gt;N(Simulations!$O45)),0,IF(Simulations!$CE45&lt;Simulations!$J45,Simulations!$CC45/(Simulations!$G45*Simulations!$H45*IF(Simulations!$I45&gt;0,Simulations!$I45,1))*Simulations!$CE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E45/Simulations!$J45)^1.5+SQRT(LN(Simulations!$CE45/Simulations!$J45))+Simulations!$CE45/Simulations!$J45*SQRT(PI())/2*ERFC(SQRT(LN(Simulations!$CE45/Simulations!$J45)))),PI()*Simulations!$T45^2/2*(LN(Simulations!$CE45/Simulations!$J45)+1))))</f>
        <v>0</v>
      </c>
      <c r="V45" s="0" t="n">
        <f aca="false">IF(OR(NOT(AND(Simulations!$A45&lt;&gt;"",OR(Simulations!$CA45&lt;&gt;"",N(Simulations!$CC45)&gt;0))),N(Simulations!$CF45)&lt;=0,N(Simulations!$CC45)&lt;=0,3&gt;N(Simulations!$O45)),0,IF(Simulations!$CF45&lt;Simulations!$J45,Simulations!$CC45/(Simulations!$G45*Simulations!$H45*IF(Simulations!$I45&gt;0,Simulations!$I45,1))*Simulations!$CF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F45/Simulations!$J45)^1.5+SQRT(LN(Simulations!$CF45/Simulations!$J45))+Simulations!$CF45/Simulations!$J45*SQRT(PI())/2*ERFC(SQRT(LN(Simulations!$CF45/Simulations!$J45)))),PI()*Simulations!$T45^2/2*(LN(Simulations!$CF45/Simulations!$J45)+1))))</f>
        <v>0</v>
      </c>
      <c r="W45" s="0" t="n">
        <f aca="false">IF(NOT(AND(Simulations!$A45&lt;&gt;"",OR(Simulations!$CA45&lt;&gt;"",N(Simulations!$CC45)&gt;0))),0,MAX(N(Simulations!$CD45),N(Simulations!$CE45),N(Simulations!$CF45))/Simulations!$J45)</f>
        <v>0</v>
      </c>
      <c r="X45" s="0" t="n">
        <f aca="false">IF(OR(NOT(AND(Simulations!$A45&lt;&gt;"",OR(Simulations!$CA45&lt;&gt;"",N(Simulations!$CC45)&gt;0))),N(Simulations!$CB45)&lt;=0),0,SQRT(2*Simulations!$CB45*1000000/(Simulations!$J45*1000))/Simulations!$T45)</f>
        <v>0</v>
      </c>
      <c r="Y45" s="0" t="n">
        <f aca="false">IF(AND(Simulations!$A45&lt;&gt;"",OR(Simulations!$CA45&lt;&gt;"",N(Simulations!$CC45)&gt;0)),1,0)</f>
        <v>0</v>
      </c>
      <c r="Z45" s="0" t="n">
        <f aca="false">IF(OR(NOT(AND(Simulations!$A45&lt;&gt;"",OR(Simulations!$CS45&lt;&gt;"",N(Simulations!$CU45)&gt;0))),N(Simulations!$CV45)&lt;=0,N(Simulations!$CU45)&lt;=0,1&gt;N(Simulations!$O45)),0,IF(Simulations!$CV45&lt;Simulations!$J45,Simulations!$CU45/(Simulations!$G45*Simulations!$H45*IF(Simulations!$I45&gt;0,Simulations!$I45,1))*Simulations!$CV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V45/Simulations!$J45)^1.5+SQRT(LN(Simulations!$CV45/Simulations!$J45))+Simulations!$CV45/Simulations!$J45*SQRT(PI())/2*ERFC(SQRT(LN(Simulations!$CV45/Simulations!$J45)))),PI()*Simulations!$T45^2/2*(LN(Simulations!$CV45/Simulations!$J45)+1))))</f>
        <v>0</v>
      </c>
      <c r="AA45" s="0" t="n">
        <f aca="false">IF(OR(NOT(AND(Simulations!$A45&lt;&gt;"",OR(Simulations!$CS45&lt;&gt;"",N(Simulations!$CU45)&gt;0))),N(Simulations!$CW45)&lt;=0,N(Simulations!$CU45)&lt;=0,2&gt;N(Simulations!$O45)),0,IF(Simulations!$CW45&lt;Simulations!$J45,Simulations!$CU45/(Simulations!$G45*Simulations!$H45*IF(Simulations!$I45&gt;0,Simulations!$I45,1))*Simulations!$CW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W45/Simulations!$J45)^1.5+SQRT(LN(Simulations!$CW45/Simulations!$J45))+Simulations!$CW45/Simulations!$J45*SQRT(PI())/2*ERFC(SQRT(LN(Simulations!$CW45/Simulations!$J45)))),PI()*Simulations!$T45^2/2*(LN(Simulations!$CW45/Simulations!$J45)+1))))</f>
        <v>0</v>
      </c>
      <c r="AB45" s="0" t="n">
        <f aca="false">IF(OR(NOT(AND(Simulations!$A45&lt;&gt;"",OR(Simulations!$CS45&lt;&gt;"",N(Simulations!$CU45)&gt;0))),N(Simulations!$CX45)&lt;=0,N(Simulations!$CU45)&lt;=0,3&gt;N(Simulations!$O45)),0,IF(Simulations!$CX45&lt;Simulations!$J45,Simulations!$CU45/(Simulations!$G45*Simulations!$H45*IF(Simulations!$I45&gt;0,Simulations!$I45,1))*Simulations!$CX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X45/Simulations!$J45)^1.5+SQRT(LN(Simulations!$CX45/Simulations!$J45))+Simulations!$CX45/Simulations!$J45*SQRT(PI())/2*ERFC(SQRT(LN(Simulations!$CX45/Simulations!$J45)))),PI()*Simulations!$T45^2/2*(LN(Simulations!$CX45/Simulations!$J45)+1))))</f>
        <v>0</v>
      </c>
      <c r="AC45" s="0" t="n">
        <f aca="false">IF(NOT(AND(Simulations!$A45&lt;&gt;"",OR(Simulations!$CS45&lt;&gt;"",N(Simulations!$CU45)&gt;0))),0,MAX(N(Simulations!$CV45),N(Simulations!$CW45),N(Simulations!$CX45))/Simulations!$J45)</f>
        <v>0</v>
      </c>
      <c r="AD45" s="0" t="n">
        <f aca="false">IF(OR(NOT(AND(Simulations!$A45&lt;&gt;"",OR(Simulations!$CS45&lt;&gt;"",N(Simulations!$CU45)&gt;0))),N(Simulations!$CT45)&lt;=0),0,SQRT(2*Simulations!$CT45*1000000/(Simulations!$J45*1000))/Simulations!$T45)</f>
        <v>0</v>
      </c>
      <c r="AE45" s="0" t="n">
        <f aca="false">IF(AND(Simulations!$A45&lt;&gt;"",OR(Simulations!$CS45&lt;&gt;"",N(Simulations!$CU45)&gt;0)),1,0)</f>
        <v>0</v>
      </c>
      <c r="AF45" s="0" t="n">
        <f aca="false">IF(OR(NOT(AND(Simulations!$A45&lt;&gt;"",OR(Simulations!$DK45&lt;&gt;"",N(Simulations!$DM45)&gt;0))),N(Simulations!$DN45)&lt;=0,N(Simulations!$DM45)&lt;=0,1&gt;N(Simulations!$O45)),0,IF(Simulations!$DN45&lt;Simulations!$J45,Simulations!$DM45/(Simulations!$G45*Simulations!$H45*IF(Simulations!$I45&gt;0,Simulations!$I45,1))*Simulations!$DN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N45/Simulations!$J45)^1.5+SQRT(LN(Simulations!$DN45/Simulations!$J45))+Simulations!$DN45/Simulations!$J45*SQRT(PI())/2*ERFC(SQRT(LN(Simulations!$DN45/Simulations!$J45)))),PI()*Simulations!$T45^2/2*(LN(Simulations!$DN45/Simulations!$J45)+1))))</f>
        <v>0</v>
      </c>
      <c r="AG45" s="0" t="n">
        <f aca="false">IF(OR(NOT(AND(Simulations!$A45&lt;&gt;"",OR(Simulations!$DK45&lt;&gt;"",N(Simulations!$DM45)&gt;0))),N(Simulations!$DO45)&lt;=0,N(Simulations!$DM45)&lt;=0,2&gt;N(Simulations!$O45)),0,IF(Simulations!$DO45&lt;Simulations!$J45,Simulations!$DM45/(Simulations!$G45*Simulations!$H45*IF(Simulations!$I45&gt;0,Simulations!$I45,1))*Simulations!$DO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O45/Simulations!$J45)^1.5+SQRT(LN(Simulations!$DO45/Simulations!$J45))+Simulations!$DO45/Simulations!$J45*SQRT(PI())/2*ERFC(SQRT(LN(Simulations!$DO45/Simulations!$J45)))),PI()*Simulations!$T45^2/2*(LN(Simulations!$DO45/Simulations!$J45)+1))))</f>
        <v>0</v>
      </c>
      <c r="AH45" s="0" t="n">
        <f aca="false">IF(OR(NOT(AND(Simulations!$A45&lt;&gt;"",OR(Simulations!$DK45&lt;&gt;"",N(Simulations!$DM45)&gt;0))),N(Simulations!$DP45)&lt;=0,N(Simulations!$DM45)&lt;=0,3&gt;N(Simulations!$O45)),0,IF(Simulations!$DP45&lt;Simulations!$J45,Simulations!$DM45/(Simulations!$G45*Simulations!$H45*IF(Simulations!$I45&gt;0,Simulations!$I45,1))*Simulations!$DP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P45/Simulations!$J45)^1.5+SQRT(LN(Simulations!$DP45/Simulations!$J45))+Simulations!$DP45/Simulations!$J45*SQRT(PI())/2*ERFC(SQRT(LN(Simulations!$DP45/Simulations!$J45)))),PI()*Simulations!$T45^2/2*(LN(Simulations!$DP45/Simulations!$J45)+1))))</f>
        <v>0</v>
      </c>
      <c r="AI45" s="0" t="n">
        <f aca="false">IF(NOT(AND(Simulations!$A45&lt;&gt;"",OR(Simulations!$DK45&lt;&gt;"",N(Simulations!$DM45)&gt;0))),0,MAX(N(Simulations!$DN45),N(Simulations!$DO45),N(Simulations!$DP45))/Simulations!$J45)</f>
        <v>0</v>
      </c>
      <c r="AJ45" s="0" t="n">
        <f aca="false">IF(OR(NOT(AND(Simulations!$A45&lt;&gt;"",OR(Simulations!$DK45&lt;&gt;"",N(Simulations!$DM45)&gt;0))),N(Simulations!$DL45)&lt;=0),0,SQRT(2*Simulations!$DL45*1000000/(Simulations!$J45*1000))/Simulations!$T45)</f>
        <v>0</v>
      </c>
      <c r="AK45" s="0" t="n">
        <f aca="false">IF(AND(Simulations!$A45&lt;&gt;"",OR(Simulations!$DK45&lt;&gt;"",N(Simulations!$DM45)&gt;0)),1,0)</f>
        <v>0</v>
      </c>
    </row>
    <row r="46" customFormat="false" ht="15" hidden="false" customHeight="false" outlineLevel="0" collapsed="false">
      <c r="B46" s="0" t="n">
        <f aca="false">IF(OR(NOT(AND(Simulations!$A46&lt;&gt;"",OR(Simulations!$Y46&lt;&gt;"",N(Simulations!$AA46)&gt;0))),N(Simulations!$AB46)&lt;=0,N(Simulations!$AA46)&lt;=0,1&gt;N(Simulations!$O46)),0,IF(Simulations!$AB46&lt;Simulations!$J46,Simulations!$AA46/(Simulations!$G46*Simulations!$H46*IF(Simulations!$I46&gt;0,Simulations!$I46,1))*Simulations!$AB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B46/Simulations!$J46)^1.5+SQRT(LN(Simulations!$AB46/Simulations!$J46))+Simulations!$AB46/Simulations!$J46*SQRT(PI())/2*ERFC(SQRT(LN(Simulations!$AB46/Simulations!$J46)))),PI()*Simulations!$T46^2/2*(LN(Simulations!$AB46/Simulations!$J46)+1))))</f>
        <v>0</v>
      </c>
      <c r="C46" s="0" t="n">
        <f aca="false">IF(OR(NOT(AND(Simulations!$A46&lt;&gt;"",OR(Simulations!$Y46&lt;&gt;"",N(Simulations!$AA46)&gt;0))),N(Simulations!$AC46)&lt;=0,N(Simulations!$AA46)&lt;=0,2&gt;N(Simulations!$O46)),0,IF(Simulations!$AC46&lt;Simulations!$J46,Simulations!$AA46/(Simulations!$G46*Simulations!$H46*IF(Simulations!$I46&gt;0,Simulations!$I46,1))*Simulations!$AC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C46/Simulations!$J46)^1.5+SQRT(LN(Simulations!$AC46/Simulations!$J46))+Simulations!$AC46/Simulations!$J46*SQRT(PI())/2*ERFC(SQRT(LN(Simulations!$AC46/Simulations!$J46)))),PI()*Simulations!$T46^2/2*(LN(Simulations!$AC46/Simulations!$J46)+1))))</f>
        <v>0</v>
      </c>
      <c r="D46" s="0" t="n">
        <f aca="false">IF(OR(NOT(AND(Simulations!$A46&lt;&gt;"",OR(Simulations!$Y46&lt;&gt;"",N(Simulations!$AA46)&gt;0))),N(Simulations!$AD46)&lt;=0,N(Simulations!$AA46)&lt;=0,3&gt;N(Simulations!$O46)),0,IF(Simulations!$AD46&lt;Simulations!$J46,Simulations!$AA46/(Simulations!$G46*Simulations!$H46*IF(Simulations!$I46&gt;0,Simulations!$I46,1))*Simulations!$AD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D46/Simulations!$J46)^1.5+SQRT(LN(Simulations!$AD46/Simulations!$J46))+Simulations!$AD46/Simulations!$J46*SQRT(PI())/2*ERFC(SQRT(LN(Simulations!$AD46/Simulations!$J46)))),PI()*Simulations!$T46^2/2*(LN(Simulations!$AD46/Simulations!$J46)+1))))</f>
        <v>0</v>
      </c>
      <c r="E46" s="0" t="n">
        <f aca="false">IF(NOT(AND(Simulations!$A46&lt;&gt;"",OR(Simulations!$Y46&lt;&gt;"",N(Simulations!$AA46)&gt;0))),0,MAX(N(Simulations!$AB46),N(Simulations!$AC46),N(Simulations!$AD46))/Simulations!$J46)</f>
        <v>0</v>
      </c>
      <c r="F46" s="0" t="n">
        <f aca="false">IF(OR(NOT(AND(Simulations!$A46&lt;&gt;"",OR(Simulations!$Y46&lt;&gt;"",N(Simulations!$AA46)&gt;0))),N(Simulations!$Z46)&lt;=0),0,SQRT(2*Simulations!$Z46*1000000/(Simulations!$J46*1000))/Simulations!$T46)</f>
        <v>0</v>
      </c>
      <c r="G46" s="0" t="n">
        <f aca="false">IF(AND(Simulations!$A46&lt;&gt;"",OR(Simulations!$Y46&lt;&gt;"",N(Simulations!$AA46)&gt;0)),1,0)</f>
        <v>0</v>
      </c>
      <c r="H46" s="0" t="n">
        <f aca="false">IF(OR(NOT(AND(Simulations!$A46&lt;&gt;"",OR(Simulations!$AQ46&lt;&gt;"",N(Simulations!$AS46)&gt;0))),N(Simulations!$AT46)&lt;=0,N(Simulations!$AS46)&lt;=0,1&gt;N(Simulations!$O46)),0,IF(Simulations!$AT46&lt;Simulations!$J46,Simulations!$AS46/(Simulations!$G46*Simulations!$H46*IF(Simulations!$I46&gt;0,Simulations!$I46,1))*Simulations!$AT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T46/Simulations!$J46)^1.5+SQRT(LN(Simulations!$AT46/Simulations!$J46))+Simulations!$AT46/Simulations!$J46*SQRT(PI())/2*ERFC(SQRT(LN(Simulations!$AT46/Simulations!$J46)))),PI()*Simulations!$T46^2/2*(LN(Simulations!$AT46/Simulations!$J46)+1))))</f>
        <v>0</v>
      </c>
      <c r="I46" s="0" t="n">
        <f aca="false">IF(OR(NOT(AND(Simulations!$A46&lt;&gt;"",OR(Simulations!$AQ46&lt;&gt;"",N(Simulations!$AS46)&gt;0))),N(Simulations!$AU46)&lt;=0,N(Simulations!$AS46)&lt;=0,2&gt;N(Simulations!$O46)),0,IF(Simulations!$AU46&lt;Simulations!$J46,Simulations!$AS46/(Simulations!$G46*Simulations!$H46*IF(Simulations!$I46&gt;0,Simulations!$I46,1))*Simulations!$AU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U46/Simulations!$J46)^1.5+SQRT(LN(Simulations!$AU46/Simulations!$J46))+Simulations!$AU46/Simulations!$J46*SQRT(PI())/2*ERFC(SQRT(LN(Simulations!$AU46/Simulations!$J46)))),PI()*Simulations!$T46^2/2*(LN(Simulations!$AU46/Simulations!$J46)+1))))</f>
        <v>0</v>
      </c>
      <c r="J46" s="0" t="n">
        <f aca="false">IF(OR(NOT(AND(Simulations!$A46&lt;&gt;"",OR(Simulations!$AQ46&lt;&gt;"",N(Simulations!$AS46)&gt;0))),N(Simulations!$AV46)&lt;=0,N(Simulations!$AS46)&lt;=0,3&gt;N(Simulations!$O46)),0,IF(Simulations!$AV46&lt;Simulations!$J46,Simulations!$AS46/(Simulations!$G46*Simulations!$H46*IF(Simulations!$I46&gt;0,Simulations!$I46,1))*Simulations!$AV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V46/Simulations!$J46)^1.5+SQRT(LN(Simulations!$AV46/Simulations!$J46))+Simulations!$AV46/Simulations!$J46*SQRT(PI())/2*ERFC(SQRT(LN(Simulations!$AV46/Simulations!$J46)))),PI()*Simulations!$T46^2/2*(LN(Simulations!$AV46/Simulations!$J46)+1))))</f>
        <v>0</v>
      </c>
      <c r="K46" s="0" t="n">
        <f aca="false">IF(NOT(AND(Simulations!$A46&lt;&gt;"",OR(Simulations!$AQ46&lt;&gt;"",N(Simulations!$AS46)&gt;0))),0,MAX(N(Simulations!$AT46),N(Simulations!$AU46),N(Simulations!$AV46))/Simulations!$J46)</f>
        <v>0</v>
      </c>
      <c r="L46" s="0" t="n">
        <f aca="false">IF(OR(NOT(AND(Simulations!$A46&lt;&gt;"",OR(Simulations!$AQ46&lt;&gt;"",N(Simulations!$AS46)&gt;0))),N(Simulations!$AR46)&lt;=0),0,SQRT(2*Simulations!$AR46*1000000/(Simulations!$J46*1000))/Simulations!$T46)</f>
        <v>0</v>
      </c>
      <c r="M46" s="0" t="n">
        <f aca="false">IF(AND(Simulations!$A46&lt;&gt;"",OR(Simulations!$AQ46&lt;&gt;"",N(Simulations!$AS46)&gt;0)),1,0)</f>
        <v>0</v>
      </c>
      <c r="N46" s="0" t="n">
        <f aca="false">IF(OR(NOT(AND(Simulations!$A46&lt;&gt;"",OR(Simulations!$BI46&lt;&gt;"",N(Simulations!$BK46)&gt;0))),N(Simulations!$BL46)&lt;=0,N(Simulations!$BK46)&lt;=0,1&gt;N(Simulations!$O46)),0,IF(Simulations!$BL46&lt;Simulations!$J46,Simulations!$BK46/(Simulations!$G46*Simulations!$H46*IF(Simulations!$I46&gt;0,Simulations!$I46,1))*Simulations!$BL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L46/Simulations!$J46)^1.5+SQRT(LN(Simulations!$BL46/Simulations!$J46))+Simulations!$BL46/Simulations!$J46*SQRT(PI())/2*ERFC(SQRT(LN(Simulations!$BL46/Simulations!$J46)))),PI()*Simulations!$T46^2/2*(LN(Simulations!$BL46/Simulations!$J46)+1))))</f>
        <v>0</v>
      </c>
      <c r="O46" s="0" t="n">
        <f aca="false">IF(OR(NOT(AND(Simulations!$A46&lt;&gt;"",OR(Simulations!$BI46&lt;&gt;"",N(Simulations!$BK46)&gt;0))),N(Simulations!$BM46)&lt;=0,N(Simulations!$BK46)&lt;=0,2&gt;N(Simulations!$O46)),0,IF(Simulations!$BM46&lt;Simulations!$J46,Simulations!$BK46/(Simulations!$G46*Simulations!$H46*IF(Simulations!$I46&gt;0,Simulations!$I46,1))*Simulations!$BM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M46/Simulations!$J46)^1.5+SQRT(LN(Simulations!$BM46/Simulations!$J46))+Simulations!$BM46/Simulations!$J46*SQRT(PI())/2*ERFC(SQRT(LN(Simulations!$BM46/Simulations!$J46)))),PI()*Simulations!$T46^2/2*(LN(Simulations!$BM46/Simulations!$J46)+1))))</f>
        <v>0</v>
      </c>
      <c r="P46" s="0" t="n">
        <f aca="false">IF(OR(NOT(AND(Simulations!$A46&lt;&gt;"",OR(Simulations!$BI46&lt;&gt;"",N(Simulations!$BK46)&gt;0))),N(Simulations!$BN46)&lt;=0,N(Simulations!$BK46)&lt;=0,3&gt;N(Simulations!$O46)),0,IF(Simulations!$BN46&lt;Simulations!$J46,Simulations!$BK46/(Simulations!$G46*Simulations!$H46*IF(Simulations!$I46&gt;0,Simulations!$I46,1))*Simulations!$BN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N46/Simulations!$J46)^1.5+SQRT(LN(Simulations!$BN46/Simulations!$J46))+Simulations!$BN46/Simulations!$J46*SQRT(PI())/2*ERFC(SQRT(LN(Simulations!$BN46/Simulations!$J46)))),PI()*Simulations!$T46^2/2*(LN(Simulations!$BN46/Simulations!$J46)+1))))</f>
        <v>0</v>
      </c>
      <c r="Q46" s="0" t="n">
        <f aca="false">IF(NOT(AND(Simulations!$A46&lt;&gt;"",OR(Simulations!$BI46&lt;&gt;"",N(Simulations!$BK46)&gt;0))),0,MAX(N(Simulations!$BL46),N(Simulations!$BM46),N(Simulations!$BN46))/Simulations!$J46)</f>
        <v>0</v>
      </c>
      <c r="R46" s="0" t="n">
        <f aca="false">IF(OR(NOT(AND(Simulations!$A46&lt;&gt;"",OR(Simulations!$BI46&lt;&gt;"",N(Simulations!$BK46)&gt;0))),N(Simulations!$BJ46)&lt;=0),0,SQRT(2*Simulations!$BJ46*1000000/(Simulations!$J46*1000))/Simulations!$T46)</f>
        <v>0</v>
      </c>
      <c r="S46" s="0" t="n">
        <f aca="false">IF(AND(Simulations!$A46&lt;&gt;"",OR(Simulations!$BI46&lt;&gt;"",N(Simulations!$BK46)&gt;0)),1,0)</f>
        <v>0</v>
      </c>
      <c r="T46" s="0" t="n">
        <f aca="false">IF(OR(NOT(AND(Simulations!$A46&lt;&gt;"",OR(Simulations!$CA46&lt;&gt;"",N(Simulations!$CC46)&gt;0))),N(Simulations!$CD46)&lt;=0,N(Simulations!$CC46)&lt;=0,1&gt;N(Simulations!$O46)),0,IF(Simulations!$CD46&lt;Simulations!$J46,Simulations!$CC46/(Simulations!$G46*Simulations!$H46*IF(Simulations!$I46&gt;0,Simulations!$I46,1))*Simulations!$CD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D46/Simulations!$J46)^1.5+SQRT(LN(Simulations!$CD46/Simulations!$J46))+Simulations!$CD46/Simulations!$J46*SQRT(PI())/2*ERFC(SQRT(LN(Simulations!$CD46/Simulations!$J46)))),PI()*Simulations!$T46^2/2*(LN(Simulations!$CD46/Simulations!$J46)+1))))</f>
        <v>0</v>
      </c>
      <c r="U46" s="0" t="n">
        <f aca="false">IF(OR(NOT(AND(Simulations!$A46&lt;&gt;"",OR(Simulations!$CA46&lt;&gt;"",N(Simulations!$CC46)&gt;0))),N(Simulations!$CE46)&lt;=0,N(Simulations!$CC46)&lt;=0,2&gt;N(Simulations!$O46)),0,IF(Simulations!$CE46&lt;Simulations!$J46,Simulations!$CC46/(Simulations!$G46*Simulations!$H46*IF(Simulations!$I46&gt;0,Simulations!$I46,1))*Simulations!$CE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E46/Simulations!$J46)^1.5+SQRT(LN(Simulations!$CE46/Simulations!$J46))+Simulations!$CE46/Simulations!$J46*SQRT(PI())/2*ERFC(SQRT(LN(Simulations!$CE46/Simulations!$J46)))),PI()*Simulations!$T46^2/2*(LN(Simulations!$CE46/Simulations!$J46)+1))))</f>
        <v>0</v>
      </c>
      <c r="V46" s="0" t="n">
        <f aca="false">IF(OR(NOT(AND(Simulations!$A46&lt;&gt;"",OR(Simulations!$CA46&lt;&gt;"",N(Simulations!$CC46)&gt;0))),N(Simulations!$CF46)&lt;=0,N(Simulations!$CC46)&lt;=0,3&gt;N(Simulations!$O46)),0,IF(Simulations!$CF46&lt;Simulations!$J46,Simulations!$CC46/(Simulations!$G46*Simulations!$H46*IF(Simulations!$I46&gt;0,Simulations!$I46,1))*Simulations!$CF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F46/Simulations!$J46)^1.5+SQRT(LN(Simulations!$CF46/Simulations!$J46))+Simulations!$CF46/Simulations!$J46*SQRT(PI())/2*ERFC(SQRT(LN(Simulations!$CF46/Simulations!$J46)))),PI()*Simulations!$T46^2/2*(LN(Simulations!$CF46/Simulations!$J46)+1))))</f>
        <v>0</v>
      </c>
      <c r="W46" s="0" t="n">
        <f aca="false">IF(NOT(AND(Simulations!$A46&lt;&gt;"",OR(Simulations!$CA46&lt;&gt;"",N(Simulations!$CC46)&gt;0))),0,MAX(N(Simulations!$CD46),N(Simulations!$CE46),N(Simulations!$CF46))/Simulations!$J46)</f>
        <v>0</v>
      </c>
      <c r="X46" s="0" t="n">
        <f aca="false">IF(OR(NOT(AND(Simulations!$A46&lt;&gt;"",OR(Simulations!$CA46&lt;&gt;"",N(Simulations!$CC46)&gt;0))),N(Simulations!$CB46)&lt;=0),0,SQRT(2*Simulations!$CB46*1000000/(Simulations!$J46*1000))/Simulations!$T46)</f>
        <v>0</v>
      </c>
      <c r="Y46" s="0" t="n">
        <f aca="false">IF(AND(Simulations!$A46&lt;&gt;"",OR(Simulations!$CA46&lt;&gt;"",N(Simulations!$CC46)&gt;0)),1,0)</f>
        <v>0</v>
      </c>
      <c r="Z46" s="0" t="n">
        <f aca="false">IF(OR(NOT(AND(Simulations!$A46&lt;&gt;"",OR(Simulations!$CS46&lt;&gt;"",N(Simulations!$CU46)&gt;0))),N(Simulations!$CV46)&lt;=0,N(Simulations!$CU46)&lt;=0,1&gt;N(Simulations!$O46)),0,IF(Simulations!$CV46&lt;Simulations!$J46,Simulations!$CU46/(Simulations!$G46*Simulations!$H46*IF(Simulations!$I46&gt;0,Simulations!$I46,1))*Simulations!$CV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V46/Simulations!$J46)^1.5+SQRT(LN(Simulations!$CV46/Simulations!$J46))+Simulations!$CV46/Simulations!$J46*SQRT(PI())/2*ERFC(SQRT(LN(Simulations!$CV46/Simulations!$J46)))),PI()*Simulations!$T46^2/2*(LN(Simulations!$CV46/Simulations!$J46)+1))))</f>
        <v>0</v>
      </c>
      <c r="AA46" s="0" t="n">
        <f aca="false">IF(OR(NOT(AND(Simulations!$A46&lt;&gt;"",OR(Simulations!$CS46&lt;&gt;"",N(Simulations!$CU46)&gt;0))),N(Simulations!$CW46)&lt;=0,N(Simulations!$CU46)&lt;=0,2&gt;N(Simulations!$O46)),0,IF(Simulations!$CW46&lt;Simulations!$J46,Simulations!$CU46/(Simulations!$G46*Simulations!$H46*IF(Simulations!$I46&gt;0,Simulations!$I46,1))*Simulations!$CW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W46/Simulations!$J46)^1.5+SQRT(LN(Simulations!$CW46/Simulations!$J46))+Simulations!$CW46/Simulations!$J46*SQRT(PI())/2*ERFC(SQRT(LN(Simulations!$CW46/Simulations!$J46)))),PI()*Simulations!$T46^2/2*(LN(Simulations!$CW46/Simulations!$J46)+1))))</f>
        <v>0</v>
      </c>
      <c r="AB46" s="0" t="n">
        <f aca="false">IF(OR(NOT(AND(Simulations!$A46&lt;&gt;"",OR(Simulations!$CS46&lt;&gt;"",N(Simulations!$CU46)&gt;0))),N(Simulations!$CX46)&lt;=0,N(Simulations!$CU46)&lt;=0,3&gt;N(Simulations!$O46)),0,IF(Simulations!$CX46&lt;Simulations!$J46,Simulations!$CU46/(Simulations!$G46*Simulations!$H46*IF(Simulations!$I46&gt;0,Simulations!$I46,1))*Simulations!$CX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X46/Simulations!$J46)^1.5+SQRT(LN(Simulations!$CX46/Simulations!$J46))+Simulations!$CX46/Simulations!$J46*SQRT(PI())/2*ERFC(SQRT(LN(Simulations!$CX46/Simulations!$J46)))),PI()*Simulations!$T46^2/2*(LN(Simulations!$CX46/Simulations!$J46)+1))))</f>
        <v>0</v>
      </c>
      <c r="AC46" s="0" t="n">
        <f aca="false">IF(NOT(AND(Simulations!$A46&lt;&gt;"",OR(Simulations!$CS46&lt;&gt;"",N(Simulations!$CU46)&gt;0))),0,MAX(N(Simulations!$CV46),N(Simulations!$CW46),N(Simulations!$CX46))/Simulations!$J46)</f>
        <v>0</v>
      </c>
      <c r="AD46" s="0" t="n">
        <f aca="false">IF(OR(NOT(AND(Simulations!$A46&lt;&gt;"",OR(Simulations!$CS46&lt;&gt;"",N(Simulations!$CU46)&gt;0))),N(Simulations!$CT46)&lt;=0),0,SQRT(2*Simulations!$CT46*1000000/(Simulations!$J46*1000))/Simulations!$T46)</f>
        <v>0</v>
      </c>
      <c r="AE46" s="0" t="n">
        <f aca="false">IF(AND(Simulations!$A46&lt;&gt;"",OR(Simulations!$CS46&lt;&gt;"",N(Simulations!$CU46)&gt;0)),1,0)</f>
        <v>0</v>
      </c>
      <c r="AF46" s="0" t="n">
        <f aca="false">IF(OR(NOT(AND(Simulations!$A46&lt;&gt;"",OR(Simulations!$DK46&lt;&gt;"",N(Simulations!$DM46)&gt;0))),N(Simulations!$DN46)&lt;=0,N(Simulations!$DM46)&lt;=0,1&gt;N(Simulations!$O46)),0,IF(Simulations!$DN46&lt;Simulations!$J46,Simulations!$DM46/(Simulations!$G46*Simulations!$H46*IF(Simulations!$I46&gt;0,Simulations!$I46,1))*Simulations!$DN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N46/Simulations!$J46)^1.5+SQRT(LN(Simulations!$DN46/Simulations!$J46))+Simulations!$DN46/Simulations!$J46*SQRT(PI())/2*ERFC(SQRT(LN(Simulations!$DN46/Simulations!$J46)))),PI()*Simulations!$T46^2/2*(LN(Simulations!$DN46/Simulations!$J46)+1))))</f>
        <v>0</v>
      </c>
      <c r="AG46" s="0" t="n">
        <f aca="false">IF(OR(NOT(AND(Simulations!$A46&lt;&gt;"",OR(Simulations!$DK46&lt;&gt;"",N(Simulations!$DM46)&gt;0))),N(Simulations!$DO46)&lt;=0,N(Simulations!$DM46)&lt;=0,2&gt;N(Simulations!$O46)),0,IF(Simulations!$DO46&lt;Simulations!$J46,Simulations!$DM46/(Simulations!$G46*Simulations!$H46*IF(Simulations!$I46&gt;0,Simulations!$I46,1))*Simulations!$DO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O46/Simulations!$J46)^1.5+SQRT(LN(Simulations!$DO46/Simulations!$J46))+Simulations!$DO46/Simulations!$J46*SQRT(PI())/2*ERFC(SQRT(LN(Simulations!$DO46/Simulations!$J46)))),PI()*Simulations!$T46^2/2*(LN(Simulations!$DO46/Simulations!$J46)+1))))</f>
        <v>0</v>
      </c>
      <c r="AH46" s="0" t="n">
        <f aca="false">IF(OR(NOT(AND(Simulations!$A46&lt;&gt;"",OR(Simulations!$DK46&lt;&gt;"",N(Simulations!$DM46)&gt;0))),N(Simulations!$DP46)&lt;=0,N(Simulations!$DM46)&lt;=0,3&gt;N(Simulations!$O46)),0,IF(Simulations!$DP46&lt;Simulations!$J46,Simulations!$DM46/(Simulations!$G46*Simulations!$H46*IF(Simulations!$I46&gt;0,Simulations!$I46,1))*Simulations!$DP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P46/Simulations!$J46)^1.5+SQRT(LN(Simulations!$DP46/Simulations!$J46))+Simulations!$DP46/Simulations!$J46*SQRT(PI())/2*ERFC(SQRT(LN(Simulations!$DP46/Simulations!$J46)))),PI()*Simulations!$T46^2/2*(LN(Simulations!$DP46/Simulations!$J46)+1))))</f>
        <v>0</v>
      </c>
      <c r="AI46" s="0" t="n">
        <f aca="false">IF(NOT(AND(Simulations!$A46&lt;&gt;"",OR(Simulations!$DK46&lt;&gt;"",N(Simulations!$DM46)&gt;0))),0,MAX(N(Simulations!$DN46),N(Simulations!$DO46),N(Simulations!$DP46))/Simulations!$J46)</f>
        <v>0</v>
      </c>
      <c r="AJ46" s="0" t="n">
        <f aca="false">IF(OR(NOT(AND(Simulations!$A46&lt;&gt;"",OR(Simulations!$DK46&lt;&gt;"",N(Simulations!$DM46)&gt;0))),N(Simulations!$DL46)&lt;=0),0,SQRT(2*Simulations!$DL46*1000000/(Simulations!$J46*1000))/Simulations!$T46)</f>
        <v>0</v>
      </c>
      <c r="AK46" s="0" t="n">
        <f aca="false">IF(AND(Simulations!$A46&lt;&gt;"",OR(Simulations!$DK46&lt;&gt;"",N(Simulations!$DM46)&gt;0)),1,0)</f>
        <v>0</v>
      </c>
    </row>
    <row r="47" customFormat="false" ht="15" hidden="false" customHeight="false" outlineLevel="0" collapsed="false">
      <c r="B47" s="0" t="n">
        <f aca="false">IF(OR(NOT(AND(Simulations!$A47&lt;&gt;"",OR(Simulations!$Y47&lt;&gt;"",N(Simulations!$AA47)&gt;0))),N(Simulations!$AB47)&lt;=0,N(Simulations!$AA47)&lt;=0,1&gt;N(Simulations!$O47)),0,IF(Simulations!$AB47&lt;Simulations!$J47,Simulations!$AA47/(Simulations!$G47*Simulations!$H47*IF(Simulations!$I47&gt;0,Simulations!$I47,1))*Simulations!$AB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B47/Simulations!$J47)^1.5+SQRT(LN(Simulations!$AB47/Simulations!$J47))+Simulations!$AB47/Simulations!$J47*SQRT(PI())/2*ERFC(SQRT(LN(Simulations!$AB47/Simulations!$J47)))),PI()*Simulations!$T47^2/2*(LN(Simulations!$AB47/Simulations!$J47)+1))))</f>
        <v>0</v>
      </c>
      <c r="C47" s="0" t="n">
        <f aca="false">IF(OR(NOT(AND(Simulations!$A47&lt;&gt;"",OR(Simulations!$Y47&lt;&gt;"",N(Simulations!$AA47)&gt;0))),N(Simulations!$AC47)&lt;=0,N(Simulations!$AA47)&lt;=0,2&gt;N(Simulations!$O47)),0,IF(Simulations!$AC47&lt;Simulations!$J47,Simulations!$AA47/(Simulations!$G47*Simulations!$H47*IF(Simulations!$I47&gt;0,Simulations!$I47,1))*Simulations!$AC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C47/Simulations!$J47)^1.5+SQRT(LN(Simulations!$AC47/Simulations!$J47))+Simulations!$AC47/Simulations!$J47*SQRT(PI())/2*ERFC(SQRT(LN(Simulations!$AC47/Simulations!$J47)))),PI()*Simulations!$T47^2/2*(LN(Simulations!$AC47/Simulations!$J47)+1))))</f>
        <v>0</v>
      </c>
      <c r="D47" s="0" t="n">
        <f aca="false">IF(OR(NOT(AND(Simulations!$A47&lt;&gt;"",OR(Simulations!$Y47&lt;&gt;"",N(Simulations!$AA47)&gt;0))),N(Simulations!$AD47)&lt;=0,N(Simulations!$AA47)&lt;=0,3&gt;N(Simulations!$O47)),0,IF(Simulations!$AD47&lt;Simulations!$J47,Simulations!$AA47/(Simulations!$G47*Simulations!$H47*IF(Simulations!$I47&gt;0,Simulations!$I47,1))*Simulations!$AD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D47/Simulations!$J47)^1.5+SQRT(LN(Simulations!$AD47/Simulations!$J47))+Simulations!$AD47/Simulations!$J47*SQRT(PI())/2*ERFC(SQRT(LN(Simulations!$AD47/Simulations!$J47)))),PI()*Simulations!$T47^2/2*(LN(Simulations!$AD47/Simulations!$J47)+1))))</f>
        <v>0</v>
      </c>
      <c r="E47" s="0" t="n">
        <f aca="false">IF(NOT(AND(Simulations!$A47&lt;&gt;"",OR(Simulations!$Y47&lt;&gt;"",N(Simulations!$AA47)&gt;0))),0,MAX(N(Simulations!$AB47),N(Simulations!$AC47),N(Simulations!$AD47))/Simulations!$J47)</f>
        <v>0</v>
      </c>
      <c r="F47" s="0" t="n">
        <f aca="false">IF(OR(NOT(AND(Simulations!$A47&lt;&gt;"",OR(Simulations!$Y47&lt;&gt;"",N(Simulations!$AA47)&gt;0))),N(Simulations!$Z47)&lt;=0),0,SQRT(2*Simulations!$Z47*1000000/(Simulations!$J47*1000))/Simulations!$T47)</f>
        <v>0</v>
      </c>
      <c r="G47" s="0" t="n">
        <f aca="false">IF(AND(Simulations!$A47&lt;&gt;"",OR(Simulations!$Y47&lt;&gt;"",N(Simulations!$AA47)&gt;0)),1,0)</f>
        <v>0</v>
      </c>
      <c r="H47" s="0" t="n">
        <f aca="false">IF(OR(NOT(AND(Simulations!$A47&lt;&gt;"",OR(Simulations!$AQ47&lt;&gt;"",N(Simulations!$AS47)&gt;0))),N(Simulations!$AT47)&lt;=0,N(Simulations!$AS47)&lt;=0,1&gt;N(Simulations!$O47)),0,IF(Simulations!$AT47&lt;Simulations!$J47,Simulations!$AS47/(Simulations!$G47*Simulations!$H47*IF(Simulations!$I47&gt;0,Simulations!$I47,1))*Simulations!$AT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T47/Simulations!$J47)^1.5+SQRT(LN(Simulations!$AT47/Simulations!$J47))+Simulations!$AT47/Simulations!$J47*SQRT(PI())/2*ERFC(SQRT(LN(Simulations!$AT47/Simulations!$J47)))),PI()*Simulations!$T47^2/2*(LN(Simulations!$AT47/Simulations!$J47)+1))))</f>
        <v>0</v>
      </c>
      <c r="I47" s="0" t="n">
        <f aca="false">IF(OR(NOT(AND(Simulations!$A47&lt;&gt;"",OR(Simulations!$AQ47&lt;&gt;"",N(Simulations!$AS47)&gt;0))),N(Simulations!$AU47)&lt;=0,N(Simulations!$AS47)&lt;=0,2&gt;N(Simulations!$O47)),0,IF(Simulations!$AU47&lt;Simulations!$J47,Simulations!$AS47/(Simulations!$G47*Simulations!$H47*IF(Simulations!$I47&gt;0,Simulations!$I47,1))*Simulations!$AU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U47/Simulations!$J47)^1.5+SQRT(LN(Simulations!$AU47/Simulations!$J47))+Simulations!$AU47/Simulations!$J47*SQRT(PI())/2*ERFC(SQRT(LN(Simulations!$AU47/Simulations!$J47)))),PI()*Simulations!$T47^2/2*(LN(Simulations!$AU47/Simulations!$J47)+1))))</f>
        <v>0</v>
      </c>
      <c r="J47" s="0" t="n">
        <f aca="false">IF(OR(NOT(AND(Simulations!$A47&lt;&gt;"",OR(Simulations!$AQ47&lt;&gt;"",N(Simulations!$AS47)&gt;0))),N(Simulations!$AV47)&lt;=0,N(Simulations!$AS47)&lt;=0,3&gt;N(Simulations!$O47)),0,IF(Simulations!$AV47&lt;Simulations!$J47,Simulations!$AS47/(Simulations!$G47*Simulations!$H47*IF(Simulations!$I47&gt;0,Simulations!$I47,1))*Simulations!$AV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V47/Simulations!$J47)^1.5+SQRT(LN(Simulations!$AV47/Simulations!$J47))+Simulations!$AV47/Simulations!$J47*SQRT(PI())/2*ERFC(SQRT(LN(Simulations!$AV47/Simulations!$J47)))),PI()*Simulations!$T47^2/2*(LN(Simulations!$AV47/Simulations!$J47)+1))))</f>
        <v>0</v>
      </c>
      <c r="K47" s="0" t="n">
        <f aca="false">IF(NOT(AND(Simulations!$A47&lt;&gt;"",OR(Simulations!$AQ47&lt;&gt;"",N(Simulations!$AS47)&gt;0))),0,MAX(N(Simulations!$AT47),N(Simulations!$AU47),N(Simulations!$AV47))/Simulations!$J47)</f>
        <v>0</v>
      </c>
      <c r="L47" s="0" t="n">
        <f aca="false">IF(OR(NOT(AND(Simulations!$A47&lt;&gt;"",OR(Simulations!$AQ47&lt;&gt;"",N(Simulations!$AS47)&gt;0))),N(Simulations!$AR47)&lt;=0),0,SQRT(2*Simulations!$AR47*1000000/(Simulations!$J47*1000))/Simulations!$T47)</f>
        <v>0</v>
      </c>
      <c r="M47" s="0" t="n">
        <f aca="false">IF(AND(Simulations!$A47&lt;&gt;"",OR(Simulations!$AQ47&lt;&gt;"",N(Simulations!$AS47)&gt;0)),1,0)</f>
        <v>0</v>
      </c>
      <c r="N47" s="0" t="n">
        <f aca="false">IF(OR(NOT(AND(Simulations!$A47&lt;&gt;"",OR(Simulations!$BI47&lt;&gt;"",N(Simulations!$BK47)&gt;0))),N(Simulations!$BL47)&lt;=0,N(Simulations!$BK47)&lt;=0,1&gt;N(Simulations!$O47)),0,IF(Simulations!$BL47&lt;Simulations!$J47,Simulations!$BK47/(Simulations!$G47*Simulations!$H47*IF(Simulations!$I47&gt;0,Simulations!$I47,1))*Simulations!$BL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L47/Simulations!$J47)^1.5+SQRT(LN(Simulations!$BL47/Simulations!$J47))+Simulations!$BL47/Simulations!$J47*SQRT(PI())/2*ERFC(SQRT(LN(Simulations!$BL47/Simulations!$J47)))),PI()*Simulations!$T47^2/2*(LN(Simulations!$BL47/Simulations!$J47)+1))))</f>
        <v>0</v>
      </c>
      <c r="O47" s="0" t="n">
        <f aca="false">IF(OR(NOT(AND(Simulations!$A47&lt;&gt;"",OR(Simulations!$BI47&lt;&gt;"",N(Simulations!$BK47)&gt;0))),N(Simulations!$BM47)&lt;=0,N(Simulations!$BK47)&lt;=0,2&gt;N(Simulations!$O47)),0,IF(Simulations!$BM47&lt;Simulations!$J47,Simulations!$BK47/(Simulations!$G47*Simulations!$H47*IF(Simulations!$I47&gt;0,Simulations!$I47,1))*Simulations!$BM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M47/Simulations!$J47)^1.5+SQRT(LN(Simulations!$BM47/Simulations!$J47))+Simulations!$BM47/Simulations!$J47*SQRT(PI())/2*ERFC(SQRT(LN(Simulations!$BM47/Simulations!$J47)))),PI()*Simulations!$T47^2/2*(LN(Simulations!$BM47/Simulations!$J47)+1))))</f>
        <v>0</v>
      </c>
      <c r="P47" s="0" t="n">
        <f aca="false">IF(OR(NOT(AND(Simulations!$A47&lt;&gt;"",OR(Simulations!$BI47&lt;&gt;"",N(Simulations!$BK47)&gt;0))),N(Simulations!$BN47)&lt;=0,N(Simulations!$BK47)&lt;=0,3&gt;N(Simulations!$O47)),0,IF(Simulations!$BN47&lt;Simulations!$J47,Simulations!$BK47/(Simulations!$G47*Simulations!$H47*IF(Simulations!$I47&gt;0,Simulations!$I47,1))*Simulations!$BN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N47/Simulations!$J47)^1.5+SQRT(LN(Simulations!$BN47/Simulations!$J47))+Simulations!$BN47/Simulations!$J47*SQRT(PI())/2*ERFC(SQRT(LN(Simulations!$BN47/Simulations!$J47)))),PI()*Simulations!$T47^2/2*(LN(Simulations!$BN47/Simulations!$J47)+1))))</f>
        <v>0</v>
      </c>
      <c r="Q47" s="0" t="n">
        <f aca="false">IF(NOT(AND(Simulations!$A47&lt;&gt;"",OR(Simulations!$BI47&lt;&gt;"",N(Simulations!$BK47)&gt;0))),0,MAX(N(Simulations!$BL47),N(Simulations!$BM47),N(Simulations!$BN47))/Simulations!$J47)</f>
        <v>0</v>
      </c>
      <c r="R47" s="0" t="n">
        <f aca="false">IF(OR(NOT(AND(Simulations!$A47&lt;&gt;"",OR(Simulations!$BI47&lt;&gt;"",N(Simulations!$BK47)&gt;0))),N(Simulations!$BJ47)&lt;=0),0,SQRT(2*Simulations!$BJ47*1000000/(Simulations!$J47*1000))/Simulations!$T47)</f>
        <v>0</v>
      </c>
      <c r="S47" s="0" t="n">
        <f aca="false">IF(AND(Simulations!$A47&lt;&gt;"",OR(Simulations!$BI47&lt;&gt;"",N(Simulations!$BK47)&gt;0)),1,0)</f>
        <v>0</v>
      </c>
      <c r="T47" s="0" t="n">
        <f aca="false">IF(OR(NOT(AND(Simulations!$A47&lt;&gt;"",OR(Simulations!$CA47&lt;&gt;"",N(Simulations!$CC47)&gt;0))),N(Simulations!$CD47)&lt;=0,N(Simulations!$CC47)&lt;=0,1&gt;N(Simulations!$O47)),0,IF(Simulations!$CD47&lt;Simulations!$J47,Simulations!$CC47/(Simulations!$G47*Simulations!$H47*IF(Simulations!$I47&gt;0,Simulations!$I47,1))*Simulations!$CD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D47/Simulations!$J47)^1.5+SQRT(LN(Simulations!$CD47/Simulations!$J47))+Simulations!$CD47/Simulations!$J47*SQRT(PI())/2*ERFC(SQRT(LN(Simulations!$CD47/Simulations!$J47)))),PI()*Simulations!$T47^2/2*(LN(Simulations!$CD47/Simulations!$J47)+1))))</f>
        <v>0</v>
      </c>
      <c r="U47" s="0" t="n">
        <f aca="false">IF(OR(NOT(AND(Simulations!$A47&lt;&gt;"",OR(Simulations!$CA47&lt;&gt;"",N(Simulations!$CC47)&gt;0))),N(Simulations!$CE47)&lt;=0,N(Simulations!$CC47)&lt;=0,2&gt;N(Simulations!$O47)),0,IF(Simulations!$CE47&lt;Simulations!$J47,Simulations!$CC47/(Simulations!$G47*Simulations!$H47*IF(Simulations!$I47&gt;0,Simulations!$I47,1))*Simulations!$CE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E47/Simulations!$J47)^1.5+SQRT(LN(Simulations!$CE47/Simulations!$J47))+Simulations!$CE47/Simulations!$J47*SQRT(PI())/2*ERFC(SQRT(LN(Simulations!$CE47/Simulations!$J47)))),PI()*Simulations!$T47^2/2*(LN(Simulations!$CE47/Simulations!$J47)+1))))</f>
        <v>0</v>
      </c>
      <c r="V47" s="0" t="n">
        <f aca="false">IF(OR(NOT(AND(Simulations!$A47&lt;&gt;"",OR(Simulations!$CA47&lt;&gt;"",N(Simulations!$CC47)&gt;0))),N(Simulations!$CF47)&lt;=0,N(Simulations!$CC47)&lt;=0,3&gt;N(Simulations!$O47)),0,IF(Simulations!$CF47&lt;Simulations!$J47,Simulations!$CC47/(Simulations!$G47*Simulations!$H47*IF(Simulations!$I47&gt;0,Simulations!$I47,1))*Simulations!$CF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F47/Simulations!$J47)^1.5+SQRT(LN(Simulations!$CF47/Simulations!$J47))+Simulations!$CF47/Simulations!$J47*SQRT(PI())/2*ERFC(SQRT(LN(Simulations!$CF47/Simulations!$J47)))),PI()*Simulations!$T47^2/2*(LN(Simulations!$CF47/Simulations!$J47)+1))))</f>
        <v>0</v>
      </c>
      <c r="W47" s="0" t="n">
        <f aca="false">IF(NOT(AND(Simulations!$A47&lt;&gt;"",OR(Simulations!$CA47&lt;&gt;"",N(Simulations!$CC47)&gt;0))),0,MAX(N(Simulations!$CD47),N(Simulations!$CE47),N(Simulations!$CF47))/Simulations!$J47)</f>
        <v>0</v>
      </c>
      <c r="X47" s="0" t="n">
        <f aca="false">IF(OR(NOT(AND(Simulations!$A47&lt;&gt;"",OR(Simulations!$CA47&lt;&gt;"",N(Simulations!$CC47)&gt;0))),N(Simulations!$CB47)&lt;=0),0,SQRT(2*Simulations!$CB47*1000000/(Simulations!$J47*1000))/Simulations!$T47)</f>
        <v>0</v>
      </c>
      <c r="Y47" s="0" t="n">
        <f aca="false">IF(AND(Simulations!$A47&lt;&gt;"",OR(Simulations!$CA47&lt;&gt;"",N(Simulations!$CC47)&gt;0)),1,0)</f>
        <v>0</v>
      </c>
      <c r="Z47" s="0" t="n">
        <f aca="false">IF(OR(NOT(AND(Simulations!$A47&lt;&gt;"",OR(Simulations!$CS47&lt;&gt;"",N(Simulations!$CU47)&gt;0))),N(Simulations!$CV47)&lt;=0,N(Simulations!$CU47)&lt;=0,1&gt;N(Simulations!$O47)),0,IF(Simulations!$CV47&lt;Simulations!$J47,Simulations!$CU47/(Simulations!$G47*Simulations!$H47*IF(Simulations!$I47&gt;0,Simulations!$I47,1))*Simulations!$CV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V47/Simulations!$J47)^1.5+SQRT(LN(Simulations!$CV47/Simulations!$J47))+Simulations!$CV47/Simulations!$J47*SQRT(PI())/2*ERFC(SQRT(LN(Simulations!$CV47/Simulations!$J47)))),PI()*Simulations!$T47^2/2*(LN(Simulations!$CV47/Simulations!$J47)+1))))</f>
        <v>0</v>
      </c>
      <c r="AA47" s="0" t="n">
        <f aca="false">IF(OR(NOT(AND(Simulations!$A47&lt;&gt;"",OR(Simulations!$CS47&lt;&gt;"",N(Simulations!$CU47)&gt;0))),N(Simulations!$CW47)&lt;=0,N(Simulations!$CU47)&lt;=0,2&gt;N(Simulations!$O47)),0,IF(Simulations!$CW47&lt;Simulations!$J47,Simulations!$CU47/(Simulations!$G47*Simulations!$H47*IF(Simulations!$I47&gt;0,Simulations!$I47,1))*Simulations!$CW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W47/Simulations!$J47)^1.5+SQRT(LN(Simulations!$CW47/Simulations!$J47))+Simulations!$CW47/Simulations!$J47*SQRT(PI())/2*ERFC(SQRT(LN(Simulations!$CW47/Simulations!$J47)))),PI()*Simulations!$T47^2/2*(LN(Simulations!$CW47/Simulations!$J47)+1))))</f>
        <v>0</v>
      </c>
      <c r="AB47" s="0" t="n">
        <f aca="false">IF(OR(NOT(AND(Simulations!$A47&lt;&gt;"",OR(Simulations!$CS47&lt;&gt;"",N(Simulations!$CU47)&gt;0))),N(Simulations!$CX47)&lt;=0,N(Simulations!$CU47)&lt;=0,3&gt;N(Simulations!$O47)),0,IF(Simulations!$CX47&lt;Simulations!$J47,Simulations!$CU47/(Simulations!$G47*Simulations!$H47*IF(Simulations!$I47&gt;0,Simulations!$I47,1))*Simulations!$CX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X47/Simulations!$J47)^1.5+SQRT(LN(Simulations!$CX47/Simulations!$J47))+Simulations!$CX47/Simulations!$J47*SQRT(PI())/2*ERFC(SQRT(LN(Simulations!$CX47/Simulations!$J47)))),PI()*Simulations!$T47^2/2*(LN(Simulations!$CX47/Simulations!$J47)+1))))</f>
        <v>0</v>
      </c>
      <c r="AC47" s="0" t="n">
        <f aca="false">IF(NOT(AND(Simulations!$A47&lt;&gt;"",OR(Simulations!$CS47&lt;&gt;"",N(Simulations!$CU47)&gt;0))),0,MAX(N(Simulations!$CV47),N(Simulations!$CW47),N(Simulations!$CX47))/Simulations!$J47)</f>
        <v>0</v>
      </c>
      <c r="AD47" s="0" t="n">
        <f aca="false">IF(OR(NOT(AND(Simulations!$A47&lt;&gt;"",OR(Simulations!$CS47&lt;&gt;"",N(Simulations!$CU47)&gt;0))),N(Simulations!$CT47)&lt;=0),0,SQRT(2*Simulations!$CT47*1000000/(Simulations!$J47*1000))/Simulations!$T47)</f>
        <v>0</v>
      </c>
      <c r="AE47" s="0" t="n">
        <f aca="false">IF(AND(Simulations!$A47&lt;&gt;"",OR(Simulations!$CS47&lt;&gt;"",N(Simulations!$CU47)&gt;0)),1,0)</f>
        <v>0</v>
      </c>
      <c r="AF47" s="0" t="n">
        <f aca="false">IF(OR(NOT(AND(Simulations!$A47&lt;&gt;"",OR(Simulations!$DK47&lt;&gt;"",N(Simulations!$DM47)&gt;0))),N(Simulations!$DN47)&lt;=0,N(Simulations!$DM47)&lt;=0,1&gt;N(Simulations!$O47)),0,IF(Simulations!$DN47&lt;Simulations!$J47,Simulations!$DM47/(Simulations!$G47*Simulations!$H47*IF(Simulations!$I47&gt;0,Simulations!$I47,1))*Simulations!$DN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N47/Simulations!$J47)^1.5+SQRT(LN(Simulations!$DN47/Simulations!$J47))+Simulations!$DN47/Simulations!$J47*SQRT(PI())/2*ERFC(SQRT(LN(Simulations!$DN47/Simulations!$J47)))),PI()*Simulations!$T47^2/2*(LN(Simulations!$DN47/Simulations!$J47)+1))))</f>
        <v>0</v>
      </c>
      <c r="AG47" s="0" t="n">
        <f aca="false">IF(OR(NOT(AND(Simulations!$A47&lt;&gt;"",OR(Simulations!$DK47&lt;&gt;"",N(Simulations!$DM47)&gt;0))),N(Simulations!$DO47)&lt;=0,N(Simulations!$DM47)&lt;=0,2&gt;N(Simulations!$O47)),0,IF(Simulations!$DO47&lt;Simulations!$J47,Simulations!$DM47/(Simulations!$G47*Simulations!$H47*IF(Simulations!$I47&gt;0,Simulations!$I47,1))*Simulations!$DO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O47/Simulations!$J47)^1.5+SQRT(LN(Simulations!$DO47/Simulations!$J47))+Simulations!$DO47/Simulations!$J47*SQRT(PI())/2*ERFC(SQRT(LN(Simulations!$DO47/Simulations!$J47)))),PI()*Simulations!$T47^2/2*(LN(Simulations!$DO47/Simulations!$J47)+1))))</f>
        <v>0</v>
      </c>
      <c r="AH47" s="0" t="n">
        <f aca="false">IF(OR(NOT(AND(Simulations!$A47&lt;&gt;"",OR(Simulations!$DK47&lt;&gt;"",N(Simulations!$DM47)&gt;0))),N(Simulations!$DP47)&lt;=0,N(Simulations!$DM47)&lt;=0,3&gt;N(Simulations!$O47)),0,IF(Simulations!$DP47&lt;Simulations!$J47,Simulations!$DM47/(Simulations!$G47*Simulations!$H47*IF(Simulations!$I47&gt;0,Simulations!$I47,1))*Simulations!$DP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P47/Simulations!$J47)^1.5+SQRT(LN(Simulations!$DP47/Simulations!$J47))+Simulations!$DP47/Simulations!$J47*SQRT(PI())/2*ERFC(SQRT(LN(Simulations!$DP47/Simulations!$J47)))),PI()*Simulations!$T47^2/2*(LN(Simulations!$DP47/Simulations!$J47)+1))))</f>
        <v>0</v>
      </c>
      <c r="AI47" s="0" t="n">
        <f aca="false">IF(NOT(AND(Simulations!$A47&lt;&gt;"",OR(Simulations!$DK47&lt;&gt;"",N(Simulations!$DM47)&gt;0))),0,MAX(N(Simulations!$DN47),N(Simulations!$DO47),N(Simulations!$DP47))/Simulations!$J47)</f>
        <v>0</v>
      </c>
      <c r="AJ47" s="0" t="n">
        <f aca="false">IF(OR(NOT(AND(Simulations!$A47&lt;&gt;"",OR(Simulations!$DK47&lt;&gt;"",N(Simulations!$DM47)&gt;0))),N(Simulations!$DL47)&lt;=0),0,SQRT(2*Simulations!$DL47*1000000/(Simulations!$J47*1000))/Simulations!$T47)</f>
        <v>0</v>
      </c>
      <c r="AK47" s="0" t="n">
        <f aca="false">IF(AND(Simulations!$A47&lt;&gt;"",OR(Simulations!$DK47&lt;&gt;"",N(Simulations!$DM47)&gt;0)),1,0)</f>
        <v>0</v>
      </c>
    </row>
    <row r="48" customFormat="false" ht="15" hidden="false" customHeight="false" outlineLevel="0" collapsed="false">
      <c r="B48" s="0" t="n">
        <f aca="false">IF(OR(NOT(AND(Simulations!$A48&lt;&gt;"",OR(Simulations!$Y48&lt;&gt;"",N(Simulations!$AA48)&gt;0))),N(Simulations!$AB48)&lt;=0,N(Simulations!$AA48)&lt;=0,1&gt;N(Simulations!$O48)),0,IF(Simulations!$AB48&lt;Simulations!$J48,Simulations!$AA48/(Simulations!$G48*Simulations!$H48*IF(Simulations!$I48&gt;0,Simulations!$I48,1))*Simulations!$AB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B48/Simulations!$J48)^1.5+SQRT(LN(Simulations!$AB48/Simulations!$J48))+Simulations!$AB48/Simulations!$J48*SQRT(PI())/2*ERFC(SQRT(LN(Simulations!$AB48/Simulations!$J48)))),PI()*Simulations!$T48^2/2*(LN(Simulations!$AB48/Simulations!$J48)+1))))</f>
        <v>0</v>
      </c>
      <c r="C48" s="0" t="n">
        <f aca="false">IF(OR(NOT(AND(Simulations!$A48&lt;&gt;"",OR(Simulations!$Y48&lt;&gt;"",N(Simulations!$AA48)&gt;0))),N(Simulations!$AC48)&lt;=0,N(Simulations!$AA48)&lt;=0,2&gt;N(Simulations!$O48)),0,IF(Simulations!$AC48&lt;Simulations!$J48,Simulations!$AA48/(Simulations!$G48*Simulations!$H48*IF(Simulations!$I48&gt;0,Simulations!$I48,1))*Simulations!$AC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C48/Simulations!$J48)^1.5+SQRT(LN(Simulations!$AC48/Simulations!$J48))+Simulations!$AC48/Simulations!$J48*SQRT(PI())/2*ERFC(SQRT(LN(Simulations!$AC48/Simulations!$J48)))),PI()*Simulations!$T48^2/2*(LN(Simulations!$AC48/Simulations!$J48)+1))))</f>
        <v>0</v>
      </c>
      <c r="D48" s="0" t="n">
        <f aca="false">IF(OR(NOT(AND(Simulations!$A48&lt;&gt;"",OR(Simulations!$Y48&lt;&gt;"",N(Simulations!$AA48)&gt;0))),N(Simulations!$AD48)&lt;=0,N(Simulations!$AA48)&lt;=0,3&gt;N(Simulations!$O48)),0,IF(Simulations!$AD48&lt;Simulations!$J48,Simulations!$AA48/(Simulations!$G48*Simulations!$H48*IF(Simulations!$I48&gt;0,Simulations!$I48,1))*Simulations!$AD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D48/Simulations!$J48)^1.5+SQRT(LN(Simulations!$AD48/Simulations!$J48))+Simulations!$AD48/Simulations!$J48*SQRT(PI())/2*ERFC(SQRT(LN(Simulations!$AD48/Simulations!$J48)))),PI()*Simulations!$T48^2/2*(LN(Simulations!$AD48/Simulations!$J48)+1))))</f>
        <v>0</v>
      </c>
      <c r="E48" s="0" t="n">
        <f aca="false">IF(NOT(AND(Simulations!$A48&lt;&gt;"",OR(Simulations!$Y48&lt;&gt;"",N(Simulations!$AA48)&gt;0))),0,MAX(N(Simulations!$AB48),N(Simulations!$AC48),N(Simulations!$AD48))/Simulations!$J48)</f>
        <v>0</v>
      </c>
      <c r="F48" s="0" t="n">
        <f aca="false">IF(OR(NOT(AND(Simulations!$A48&lt;&gt;"",OR(Simulations!$Y48&lt;&gt;"",N(Simulations!$AA48)&gt;0))),N(Simulations!$Z48)&lt;=0),0,SQRT(2*Simulations!$Z48*1000000/(Simulations!$J48*1000))/Simulations!$T48)</f>
        <v>0</v>
      </c>
      <c r="G48" s="0" t="n">
        <f aca="false">IF(AND(Simulations!$A48&lt;&gt;"",OR(Simulations!$Y48&lt;&gt;"",N(Simulations!$AA48)&gt;0)),1,0)</f>
        <v>0</v>
      </c>
      <c r="H48" s="0" t="n">
        <f aca="false">IF(OR(NOT(AND(Simulations!$A48&lt;&gt;"",OR(Simulations!$AQ48&lt;&gt;"",N(Simulations!$AS48)&gt;0))),N(Simulations!$AT48)&lt;=0,N(Simulations!$AS48)&lt;=0,1&gt;N(Simulations!$O48)),0,IF(Simulations!$AT48&lt;Simulations!$J48,Simulations!$AS48/(Simulations!$G48*Simulations!$H48*IF(Simulations!$I48&gt;0,Simulations!$I48,1))*Simulations!$AT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T48/Simulations!$J48)^1.5+SQRT(LN(Simulations!$AT48/Simulations!$J48))+Simulations!$AT48/Simulations!$J48*SQRT(PI())/2*ERFC(SQRT(LN(Simulations!$AT48/Simulations!$J48)))),PI()*Simulations!$T48^2/2*(LN(Simulations!$AT48/Simulations!$J48)+1))))</f>
        <v>0</v>
      </c>
      <c r="I48" s="0" t="n">
        <f aca="false">IF(OR(NOT(AND(Simulations!$A48&lt;&gt;"",OR(Simulations!$AQ48&lt;&gt;"",N(Simulations!$AS48)&gt;0))),N(Simulations!$AU48)&lt;=0,N(Simulations!$AS48)&lt;=0,2&gt;N(Simulations!$O48)),0,IF(Simulations!$AU48&lt;Simulations!$J48,Simulations!$AS48/(Simulations!$G48*Simulations!$H48*IF(Simulations!$I48&gt;0,Simulations!$I48,1))*Simulations!$AU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U48/Simulations!$J48)^1.5+SQRT(LN(Simulations!$AU48/Simulations!$J48))+Simulations!$AU48/Simulations!$J48*SQRT(PI())/2*ERFC(SQRT(LN(Simulations!$AU48/Simulations!$J48)))),PI()*Simulations!$T48^2/2*(LN(Simulations!$AU48/Simulations!$J48)+1))))</f>
        <v>0</v>
      </c>
      <c r="J48" s="0" t="n">
        <f aca="false">IF(OR(NOT(AND(Simulations!$A48&lt;&gt;"",OR(Simulations!$AQ48&lt;&gt;"",N(Simulations!$AS48)&gt;0))),N(Simulations!$AV48)&lt;=0,N(Simulations!$AS48)&lt;=0,3&gt;N(Simulations!$O48)),0,IF(Simulations!$AV48&lt;Simulations!$J48,Simulations!$AS48/(Simulations!$G48*Simulations!$H48*IF(Simulations!$I48&gt;0,Simulations!$I48,1))*Simulations!$AV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V48/Simulations!$J48)^1.5+SQRT(LN(Simulations!$AV48/Simulations!$J48))+Simulations!$AV48/Simulations!$J48*SQRT(PI())/2*ERFC(SQRT(LN(Simulations!$AV48/Simulations!$J48)))),PI()*Simulations!$T48^2/2*(LN(Simulations!$AV48/Simulations!$J48)+1))))</f>
        <v>0</v>
      </c>
      <c r="K48" s="0" t="n">
        <f aca="false">IF(NOT(AND(Simulations!$A48&lt;&gt;"",OR(Simulations!$AQ48&lt;&gt;"",N(Simulations!$AS48)&gt;0))),0,MAX(N(Simulations!$AT48),N(Simulations!$AU48),N(Simulations!$AV48))/Simulations!$J48)</f>
        <v>0</v>
      </c>
      <c r="L48" s="0" t="n">
        <f aca="false">IF(OR(NOT(AND(Simulations!$A48&lt;&gt;"",OR(Simulations!$AQ48&lt;&gt;"",N(Simulations!$AS48)&gt;0))),N(Simulations!$AR48)&lt;=0),0,SQRT(2*Simulations!$AR48*1000000/(Simulations!$J48*1000))/Simulations!$T48)</f>
        <v>0</v>
      </c>
      <c r="M48" s="0" t="n">
        <f aca="false">IF(AND(Simulations!$A48&lt;&gt;"",OR(Simulations!$AQ48&lt;&gt;"",N(Simulations!$AS48)&gt;0)),1,0)</f>
        <v>0</v>
      </c>
      <c r="N48" s="0" t="n">
        <f aca="false">IF(OR(NOT(AND(Simulations!$A48&lt;&gt;"",OR(Simulations!$BI48&lt;&gt;"",N(Simulations!$BK48)&gt;0))),N(Simulations!$BL48)&lt;=0,N(Simulations!$BK48)&lt;=0,1&gt;N(Simulations!$O48)),0,IF(Simulations!$BL48&lt;Simulations!$J48,Simulations!$BK48/(Simulations!$G48*Simulations!$H48*IF(Simulations!$I48&gt;0,Simulations!$I48,1))*Simulations!$BL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L48/Simulations!$J48)^1.5+SQRT(LN(Simulations!$BL48/Simulations!$J48))+Simulations!$BL48/Simulations!$J48*SQRT(PI())/2*ERFC(SQRT(LN(Simulations!$BL48/Simulations!$J48)))),PI()*Simulations!$T48^2/2*(LN(Simulations!$BL48/Simulations!$J48)+1))))</f>
        <v>0</v>
      </c>
      <c r="O48" s="0" t="n">
        <f aca="false">IF(OR(NOT(AND(Simulations!$A48&lt;&gt;"",OR(Simulations!$BI48&lt;&gt;"",N(Simulations!$BK48)&gt;0))),N(Simulations!$BM48)&lt;=0,N(Simulations!$BK48)&lt;=0,2&gt;N(Simulations!$O48)),0,IF(Simulations!$BM48&lt;Simulations!$J48,Simulations!$BK48/(Simulations!$G48*Simulations!$H48*IF(Simulations!$I48&gt;0,Simulations!$I48,1))*Simulations!$BM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M48/Simulations!$J48)^1.5+SQRT(LN(Simulations!$BM48/Simulations!$J48))+Simulations!$BM48/Simulations!$J48*SQRT(PI())/2*ERFC(SQRT(LN(Simulations!$BM48/Simulations!$J48)))),PI()*Simulations!$T48^2/2*(LN(Simulations!$BM48/Simulations!$J48)+1))))</f>
        <v>0</v>
      </c>
      <c r="P48" s="0" t="n">
        <f aca="false">IF(OR(NOT(AND(Simulations!$A48&lt;&gt;"",OR(Simulations!$BI48&lt;&gt;"",N(Simulations!$BK48)&gt;0))),N(Simulations!$BN48)&lt;=0,N(Simulations!$BK48)&lt;=0,3&gt;N(Simulations!$O48)),0,IF(Simulations!$BN48&lt;Simulations!$J48,Simulations!$BK48/(Simulations!$G48*Simulations!$H48*IF(Simulations!$I48&gt;0,Simulations!$I48,1))*Simulations!$BN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N48/Simulations!$J48)^1.5+SQRT(LN(Simulations!$BN48/Simulations!$J48))+Simulations!$BN48/Simulations!$J48*SQRT(PI())/2*ERFC(SQRT(LN(Simulations!$BN48/Simulations!$J48)))),PI()*Simulations!$T48^2/2*(LN(Simulations!$BN48/Simulations!$J48)+1))))</f>
        <v>0</v>
      </c>
      <c r="Q48" s="0" t="n">
        <f aca="false">IF(NOT(AND(Simulations!$A48&lt;&gt;"",OR(Simulations!$BI48&lt;&gt;"",N(Simulations!$BK48)&gt;0))),0,MAX(N(Simulations!$BL48),N(Simulations!$BM48),N(Simulations!$BN48))/Simulations!$J48)</f>
        <v>0</v>
      </c>
      <c r="R48" s="0" t="n">
        <f aca="false">IF(OR(NOT(AND(Simulations!$A48&lt;&gt;"",OR(Simulations!$BI48&lt;&gt;"",N(Simulations!$BK48)&gt;0))),N(Simulations!$BJ48)&lt;=0),0,SQRT(2*Simulations!$BJ48*1000000/(Simulations!$J48*1000))/Simulations!$T48)</f>
        <v>0</v>
      </c>
      <c r="S48" s="0" t="n">
        <f aca="false">IF(AND(Simulations!$A48&lt;&gt;"",OR(Simulations!$BI48&lt;&gt;"",N(Simulations!$BK48)&gt;0)),1,0)</f>
        <v>0</v>
      </c>
      <c r="T48" s="0" t="n">
        <f aca="false">IF(OR(NOT(AND(Simulations!$A48&lt;&gt;"",OR(Simulations!$CA48&lt;&gt;"",N(Simulations!$CC48)&gt;0))),N(Simulations!$CD48)&lt;=0,N(Simulations!$CC48)&lt;=0,1&gt;N(Simulations!$O48)),0,IF(Simulations!$CD48&lt;Simulations!$J48,Simulations!$CC48/(Simulations!$G48*Simulations!$H48*IF(Simulations!$I48&gt;0,Simulations!$I48,1))*Simulations!$CD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D48/Simulations!$J48)^1.5+SQRT(LN(Simulations!$CD48/Simulations!$J48))+Simulations!$CD48/Simulations!$J48*SQRT(PI())/2*ERFC(SQRT(LN(Simulations!$CD48/Simulations!$J48)))),PI()*Simulations!$T48^2/2*(LN(Simulations!$CD48/Simulations!$J48)+1))))</f>
        <v>0</v>
      </c>
      <c r="U48" s="0" t="n">
        <f aca="false">IF(OR(NOT(AND(Simulations!$A48&lt;&gt;"",OR(Simulations!$CA48&lt;&gt;"",N(Simulations!$CC48)&gt;0))),N(Simulations!$CE48)&lt;=0,N(Simulations!$CC48)&lt;=0,2&gt;N(Simulations!$O48)),0,IF(Simulations!$CE48&lt;Simulations!$J48,Simulations!$CC48/(Simulations!$G48*Simulations!$H48*IF(Simulations!$I48&gt;0,Simulations!$I48,1))*Simulations!$CE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E48/Simulations!$J48)^1.5+SQRT(LN(Simulations!$CE48/Simulations!$J48))+Simulations!$CE48/Simulations!$J48*SQRT(PI())/2*ERFC(SQRT(LN(Simulations!$CE48/Simulations!$J48)))),PI()*Simulations!$T48^2/2*(LN(Simulations!$CE48/Simulations!$J48)+1))))</f>
        <v>0</v>
      </c>
      <c r="V48" s="0" t="n">
        <f aca="false">IF(OR(NOT(AND(Simulations!$A48&lt;&gt;"",OR(Simulations!$CA48&lt;&gt;"",N(Simulations!$CC48)&gt;0))),N(Simulations!$CF48)&lt;=0,N(Simulations!$CC48)&lt;=0,3&gt;N(Simulations!$O48)),0,IF(Simulations!$CF48&lt;Simulations!$J48,Simulations!$CC48/(Simulations!$G48*Simulations!$H48*IF(Simulations!$I48&gt;0,Simulations!$I48,1))*Simulations!$CF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F48/Simulations!$J48)^1.5+SQRT(LN(Simulations!$CF48/Simulations!$J48))+Simulations!$CF48/Simulations!$J48*SQRT(PI())/2*ERFC(SQRT(LN(Simulations!$CF48/Simulations!$J48)))),PI()*Simulations!$T48^2/2*(LN(Simulations!$CF48/Simulations!$J48)+1))))</f>
        <v>0</v>
      </c>
      <c r="W48" s="0" t="n">
        <f aca="false">IF(NOT(AND(Simulations!$A48&lt;&gt;"",OR(Simulations!$CA48&lt;&gt;"",N(Simulations!$CC48)&gt;0))),0,MAX(N(Simulations!$CD48),N(Simulations!$CE48),N(Simulations!$CF48))/Simulations!$J48)</f>
        <v>0</v>
      </c>
      <c r="X48" s="0" t="n">
        <f aca="false">IF(OR(NOT(AND(Simulations!$A48&lt;&gt;"",OR(Simulations!$CA48&lt;&gt;"",N(Simulations!$CC48)&gt;0))),N(Simulations!$CB48)&lt;=0),0,SQRT(2*Simulations!$CB48*1000000/(Simulations!$J48*1000))/Simulations!$T48)</f>
        <v>0</v>
      </c>
      <c r="Y48" s="0" t="n">
        <f aca="false">IF(AND(Simulations!$A48&lt;&gt;"",OR(Simulations!$CA48&lt;&gt;"",N(Simulations!$CC48)&gt;0)),1,0)</f>
        <v>0</v>
      </c>
      <c r="Z48" s="0" t="n">
        <f aca="false">IF(OR(NOT(AND(Simulations!$A48&lt;&gt;"",OR(Simulations!$CS48&lt;&gt;"",N(Simulations!$CU48)&gt;0))),N(Simulations!$CV48)&lt;=0,N(Simulations!$CU48)&lt;=0,1&gt;N(Simulations!$O48)),0,IF(Simulations!$CV48&lt;Simulations!$J48,Simulations!$CU48/(Simulations!$G48*Simulations!$H48*IF(Simulations!$I48&gt;0,Simulations!$I48,1))*Simulations!$CV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V48/Simulations!$J48)^1.5+SQRT(LN(Simulations!$CV48/Simulations!$J48))+Simulations!$CV48/Simulations!$J48*SQRT(PI())/2*ERFC(SQRT(LN(Simulations!$CV48/Simulations!$J48)))),PI()*Simulations!$T48^2/2*(LN(Simulations!$CV48/Simulations!$J48)+1))))</f>
        <v>0</v>
      </c>
      <c r="AA48" s="0" t="n">
        <f aca="false">IF(OR(NOT(AND(Simulations!$A48&lt;&gt;"",OR(Simulations!$CS48&lt;&gt;"",N(Simulations!$CU48)&gt;0))),N(Simulations!$CW48)&lt;=0,N(Simulations!$CU48)&lt;=0,2&gt;N(Simulations!$O48)),0,IF(Simulations!$CW48&lt;Simulations!$J48,Simulations!$CU48/(Simulations!$G48*Simulations!$H48*IF(Simulations!$I48&gt;0,Simulations!$I48,1))*Simulations!$CW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W48/Simulations!$J48)^1.5+SQRT(LN(Simulations!$CW48/Simulations!$J48))+Simulations!$CW48/Simulations!$J48*SQRT(PI())/2*ERFC(SQRT(LN(Simulations!$CW48/Simulations!$J48)))),PI()*Simulations!$T48^2/2*(LN(Simulations!$CW48/Simulations!$J48)+1))))</f>
        <v>0</v>
      </c>
      <c r="AB48" s="0" t="n">
        <f aca="false">IF(OR(NOT(AND(Simulations!$A48&lt;&gt;"",OR(Simulations!$CS48&lt;&gt;"",N(Simulations!$CU48)&gt;0))),N(Simulations!$CX48)&lt;=0,N(Simulations!$CU48)&lt;=0,3&gt;N(Simulations!$O48)),0,IF(Simulations!$CX48&lt;Simulations!$J48,Simulations!$CU48/(Simulations!$G48*Simulations!$H48*IF(Simulations!$I48&gt;0,Simulations!$I48,1))*Simulations!$CX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X48/Simulations!$J48)^1.5+SQRT(LN(Simulations!$CX48/Simulations!$J48))+Simulations!$CX48/Simulations!$J48*SQRT(PI())/2*ERFC(SQRT(LN(Simulations!$CX48/Simulations!$J48)))),PI()*Simulations!$T48^2/2*(LN(Simulations!$CX48/Simulations!$J48)+1))))</f>
        <v>0</v>
      </c>
      <c r="AC48" s="0" t="n">
        <f aca="false">IF(NOT(AND(Simulations!$A48&lt;&gt;"",OR(Simulations!$CS48&lt;&gt;"",N(Simulations!$CU48)&gt;0))),0,MAX(N(Simulations!$CV48),N(Simulations!$CW48),N(Simulations!$CX48))/Simulations!$J48)</f>
        <v>0</v>
      </c>
      <c r="AD48" s="0" t="n">
        <f aca="false">IF(OR(NOT(AND(Simulations!$A48&lt;&gt;"",OR(Simulations!$CS48&lt;&gt;"",N(Simulations!$CU48)&gt;0))),N(Simulations!$CT48)&lt;=0),0,SQRT(2*Simulations!$CT48*1000000/(Simulations!$J48*1000))/Simulations!$T48)</f>
        <v>0</v>
      </c>
      <c r="AE48" s="0" t="n">
        <f aca="false">IF(AND(Simulations!$A48&lt;&gt;"",OR(Simulations!$CS48&lt;&gt;"",N(Simulations!$CU48)&gt;0)),1,0)</f>
        <v>0</v>
      </c>
      <c r="AF48" s="0" t="n">
        <f aca="false">IF(OR(NOT(AND(Simulations!$A48&lt;&gt;"",OR(Simulations!$DK48&lt;&gt;"",N(Simulations!$DM48)&gt;0))),N(Simulations!$DN48)&lt;=0,N(Simulations!$DM48)&lt;=0,1&gt;N(Simulations!$O48)),0,IF(Simulations!$DN48&lt;Simulations!$J48,Simulations!$DM48/(Simulations!$G48*Simulations!$H48*IF(Simulations!$I48&gt;0,Simulations!$I48,1))*Simulations!$DN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N48/Simulations!$J48)^1.5+SQRT(LN(Simulations!$DN48/Simulations!$J48))+Simulations!$DN48/Simulations!$J48*SQRT(PI())/2*ERFC(SQRT(LN(Simulations!$DN48/Simulations!$J48)))),PI()*Simulations!$T48^2/2*(LN(Simulations!$DN48/Simulations!$J48)+1))))</f>
        <v>0</v>
      </c>
      <c r="AG48" s="0" t="n">
        <f aca="false">IF(OR(NOT(AND(Simulations!$A48&lt;&gt;"",OR(Simulations!$DK48&lt;&gt;"",N(Simulations!$DM48)&gt;0))),N(Simulations!$DO48)&lt;=0,N(Simulations!$DM48)&lt;=0,2&gt;N(Simulations!$O48)),0,IF(Simulations!$DO48&lt;Simulations!$J48,Simulations!$DM48/(Simulations!$G48*Simulations!$H48*IF(Simulations!$I48&gt;0,Simulations!$I48,1))*Simulations!$DO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O48/Simulations!$J48)^1.5+SQRT(LN(Simulations!$DO48/Simulations!$J48))+Simulations!$DO48/Simulations!$J48*SQRT(PI())/2*ERFC(SQRT(LN(Simulations!$DO48/Simulations!$J48)))),PI()*Simulations!$T48^2/2*(LN(Simulations!$DO48/Simulations!$J48)+1))))</f>
        <v>0</v>
      </c>
      <c r="AH48" s="0" t="n">
        <f aca="false">IF(OR(NOT(AND(Simulations!$A48&lt;&gt;"",OR(Simulations!$DK48&lt;&gt;"",N(Simulations!$DM48)&gt;0))),N(Simulations!$DP48)&lt;=0,N(Simulations!$DM48)&lt;=0,3&gt;N(Simulations!$O48)),0,IF(Simulations!$DP48&lt;Simulations!$J48,Simulations!$DM48/(Simulations!$G48*Simulations!$H48*IF(Simulations!$I48&gt;0,Simulations!$I48,1))*Simulations!$DP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P48/Simulations!$J48)^1.5+SQRT(LN(Simulations!$DP48/Simulations!$J48))+Simulations!$DP48/Simulations!$J48*SQRT(PI())/2*ERFC(SQRT(LN(Simulations!$DP48/Simulations!$J48)))),PI()*Simulations!$T48^2/2*(LN(Simulations!$DP48/Simulations!$J48)+1))))</f>
        <v>0</v>
      </c>
      <c r="AI48" s="0" t="n">
        <f aca="false">IF(NOT(AND(Simulations!$A48&lt;&gt;"",OR(Simulations!$DK48&lt;&gt;"",N(Simulations!$DM48)&gt;0))),0,MAX(N(Simulations!$DN48),N(Simulations!$DO48),N(Simulations!$DP48))/Simulations!$J48)</f>
        <v>0</v>
      </c>
      <c r="AJ48" s="0" t="n">
        <f aca="false">IF(OR(NOT(AND(Simulations!$A48&lt;&gt;"",OR(Simulations!$DK48&lt;&gt;"",N(Simulations!$DM48)&gt;0))),N(Simulations!$DL48)&lt;=0),0,SQRT(2*Simulations!$DL48*1000000/(Simulations!$J48*1000))/Simulations!$T48)</f>
        <v>0</v>
      </c>
      <c r="AK48" s="0" t="n">
        <f aca="false">IF(AND(Simulations!$A48&lt;&gt;"",OR(Simulations!$DK48&lt;&gt;"",N(Simulations!$DM48)&gt;0)),1,0)</f>
        <v>0</v>
      </c>
    </row>
    <row r="49" customFormat="false" ht="15" hidden="false" customHeight="false" outlineLevel="0" collapsed="false">
      <c r="B49" s="0" t="n">
        <f aca="false">IF(OR(NOT(AND(Simulations!$A49&lt;&gt;"",OR(Simulations!$Y49&lt;&gt;"",N(Simulations!$AA49)&gt;0))),N(Simulations!$AB49)&lt;=0,N(Simulations!$AA49)&lt;=0,1&gt;N(Simulations!$O49)),0,IF(Simulations!$AB49&lt;Simulations!$J49,Simulations!$AA49/(Simulations!$G49*Simulations!$H49*IF(Simulations!$I49&gt;0,Simulations!$I49,1))*Simulations!$AB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B49/Simulations!$J49)^1.5+SQRT(LN(Simulations!$AB49/Simulations!$J49))+Simulations!$AB49/Simulations!$J49*SQRT(PI())/2*ERFC(SQRT(LN(Simulations!$AB49/Simulations!$J49)))),PI()*Simulations!$T49^2/2*(LN(Simulations!$AB49/Simulations!$J49)+1))))</f>
        <v>0</v>
      </c>
      <c r="C49" s="0" t="n">
        <f aca="false">IF(OR(NOT(AND(Simulations!$A49&lt;&gt;"",OR(Simulations!$Y49&lt;&gt;"",N(Simulations!$AA49)&gt;0))),N(Simulations!$AC49)&lt;=0,N(Simulations!$AA49)&lt;=0,2&gt;N(Simulations!$O49)),0,IF(Simulations!$AC49&lt;Simulations!$J49,Simulations!$AA49/(Simulations!$G49*Simulations!$H49*IF(Simulations!$I49&gt;0,Simulations!$I49,1))*Simulations!$AC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C49/Simulations!$J49)^1.5+SQRT(LN(Simulations!$AC49/Simulations!$J49))+Simulations!$AC49/Simulations!$J49*SQRT(PI())/2*ERFC(SQRT(LN(Simulations!$AC49/Simulations!$J49)))),PI()*Simulations!$T49^2/2*(LN(Simulations!$AC49/Simulations!$J49)+1))))</f>
        <v>0</v>
      </c>
      <c r="D49" s="0" t="n">
        <f aca="false">IF(OR(NOT(AND(Simulations!$A49&lt;&gt;"",OR(Simulations!$Y49&lt;&gt;"",N(Simulations!$AA49)&gt;0))),N(Simulations!$AD49)&lt;=0,N(Simulations!$AA49)&lt;=0,3&gt;N(Simulations!$O49)),0,IF(Simulations!$AD49&lt;Simulations!$J49,Simulations!$AA49/(Simulations!$G49*Simulations!$H49*IF(Simulations!$I49&gt;0,Simulations!$I49,1))*Simulations!$AD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D49/Simulations!$J49)^1.5+SQRT(LN(Simulations!$AD49/Simulations!$J49))+Simulations!$AD49/Simulations!$J49*SQRT(PI())/2*ERFC(SQRT(LN(Simulations!$AD49/Simulations!$J49)))),PI()*Simulations!$T49^2/2*(LN(Simulations!$AD49/Simulations!$J49)+1))))</f>
        <v>0</v>
      </c>
      <c r="E49" s="0" t="n">
        <f aca="false">IF(NOT(AND(Simulations!$A49&lt;&gt;"",OR(Simulations!$Y49&lt;&gt;"",N(Simulations!$AA49)&gt;0))),0,MAX(N(Simulations!$AB49),N(Simulations!$AC49),N(Simulations!$AD49))/Simulations!$J49)</f>
        <v>0</v>
      </c>
      <c r="F49" s="0" t="n">
        <f aca="false">IF(OR(NOT(AND(Simulations!$A49&lt;&gt;"",OR(Simulations!$Y49&lt;&gt;"",N(Simulations!$AA49)&gt;0))),N(Simulations!$Z49)&lt;=0),0,SQRT(2*Simulations!$Z49*1000000/(Simulations!$J49*1000))/Simulations!$T49)</f>
        <v>0</v>
      </c>
      <c r="G49" s="0" t="n">
        <f aca="false">IF(AND(Simulations!$A49&lt;&gt;"",OR(Simulations!$Y49&lt;&gt;"",N(Simulations!$AA49)&gt;0)),1,0)</f>
        <v>0</v>
      </c>
      <c r="H49" s="0" t="n">
        <f aca="false">IF(OR(NOT(AND(Simulations!$A49&lt;&gt;"",OR(Simulations!$AQ49&lt;&gt;"",N(Simulations!$AS49)&gt;0))),N(Simulations!$AT49)&lt;=0,N(Simulations!$AS49)&lt;=0,1&gt;N(Simulations!$O49)),0,IF(Simulations!$AT49&lt;Simulations!$J49,Simulations!$AS49/(Simulations!$G49*Simulations!$H49*IF(Simulations!$I49&gt;0,Simulations!$I49,1))*Simulations!$AT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T49/Simulations!$J49)^1.5+SQRT(LN(Simulations!$AT49/Simulations!$J49))+Simulations!$AT49/Simulations!$J49*SQRT(PI())/2*ERFC(SQRT(LN(Simulations!$AT49/Simulations!$J49)))),PI()*Simulations!$T49^2/2*(LN(Simulations!$AT49/Simulations!$J49)+1))))</f>
        <v>0</v>
      </c>
      <c r="I49" s="0" t="n">
        <f aca="false">IF(OR(NOT(AND(Simulations!$A49&lt;&gt;"",OR(Simulations!$AQ49&lt;&gt;"",N(Simulations!$AS49)&gt;0))),N(Simulations!$AU49)&lt;=0,N(Simulations!$AS49)&lt;=0,2&gt;N(Simulations!$O49)),0,IF(Simulations!$AU49&lt;Simulations!$J49,Simulations!$AS49/(Simulations!$G49*Simulations!$H49*IF(Simulations!$I49&gt;0,Simulations!$I49,1))*Simulations!$AU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U49/Simulations!$J49)^1.5+SQRT(LN(Simulations!$AU49/Simulations!$J49))+Simulations!$AU49/Simulations!$J49*SQRT(PI())/2*ERFC(SQRT(LN(Simulations!$AU49/Simulations!$J49)))),PI()*Simulations!$T49^2/2*(LN(Simulations!$AU49/Simulations!$J49)+1))))</f>
        <v>0</v>
      </c>
      <c r="J49" s="0" t="n">
        <f aca="false">IF(OR(NOT(AND(Simulations!$A49&lt;&gt;"",OR(Simulations!$AQ49&lt;&gt;"",N(Simulations!$AS49)&gt;0))),N(Simulations!$AV49)&lt;=0,N(Simulations!$AS49)&lt;=0,3&gt;N(Simulations!$O49)),0,IF(Simulations!$AV49&lt;Simulations!$J49,Simulations!$AS49/(Simulations!$G49*Simulations!$H49*IF(Simulations!$I49&gt;0,Simulations!$I49,1))*Simulations!$AV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V49/Simulations!$J49)^1.5+SQRT(LN(Simulations!$AV49/Simulations!$J49))+Simulations!$AV49/Simulations!$J49*SQRT(PI())/2*ERFC(SQRT(LN(Simulations!$AV49/Simulations!$J49)))),PI()*Simulations!$T49^2/2*(LN(Simulations!$AV49/Simulations!$J49)+1))))</f>
        <v>0</v>
      </c>
      <c r="K49" s="0" t="n">
        <f aca="false">IF(NOT(AND(Simulations!$A49&lt;&gt;"",OR(Simulations!$AQ49&lt;&gt;"",N(Simulations!$AS49)&gt;0))),0,MAX(N(Simulations!$AT49),N(Simulations!$AU49),N(Simulations!$AV49))/Simulations!$J49)</f>
        <v>0</v>
      </c>
      <c r="L49" s="0" t="n">
        <f aca="false">IF(OR(NOT(AND(Simulations!$A49&lt;&gt;"",OR(Simulations!$AQ49&lt;&gt;"",N(Simulations!$AS49)&gt;0))),N(Simulations!$AR49)&lt;=0),0,SQRT(2*Simulations!$AR49*1000000/(Simulations!$J49*1000))/Simulations!$T49)</f>
        <v>0</v>
      </c>
      <c r="M49" s="0" t="n">
        <f aca="false">IF(AND(Simulations!$A49&lt;&gt;"",OR(Simulations!$AQ49&lt;&gt;"",N(Simulations!$AS49)&gt;0)),1,0)</f>
        <v>0</v>
      </c>
      <c r="N49" s="0" t="n">
        <f aca="false">IF(OR(NOT(AND(Simulations!$A49&lt;&gt;"",OR(Simulations!$BI49&lt;&gt;"",N(Simulations!$BK49)&gt;0))),N(Simulations!$BL49)&lt;=0,N(Simulations!$BK49)&lt;=0,1&gt;N(Simulations!$O49)),0,IF(Simulations!$BL49&lt;Simulations!$J49,Simulations!$BK49/(Simulations!$G49*Simulations!$H49*IF(Simulations!$I49&gt;0,Simulations!$I49,1))*Simulations!$BL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L49/Simulations!$J49)^1.5+SQRT(LN(Simulations!$BL49/Simulations!$J49))+Simulations!$BL49/Simulations!$J49*SQRT(PI())/2*ERFC(SQRT(LN(Simulations!$BL49/Simulations!$J49)))),PI()*Simulations!$T49^2/2*(LN(Simulations!$BL49/Simulations!$J49)+1))))</f>
        <v>0</v>
      </c>
      <c r="O49" s="0" t="n">
        <f aca="false">IF(OR(NOT(AND(Simulations!$A49&lt;&gt;"",OR(Simulations!$BI49&lt;&gt;"",N(Simulations!$BK49)&gt;0))),N(Simulations!$BM49)&lt;=0,N(Simulations!$BK49)&lt;=0,2&gt;N(Simulations!$O49)),0,IF(Simulations!$BM49&lt;Simulations!$J49,Simulations!$BK49/(Simulations!$G49*Simulations!$H49*IF(Simulations!$I49&gt;0,Simulations!$I49,1))*Simulations!$BM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M49/Simulations!$J49)^1.5+SQRT(LN(Simulations!$BM49/Simulations!$J49))+Simulations!$BM49/Simulations!$J49*SQRT(PI())/2*ERFC(SQRT(LN(Simulations!$BM49/Simulations!$J49)))),PI()*Simulations!$T49^2/2*(LN(Simulations!$BM49/Simulations!$J49)+1))))</f>
        <v>0</v>
      </c>
      <c r="P49" s="0" t="n">
        <f aca="false">IF(OR(NOT(AND(Simulations!$A49&lt;&gt;"",OR(Simulations!$BI49&lt;&gt;"",N(Simulations!$BK49)&gt;0))),N(Simulations!$BN49)&lt;=0,N(Simulations!$BK49)&lt;=0,3&gt;N(Simulations!$O49)),0,IF(Simulations!$BN49&lt;Simulations!$J49,Simulations!$BK49/(Simulations!$G49*Simulations!$H49*IF(Simulations!$I49&gt;0,Simulations!$I49,1))*Simulations!$BN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N49/Simulations!$J49)^1.5+SQRT(LN(Simulations!$BN49/Simulations!$J49))+Simulations!$BN49/Simulations!$J49*SQRT(PI())/2*ERFC(SQRT(LN(Simulations!$BN49/Simulations!$J49)))),PI()*Simulations!$T49^2/2*(LN(Simulations!$BN49/Simulations!$J49)+1))))</f>
        <v>0</v>
      </c>
      <c r="Q49" s="0" t="n">
        <f aca="false">IF(NOT(AND(Simulations!$A49&lt;&gt;"",OR(Simulations!$BI49&lt;&gt;"",N(Simulations!$BK49)&gt;0))),0,MAX(N(Simulations!$BL49),N(Simulations!$BM49),N(Simulations!$BN49))/Simulations!$J49)</f>
        <v>0</v>
      </c>
      <c r="R49" s="0" t="n">
        <f aca="false">IF(OR(NOT(AND(Simulations!$A49&lt;&gt;"",OR(Simulations!$BI49&lt;&gt;"",N(Simulations!$BK49)&gt;0))),N(Simulations!$BJ49)&lt;=0),0,SQRT(2*Simulations!$BJ49*1000000/(Simulations!$J49*1000))/Simulations!$T49)</f>
        <v>0</v>
      </c>
      <c r="S49" s="0" t="n">
        <f aca="false">IF(AND(Simulations!$A49&lt;&gt;"",OR(Simulations!$BI49&lt;&gt;"",N(Simulations!$BK49)&gt;0)),1,0)</f>
        <v>0</v>
      </c>
      <c r="T49" s="0" t="n">
        <f aca="false">IF(OR(NOT(AND(Simulations!$A49&lt;&gt;"",OR(Simulations!$CA49&lt;&gt;"",N(Simulations!$CC49)&gt;0))),N(Simulations!$CD49)&lt;=0,N(Simulations!$CC49)&lt;=0,1&gt;N(Simulations!$O49)),0,IF(Simulations!$CD49&lt;Simulations!$J49,Simulations!$CC49/(Simulations!$G49*Simulations!$H49*IF(Simulations!$I49&gt;0,Simulations!$I49,1))*Simulations!$CD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D49/Simulations!$J49)^1.5+SQRT(LN(Simulations!$CD49/Simulations!$J49))+Simulations!$CD49/Simulations!$J49*SQRT(PI())/2*ERFC(SQRT(LN(Simulations!$CD49/Simulations!$J49)))),PI()*Simulations!$T49^2/2*(LN(Simulations!$CD49/Simulations!$J49)+1))))</f>
        <v>0</v>
      </c>
      <c r="U49" s="0" t="n">
        <f aca="false">IF(OR(NOT(AND(Simulations!$A49&lt;&gt;"",OR(Simulations!$CA49&lt;&gt;"",N(Simulations!$CC49)&gt;0))),N(Simulations!$CE49)&lt;=0,N(Simulations!$CC49)&lt;=0,2&gt;N(Simulations!$O49)),0,IF(Simulations!$CE49&lt;Simulations!$J49,Simulations!$CC49/(Simulations!$G49*Simulations!$H49*IF(Simulations!$I49&gt;0,Simulations!$I49,1))*Simulations!$CE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E49/Simulations!$J49)^1.5+SQRT(LN(Simulations!$CE49/Simulations!$J49))+Simulations!$CE49/Simulations!$J49*SQRT(PI())/2*ERFC(SQRT(LN(Simulations!$CE49/Simulations!$J49)))),PI()*Simulations!$T49^2/2*(LN(Simulations!$CE49/Simulations!$J49)+1))))</f>
        <v>0</v>
      </c>
      <c r="V49" s="0" t="n">
        <f aca="false">IF(OR(NOT(AND(Simulations!$A49&lt;&gt;"",OR(Simulations!$CA49&lt;&gt;"",N(Simulations!$CC49)&gt;0))),N(Simulations!$CF49)&lt;=0,N(Simulations!$CC49)&lt;=0,3&gt;N(Simulations!$O49)),0,IF(Simulations!$CF49&lt;Simulations!$J49,Simulations!$CC49/(Simulations!$G49*Simulations!$H49*IF(Simulations!$I49&gt;0,Simulations!$I49,1))*Simulations!$CF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F49/Simulations!$J49)^1.5+SQRT(LN(Simulations!$CF49/Simulations!$J49))+Simulations!$CF49/Simulations!$J49*SQRT(PI())/2*ERFC(SQRT(LN(Simulations!$CF49/Simulations!$J49)))),PI()*Simulations!$T49^2/2*(LN(Simulations!$CF49/Simulations!$J49)+1))))</f>
        <v>0</v>
      </c>
      <c r="W49" s="0" t="n">
        <f aca="false">IF(NOT(AND(Simulations!$A49&lt;&gt;"",OR(Simulations!$CA49&lt;&gt;"",N(Simulations!$CC49)&gt;0))),0,MAX(N(Simulations!$CD49),N(Simulations!$CE49),N(Simulations!$CF49))/Simulations!$J49)</f>
        <v>0</v>
      </c>
      <c r="X49" s="0" t="n">
        <f aca="false">IF(OR(NOT(AND(Simulations!$A49&lt;&gt;"",OR(Simulations!$CA49&lt;&gt;"",N(Simulations!$CC49)&gt;0))),N(Simulations!$CB49)&lt;=0),0,SQRT(2*Simulations!$CB49*1000000/(Simulations!$J49*1000))/Simulations!$T49)</f>
        <v>0</v>
      </c>
      <c r="Y49" s="0" t="n">
        <f aca="false">IF(AND(Simulations!$A49&lt;&gt;"",OR(Simulations!$CA49&lt;&gt;"",N(Simulations!$CC49)&gt;0)),1,0)</f>
        <v>0</v>
      </c>
      <c r="Z49" s="0" t="n">
        <f aca="false">IF(OR(NOT(AND(Simulations!$A49&lt;&gt;"",OR(Simulations!$CS49&lt;&gt;"",N(Simulations!$CU49)&gt;0))),N(Simulations!$CV49)&lt;=0,N(Simulations!$CU49)&lt;=0,1&gt;N(Simulations!$O49)),0,IF(Simulations!$CV49&lt;Simulations!$J49,Simulations!$CU49/(Simulations!$G49*Simulations!$H49*IF(Simulations!$I49&gt;0,Simulations!$I49,1))*Simulations!$CV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V49/Simulations!$J49)^1.5+SQRT(LN(Simulations!$CV49/Simulations!$J49))+Simulations!$CV49/Simulations!$J49*SQRT(PI())/2*ERFC(SQRT(LN(Simulations!$CV49/Simulations!$J49)))),PI()*Simulations!$T49^2/2*(LN(Simulations!$CV49/Simulations!$J49)+1))))</f>
        <v>0</v>
      </c>
      <c r="AA49" s="0" t="n">
        <f aca="false">IF(OR(NOT(AND(Simulations!$A49&lt;&gt;"",OR(Simulations!$CS49&lt;&gt;"",N(Simulations!$CU49)&gt;0))),N(Simulations!$CW49)&lt;=0,N(Simulations!$CU49)&lt;=0,2&gt;N(Simulations!$O49)),0,IF(Simulations!$CW49&lt;Simulations!$J49,Simulations!$CU49/(Simulations!$G49*Simulations!$H49*IF(Simulations!$I49&gt;0,Simulations!$I49,1))*Simulations!$CW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W49/Simulations!$J49)^1.5+SQRT(LN(Simulations!$CW49/Simulations!$J49))+Simulations!$CW49/Simulations!$J49*SQRT(PI())/2*ERFC(SQRT(LN(Simulations!$CW49/Simulations!$J49)))),PI()*Simulations!$T49^2/2*(LN(Simulations!$CW49/Simulations!$J49)+1))))</f>
        <v>0</v>
      </c>
      <c r="AB49" s="0" t="n">
        <f aca="false">IF(OR(NOT(AND(Simulations!$A49&lt;&gt;"",OR(Simulations!$CS49&lt;&gt;"",N(Simulations!$CU49)&gt;0))),N(Simulations!$CX49)&lt;=0,N(Simulations!$CU49)&lt;=0,3&gt;N(Simulations!$O49)),0,IF(Simulations!$CX49&lt;Simulations!$J49,Simulations!$CU49/(Simulations!$G49*Simulations!$H49*IF(Simulations!$I49&gt;0,Simulations!$I49,1))*Simulations!$CX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X49/Simulations!$J49)^1.5+SQRT(LN(Simulations!$CX49/Simulations!$J49))+Simulations!$CX49/Simulations!$J49*SQRT(PI())/2*ERFC(SQRT(LN(Simulations!$CX49/Simulations!$J49)))),PI()*Simulations!$T49^2/2*(LN(Simulations!$CX49/Simulations!$J49)+1))))</f>
        <v>0</v>
      </c>
      <c r="AC49" s="0" t="n">
        <f aca="false">IF(NOT(AND(Simulations!$A49&lt;&gt;"",OR(Simulations!$CS49&lt;&gt;"",N(Simulations!$CU49)&gt;0))),0,MAX(N(Simulations!$CV49),N(Simulations!$CW49),N(Simulations!$CX49))/Simulations!$J49)</f>
        <v>0</v>
      </c>
      <c r="AD49" s="0" t="n">
        <f aca="false">IF(OR(NOT(AND(Simulations!$A49&lt;&gt;"",OR(Simulations!$CS49&lt;&gt;"",N(Simulations!$CU49)&gt;0))),N(Simulations!$CT49)&lt;=0),0,SQRT(2*Simulations!$CT49*1000000/(Simulations!$J49*1000))/Simulations!$T49)</f>
        <v>0</v>
      </c>
      <c r="AE49" s="0" t="n">
        <f aca="false">IF(AND(Simulations!$A49&lt;&gt;"",OR(Simulations!$CS49&lt;&gt;"",N(Simulations!$CU49)&gt;0)),1,0)</f>
        <v>0</v>
      </c>
      <c r="AF49" s="0" t="n">
        <f aca="false">IF(OR(NOT(AND(Simulations!$A49&lt;&gt;"",OR(Simulations!$DK49&lt;&gt;"",N(Simulations!$DM49)&gt;0))),N(Simulations!$DN49)&lt;=0,N(Simulations!$DM49)&lt;=0,1&gt;N(Simulations!$O49)),0,IF(Simulations!$DN49&lt;Simulations!$J49,Simulations!$DM49/(Simulations!$G49*Simulations!$H49*IF(Simulations!$I49&gt;0,Simulations!$I49,1))*Simulations!$DN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N49/Simulations!$J49)^1.5+SQRT(LN(Simulations!$DN49/Simulations!$J49))+Simulations!$DN49/Simulations!$J49*SQRT(PI())/2*ERFC(SQRT(LN(Simulations!$DN49/Simulations!$J49)))),PI()*Simulations!$T49^2/2*(LN(Simulations!$DN49/Simulations!$J49)+1))))</f>
        <v>0</v>
      </c>
      <c r="AG49" s="0" t="n">
        <f aca="false">IF(OR(NOT(AND(Simulations!$A49&lt;&gt;"",OR(Simulations!$DK49&lt;&gt;"",N(Simulations!$DM49)&gt;0))),N(Simulations!$DO49)&lt;=0,N(Simulations!$DM49)&lt;=0,2&gt;N(Simulations!$O49)),0,IF(Simulations!$DO49&lt;Simulations!$J49,Simulations!$DM49/(Simulations!$G49*Simulations!$H49*IF(Simulations!$I49&gt;0,Simulations!$I49,1))*Simulations!$DO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O49/Simulations!$J49)^1.5+SQRT(LN(Simulations!$DO49/Simulations!$J49))+Simulations!$DO49/Simulations!$J49*SQRT(PI())/2*ERFC(SQRT(LN(Simulations!$DO49/Simulations!$J49)))),PI()*Simulations!$T49^2/2*(LN(Simulations!$DO49/Simulations!$J49)+1))))</f>
        <v>0</v>
      </c>
      <c r="AH49" s="0" t="n">
        <f aca="false">IF(OR(NOT(AND(Simulations!$A49&lt;&gt;"",OR(Simulations!$DK49&lt;&gt;"",N(Simulations!$DM49)&gt;0))),N(Simulations!$DP49)&lt;=0,N(Simulations!$DM49)&lt;=0,3&gt;N(Simulations!$O49)),0,IF(Simulations!$DP49&lt;Simulations!$J49,Simulations!$DM49/(Simulations!$G49*Simulations!$H49*IF(Simulations!$I49&gt;0,Simulations!$I49,1))*Simulations!$DP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P49/Simulations!$J49)^1.5+SQRT(LN(Simulations!$DP49/Simulations!$J49))+Simulations!$DP49/Simulations!$J49*SQRT(PI())/2*ERFC(SQRT(LN(Simulations!$DP49/Simulations!$J49)))),PI()*Simulations!$T49^2/2*(LN(Simulations!$DP49/Simulations!$J49)+1))))</f>
        <v>0</v>
      </c>
      <c r="AI49" s="0" t="n">
        <f aca="false">IF(NOT(AND(Simulations!$A49&lt;&gt;"",OR(Simulations!$DK49&lt;&gt;"",N(Simulations!$DM49)&gt;0))),0,MAX(N(Simulations!$DN49),N(Simulations!$DO49),N(Simulations!$DP49))/Simulations!$J49)</f>
        <v>0</v>
      </c>
      <c r="AJ49" s="0" t="n">
        <f aca="false">IF(OR(NOT(AND(Simulations!$A49&lt;&gt;"",OR(Simulations!$DK49&lt;&gt;"",N(Simulations!$DM49)&gt;0))),N(Simulations!$DL49)&lt;=0),0,SQRT(2*Simulations!$DL49*1000000/(Simulations!$J49*1000))/Simulations!$T49)</f>
        <v>0</v>
      </c>
      <c r="AK49" s="0" t="n">
        <f aca="false">IF(AND(Simulations!$A49&lt;&gt;"",OR(Simulations!$DK49&lt;&gt;"",N(Simulations!$DM49)&gt;0)),1,0)</f>
        <v>0</v>
      </c>
    </row>
    <row r="50" customFormat="false" ht="15" hidden="false" customHeight="false" outlineLevel="0" collapsed="false">
      <c r="B50" s="0" t="n">
        <f aca="false">IF(OR(NOT(AND(Simulations!$A50&lt;&gt;"",OR(Simulations!$Y50&lt;&gt;"",N(Simulations!$AA50)&gt;0))),N(Simulations!$AB50)&lt;=0,N(Simulations!$AA50)&lt;=0,1&gt;N(Simulations!$O50)),0,IF(Simulations!$AB50&lt;Simulations!$J50,Simulations!$AA50/(Simulations!$G50*Simulations!$H50*IF(Simulations!$I50&gt;0,Simulations!$I50,1))*Simulations!$AB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B50/Simulations!$J50)^1.5+SQRT(LN(Simulations!$AB50/Simulations!$J50))+Simulations!$AB50/Simulations!$J50*SQRT(PI())/2*ERFC(SQRT(LN(Simulations!$AB50/Simulations!$J50)))),PI()*Simulations!$T50^2/2*(LN(Simulations!$AB50/Simulations!$J50)+1))))</f>
        <v>0</v>
      </c>
      <c r="C50" s="0" t="n">
        <f aca="false">IF(OR(NOT(AND(Simulations!$A50&lt;&gt;"",OR(Simulations!$Y50&lt;&gt;"",N(Simulations!$AA50)&gt;0))),N(Simulations!$AC50)&lt;=0,N(Simulations!$AA50)&lt;=0,2&gt;N(Simulations!$O50)),0,IF(Simulations!$AC50&lt;Simulations!$J50,Simulations!$AA50/(Simulations!$G50*Simulations!$H50*IF(Simulations!$I50&gt;0,Simulations!$I50,1))*Simulations!$AC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C50/Simulations!$J50)^1.5+SQRT(LN(Simulations!$AC50/Simulations!$J50))+Simulations!$AC50/Simulations!$J50*SQRT(PI())/2*ERFC(SQRT(LN(Simulations!$AC50/Simulations!$J50)))),PI()*Simulations!$T50^2/2*(LN(Simulations!$AC50/Simulations!$J50)+1))))</f>
        <v>0</v>
      </c>
      <c r="D50" s="0" t="n">
        <f aca="false">IF(OR(NOT(AND(Simulations!$A50&lt;&gt;"",OR(Simulations!$Y50&lt;&gt;"",N(Simulations!$AA50)&gt;0))),N(Simulations!$AD50)&lt;=0,N(Simulations!$AA50)&lt;=0,3&gt;N(Simulations!$O50)),0,IF(Simulations!$AD50&lt;Simulations!$J50,Simulations!$AA50/(Simulations!$G50*Simulations!$H50*IF(Simulations!$I50&gt;0,Simulations!$I50,1))*Simulations!$AD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D50/Simulations!$J50)^1.5+SQRT(LN(Simulations!$AD50/Simulations!$J50))+Simulations!$AD50/Simulations!$J50*SQRT(PI())/2*ERFC(SQRT(LN(Simulations!$AD50/Simulations!$J50)))),PI()*Simulations!$T50^2/2*(LN(Simulations!$AD50/Simulations!$J50)+1))))</f>
        <v>0</v>
      </c>
      <c r="E50" s="0" t="n">
        <f aca="false">IF(NOT(AND(Simulations!$A50&lt;&gt;"",OR(Simulations!$Y50&lt;&gt;"",N(Simulations!$AA50)&gt;0))),0,MAX(N(Simulations!$AB50),N(Simulations!$AC50),N(Simulations!$AD50))/Simulations!$J50)</f>
        <v>0</v>
      </c>
      <c r="F50" s="0" t="n">
        <f aca="false">IF(OR(NOT(AND(Simulations!$A50&lt;&gt;"",OR(Simulations!$Y50&lt;&gt;"",N(Simulations!$AA50)&gt;0))),N(Simulations!$Z50)&lt;=0),0,SQRT(2*Simulations!$Z50*1000000/(Simulations!$J50*1000))/Simulations!$T50)</f>
        <v>0</v>
      </c>
      <c r="G50" s="0" t="n">
        <f aca="false">IF(AND(Simulations!$A50&lt;&gt;"",OR(Simulations!$Y50&lt;&gt;"",N(Simulations!$AA50)&gt;0)),1,0)</f>
        <v>0</v>
      </c>
      <c r="H50" s="0" t="n">
        <f aca="false">IF(OR(NOT(AND(Simulations!$A50&lt;&gt;"",OR(Simulations!$AQ50&lt;&gt;"",N(Simulations!$AS50)&gt;0))),N(Simulations!$AT50)&lt;=0,N(Simulations!$AS50)&lt;=0,1&gt;N(Simulations!$O50)),0,IF(Simulations!$AT50&lt;Simulations!$J50,Simulations!$AS50/(Simulations!$G50*Simulations!$H50*IF(Simulations!$I50&gt;0,Simulations!$I50,1))*Simulations!$AT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T50/Simulations!$J50)^1.5+SQRT(LN(Simulations!$AT50/Simulations!$J50))+Simulations!$AT50/Simulations!$J50*SQRT(PI())/2*ERFC(SQRT(LN(Simulations!$AT50/Simulations!$J50)))),PI()*Simulations!$T50^2/2*(LN(Simulations!$AT50/Simulations!$J50)+1))))</f>
        <v>0</v>
      </c>
      <c r="I50" s="0" t="n">
        <f aca="false">IF(OR(NOT(AND(Simulations!$A50&lt;&gt;"",OR(Simulations!$AQ50&lt;&gt;"",N(Simulations!$AS50)&gt;0))),N(Simulations!$AU50)&lt;=0,N(Simulations!$AS50)&lt;=0,2&gt;N(Simulations!$O50)),0,IF(Simulations!$AU50&lt;Simulations!$J50,Simulations!$AS50/(Simulations!$G50*Simulations!$H50*IF(Simulations!$I50&gt;0,Simulations!$I50,1))*Simulations!$AU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U50/Simulations!$J50)^1.5+SQRT(LN(Simulations!$AU50/Simulations!$J50))+Simulations!$AU50/Simulations!$J50*SQRT(PI())/2*ERFC(SQRT(LN(Simulations!$AU50/Simulations!$J50)))),PI()*Simulations!$T50^2/2*(LN(Simulations!$AU50/Simulations!$J50)+1))))</f>
        <v>0</v>
      </c>
      <c r="J50" s="0" t="n">
        <f aca="false">IF(OR(NOT(AND(Simulations!$A50&lt;&gt;"",OR(Simulations!$AQ50&lt;&gt;"",N(Simulations!$AS50)&gt;0))),N(Simulations!$AV50)&lt;=0,N(Simulations!$AS50)&lt;=0,3&gt;N(Simulations!$O50)),0,IF(Simulations!$AV50&lt;Simulations!$J50,Simulations!$AS50/(Simulations!$G50*Simulations!$H50*IF(Simulations!$I50&gt;0,Simulations!$I50,1))*Simulations!$AV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V50/Simulations!$J50)^1.5+SQRT(LN(Simulations!$AV50/Simulations!$J50))+Simulations!$AV50/Simulations!$J50*SQRT(PI())/2*ERFC(SQRT(LN(Simulations!$AV50/Simulations!$J50)))),PI()*Simulations!$T50^2/2*(LN(Simulations!$AV50/Simulations!$J50)+1))))</f>
        <v>0</v>
      </c>
      <c r="K50" s="0" t="n">
        <f aca="false">IF(NOT(AND(Simulations!$A50&lt;&gt;"",OR(Simulations!$AQ50&lt;&gt;"",N(Simulations!$AS50)&gt;0))),0,MAX(N(Simulations!$AT50),N(Simulations!$AU50),N(Simulations!$AV50))/Simulations!$J50)</f>
        <v>0</v>
      </c>
      <c r="L50" s="0" t="n">
        <f aca="false">IF(OR(NOT(AND(Simulations!$A50&lt;&gt;"",OR(Simulations!$AQ50&lt;&gt;"",N(Simulations!$AS50)&gt;0))),N(Simulations!$AR50)&lt;=0),0,SQRT(2*Simulations!$AR50*1000000/(Simulations!$J50*1000))/Simulations!$T50)</f>
        <v>0</v>
      </c>
      <c r="M50" s="0" t="n">
        <f aca="false">IF(AND(Simulations!$A50&lt;&gt;"",OR(Simulations!$AQ50&lt;&gt;"",N(Simulations!$AS50)&gt;0)),1,0)</f>
        <v>0</v>
      </c>
      <c r="N50" s="0" t="n">
        <f aca="false">IF(OR(NOT(AND(Simulations!$A50&lt;&gt;"",OR(Simulations!$BI50&lt;&gt;"",N(Simulations!$BK50)&gt;0))),N(Simulations!$BL50)&lt;=0,N(Simulations!$BK50)&lt;=0,1&gt;N(Simulations!$O50)),0,IF(Simulations!$BL50&lt;Simulations!$J50,Simulations!$BK50/(Simulations!$G50*Simulations!$H50*IF(Simulations!$I50&gt;0,Simulations!$I50,1))*Simulations!$BL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L50/Simulations!$J50)^1.5+SQRT(LN(Simulations!$BL50/Simulations!$J50))+Simulations!$BL50/Simulations!$J50*SQRT(PI())/2*ERFC(SQRT(LN(Simulations!$BL50/Simulations!$J50)))),PI()*Simulations!$T50^2/2*(LN(Simulations!$BL50/Simulations!$J50)+1))))</f>
        <v>0</v>
      </c>
      <c r="O50" s="0" t="n">
        <f aca="false">IF(OR(NOT(AND(Simulations!$A50&lt;&gt;"",OR(Simulations!$BI50&lt;&gt;"",N(Simulations!$BK50)&gt;0))),N(Simulations!$BM50)&lt;=0,N(Simulations!$BK50)&lt;=0,2&gt;N(Simulations!$O50)),0,IF(Simulations!$BM50&lt;Simulations!$J50,Simulations!$BK50/(Simulations!$G50*Simulations!$H50*IF(Simulations!$I50&gt;0,Simulations!$I50,1))*Simulations!$BM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M50/Simulations!$J50)^1.5+SQRT(LN(Simulations!$BM50/Simulations!$J50))+Simulations!$BM50/Simulations!$J50*SQRT(PI())/2*ERFC(SQRT(LN(Simulations!$BM50/Simulations!$J50)))),PI()*Simulations!$T50^2/2*(LN(Simulations!$BM50/Simulations!$J50)+1))))</f>
        <v>0</v>
      </c>
      <c r="P50" s="0" t="n">
        <f aca="false">IF(OR(NOT(AND(Simulations!$A50&lt;&gt;"",OR(Simulations!$BI50&lt;&gt;"",N(Simulations!$BK50)&gt;0))),N(Simulations!$BN50)&lt;=0,N(Simulations!$BK50)&lt;=0,3&gt;N(Simulations!$O50)),0,IF(Simulations!$BN50&lt;Simulations!$J50,Simulations!$BK50/(Simulations!$G50*Simulations!$H50*IF(Simulations!$I50&gt;0,Simulations!$I50,1))*Simulations!$BN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N50/Simulations!$J50)^1.5+SQRT(LN(Simulations!$BN50/Simulations!$J50))+Simulations!$BN50/Simulations!$J50*SQRT(PI())/2*ERFC(SQRT(LN(Simulations!$BN50/Simulations!$J50)))),PI()*Simulations!$T50^2/2*(LN(Simulations!$BN50/Simulations!$J50)+1))))</f>
        <v>0</v>
      </c>
      <c r="Q50" s="0" t="n">
        <f aca="false">IF(NOT(AND(Simulations!$A50&lt;&gt;"",OR(Simulations!$BI50&lt;&gt;"",N(Simulations!$BK50)&gt;0))),0,MAX(N(Simulations!$BL50),N(Simulations!$BM50),N(Simulations!$BN50))/Simulations!$J50)</f>
        <v>0</v>
      </c>
      <c r="R50" s="0" t="n">
        <f aca="false">IF(OR(NOT(AND(Simulations!$A50&lt;&gt;"",OR(Simulations!$BI50&lt;&gt;"",N(Simulations!$BK50)&gt;0))),N(Simulations!$BJ50)&lt;=0),0,SQRT(2*Simulations!$BJ50*1000000/(Simulations!$J50*1000))/Simulations!$T50)</f>
        <v>0</v>
      </c>
      <c r="S50" s="0" t="n">
        <f aca="false">IF(AND(Simulations!$A50&lt;&gt;"",OR(Simulations!$BI50&lt;&gt;"",N(Simulations!$BK50)&gt;0)),1,0)</f>
        <v>0</v>
      </c>
      <c r="T50" s="0" t="n">
        <f aca="false">IF(OR(NOT(AND(Simulations!$A50&lt;&gt;"",OR(Simulations!$CA50&lt;&gt;"",N(Simulations!$CC50)&gt;0))),N(Simulations!$CD50)&lt;=0,N(Simulations!$CC50)&lt;=0,1&gt;N(Simulations!$O50)),0,IF(Simulations!$CD50&lt;Simulations!$J50,Simulations!$CC50/(Simulations!$G50*Simulations!$H50*IF(Simulations!$I50&gt;0,Simulations!$I50,1))*Simulations!$CD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D50/Simulations!$J50)^1.5+SQRT(LN(Simulations!$CD50/Simulations!$J50))+Simulations!$CD50/Simulations!$J50*SQRT(PI())/2*ERFC(SQRT(LN(Simulations!$CD50/Simulations!$J50)))),PI()*Simulations!$T50^2/2*(LN(Simulations!$CD50/Simulations!$J50)+1))))</f>
        <v>0</v>
      </c>
      <c r="U50" s="0" t="n">
        <f aca="false">IF(OR(NOT(AND(Simulations!$A50&lt;&gt;"",OR(Simulations!$CA50&lt;&gt;"",N(Simulations!$CC50)&gt;0))),N(Simulations!$CE50)&lt;=0,N(Simulations!$CC50)&lt;=0,2&gt;N(Simulations!$O50)),0,IF(Simulations!$CE50&lt;Simulations!$J50,Simulations!$CC50/(Simulations!$G50*Simulations!$H50*IF(Simulations!$I50&gt;0,Simulations!$I50,1))*Simulations!$CE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E50/Simulations!$J50)^1.5+SQRT(LN(Simulations!$CE50/Simulations!$J50))+Simulations!$CE50/Simulations!$J50*SQRT(PI())/2*ERFC(SQRT(LN(Simulations!$CE50/Simulations!$J50)))),PI()*Simulations!$T50^2/2*(LN(Simulations!$CE50/Simulations!$J50)+1))))</f>
        <v>0</v>
      </c>
      <c r="V50" s="0" t="n">
        <f aca="false">IF(OR(NOT(AND(Simulations!$A50&lt;&gt;"",OR(Simulations!$CA50&lt;&gt;"",N(Simulations!$CC50)&gt;0))),N(Simulations!$CF50)&lt;=0,N(Simulations!$CC50)&lt;=0,3&gt;N(Simulations!$O50)),0,IF(Simulations!$CF50&lt;Simulations!$J50,Simulations!$CC50/(Simulations!$G50*Simulations!$H50*IF(Simulations!$I50&gt;0,Simulations!$I50,1))*Simulations!$CF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F50/Simulations!$J50)^1.5+SQRT(LN(Simulations!$CF50/Simulations!$J50))+Simulations!$CF50/Simulations!$J50*SQRT(PI())/2*ERFC(SQRT(LN(Simulations!$CF50/Simulations!$J50)))),PI()*Simulations!$T50^2/2*(LN(Simulations!$CF50/Simulations!$J50)+1))))</f>
        <v>0</v>
      </c>
      <c r="W50" s="0" t="n">
        <f aca="false">IF(NOT(AND(Simulations!$A50&lt;&gt;"",OR(Simulations!$CA50&lt;&gt;"",N(Simulations!$CC50)&gt;0))),0,MAX(N(Simulations!$CD50),N(Simulations!$CE50),N(Simulations!$CF50))/Simulations!$J50)</f>
        <v>0</v>
      </c>
      <c r="X50" s="0" t="n">
        <f aca="false">IF(OR(NOT(AND(Simulations!$A50&lt;&gt;"",OR(Simulations!$CA50&lt;&gt;"",N(Simulations!$CC50)&gt;0))),N(Simulations!$CB50)&lt;=0),0,SQRT(2*Simulations!$CB50*1000000/(Simulations!$J50*1000))/Simulations!$T50)</f>
        <v>0</v>
      </c>
      <c r="Y50" s="0" t="n">
        <f aca="false">IF(AND(Simulations!$A50&lt;&gt;"",OR(Simulations!$CA50&lt;&gt;"",N(Simulations!$CC50)&gt;0)),1,0)</f>
        <v>0</v>
      </c>
      <c r="Z50" s="0" t="n">
        <f aca="false">IF(OR(NOT(AND(Simulations!$A50&lt;&gt;"",OR(Simulations!$CS50&lt;&gt;"",N(Simulations!$CU50)&gt;0))),N(Simulations!$CV50)&lt;=0,N(Simulations!$CU50)&lt;=0,1&gt;N(Simulations!$O50)),0,IF(Simulations!$CV50&lt;Simulations!$J50,Simulations!$CU50/(Simulations!$G50*Simulations!$H50*IF(Simulations!$I50&gt;0,Simulations!$I50,1))*Simulations!$CV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V50/Simulations!$J50)^1.5+SQRT(LN(Simulations!$CV50/Simulations!$J50))+Simulations!$CV50/Simulations!$J50*SQRT(PI())/2*ERFC(SQRT(LN(Simulations!$CV50/Simulations!$J50)))),PI()*Simulations!$T50^2/2*(LN(Simulations!$CV50/Simulations!$J50)+1))))</f>
        <v>0</v>
      </c>
      <c r="AA50" s="0" t="n">
        <f aca="false">IF(OR(NOT(AND(Simulations!$A50&lt;&gt;"",OR(Simulations!$CS50&lt;&gt;"",N(Simulations!$CU50)&gt;0))),N(Simulations!$CW50)&lt;=0,N(Simulations!$CU50)&lt;=0,2&gt;N(Simulations!$O50)),0,IF(Simulations!$CW50&lt;Simulations!$J50,Simulations!$CU50/(Simulations!$G50*Simulations!$H50*IF(Simulations!$I50&gt;0,Simulations!$I50,1))*Simulations!$CW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W50/Simulations!$J50)^1.5+SQRT(LN(Simulations!$CW50/Simulations!$J50))+Simulations!$CW50/Simulations!$J50*SQRT(PI())/2*ERFC(SQRT(LN(Simulations!$CW50/Simulations!$J50)))),PI()*Simulations!$T50^2/2*(LN(Simulations!$CW50/Simulations!$J50)+1))))</f>
        <v>0</v>
      </c>
      <c r="AB50" s="0" t="n">
        <f aca="false">IF(OR(NOT(AND(Simulations!$A50&lt;&gt;"",OR(Simulations!$CS50&lt;&gt;"",N(Simulations!$CU50)&gt;0))),N(Simulations!$CX50)&lt;=0,N(Simulations!$CU50)&lt;=0,3&gt;N(Simulations!$O50)),0,IF(Simulations!$CX50&lt;Simulations!$J50,Simulations!$CU50/(Simulations!$G50*Simulations!$H50*IF(Simulations!$I50&gt;0,Simulations!$I50,1))*Simulations!$CX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X50/Simulations!$J50)^1.5+SQRT(LN(Simulations!$CX50/Simulations!$J50))+Simulations!$CX50/Simulations!$J50*SQRT(PI())/2*ERFC(SQRT(LN(Simulations!$CX50/Simulations!$J50)))),PI()*Simulations!$T50^2/2*(LN(Simulations!$CX50/Simulations!$J50)+1))))</f>
        <v>0</v>
      </c>
      <c r="AC50" s="0" t="n">
        <f aca="false">IF(NOT(AND(Simulations!$A50&lt;&gt;"",OR(Simulations!$CS50&lt;&gt;"",N(Simulations!$CU50)&gt;0))),0,MAX(N(Simulations!$CV50),N(Simulations!$CW50),N(Simulations!$CX50))/Simulations!$J50)</f>
        <v>0</v>
      </c>
      <c r="AD50" s="0" t="n">
        <f aca="false">IF(OR(NOT(AND(Simulations!$A50&lt;&gt;"",OR(Simulations!$CS50&lt;&gt;"",N(Simulations!$CU50)&gt;0))),N(Simulations!$CT50)&lt;=0),0,SQRT(2*Simulations!$CT50*1000000/(Simulations!$J50*1000))/Simulations!$T50)</f>
        <v>0</v>
      </c>
      <c r="AE50" s="0" t="n">
        <f aca="false">IF(AND(Simulations!$A50&lt;&gt;"",OR(Simulations!$CS50&lt;&gt;"",N(Simulations!$CU50)&gt;0)),1,0)</f>
        <v>0</v>
      </c>
      <c r="AF50" s="0" t="n">
        <f aca="false">IF(OR(NOT(AND(Simulations!$A50&lt;&gt;"",OR(Simulations!$DK50&lt;&gt;"",N(Simulations!$DM50)&gt;0))),N(Simulations!$DN50)&lt;=0,N(Simulations!$DM50)&lt;=0,1&gt;N(Simulations!$O50)),0,IF(Simulations!$DN50&lt;Simulations!$J50,Simulations!$DM50/(Simulations!$G50*Simulations!$H50*IF(Simulations!$I50&gt;0,Simulations!$I50,1))*Simulations!$DN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N50/Simulations!$J50)^1.5+SQRT(LN(Simulations!$DN50/Simulations!$J50))+Simulations!$DN50/Simulations!$J50*SQRT(PI())/2*ERFC(SQRT(LN(Simulations!$DN50/Simulations!$J50)))),PI()*Simulations!$T50^2/2*(LN(Simulations!$DN50/Simulations!$J50)+1))))</f>
        <v>0</v>
      </c>
      <c r="AG50" s="0" t="n">
        <f aca="false">IF(OR(NOT(AND(Simulations!$A50&lt;&gt;"",OR(Simulations!$DK50&lt;&gt;"",N(Simulations!$DM50)&gt;0))),N(Simulations!$DO50)&lt;=0,N(Simulations!$DM50)&lt;=0,2&gt;N(Simulations!$O50)),0,IF(Simulations!$DO50&lt;Simulations!$J50,Simulations!$DM50/(Simulations!$G50*Simulations!$H50*IF(Simulations!$I50&gt;0,Simulations!$I50,1))*Simulations!$DO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O50/Simulations!$J50)^1.5+SQRT(LN(Simulations!$DO50/Simulations!$J50))+Simulations!$DO50/Simulations!$J50*SQRT(PI())/2*ERFC(SQRT(LN(Simulations!$DO50/Simulations!$J50)))),PI()*Simulations!$T50^2/2*(LN(Simulations!$DO50/Simulations!$J50)+1))))</f>
        <v>0</v>
      </c>
      <c r="AH50" s="0" t="n">
        <f aca="false">IF(OR(NOT(AND(Simulations!$A50&lt;&gt;"",OR(Simulations!$DK50&lt;&gt;"",N(Simulations!$DM50)&gt;0))),N(Simulations!$DP50)&lt;=0,N(Simulations!$DM50)&lt;=0,3&gt;N(Simulations!$O50)),0,IF(Simulations!$DP50&lt;Simulations!$J50,Simulations!$DM50/(Simulations!$G50*Simulations!$H50*IF(Simulations!$I50&gt;0,Simulations!$I50,1))*Simulations!$DP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P50/Simulations!$J50)^1.5+SQRT(LN(Simulations!$DP50/Simulations!$J50))+Simulations!$DP50/Simulations!$J50*SQRT(PI())/2*ERFC(SQRT(LN(Simulations!$DP50/Simulations!$J50)))),PI()*Simulations!$T50^2/2*(LN(Simulations!$DP50/Simulations!$J50)+1))))</f>
        <v>0</v>
      </c>
      <c r="AI50" s="0" t="n">
        <f aca="false">IF(NOT(AND(Simulations!$A50&lt;&gt;"",OR(Simulations!$DK50&lt;&gt;"",N(Simulations!$DM50)&gt;0))),0,MAX(N(Simulations!$DN50),N(Simulations!$DO50),N(Simulations!$DP50))/Simulations!$J50)</f>
        <v>0</v>
      </c>
      <c r="AJ50" s="0" t="n">
        <f aca="false">IF(OR(NOT(AND(Simulations!$A50&lt;&gt;"",OR(Simulations!$DK50&lt;&gt;"",N(Simulations!$DM50)&gt;0))),N(Simulations!$DL50)&lt;=0),0,SQRT(2*Simulations!$DL50*1000000/(Simulations!$J50*1000))/Simulations!$T50)</f>
        <v>0</v>
      </c>
      <c r="AK50" s="0" t="n">
        <f aca="false">IF(AND(Simulations!$A50&lt;&gt;"",OR(Simulations!$DK50&lt;&gt;"",N(Simulations!$DM50)&gt;0)),1,0)</f>
        <v>0</v>
      </c>
    </row>
    <row r="51" customFormat="false" ht="15" hidden="false" customHeight="false" outlineLevel="0" collapsed="false">
      <c r="B51" s="0" t="n">
        <f aca="false">IF(OR(NOT(AND(Simulations!$A51&lt;&gt;"",OR(Simulations!$Y51&lt;&gt;"",N(Simulations!$AA51)&gt;0))),N(Simulations!$AB51)&lt;=0,N(Simulations!$AA51)&lt;=0,1&gt;N(Simulations!$O51)),0,IF(Simulations!$AB51&lt;Simulations!$J51,Simulations!$AA51/(Simulations!$G51*Simulations!$H51*IF(Simulations!$I51&gt;0,Simulations!$I51,1))*Simulations!$AB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B51/Simulations!$J51)^1.5+SQRT(LN(Simulations!$AB51/Simulations!$J51))+Simulations!$AB51/Simulations!$J51*SQRT(PI())/2*ERFC(SQRT(LN(Simulations!$AB51/Simulations!$J51)))),PI()*Simulations!$T51^2/2*(LN(Simulations!$AB51/Simulations!$J51)+1))))</f>
        <v>0</v>
      </c>
      <c r="C51" s="0" t="n">
        <f aca="false">IF(OR(NOT(AND(Simulations!$A51&lt;&gt;"",OR(Simulations!$Y51&lt;&gt;"",N(Simulations!$AA51)&gt;0))),N(Simulations!$AC51)&lt;=0,N(Simulations!$AA51)&lt;=0,2&gt;N(Simulations!$O51)),0,IF(Simulations!$AC51&lt;Simulations!$J51,Simulations!$AA51/(Simulations!$G51*Simulations!$H51*IF(Simulations!$I51&gt;0,Simulations!$I51,1))*Simulations!$AC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C51/Simulations!$J51)^1.5+SQRT(LN(Simulations!$AC51/Simulations!$J51))+Simulations!$AC51/Simulations!$J51*SQRT(PI())/2*ERFC(SQRT(LN(Simulations!$AC51/Simulations!$J51)))),PI()*Simulations!$T51^2/2*(LN(Simulations!$AC51/Simulations!$J51)+1))))</f>
        <v>0</v>
      </c>
      <c r="D51" s="0" t="n">
        <f aca="false">IF(OR(NOT(AND(Simulations!$A51&lt;&gt;"",OR(Simulations!$Y51&lt;&gt;"",N(Simulations!$AA51)&gt;0))),N(Simulations!$AD51)&lt;=0,N(Simulations!$AA51)&lt;=0,3&gt;N(Simulations!$O51)),0,IF(Simulations!$AD51&lt;Simulations!$J51,Simulations!$AA51/(Simulations!$G51*Simulations!$H51*IF(Simulations!$I51&gt;0,Simulations!$I51,1))*Simulations!$AD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D51/Simulations!$J51)^1.5+SQRT(LN(Simulations!$AD51/Simulations!$J51))+Simulations!$AD51/Simulations!$J51*SQRT(PI())/2*ERFC(SQRT(LN(Simulations!$AD51/Simulations!$J51)))),PI()*Simulations!$T51^2/2*(LN(Simulations!$AD51/Simulations!$J51)+1))))</f>
        <v>0</v>
      </c>
      <c r="E51" s="0" t="n">
        <f aca="false">IF(NOT(AND(Simulations!$A51&lt;&gt;"",OR(Simulations!$Y51&lt;&gt;"",N(Simulations!$AA51)&gt;0))),0,MAX(N(Simulations!$AB51),N(Simulations!$AC51),N(Simulations!$AD51))/Simulations!$J51)</f>
        <v>0</v>
      </c>
      <c r="F51" s="0" t="n">
        <f aca="false">IF(OR(NOT(AND(Simulations!$A51&lt;&gt;"",OR(Simulations!$Y51&lt;&gt;"",N(Simulations!$AA51)&gt;0))),N(Simulations!$Z51)&lt;=0),0,SQRT(2*Simulations!$Z51*1000000/(Simulations!$J51*1000))/Simulations!$T51)</f>
        <v>0</v>
      </c>
      <c r="G51" s="0" t="n">
        <f aca="false">IF(AND(Simulations!$A51&lt;&gt;"",OR(Simulations!$Y51&lt;&gt;"",N(Simulations!$AA51)&gt;0)),1,0)</f>
        <v>0</v>
      </c>
      <c r="H51" s="0" t="n">
        <f aca="false">IF(OR(NOT(AND(Simulations!$A51&lt;&gt;"",OR(Simulations!$AQ51&lt;&gt;"",N(Simulations!$AS51)&gt;0))),N(Simulations!$AT51)&lt;=0,N(Simulations!$AS51)&lt;=0,1&gt;N(Simulations!$O51)),0,IF(Simulations!$AT51&lt;Simulations!$J51,Simulations!$AS51/(Simulations!$G51*Simulations!$H51*IF(Simulations!$I51&gt;0,Simulations!$I51,1))*Simulations!$AT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T51/Simulations!$J51)^1.5+SQRT(LN(Simulations!$AT51/Simulations!$J51))+Simulations!$AT51/Simulations!$J51*SQRT(PI())/2*ERFC(SQRT(LN(Simulations!$AT51/Simulations!$J51)))),PI()*Simulations!$T51^2/2*(LN(Simulations!$AT51/Simulations!$J51)+1))))</f>
        <v>0</v>
      </c>
      <c r="I51" s="0" t="n">
        <f aca="false">IF(OR(NOT(AND(Simulations!$A51&lt;&gt;"",OR(Simulations!$AQ51&lt;&gt;"",N(Simulations!$AS51)&gt;0))),N(Simulations!$AU51)&lt;=0,N(Simulations!$AS51)&lt;=0,2&gt;N(Simulations!$O51)),0,IF(Simulations!$AU51&lt;Simulations!$J51,Simulations!$AS51/(Simulations!$G51*Simulations!$H51*IF(Simulations!$I51&gt;0,Simulations!$I51,1))*Simulations!$AU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U51/Simulations!$J51)^1.5+SQRT(LN(Simulations!$AU51/Simulations!$J51))+Simulations!$AU51/Simulations!$J51*SQRT(PI())/2*ERFC(SQRT(LN(Simulations!$AU51/Simulations!$J51)))),PI()*Simulations!$T51^2/2*(LN(Simulations!$AU51/Simulations!$J51)+1))))</f>
        <v>0</v>
      </c>
      <c r="J51" s="0" t="n">
        <f aca="false">IF(OR(NOT(AND(Simulations!$A51&lt;&gt;"",OR(Simulations!$AQ51&lt;&gt;"",N(Simulations!$AS51)&gt;0))),N(Simulations!$AV51)&lt;=0,N(Simulations!$AS51)&lt;=0,3&gt;N(Simulations!$O51)),0,IF(Simulations!$AV51&lt;Simulations!$J51,Simulations!$AS51/(Simulations!$G51*Simulations!$H51*IF(Simulations!$I51&gt;0,Simulations!$I51,1))*Simulations!$AV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V51/Simulations!$J51)^1.5+SQRT(LN(Simulations!$AV51/Simulations!$J51))+Simulations!$AV51/Simulations!$J51*SQRT(PI())/2*ERFC(SQRT(LN(Simulations!$AV51/Simulations!$J51)))),PI()*Simulations!$T51^2/2*(LN(Simulations!$AV51/Simulations!$J51)+1))))</f>
        <v>0</v>
      </c>
      <c r="K51" s="0" t="n">
        <f aca="false">IF(NOT(AND(Simulations!$A51&lt;&gt;"",OR(Simulations!$AQ51&lt;&gt;"",N(Simulations!$AS51)&gt;0))),0,MAX(N(Simulations!$AT51),N(Simulations!$AU51),N(Simulations!$AV51))/Simulations!$J51)</f>
        <v>0</v>
      </c>
      <c r="L51" s="0" t="n">
        <f aca="false">IF(OR(NOT(AND(Simulations!$A51&lt;&gt;"",OR(Simulations!$AQ51&lt;&gt;"",N(Simulations!$AS51)&gt;0))),N(Simulations!$AR51)&lt;=0),0,SQRT(2*Simulations!$AR51*1000000/(Simulations!$J51*1000))/Simulations!$T51)</f>
        <v>0</v>
      </c>
      <c r="M51" s="0" t="n">
        <f aca="false">IF(AND(Simulations!$A51&lt;&gt;"",OR(Simulations!$AQ51&lt;&gt;"",N(Simulations!$AS51)&gt;0)),1,0)</f>
        <v>0</v>
      </c>
      <c r="N51" s="0" t="n">
        <f aca="false">IF(OR(NOT(AND(Simulations!$A51&lt;&gt;"",OR(Simulations!$BI51&lt;&gt;"",N(Simulations!$BK51)&gt;0))),N(Simulations!$BL51)&lt;=0,N(Simulations!$BK51)&lt;=0,1&gt;N(Simulations!$O51)),0,IF(Simulations!$BL51&lt;Simulations!$J51,Simulations!$BK51/(Simulations!$G51*Simulations!$H51*IF(Simulations!$I51&gt;0,Simulations!$I51,1))*Simulations!$BL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L51/Simulations!$J51)^1.5+SQRT(LN(Simulations!$BL51/Simulations!$J51))+Simulations!$BL51/Simulations!$J51*SQRT(PI())/2*ERFC(SQRT(LN(Simulations!$BL51/Simulations!$J51)))),PI()*Simulations!$T51^2/2*(LN(Simulations!$BL51/Simulations!$J51)+1))))</f>
        <v>0</v>
      </c>
      <c r="O51" s="0" t="n">
        <f aca="false">IF(OR(NOT(AND(Simulations!$A51&lt;&gt;"",OR(Simulations!$BI51&lt;&gt;"",N(Simulations!$BK51)&gt;0))),N(Simulations!$BM51)&lt;=0,N(Simulations!$BK51)&lt;=0,2&gt;N(Simulations!$O51)),0,IF(Simulations!$BM51&lt;Simulations!$J51,Simulations!$BK51/(Simulations!$G51*Simulations!$H51*IF(Simulations!$I51&gt;0,Simulations!$I51,1))*Simulations!$BM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M51/Simulations!$J51)^1.5+SQRT(LN(Simulations!$BM51/Simulations!$J51))+Simulations!$BM51/Simulations!$J51*SQRT(PI())/2*ERFC(SQRT(LN(Simulations!$BM51/Simulations!$J51)))),PI()*Simulations!$T51^2/2*(LN(Simulations!$BM51/Simulations!$J51)+1))))</f>
        <v>0</v>
      </c>
      <c r="P51" s="0" t="n">
        <f aca="false">IF(OR(NOT(AND(Simulations!$A51&lt;&gt;"",OR(Simulations!$BI51&lt;&gt;"",N(Simulations!$BK51)&gt;0))),N(Simulations!$BN51)&lt;=0,N(Simulations!$BK51)&lt;=0,3&gt;N(Simulations!$O51)),0,IF(Simulations!$BN51&lt;Simulations!$J51,Simulations!$BK51/(Simulations!$G51*Simulations!$H51*IF(Simulations!$I51&gt;0,Simulations!$I51,1))*Simulations!$BN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N51/Simulations!$J51)^1.5+SQRT(LN(Simulations!$BN51/Simulations!$J51))+Simulations!$BN51/Simulations!$J51*SQRT(PI())/2*ERFC(SQRT(LN(Simulations!$BN51/Simulations!$J51)))),PI()*Simulations!$T51^2/2*(LN(Simulations!$BN51/Simulations!$J51)+1))))</f>
        <v>0</v>
      </c>
      <c r="Q51" s="0" t="n">
        <f aca="false">IF(NOT(AND(Simulations!$A51&lt;&gt;"",OR(Simulations!$BI51&lt;&gt;"",N(Simulations!$BK51)&gt;0))),0,MAX(N(Simulations!$BL51),N(Simulations!$BM51),N(Simulations!$BN51))/Simulations!$J51)</f>
        <v>0</v>
      </c>
      <c r="R51" s="0" t="n">
        <f aca="false">IF(OR(NOT(AND(Simulations!$A51&lt;&gt;"",OR(Simulations!$BI51&lt;&gt;"",N(Simulations!$BK51)&gt;0))),N(Simulations!$BJ51)&lt;=0),0,SQRT(2*Simulations!$BJ51*1000000/(Simulations!$J51*1000))/Simulations!$T51)</f>
        <v>0</v>
      </c>
      <c r="S51" s="0" t="n">
        <f aca="false">IF(AND(Simulations!$A51&lt;&gt;"",OR(Simulations!$BI51&lt;&gt;"",N(Simulations!$BK51)&gt;0)),1,0)</f>
        <v>0</v>
      </c>
      <c r="T51" s="0" t="n">
        <f aca="false">IF(OR(NOT(AND(Simulations!$A51&lt;&gt;"",OR(Simulations!$CA51&lt;&gt;"",N(Simulations!$CC51)&gt;0))),N(Simulations!$CD51)&lt;=0,N(Simulations!$CC51)&lt;=0,1&gt;N(Simulations!$O51)),0,IF(Simulations!$CD51&lt;Simulations!$J51,Simulations!$CC51/(Simulations!$G51*Simulations!$H51*IF(Simulations!$I51&gt;0,Simulations!$I51,1))*Simulations!$CD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D51/Simulations!$J51)^1.5+SQRT(LN(Simulations!$CD51/Simulations!$J51))+Simulations!$CD51/Simulations!$J51*SQRT(PI())/2*ERFC(SQRT(LN(Simulations!$CD51/Simulations!$J51)))),PI()*Simulations!$T51^2/2*(LN(Simulations!$CD51/Simulations!$J51)+1))))</f>
        <v>0</v>
      </c>
      <c r="U51" s="0" t="n">
        <f aca="false">IF(OR(NOT(AND(Simulations!$A51&lt;&gt;"",OR(Simulations!$CA51&lt;&gt;"",N(Simulations!$CC51)&gt;0))),N(Simulations!$CE51)&lt;=0,N(Simulations!$CC51)&lt;=0,2&gt;N(Simulations!$O51)),0,IF(Simulations!$CE51&lt;Simulations!$J51,Simulations!$CC51/(Simulations!$G51*Simulations!$H51*IF(Simulations!$I51&gt;0,Simulations!$I51,1))*Simulations!$CE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E51/Simulations!$J51)^1.5+SQRT(LN(Simulations!$CE51/Simulations!$J51))+Simulations!$CE51/Simulations!$J51*SQRT(PI())/2*ERFC(SQRT(LN(Simulations!$CE51/Simulations!$J51)))),PI()*Simulations!$T51^2/2*(LN(Simulations!$CE51/Simulations!$J51)+1))))</f>
        <v>0</v>
      </c>
      <c r="V51" s="0" t="n">
        <f aca="false">IF(OR(NOT(AND(Simulations!$A51&lt;&gt;"",OR(Simulations!$CA51&lt;&gt;"",N(Simulations!$CC51)&gt;0))),N(Simulations!$CF51)&lt;=0,N(Simulations!$CC51)&lt;=0,3&gt;N(Simulations!$O51)),0,IF(Simulations!$CF51&lt;Simulations!$J51,Simulations!$CC51/(Simulations!$G51*Simulations!$H51*IF(Simulations!$I51&gt;0,Simulations!$I51,1))*Simulations!$CF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F51/Simulations!$J51)^1.5+SQRT(LN(Simulations!$CF51/Simulations!$J51))+Simulations!$CF51/Simulations!$J51*SQRT(PI())/2*ERFC(SQRT(LN(Simulations!$CF51/Simulations!$J51)))),PI()*Simulations!$T51^2/2*(LN(Simulations!$CF51/Simulations!$J51)+1))))</f>
        <v>0</v>
      </c>
      <c r="W51" s="0" t="n">
        <f aca="false">IF(NOT(AND(Simulations!$A51&lt;&gt;"",OR(Simulations!$CA51&lt;&gt;"",N(Simulations!$CC51)&gt;0))),0,MAX(N(Simulations!$CD51),N(Simulations!$CE51),N(Simulations!$CF51))/Simulations!$J51)</f>
        <v>0</v>
      </c>
      <c r="X51" s="0" t="n">
        <f aca="false">IF(OR(NOT(AND(Simulations!$A51&lt;&gt;"",OR(Simulations!$CA51&lt;&gt;"",N(Simulations!$CC51)&gt;0))),N(Simulations!$CB51)&lt;=0),0,SQRT(2*Simulations!$CB51*1000000/(Simulations!$J51*1000))/Simulations!$T51)</f>
        <v>0</v>
      </c>
      <c r="Y51" s="0" t="n">
        <f aca="false">IF(AND(Simulations!$A51&lt;&gt;"",OR(Simulations!$CA51&lt;&gt;"",N(Simulations!$CC51)&gt;0)),1,0)</f>
        <v>0</v>
      </c>
      <c r="Z51" s="0" t="n">
        <f aca="false">IF(OR(NOT(AND(Simulations!$A51&lt;&gt;"",OR(Simulations!$CS51&lt;&gt;"",N(Simulations!$CU51)&gt;0))),N(Simulations!$CV51)&lt;=0,N(Simulations!$CU51)&lt;=0,1&gt;N(Simulations!$O51)),0,IF(Simulations!$CV51&lt;Simulations!$J51,Simulations!$CU51/(Simulations!$G51*Simulations!$H51*IF(Simulations!$I51&gt;0,Simulations!$I51,1))*Simulations!$CV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V51/Simulations!$J51)^1.5+SQRT(LN(Simulations!$CV51/Simulations!$J51))+Simulations!$CV51/Simulations!$J51*SQRT(PI())/2*ERFC(SQRT(LN(Simulations!$CV51/Simulations!$J51)))),PI()*Simulations!$T51^2/2*(LN(Simulations!$CV51/Simulations!$J51)+1))))</f>
        <v>0</v>
      </c>
      <c r="AA51" s="0" t="n">
        <f aca="false">IF(OR(NOT(AND(Simulations!$A51&lt;&gt;"",OR(Simulations!$CS51&lt;&gt;"",N(Simulations!$CU51)&gt;0))),N(Simulations!$CW51)&lt;=0,N(Simulations!$CU51)&lt;=0,2&gt;N(Simulations!$O51)),0,IF(Simulations!$CW51&lt;Simulations!$J51,Simulations!$CU51/(Simulations!$G51*Simulations!$H51*IF(Simulations!$I51&gt;0,Simulations!$I51,1))*Simulations!$CW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W51/Simulations!$J51)^1.5+SQRT(LN(Simulations!$CW51/Simulations!$J51))+Simulations!$CW51/Simulations!$J51*SQRT(PI())/2*ERFC(SQRT(LN(Simulations!$CW51/Simulations!$J51)))),PI()*Simulations!$T51^2/2*(LN(Simulations!$CW51/Simulations!$J51)+1))))</f>
        <v>0</v>
      </c>
      <c r="AB51" s="0" t="n">
        <f aca="false">IF(OR(NOT(AND(Simulations!$A51&lt;&gt;"",OR(Simulations!$CS51&lt;&gt;"",N(Simulations!$CU51)&gt;0))),N(Simulations!$CX51)&lt;=0,N(Simulations!$CU51)&lt;=0,3&gt;N(Simulations!$O51)),0,IF(Simulations!$CX51&lt;Simulations!$J51,Simulations!$CU51/(Simulations!$G51*Simulations!$H51*IF(Simulations!$I51&gt;0,Simulations!$I51,1))*Simulations!$CX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X51/Simulations!$J51)^1.5+SQRT(LN(Simulations!$CX51/Simulations!$J51))+Simulations!$CX51/Simulations!$J51*SQRT(PI())/2*ERFC(SQRT(LN(Simulations!$CX51/Simulations!$J51)))),PI()*Simulations!$T51^2/2*(LN(Simulations!$CX51/Simulations!$J51)+1))))</f>
        <v>0</v>
      </c>
      <c r="AC51" s="0" t="n">
        <f aca="false">IF(NOT(AND(Simulations!$A51&lt;&gt;"",OR(Simulations!$CS51&lt;&gt;"",N(Simulations!$CU51)&gt;0))),0,MAX(N(Simulations!$CV51),N(Simulations!$CW51),N(Simulations!$CX51))/Simulations!$J51)</f>
        <v>0</v>
      </c>
      <c r="AD51" s="0" t="n">
        <f aca="false">IF(OR(NOT(AND(Simulations!$A51&lt;&gt;"",OR(Simulations!$CS51&lt;&gt;"",N(Simulations!$CU51)&gt;0))),N(Simulations!$CT51)&lt;=0),0,SQRT(2*Simulations!$CT51*1000000/(Simulations!$J51*1000))/Simulations!$T51)</f>
        <v>0</v>
      </c>
      <c r="AE51" s="0" t="n">
        <f aca="false">IF(AND(Simulations!$A51&lt;&gt;"",OR(Simulations!$CS51&lt;&gt;"",N(Simulations!$CU51)&gt;0)),1,0)</f>
        <v>0</v>
      </c>
      <c r="AF51" s="0" t="n">
        <f aca="false">IF(OR(NOT(AND(Simulations!$A51&lt;&gt;"",OR(Simulations!$DK51&lt;&gt;"",N(Simulations!$DM51)&gt;0))),N(Simulations!$DN51)&lt;=0,N(Simulations!$DM51)&lt;=0,1&gt;N(Simulations!$O51)),0,IF(Simulations!$DN51&lt;Simulations!$J51,Simulations!$DM51/(Simulations!$G51*Simulations!$H51*IF(Simulations!$I51&gt;0,Simulations!$I51,1))*Simulations!$DN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N51/Simulations!$J51)^1.5+SQRT(LN(Simulations!$DN51/Simulations!$J51))+Simulations!$DN51/Simulations!$J51*SQRT(PI())/2*ERFC(SQRT(LN(Simulations!$DN51/Simulations!$J51)))),PI()*Simulations!$T51^2/2*(LN(Simulations!$DN51/Simulations!$J51)+1))))</f>
        <v>0</v>
      </c>
      <c r="AG51" s="0" t="n">
        <f aca="false">IF(OR(NOT(AND(Simulations!$A51&lt;&gt;"",OR(Simulations!$DK51&lt;&gt;"",N(Simulations!$DM51)&gt;0))),N(Simulations!$DO51)&lt;=0,N(Simulations!$DM51)&lt;=0,2&gt;N(Simulations!$O51)),0,IF(Simulations!$DO51&lt;Simulations!$J51,Simulations!$DM51/(Simulations!$G51*Simulations!$H51*IF(Simulations!$I51&gt;0,Simulations!$I51,1))*Simulations!$DO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O51/Simulations!$J51)^1.5+SQRT(LN(Simulations!$DO51/Simulations!$J51))+Simulations!$DO51/Simulations!$J51*SQRT(PI())/2*ERFC(SQRT(LN(Simulations!$DO51/Simulations!$J51)))),PI()*Simulations!$T51^2/2*(LN(Simulations!$DO51/Simulations!$J51)+1))))</f>
        <v>0</v>
      </c>
      <c r="AH51" s="0" t="n">
        <f aca="false">IF(OR(NOT(AND(Simulations!$A51&lt;&gt;"",OR(Simulations!$DK51&lt;&gt;"",N(Simulations!$DM51)&gt;0))),N(Simulations!$DP51)&lt;=0,N(Simulations!$DM51)&lt;=0,3&gt;N(Simulations!$O51)),0,IF(Simulations!$DP51&lt;Simulations!$J51,Simulations!$DM51/(Simulations!$G51*Simulations!$H51*IF(Simulations!$I51&gt;0,Simulations!$I51,1))*Simulations!$DP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P51/Simulations!$J51)^1.5+SQRT(LN(Simulations!$DP51/Simulations!$J51))+Simulations!$DP51/Simulations!$J51*SQRT(PI())/2*ERFC(SQRT(LN(Simulations!$DP51/Simulations!$J51)))),PI()*Simulations!$T51^2/2*(LN(Simulations!$DP51/Simulations!$J51)+1))))</f>
        <v>0</v>
      </c>
      <c r="AI51" s="0" t="n">
        <f aca="false">IF(NOT(AND(Simulations!$A51&lt;&gt;"",OR(Simulations!$DK51&lt;&gt;"",N(Simulations!$DM51)&gt;0))),0,MAX(N(Simulations!$DN51),N(Simulations!$DO51),N(Simulations!$DP51))/Simulations!$J51)</f>
        <v>0</v>
      </c>
      <c r="AJ51" s="0" t="n">
        <f aca="false">IF(OR(NOT(AND(Simulations!$A51&lt;&gt;"",OR(Simulations!$DK51&lt;&gt;"",N(Simulations!$DM51)&gt;0))),N(Simulations!$DL51)&lt;=0),0,SQRT(2*Simulations!$DL51*1000000/(Simulations!$J51*1000))/Simulations!$T51)</f>
        <v>0</v>
      </c>
      <c r="AK51" s="0" t="n">
        <f aca="false">IF(AND(Simulations!$A51&lt;&gt;"",OR(Simulations!$DK51&lt;&gt;"",N(Simulations!$DM51)&gt;0)),1,0)</f>
        <v>0</v>
      </c>
    </row>
    <row r="52" customFormat="false" ht="15" hidden="false" customHeight="false" outlineLevel="0" collapsed="false">
      <c r="B52" s="0" t="n">
        <f aca="false">IF(OR(NOT(AND(Simulations!$A52&lt;&gt;"",OR(Simulations!$Y52&lt;&gt;"",N(Simulations!$AA52)&gt;0))),N(Simulations!$AB52)&lt;=0,N(Simulations!$AA52)&lt;=0,1&gt;N(Simulations!$O52)),0,IF(Simulations!$AB52&lt;Simulations!$J52,Simulations!$AA52/(Simulations!$G52*Simulations!$H52*IF(Simulations!$I52&gt;0,Simulations!$I52,1))*Simulations!$AB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B52/Simulations!$J52)^1.5+SQRT(LN(Simulations!$AB52/Simulations!$J52))+Simulations!$AB52/Simulations!$J52*SQRT(PI())/2*ERFC(SQRT(LN(Simulations!$AB52/Simulations!$J52)))),PI()*Simulations!$T52^2/2*(LN(Simulations!$AB52/Simulations!$J52)+1))))</f>
        <v>0</v>
      </c>
      <c r="C52" s="0" t="n">
        <f aca="false">IF(OR(NOT(AND(Simulations!$A52&lt;&gt;"",OR(Simulations!$Y52&lt;&gt;"",N(Simulations!$AA52)&gt;0))),N(Simulations!$AC52)&lt;=0,N(Simulations!$AA52)&lt;=0,2&gt;N(Simulations!$O52)),0,IF(Simulations!$AC52&lt;Simulations!$J52,Simulations!$AA52/(Simulations!$G52*Simulations!$H52*IF(Simulations!$I52&gt;0,Simulations!$I52,1))*Simulations!$AC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C52/Simulations!$J52)^1.5+SQRT(LN(Simulations!$AC52/Simulations!$J52))+Simulations!$AC52/Simulations!$J52*SQRT(PI())/2*ERFC(SQRT(LN(Simulations!$AC52/Simulations!$J52)))),PI()*Simulations!$T52^2/2*(LN(Simulations!$AC52/Simulations!$J52)+1))))</f>
        <v>0</v>
      </c>
      <c r="D52" s="0" t="n">
        <f aca="false">IF(OR(NOT(AND(Simulations!$A52&lt;&gt;"",OR(Simulations!$Y52&lt;&gt;"",N(Simulations!$AA52)&gt;0))),N(Simulations!$AD52)&lt;=0,N(Simulations!$AA52)&lt;=0,3&gt;N(Simulations!$O52)),0,IF(Simulations!$AD52&lt;Simulations!$J52,Simulations!$AA52/(Simulations!$G52*Simulations!$H52*IF(Simulations!$I52&gt;0,Simulations!$I52,1))*Simulations!$AD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D52/Simulations!$J52)^1.5+SQRT(LN(Simulations!$AD52/Simulations!$J52))+Simulations!$AD52/Simulations!$J52*SQRT(PI())/2*ERFC(SQRT(LN(Simulations!$AD52/Simulations!$J52)))),PI()*Simulations!$T52^2/2*(LN(Simulations!$AD52/Simulations!$J52)+1))))</f>
        <v>0</v>
      </c>
      <c r="E52" s="0" t="n">
        <f aca="false">IF(NOT(AND(Simulations!$A52&lt;&gt;"",OR(Simulations!$Y52&lt;&gt;"",N(Simulations!$AA52)&gt;0))),0,MAX(N(Simulations!$AB52),N(Simulations!$AC52),N(Simulations!$AD52))/Simulations!$J52)</f>
        <v>0</v>
      </c>
      <c r="F52" s="0" t="n">
        <f aca="false">IF(OR(NOT(AND(Simulations!$A52&lt;&gt;"",OR(Simulations!$Y52&lt;&gt;"",N(Simulations!$AA52)&gt;0))),N(Simulations!$Z52)&lt;=0),0,SQRT(2*Simulations!$Z52*1000000/(Simulations!$J52*1000))/Simulations!$T52)</f>
        <v>0</v>
      </c>
      <c r="G52" s="0" t="n">
        <f aca="false">IF(AND(Simulations!$A52&lt;&gt;"",OR(Simulations!$Y52&lt;&gt;"",N(Simulations!$AA52)&gt;0)),1,0)</f>
        <v>0</v>
      </c>
      <c r="H52" s="0" t="n">
        <f aca="false">IF(OR(NOT(AND(Simulations!$A52&lt;&gt;"",OR(Simulations!$AQ52&lt;&gt;"",N(Simulations!$AS52)&gt;0))),N(Simulations!$AT52)&lt;=0,N(Simulations!$AS52)&lt;=0,1&gt;N(Simulations!$O52)),0,IF(Simulations!$AT52&lt;Simulations!$J52,Simulations!$AS52/(Simulations!$G52*Simulations!$H52*IF(Simulations!$I52&gt;0,Simulations!$I52,1))*Simulations!$AT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T52/Simulations!$J52)^1.5+SQRT(LN(Simulations!$AT52/Simulations!$J52))+Simulations!$AT52/Simulations!$J52*SQRT(PI())/2*ERFC(SQRT(LN(Simulations!$AT52/Simulations!$J52)))),PI()*Simulations!$T52^2/2*(LN(Simulations!$AT52/Simulations!$J52)+1))))</f>
        <v>0</v>
      </c>
      <c r="I52" s="0" t="n">
        <f aca="false">IF(OR(NOT(AND(Simulations!$A52&lt;&gt;"",OR(Simulations!$AQ52&lt;&gt;"",N(Simulations!$AS52)&gt;0))),N(Simulations!$AU52)&lt;=0,N(Simulations!$AS52)&lt;=0,2&gt;N(Simulations!$O52)),0,IF(Simulations!$AU52&lt;Simulations!$J52,Simulations!$AS52/(Simulations!$G52*Simulations!$H52*IF(Simulations!$I52&gt;0,Simulations!$I52,1))*Simulations!$AU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U52/Simulations!$J52)^1.5+SQRT(LN(Simulations!$AU52/Simulations!$J52))+Simulations!$AU52/Simulations!$J52*SQRT(PI())/2*ERFC(SQRT(LN(Simulations!$AU52/Simulations!$J52)))),PI()*Simulations!$T52^2/2*(LN(Simulations!$AU52/Simulations!$J52)+1))))</f>
        <v>0</v>
      </c>
      <c r="J52" s="0" t="n">
        <f aca="false">IF(OR(NOT(AND(Simulations!$A52&lt;&gt;"",OR(Simulations!$AQ52&lt;&gt;"",N(Simulations!$AS52)&gt;0))),N(Simulations!$AV52)&lt;=0,N(Simulations!$AS52)&lt;=0,3&gt;N(Simulations!$O52)),0,IF(Simulations!$AV52&lt;Simulations!$J52,Simulations!$AS52/(Simulations!$G52*Simulations!$H52*IF(Simulations!$I52&gt;0,Simulations!$I52,1))*Simulations!$AV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V52/Simulations!$J52)^1.5+SQRT(LN(Simulations!$AV52/Simulations!$J52))+Simulations!$AV52/Simulations!$J52*SQRT(PI())/2*ERFC(SQRT(LN(Simulations!$AV52/Simulations!$J52)))),PI()*Simulations!$T52^2/2*(LN(Simulations!$AV52/Simulations!$J52)+1))))</f>
        <v>0</v>
      </c>
      <c r="K52" s="0" t="n">
        <f aca="false">IF(NOT(AND(Simulations!$A52&lt;&gt;"",OR(Simulations!$AQ52&lt;&gt;"",N(Simulations!$AS52)&gt;0))),0,MAX(N(Simulations!$AT52),N(Simulations!$AU52),N(Simulations!$AV52))/Simulations!$J52)</f>
        <v>0</v>
      </c>
      <c r="L52" s="0" t="n">
        <f aca="false">IF(OR(NOT(AND(Simulations!$A52&lt;&gt;"",OR(Simulations!$AQ52&lt;&gt;"",N(Simulations!$AS52)&gt;0))),N(Simulations!$AR52)&lt;=0),0,SQRT(2*Simulations!$AR52*1000000/(Simulations!$J52*1000))/Simulations!$T52)</f>
        <v>0</v>
      </c>
      <c r="M52" s="0" t="n">
        <f aca="false">IF(AND(Simulations!$A52&lt;&gt;"",OR(Simulations!$AQ52&lt;&gt;"",N(Simulations!$AS52)&gt;0)),1,0)</f>
        <v>0</v>
      </c>
      <c r="N52" s="0" t="n">
        <f aca="false">IF(OR(NOT(AND(Simulations!$A52&lt;&gt;"",OR(Simulations!$BI52&lt;&gt;"",N(Simulations!$BK52)&gt;0))),N(Simulations!$BL52)&lt;=0,N(Simulations!$BK52)&lt;=0,1&gt;N(Simulations!$O52)),0,IF(Simulations!$BL52&lt;Simulations!$J52,Simulations!$BK52/(Simulations!$G52*Simulations!$H52*IF(Simulations!$I52&gt;0,Simulations!$I52,1))*Simulations!$BL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L52/Simulations!$J52)^1.5+SQRT(LN(Simulations!$BL52/Simulations!$J52))+Simulations!$BL52/Simulations!$J52*SQRT(PI())/2*ERFC(SQRT(LN(Simulations!$BL52/Simulations!$J52)))),PI()*Simulations!$T52^2/2*(LN(Simulations!$BL52/Simulations!$J52)+1))))</f>
        <v>0</v>
      </c>
      <c r="O52" s="0" t="n">
        <f aca="false">IF(OR(NOT(AND(Simulations!$A52&lt;&gt;"",OR(Simulations!$BI52&lt;&gt;"",N(Simulations!$BK52)&gt;0))),N(Simulations!$BM52)&lt;=0,N(Simulations!$BK52)&lt;=0,2&gt;N(Simulations!$O52)),0,IF(Simulations!$BM52&lt;Simulations!$J52,Simulations!$BK52/(Simulations!$G52*Simulations!$H52*IF(Simulations!$I52&gt;0,Simulations!$I52,1))*Simulations!$BM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M52/Simulations!$J52)^1.5+SQRT(LN(Simulations!$BM52/Simulations!$J52))+Simulations!$BM52/Simulations!$J52*SQRT(PI())/2*ERFC(SQRT(LN(Simulations!$BM52/Simulations!$J52)))),PI()*Simulations!$T52^2/2*(LN(Simulations!$BM52/Simulations!$J52)+1))))</f>
        <v>0</v>
      </c>
      <c r="P52" s="0" t="n">
        <f aca="false">IF(OR(NOT(AND(Simulations!$A52&lt;&gt;"",OR(Simulations!$BI52&lt;&gt;"",N(Simulations!$BK52)&gt;0))),N(Simulations!$BN52)&lt;=0,N(Simulations!$BK52)&lt;=0,3&gt;N(Simulations!$O52)),0,IF(Simulations!$BN52&lt;Simulations!$J52,Simulations!$BK52/(Simulations!$G52*Simulations!$H52*IF(Simulations!$I52&gt;0,Simulations!$I52,1))*Simulations!$BN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N52/Simulations!$J52)^1.5+SQRT(LN(Simulations!$BN52/Simulations!$J52))+Simulations!$BN52/Simulations!$J52*SQRT(PI())/2*ERFC(SQRT(LN(Simulations!$BN52/Simulations!$J52)))),PI()*Simulations!$T52^2/2*(LN(Simulations!$BN52/Simulations!$J52)+1))))</f>
        <v>0</v>
      </c>
      <c r="Q52" s="0" t="n">
        <f aca="false">IF(NOT(AND(Simulations!$A52&lt;&gt;"",OR(Simulations!$BI52&lt;&gt;"",N(Simulations!$BK52)&gt;0))),0,MAX(N(Simulations!$BL52),N(Simulations!$BM52),N(Simulations!$BN52))/Simulations!$J52)</f>
        <v>0</v>
      </c>
      <c r="R52" s="0" t="n">
        <f aca="false">IF(OR(NOT(AND(Simulations!$A52&lt;&gt;"",OR(Simulations!$BI52&lt;&gt;"",N(Simulations!$BK52)&gt;0))),N(Simulations!$BJ52)&lt;=0),0,SQRT(2*Simulations!$BJ52*1000000/(Simulations!$J52*1000))/Simulations!$T52)</f>
        <v>0</v>
      </c>
      <c r="S52" s="0" t="n">
        <f aca="false">IF(AND(Simulations!$A52&lt;&gt;"",OR(Simulations!$BI52&lt;&gt;"",N(Simulations!$BK52)&gt;0)),1,0)</f>
        <v>0</v>
      </c>
      <c r="T52" s="0" t="n">
        <f aca="false">IF(OR(NOT(AND(Simulations!$A52&lt;&gt;"",OR(Simulations!$CA52&lt;&gt;"",N(Simulations!$CC52)&gt;0))),N(Simulations!$CD52)&lt;=0,N(Simulations!$CC52)&lt;=0,1&gt;N(Simulations!$O52)),0,IF(Simulations!$CD52&lt;Simulations!$J52,Simulations!$CC52/(Simulations!$G52*Simulations!$H52*IF(Simulations!$I52&gt;0,Simulations!$I52,1))*Simulations!$CD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D52/Simulations!$J52)^1.5+SQRT(LN(Simulations!$CD52/Simulations!$J52))+Simulations!$CD52/Simulations!$J52*SQRT(PI())/2*ERFC(SQRT(LN(Simulations!$CD52/Simulations!$J52)))),PI()*Simulations!$T52^2/2*(LN(Simulations!$CD52/Simulations!$J52)+1))))</f>
        <v>0</v>
      </c>
      <c r="U52" s="0" t="n">
        <f aca="false">IF(OR(NOT(AND(Simulations!$A52&lt;&gt;"",OR(Simulations!$CA52&lt;&gt;"",N(Simulations!$CC52)&gt;0))),N(Simulations!$CE52)&lt;=0,N(Simulations!$CC52)&lt;=0,2&gt;N(Simulations!$O52)),0,IF(Simulations!$CE52&lt;Simulations!$J52,Simulations!$CC52/(Simulations!$G52*Simulations!$H52*IF(Simulations!$I52&gt;0,Simulations!$I52,1))*Simulations!$CE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E52/Simulations!$J52)^1.5+SQRT(LN(Simulations!$CE52/Simulations!$J52))+Simulations!$CE52/Simulations!$J52*SQRT(PI())/2*ERFC(SQRT(LN(Simulations!$CE52/Simulations!$J52)))),PI()*Simulations!$T52^2/2*(LN(Simulations!$CE52/Simulations!$J52)+1))))</f>
        <v>0</v>
      </c>
      <c r="V52" s="0" t="n">
        <f aca="false">IF(OR(NOT(AND(Simulations!$A52&lt;&gt;"",OR(Simulations!$CA52&lt;&gt;"",N(Simulations!$CC52)&gt;0))),N(Simulations!$CF52)&lt;=0,N(Simulations!$CC52)&lt;=0,3&gt;N(Simulations!$O52)),0,IF(Simulations!$CF52&lt;Simulations!$J52,Simulations!$CC52/(Simulations!$G52*Simulations!$H52*IF(Simulations!$I52&gt;0,Simulations!$I52,1))*Simulations!$CF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F52/Simulations!$J52)^1.5+SQRT(LN(Simulations!$CF52/Simulations!$J52))+Simulations!$CF52/Simulations!$J52*SQRT(PI())/2*ERFC(SQRT(LN(Simulations!$CF52/Simulations!$J52)))),PI()*Simulations!$T52^2/2*(LN(Simulations!$CF52/Simulations!$J52)+1))))</f>
        <v>0</v>
      </c>
      <c r="W52" s="0" t="n">
        <f aca="false">IF(NOT(AND(Simulations!$A52&lt;&gt;"",OR(Simulations!$CA52&lt;&gt;"",N(Simulations!$CC52)&gt;0))),0,MAX(N(Simulations!$CD52),N(Simulations!$CE52),N(Simulations!$CF52))/Simulations!$J52)</f>
        <v>0</v>
      </c>
      <c r="X52" s="0" t="n">
        <f aca="false">IF(OR(NOT(AND(Simulations!$A52&lt;&gt;"",OR(Simulations!$CA52&lt;&gt;"",N(Simulations!$CC52)&gt;0))),N(Simulations!$CB52)&lt;=0),0,SQRT(2*Simulations!$CB52*1000000/(Simulations!$J52*1000))/Simulations!$T52)</f>
        <v>0</v>
      </c>
      <c r="Y52" s="0" t="n">
        <f aca="false">IF(AND(Simulations!$A52&lt;&gt;"",OR(Simulations!$CA52&lt;&gt;"",N(Simulations!$CC52)&gt;0)),1,0)</f>
        <v>0</v>
      </c>
      <c r="Z52" s="0" t="n">
        <f aca="false">IF(OR(NOT(AND(Simulations!$A52&lt;&gt;"",OR(Simulations!$CS52&lt;&gt;"",N(Simulations!$CU52)&gt;0))),N(Simulations!$CV52)&lt;=0,N(Simulations!$CU52)&lt;=0,1&gt;N(Simulations!$O52)),0,IF(Simulations!$CV52&lt;Simulations!$J52,Simulations!$CU52/(Simulations!$G52*Simulations!$H52*IF(Simulations!$I52&gt;0,Simulations!$I52,1))*Simulations!$CV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V52/Simulations!$J52)^1.5+SQRT(LN(Simulations!$CV52/Simulations!$J52))+Simulations!$CV52/Simulations!$J52*SQRT(PI())/2*ERFC(SQRT(LN(Simulations!$CV52/Simulations!$J52)))),PI()*Simulations!$T52^2/2*(LN(Simulations!$CV52/Simulations!$J52)+1))))</f>
        <v>0</v>
      </c>
      <c r="AA52" s="0" t="n">
        <f aca="false">IF(OR(NOT(AND(Simulations!$A52&lt;&gt;"",OR(Simulations!$CS52&lt;&gt;"",N(Simulations!$CU52)&gt;0))),N(Simulations!$CW52)&lt;=0,N(Simulations!$CU52)&lt;=0,2&gt;N(Simulations!$O52)),0,IF(Simulations!$CW52&lt;Simulations!$J52,Simulations!$CU52/(Simulations!$G52*Simulations!$H52*IF(Simulations!$I52&gt;0,Simulations!$I52,1))*Simulations!$CW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W52/Simulations!$J52)^1.5+SQRT(LN(Simulations!$CW52/Simulations!$J52))+Simulations!$CW52/Simulations!$J52*SQRT(PI())/2*ERFC(SQRT(LN(Simulations!$CW52/Simulations!$J52)))),PI()*Simulations!$T52^2/2*(LN(Simulations!$CW52/Simulations!$J52)+1))))</f>
        <v>0</v>
      </c>
      <c r="AB52" s="0" t="n">
        <f aca="false">IF(OR(NOT(AND(Simulations!$A52&lt;&gt;"",OR(Simulations!$CS52&lt;&gt;"",N(Simulations!$CU52)&gt;0))),N(Simulations!$CX52)&lt;=0,N(Simulations!$CU52)&lt;=0,3&gt;N(Simulations!$O52)),0,IF(Simulations!$CX52&lt;Simulations!$J52,Simulations!$CU52/(Simulations!$G52*Simulations!$H52*IF(Simulations!$I52&gt;0,Simulations!$I52,1))*Simulations!$CX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X52/Simulations!$J52)^1.5+SQRT(LN(Simulations!$CX52/Simulations!$J52))+Simulations!$CX52/Simulations!$J52*SQRT(PI())/2*ERFC(SQRT(LN(Simulations!$CX52/Simulations!$J52)))),PI()*Simulations!$T52^2/2*(LN(Simulations!$CX52/Simulations!$J52)+1))))</f>
        <v>0</v>
      </c>
      <c r="AC52" s="0" t="n">
        <f aca="false">IF(NOT(AND(Simulations!$A52&lt;&gt;"",OR(Simulations!$CS52&lt;&gt;"",N(Simulations!$CU52)&gt;0))),0,MAX(N(Simulations!$CV52),N(Simulations!$CW52),N(Simulations!$CX52))/Simulations!$J52)</f>
        <v>0</v>
      </c>
      <c r="AD52" s="0" t="n">
        <f aca="false">IF(OR(NOT(AND(Simulations!$A52&lt;&gt;"",OR(Simulations!$CS52&lt;&gt;"",N(Simulations!$CU52)&gt;0))),N(Simulations!$CT52)&lt;=0),0,SQRT(2*Simulations!$CT52*1000000/(Simulations!$J52*1000))/Simulations!$T52)</f>
        <v>0</v>
      </c>
      <c r="AE52" s="0" t="n">
        <f aca="false">IF(AND(Simulations!$A52&lt;&gt;"",OR(Simulations!$CS52&lt;&gt;"",N(Simulations!$CU52)&gt;0)),1,0)</f>
        <v>0</v>
      </c>
      <c r="AF52" s="0" t="n">
        <f aca="false">IF(OR(NOT(AND(Simulations!$A52&lt;&gt;"",OR(Simulations!$DK52&lt;&gt;"",N(Simulations!$DM52)&gt;0))),N(Simulations!$DN52)&lt;=0,N(Simulations!$DM52)&lt;=0,1&gt;N(Simulations!$O52)),0,IF(Simulations!$DN52&lt;Simulations!$J52,Simulations!$DM52/(Simulations!$G52*Simulations!$H52*IF(Simulations!$I52&gt;0,Simulations!$I52,1))*Simulations!$DN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N52/Simulations!$J52)^1.5+SQRT(LN(Simulations!$DN52/Simulations!$J52))+Simulations!$DN52/Simulations!$J52*SQRT(PI())/2*ERFC(SQRT(LN(Simulations!$DN52/Simulations!$J52)))),PI()*Simulations!$T52^2/2*(LN(Simulations!$DN52/Simulations!$J52)+1))))</f>
        <v>0</v>
      </c>
      <c r="AG52" s="0" t="n">
        <f aca="false">IF(OR(NOT(AND(Simulations!$A52&lt;&gt;"",OR(Simulations!$DK52&lt;&gt;"",N(Simulations!$DM52)&gt;0))),N(Simulations!$DO52)&lt;=0,N(Simulations!$DM52)&lt;=0,2&gt;N(Simulations!$O52)),0,IF(Simulations!$DO52&lt;Simulations!$J52,Simulations!$DM52/(Simulations!$G52*Simulations!$H52*IF(Simulations!$I52&gt;0,Simulations!$I52,1))*Simulations!$DO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O52/Simulations!$J52)^1.5+SQRT(LN(Simulations!$DO52/Simulations!$J52))+Simulations!$DO52/Simulations!$J52*SQRT(PI())/2*ERFC(SQRT(LN(Simulations!$DO52/Simulations!$J52)))),PI()*Simulations!$T52^2/2*(LN(Simulations!$DO52/Simulations!$J52)+1))))</f>
        <v>0</v>
      </c>
      <c r="AH52" s="0" t="n">
        <f aca="false">IF(OR(NOT(AND(Simulations!$A52&lt;&gt;"",OR(Simulations!$DK52&lt;&gt;"",N(Simulations!$DM52)&gt;0))),N(Simulations!$DP52)&lt;=0,N(Simulations!$DM52)&lt;=0,3&gt;N(Simulations!$O52)),0,IF(Simulations!$DP52&lt;Simulations!$J52,Simulations!$DM52/(Simulations!$G52*Simulations!$H52*IF(Simulations!$I52&gt;0,Simulations!$I52,1))*Simulations!$DP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P52/Simulations!$J52)^1.5+SQRT(LN(Simulations!$DP52/Simulations!$J52))+Simulations!$DP52/Simulations!$J52*SQRT(PI())/2*ERFC(SQRT(LN(Simulations!$DP52/Simulations!$J52)))),PI()*Simulations!$T52^2/2*(LN(Simulations!$DP52/Simulations!$J52)+1))))</f>
        <v>0</v>
      </c>
      <c r="AI52" s="0" t="n">
        <f aca="false">IF(NOT(AND(Simulations!$A52&lt;&gt;"",OR(Simulations!$DK52&lt;&gt;"",N(Simulations!$DM52)&gt;0))),0,MAX(N(Simulations!$DN52),N(Simulations!$DO52),N(Simulations!$DP52))/Simulations!$J52)</f>
        <v>0</v>
      </c>
      <c r="AJ52" s="0" t="n">
        <f aca="false">IF(OR(NOT(AND(Simulations!$A52&lt;&gt;"",OR(Simulations!$DK52&lt;&gt;"",N(Simulations!$DM52)&gt;0))),N(Simulations!$DL52)&lt;=0),0,SQRT(2*Simulations!$DL52*1000000/(Simulations!$J52*1000))/Simulations!$T52)</f>
        <v>0</v>
      </c>
      <c r="AK52" s="0" t="n">
        <f aca="false">IF(AND(Simulations!$A52&lt;&gt;"",OR(Simulations!$DK52&lt;&gt;"",N(Simulations!$DM52)&gt;0)),1,0)</f>
        <v>0</v>
      </c>
    </row>
    <row r="53" customFormat="false" ht="15" hidden="false" customHeight="false" outlineLevel="0" collapsed="false">
      <c r="B53" s="0" t="n">
        <f aca="false">IF(OR(NOT(AND(Simulations!$A53&lt;&gt;"",OR(Simulations!$Y53&lt;&gt;"",N(Simulations!$AA53)&gt;0))),N(Simulations!$AB53)&lt;=0,N(Simulations!$AA53)&lt;=0,1&gt;N(Simulations!$O53)),0,IF(Simulations!$AB53&lt;Simulations!$J53,Simulations!$AA53/(Simulations!$G53*Simulations!$H53*IF(Simulations!$I53&gt;0,Simulations!$I53,1))*Simulations!$AB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B53/Simulations!$J53)^1.5+SQRT(LN(Simulations!$AB53/Simulations!$J53))+Simulations!$AB53/Simulations!$J53*SQRT(PI())/2*ERFC(SQRT(LN(Simulations!$AB53/Simulations!$J53)))),PI()*Simulations!$T53^2/2*(LN(Simulations!$AB53/Simulations!$J53)+1))))</f>
        <v>0</v>
      </c>
      <c r="C53" s="0" t="n">
        <f aca="false">IF(OR(NOT(AND(Simulations!$A53&lt;&gt;"",OR(Simulations!$Y53&lt;&gt;"",N(Simulations!$AA53)&gt;0))),N(Simulations!$AC53)&lt;=0,N(Simulations!$AA53)&lt;=0,2&gt;N(Simulations!$O53)),0,IF(Simulations!$AC53&lt;Simulations!$J53,Simulations!$AA53/(Simulations!$G53*Simulations!$H53*IF(Simulations!$I53&gt;0,Simulations!$I53,1))*Simulations!$AC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C53/Simulations!$J53)^1.5+SQRT(LN(Simulations!$AC53/Simulations!$J53))+Simulations!$AC53/Simulations!$J53*SQRT(PI())/2*ERFC(SQRT(LN(Simulations!$AC53/Simulations!$J53)))),PI()*Simulations!$T53^2/2*(LN(Simulations!$AC53/Simulations!$J53)+1))))</f>
        <v>0</v>
      </c>
      <c r="D53" s="0" t="n">
        <f aca="false">IF(OR(NOT(AND(Simulations!$A53&lt;&gt;"",OR(Simulations!$Y53&lt;&gt;"",N(Simulations!$AA53)&gt;0))),N(Simulations!$AD53)&lt;=0,N(Simulations!$AA53)&lt;=0,3&gt;N(Simulations!$O53)),0,IF(Simulations!$AD53&lt;Simulations!$J53,Simulations!$AA53/(Simulations!$G53*Simulations!$H53*IF(Simulations!$I53&gt;0,Simulations!$I53,1))*Simulations!$AD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D53/Simulations!$J53)^1.5+SQRT(LN(Simulations!$AD53/Simulations!$J53))+Simulations!$AD53/Simulations!$J53*SQRT(PI())/2*ERFC(SQRT(LN(Simulations!$AD53/Simulations!$J53)))),PI()*Simulations!$T53^2/2*(LN(Simulations!$AD53/Simulations!$J53)+1))))</f>
        <v>0</v>
      </c>
      <c r="E53" s="0" t="n">
        <f aca="false">IF(NOT(AND(Simulations!$A53&lt;&gt;"",OR(Simulations!$Y53&lt;&gt;"",N(Simulations!$AA53)&gt;0))),0,MAX(N(Simulations!$AB53),N(Simulations!$AC53),N(Simulations!$AD53))/Simulations!$J53)</f>
        <v>0</v>
      </c>
      <c r="F53" s="0" t="n">
        <f aca="false">IF(OR(NOT(AND(Simulations!$A53&lt;&gt;"",OR(Simulations!$Y53&lt;&gt;"",N(Simulations!$AA53)&gt;0))),N(Simulations!$Z53)&lt;=0),0,SQRT(2*Simulations!$Z53*1000000/(Simulations!$J53*1000))/Simulations!$T53)</f>
        <v>0</v>
      </c>
      <c r="G53" s="0" t="n">
        <f aca="false">IF(AND(Simulations!$A53&lt;&gt;"",OR(Simulations!$Y53&lt;&gt;"",N(Simulations!$AA53)&gt;0)),1,0)</f>
        <v>0</v>
      </c>
      <c r="H53" s="0" t="n">
        <f aca="false">IF(OR(NOT(AND(Simulations!$A53&lt;&gt;"",OR(Simulations!$AQ53&lt;&gt;"",N(Simulations!$AS53)&gt;0))),N(Simulations!$AT53)&lt;=0,N(Simulations!$AS53)&lt;=0,1&gt;N(Simulations!$O53)),0,IF(Simulations!$AT53&lt;Simulations!$J53,Simulations!$AS53/(Simulations!$G53*Simulations!$H53*IF(Simulations!$I53&gt;0,Simulations!$I53,1))*Simulations!$AT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T53/Simulations!$J53)^1.5+SQRT(LN(Simulations!$AT53/Simulations!$J53))+Simulations!$AT53/Simulations!$J53*SQRT(PI())/2*ERFC(SQRT(LN(Simulations!$AT53/Simulations!$J53)))),PI()*Simulations!$T53^2/2*(LN(Simulations!$AT53/Simulations!$J53)+1))))</f>
        <v>0</v>
      </c>
      <c r="I53" s="0" t="n">
        <f aca="false">IF(OR(NOT(AND(Simulations!$A53&lt;&gt;"",OR(Simulations!$AQ53&lt;&gt;"",N(Simulations!$AS53)&gt;0))),N(Simulations!$AU53)&lt;=0,N(Simulations!$AS53)&lt;=0,2&gt;N(Simulations!$O53)),0,IF(Simulations!$AU53&lt;Simulations!$J53,Simulations!$AS53/(Simulations!$G53*Simulations!$H53*IF(Simulations!$I53&gt;0,Simulations!$I53,1))*Simulations!$AU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U53/Simulations!$J53)^1.5+SQRT(LN(Simulations!$AU53/Simulations!$J53))+Simulations!$AU53/Simulations!$J53*SQRT(PI())/2*ERFC(SQRT(LN(Simulations!$AU53/Simulations!$J53)))),PI()*Simulations!$T53^2/2*(LN(Simulations!$AU53/Simulations!$J53)+1))))</f>
        <v>0</v>
      </c>
      <c r="J53" s="0" t="n">
        <f aca="false">IF(OR(NOT(AND(Simulations!$A53&lt;&gt;"",OR(Simulations!$AQ53&lt;&gt;"",N(Simulations!$AS53)&gt;0))),N(Simulations!$AV53)&lt;=0,N(Simulations!$AS53)&lt;=0,3&gt;N(Simulations!$O53)),0,IF(Simulations!$AV53&lt;Simulations!$J53,Simulations!$AS53/(Simulations!$G53*Simulations!$H53*IF(Simulations!$I53&gt;0,Simulations!$I53,1))*Simulations!$AV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V53/Simulations!$J53)^1.5+SQRT(LN(Simulations!$AV53/Simulations!$J53))+Simulations!$AV53/Simulations!$J53*SQRT(PI())/2*ERFC(SQRT(LN(Simulations!$AV53/Simulations!$J53)))),PI()*Simulations!$T53^2/2*(LN(Simulations!$AV53/Simulations!$J53)+1))))</f>
        <v>0</v>
      </c>
      <c r="K53" s="0" t="n">
        <f aca="false">IF(NOT(AND(Simulations!$A53&lt;&gt;"",OR(Simulations!$AQ53&lt;&gt;"",N(Simulations!$AS53)&gt;0))),0,MAX(N(Simulations!$AT53),N(Simulations!$AU53),N(Simulations!$AV53))/Simulations!$J53)</f>
        <v>0</v>
      </c>
      <c r="L53" s="0" t="n">
        <f aca="false">IF(OR(NOT(AND(Simulations!$A53&lt;&gt;"",OR(Simulations!$AQ53&lt;&gt;"",N(Simulations!$AS53)&gt;0))),N(Simulations!$AR53)&lt;=0),0,SQRT(2*Simulations!$AR53*1000000/(Simulations!$J53*1000))/Simulations!$T53)</f>
        <v>0</v>
      </c>
      <c r="M53" s="0" t="n">
        <f aca="false">IF(AND(Simulations!$A53&lt;&gt;"",OR(Simulations!$AQ53&lt;&gt;"",N(Simulations!$AS53)&gt;0)),1,0)</f>
        <v>0</v>
      </c>
      <c r="N53" s="0" t="n">
        <f aca="false">IF(OR(NOT(AND(Simulations!$A53&lt;&gt;"",OR(Simulations!$BI53&lt;&gt;"",N(Simulations!$BK53)&gt;0))),N(Simulations!$BL53)&lt;=0,N(Simulations!$BK53)&lt;=0,1&gt;N(Simulations!$O53)),0,IF(Simulations!$BL53&lt;Simulations!$J53,Simulations!$BK53/(Simulations!$G53*Simulations!$H53*IF(Simulations!$I53&gt;0,Simulations!$I53,1))*Simulations!$BL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L53/Simulations!$J53)^1.5+SQRT(LN(Simulations!$BL53/Simulations!$J53))+Simulations!$BL53/Simulations!$J53*SQRT(PI())/2*ERFC(SQRT(LN(Simulations!$BL53/Simulations!$J53)))),PI()*Simulations!$T53^2/2*(LN(Simulations!$BL53/Simulations!$J53)+1))))</f>
        <v>0</v>
      </c>
      <c r="O53" s="0" t="n">
        <f aca="false">IF(OR(NOT(AND(Simulations!$A53&lt;&gt;"",OR(Simulations!$BI53&lt;&gt;"",N(Simulations!$BK53)&gt;0))),N(Simulations!$BM53)&lt;=0,N(Simulations!$BK53)&lt;=0,2&gt;N(Simulations!$O53)),0,IF(Simulations!$BM53&lt;Simulations!$J53,Simulations!$BK53/(Simulations!$G53*Simulations!$H53*IF(Simulations!$I53&gt;0,Simulations!$I53,1))*Simulations!$BM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M53/Simulations!$J53)^1.5+SQRT(LN(Simulations!$BM53/Simulations!$J53))+Simulations!$BM53/Simulations!$J53*SQRT(PI())/2*ERFC(SQRT(LN(Simulations!$BM53/Simulations!$J53)))),PI()*Simulations!$T53^2/2*(LN(Simulations!$BM53/Simulations!$J53)+1))))</f>
        <v>0</v>
      </c>
      <c r="P53" s="0" t="n">
        <f aca="false">IF(OR(NOT(AND(Simulations!$A53&lt;&gt;"",OR(Simulations!$BI53&lt;&gt;"",N(Simulations!$BK53)&gt;0))),N(Simulations!$BN53)&lt;=0,N(Simulations!$BK53)&lt;=0,3&gt;N(Simulations!$O53)),0,IF(Simulations!$BN53&lt;Simulations!$J53,Simulations!$BK53/(Simulations!$G53*Simulations!$H53*IF(Simulations!$I53&gt;0,Simulations!$I53,1))*Simulations!$BN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N53/Simulations!$J53)^1.5+SQRT(LN(Simulations!$BN53/Simulations!$J53))+Simulations!$BN53/Simulations!$J53*SQRT(PI())/2*ERFC(SQRT(LN(Simulations!$BN53/Simulations!$J53)))),PI()*Simulations!$T53^2/2*(LN(Simulations!$BN53/Simulations!$J53)+1))))</f>
        <v>0</v>
      </c>
      <c r="Q53" s="0" t="n">
        <f aca="false">IF(NOT(AND(Simulations!$A53&lt;&gt;"",OR(Simulations!$BI53&lt;&gt;"",N(Simulations!$BK53)&gt;0))),0,MAX(N(Simulations!$BL53),N(Simulations!$BM53),N(Simulations!$BN53))/Simulations!$J53)</f>
        <v>0</v>
      </c>
      <c r="R53" s="0" t="n">
        <f aca="false">IF(OR(NOT(AND(Simulations!$A53&lt;&gt;"",OR(Simulations!$BI53&lt;&gt;"",N(Simulations!$BK53)&gt;0))),N(Simulations!$BJ53)&lt;=0),0,SQRT(2*Simulations!$BJ53*1000000/(Simulations!$J53*1000))/Simulations!$T53)</f>
        <v>0</v>
      </c>
      <c r="S53" s="0" t="n">
        <f aca="false">IF(AND(Simulations!$A53&lt;&gt;"",OR(Simulations!$BI53&lt;&gt;"",N(Simulations!$BK53)&gt;0)),1,0)</f>
        <v>0</v>
      </c>
      <c r="T53" s="0" t="n">
        <f aca="false">IF(OR(NOT(AND(Simulations!$A53&lt;&gt;"",OR(Simulations!$CA53&lt;&gt;"",N(Simulations!$CC53)&gt;0))),N(Simulations!$CD53)&lt;=0,N(Simulations!$CC53)&lt;=0,1&gt;N(Simulations!$O53)),0,IF(Simulations!$CD53&lt;Simulations!$J53,Simulations!$CC53/(Simulations!$G53*Simulations!$H53*IF(Simulations!$I53&gt;0,Simulations!$I53,1))*Simulations!$CD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D53/Simulations!$J53)^1.5+SQRT(LN(Simulations!$CD53/Simulations!$J53))+Simulations!$CD53/Simulations!$J53*SQRT(PI())/2*ERFC(SQRT(LN(Simulations!$CD53/Simulations!$J53)))),PI()*Simulations!$T53^2/2*(LN(Simulations!$CD53/Simulations!$J53)+1))))</f>
        <v>0</v>
      </c>
      <c r="U53" s="0" t="n">
        <f aca="false">IF(OR(NOT(AND(Simulations!$A53&lt;&gt;"",OR(Simulations!$CA53&lt;&gt;"",N(Simulations!$CC53)&gt;0))),N(Simulations!$CE53)&lt;=0,N(Simulations!$CC53)&lt;=0,2&gt;N(Simulations!$O53)),0,IF(Simulations!$CE53&lt;Simulations!$J53,Simulations!$CC53/(Simulations!$G53*Simulations!$H53*IF(Simulations!$I53&gt;0,Simulations!$I53,1))*Simulations!$CE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E53/Simulations!$J53)^1.5+SQRT(LN(Simulations!$CE53/Simulations!$J53))+Simulations!$CE53/Simulations!$J53*SQRT(PI())/2*ERFC(SQRT(LN(Simulations!$CE53/Simulations!$J53)))),PI()*Simulations!$T53^2/2*(LN(Simulations!$CE53/Simulations!$J53)+1))))</f>
        <v>0</v>
      </c>
      <c r="V53" s="0" t="n">
        <f aca="false">IF(OR(NOT(AND(Simulations!$A53&lt;&gt;"",OR(Simulations!$CA53&lt;&gt;"",N(Simulations!$CC53)&gt;0))),N(Simulations!$CF53)&lt;=0,N(Simulations!$CC53)&lt;=0,3&gt;N(Simulations!$O53)),0,IF(Simulations!$CF53&lt;Simulations!$J53,Simulations!$CC53/(Simulations!$G53*Simulations!$H53*IF(Simulations!$I53&gt;0,Simulations!$I53,1))*Simulations!$CF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F53/Simulations!$J53)^1.5+SQRT(LN(Simulations!$CF53/Simulations!$J53))+Simulations!$CF53/Simulations!$J53*SQRT(PI())/2*ERFC(SQRT(LN(Simulations!$CF53/Simulations!$J53)))),PI()*Simulations!$T53^2/2*(LN(Simulations!$CF53/Simulations!$J53)+1))))</f>
        <v>0</v>
      </c>
      <c r="W53" s="0" t="n">
        <f aca="false">IF(NOT(AND(Simulations!$A53&lt;&gt;"",OR(Simulations!$CA53&lt;&gt;"",N(Simulations!$CC53)&gt;0))),0,MAX(N(Simulations!$CD53),N(Simulations!$CE53),N(Simulations!$CF53))/Simulations!$J53)</f>
        <v>0</v>
      </c>
      <c r="X53" s="0" t="n">
        <f aca="false">IF(OR(NOT(AND(Simulations!$A53&lt;&gt;"",OR(Simulations!$CA53&lt;&gt;"",N(Simulations!$CC53)&gt;0))),N(Simulations!$CB53)&lt;=0),0,SQRT(2*Simulations!$CB53*1000000/(Simulations!$J53*1000))/Simulations!$T53)</f>
        <v>0</v>
      </c>
      <c r="Y53" s="0" t="n">
        <f aca="false">IF(AND(Simulations!$A53&lt;&gt;"",OR(Simulations!$CA53&lt;&gt;"",N(Simulations!$CC53)&gt;0)),1,0)</f>
        <v>0</v>
      </c>
      <c r="Z53" s="0" t="n">
        <f aca="false">IF(OR(NOT(AND(Simulations!$A53&lt;&gt;"",OR(Simulations!$CS53&lt;&gt;"",N(Simulations!$CU53)&gt;0))),N(Simulations!$CV53)&lt;=0,N(Simulations!$CU53)&lt;=0,1&gt;N(Simulations!$O53)),0,IF(Simulations!$CV53&lt;Simulations!$J53,Simulations!$CU53/(Simulations!$G53*Simulations!$H53*IF(Simulations!$I53&gt;0,Simulations!$I53,1))*Simulations!$CV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V53/Simulations!$J53)^1.5+SQRT(LN(Simulations!$CV53/Simulations!$J53))+Simulations!$CV53/Simulations!$J53*SQRT(PI())/2*ERFC(SQRT(LN(Simulations!$CV53/Simulations!$J53)))),PI()*Simulations!$T53^2/2*(LN(Simulations!$CV53/Simulations!$J53)+1))))</f>
        <v>0</v>
      </c>
      <c r="AA53" s="0" t="n">
        <f aca="false">IF(OR(NOT(AND(Simulations!$A53&lt;&gt;"",OR(Simulations!$CS53&lt;&gt;"",N(Simulations!$CU53)&gt;0))),N(Simulations!$CW53)&lt;=0,N(Simulations!$CU53)&lt;=0,2&gt;N(Simulations!$O53)),0,IF(Simulations!$CW53&lt;Simulations!$J53,Simulations!$CU53/(Simulations!$G53*Simulations!$H53*IF(Simulations!$I53&gt;0,Simulations!$I53,1))*Simulations!$CW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W53/Simulations!$J53)^1.5+SQRT(LN(Simulations!$CW53/Simulations!$J53))+Simulations!$CW53/Simulations!$J53*SQRT(PI())/2*ERFC(SQRT(LN(Simulations!$CW53/Simulations!$J53)))),PI()*Simulations!$T53^2/2*(LN(Simulations!$CW53/Simulations!$J53)+1))))</f>
        <v>0</v>
      </c>
      <c r="AB53" s="0" t="n">
        <f aca="false">IF(OR(NOT(AND(Simulations!$A53&lt;&gt;"",OR(Simulations!$CS53&lt;&gt;"",N(Simulations!$CU53)&gt;0))),N(Simulations!$CX53)&lt;=0,N(Simulations!$CU53)&lt;=0,3&gt;N(Simulations!$O53)),0,IF(Simulations!$CX53&lt;Simulations!$J53,Simulations!$CU53/(Simulations!$G53*Simulations!$H53*IF(Simulations!$I53&gt;0,Simulations!$I53,1))*Simulations!$CX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X53/Simulations!$J53)^1.5+SQRT(LN(Simulations!$CX53/Simulations!$J53))+Simulations!$CX53/Simulations!$J53*SQRT(PI())/2*ERFC(SQRT(LN(Simulations!$CX53/Simulations!$J53)))),PI()*Simulations!$T53^2/2*(LN(Simulations!$CX53/Simulations!$J53)+1))))</f>
        <v>0</v>
      </c>
      <c r="AC53" s="0" t="n">
        <f aca="false">IF(NOT(AND(Simulations!$A53&lt;&gt;"",OR(Simulations!$CS53&lt;&gt;"",N(Simulations!$CU53)&gt;0))),0,MAX(N(Simulations!$CV53),N(Simulations!$CW53),N(Simulations!$CX53))/Simulations!$J53)</f>
        <v>0</v>
      </c>
      <c r="AD53" s="0" t="n">
        <f aca="false">IF(OR(NOT(AND(Simulations!$A53&lt;&gt;"",OR(Simulations!$CS53&lt;&gt;"",N(Simulations!$CU53)&gt;0))),N(Simulations!$CT53)&lt;=0),0,SQRT(2*Simulations!$CT53*1000000/(Simulations!$J53*1000))/Simulations!$T53)</f>
        <v>0</v>
      </c>
      <c r="AE53" s="0" t="n">
        <f aca="false">IF(AND(Simulations!$A53&lt;&gt;"",OR(Simulations!$CS53&lt;&gt;"",N(Simulations!$CU53)&gt;0)),1,0)</f>
        <v>0</v>
      </c>
      <c r="AF53" s="0" t="n">
        <f aca="false">IF(OR(NOT(AND(Simulations!$A53&lt;&gt;"",OR(Simulations!$DK53&lt;&gt;"",N(Simulations!$DM53)&gt;0))),N(Simulations!$DN53)&lt;=0,N(Simulations!$DM53)&lt;=0,1&gt;N(Simulations!$O53)),0,IF(Simulations!$DN53&lt;Simulations!$J53,Simulations!$DM53/(Simulations!$G53*Simulations!$H53*IF(Simulations!$I53&gt;0,Simulations!$I53,1))*Simulations!$DN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N53/Simulations!$J53)^1.5+SQRT(LN(Simulations!$DN53/Simulations!$J53))+Simulations!$DN53/Simulations!$J53*SQRT(PI())/2*ERFC(SQRT(LN(Simulations!$DN53/Simulations!$J53)))),PI()*Simulations!$T53^2/2*(LN(Simulations!$DN53/Simulations!$J53)+1))))</f>
        <v>0</v>
      </c>
      <c r="AG53" s="0" t="n">
        <f aca="false">IF(OR(NOT(AND(Simulations!$A53&lt;&gt;"",OR(Simulations!$DK53&lt;&gt;"",N(Simulations!$DM53)&gt;0))),N(Simulations!$DO53)&lt;=0,N(Simulations!$DM53)&lt;=0,2&gt;N(Simulations!$O53)),0,IF(Simulations!$DO53&lt;Simulations!$J53,Simulations!$DM53/(Simulations!$G53*Simulations!$H53*IF(Simulations!$I53&gt;0,Simulations!$I53,1))*Simulations!$DO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O53/Simulations!$J53)^1.5+SQRT(LN(Simulations!$DO53/Simulations!$J53))+Simulations!$DO53/Simulations!$J53*SQRT(PI())/2*ERFC(SQRT(LN(Simulations!$DO53/Simulations!$J53)))),PI()*Simulations!$T53^2/2*(LN(Simulations!$DO53/Simulations!$J53)+1))))</f>
        <v>0</v>
      </c>
      <c r="AH53" s="0" t="n">
        <f aca="false">IF(OR(NOT(AND(Simulations!$A53&lt;&gt;"",OR(Simulations!$DK53&lt;&gt;"",N(Simulations!$DM53)&gt;0))),N(Simulations!$DP53)&lt;=0,N(Simulations!$DM53)&lt;=0,3&gt;N(Simulations!$O53)),0,IF(Simulations!$DP53&lt;Simulations!$J53,Simulations!$DM53/(Simulations!$G53*Simulations!$H53*IF(Simulations!$I53&gt;0,Simulations!$I53,1))*Simulations!$DP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P53/Simulations!$J53)^1.5+SQRT(LN(Simulations!$DP53/Simulations!$J53))+Simulations!$DP53/Simulations!$J53*SQRT(PI())/2*ERFC(SQRT(LN(Simulations!$DP53/Simulations!$J53)))),PI()*Simulations!$T53^2/2*(LN(Simulations!$DP53/Simulations!$J53)+1))))</f>
        <v>0</v>
      </c>
      <c r="AI53" s="0" t="n">
        <f aca="false">IF(NOT(AND(Simulations!$A53&lt;&gt;"",OR(Simulations!$DK53&lt;&gt;"",N(Simulations!$DM53)&gt;0))),0,MAX(N(Simulations!$DN53),N(Simulations!$DO53),N(Simulations!$DP53))/Simulations!$J53)</f>
        <v>0</v>
      </c>
      <c r="AJ53" s="0" t="n">
        <f aca="false">IF(OR(NOT(AND(Simulations!$A53&lt;&gt;"",OR(Simulations!$DK53&lt;&gt;"",N(Simulations!$DM53)&gt;0))),N(Simulations!$DL53)&lt;=0),0,SQRT(2*Simulations!$DL53*1000000/(Simulations!$J53*1000))/Simulations!$T53)</f>
        <v>0</v>
      </c>
      <c r="AK53" s="0" t="n">
        <f aca="false">IF(AND(Simulations!$A53&lt;&gt;"",OR(Simulations!$DK53&lt;&gt;"",N(Simulations!$DM53)&gt;0)),1,0)</f>
        <v>0</v>
      </c>
    </row>
    <row r="54" customFormat="false" ht="15" hidden="false" customHeight="false" outlineLevel="0" collapsed="false">
      <c r="B54" s="0" t="n">
        <f aca="false">IF(OR(NOT(AND(Simulations!$A54&lt;&gt;"",OR(Simulations!$Y54&lt;&gt;"",N(Simulations!$AA54)&gt;0))),N(Simulations!$AB54)&lt;=0,N(Simulations!$AA54)&lt;=0,1&gt;N(Simulations!$O54)),0,IF(Simulations!$AB54&lt;Simulations!$J54,Simulations!$AA54/(Simulations!$G54*Simulations!$H54*IF(Simulations!$I54&gt;0,Simulations!$I54,1))*Simulations!$AB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B54/Simulations!$J54)^1.5+SQRT(LN(Simulations!$AB54/Simulations!$J54))+Simulations!$AB54/Simulations!$J54*SQRT(PI())/2*ERFC(SQRT(LN(Simulations!$AB54/Simulations!$J54)))),PI()*Simulations!$T54^2/2*(LN(Simulations!$AB54/Simulations!$J54)+1))))</f>
        <v>0</v>
      </c>
      <c r="C54" s="0" t="n">
        <f aca="false">IF(OR(NOT(AND(Simulations!$A54&lt;&gt;"",OR(Simulations!$Y54&lt;&gt;"",N(Simulations!$AA54)&gt;0))),N(Simulations!$AC54)&lt;=0,N(Simulations!$AA54)&lt;=0,2&gt;N(Simulations!$O54)),0,IF(Simulations!$AC54&lt;Simulations!$J54,Simulations!$AA54/(Simulations!$G54*Simulations!$H54*IF(Simulations!$I54&gt;0,Simulations!$I54,1))*Simulations!$AC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C54/Simulations!$J54)^1.5+SQRT(LN(Simulations!$AC54/Simulations!$J54))+Simulations!$AC54/Simulations!$J54*SQRT(PI())/2*ERFC(SQRT(LN(Simulations!$AC54/Simulations!$J54)))),PI()*Simulations!$T54^2/2*(LN(Simulations!$AC54/Simulations!$J54)+1))))</f>
        <v>0</v>
      </c>
      <c r="D54" s="0" t="n">
        <f aca="false">IF(OR(NOT(AND(Simulations!$A54&lt;&gt;"",OR(Simulations!$Y54&lt;&gt;"",N(Simulations!$AA54)&gt;0))),N(Simulations!$AD54)&lt;=0,N(Simulations!$AA54)&lt;=0,3&gt;N(Simulations!$O54)),0,IF(Simulations!$AD54&lt;Simulations!$J54,Simulations!$AA54/(Simulations!$G54*Simulations!$H54*IF(Simulations!$I54&gt;0,Simulations!$I54,1))*Simulations!$AD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D54/Simulations!$J54)^1.5+SQRT(LN(Simulations!$AD54/Simulations!$J54))+Simulations!$AD54/Simulations!$J54*SQRT(PI())/2*ERFC(SQRT(LN(Simulations!$AD54/Simulations!$J54)))),PI()*Simulations!$T54^2/2*(LN(Simulations!$AD54/Simulations!$J54)+1))))</f>
        <v>0</v>
      </c>
      <c r="E54" s="0" t="n">
        <f aca="false">IF(NOT(AND(Simulations!$A54&lt;&gt;"",OR(Simulations!$Y54&lt;&gt;"",N(Simulations!$AA54)&gt;0))),0,MAX(N(Simulations!$AB54),N(Simulations!$AC54),N(Simulations!$AD54))/Simulations!$J54)</f>
        <v>0</v>
      </c>
      <c r="F54" s="0" t="n">
        <f aca="false">IF(OR(NOT(AND(Simulations!$A54&lt;&gt;"",OR(Simulations!$Y54&lt;&gt;"",N(Simulations!$AA54)&gt;0))),N(Simulations!$Z54)&lt;=0),0,SQRT(2*Simulations!$Z54*1000000/(Simulations!$J54*1000))/Simulations!$T54)</f>
        <v>0</v>
      </c>
      <c r="G54" s="0" t="n">
        <f aca="false">IF(AND(Simulations!$A54&lt;&gt;"",OR(Simulations!$Y54&lt;&gt;"",N(Simulations!$AA54)&gt;0)),1,0)</f>
        <v>0</v>
      </c>
      <c r="H54" s="0" t="n">
        <f aca="false">IF(OR(NOT(AND(Simulations!$A54&lt;&gt;"",OR(Simulations!$AQ54&lt;&gt;"",N(Simulations!$AS54)&gt;0))),N(Simulations!$AT54)&lt;=0,N(Simulations!$AS54)&lt;=0,1&gt;N(Simulations!$O54)),0,IF(Simulations!$AT54&lt;Simulations!$J54,Simulations!$AS54/(Simulations!$G54*Simulations!$H54*IF(Simulations!$I54&gt;0,Simulations!$I54,1))*Simulations!$AT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T54/Simulations!$J54)^1.5+SQRT(LN(Simulations!$AT54/Simulations!$J54))+Simulations!$AT54/Simulations!$J54*SQRT(PI())/2*ERFC(SQRT(LN(Simulations!$AT54/Simulations!$J54)))),PI()*Simulations!$T54^2/2*(LN(Simulations!$AT54/Simulations!$J54)+1))))</f>
        <v>0</v>
      </c>
      <c r="I54" s="0" t="n">
        <f aca="false">IF(OR(NOT(AND(Simulations!$A54&lt;&gt;"",OR(Simulations!$AQ54&lt;&gt;"",N(Simulations!$AS54)&gt;0))),N(Simulations!$AU54)&lt;=0,N(Simulations!$AS54)&lt;=0,2&gt;N(Simulations!$O54)),0,IF(Simulations!$AU54&lt;Simulations!$J54,Simulations!$AS54/(Simulations!$G54*Simulations!$H54*IF(Simulations!$I54&gt;0,Simulations!$I54,1))*Simulations!$AU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U54/Simulations!$J54)^1.5+SQRT(LN(Simulations!$AU54/Simulations!$J54))+Simulations!$AU54/Simulations!$J54*SQRT(PI())/2*ERFC(SQRT(LN(Simulations!$AU54/Simulations!$J54)))),PI()*Simulations!$T54^2/2*(LN(Simulations!$AU54/Simulations!$J54)+1))))</f>
        <v>0</v>
      </c>
      <c r="J54" s="0" t="n">
        <f aca="false">IF(OR(NOT(AND(Simulations!$A54&lt;&gt;"",OR(Simulations!$AQ54&lt;&gt;"",N(Simulations!$AS54)&gt;0))),N(Simulations!$AV54)&lt;=0,N(Simulations!$AS54)&lt;=0,3&gt;N(Simulations!$O54)),0,IF(Simulations!$AV54&lt;Simulations!$J54,Simulations!$AS54/(Simulations!$G54*Simulations!$H54*IF(Simulations!$I54&gt;0,Simulations!$I54,1))*Simulations!$AV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V54/Simulations!$J54)^1.5+SQRT(LN(Simulations!$AV54/Simulations!$J54))+Simulations!$AV54/Simulations!$J54*SQRT(PI())/2*ERFC(SQRT(LN(Simulations!$AV54/Simulations!$J54)))),PI()*Simulations!$T54^2/2*(LN(Simulations!$AV54/Simulations!$J54)+1))))</f>
        <v>0</v>
      </c>
      <c r="K54" s="0" t="n">
        <f aca="false">IF(NOT(AND(Simulations!$A54&lt;&gt;"",OR(Simulations!$AQ54&lt;&gt;"",N(Simulations!$AS54)&gt;0))),0,MAX(N(Simulations!$AT54),N(Simulations!$AU54),N(Simulations!$AV54))/Simulations!$J54)</f>
        <v>0</v>
      </c>
      <c r="L54" s="0" t="n">
        <f aca="false">IF(OR(NOT(AND(Simulations!$A54&lt;&gt;"",OR(Simulations!$AQ54&lt;&gt;"",N(Simulations!$AS54)&gt;0))),N(Simulations!$AR54)&lt;=0),0,SQRT(2*Simulations!$AR54*1000000/(Simulations!$J54*1000))/Simulations!$T54)</f>
        <v>0</v>
      </c>
      <c r="M54" s="0" t="n">
        <f aca="false">IF(AND(Simulations!$A54&lt;&gt;"",OR(Simulations!$AQ54&lt;&gt;"",N(Simulations!$AS54)&gt;0)),1,0)</f>
        <v>0</v>
      </c>
      <c r="N54" s="0" t="n">
        <f aca="false">IF(OR(NOT(AND(Simulations!$A54&lt;&gt;"",OR(Simulations!$BI54&lt;&gt;"",N(Simulations!$BK54)&gt;0))),N(Simulations!$BL54)&lt;=0,N(Simulations!$BK54)&lt;=0,1&gt;N(Simulations!$O54)),0,IF(Simulations!$BL54&lt;Simulations!$J54,Simulations!$BK54/(Simulations!$G54*Simulations!$H54*IF(Simulations!$I54&gt;0,Simulations!$I54,1))*Simulations!$BL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L54/Simulations!$J54)^1.5+SQRT(LN(Simulations!$BL54/Simulations!$J54))+Simulations!$BL54/Simulations!$J54*SQRT(PI())/2*ERFC(SQRT(LN(Simulations!$BL54/Simulations!$J54)))),PI()*Simulations!$T54^2/2*(LN(Simulations!$BL54/Simulations!$J54)+1))))</f>
        <v>0</v>
      </c>
      <c r="O54" s="0" t="n">
        <f aca="false">IF(OR(NOT(AND(Simulations!$A54&lt;&gt;"",OR(Simulations!$BI54&lt;&gt;"",N(Simulations!$BK54)&gt;0))),N(Simulations!$BM54)&lt;=0,N(Simulations!$BK54)&lt;=0,2&gt;N(Simulations!$O54)),0,IF(Simulations!$BM54&lt;Simulations!$J54,Simulations!$BK54/(Simulations!$G54*Simulations!$H54*IF(Simulations!$I54&gt;0,Simulations!$I54,1))*Simulations!$BM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M54/Simulations!$J54)^1.5+SQRT(LN(Simulations!$BM54/Simulations!$J54))+Simulations!$BM54/Simulations!$J54*SQRT(PI())/2*ERFC(SQRT(LN(Simulations!$BM54/Simulations!$J54)))),PI()*Simulations!$T54^2/2*(LN(Simulations!$BM54/Simulations!$J54)+1))))</f>
        <v>0</v>
      </c>
      <c r="P54" s="0" t="n">
        <f aca="false">IF(OR(NOT(AND(Simulations!$A54&lt;&gt;"",OR(Simulations!$BI54&lt;&gt;"",N(Simulations!$BK54)&gt;0))),N(Simulations!$BN54)&lt;=0,N(Simulations!$BK54)&lt;=0,3&gt;N(Simulations!$O54)),0,IF(Simulations!$BN54&lt;Simulations!$J54,Simulations!$BK54/(Simulations!$G54*Simulations!$H54*IF(Simulations!$I54&gt;0,Simulations!$I54,1))*Simulations!$BN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N54/Simulations!$J54)^1.5+SQRT(LN(Simulations!$BN54/Simulations!$J54))+Simulations!$BN54/Simulations!$J54*SQRT(PI())/2*ERFC(SQRT(LN(Simulations!$BN54/Simulations!$J54)))),PI()*Simulations!$T54^2/2*(LN(Simulations!$BN54/Simulations!$J54)+1))))</f>
        <v>0</v>
      </c>
      <c r="Q54" s="0" t="n">
        <f aca="false">IF(NOT(AND(Simulations!$A54&lt;&gt;"",OR(Simulations!$BI54&lt;&gt;"",N(Simulations!$BK54)&gt;0))),0,MAX(N(Simulations!$BL54),N(Simulations!$BM54),N(Simulations!$BN54))/Simulations!$J54)</f>
        <v>0</v>
      </c>
      <c r="R54" s="0" t="n">
        <f aca="false">IF(OR(NOT(AND(Simulations!$A54&lt;&gt;"",OR(Simulations!$BI54&lt;&gt;"",N(Simulations!$BK54)&gt;0))),N(Simulations!$BJ54)&lt;=0),0,SQRT(2*Simulations!$BJ54*1000000/(Simulations!$J54*1000))/Simulations!$T54)</f>
        <v>0</v>
      </c>
      <c r="S54" s="0" t="n">
        <f aca="false">IF(AND(Simulations!$A54&lt;&gt;"",OR(Simulations!$BI54&lt;&gt;"",N(Simulations!$BK54)&gt;0)),1,0)</f>
        <v>0</v>
      </c>
      <c r="T54" s="0" t="n">
        <f aca="false">IF(OR(NOT(AND(Simulations!$A54&lt;&gt;"",OR(Simulations!$CA54&lt;&gt;"",N(Simulations!$CC54)&gt;0))),N(Simulations!$CD54)&lt;=0,N(Simulations!$CC54)&lt;=0,1&gt;N(Simulations!$O54)),0,IF(Simulations!$CD54&lt;Simulations!$J54,Simulations!$CC54/(Simulations!$G54*Simulations!$H54*IF(Simulations!$I54&gt;0,Simulations!$I54,1))*Simulations!$CD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D54/Simulations!$J54)^1.5+SQRT(LN(Simulations!$CD54/Simulations!$J54))+Simulations!$CD54/Simulations!$J54*SQRT(PI())/2*ERFC(SQRT(LN(Simulations!$CD54/Simulations!$J54)))),PI()*Simulations!$T54^2/2*(LN(Simulations!$CD54/Simulations!$J54)+1))))</f>
        <v>0</v>
      </c>
      <c r="U54" s="0" t="n">
        <f aca="false">IF(OR(NOT(AND(Simulations!$A54&lt;&gt;"",OR(Simulations!$CA54&lt;&gt;"",N(Simulations!$CC54)&gt;0))),N(Simulations!$CE54)&lt;=0,N(Simulations!$CC54)&lt;=0,2&gt;N(Simulations!$O54)),0,IF(Simulations!$CE54&lt;Simulations!$J54,Simulations!$CC54/(Simulations!$G54*Simulations!$H54*IF(Simulations!$I54&gt;0,Simulations!$I54,1))*Simulations!$CE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E54/Simulations!$J54)^1.5+SQRT(LN(Simulations!$CE54/Simulations!$J54))+Simulations!$CE54/Simulations!$J54*SQRT(PI())/2*ERFC(SQRT(LN(Simulations!$CE54/Simulations!$J54)))),PI()*Simulations!$T54^2/2*(LN(Simulations!$CE54/Simulations!$J54)+1))))</f>
        <v>0</v>
      </c>
      <c r="V54" s="0" t="n">
        <f aca="false">IF(OR(NOT(AND(Simulations!$A54&lt;&gt;"",OR(Simulations!$CA54&lt;&gt;"",N(Simulations!$CC54)&gt;0))),N(Simulations!$CF54)&lt;=0,N(Simulations!$CC54)&lt;=0,3&gt;N(Simulations!$O54)),0,IF(Simulations!$CF54&lt;Simulations!$J54,Simulations!$CC54/(Simulations!$G54*Simulations!$H54*IF(Simulations!$I54&gt;0,Simulations!$I54,1))*Simulations!$CF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F54/Simulations!$J54)^1.5+SQRT(LN(Simulations!$CF54/Simulations!$J54))+Simulations!$CF54/Simulations!$J54*SQRT(PI())/2*ERFC(SQRT(LN(Simulations!$CF54/Simulations!$J54)))),PI()*Simulations!$T54^2/2*(LN(Simulations!$CF54/Simulations!$J54)+1))))</f>
        <v>0</v>
      </c>
      <c r="W54" s="0" t="n">
        <f aca="false">IF(NOT(AND(Simulations!$A54&lt;&gt;"",OR(Simulations!$CA54&lt;&gt;"",N(Simulations!$CC54)&gt;0))),0,MAX(N(Simulations!$CD54),N(Simulations!$CE54),N(Simulations!$CF54))/Simulations!$J54)</f>
        <v>0</v>
      </c>
      <c r="X54" s="0" t="n">
        <f aca="false">IF(OR(NOT(AND(Simulations!$A54&lt;&gt;"",OR(Simulations!$CA54&lt;&gt;"",N(Simulations!$CC54)&gt;0))),N(Simulations!$CB54)&lt;=0),0,SQRT(2*Simulations!$CB54*1000000/(Simulations!$J54*1000))/Simulations!$T54)</f>
        <v>0</v>
      </c>
      <c r="Y54" s="0" t="n">
        <f aca="false">IF(AND(Simulations!$A54&lt;&gt;"",OR(Simulations!$CA54&lt;&gt;"",N(Simulations!$CC54)&gt;0)),1,0)</f>
        <v>0</v>
      </c>
      <c r="Z54" s="0" t="n">
        <f aca="false">IF(OR(NOT(AND(Simulations!$A54&lt;&gt;"",OR(Simulations!$CS54&lt;&gt;"",N(Simulations!$CU54)&gt;0))),N(Simulations!$CV54)&lt;=0,N(Simulations!$CU54)&lt;=0,1&gt;N(Simulations!$O54)),0,IF(Simulations!$CV54&lt;Simulations!$J54,Simulations!$CU54/(Simulations!$G54*Simulations!$H54*IF(Simulations!$I54&gt;0,Simulations!$I54,1))*Simulations!$CV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V54/Simulations!$J54)^1.5+SQRT(LN(Simulations!$CV54/Simulations!$J54))+Simulations!$CV54/Simulations!$J54*SQRT(PI())/2*ERFC(SQRT(LN(Simulations!$CV54/Simulations!$J54)))),PI()*Simulations!$T54^2/2*(LN(Simulations!$CV54/Simulations!$J54)+1))))</f>
        <v>0</v>
      </c>
      <c r="AA54" s="0" t="n">
        <f aca="false">IF(OR(NOT(AND(Simulations!$A54&lt;&gt;"",OR(Simulations!$CS54&lt;&gt;"",N(Simulations!$CU54)&gt;0))),N(Simulations!$CW54)&lt;=0,N(Simulations!$CU54)&lt;=0,2&gt;N(Simulations!$O54)),0,IF(Simulations!$CW54&lt;Simulations!$J54,Simulations!$CU54/(Simulations!$G54*Simulations!$H54*IF(Simulations!$I54&gt;0,Simulations!$I54,1))*Simulations!$CW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W54/Simulations!$J54)^1.5+SQRT(LN(Simulations!$CW54/Simulations!$J54))+Simulations!$CW54/Simulations!$J54*SQRT(PI())/2*ERFC(SQRT(LN(Simulations!$CW54/Simulations!$J54)))),PI()*Simulations!$T54^2/2*(LN(Simulations!$CW54/Simulations!$J54)+1))))</f>
        <v>0</v>
      </c>
      <c r="AB54" s="0" t="n">
        <f aca="false">IF(OR(NOT(AND(Simulations!$A54&lt;&gt;"",OR(Simulations!$CS54&lt;&gt;"",N(Simulations!$CU54)&gt;0))),N(Simulations!$CX54)&lt;=0,N(Simulations!$CU54)&lt;=0,3&gt;N(Simulations!$O54)),0,IF(Simulations!$CX54&lt;Simulations!$J54,Simulations!$CU54/(Simulations!$G54*Simulations!$H54*IF(Simulations!$I54&gt;0,Simulations!$I54,1))*Simulations!$CX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X54/Simulations!$J54)^1.5+SQRT(LN(Simulations!$CX54/Simulations!$J54))+Simulations!$CX54/Simulations!$J54*SQRT(PI())/2*ERFC(SQRT(LN(Simulations!$CX54/Simulations!$J54)))),PI()*Simulations!$T54^2/2*(LN(Simulations!$CX54/Simulations!$J54)+1))))</f>
        <v>0</v>
      </c>
      <c r="AC54" s="0" t="n">
        <f aca="false">IF(NOT(AND(Simulations!$A54&lt;&gt;"",OR(Simulations!$CS54&lt;&gt;"",N(Simulations!$CU54)&gt;0))),0,MAX(N(Simulations!$CV54),N(Simulations!$CW54),N(Simulations!$CX54))/Simulations!$J54)</f>
        <v>0</v>
      </c>
      <c r="AD54" s="0" t="n">
        <f aca="false">IF(OR(NOT(AND(Simulations!$A54&lt;&gt;"",OR(Simulations!$CS54&lt;&gt;"",N(Simulations!$CU54)&gt;0))),N(Simulations!$CT54)&lt;=0),0,SQRT(2*Simulations!$CT54*1000000/(Simulations!$J54*1000))/Simulations!$T54)</f>
        <v>0</v>
      </c>
      <c r="AE54" s="0" t="n">
        <f aca="false">IF(AND(Simulations!$A54&lt;&gt;"",OR(Simulations!$CS54&lt;&gt;"",N(Simulations!$CU54)&gt;0)),1,0)</f>
        <v>0</v>
      </c>
      <c r="AF54" s="0" t="n">
        <f aca="false">IF(OR(NOT(AND(Simulations!$A54&lt;&gt;"",OR(Simulations!$DK54&lt;&gt;"",N(Simulations!$DM54)&gt;0))),N(Simulations!$DN54)&lt;=0,N(Simulations!$DM54)&lt;=0,1&gt;N(Simulations!$O54)),0,IF(Simulations!$DN54&lt;Simulations!$J54,Simulations!$DM54/(Simulations!$G54*Simulations!$H54*IF(Simulations!$I54&gt;0,Simulations!$I54,1))*Simulations!$DN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N54/Simulations!$J54)^1.5+SQRT(LN(Simulations!$DN54/Simulations!$J54))+Simulations!$DN54/Simulations!$J54*SQRT(PI())/2*ERFC(SQRT(LN(Simulations!$DN54/Simulations!$J54)))),PI()*Simulations!$T54^2/2*(LN(Simulations!$DN54/Simulations!$J54)+1))))</f>
        <v>0</v>
      </c>
      <c r="AG54" s="0" t="n">
        <f aca="false">IF(OR(NOT(AND(Simulations!$A54&lt;&gt;"",OR(Simulations!$DK54&lt;&gt;"",N(Simulations!$DM54)&gt;0))),N(Simulations!$DO54)&lt;=0,N(Simulations!$DM54)&lt;=0,2&gt;N(Simulations!$O54)),0,IF(Simulations!$DO54&lt;Simulations!$J54,Simulations!$DM54/(Simulations!$G54*Simulations!$H54*IF(Simulations!$I54&gt;0,Simulations!$I54,1))*Simulations!$DO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O54/Simulations!$J54)^1.5+SQRT(LN(Simulations!$DO54/Simulations!$J54))+Simulations!$DO54/Simulations!$J54*SQRT(PI())/2*ERFC(SQRT(LN(Simulations!$DO54/Simulations!$J54)))),PI()*Simulations!$T54^2/2*(LN(Simulations!$DO54/Simulations!$J54)+1))))</f>
        <v>0</v>
      </c>
      <c r="AH54" s="0" t="n">
        <f aca="false">IF(OR(NOT(AND(Simulations!$A54&lt;&gt;"",OR(Simulations!$DK54&lt;&gt;"",N(Simulations!$DM54)&gt;0))),N(Simulations!$DP54)&lt;=0,N(Simulations!$DM54)&lt;=0,3&gt;N(Simulations!$O54)),0,IF(Simulations!$DP54&lt;Simulations!$J54,Simulations!$DM54/(Simulations!$G54*Simulations!$H54*IF(Simulations!$I54&gt;0,Simulations!$I54,1))*Simulations!$DP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P54/Simulations!$J54)^1.5+SQRT(LN(Simulations!$DP54/Simulations!$J54))+Simulations!$DP54/Simulations!$J54*SQRT(PI())/2*ERFC(SQRT(LN(Simulations!$DP54/Simulations!$J54)))),PI()*Simulations!$T54^2/2*(LN(Simulations!$DP54/Simulations!$J54)+1))))</f>
        <v>0</v>
      </c>
      <c r="AI54" s="0" t="n">
        <f aca="false">IF(NOT(AND(Simulations!$A54&lt;&gt;"",OR(Simulations!$DK54&lt;&gt;"",N(Simulations!$DM54)&gt;0))),0,MAX(N(Simulations!$DN54),N(Simulations!$DO54),N(Simulations!$DP54))/Simulations!$J54)</f>
        <v>0</v>
      </c>
      <c r="AJ54" s="0" t="n">
        <f aca="false">IF(OR(NOT(AND(Simulations!$A54&lt;&gt;"",OR(Simulations!$DK54&lt;&gt;"",N(Simulations!$DM54)&gt;0))),N(Simulations!$DL54)&lt;=0),0,SQRT(2*Simulations!$DL54*1000000/(Simulations!$J54*1000))/Simulations!$T54)</f>
        <v>0</v>
      </c>
      <c r="AK54" s="0" t="n">
        <f aca="false">IF(AND(Simulations!$A54&lt;&gt;"",OR(Simulations!$DK54&lt;&gt;"",N(Simulations!$DM54)&gt;0)),1,0)</f>
        <v>0</v>
      </c>
    </row>
    <row r="55" customFormat="false" ht="15" hidden="false" customHeight="false" outlineLevel="0" collapsed="false">
      <c r="B55" s="0" t="n">
        <f aca="false">IF(OR(NOT(AND(Simulations!$A55&lt;&gt;"",OR(Simulations!$Y55&lt;&gt;"",N(Simulations!$AA55)&gt;0))),N(Simulations!$AB55)&lt;=0,N(Simulations!$AA55)&lt;=0,1&gt;N(Simulations!$O55)),0,IF(Simulations!$AB55&lt;Simulations!$J55,Simulations!$AA55/(Simulations!$G55*Simulations!$H55*IF(Simulations!$I55&gt;0,Simulations!$I55,1))*Simulations!$AB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B55/Simulations!$J55)^1.5+SQRT(LN(Simulations!$AB55/Simulations!$J55))+Simulations!$AB55/Simulations!$J55*SQRT(PI())/2*ERFC(SQRT(LN(Simulations!$AB55/Simulations!$J55)))),PI()*Simulations!$T55^2/2*(LN(Simulations!$AB55/Simulations!$J55)+1))))</f>
        <v>0</v>
      </c>
      <c r="C55" s="0" t="n">
        <f aca="false">IF(OR(NOT(AND(Simulations!$A55&lt;&gt;"",OR(Simulations!$Y55&lt;&gt;"",N(Simulations!$AA55)&gt;0))),N(Simulations!$AC55)&lt;=0,N(Simulations!$AA55)&lt;=0,2&gt;N(Simulations!$O55)),0,IF(Simulations!$AC55&lt;Simulations!$J55,Simulations!$AA55/(Simulations!$G55*Simulations!$H55*IF(Simulations!$I55&gt;0,Simulations!$I55,1))*Simulations!$AC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C55/Simulations!$J55)^1.5+SQRT(LN(Simulations!$AC55/Simulations!$J55))+Simulations!$AC55/Simulations!$J55*SQRT(PI())/2*ERFC(SQRT(LN(Simulations!$AC55/Simulations!$J55)))),PI()*Simulations!$T55^2/2*(LN(Simulations!$AC55/Simulations!$J55)+1))))</f>
        <v>0</v>
      </c>
      <c r="D55" s="0" t="n">
        <f aca="false">IF(OR(NOT(AND(Simulations!$A55&lt;&gt;"",OR(Simulations!$Y55&lt;&gt;"",N(Simulations!$AA55)&gt;0))),N(Simulations!$AD55)&lt;=0,N(Simulations!$AA55)&lt;=0,3&gt;N(Simulations!$O55)),0,IF(Simulations!$AD55&lt;Simulations!$J55,Simulations!$AA55/(Simulations!$G55*Simulations!$H55*IF(Simulations!$I55&gt;0,Simulations!$I55,1))*Simulations!$AD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D55/Simulations!$J55)^1.5+SQRT(LN(Simulations!$AD55/Simulations!$J55))+Simulations!$AD55/Simulations!$J55*SQRT(PI())/2*ERFC(SQRT(LN(Simulations!$AD55/Simulations!$J55)))),PI()*Simulations!$T55^2/2*(LN(Simulations!$AD55/Simulations!$J55)+1))))</f>
        <v>0</v>
      </c>
      <c r="E55" s="0" t="n">
        <f aca="false">IF(NOT(AND(Simulations!$A55&lt;&gt;"",OR(Simulations!$Y55&lt;&gt;"",N(Simulations!$AA55)&gt;0))),0,MAX(N(Simulations!$AB55),N(Simulations!$AC55),N(Simulations!$AD55))/Simulations!$J55)</f>
        <v>0</v>
      </c>
      <c r="F55" s="0" t="n">
        <f aca="false">IF(OR(NOT(AND(Simulations!$A55&lt;&gt;"",OR(Simulations!$Y55&lt;&gt;"",N(Simulations!$AA55)&gt;0))),N(Simulations!$Z55)&lt;=0),0,SQRT(2*Simulations!$Z55*1000000/(Simulations!$J55*1000))/Simulations!$T55)</f>
        <v>0</v>
      </c>
      <c r="G55" s="0" t="n">
        <f aca="false">IF(AND(Simulations!$A55&lt;&gt;"",OR(Simulations!$Y55&lt;&gt;"",N(Simulations!$AA55)&gt;0)),1,0)</f>
        <v>0</v>
      </c>
      <c r="H55" s="0" t="n">
        <f aca="false">IF(OR(NOT(AND(Simulations!$A55&lt;&gt;"",OR(Simulations!$AQ55&lt;&gt;"",N(Simulations!$AS55)&gt;0))),N(Simulations!$AT55)&lt;=0,N(Simulations!$AS55)&lt;=0,1&gt;N(Simulations!$O55)),0,IF(Simulations!$AT55&lt;Simulations!$J55,Simulations!$AS55/(Simulations!$G55*Simulations!$H55*IF(Simulations!$I55&gt;0,Simulations!$I55,1))*Simulations!$AT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T55/Simulations!$J55)^1.5+SQRT(LN(Simulations!$AT55/Simulations!$J55))+Simulations!$AT55/Simulations!$J55*SQRT(PI())/2*ERFC(SQRT(LN(Simulations!$AT55/Simulations!$J55)))),PI()*Simulations!$T55^2/2*(LN(Simulations!$AT55/Simulations!$J55)+1))))</f>
        <v>0</v>
      </c>
      <c r="I55" s="0" t="n">
        <f aca="false">IF(OR(NOT(AND(Simulations!$A55&lt;&gt;"",OR(Simulations!$AQ55&lt;&gt;"",N(Simulations!$AS55)&gt;0))),N(Simulations!$AU55)&lt;=0,N(Simulations!$AS55)&lt;=0,2&gt;N(Simulations!$O55)),0,IF(Simulations!$AU55&lt;Simulations!$J55,Simulations!$AS55/(Simulations!$G55*Simulations!$H55*IF(Simulations!$I55&gt;0,Simulations!$I55,1))*Simulations!$AU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U55/Simulations!$J55)^1.5+SQRT(LN(Simulations!$AU55/Simulations!$J55))+Simulations!$AU55/Simulations!$J55*SQRT(PI())/2*ERFC(SQRT(LN(Simulations!$AU55/Simulations!$J55)))),PI()*Simulations!$T55^2/2*(LN(Simulations!$AU55/Simulations!$J55)+1))))</f>
        <v>0</v>
      </c>
      <c r="J55" s="0" t="n">
        <f aca="false">IF(OR(NOT(AND(Simulations!$A55&lt;&gt;"",OR(Simulations!$AQ55&lt;&gt;"",N(Simulations!$AS55)&gt;0))),N(Simulations!$AV55)&lt;=0,N(Simulations!$AS55)&lt;=0,3&gt;N(Simulations!$O55)),0,IF(Simulations!$AV55&lt;Simulations!$J55,Simulations!$AS55/(Simulations!$G55*Simulations!$H55*IF(Simulations!$I55&gt;0,Simulations!$I55,1))*Simulations!$AV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V55/Simulations!$J55)^1.5+SQRT(LN(Simulations!$AV55/Simulations!$J55))+Simulations!$AV55/Simulations!$J55*SQRT(PI())/2*ERFC(SQRT(LN(Simulations!$AV55/Simulations!$J55)))),PI()*Simulations!$T55^2/2*(LN(Simulations!$AV55/Simulations!$J55)+1))))</f>
        <v>0</v>
      </c>
      <c r="K55" s="0" t="n">
        <f aca="false">IF(NOT(AND(Simulations!$A55&lt;&gt;"",OR(Simulations!$AQ55&lt;&gt;"",N(Simulations!$AS55)&gt;0))),0,MAX(N(Simulations!$AT55),N(Simulations!$AU55),N(Simulations!$AV55))/Simulations!$J55)</f>
        <v>0</v>
      </c>
      <c r="L55" s="0" t="n">
        <f aca="false">IF(OR(NOT(AND(Simulations!$A55&lt;&gt;"",OR(Simulations!$AQ55&lt;&gt;"",N(Simulations!$AS55)&gt;0))),N(Simulations!$AR55)&lt;=0),0,SQRT(2*Simulations!$AR55*1000000/(Simulations!$J55*1000))/Simulations!$T55)</f>
        <v>0</v>
      </c>
      <c r="M55" s="0" t="n">
        <f aca="false">IF(AND(Simulations!$A55&lt;&gt;"",OR(Simulations!$AQ55&lt;&gt;"",N(Simulations!$AS55)&gt;0)),1,0)</f>
        <v>0</v>
      </c>
      <c r="N55" s="0" t="n">
        <f aca="false">IF(OR(NOT(AND(Simulations!$A55&lt;&gt;"",OR(Simulations!$BI55&lt;&gt;"",N(Simulations!$BK55)&gt;0))),N(Simulations!$BL55)&lt;=0,N(Simulations!$BK55)&lt;=0,1&gt;N(Simulations!$O55)),0,IF(Simulations!$BL55&lt;Simulations!$J55,Simulations!$BK55/(Simulations!$G55*Simulations!$H55*IF(Simulations!$I55&gt;0,Simulations!$I55,1))*Simulations!$BL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L55/Simulations!$J55)^1.5+SQRT(LN(Simulations!$BL55/Simulations!$J55))+Simulations!$BL55/Simulations!$J55*SQRT(PI())/2*ERFC(SQRT(LN(Simulations!$BL55/Simulations!$J55)))),PI()*Simulations!$T55^2/2*(LN(Simulations!$BL55/Simulations!$J55)+1))))</f>
        <v>0</v>
      </c>
      <c r="O55" s="0" t="n">
        <f aca="false">IF(OR(NOT(AND(Simulations!$A55&lt;&gt;"",OR(Simulations!$BI55&lt;&gt;"",N(Simulations!$BK55)&gt;0))),N(Simulations!$BM55)&lt;=0,N(Simulations!$BK55)&lt;=0,2&gt;N(Simulations!$O55)),0,IF(Simulations!$BM55&lt;Simulations!$J55,Simulations!$BK55/(Simulations!$G55*Simulations!$H55*IF(Simulations!$I55&gt;0,Simulations!$I55,1))*Simulations!$BM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M55/Simulations!$J55)^1.5+SQRT(LN(Simulations!$BM55/Simulations!$J55))+Simulations!$BM55/Simulations!$J55*SQRT(PI())/2*ERFC(SQRT(LN(Simulations!$BM55/Simulations!$J55)))),PI()*Simulations!$T55^2/2*(LN(Simulations!$BM55/Simulations!$J55)+1))))</f>
        <v>0</v>
      </c>
      <c r="P55" s="0" t="n">
        <f aca="false">IF(OR(NOT(AND(Simulations!$A55&lt;&gt;"",OR(Simulations!$BI55&lt;&gt;"",N(Simulations!$BK55)&gt;0))),N(Simulations!$BN55)&lt;=0,N(Simulations!$BK55)&lt;=0,3&gt;N(Simulations!$O55)),0,IF(Simulations!$BN55&lt;Simulations!$J55,Simulations!$BK55/(Simulations!$G55*Simulations!$H55*IF(Simulations!$I55&gt;0,Simulations!$I55,1))*Simulations!$BN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N55/Simulations!$J55)^1.5+SQRT(LN(Simulations!$BN55/Simulations!$J55))+Simulations!$BN55/Simulations!$J55*SQRT(PI())/2*ERFC(SQRT(LN(Simulations!$BN55/Simulations!$J55)))),PI()*Simulations!$T55^2/2*(LN(Simulations!$BN55/Simulations!$J55)+1))))</f>
        <v>0</v>
      </c>
      <c r="Q55" s="0" t="n">
        <f aca="false">IF(NOT(AND(Simulations!$A55&lt;&gt;"",OR(Simulations!$BI55&lt;&gt;"",N(Simulations!$BK55)&gt;0))),0,MAX(N(Simulations!$BL55),N(Simulations!$BM55),N(Simulations!$BN55))/Simulations!$J55)</f>
        <v>0</v>
      </c>
      <c r="R55" s="0" t="n">
        <f aca="false">IF(OR(NOT(AND(Simulations!$A55&lt;&gt;"",OR(Simulations!$BI55&lt;&gt;"",N(Simulations!$BK55)&gt;0))),N(Simulations!$BJ55)&lt;=0),0,SQRT(2*Simulations!$BJ55*1000000/(Simulations!$J55*1000))/Simulations!$T55)</f>
        <v>0</v>
      </c>
      <c r="S55" s="0" t="n">
        <f aca="false">IF(AND(Simulations!$A55&lt;&gt;"",OR(Simulations!$BI55&lt;&gt;"",N(Simulations!$BK55)&gt;0)),1,0)</f>
        <v>0</v>
      </c>
      <c r="T55" s="0" t="n">
        <f aca="false">IF(OR(NOT(AND(Simulations!$A55&lt;&gt;"",OR(Simulations!$CA55&lt;&gt;"",N(Simulations!$CC55)&gt;0))),N(Simulations!$CD55)&lt;=0,N(Simulations!$CC55)&lt;=0,1&gt;N(Simulations!$O55)),0,IF(Simulations!$CD55&lt;Simulations!$J55,Simulations!$CC55/(Simulations!$G55*Simulations!$H55*IF(Simulations!$I55&gt;0,Simulations!$I55,1))*Simulations!$CD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D55/Simulations!$J55)^1.5+SQRT(LN(Simulations!$CD55/Simulations!$J55))+Simulations!$CD55/Simulations!$J55*SQRT(PI())/2*ERFC(SQRT(LN(Simulations!$CD55/Simulations!$J55)))),PI()*Simulations!$T55^2/2*(LN(Simulations!$CD55/Simulations!$J55)+1))))</f>
        <v>0</v>
      </c>
      <c r="U55" s="0" t="n">
        <f aca="false">IF(OR(NOT(AND(Simulations!$A55&lt;&gt;"",OR(Simulations!$CA55&lt;&gt;"",N(Simulations!$CC55)&gt;0))),N(Simulations!$CE55)&lt;=0,N(Simulations!$CC55)&lt;=0,2&gt;N(Simulations!$O55)),0,IF(Simulations!$CE55&lt;Simulations!$J55,Simulations!$CC55/(Simulations!$G55*Simulations!$H55*IF(Simulations!$I55&gt;0,Simulations!$I55,1))*Simulations!$CE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E55/Simulations!$J55)^1.5+SQRT(LN(Simulations!$CE55/Simulations!$J55))+Simulations!$CE55/Simulations!$J55*SQRT(PI())/2*ERFC(SQRT(LN(Simulations!$CE55/Simulations!$J55)))),PI()*Simulations!$T55^2/2*(LN(Simulations!$CE55/Simulations!$J55)+1))))</f>
        <v>0</v>
      </c>
      <c r="V55" s="0" t="n">
        <f aca="false">IF(OR(NOT(AND(Simulations!$A55&lt;&gt;"",OR(Simulations!$CA55&lt;&gt;"",N(Simulations!$CC55)&gt;0))),N(Simulations!$CF55)&lt;=0,N(Simulations!$CC55)&lt;=0,3&gt;N(Simulations!$O55)),0,IF(Simulations!$CF55&lt;Simulations!$J55,Simulations!$CC55/(Simulations!$G55*Simulations!$H55*IF(Simulations!$I55&gt;0,Simulations!$I55,1))*Simulations!$CF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F55/Simulations!$J55)^1.5+SQRT(LN(Simulations!$CF55/Simulations!$J55))+Simulations!$CF55/Simulations!$J55*SQRT(PI())/2*ERFC(SQRT(LN(Simulations!$CF55/Simulations!$J55)))),PI()*Simulations!$T55^2/2*(LN(Simulations!$CF55/Simulations!$J55)+1))))</f>
        <v>0</v>
      </c>
      <c r="W55" s="0" t="n">
        <f aca="false">IF(NOT(AND(Simulations!$A55&lt;&gt;"",OR(Simulations!$CA55&lt;&gt;"",N(Simulations!$CC55)&gt;0))),0,MAX(N(Simulations!$CD55),N(Simulations!$CE55),N(Simulations!$CF55))/Simulations!$J55)</f>
        <v>0</v>
      </c>
      <c r="X55" s="0" t="n">
        <f aca="false">IF(OR(NOT(AND(Simulations!$A55&lt;&gt;"",OR(Simulations!$CA55&lt;&gt;"",N(Simulations!$CC55)&gt;0))),N(Simulations!$CB55)&lt;=0),0,SQRT(2*Simulations!$CB55*1000000/(Simulations!$J55*1000))/Simulations!$T55)</f>
        <v>0</v>
      </c>
      <c r="Y55" s="0" t="n">
        <f aca="false">IF(AND(Simulations!$A55&lt;&gt;"",OR(Simulations!$CA55&lt;&gt;"",N(Simulations!$CC55)&gt;0)),1,0)</f>
        <v>0</v>
      </c>
      <c r="Z55" s="0" t="n">
        <f aca="false">IF(OR(NOT(AND(Simulations!$A55&lt;&gt;"",OR(Simulations!$CS55&lt;&gt;"",N(Simulations!$CU55)&gt;0))),N(Simulations!$CV55)&lt;=0,N(Simulations!$CU55)&lt;=0,1&gt;N(Simulations!$O55)),0,IF(Simulations!$CV55&lt;Simulations!$J55,Simulations!$CU55/(Simulations!$G55*Simulations!$H55*IF(Simulations!$I55&gt;0,Simulations!$I55,1))*Simulations!$CV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V55/Simulations!$J55)^1.5+SQRT(LN(Simulations!$CV55/Simulations!$J55))+Simulations!$CV55/Simulations!$J55*SQRT(PI())/2*ERFC(SQRT(LN(Simulations!$CV55/Simulations!$J55)))),PI()*Simulations!$T55^2/2*(LN(Simulations!$CV55/Simulations!$J55)+1))))</f>
        <v>0</v>
      </c>
      <c r="AA55" s="0" t="n">
        <f aca="false">IF(OR(NOT(AND(Simulations!$A55&lt;&gt;"",OR(Simulations!$CS55&lt;&gt;"",N(Simulations!$CU55)&gt;0))),N(Simulations!$CW55)&lt;=0,N(Simulations!$CU55)&lt;=0,2&gt;N(Simulations!$O55)),0,IF(Simulations!$CW55&lt;Simulations!$J55,Simulations!$CU55/(Simulations!$G55*Simulations!$H55*IF(Simulations!$I55&gt;0,Simulations!$I55,1))*Simulations!$CW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W55/Simulations!$J55)^1.5+SQRT(LN(Simulations!$CW55/Simulations!$J55))+Simulations!$CW55/Simulations!$J55*SQRT(PI())/2*ERFC(SQRT(LN(Simulations!$CW55/Simulations!$J55)))),PI()*Simulations!$T55^2/2*(LN(Simulations!$CW55/Simulations!$J55)+1))))</f>
        <v>0</v>
      </c>
      <c r="AB55" s="0" t="n">
        <f aca="false">IF(OR(NOT(AND(Simulations!$A55&lt;&gt;"",OR(Simulations!$CS55&lt;&gt;"",N(Simulations!$CU55)&gt;0))),N(Simulations!$CX55)&lt;=0,N(Simulations!$CU55)&lt;=0,3&gt;N(Simulations!$O55)),0,IF(Simulations!$CX55&lt;Simulations!$J55,Simulations!$CU55/(Simulations!$G55*Simulations!$H55*IF(Simulations!$I55&gt;0,Simulations!$I55,1))*Simulations!$CX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X55/Simulations!$J55)^1.5+SQRT(LN(Simulations!$CX55/Simulations!$J55))+Simulations!$CX55/Simulations!$J55*SQRT(PI())/2*ERFC(SQRT(LN(Simulations!$CX55/Simulations!$J55)))),PI()*Simulations!$T55^2/2*(LN(Simulations!$CX55/Simulations!$J55)+1))))</f>
        <v>0</v>
      </c>
      <c r="AC55" s="0" t="n">
        <f aca="false">IF(NOT(AND(Simulations!$A55&lt;&gt;"",OR(Simulations!$CS55&lt;&gt;"",N(Simulations!$CU55)&gt;0))),0,MAX(N(Simulations!$CV55),N(Simulations!$CW55),N(Simulations!$CX55))/Simulations!$J55)</f>
        <v>0</v>
      </c>
      <c r="AD55" s="0" t="n">
        <f aca="false">IF(OR(NOT(AND(Simulations!$A55&lt;&gt;"",OR(Simulations!$CS55&lt;&gt;"",N(Simulations!$CU55)&gt;0))),N(Simulations!$CT55)&lt;=0),0,SQRT(2*Simulations!$CT55*1000000/(Simulations!$J55*1000))/Simulations!$T55)</f>
        <v>0</v>
      </c>
      <c r="AE55" s="0" t="n">
        <f aca="false">IF(AND(Simulations!$A55&lt;&gt;"",OR(Simulations!$CS55&lt;&gt;"",N(Simulations!$CU55)&gt;0)),1,0)</f>
        <v>0</v>
      </c>
      <c r="AF55" s="0" t="n">
        <f aca="false">IF(OR(NOT(AND(Simulations!$A55&lt;&gt;"",OR(Simulations!$DK55&lt;&gt;"",N(Simulations!$DM55)&gt;0))),N(Simulations!$DN55)&lt;=0,N(Simulations!$DM55)&lt;=0,1&gt;N(Simulations!$O55)),0,IF(Simulations!$DN55&lt;Simulations!$J55,Simulations!$DM55/(Simulations!$G55*Simulations!$H55*IF(Simulations!$I55&gt;0,Simulations!$I55,1))*Simulations!$DN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N55/Simulations!$J55)^1.5+SQRT(LN(Simulations!$DN55/Simulations!$J55))+Simulations!$DN55/Simulations!$J55*SQRT(PI())/2*ERFC(SQRT(LN(Simulations!$DN55/Simulations!$J55)))),PI()*Simulations!$T55^2/2*(LN(Simulations!$DN55/Simulations!$J55)+1))))</f>
        <v>0</v>
      </c>
      <c r="AG55" s="0" t="n">
        <f aca="false">IF(OR(NOT(AND(Simulations!$A55&lt;&gt;"",OR(Simulations!$DK55&lt;&gt;"",N(Simulations!$DM55)&gt;0))),N(Simulations!$DO55)&lt;=0,N(Simulations!$DM55)&lt;=0,2&gt;N(Simulations!$O55)),0,IF(Simulations!$DO55&lt;Simulations!$J55,Simulations!$DM55/(Simulations!$G55*Simulations!$H55*IF(Simulations!$I55&gt;0,Simulations!$I55,1))*Simulations!$DO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O55/Simulations!$J55)^1.5+SQRT(LN(Simulations!$DO55/Simulations!$J55))+Simulations!$DO55/Simulations!$J55*SQRT(PI())/2*ERFC(SQRT(LN(Simulations!$DO55/Simulations!$J55)))),PI()*Simulations!$T55^2/2*(LN(Simulations!$DO55/Simulations!$J55)+1))))</f>
        <v>0</v>
      </c>
      <c r="AH55" s="0" t="n">
        <f aca="false">IF(OR(NOT(AND(Simulations!$A55&lt;&gt;"",OR(Simulations!$DK55&lt;&gt;"",N(Simulations!$DM55)&gt;0))),N(Simulations!$DP55)&lt;=0,N(Simulations!$DM55)&lt;=0,3&gt;N(Simulations!$O55)),0,IF(Simulations!$DP55&lt;Simulations!$J55,Simulations!$DM55/(Simulations!$G55*Simulations!$H55*IF(Simulations!$I55&gt;0,Simulations!$I55,1))*Simulations!$DP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P55/Simulations!$J55)^1.5+SQRT(LN(Simulations!$DP55/Simulations!$J55))+Simulations!$DP55/Simulations!$J55*SQRT(PI())/2*ERFC(SQRT(LN(Simulations!$DP55/Simulations!$J55)))),PI()*Simulations!$T55^2/2*(LN(Simulations!$DP55/Simulations!$J55)+1))))</f>
        <v>0</v>
      </c>
      <c r="AI55" s="0" t="n">
        <f aca="false">IF(NOT(AND(Simulations!$A55&lt;&gt;"",OR(Simulations!$DK55&lt;&gt;"",N(Simulations!$DM55)&gt;0))),0,MAX(N(Simulations!$DN55),N(Simulations!$DO55),N(Simulations!$DP55))/Simulations!$J55)</f>
        <v>0</v>
      </c>
      <c r="AJ55" s="0" t="n">
        <f aca="false">IF(OR(NOT(AND(Simulations!$A55&lt;&gt;"",OR(Simulations!$DK55&lt;&gt;"",N(Simulations!$DM55)&gt;0))),N(Simulations!$DL55)&lt;=0),0,SQRT(2*Simulations!$DL55*1000000/(Simulations!$J55*1000))/Simulations!$T55)</f>
        <v>0</v>
      </c>
      <c r="AK55" s="0" t="n">
        <f aca="false">IF(AND(Simulations!$A55&lt;&gt;"",OR(Simulations!$DK55&lt;&gt;"",N(Simulations!$DM55)&gt;0)),1,0)</f>
        <v>0</v>
      </c>
    </row>
    <row r="56" customFormat="false" ht="15" hidden="false" customHeight="false" outlineLevel="0" collapsed="false">
      <c r="B56" s="0" t="n">
        <f aca="false">IF(OR(NOT(AND(Simulations!$A56&lt;&gt;"",OR(Simulations!$Y56&lt;&gt;"",N(Simulations!$AA56)&gt;0))),N(Simulations!$AB56)&lt;=0,N(Simulations!$AA56)&lt;=0,1&gt;N(Simulations!$O56)),0,IF(Simulations!$AB56&lt;Simulations!$J56,Simulations!$AA56/(Simulations!$G56*Simulations!$H56*IF(Simulations!$I56&gt;0,Simulations!$I56,1))*Simulations!$AB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B56/Simulations!$J56)^1.5+SQRT(LN(Simulations!$AB56/Simulations!$J56))+Simulations!$AB56/Simulations!$J56*SQRT(PI())/2*ERFC(SQRT(LN(Simulations!$AB56/Simulations!$J56)))),PI()*Simulations!$T56^2/2*(LN(Simulations!$AB56/Simulations!$J56)+1))))</f>
        <v>0</v>
      </c>
      <c r="C56" s="0" t="n">
        <f aca="false">IF(OR(NOT(AND(Simulations!$A56&lt;&gt;"",OR(Simulations!$Y56&lt;&gt;"",N(Simulations!$AA56)&gt;0))),N(Simulations!$AC56)&lt;=0,N(Simulations!$AA56)&lt;=0,2&gt;N(Simulations!$O56)),0,IF(Simulations!$AC56&lt;Simulations!$J56,Simulations!$AA56/(Simulations!$G56*Simulations!$H56*IF(Simulations!$I56&gt;0,Simulations!$I56,1))*Simulations!$AC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C56/Simulations!$J56)^1.5+SQRT(LN(Simulations!$AC56/Simulations!$J56))+Simulations!$AC56/Simulations!$J56*SQRT(PI())/2*ERFC(SQRT(LN(Simulations!$AC56/Simulations!$J56)))),PI()*Simulations!$T56^2/2*(LN(Simulations!$AC56/Simulations!$J56)+1))))</f>
        <v>0</v>
      </c>
      <c r="D56" s="0" t="n">
        <f aca="false">IF(OR(NOT(AND(Simulations!$A56&lt;&gt;"",OR(Simulations!$Y56&lt;&gt;"",N(Simulations!$AA56)&gt;0))),N(Simulations!$AD56)&lt;=0,N(Simulations!$AA56)&lt;=0,3&gt;N(Simulations!$O56)),0,IF(Simulations!$AD56&lt;Simulations!$J56,Simulations!$AA56/(Simulations!$G56*Simulations!$H56*IF(Simulations!$I56&gt;0,Simulations!$I56,1))*Simulations!$AD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D56/Simulations!$J56)^1.5+SQRT(LN(Simulations!$AD56/Simulations!$J56))+Simulations!$AD56/Simulations!$J56*SQRT(PI())/2*ERFC(SQRT(LN(Simulations!$AD56/Simulations!$J56)))),PI()*Simulations!$T56^2/2*(LN(Simulations!$AD56/Simulations!$J56)+1))))</f>
        <v>0</v>
      </c>
      <c r="E56" s="0" t="n">
        <f aca="false">IF(NOT(AND(Simulations!$A56&lt;&gt;"",OR(Simulations!$Y56&lt;&gt;"",N(Simulations!$AA56)&gt;0))),0,MAX(N(Simulations!$AB56),N(Simulations!$AC56),N(Simulations!$AD56))/Simulations!$J56)</f>
        <v>0</v>
      </c>
      <c r="F56" s="0" t="n">
        <f aca="false">IF(OR(NOT(AND(Simulations!$A56&lt;&gt;"",OR(Simulations!$Y56&lt;&gt;"",N(Simulations!$AA56)&gt;0))),N(Simulations!$Z56)&lt;=0),0,SQRT(2*Simulations!$Z56*1000000/(Simulations!$J56*1000))/Simulations!$T56)</f>
        <v>0</v>
      </c>
      <c r="G56" s="0" t="n">
        <f aca="false">IF(AND(Simulations!$A56&lt;&gt;"",OR(Simulations!$Y56&lt;&gt;"",N(Simulations!$AA56)&gt;0)),1,0)</f>
        <v>0</v>
      </c>
      <c r="H56" s="0" t="n">
        <f aca="false">IF(OR(NOT(AND(Simulations!$A56&lt;&gt;"",OR(Simulations!$AQ56&lt;&gt;"",N(Simulations!$AS56)&gt;0))),N(Simulations!$AT56)&lt;=0,N(Simulations!$AS56)&lt;=0,1&gt;N(Simulations!$O56)),0,IF(Simulations!$AT56&lt;Simulations!$J56,Simulations!$AS56/(Simulations!$G56*Simulations!$H56*IF(Simulations!$I56&gt;0,Simulations!$I56,1))*Simulations!$AT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T56/Simulations!$J56)^1.5+SQRT(LN(Simulations!$AT56/Simulations!$J56))+Simulations!$AT56/Simulations!$J56*SQRT(PI())/2*ERFC(SQRT(LN(Simulations!$AT56/Simulations!$J56)))),PI()*Simulations!$T56^2/2*(LN(Simulations!$AT56/Simulations!$J56)+1))))</f>
        <v>0</v>
      </c>
      <c r="I56" s="0" t="n">
        <f aca="false">IF(OR(NOT(AND(Simulations!$A56&lt;&gt;"",OR(Simulations!$AQ56&lt;&gt;"",N(Simulations!$AS56)&gt;0))),N(Simulations!$AU56)&lt;=0,N(Simulations!$AS56)&lt;=0,2&gt;N(Simulations!$O56)),0,IF(Simulations!$AU56&lt;Simulations!$J56,Simulations!$AS56/(Simulations!$G56*Simulations!$H56*IF(Simulations!$I56&gt;0,Simulations!$I56,1))*Simulations!$AU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U56/Simulations!$J56)^1.5+SQRT(LN(Simulations!$AU56/Simulations!$J56))+Simulations!$AU56/Simulations!$J56*SQRT(PI())/2*ERFC(SQRT(LN(Simulations!$AU56/Simulations!$J56)))),PI()*Simulations!$T56^2/2*(LN(Simulations!$AU56/Simulations!$J56)+1))))</f>
        <v>0</v>
      </c>
      <c r="J56" s="0" t="n">
        <f aca="false">IF(OR(NOT(AND(Simulations!$A56&lt;&gt;"",OR(Simulations!$AQ56&lt;&gt;"",N(Simulations!$AS56)&gt;0))),N(Simulations!$AV56)&lt;=0,N(Simulations!$AS56)&lt;=0,3&gt;N(Simulations!$O56)),0,IF(Simulations!$AV56&lt;Simulations!$J56,Simulations!$AS56/(Simulations!$G56*Simulations!$H56*IF(Simulations!$I56&gt;0,Simulations!$I56,1))*Simulations!$AV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V56/Simulations!$J56)^1.5+SQRT(LN(Simulations!$AV56/Simulations!$J56))+Simulations!$AV56/Simulations!$J56*SQRT(PI())/2*ERFC(SQRT(LN(Simulations!$AV56/Simulations!$J56)))),PI()*Simulations!$T56^2/2*(LN(Simulations!$AV56/Simulations!$J56)+1))))</f>
        <v>0</v>
      </c>
      <c r="K56" s="0" t="n">
        <f aca="false">IF(NOT(AND(Simulations!$A56&lt;&gt;"",OR(Simulations!$AQ56&lt;&gt;"",N(Simulations!$AS56)&gt;0))),0,MAX(N(Simulations!$AT56),N(Simulations!$AU56),N(Simulations!$AV56))/Simulations!$J56)</f>
        <v>0</v>
      </c>
      <c r="L56" s="0" t="n">
        <f aca="false">IF(OR(NOT(AND(Simulations!$A56&lt;&gt;"",OR(Simulations!$AQ56&lt;&gt;"",N(Simulations!$AS56)&gt;0))),N(Simulations!$AR56)&lt;=0),0,SQRT(2*Simulations!$AR56*1000000/(Simulations!$J56*1000))/Simulations!$T56)</f>
        <v>0</v>
      </c>
      <c r="M56" s="0" t="n">
        <f aca="false">IF(AND(Simulations!$A56&lt;&gt;"",OR(Simulations!$AQ56&lt;&gt;"",N(Simulations!$AS56)&gt;0)),1,0)</f>
        <v>0</v>
      </c>
      <c r="N56" s="0" t="n">
        <f aca="false">IF(OR(NOT(AND(Simulations!$A56&lt;&gt;"",OR(Simulations!$BI56&lt;&gt;"",N(Simulations!$BK56)&gt;0))),N(Simulations!$BL56)&lt;=0,N(Simulations!$BK56)&lt;=0,1&gt;N(Simulations!$O56)),0,IF(Simulations!$BL56&lt;Simulations!$J56,Simulations!$BK56/(Simulations!$G56*Simulations!$H56*IF(Simulations!$I56&gt;0,Simulations!$I56,1))*Simulations!$BL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L56/Simulations!$J56)^1.5+SQRT(LN(Simulations!$BL56/Simulations!$J56))+Simulations!$BL56/Simulations!$J56*SQRT(PI())/2*ERFC(SQRT(LN(Simulations!$BL56/Simulations!$J56)))),PI()*Simulations!$T56^2/2*(LN(Simulations!$BL56/Simulations!$J56)+1))))</f>
        <v>0</v>
      </c>
      <c r="O56" s="0" t="n">
        <f aca="false">IF(OR(NOT(AND(Simulations!$A56&lt;&gt;"",OR(Simulations!$BI56&lt;&gt;"",N(Simulations!$BK56)&gt;0))),N(Simulations!$BM56)&lt;=0,N(Simulations!$BK56)&lt;=0,2&gt;N(Simulations!$O56)),0,IF(Simulations!$BM56&lt;Simulations!$J56,Simulations!$BK56/(Simulations!$G56*Simulations!$H56*IF(Simulations!$I56&gt;0,Simulations!$I56,1))*Simulations!$BM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M56/Simulations!$J56)^1.5+SQRT(LN(Simulations!$BM56/Simulations!$J56))+Simulations!$BM56/Simulations!$J56*SQRT(PI())/2*ERFC(SQRT(LN(Simulations!$BM56/Simulations!$J56)))),PI()*Simulations!$T56^2/2*(LN(Simulations!$BM56/Simulations!$J56)+1))))</f>
        <v>0</v>
      </c>
      <c r="P56" s="0" t="n">
        <f aca="false">IF(OR(NOT(AND(Simulations!$A56&lt;&gt;"",OR(Simulations!$BI56&lt;&gt;"",N(Simulations!$BK56)&gt;0))),N(Simulations!$BN56)&lt;=0,N(Simulations!$BK56)&lt;=0,3&gt;N(Simulations!$O56)),0,IF(Simulations!$BN56&lt;Simulations!$J56,Simulations!$BK56/(Simulations!$G56*Simulations!$H56*IF(Simulations!$I56&gt;0,Simulations!$I56,1))*Simulations!$BN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N56/Simulations!$J56)^1.5+SQRT(LN(Simulations!$BN56/Simulations!$J56))+Simulations!$BN56/Simulations!$J56*SQRT(PI())/2*ERFC(SQRT(LN(Simulations!$BN56/Simulations!$J56)))),PI()*Simulations!$T56^2/2*(LN(Simulations!$BN56/Simulations!$J56)+1))))</f>
        <v>0</v>
      </c>
      <c r="Q56" s="0" t="n">
        <f aca="false">IF(NOT(AND(Simulations!$A56&lt;&gt;"",OR(Simulations!$BI56&lt;&gt;"",N(Simulations!$BK56)&gt;0))),0,MAX(N(Simulations!$BL56),N(Simulations!$BM56),N(Simulations!$BN56))/Simulations!$J56)</f>
        <v>0</v>
      </c>
      <c r="R56" s="0" t="n">
        <f aca="false">IF(OR(NOT(AND(Simulations!$A56&lt;&gt;"",OR(Simulations!$BI56&lt;&gt;"",N(Simulations!$BK56)&gt;0))),N(Simulations!$BJ56)&lt;=0),0,SQRT(2*Simulations!$BJ56*1000000/(Simulations!$J56*1000))/Simulations!$T56)</f>
        <v>0</v>
      </c>
      <c r="S56" s="0" t="n">
        <f aca="false">IF(AND(Simulations!$A56&lt;&gt;"",OR(Simulations!$BI56&lt;&gt;"",N(Simulations!$BK56)&gt;0)),1,0)</f>
        <v>0</v>
      </c>
      <c r="T56" s="0" t="n">
        <f aca="false">IF(OR(NOT(AND(Simulations!$A56&lt;&gt;"",OR(Simulations!$CA56&lt;&gt;"",N(Simulations!$CC56)&gt;0))),N(Simulations!$CD56)&lt;=0,N(Simulations!$CC56)&lt;=0,1&gt;N(Simulations!$O56)),0,IF(Simulations!$CD56&lt;Simulations!$J56,Simulations!$CC56/(Simulations!$G56*Simulations!$H56*IF(Simulations!$I56&gt;0,Simulations!$I56,1))*Simulations!$CD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D56/Simulations!$J56)^1.5+SQRT(LN(Simulations!$CD56/Simulations!$J56))+Simulations!$CD56/Simulations!$J56*SQRT(PI())/2*ERFC(SQRT(LN(Simulations!$CD56/Simulations!$J56)))),PI()*Simulations!$T56^2/2*(LN(Simulations!$CD56/Simulations!$J56)+1))))</f>
        <v>0</v>
      </c>
      <c r="U56" s="0" t="n">
        <f aca="false">IF(OR(NOT(AND(Simulations!$A56&lt;&gt;"",OR(Simulations!$CA56&lt;&gt;"",N(Simulations!$CC56)&gt;0))),N(Simulations!$CE56)&lt;=0,N(Simulations!$CC56)&lt;=0,2&gt;N(Simulations!$O56)),0,IF(Simulations!$CE56&lt;Simulations!$J56,Simulations!$CC56/(Simulations!$G56*Simulations!$H56*IF(Simulations!$I56&gt;0,Simulations!$I56,1))*Simulations!$CE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E56/Simulations!$J56)^1.5+SQRT(LN(Simulations!$CE56/Simulations!$J56))+Simulations!$CE56/Simulations!$J56*SQRT(PI())/2*ERFC(SQRT(LN(Simulations!$CE56/Simulations!$J56)))),PI()*Simulations!$T56^2/2*(LN(Simulations!$CE56/Simulations!$J56)+1))))</f>
        <v>0</v>
      </c>
      <c r="V56" s="0" t="n">
        <f aca="false">IF(OR(NOT(AND(Simulations!$A56&lt;&gt;"",OR(Simulations!$CA56&lt;&gt;"",N(Simulations!$CC56)&gt;0))),N(Simulations!$CF56)&lt;=0,N(Simulations!$CC56)&lt;=0,3&gt;N(Simulations!$O56)),0,IF(Simulations!$CF56&lt;Simulations!$J56,Simulations!$CC56/(Simulations!$G56*Simulations!$H56*IF(Simulations!$I56&gt;0,Simulations!$I56,1))*Simulations!$CF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F56/Simulations!$J56)^1.5+SQRT(LN(Simulations!$CF56/Simulations!$J56))+Simulations!$CF56/Simulations!$J56*SQRT(PI())/2*ERFC(SQRT(LN(Simulations!$CF56/Simulations!$J56)))),PI()*Simulations!$T56^2/2*(LN(Simulations!$CF56/Simulations!$J56)+1))))</f>
        <v>0</v>
      </c>
      <c r="W56" s="0" t="n">
        <f aca="false">IF(NOT(AND(Simulations!$A56&lt;&gt;"",OR(Simulations!$CA56&lt;&gt;"",N(Simulations!$CC56)&gt;0))),0,MAX(N(Simulations!$CD56),N(Simulations!$CE56),N(Simulations!$CF56))/Simulations!$J56)</f>
        <v>0</v>
      </c>
      <c r="X56" s="0" t="n">
        <f aca="false">IF(OR(NOT(AND(Simulations!$A56&lt;&gt;"",OR(Simulations!$CA56&lt;&gt;"",N(Simulations!$CC56)&gt;0))),N(Simulations!$CB56)&lt;=0),0,SQRT(2*Simulations!$CB56*1000000/(Simulations!$J56*1000))/Simulations!$T56)</f>
        <v>0</v>
      </c>
      <c r="Y56" s="0" t="n">
        <f aca="false">IF(AND(Simulations!$A56&lt;&gt;"",OR(Simulations!$CA56&lt;&gt;"",N(Simulations!$CC56)&gt;0)),1,0)</f>
        <v>0</v>
      </c>
      <c r="Z56" s="0" t="n">
        <f aca="false">IF(OR(NOT(AND(Simulations!$A56&lt;&gt;"",OR(Simulations!$CS56&lt;&gt;"",N(Simulations!$CU56)&gt;0))),N(Simulations!$CV56)&lt;=0,N(Simulations!$CU56)&lt;=0,1&gt;N(Simulations!$O56)),0,IF(Simulations!$CV56&lt;Simulations!$J56,Simulations!$CU56/(Simulations!$G56*Simulations!$H56*IF(Simulations!$I56&gt;0,Simulations!$I56,1))*Simulations!$CV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V56/Simulations!$J56)^1.5+SQRT(LN(Simulations!$CV56/Simulations!$J56))+Simulations!$CV56/Simulations!$J56*SQRT(PI())/2*ERFC(SQRT(LN(Simulations!$CV56/Simulations!$J56)))),PI()*Simulations!$T56^2/2*(LN(Simulations!$CV56/Simulations!$J56)+1))))</f>
        <v>0</v>
      </c>
      <c r="AA56" s="0" t="n">
        <f aca="false">IF(OR(NOT(AND(Simulations!$A56&lt;&gt;"",OR(Simulations!$CS56&lt;&gt;"",N(Simulations!$CU56)&gt;0))),N(Simulations!$CW56)&lt;=0,N(Simulations!$CU56)&lt;=0,2&gt;N(Simulations!$O56)),0,IF(Simulations!$CW56&lt;Simulations!$J56,Simulations!$CU56/(Simulations!$G56*Simulations!$H56*IF(Simulations!$I56&gt;0,Simulations!$I56,1))*Simulations!$CW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W56/Simulations!$J56)^1.5+SQRT(LN(Simulations!$CW56/Simulations!$J56))+Simulations!$CW56/Simulations!$J56*SQRT(PI())/2*ERFC(SQRT(LN(Simulations!$CW56/Simulations!$J56)))),PI()*Simulations!$T56^2/2*(LN(Simulations!$CW56/Simulations!$J56)+1))))</f>
        <v>0</v>
      </c>
      <c r="AB56" s="0" t="n">
        <f aca="false">IF(OR(NOT(AND(Simulations!$A56&lt;&gt;"",OR(Simulations!$CS56&lt;&gt;"",N(Simulations!$CU56)&gt;0))),N(Simulations!$CX56)&lt;=0,N(Simulations!$CU56)&lt;=0,3&gt;N(Simulations!$O56)),0,IF(Simulations!$CX56&lt;Simulations!$J56,Simulations!$CU56/(Simulations!$G56*Simulations!$H56*IF(Simulations!$I56&gt;0,Simulations!$I56,1))*Simulations!$CX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X56/Simulations!$J56)^1.5+SQRT(LN(Simulations!$CX56/Simulations!$J56))+Simulations!$CX56/Simulations!$J56*SQRT(PI())/2*ERFC(SQRT(LN(Simulations!$CX56/Simulations!$J56)))),PI()*Simulations!$T56^2/2*(LN(Simulations!$CX56/Simulations!$J56)+1))))</f>
        <v>0</v>
      </c>
      <c r="AC56" s="0" t="n">
        <f aca="false">IF(NOT(AND(Simulations!$A56&lt;&gt;"",OR(Simulations!$CS56&lt;&gt;"",N(Simulations!$CU56)&gt;0))),0,MAX(N(Simulations!$CV56),N(Simulations!$CW56),N(Simulations!$CX56))/Simulations!$J56)</f>
        <v>0</v>
      </c>
      <c r="AD56" s="0" t="n">
        <f aca="false">IF(OR(NOT(AND(Simulations!$A56&lt;&gt;"",OR(Simulations!$CS56&lt;&gt;"",N(Simulations!$CU56)&gt;0))),N(Simulations!$CT56)&lt;=0),0,SQRT(2*Simulations!$CT56*1000000/(Simulations!$J56*1000))/Simulations!$T56)</f>
        <v>0</v>
      </c>
      <c r="AE56" s="0" t="n">
        <f aca="false">IF(AND(Simulations!$A56&lt;&gt;"",OR(Simulations!$CS56&lt;&gt;"",N(Simulations!$CU56)&gt;0)),1,0)</f>
        <v>0</v>
      </c>
      <c r="AF56" s="0" t="n">
        <f aca="false">IF(OR(NOT(AND(Simulations!$A56&lt;&gt;"",OR(Simulations!$DK56&lt;&gt;"",N(Simulations!$DM56)&gt;0))),N(Simulations!$DN56)&lt;=0,N(Simulations!$DM56)&lt;=0,1&gt;N(Simulations!$O56)),0,IF(Simulations!$DN56&lt;Simulations!$J56,Simulations!$DM56/(Simulations!$G56*Simulations!$H56*IF(Simulations!$I56&gt;0,Simulations!$I56,1))*Simulations!$DN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N56/Simulations!$J56)^1.5+SQRT(LN(Simulations!$DN56/Simulations!$J56))+Simulations!$DN56/Simulations!$J56*SQRT(PI())/2*ERFC(SQRT(LN(Simulations!$DN56/Simulations!$J56)))),PI()*Simulations!$T56^2/2*(LN(Simulations!$DN56/Simulations!$J56)+1))))</f>
        <v>0</v>
      </c>
      <c r="AG56" s="0" t="n">
        <f aca="false">IF(OR(NOT(AND(Simulations!$A56&lt;&gt;"",OR(Simulations!$DK56&lt;&gt;"",N(Simulations!$DM56)&gt;0))),N(Simulations!$DO56)&lt;=0,N(Simulations!$DM56)&lt;=0,2&gt;N(Simulations!$O56)),0,IF(Simulations!$DO56&lt;Simulations!$J56,Simulations!$DM56/(Simulations!$G56*Simulations!$H56*IF(Simulations!$I56&gt;0,Simulations!$I56,1))*Simulations!$DO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O56/Simulations!$J56)^1.5+SQRT(LN(Simulations!$DO56/Simulations!$J56))+Simulations!$DO56/Simulations!$J56*SQRT(PI())/2*ERFC(SQRT(LN(Simulations!$DO56/Simulations!$J56)))),PI()*Simulations!$T56^2/2*(LN(Simulations!$DO56/Simulations!$J56)+1))))</f>
        <v>0</v>
      </c>
      <c r="AH56" s="0" t="n">
        <f aca="false">IF(OR(NOT(AND(Simulations!$A56&lt;&gt;"",OR(Simulations!$DK56&lt;&gt;"",N(Simulations!$DM56)&gt;0))),N(Simulations!$DP56)&lt;=0,N(Simulations!$DM56)&lt;=0,3&gt;N(Simulations!$O56)),0,IF(Simulations!$DP56&lt;Simulations!$J56,Simulations!$DM56/(Simulations!$G56*Simulations!$H56*IF(Simulations!$I56&gt;0,Simulations!$I56,1))*Simulations!$DP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P56/Simulations!$J56)^1.5+SQRT(LN(Simulations!$DP56/Simulations!$J56))+Simulations!$DP56/Simulations!$J56*SQRT(PI())/2*ERFC(SQRT(LN(Simulations!$DP56/Simulations!$J56)))),PI()*Simulations!$T56^2/2*(LN(Simulations!$DP56/Simulations!$J56)+1))))</f>
        <v>0</v>
      </c>
      <c r="AI56" s="0" t="n">
        <f aca="false">IF(NOT(AND(Simulations!$A56&lt;&gt;"",OR(Simulations!$DK56&lt;&gt;"",N(Simulations!$DM56)&gt;0))),0,MAX(N(Simulations!$DN56),N(Simulations!$DO56),N(Simulations!$DP56))/Simulations!$J56)</f>
        <v>0</v>
      </c>
      <c r="AJ56" s="0" t="n">
        <f aca="false">IF(OR(NOT(AND(Simulations!$A56&lt;&gt;"",OR(Simulations!$DK56&lt;&gt;"",N(Simulations!$DM56)&gt;0))),N(Simulations!$DL56)&lt;=0),0,SQRT(2*Simulations!$DL56*1000000/(Simulations!$J56*1000))/Simulations!$T56)</f>
        <v>0</v>
      </c>
      <c r="AK56" s="0" t="n">
        <f aca="false">IF(AND(Simulations!$A56&lt;&gt;"",OR(Simulations!$DK56&lt;&gt;"",N(Simulations!$DM56)&gt;0)),1,0)</f>
        <v>0</v>
      </c>
    </row>
    <row r="57" customFormat="false" ht="15" hidden="false" customHeight="false" outlineLevel="0" collapsed="false">
      <c r="B57" s="0" t="n">
        <f aca="false">IF(OR(NOT(AND(Simulations!$A57&lt;&gt;"",OR(Simulations!$Y57&lt;&gt;"",N(Simulations!$AA57)&gt;0))),N(Simulations!$AB57)&lt;=0,N(Simulations!$AA57)&lt;=0,1&gt;N(Simulations!$O57)),0,IF(Simulations!$AB57&lt;Simulations!$J57,Simulations!$AA57/(Simulations!$G57*Simulations!$H57*IF(Simulations!$I57&gt;0,Simulations!$I57,1))*Simulations!$AB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B57/Simulations!$J57)^1.5+SQRT(LN(Simulations!$AB57/Simulations!$J57))+Simulations!$AB57/Simulations!$J57*SQRT(PI())/2*ERFC(SQRT(LN(Simulations!$AB57/Simulations!$J57)))),PI()*Simulations!$T57^2/2*(LN(Simulations!$AB57/Simulations!$J57)+1))))</f>
        <v>0</v>
      </c>
      <c r="C57" s="0" t="n">
        <f aca="false">IF(OR(NOT(AND(Simulations!$A57&lt;&gt;"",OR(Simulations!$Y57&lt;&gt;"",N(Simulations!$AA57)&gt;0))),N(Simulations!$AC57)&lt;=0,N(Simulations!$AA57)&lt;=0,2&gt;N(Simulations!$O57)),0,IF(Simulations!$AC57&lt;Simulations!$J57,Simulations!$AA57/(Simulations!$G57*Simulations!$H57*IF(Simulations!$I57&gt;0,Simulations!$I57,1))*Simulations!$AC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C57/Simulations!$J57)^1.5+SQRT(LN(Simulations!$AC57/Simulations!$J57))+Simulations!$AC57/Simulations!$J57*SQRT(PI())/2*ERFC(SQRT(LN(Simulations!$AC57/Simulations!$J57)))),PI()*Simulations!$T57^2/2*(LN(Simulations!$AC57/Simulations!$J57)+1))))</f>
        <v>0</v>
      </c>
      <c r="D57" s="0" t="n">
        <f aca="false">IF(OR(NOT(AND(Simulations!$A57&lt;&gt;"",OR(Simulations!$Y57&lt;&gt;"",N(Simulations!$AA57)&gt;0))),N(Simulations!$AD57)&lt;=0,N(Simulations!$AA57)&lt;=0,3&gt;N(Simulations!$O57)),0,IF(Simulations!$AD57&lt;Simulations!$J57,Simulations!$AA57/(Simulations!$G57*Simulations!$H57*IF(Simulations!$I57&gt;0,Simulations!$I57,1))*Simulations!$AD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D57/Simulations!$J57)^1.5+SQRT(LN(Simulations!$AD57/Simulations!$J57))+Simulations!$AD57/Simulations!$J57*SQRT(PI())/2*ERFC(SQRT(LN(Simulations!$AD57/Simulations!$J57)))),PI()*Simulations!$T57^2/2*(LN(Simulations!$AD57/Simulations!$J57)+1))))</f>
        <v>0</v>
      </c>
      <c r="E57" s="0" t="n">
        <f aca="false">IF(NOT(AND(Simulations!$A57&lt;&gt;"",OR(Simulations!$Y57&lt;&gt;"",N(Simulations!$AA57)&gt;0))),0,MAX(N(Simulations!$AB57),N(Simulations!$AC57),N(Simulations!$AD57))/Simulations!$J57)</f>
        <v>0</v>
      </c>
      <c r="F57" s="0" t="n">
        <f aca="false">IF(OR(NOT(AND(Simulations!$A57&lt;&gt;"",OR(Simulations!$Y57&lt;&gt;"",N(Simulations!$AA57)&gt;0))),N(Simulations!$Z57)&lt;=0),0,SQRT(2*Simulations!$Z57*1000000/(Simulations!$J57*1000))/Simulations!$T57)</f>
        <v>0</v>
      </c>
      <c r="G57" s="0" t="n">
        <f aca="false">IF(AND(Simulations!$A57&lt;&gt;"",OR(Simulations!$Y57&lt;&gt;"",N(Simulations!$AA57)&gt;0)),1,0)</f>
        <v>0</v>
      </c>
      <c r="H57" s="0" t="n">
        <f aca="false">IF(OR(NOT(AND(Simulations!$A57&lt;&gt;"",OR(Simulations!$AQ57&lt;&gt;"",N(Simulations!$AS57)&gt;0))),N(Simulations!$AT57)&lt;=0,N(Simulations!$AS57)&lt;=0,1&gt;N(Simulations!$O57)),0,IF(Simulations!$AT57&lt;Simulations!$J57,Simulations!$AS57/(Simulations!$G57*Simulations!$H57*IF(Simulations!$I57&gt;0,Simulations!$I57,1))*Simulations!$AT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T57/Simulations!$J57)^1.5+SQRT(LN(Simulations!$AT57/Simulations!$J57))+Simulations!$AT57/Simulations!$J57*SQRT(PI())/2*ERFC(SQRT(LN(Simulations!$AT57/Simulations!$J57)))),PI()*Simulations!$T57^2/2*(LN(Simulations!$AT57/Simulations!$J57)+1))))</f>
        <v>0</v>
      </c>
      <c r="I57" s="0" t="n">
        <f aca="false">IF(OR(NOT(AND(Simulations!$A57&lt;&gt;"",OR(Simulations!$AQ57&lt;&gt;"",N(Simulations!$AS57)&gt;0))),N(Simulations!$AU57)&lt;=0,N(Simulations!$AS57)&lt;=0,2&gt;N(Simulations!$O57)),0,IF(Simulations!$AU57&lt;Simulations!$J57,Simulations!$AS57/(Simulations!$G57*Simulations!$H57*IF(Simulations!$I57&gt;0,Simulations!$I57,1))*Simulations!$AU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U57/Simulations!$J57)^1.5+SQRT(LN(Simulations!$AU57/Simulations!$J57))+Simulations!$AU57/Simulations!$J57*SQRT(PI())/2*ERFC(SQRT(LN(Simulations!$AU57/Simulations!$J57)))),PI()*Simulations!$T57^2/2*(LN(Simulations!$AU57/Simulations!$J57)+1))))</f>
        <v>0</v>
      </c>
      <c r="J57" s="0" t="n">
        <f aca="false">IF(OR(NOT(AND(Simulations!$A57&lt;&gt;"",OR(Simulations!$AQ57&lt;&gt;"",N(Simulations!$AS57)&gt;0))),N(Simulations!$AV57)&lt;=0,N(Simulations!$AS57)&lt;=0,3&gt;N(Simulations!$O57)),0,IF(Simulations!$AV57&lt;Simulations!$J57,Simulations!$AS57/(Simulations!$G57*Simulations!$H57*IF(Simulations!$I57&gt;0,Simulations!$I57,1))*Simulations!$AV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V57/Simulations!$J57)^1.5+SQRT(LN(Simulations!$AV57/Simulations!$J57))+Simulations!$AV57/Simulations!$J57*SQRT(PI())/2*ERFC(SQRT(LN(Simulations!$AV57/Simulations!$J57)))),PI()*Simulations!$T57^2/2*(LN(Simulations!$AV57/Simulations!$J57)+1))))</f>
        <v>0</v>
      </c>
      <c r="K57" s="0" t="n">
        <f aca="false">IF(NOT(AND(Simulations!$A57&lt;&gt;"",OR(Simulations!$AQ57&lt;&gt;"",N(Simulations!$AS57)&gt;0))),0,MAX(N(Simulations!$AT57),N(Simulations!$AU57),N(Simulations!$AV57))/Simulations!$J57)</f>
        <v>0</v>
      </c>
      <c r="L57" s="0" t="n">
        <f aca="false">IF(OR(NOT(AND(Simulations!$A57&lt;&gt;"",OR(Simulations!$AQ57&lt;&gt;"",N(Simulations!$AS57)&gt;0))),N(Simulations!$AR57)&lt;=0),0,SQRT(2*Simulations!$AR57*1000000/(Simulations!$J57*1000))/Simulations!$T57)</f>
        <v>0</v>
      </c>
      <c r="M57" s="0" t="n">
        <f aca="false">IF(AND(Simulations!$A57&lt;&gt;"",OR(Simulations!$AQ57&lt;&gt;"",N(Simulations!$AS57)&gt;0)),1,0)</f>
        <v>0</v>
      </c>
      <c r="N57" s="0" t="n">
        <f aca="false">IF(OR(NOT(AND(Simulations!$A57&lt;&gt;"",OR(Simulations!$BI57&lt;&gt;"",N(Simulations!$BK57)&gt;0))),N(Simulations!$BL57)&lt;=0,N(Simulations!$BK57)&lt;=0,1&gt;N(Simulations!$O57)),0,IF(Simulations!$BL57&lt;Simulations!$J57,Simulations!$BK57/(Simulations!$G57*Simulations!$H57*IF(Simulations!$I57&gt;0,Simulations!$I57,1))*Simulations!$BL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L57/Simulations!$J57)^1.5+SQRT(LN(Simulations!$BL57/Simulations!$J57))+Simulations!$BL57/Simulations!$J57*SQRT(PI())/2*ERFC(SQRT(LN(Simulations!$BL57/Simulations!$J57)))),PI()*Simulations!$T57^2/2*(LN(Simulations!$BL57/Simulations!$J57)+1))))</f>
        <v>0</v>
      </c>
      <c r="O57" s="0" t="n">
        <f aca="false">IF(OR(NOT(AND(Simulations!$A57&lt;&gt;"",OR(Simulations!$BI57&lt;&gt;"",N(Simulations!$BK57)&gt;0))),N(Simulations!$BM57)&lt;=0,N(Simulations!$BK57)&lt;=0,2&gt;N(Simulations!$O57)),0,IF(Simulations!$BM57&lt;Simulations!$J57,Simulations!$BK57/(Simulations!$G57*Simulations!$H57*IF(Simulations!$I57&gt;0,Simulations!$I57,1))*Simulations!$BM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M57/Simulations!$J57)^1.5+SQRT(LN(Simulations!$BM57/Simulations!$J57))+Simulations!$BM57/Simulations!$J57*SQRT(PI())/2*ERFC(SQRT(LN(Simulations!$BM57/Simulations!$J57)))),PI()*Simulations!$T57^2/2*(LN(Simulations!$BM57/Simulations!$J57)+1))))</f>
        <v>0</v>
      </c>
      <c r="P57" s="0" t="n">
        <f aca="false">IF(OR(NOT(AND(Simulations!$A57&lt;&gt;"",OR(Simulations!$BI57&lt;&gt;"",N(Simulations!$BK57)&gt;0))),N(Simulations!$BN57)&lt;=0,N(Simulations!$BK57)&lt;=0,3&gt;N(Simulations!$O57)),0,IF(Simulations!$BN57&lt;Simulations!$J57,Simulations!$BK57/(Simulations!$G57*Simulations!$H57*IF(Simulations!$I57&gt;0,Simulations!$I57,1))*Simulations!$BN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N57/Simulations!$J57)^1.5+SQRT(LN(Simulations!$BN57/Simulations!$J57))+Simulations!$BN57/Simulations!$J57*SQRT(PI())/2*ERFC(SQRT(LN(Simulations!$BN57/Simulations!$J57)))),PI()*Simulations!$T57^2/2*(LN(Simulations!$BN57/Simulations!$J57)+1))))</f>
        <v>0</v>
      </c>
      <c r="Q57" s="0" t="n">
        <f aca="false">IF(NOT(AND(Simulations!$A57&lt;&gt;"",OR(Simulations!$BI57&lt;&gt;"",N(Simulations!$BK57)&gt;0))),0,MAX(N(Simulations!$BL57),N(Simulations!$BM57),N(Simulations!$BN57))/Simulations!$J57)</f>
        <v>0</v>
      </c>
      <c r="R57" s="0" t="n">
        <f aca="false">IF(OR(NOT(AND(Simulations!$A57&lt;&gt;"",OR(Simulations!$BI57&lt;&gt;"",N(Simulations!$BK57)&gt;0))),N(Simulations!$BJ57)&lt;=0),0,SQRT(2*Simulations!$BJ57*1000000/(Simulations!$J57*1000))/Simulations!$T57)</f>
        <v>0</v>
      </c>
      <c r="S57" s="0" t="n">
        <f aca="false">IF(AND(Simulations!$A57&lt;&gt;"",OR(Simulations!$BI57&lt;&gt;"",N(Simulations!$BK57)&gt;0)),1,0)</f>
        <v>0</v>
      </c>
      <c r="T57" s="0" t="n">
        <f aca="false">IF(OR(NOT(AND(Simulations!$A57&lt;&gt;"",OR(Simulations!$CA57&lt;&gt;"",N(Simulations!$CC57)&gt;0))),N(Simulations!$CD57)&lt;=0,N(Simulations!$CC57)&lt;=0,1&gt;N(Simulations!$O57)),0,IF(Simulations!$CD57&lt;Simulations!$J57,Simulations!$CC57/(Simulations!$G57*Simulations!$H57*IF(Simulations!$I57&gt;0,Simulations!$I57,1))*Simulations!$CD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D57/Simulations!$J57)^1.5+SQRT(LN(Simulations!$CD57/Simulations!$J57))+Simulations!$CD57/Simulations!$J57*SQRT(PI())/2*ERFC(SQRT(LN(Simulations!$CD57/Simulations!$J57)))),PI()*Simulations!$T57^2/2*(LN(Simulations!$CD57/Simulations!$J57)+1))))</f>
        <v>0</v>
      </c>
      <c r="U57" s="0" t="n">
        <f aca="false">IF(OR(NOT(AND(Simulations!$A57&lt;&gt;"",OR(Simulations!$CA57&lt;&gt;"",N(Simulations!$CC57)&gt;0))),N(Simulations!$CE57)&lt;=0,N(Simulations!$CC57)&lt;=0,2&gt;N(Simulations!$O57)),0,IF(Simulations!$CE57&lt;Simulations!$J57,Simulations!$CC57/(Simulations!$G57*Simulations!$H57*IF(Simulations!$I57&gt;0,Simulations!$I57,1))*Simulations!$CE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E57/Simulations!$J57)^1.5+SQRT(LN(Simulations!$CE57/Simulations!$J57))+Simulations!$CE57/Simulations!$J57*SQRT(PI())/2*ERFC(SQRT(LN(Simulations!$CE57/Simulations!$J57)))),PI()*Simulations!$T57^2/2*(LN(Simulations!$CE57/Simulations!$J57)+1))))</f>
        <v>0</v>
      </c>
      <c r="V57" s="0" t="n">
        <f aca="false">IF(OR(NOT(AND(Simulations!$A57&lt;&gt;"",OR(Simulations!$CA57&lt;&gt;"",N(Simulations!$CC57)&gt;0))),N(Simulations!$CF57)&lt;=0,N(Simulations!$CC57)&lt;=0,3&gt;N(Simulations!$O57)),0,IF(Simulations!$CF57&lt;Simulations!$J57,Simulations!$CC57/(Simulations!$G57*Simulations!$H57*IF(Simulations!$I57&gt;0,Simulations!$I57,1))*Simulations!$CF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F57/Simulations!$J57)^1.5+SQRT(LN(Simulations!$CF57/Simulations!$J57))+Simulations!$CF57/Simulations!$J57*SQRT(PI())/2*ERFC(SQRT(LN(Simulations!$CF57/Simulations!$J57)))),PI()*Simulations!$T57^2/2*(LN(Simulations!$CF57/Simulations!$J57)+1))))</f>
        <v>0</v>
      </c>
      <c r="W57" s="0" t="n">
        <f aca="false">IF(NOT(AND(Simulations!$A57&lt;&gt;"",OR(Simulations!$CA57&lt;&gt;"",N(Simulations!$CC57)&gt;0))),0,MAX(N(Simulations!$CD57),N(Simulations!$CE57),N(Simulations!$CF57))/Simulations!$J57)</f>
        <v>0</v>
      </c>
      <c r="X57" s="0" t="n">
        <f aca="false">IF(OR(NOT(AND(Simulations!$A57&lt;&gt;"",OR(Simulations!$CA57&lt;&gt;"",N(Simulations!$CC57)&gt;0))),N(Simulations!$CB57)&lt;=0),0,SQRT(2*Simulations!$CB57*1000000/(Simulations!$J57*1000))/Simulations!$T57)</f>
        <v>0</v>
      </c>
      <c r="Y57" s="0" t="n">
        <f aca="false">IF(AND(Simulations!$A57&lt;&gt;"",OR(Simulations!$CA57&lt;&gt;"",N(Simulations!$CC57)&gt;0)),1,0)</f>
        <v>0</v>
      </c>
      <c r="Z57" s="0" t="n">
        <f aca="false">IF(OR(NOT(AND(Simulations!$A57&lt;&gt;"",OR(Simulations!$CS57&lt;&gt;"",N(Simulations!$CU57)&gt;0))),N(Simulations!$CV57)&lt;=0,N(Simulations!$CU57)&lt;=0,1&gt;N(Simulations!$O57)),0,IF(Simulations!$CV57&lt;Simulations!$J57,Simulations!$CU57/(Simulations!$G57*Simulations!$H57*IF(Simulations!$I57&gt;0,Simulations!$I57,1))*Simulations!$CV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V57/Simulations!$J57)^1.5+SQRT(LN(Simulations!$CV57/Simulations!$J57))+Simulations!$CV57/Simulations!$J57*SQRT(PI())/2*ERFC(SQRT(LN(Simulations!$CV57/Simulations!$J57)))),PI()*Simulations!$T57^2/2*(LN(Simulations!$CV57/Simulations!$J57)+1))))</f>
        <v>0</v>
      </c>
      <c r="AA57" s="0" t="n">
        <f aca="false">IF(OR(NOT(AND(Simulations!$A57&lt;&gt;"",OR(Simulations!$CS57&lt;&gt;"",N(Simulations!$CU57)&gt;0))),N(Simulations!$CW57)&lt;=0,N(Simulations!$CU57)&lt;=0,2&gt;N(Simulations!$O57)),0,IF(Simulations!$CW57&lt;Simulations!$J57,Simulations!$CU57/(Simulations!$G57*Simulations!$H57*IF(Simulations!$I57&gt;0,Simulations!$I57,1))*Simulations!$CW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W57/Simulations!$J57)^1.5+SQRT(LN(Simulations!$CW57/Simulations!$J57))+Simulations!$CW57/Simulations!$J57*SQRT(PI())/2*ERFC(SQRT(LN(Simulations!$CW57/Simulations!$J57)))),PI()*Simulations!$T57^2/2*(LN(Simulations!$CW57/Simulations!$J57)+1))))</f>
        <v>0</v>
      </c>
      <c r="AB57" s="0" t="n">
        <f aca="false">IF(OR(NOT(AND(Simulations!$A57&lt;&gt;"",OR(Simulations!$CS57&lt;&gt;"",N(Simulations!$CU57)&gt;0))),N(Simulations!$CX57)&lt;=0,N(Simulations!$CU57)&lt;=0,3&gt;N(Simulations!$O57)),0,IF(Simulations!$CX57&lt;Simulations!$J57,Simulations!$CU57/(Simulations!$G57*Simulations!$H57*IF(Simulations!$I57&gt;0,Simulations!$I57,1))*Simulations!$CX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X57/Simulations!$J57)^1.5+SQRT(LN(Simulations!$CX57/Simulations!$J57))+Simulations!$CX57/Simulations!$J57*SQRT(PI())/2*ERFC(SQRT(LN(Simulations!$CX57/Simulations!$J57)))),PI()*Simulations!$T57^2/2*(LN(Simulations!$CX57/Simulations!$J57)+1))))</f>
        <v>0</v>
      </c>
      <c r="AC57" s="0" t="n">
        <f aca="false">IF(NOT(AND(Simulations!$A57&lt;&gt;"",OR(Simulations!$CS57&lt;&gt;"",N(Simulations!$CU57)&gt;0))),0,MAX(N(Simulations!$CV57),N(Simulations!$CW57),N(Simulations!$CX57))/Simulations!$J57)</f>
        <v>0</v>
      </c>
      <c r="AD57" s="0" t="n">
        <f aca="false">IF(OR(NOT(AND(Simulations!$A57&lt;&gt;"",OR(Simulations!$CS57&lt;&gt;"",N(Simulations!$CU57)&gt;0))),N(Simulations!$CT57)&lt;=0),0,SQRT(2*Simulations!$CT57*1000000/(Simulations!$J57*1000))/Simulations!$T57)</f>
        <v>0</v>
      </c>
      <c r="AE57" s="0" t="n">
        <f aca="false">IF(AND(Simulations!$A57&lt;&gt;"",OR(Simulations!$CS57&lt;&gt;"",N(Simulations!$CU57)&gt;0)),1,0)</f>
        <v>0</v>
      </c>
      <c r="AF57" s="0" t="n">
        <f aca="false">IF(OR(NOT(AND(Simulations!$A57&lt;&gt;"",OR(Simulations!$DK57&lt;&gt;"",N(Simulations!$DM57)&gt;0))),N(Simulations!$DN57)&lt;=0,N(Simulations!$DM57)&lt;=0,1&gt;N(Simulations!$O57)),0,IF(Simulations!$DN57&lt;Simulations!$J57,Simulations!$DM57/(Simulations!$G57*Simulations!$H57*IF(Simulations!$I57&gt;0,Simulations!$I57,1))*Simulations!$DN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N57/Simulations!$J57)^1.5+SQRT(LN(Simulations!$DN57/Simulations!$J57))+Simulations!$DN57/Simulations!$J57*SQRT(PI())/2*ERFC(SQRT(LN(Simulations!$DN57/Simulations!$J57)))),PI()*Simulations!$T57^2/2*(LN(Simulations!$DN57/Simulations!$J57)+1))))</f>
        <v>0</v>
      </c>
      <c r="AG57" s="0" t="n">
        <f aca="false">IF(OR(NOT(AND(Simulations!$A57&lt;&gt;"",OR(Simulations!$DK57&lt;&gt;"",N(Simulations!$DM57)&gt;0))),N(Simulations!$DO57)&lt;=0,N(Simulations!$DM57)&lt;=0,2&gt;N(Simulations!$O57)),0,IF(Simulations!$DO57&lt;Simulations!$J57,Simulations!$DM57/(Simulations!$G57*Simulations!$H57*IF(Simulations!$I57&gt;0,Simulations!$I57,1))*Simulations!$DO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O57/Simulations!$J57)^1.5+SQRT(LN(Simulations!$DO57/Simulations!$J57))+Simulations!$DO57/Simulations!$J57*SQRT(PI())/2*ERFC(SQRT(LN(Simulations!$DO57/Simulations!$J57)))),PI()*Simulations!$T57^2/2*(LN(Simulations!$DO57/Simulations!$J57)+1))))</f>
        <v>0</v>
      </c>
      <c r="AH57" s="0" t="n">
        <f aca="false">IF(OR(NOT(AND(Simulations!$A57&lt;&gt;"",OR(Simulations!$DK57&lt;&gt;"",N(Simulations!$DM57)&gt;0))),N(Simulations!$DP57)&lt;=0,N(Simulations!$DM57)&lt;=0,3&gt;N(Simulations!$O57)),0,IF(Simulations!$DP57&lt;Simulations!$J57,Simulations!$DM57/(Simulations!$G57*Simulations!$H57*IF(Simulations!$I57&gt;0,Simulations!$I57,1))*Simulations!$DP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P57/Simulations!$J57)^1.5+SQRT(LN(Simulations!$DP57/Simulations!$J57))+Simulations!$DP57/Simulations!$J57*SQRT(PI())/2*ERFC(SQRT(LN(Simulations!$DP57/Simulations!$J57)))),PI()*Simulations!$T57^2/2*(LN(Simulations!$DP57/Simulations!$J57)+1))))</f>
        <v>0</v>
      </c>
      <c r="AI57" s="0" t="n">
        <f aca="false">IF(NOT(AND(Simulations!$A57&lt;&gt;"",OR(Simulations!$DK57&lt;&gt;"",N(Simulations!$DM57)&gt;0))),0,MAX(N(Simulations!$DN57),N(Simulations!$DO57),N(Simulations!$DP57))/Simulations!$J57)</f>
        <v>0</v>
      </c>
      <c r="AJ57" s="0" t="n">
        <f aca="false">IF(OR(NOT(AND(Simulations!$A57&lt;&gt;"",OR(Simulations!$DK57&lt;&gt;"",N(Simulations!$DM57)&gt;0))),N(Simulations!$DL57)&lt;=0),0,SQRT(2*Simulations!$DL57*1000000/(Simulations!$J57*1000))/Simulations!$T57)</f>
        <v>0</v>
      </c>
      <c r="AK57" s="0" t="n">
        <f aca="false">IF(AND(Simulations!$A57&lt;&gt;"",OR(Simulations!$DK57&lt;&gt;"",N(Simulations!$DM57)&gt;0)),1,0)</f>
        <v>0</v>
      </c>
    </row>
    <row r="58" customFormat="false" ht="15" hidden="false" customHeight="false" outlineLevel="0" collapsed="false">
      <c r="B58" s="0" t="n">
        <f aca="false">IF(OR(NOT(AND(Simulations!$A58&lt;&gt;"",OR(Simulations!$Y58&lt;&gt;"",N(Simulations!$AA58)&gt;0))),N(Simulations!$AB58)&lt;=0,N(Simulations!$AA58)&lt;=0,1&gt;N(Simulations!$O58)),0,IF(Simulations!$AB58&lt;Simulations!$J58,Simulations!$AA58/(Simulations!$G58*Simulations!$H58*IF(Simulations!$I58&gt;0,Simulations!$I58,1))*Simulations!$AB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B58/Simulations!$J58)^1.5+SQRT(LN(Simulations!$AB58/Simulations!$J58))+Simulations!$AB58/Simulations!$J58*SQRT(PI())/2*ERFC(SQRT(LN(Simulations!$AB58/Simulations!$J58)))),PI()*Simulations!$T58^2/2*(LN(Simulations!$AB58/Simulations!$J58)+1))))</f>
        <v>0</v>
      </c>
      <c r="C58" s="0" t="n">
        <f aca="false">IF(OR(NOT(AND(Simulations!$A58&lt;&gt;"",OR(Simulations!$Y58&lt;&gt;"",N(Simulations!$AA58)&gt;0))),N(Simulations!$AC58)&lt;=0,N(Simulations!$AA58)&lt;=0,2&gt;N(Simulations!$O58)),0,IF(Simulations!$AC58&lt;Simulations!$J58,Simulations!$AA58/(Simulations!$G58*Simulations!$H58*IF(Simulations!$I58&gt;0,Simulations!$I58,1))*Simulations!$AC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C58/Simulations!$J58)^1.5+SQRT(LN(Simulations!$AC58/Simulations!$J58))+Simulations!$AC58/Simulations!$J58*SQRT(PI())/2*ERFC(SQRT(LN(Simulations!$AC58/Simulations!$J58)))),PI()*Simulations!$T58^2/2*(LN(Simulations!$AC58/Simulations!$J58)+1))))</f>
        <v>0</v>
      </c>
      <c r="D58" s="0" t="n">
        <f aca="false">IF(OR(NOT(AND(Simulations!$A58&lt;&gt;"",OR(Simulations!$Y58&lt;&gt;"",N(Simulations!$AA58)&gt;0))),N(Simulations!$AD58)&lt;=0,N(Simulations!$AA58)&lt;=0,3&gt;N(Simulations!$O58)),0,IF(Simulations!$AD58&lt;Simulations!$J58,Simulations!$AA58/(Simulations!$G58*Simulations!$H58*IF(Simulations!$I58&gt;0,Simulations!$I58,1))*Simulations!$AD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D58/Simulations!$J58)^1.5+SQRT(LN(Simulations!$AD58/Simulations!$J58))+Simulations!$AD58/Simulations!$J58*SQRT(PI())/2*ERFC(SQRT(LN(Simulations!$AD58/Simulations!$J58)))),PI()*Simulations!$T58^2/2*(LN(Simulations!$AD58/Simulations!$J58)+1))))</f>
        <v>0</v>
      </c>
      <c r="E58" s="0" t="n">
        <f aca="false">IF(NOT(AND(Simulations!$A58&lt;&gt;"",OR(Simulations!$Y58&lt;&gt;"",N(Simulations!$AA58)&gt;0))),0,MAX(N(Simulations!$AB58),N(Simulations!$AC58),N(Simulations!$AD58))/Simulations!$J58)</f>
        <v>0</v>
      </c>
      <c r="F58" s="0" t="n">
        <f aca="false">IF(OR(NOT(AND(Simulations!$A58&lt;&gt;"",OR(Simulations!$Y58&lt;&gt;"",N(Simulations!$AA58)&gt;0))),N(Simulations!$Z58)&lt;=0),0,SQRT(2*Simulations!$Z58*1000000/(Simulations!$J58*1000))/Simulations!$T58)</f>
        <v>0</v>
      </c>
      <c r="G58" s="0" t="n">
        <f aca="false">IF(AND(Simulations!$A58&lt;&gt;"",OR(Simulations!$Y58&lt;&gt;"",N(Simulations!$AA58)&gt;0)),1,0)</f>
        <v>0</v>
      </c>
      <c r="H58" s="0" t="n">
        <f aca="false">IF(OR(NOT(AND(Simulations!$A58&lt;&gt;"",OR(Simulations!$AQ58&lt;&gt;"",N(Simulations!$AS58)&gt;0))),N(Simulations!$AT58)&lt;=0,N(Simulations!$AS58)&lt;=0,1&gt;N(Simulations!$O58)),0,IF(Simulations!$AT58&lt;Simulations!$J58,Simulations!$AS58/(Simulations!$G58*Simulations!$H58*IF(Simulations!$I58&gt;0,Simulations!$I58,1))*Simulations!$AT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T58/Simulations!$J58)^1.5+SQRT(LN(Simulations!$AT58/Simulations!$J58))+Simulations!$AT58/Simulations!$J58*SQRT(PI())/2*ERFC(SQRT(LN(Simulations!$AT58/Simulations!$J58)))),PI()*Simulations!$T58^2/2*(LN(Simulations!$AT58/Simulations!$J58)+1))))</f>
        <v>0</v>
      </c>
      <c r="I58" s="0" t="n">
        <f aca="false">IF(OR(NOT(AND(Simulations!$A58&lt;&gt;"",OR(Simulations!$AQ58&lt;&gt;"",N(Simulations!$AS58)&gt;0))),N(Simulations!$AU58)&lt;=0,N(Simulations!$AS58)&lt;=0,2&gt;N(Simulations!$O58)),0,IF(Simulations!$AU58&lt;Simulations!$J58,Simulations!$AS58/(Simulations!$G58*Simulations!$H58*IF(Simulations!$I58&gt;0,Simulations!$I58,1))*Simulations!$AU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U58/Simulations!$J58)^1.5+SQRT(LN(Simulations!$AU58/Simulations!$J58))+Simulations!$AU58/Simulations!$J58*SQRT(PI())/2*ERFC(SQRT(LN(Simulations!$AU58/Simulations!$J58)))),PI()*Simulations!$T58^2/2*(LN(Simulations!$AU58/Simulations!$J58)+1))))</f>
        <v>0</v>
      </c>
      <c r="J58" s="0" t="n">
        <f aca="false">IF(OR(NOT(AND(Simulations!$A58&lt;&gt;"",OR(Simulations!$AQ58&lt;&gt;"",N(Simulations!$AS58)&gt;0))),N(Simulations!$AV58)&lt;=0,N(Simulations!$AS58)&lt;=0,3&gt;N(Simulations!$O58)),0,IF(Simulations!$AV58&lt;Simulations!$J58,Simulations!$AS58/(Simulations!$G58*Simulations!$H58*IF(Simulations!$I58&gt;0,Simulations!$I58,1))*Simulations!$AV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V58/Simulations!$J58)^1.5+SQRT(LN(Simulations!$AV58/Simulations!$J58))+Simulations!$AV58/Simulations!$J58*SQRT(PI())/2*ERFC(SQRT(LN(Simulations!$AV58/Simulations!$J58)))),PI()*Simulations!$T58^2/2*(LN(Simulations!$AV58/Simulations!$J58)+1))))</f>
        <v>0</v>
      </c>
      <c r="K58" s="0" t="n">
        <f aca="false">IF(NOT(AND(Simulations!$A58&lt;&gt;"",OR(Simulations!$AQ58&lt;&gt;"",N(Simulations!$AS58)&gt;0))),0,MAX(N(Simulations!$AT58),N(Simulations!$AU58),N(Simulations!$AV58))/Simulations!$J58)</f>
        <v>0</v>
      </c>
      <c r="L58" s="0" t="n">
        <f aca="false">IF(OR(NOT(AND(Simulations!$A58&lt;&gt;"",OR(Simulations!$AQ58&lt;&gt;"",N(Simulations!$AS58)&gt;0))),N(Simulations!$AR58)&lt;=0),0,SQRT(2*Simulations!$AR58*1000000/(Simulations!$J58*1000))/Simulations!$T58)</f>
        <v>0</v>
      </c>
      <c r="M58" s="0" t="n">
        <f aca="false">IF(AND(Simulations!$A58&lt;&gt;"",OR(Simulations!$AQ58&lt;&gt;"",N(Simulations!$AS58)&gt;0)),1,0)</f>
        <v>0</v>
      </c>
      <c r="N58" s="0" t="n">
        <f aca="false">IF(OR(NOT(AND(Simulations!$A58&lt;&gt;"",OR(Simulations!$BI58&lt;&gt;"",N(Simulations!$BK58)&gt;0))),N(Simulations!$BL58)&lt;=0,N(Simulations!$BK58)&lt;=0,1&gt;N(Simulations!$O58)),0,IF(Simulations!$BL58&lt;Simulations!$J58,Simulations!$BK58/(Simulations!$G58*Simulations!$H58*IF(Simulations!$I58&gt;0,Simulations!$I58,1))*Simulations!$BL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L58/Simulations!$J58)^1.5+SQRT(LN(Simulations!$BL58/Simulations!$J58))+Simulations!$BL58/Simulations!$J58*SQRT(PI())/2*ERFC(SQRT(LN(Simulations!$BL58/Simulations!$J58)))),PI()*Simulations!$T58^2/2*(LN(Simulations!$BL58/Simulations!$J58)+1))))</f>
        <v>0</v>
      </c>
      <c r="O58" s="0" t="n">
        <f aca="false">IF(OR(NOT(AND(Simulations!$A58&lt;&gt;"",OR(Simulations!$BI58&lt;&gt;"",N(Simulations!$BK58)&gt;0))),N(Simulations!$BM58)&lt;=0,N(Simulations!$BK58)&lt;=0,2&gt;N(Simulations!$O58)),0,IF(Simulations!$BM58&lt;Simulations!$J58,Simulations!$BK58/(Simulations!$G58*Simulations!$H58*IF(Simulations!$I58&gt;0,Simulations!$I58,1))*Simulations!$BM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M58/Simulations!$J58)^1.5+SQRT(LN(Simulations!$BM58/Simulations!$J58))+Simulations!$BM58/Simulations!$J58*SQRT(PI())/2*ERFC(SQRT(LN(Simulations!$BM58/Simulations!$J58)))),PI()*Simulations!$T58^2/2*(LN(Simulations!$BM58/Simulations!$J58)+1))))</f>
        <v>0</v>
      </c>
      <c r="P58" s="0" t="n">
        <f aca="false">IF(OR(NOT(AND(Simulations!$A58&lt;&gt;"",OR(Simulations!$BI58&lt;&gt;"",N(Simulations!$BK58)&gt;0))),N(Simulations!$BN58)&lt;=0,N(Simulations!$BK58)&lt;=0,3&gt;N(Simulations!$O58)),0,IF(Simulations!$BN58&lt;Simulations!$J58,Simulations!$BK58/(Simulations!$G58*Simulations!$H58*IF(Simulations!$I58&gt;0,Simulations!$I58,1))*Simulations!$BN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N58/Simulations!$J58)^1.5+SQRT(LN(Simulations!$BN58/Simulations!$J58))+Simulations!$BN58/Simulations!$J58*SQRT(PI())/2*ERFC(SQRT(LN(Simulations!$BN58/Simulations!$J58)))),PI()*Simulations!$T58^2/2*(LN(Simulations!$BN58/Simulations!$J58)+1))))</f>
        <v>0</v>
      </c>
      <c r="Q58" s="0" t="n">
        <f aca="false">IF(NOT(AND(Simulations!$A58&lt;&gt;"",OR(Simulations!$BI58&lt;&gt;"",N(Simulations!$BK58)&gt;0))),0,MAX(N(Simulations!$BL58),N(Simulations!$BM58),N(Simulations!$BN58))/Simulations!$J58)</f>
        <v>0</v>
      </c>
      <c r="R58" s="0" t="n">
        <f aca="false">IF(OR(NOT(AND(Simulations!$A58&lt;&gt;"",OR(Simulations!$BI58&lt;&gt;"",N(Simulations!$BK58)&gt;0))),N(Simulations!$BJ58)&lt;=0),0,SQRT(2*Simulations!$BJ58*1000000/(Simulations!$J58*1000))/Simulations!$T58)</f>
        <v>0</v>
      </c>
      <c r="S58" s="0" t="n">
        <f aca="false">IF(AND(Simulations!$A58&lt;&gt;"",OR(Simulations!$BI58&lt;&gt;"",N(Simulations!$BK58)&gt;0)),1,0)</f>
        <v>0</v>
      </c>
      <c r="T58" s="0" t="n">
        <f aca="false">IF(OR(NOT(AND(Simulations!$A58&lt;&gt;"",OR(Simulations!$CA58&lt;&gt;"",N(Simulations!$CC58)&gt;0))),N(Simulations!$CD58)&lt;=0,N(Simulations!$CC58)&lt;=0,1&gt;N(Simulations!$O58)),0,IF(Simulations!$CD58&lt;Simulations!$J58,Simulations!$CC58/(Simulations!$G58*Simulations!$H58*IF(Simulations!$I58&gt;0,Simulations!$I58,1))*Simulations!$CD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D58/Simulations!$J58)^1.5+SQRT(LN(Simulations!$CD58/Simulations!$J58))+Simulations!$CD58/Simulations!$J58*SQRT(PI())/2*ERFC(SQRT(LN(Simulations!$CD58/Simulations!$J58)))),PI()*Simulations!$T58^2/2*(LN(Simulations!$CD58/Simulations!$J58)+1))))</f>
        <v>0</v>
      </c>
      <c r="U58" s="0" t="n">
        <f aca="false">IF(OR(NOT(AND(Simulations!$A58&lt;&gt;"",OR(Simulations!$CA58&lt;&gt;"",N(Simulations!$CC58)&gt;0))),N(Simulations!$CE58)&lt;=0,N(Simulations!$CC58)&lt;=0,2&gt;N(Simulations!$O58)),0,IF(Simulations!$CE58&lt;Simulations!$J58,Simulations!$CC58/(Simulations!$G58*Simulations!$H58*IF(Simulations!$I58&gt;0,Simulations!$I58,1))*Simulations!$CE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E58/Simulations!$J58)^1.5+SQRT(LN(Simulations!$CE58/Simulations!$J58))+Simulations!$CE58/Simulations!$J58*SQRT(PI())/2*ERFC(SQRT(LN(Simulations!$CE58/Simulations!$J58)))),PI()*Simulations!$T58^2/2*(LN(Simulations!$CE58/Simulations!$J58)+1))))</f>
        <v>0</v>
      </c>
      <c r="V58" s="0" t="n">
        <f aca="false">IF(OR(NOT(AND(Simulations!$A58&lt;&gt;"",OR(Simulations!$CA58&lt;&gt;"",N(Simulations!$CC58)&gt;0))),N(Simulations!$CF58)&lt;=0,N(Simulations!$CC58)&lt;=0,3&gt;N(Simulations!$O58)),0,IF(Simulations!$CF58&lt;Simulations!$J58,Simulations!$CC58/(Simulations!$G58*Simulations!$H58*IF(Simulations!$I58&gt;0,Simulations!$I58,1))*Simulations!$CF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F58/Simulations!$J58)^1.5+SQRT(LN(Simulations!$CF58/Simulations!$J58))+Simulations!$CF58/Simulations!$J58*SQRT(PI())/2*ERFC(SQRT(LN(Simulations!$CF58/Simulations!$J58)))),PI()*Simulations!$T58^2/2*(LN(Simulations!$CF58/Simulations!$J58)+1))))</f>
        <v>0</v>
      </c>
      <c r="W58" s="0" t="n">
        <f aca="false">IF(NOT(AND(Simulations!$A58&lt;&gt;"",OR(Simulations!$CA58&lt;&gt;"",N(Simulations!$CC58)&gt;0))),0,MAX(N(Simulations!$CD58),N(Simulations!$CE58),N(Simulations!$CF58))/Simulations!$J58)</f>
        <v>0</v>
      </c>
      <c r="X58" s="0" t="n">
        <f aca="false">IF(OR(NOT(AND(Simulations!$A58&lt;&gt;"",OR(Simulations!$CA58&lt;&gt;"",N(Simulations!$CC58)&gt;0))),N(Simulations!$CB58)&lt;=0),0,SQRT(2*Simulations!$CB58*1000000/(Simulations!$J58*1000))/Simulations!$T58)</f>
        <v>0</v>
      </c>
      <c r="Y58" s="0" t="n">
        <f aca="false">IF(AND(Simulations!$A58&lt;&gt;"",OR(Simulations!$CA58&lt;&gt;"",N(Simulations!$CC58)&gt;0)),1,0)</f>
        <v>0</v>
      </c>
      <c r="Z58" s="0" t="n">
        <f aca="false">IF(OR(NOT(AND(Simulations!$A58&lt;&gt;"",OR(Simulations!$CS58&lt;&gt;"",N(Simulations!$CU58)&gt;0))),N(Simulations!$CV58)&lt;=0,N(Simulations!$CU58)&lt;=0,1&gt;N(Simulations!$O58)),0,IF(Simulations!$CV58&lt;Simulations!$J58,Simulations!$CU58/(Simulations!$G58*Simulations!$H58*IF(Simulations!$I58&gt;0,Simulations!$I58,1))*Simulations!$CV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V58/Simulations!$J58)^1.5+SQRT(LN(Simulations!$CV58/Simulations!$J58))+Simulations!$CV58/Simulations!$J58*SQRT(PI())/2*ERFC(SQRT(LN(Simulations!$CV58/Simulations!$J58)))),PI()*Simulations!$T58^2/2*(LN(Simulations!$CV58/Simulations!$J58)+1))))</f>
        <v>0</v>
      </c>
      <c r="AA58" s="0" t="n">
        <f aca="false">IF(OR(NOT(AND(Simulations!$A58&lt;&gt;"",OR(Simulations!$CS58&lt;&gt;"",N(Simulations!$CU58)&gt;0))),N(Simulations!$CW58)&lt;=0,N(Simulations!$CU58)&lt;=0,2&gt;N(Simulations!$O58)),0,IF(Simulations!$CW58&lt;Simulations!$J58,Simulations!$CU58/(Simulations!$G58*Simulations!$H58*IF(Simulations!$I58&gt;0,Simulations!$I58,1))*Simulations!$CW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W58/Simulations!$J58)^1.5+SQRT(LN(Simulations!$CW58/Simulations!$J58))+Simulations!$CW58/Simulations!$J58*SQRT(PI())/2*ERFC(SQRT(LN(Simulations!$CW58/Simulations!$J58)))),PI()*Simulations!$T58^2/2*(LN(Simulations!$CW58/Simulations!$J58)+1))))</f>
        <v>0</v>
      </c>
      <c r="AB58" s="0" t="n">
        <f aca="false">IF(OR(NOT(AND(Simulations!$A58&lt;&gt;"",OR(Simulations!$CS58&lt;&gt;"",N(Simulations!$CU58)&gt;0))),N(Simulations!$CX58)&lt;=0,N(Simulations!$CU58)&lt;=0,3&gt;N(Simulations!$O58)),0,IF(Simulations!$CX58&lt;Simulations!$J58,Simulations!$CU58/(Simulations!$G58*Simulations!$H58*IF(Simulations!$I58&gt;0,Simulations!$I58,1))*Simulations!$CX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X58/Simulations!$J58)^1.5+SQRT(LN(Simulations!$CX58/Simulations!$J58))+Simulations!$CX58/Simulations!$J58*SQRT(PI())/2*ERFC(SQRT(LN(Simulations!$CX58/Simulations!$J58)))),PI()*Simulations!$T58^2/2*(LN(Simulations!$CX58/Simulations!$J58)+1))))</f>
        <v>0</v>
      </c>
      <c r="AC58" s="0" t="n">
        <f aca="false">IF(NOT(AND(Simulations!$A58&lt;&gt;"",OR(Simulations!$CS58&lt;&gt;"",N(Simulations!$CU58)&gt;0))),0,MAX(N(Simulations!$CV58),N(Simulations!$CW58),N(Simulations!$CX58))/Simulations!$J58)</f>
        <v>0</v>
      </c>
      <c r="AD58" s="0" t="n">
        <f aca="false">IF(OR(NOT(AND(Simulations!$A58&lt;&gt;"",OR(Simulations!$CS58&lt;&gt;"",N(Simulations!$CU58)&gt;0))),N(Simulations!$CT58)&lt;=0),0,SQRT(2*Simulations!$CT58*1000000/(Simulations!$J58*1000))/Simulations!$T58)</f>
        <v>0</v>
      </c>
      <c r="AE58" s="0" t="n">
        <f aca="false">IF(AND(Simulations!$A58&lt;&gt;"",OR(Simulations!$CS58&lt;&gt;"",N(Simulations!$CU58)&gt;0)),1,0)</f>
        <v>0</v>
      </c>
      <c r="AF58" s="0" t="n">
        <f aca="false">IF(OR(NOT(AND(Simulations!$A58&lt;&gt;"",OR(Simulations!$DK58&lt;&gt;"",N(Simulations!$DM58)&gt;0))),N(Simulations!$DN58)&lt;=0,N(Simulations!$DM58)&lt;=0,1&gt;N(Simulations!$O58)),0,IF(Simulations!$DN58&lt;Simulations!$J58,Simulations!$DM58/(Simulations!$G58*Simulations!$H58*IF(Simulations!$I58&gt;0,Simulations!$I58,1))*Simulations!$DN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N58/Simulations!$J58)^1.5+SQRT(LN(Simulations!$DN58/Simulations!$J58))+Simulations!$DN58/Simulations!$J58*SQRT(PI())/2*ERFC(SQRT(LN(Simulations!$DN58/Simulations!$J58)))),PI()*Simulations!$T58^2/2*(LN(Simulations!$DN58/Simulations!$J58)+1))))</f>
        <v>0</v>
      </c>
      <c r="AG58" s="0" t="n">
        <f aca="false">IF(OR(NOT(AND(Simulations!$A58&lt;&gt;"",OR(Simulations!$DK58&lt;&gt;"",N(Simulations!$DM58)&gt;0))),N(Simulations!$DO58)&lt;=0,N(Simulations!$DM58)&lt;=0,2&gt;N(Simulations!$O58)),0,IF(Simulations!$DO58&lt;Simulations!$J58,Simulations!$DM58/(Simulations!$G58*Simulations!$H58*IF(Simulations!$I58&gt;0,Simulations!$I58,1))*Simulations!$DO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O58/Simulations!$J58)^1.5+SQRT(LN(Simulations!$DO58/Simulations!$J58))+Simulations!$DO58/Simulations!$J58*SQRT(PI())/2*ERFC(SQRT(LN(Simulations!$DO58/Simulations!$J58)))),PI()*Simulations!$T58^2/2*(LN(Simulations!$DO58/Simulations!$J58)+1))))</f>
        <v>0</v>
      </c>
      <c r="AH58" s="0" t="n">
        <f aca="false">IF(OR(NOT(AND(Simulations!$A58&lt;&gt;"",OR(Simulations!$DK58&lt;&gt;"",N(Simulations!$DM58)&gt;0))),N(Simulations!$DP58)&lt;=0,N(Simulations!$DM58)&lt;=0,3&gt;N(Simulations!$O58)),0,IF(Simulations!$DP58&lt;Simulations!$J58,Simulations!$DM58/(Simulations!$G58*Simulations!$H58*IF(Simulations!$I58&gt;0,Simulations!$I58,1))*Simulations!$DP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P58/Simulations!$J58)^1.5+SQRT(LN(Simulations!$DP58/Simulations!$J58))+Simulations!$DP58/Simulations!$J58*SQRT(PI())/2*ERFC(SQRT(LN(Simulations!$DP58/Simulations!$J58)))),PI()*Simulations!$T58^2/2*(LN(Simulations!$DP58/Simulations!$J58)+1))))</f>
        <v>0</v>
      </c>
      <c r="AI58" s="0" t="n">
        <f aca="false">IF(NOT(AND(Simulations!$A58&lt;&gt;"",OR(Simulations!$DK58&lt;&gt;"",N(Simulations!$DM58)&gt;0))),0,MAX(N(Simulations!$DN58),N(Simulations!$DO58),N(Simulations!$DP58))/Simulations!$J58)</f>
        <v>0</v>
      </c>
      <c r="AJ58" s="0" t="n">
        <f aca="false">IF(OR(NOT(AND(Simulations!$A58&lt;&gt;"",OR(Simulations!$DK58&lt;&gt;"",N(Simulations!$DM58)&gt;0))),N(Simulations!$DL58)&lt;=0),0,SQRT(2*Simulations!$DL58*1000000/(Simulations!$J58*1000))/Simulations!$T58)</f>
        <v>0</v>
      </c>
      <c r="AK58" s="0" t="n">
        <f aca="false">IF(AND(Simulations!$A58&lt;&gt;"",OR(Simulations!$DK58&lt;&gt;"",N(Simulations!$DM58)&gt;0)),1,0)</f>
        <v>0</v>
      </c>
    </row>
    <row r="59" customFormat="false" ht="15" hidden="false" customHeight="false" outlineLevel="0" collapsed="false">
      <c r="B59" s="0" t="n">
        <f aca="false">IF(OR(NOT(AND(Simulations!$A59&lt;&gt;"",OR(Simulations!$Y59&lt;&gt;"",N(Simulations!$AA59)&gt;0))),N(Simulations!$AB59)&lt;=0,N(Simulations!$AA59)&lt;=0,1&gt;N(Simulations!$O59)),0,IF(Simulations!$AB59&lt;Simulations!$J59,Simulations!$AA59/(Simulations!$G59*Simulations!$H59*IF(Simulations!$I59&gt;0,Simulations!$I59,1))*Simulations!$AB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B59/Simulations!$J59)^1.5+SQRT(LN(Simulations!$AB59/Simulations!$J59))+Simulations!$AB59/Simulations!$J59*SQRT(PI())/2*ERFC(SQRT(LN(Simulations!$AB59/Simulations!$J59)))),PI()*Simulations!$T59^2/2*(LN(Simulations!$AB59/Simulations!$J59)+1))))</f>
        <v>0</v>
      </c>
      <c r="C59" s="0" t="n">
        <f aca="false">IF(OR(NOT(AND(Simulations!$A59&lt;&gt;"",OR(Simulations!$Y59&lt;&gt;"",N(Simulations!$AA59)&gt;0))),N(Simulations!$AC59)&lt;=0,N(Simulations!$AA59)&lt;=0,2&gt;N(Simulations!$O59)),0,IF(Simulations!$AC59&lt;Simulations!$J59,Simulations!$AA59/(Simulations!$G59*Simulations!$H59*IF(Simulations!$I59&gt;0,Simulations!$I59,1))*Simulations!$AC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C59/Simulations!$J59)^1.5+SQRT(LN(Simulations!$AC59/Simulations!$J59))+Simulations!$AC59/Simulations!$J59*SQRT(PI())/2*ERFC(SQRT(LN(Simulations!$AC59/Simulations!$J59)))),PI()*Simulations!$T59^2/2*(LN(Simulations!$AC59/Simulations!$J59)+1))))</f>
        <v>0</v>
      </c>
      <c r="D59" s="0" t="n">
        <f aca="false">IF(OR(NOT(AND(Simulations!$A59&lt;&gt;"",OR(Simulations!$Y59&lt;&gt;"",N(Simulations!$AA59)&gt;0))),N(Simulations!$AD59)&lt;=0,N(Simulations!$AA59)&lt;=0,3&gt;N(Simulations!$O59)),0,IF(Simulations!$AD59&lt;Simulations!$J59,Simulations!$AA59/(Simulations!$G59*Simulations!$H59*IF(Simulations!$I59&gt;0,Simulations!$I59,1))*Simulations!$AD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D59/Simulations!$J59)^1.5+SQRT(LN(Simulations!$AD59/Simulations!$J59))+Simulations!$AD59/Simulations!$J59*SQRT(PI())/2*ERFC(SQRT(LN(Simulations!$AD59/Simulations!$J59)))),PI()*Simulations!$T59^2/2*(LN(Simulations!$AD59/Simulations!$J59)+1))))</f>
        <v>0</v>
      </c>
      <c r="E59" s="0" t="n">
        <f aca="false">IF(NOT(AND(Simulations!$A59&lt;&gt;"",OR(Simulations!$Y59&lt;&gt;"",N(Simulations!$AA59)&gt;0))),0,MAX(N(Simulations!$AB59),N(Simulations!$AC59),N(Simulations!$AD59))/Simulations!$J59)</f>
        <v>0</v>
      </c>
      <c r="F59" s="0" t="n">
        <f aca="false">IF(OR(NOT(AND(Simulations!$A59&lt;&gt;"",OR(Simulations!$Y59&lt;&gt;"",N(Simulations!$AA59)&gt;0))),N(Simulations!$Z59)&lt;=0),0,SQRT(2*Simulations!$Z59*1000000/(Simulations!$J59*1000))/Simulations!$T59)</f>
        <v>0</v>
      </c>
      <c r="G59" s="0" t="n">
        <f aca="false">IF(AND(Simulations!$A59&lt;&gt;"",OR(Simulations!$Y59&lt;&gt;"",N(Simulations!$AA59)&gt;0)),1,0)</f>
        <v>0</v>
      </c>
      <c r="H59" s="0" t="n">
        <f aca="false">IF(OR(NOT(AND(Simulations!$A59&lt;&gt;"",OR(Simulations!$AQ59&lt;&gt;"",N(Simulations!$AS59)&gt;0))),N(Simulations!$AT59)&lt;=0,N(Simulations!$AS59)&lt;=0,1&gt;N(Simulations!$O59)),0,IF(Simulations!$AT59&lt;Simulations!$J59,Simulations!$AS59/(Simulations!$G59*Simulations!$H59*IF(Simulations!$I59&gt;0,Simulations!$I59,1))*Simulations!$AT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T59/Simulations!$J59)^1.5+SQRT(LN(Simulations!$AT59/Simulations!$J59))+Simulations!$AT59/Simulations!$J59*SQRT(PI())/2*ERFC(SQRT(LN(Simulations!$AT59/Simulations!$J59)))),PI()*Simulations!$T59^2/2*(LN(Simulations!$AT59/Simulations!$J59)+1))))</f>
        <v>0</v>
      </c>
      <c r="I59" s="0" t="n">
        <f aca="false">IF(OR(NOT(AND(Simulations!$A59&lt;&gt;"",OR(Simulations!$AQ59&lt;&gt;"",N(Simulations!$AS59)&gt;0))),N(Simulations!$AU59)&lt;=0,N(Simulations!$AS59)&lt;=0,2&gt;N(Simulations!$O59)),0,IF(Simulations!$AU59&lt;Simulations!$J59,Simulations!$AS59/(Simulations!$G59*Simulations!$H59*IF(Simulations!$I59&gt;0,Simulations!$I59,1))*Simulations!$AU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U59/Simulations!$J59)^1.5+SQRT(LN(Simulations!$AU59/Simulations!$J59))+Simulations!$AU59/Simulations!$J59*SQRT(PI())/2*ERFC(SQRT(LN(Simulations!$AU59/Simulations!$J59)))),PI()*Simulations!$T59^2/2*(LN(Simulations!$AU59/Simulations!$J59)+1))))</f>
        <v>0</v>
      </c>
      <c r="J59" s="0" t="n">
        <f aca="false">IF(OR(NOT(AND(Simulations!$A59&lt;&gt;"",OR(Simulations!$AQ59&lt;&gt;"",N(Simulations!$AS59)&gt;0))),N(Simulations!$AV59)&lt;=0,N(Simulations!$AS59)&lt;=0,3&gt;N(Simulations!$O59)),0,IF(Simulations!$AV59&lt;Simulations!$J59,Simulations!$AS59/(Simulations!$G59*Simulations!$H59*IF(Simulations!$I59&gt;0,Simulations!$I59,1))*Simulations!$AV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V59/Simulations!$J59)^1.5+SQRT(LN(Simulations!$AV59/Simulations!$J59))+Simulations!$AV59/Simulations!$J59*SQRT(PI())/2*ERFC(SQRT(LN(Simulations!$AV59/Simulations!$J59)))),PI()*Simulations!$T59^2/2*(LN(Simulations!$AV59/Simulations!$J59)+1))))</f>
        <v>0</v>
      </c>
      <c r="K59" s="0" t="n">
        <f aca="false">IF(NOT(AND(Simulations!$A59&lt;&gt;"",OR(Simulations!$AQ59&lt;&gt;"",N(Simulations!$AS59)&gt;0))),0,MAX(N(Simulations!$AT59),N(Simulations!$AU59),N(Simulations!$AV59))/Simulations!$J59)</f>
        <v>0</v>
      </c>
      <c r="L59" s="0" t="n">
        <f aca="false">IF(OR(NOT(AND(Simulations!$A59&lt;&gt;"",OR(Simulations!$AQ59&lt;&gt;"",N(Simulations!$AS59)&gt;0))),N(Simulations!$AR59)&lt;=0),0,SQRT(2*Simulations!$AR59*1000000/(Simulations!$J59*1000))/Simulations!$T59)</f>
        <v>0</v>
      </c>
      <c r="M59" s="0" t="n">
        <f aca="false">IF(AND(Simulations!$A59&lt;&gt;"",OR(Simulations!$AQ59&lt;&gt;"",N(Simulations!$AS59)&gt;0)),1,0)</f>
        <v>0</v>
      </c>
      <c r="N59" s="0" t="n">
        <f aca="false">IF(OR(NOT(AND(Simulations!$A59&lt;&gt;"",OR(Simulations!$BI59&lt;&gt;"",N(Simulations!$BK59)&gt;0))),N(Simulations!$BL59)&lt;=0,N(Simulations!$BK59)&lt;=0,1&gt;N(Simulations!$O59)),0,IF(Simulations!$BL59&lt;Simulations!$J59,Simulations!$BK59/(Simulations!$G59*Simulations!$H59*IF(Simulations!$I59&gt;0,Simulations!$I59,1))*Simulations!$BL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L59/Simulations!$J59)^1.5+SQRT(LN(Simulations!$BL59/Simulations!$J59))+Simulations!$BL59/Simulations!$J59*SQRT(PI())/2*ERFC(SQRT(LN(Simulations!$BL59/Simulations!$J59)))),PI()*Simulations!$T59^2/2*(LN(Simulations!$BL59/Simulations!$J59)+1))))</f>
        <v>0</v>
      </c>
      <c r="O59" s="0" t="n">
        <f aca="false">IF(OR(NOT(AND(Simulations!$A59&lt;&gt;"",OR(Simulations!$BI59&lt;&gt;"",N(Simulations!$BK59)&gt;0))),N(Simulations!$BM59)&lt;=0,N(Simulations!$BK59)&lt;=0,2&gt;N(Simulations!$O59)),0,IF(Simulations!$BM59&lt;Simulations!$J59,Simulations!$BK59/(Simulations!$G59*Simulations!$H59*IF(Simulations!$I59&gt;0,Simulations!$I59,1))*Simulations!$BM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M59/Simulations!$J59)^1.5+SQRT(LN(Simulations!$BM59/Simulations!$J59))+Simulations!$BM59/Simulations!$J59*SQRT(PI())/2*ERFC(SQRT(LN(Simulations!$BM59/Simulations!$J59)))),PI()*Simulations!$T59^2/2*(LN(Simulations!$BM59/Simulations!$J59)+1))))</f>
        <v>0</v>
      </c>
      <c r="P59" s="0" t="n">
        <f aca="false">IF(OR(NOT(AND(Simulations!$A59&lt;&gt;"",OR(Simulations!$BI59&lt;&gt;"",N(Simulations!$BK59)&gt;0))),N(Simulations!$BN59)&lt;=0,N(Simulations!$BK59)&lt;=0,3&gt;N(Simulations!$O59)),0,IF(Simulations!$BN59&lt;Simulations!$J59,Simulations!$BK59/(Simulations!$G59*Simulations!$H59*IF(Simulations!$I59&gt;0,Simulations!$I59,1))*Simulations!$BN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N59/Simulations!$J59)^1.5+SQRT(LN(Simulations!$BN59/Simulations!$J59))+Simulations!$BN59/Simulations!$J59*SQRT(PI())/2*ERFC(SQRT(LN(Simulations!$BN59/Simulations!$J59)))),PI()*Simulations!$T59^2/2*(LN(Simulations!$BN59/Simulations!$J59)+1))))</f>
        <v>0</v>
      </c>
      <c r="Q59" s="0" t="n">
        <f aca="false">IF(NOT(AND(Simulations!$A59&lt;&gt;"",OR(Simulations!$BI59&lt;&gt;"",N(Simulations!$BK59)&gt;0))),0,MAX(N(Simulations!$BL59),N(Simulations!$BM59),N(Simulations!$BN59))/Simulations!$J59)</f>
        <v>0</v>
      </c>
      <c r="R59" s="0" t="n">
        <f aca="false">IF(OR(NOT(AND(Simulations!$A59&lt;&gt;"",OR(Simulations!$BI59&lt;&gt;"",N(Simulations!$BK59)&gt;0))),N(Simulations!$BJ59)&lt;=0),0,SQRT(2*Simulations!$BJ59*1000000/(Simulations!$J59*1000))/Simulations!$T59)</f>
        <v>0</v>
      </c>
      <c r="S59" s="0" t="n">
        <f aca="false">IF(AND(Simulations!$A59&lt;&gt;"",OR(Simulations!$BI59&lt;&gt;"",N(Simulations!$BK59)&gt;0)),1,0)</f>
        <v>0</v>
      </c>
      <c r="T59" s="0" t="n">
        <f aca="false">IF(OR(NOT(AND(Simulations!$A59&lt;&gt;"",OR(Simulations!$CA59&lt;&gt;"",N(Simulations!$CC59)&gt;0))),N(Simulations!$CD59)&lt;=0,N(Simulations!$CC59)&lt;=0,1&gt;N(Simulations!$O59)),0,IF(Simulations!$CD59&lt;Simulations!$J59,Simulations!$CC59/(Simulations!$G59*Simulations!$H59*IF(Simulations!$I59&gt;0,Simulations!$I59,1))*Simulations!$CD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D59/Simulations!$J59)^1.5+SQRT(LN(Simulations!$CD59/Simulations!$J59))+Simulations!$CD59/Simulations!$J59*SQRT(PI())/2*ERFC(SQRT(LN(Simulations!$CD59/Simulations!$J59)))),PI()*Simulations!$T59^2/2*(LN(Simulations!$CD59/Simulations!$J59)+1))))</f>
        <v>0</v>
      </c>
      <c r="U59" s="0" t="n">
        <f aca="false">IF(OR(NOT(AND(Simulations!$A59&lt;&gt;"",OR(Simulations!$CA59&lt;&gt;"",N(Simulations!$CC59)&gt;0))),N(Simulations!$CE59)&lt;=0,N(Simulations!$CC59)&lt;=0,2&gt;N(Simulations!$O59)),0,IF(Simulations!$CE59&lt;Simulations!$J59,Simulations!$CC59/(Simulations!$G59*Simulations!$H59*IF(Simulations!$I59&gt;0,Simulations!$I59,1))*Simulations!$CE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E59/Simulations!$J59)^1.5+SQRT(LN(Simulations!$CE59/Simulations!$J59))+Simulations!$CE59/Simulations!$J59*SQRT(PI())/2*ERFC(SQRT(LN(Simulations!$CE59/Simulations!$J59)))),PI()*Simulations!$T59^2/2*(LN(Simulations!$CE59/Simulations!$J59)+1))))</f>
        <v>0</v>
      </c>
      <c r="V59" s="0" t="n">
        <f aca="false">IF(OR(NOT(AND(Simulations!$A59&lt;&gt;"",OR(Simulations!$CA59&lt;&gt;"",N(Simulations!$CC59)&gt;0))),N(Simulations!$CF59)&lt;=0,N(Simulations!$CC59)&lt;=0,3&gt;N(Simulations!$O59)),0,IF(Simulations!$CF59&lt;Simulations!$J59,Simulations!$CC59/(Simulations!$G59*Simulations!$H59*IF(Simulations!$I59&gt;0,Simulations!$I59,1))*Simulations!$CF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F59/Simulations!$J59)^1.5+SQRT(LN(Simulations!$CF59/Simulations!$J59))+Simulations!$CF59/Simulations!$J59*SQRT(PI())/2*ERFC(SQRT(LN(Simulations!$CF59/Simulations!$J59)))),PI()*Simulations!$T59^2/2*(LN(Simulations!$CF59/Simulations!$J59)+1))))</f>
        <v>0</v>
      </c>
      <c r="W59" s="0" t="n">
        <f aca="false">IF(NOT(AND(Simulations!$A59&lt;&gt;"",OR(Simulations!$CA59&lt;&gt;"",N(Simulations!$CC59)&gt;0))),0,MAX(N(Simulations!$CD59),N(Simulations!$CE59),N(Simulations!$CF59))/Simulations!$J59)</f>
        <v>0</v>
      </c>
      <c r="X59" s="0" t="n">
        <f aca="false">IF(OR(NOT(AND(Simulations!$A59&lt;&gt;"",OR(Simulations!$CA59&lt;&gt;"",N(Simulations!$CC59)&gt;0))),N(Simulations!$CB59)&lt;=0),0,SQRT(2*Simulations!$CB59*1000000/(Simulations!$J59*1000))/Simulations!$T59)</f>
        <v>0</v>
      </c>
      <c r="Y59" s="0" t="n">
        <f aca="false">IF(AND(Simulations!$A59&lt;&gt;"",OR(Simulations!$CA59&lt;&gt;"",N(Simulations!$CC59)&gt;0)),1,0)</f>
        <v>0</v>
      </c>
      <c r="Z59" s="0" t="n">
        <f aca="false">IF(OR(NOT(AND(Simulations!$A59&lt;&gt;"",OR(Simulations!$CS59&lt;&gt;"",N(Simulations!$CU59)&gt;0))),N(Simulations!$CV59)&lt;=0,N(Simulations!$CU59)&lt;=0,1&gt;N(Simulations!$O59)),0,IF(Simulations!$CV59&lt;Simulations!$J59,Simulations!$CU59/(Simulations!$G59*Simulations!$H59*IF(Simulations!$I59&gt;0,Simulations!$I59,1))*Simulations!$CV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V59/Simulations!$J59)^1.5+SQRT(LN(Simulations!$CV59/Simulations!$J59))+Simulations!$CV59/Simulations!$J59*SQRT(PI())/2*ERFC(SQRT(LN(Simulations!$CV59/Simulations!$J59)))),PI()*Simulations!$T59^2/2*(LN(Simulations!$CV59/Simulations!$J59)+1))))</f>
        <v>0</v>
      </c>
      <c r="AA59" s="0" t="n">
        <f aca="false">IF(OR(NOT(AND(Simulations!$A59&lt;&gt;"",OR(Simulations!$CS59&lt;&gt;"",N(Simulations!$CU59)&gt;0))),N(Simulations!$CW59)&lt;=0,N(Simulations!$CU59)&lt;=0,2&gt;N(Simulations!$O59)),0,IF(Simulations!$CW59&lt;Simulations!$J59,Simulations!$CU59/(Simulations!$G59*Simulations!$H59*IF(Simulations!$I59&gt;0,Simulations!$I59,1))*Simulations!$CW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W59/Simulations!$J59)^1.5+SQRT(LN(Simulations!$CW59/Simulations!$J59))+Simulations!$CW59/Simulations!$J59*SQRT(PI())/2*ERFC(SQRT(LN(Simulations!$CW59/Simulations!$J59)))),PI()*Simulations!$T59^2/2*(LN(Simulations!$CW59/Simulations!$J59)+1))))</f>
        <v>0</v>
      </c>
      <c r="AB59" s="0" t="n">
        <f aca="false">IF(OR(NOT(AND(Simulations!$A59&lt;&gt;"",OR(Simulations!$CS59&lt;&gt;"",N(Simulations!$CU59)&gt;0))),N(Simulations!$CX59)&lt;=0,N(Simulations!$CU59)&lt;=0,3&gt;N(Simulations!$O59)),0,IF(Simulations!$CX59&lt;Simulations!$J59,Simulations!$CU59/(Simulations!$G59*Simulations!$H59*IF(Simulations!$I59&gt;0,Simulations!$I59,1))*Simulations!$CX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X59/Simulations!$J59)^1.5+SQRT(LN(Simulations!$CX59/Simulations!$J59))+Simulations!$CX59/Simulations!$J59*SQRT(PI())/2*ERFC(SQRT(LN(Simulations!$CX59/Simulations!$J59)))),PI()*Simulations!$T59^2/2*(LN(Simulations!$CX59/Simulations!$J59)+1))))</f>
        <v>0</v>
      </c>
      <c r="AC59" s="0" t="n">
        <f aca="false">IF(NOT(AND(Simulations!$A59&lt;&gt;"",OR(Simulations!$CS59&lt;&gt;"",N(Simulations!$CU59)&gt;0))),0,MAX(N(Simulations!$CV59),N(Simulations!$CW59),N(Simulations!$CX59))/Simulations!$J59)</f>
        <v>0</v>
      </c>
      <c r="AD59" s="0" t="n">
        <f aca="false">IF(OR(NOT(AND(Simulations!$A59&lt;&gt;"",OR(Simulations!$CS59&lt;&gt;"",N(Simulations!$CU59)&gt;0))),N(Simulations!$CT59)&lt;=0),0,SQRT(2*Simulations!$CT59*1000000/(Simulations!$J59*1000))/Simulations!$T59)</f>
        <v>0</v>
      </c>
      <c r="AE59" s="0" t="n">
        <f aca="false">IF(AND(Simulations!$A59&lt;&gt;"",OR(Simulations!$CS59&lt;&gt;"",N(Simulations!$CU59)&gt;0)),1,0)</f>
        <v>0</v>
      </c>
      <c r="AF59" s="0" t="n">
        <f aca="false">IF(OR(NOT(AND(Simulations!$A59&lt;&gt;"",OR(Simulations!$DK59&lt;&gt;"",N(Simulations!$DM59)&gt;0))),N(Simulations!$DN59)&lt;=0,N(Simulations!$DM59)&lt;=0,1&gt;N(Simulations!$O59)),0,IF(Simulations!$DN59&lt;Simulations!$J59,Simulations!$DM59/(Simulations!$G59*Simulations!$H59*IF(Simulations!$I59&gt;0,Simulations!$I59,1))*Simulations!$DN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N59/Simulations!$J59)^1.5+SQRT(LN(Simulations!$DN59/Simulations!$J59))+Simulations!$DN59/Simulations!$J59*SQRT(PI())/2*ERFC(SQRT(LN(Simulations!$DN59/Simulations!$J59)))),PI()*Simulations!$T59^2/2*(LN(Simulations!$DN59/Simulations!$J59)+1))))</f>
        <v>0</v>
      </c>
      <c r="AG59" s="0" t="n">
        <f aca="false">IF(OR(NOT(AND(Simulations!$A59&lt;&gt;"",OR(Simulations!$DK59&lt;&gt;"",N(Simulations!$DM59)&gt;0))),N(Simulations!$DO59)&lt;=0,N(Simulations!$DM59)&lt;=0,2&gt;N(Simulations!$O59)),0,IF(Simulations!$DO59&lt;Simulations!$J59,Simulations!$DM59/(Simulations!$G59*Simulations!$H59*IF(Simulations!$I59&gt;0,Simulations!$I59,1))*Simulations!$DO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O59/Simulations!$J59)^1.5+SQRT(LN(Simulations!$DO59/Simulations!$J59))+Simulations!$DO59/Simulations!$J59*SQRT(PI())/2*ERFC(SQRT(LN(Simulations!$DO59/Simulations!$J59)))),PI()*Simulations!$T59^2/2*(LN(Simulations!$DO59/Simulations!$J59)+1))))</f>
        <v>0</v>
      </c>
      <c r="AH59" s="0" t="n">
        <f aca="false">IF(OR(NOT(AND(Simulations!$A59&lt;&gt;"",OR(Simulations!$DK59&lt;&gt;"",N(Simulations!$DM59)&gt;0))),N(Simulations!$DP59)&lt;=0,N(Simulations!$DM59)&lt;=0,3&gt;N(Simulations!$O59)),0,IF(Simulations!$DP59&lt;Simulations!$J59,Simulations!$DM59/(Simulations!$G59*Simulations!$H59*IF(Simulations!$I59&gt;0,Simulations!$I59,1))*Simulations!$DP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P59/Simulations!$J59)^1.5+SQRT(LN(Simulations!$DP59/Simulations!$J59))+Simulations!$DP59/Simulations!$J59*SQRT(PI())/2*ERFC(SQRT(LN(Simulations!$DP59/Simulations!$J59)))),PI()*Simulations!$T59^2/2*(LN(Simulations!$DP59/Simulations!$J59)+1))))</f>
        <v>0</v>
      </c>
      <c r="AI59" s="0" t="n">
        <f aca="false">IF(NOT(AND(Simulations!$A59&lt;&gt;"",OR(Simulations!$DK59&lt;&gt;"",N(Simulations!$DM59)&gt;0))),0,MAX(N(Simulations!$DN59),N(Simulations!$DO59),N(Simulations!$DP59))/Simulations!$J59)</f>
        <v>0</v>
      </c>
      <c r="AJ59" s="0" t="n">
        <f aca="false">IF(OR(NOT(AND(Simulations!$A59&lt;&gt;"",OR(Simulations!$DK59&lt;&gt;"",N(Simulations!$DM59)&gt;0))),N(Simulations!$DL59)&lt;=0),0,SQRT(2*Simulations!$DL59*1000000/(Simulations!$J59*1000))/Simulations!$T59)</f>
        <v>0</v>
      </c>
      <c r="AK59" s="0" t="n">
        <f aca="false">IF(AND(Simulations!$A59&lt;&gt;"",OR(Simulations!$DK59&lt;&gt;"",N(Simulations!$DM59)&gt;0)),1,0)</f>
        <v>0</v>
      </c>
    </row>
    <row r="60" customFormat="false" ht="15" hidden="false" customHeight="false" outlineLevel="0" collapsed="false">
      <c r="B60" s="0" t="n">
        <f aca="false">IF(OR(NOT(AND(Simulations!$A60&lt;&gt;"",OR(Simulations!$Y60&lt;&gt;"",N(Simulations!$AA60)&gt;0))),N(Simulations!$AB60)&lt;=0,N(Simulations!$AA60)&lt;=0,1&gt;N(Simulations!$O60)),0,IF(Simulations!$AB60&lt;Simulations!$J60,Simulations!$AA60/(Simulations!$G60*Simulations!$H60*IF(Simulations!$I60&gt;0,Simulations!$I60,1))*Simulations!$AB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B60/Simulations!$J60)^1.5+SQRT(LN(Simulations!$AB60/Simulations!$J60))+Simulations!$AB60/Simulations!$J60*SQRT(PI())/2*ERFC(SQRT(LN(Simulations!$AB60/Simulations!$J60)))),PI()*Simulations!$T60^2/2*(LN(Simulations!$AB60/Simulations!$J60)+1))))</f>
        <v>0</v>
      </c>
      <c r="C60" s="0" t="n">
        <f aca="false">IF(OR(NOT(AND(Simulations!$A60&lt;&gt;"",OR(Simulations!$Y60&lt;&gt;"",N(Simulations!$AA60)&gt;0))),N(Simulations!$AC60)&lt;=0,N(Simulations!$AA60)&lt;=0,2&gt;N(Simulations!$O60)),0,IF(Simulations!$AC60&lt;Simulations!$J60,Simulations!$AA60/(Simulations!$G60*Simulations!$H60*IF(Simulations!$I60&gt;0,Simulations!$I60,1))*Simulations!$AC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C60/Simulations!$J60)^1.5+SQRT(LN(Simulations!$AC60/Simulations!$J60))+Simulations!$AC60/Simulations!$J60*SQRT(PI())/2*ERFC(SQRT(LN(Simulations!$AC60/Simulations!$J60)))),PI()*Simulations!$T60^2/2*(LN(Simulations!$AC60/Simulations!$J60)+1))))</f>
        <v>0</v>
      </c>
      <c r="D60" s="0" t="n">
        <f aca="false">IF(OR(NOT(AND(Simulations!$A60&lt;&gt;"",OR(Simulations!$Y60&lt;&gt;"",N(Simulations!$AA60)&gt;0))),N(Simulations!$AD60)&lt;=0,N(Simulations!$AA60)&lt;=0,3&gt;N(Simulations!$O60)),0,IF(Simulations!$AD60&lt;Simulations!$J60,Simulations!$AA60/(Simulations!$G60*Simulations!$H60*IF(Simulations!$I60&gt;0,Simulations!$I60,1))*Simulations!$AD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D60/Simulations!$J60)^1.5+SQRT(LN(Simulations!$AD60/Simulations!$J60))+Simulations!$AD60/Simulations!$J60*SQRT(PI())/2*ERFC(SQRT(LN(Simulations!$AD60/Simulations!$J60)))),PI()*Simulations!$T60^2/2*(LN(Simulations!$AD60/Simulations!$J60)+1))))</f>
        <v>0</v>
      </c>
      <c r="E60" s="0" t="n">
        <f aca="false">IF(NOT(AND(Simulations!$A60&lt;&gt;"",OR(Simulations!$Y60&lt;&gt;"",N(Simulations!$AA60)&gt;0))),0,MAX(N(Simulations!$AB60),N(Simulations!$AC60),N(Simulations!$AD60))/Simulations!$J60)</f>
        <v>0</v>
      </c>
      <c r="F60" s="0" t="n">
        <f aca="false">IF(OR(NOT(AND(Simulations!$A60&lt;&gt;"",OR(Simulations!$Y60&lt;&gt;"",N(Simulations!$AA60)&gt;0))),N(Simulations!$Z60)&lt;=0),0,SQRT(2*Simulations!$Z60*1000000/(Simulations!$J60*1000))/Simulations!$T60)</f>
        <v>0</v>
      </c>
      <c r="G60" s="0" t="n">
        <f aca="false">IF(AND(Simulations!$A60&lt;&gt;"",OR(Simulations!$Y60&lt;&gt;"",N(Simulations!$AA60)&gt;0)),1,0)</f>
        <v>0</v>
      </c>
      <c r="H60" s="0" t="n">
        <f aca="false">IF(OR(NOT(AND(Simulations!$A60&lt;&gt;"",OR(Simulations!$AQ60&lt;&gt;"",N(Simulations!$AS60)&gt;0))),N(Simulations!$AT60)&lt;=0,N(Simulations!$AS60)&lt;=0,1&gt;N(Simulations!$O60)),0,IF(Simulations!$AT60&lt;Simulations!$J60,Simulations!$AS60/(Simulations!$G60*Simulations!$H60*IF(Simulations!$I60&gt;0,Simulations!$I60,1))*Simulations!$AT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T60/Simulations!$J60)^1.5+SQRT(LN(Simulations!$AT60/Simulations!$J60))+Simulations!$AT60/Simulations!$J60*SQRT(PI())/2*ERFC(SQRT(LN(Simulations!$AT60/Simulations!$J60)))),PI()*Simulations!$T60^2/2*(LN(Simulations!$AT60/Simulations!$J60)+1))))</f>
        <v>0</v>
      </c>
      <c r="I60" s="0" t="n">
        <f aca="false">IF(OR(NOT(AND(Simulations!$A60&lt;&gt;"",OR(Simulations!$AQ60&lt;&gt;"",N(Simulations!$AS60)&gt;0))),N(Simulations!$AU60)&lt;=0,N(Simulations!$AS60)&lt;=0,2&gt;N(Simulations!$O60)),0,IF(Simulations!$AU60&lt;Simulations!$J60,Simulations!$AS60/(Simulations!$G60*Simulations!$H60*IF(Simulations!$I60&gt;0,Simulations!$I60,1))*Simulations!$AU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U60/Simulations!$J60)^1.5+SQRT(LN(Simulations!$AU60/Simulations!$J60))+Simulations!$AU60/Simulations!$J60*SQRT(PI())/2*ERFC(SQRT(LN(Simulations!$AU60/Simulations!$J60)))),PI()*Simulations!$T60^2/2*(LN(Simulations!$AU60/Simulations!$J60)+1))))</f>
        <v>0</v>
      </c>
      <c r="J60" s="0" t="n">
        <f aca="false">IF(OR(NOT(AND(Simulations!$A60&lt;&gt;"",OR(Simulations!$AQ60&lt;&gt;"",N(Simulations!$AS60)&gt;0))),N(Simulations!$AV60)&lt;=0,N(Simulations!$AS60)&lt;=0,3&gt;N(Simulations!$O60)),0,IF(Simulations!$AV60&lt;Simulations!$J60,Simulations!$AS60/(Simulations!$G60*Simulations!$H60*IF(Simulations!$I60&gt;0,Simulations!$I60,1))*Simulations!$AV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V60/Simulations!$J60)^1.5+SQRT(LN(Simulations!$AV60/Simulations!$J60))+Simulations!$AV60/Simulations!$J60*SQRT(PI())/2*ERFC(SQRT(LN(Simulations!$AV60/Simulations!$J60)))),PI()*Simulations!$T60^2/2*(LN(Simulations!$AV60/Simulations!$J60)+1))))</f>
        <v>0</v>
      </c>
      <c r="K60" s="0" t="n">
        <f aca="false">IF(NOT(AND(Simulations!$A60&lt;&gt;"",OR(Simulations!$AQ60&lt;&gt;"",N(Simulations!$AS60)&gt;0))),0,MAX(N(Simulations!$AT60),N(Simulations!$AU60),N(Simulations!$AV60))/Simulations!$J60)</f>
        <v>0</v>
      </c>
      <c r="L60" s="0" t="n">
        <f aca="false">IF(OR(NOT(AND(Simulations!$A60&lt;&gt;"",OR(Simulations!$AQ60&lt;&gt;"",N(Simulations!$AS60)&gt;0))),N(Simulations!$AR60)&lt;=0),0,SQRT(2*Simulations!$AR60*1000000/(Simulations!$J60*1000))/Simulations!$T60)</f>
        <v>0</v>
      </c>
      <c r="M60" s="0" t="n">
        <f aca="false">IF(AND(Simulations!$A60&lt;&gt;"",OR(Simulations!$AQ60&lt;&gt;"",N(Simulations!$AS60)&gt;0)),1,0)</f>
        <v>0</v>
      </c>
      <c r="N60" s="0" t="n">
        <f aca="false">IF(OR(NOT(AND(Simulations!$A60&lt;&gt;"",OR(Simulations!$BI60&lt;&gt;"",N(Simulations!$BK60)&gt;0))),N(Simulations!$BL60)&lt;=0,N(Simulations!$BK60)&lt;=0,1&gt;N(Simulations!$O60)),0,IF(Simulations!$BL60&lt;Simulations!$J60,Simulations!$BK60/(Simulations!$G60*Simulations!$H60*IF(Simulations!$I60&gt;0,Simulations!$I60,1))*Simulations!$BL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L60/Simulations!$J60)^1.5+SQRT(LN(Simulations!$BL60/Simulations!$J60))+Simulations!$BL60/Simulations!$J60*SQRT(PI())/2*ERFC(SQRT(LN(Simulations!$BL60/Simulations!$J60)))),PI()*Simulations!$T60^2/2*(LN(Simulations!$BL60/Simulations!$J60)+1))))</f>
        <v>0</v>
      </c>
      <c r="O60" s="0" t="n">
        <f aca="false">IF(OR(NOT(AND(Simulations!$A60&lt;&gt;"",OR(Simulations!$BI60&lt;&gt;"",N(Simulations!$BK60)&gt;0))),N(Simulations!$BM60)&lt;=0,N(Simulations!$BK60)&lt;=0,2&gt;N(Simulations!$O60)),0,IF(Simulations!$BM60&lt;Simulations!$J60,Simulations!$BK60/(Simulations!$G60*Simulations!$H60*IF(Simulations!$I60&gt;0,Simulations!$I60,1))*Simulations!$BM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M60/Simulations!$J60)^1.5+SQRT(LN(Simulations!$BM60/Simulations!$J60))+Simulations!$BM60/Simulations!$J60*SQRT(PI())/2*ERFC(SQRT(LN(Simulations!$BM60/Simulations!$J60)))),PI()*Simulations!$T60^2/2*(LN(Simulations!$BM60/Simulations!$J60)+1))))</f>
        <v>0</v>
      </c>
      <c r="P60" s="0" t="n">
        <f aca="false">IF(OR(NOT(AND(Simulations!$A60&lt;&gt;"",OR(Simulations!$BI60&lt;&gt;"",N(Simulations!$BK60)&gt;0))),N(Simulations!$BN60)&lt;=0,N(Simulations!$BK60)&lt;=0,3&gt;N(Simulations!$O60)),0,IF(Simulations!$BN60&lt;Simulations!$J60,Simulations!$BK60/(Simulations!$G60*Simulations!$H60*IF(Simulations!$I60&gt;0,Simulations!$I60,1))*Simulations!$BN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N60/Simulations!$J60)^1.5+SQRT(LN(Simulations!$BN60/Simulations!$J60))+Simulations!$BN60/Simulations!$J60*SQRT(PI())/2*ERFC(SQRT(LN(Simulations!$BN60/Simulations!$J60)))),PI()*Simulations!$T60^2/2*(LN(Simulations!$BN60/Simulations!$J60)+1))))</f>
        <v>0</v>
      </c>
      <c r="Q60" s="0" t="n">
        <f aca="false">IF(NOT(AND(Simulations!$A60&lt;&gt;"",OR(Simulations!$BI60&lt;&gt;"",N(Simulations!$BK60)&gt;0))),0,MAX(N(Simulations!$BL60),N(Simulations!$BM60),N(Simulations!$BN60))/Simulations!$J60)</f>
        <v>0</v>
      </c>
      <c r="R60" s="0" t="n">
        <f aca="false">IF(OR(NOT(AND(Simulations!$A60&lt;&gt;"",OR(Simulations!$BI60&lt;&gt;"",N(Simulations!$BK60)&gt;0))),N(Simulations!$BJ60)&lt;=0),0,SQRT(2*Simulations!$BJ60*1000000/(Simulations!$J60*1000))/Simulations!$T60)</f>
        <v>0</v>
      </c>
      <c r="S60" s="0" t="n">
        <f aca="false">IF(AND(Simulations!$A60&lt;&gt;"",OR(Simulations!$BI60&lt;&gt;"",N(Simulations!$BK60)&gt;0)),1,0)</f>
        <v>0</v>
      </c>
      <c r="T60" s="0" t="n">
        <f aca="false">IF(OR(NOT(AND(Simulations!$A60&lt;&gt;"",OR(Simulations!$CA60&lt;&gt;"",N(Simulations!$CC60)&gt;0))),N(Simulations!$CD60)&lt;=0,N(Simulations!$CC60)&lt;=0,1&gt;N(Simulations!$O60)),0,IF(Simulations!$CD60&lt;Simulations!$J60,Simulations!$CC60/(Simulations!$G60*Simulations!$H60*IF(Simulations!$I60&gt;0,Simulations!$I60,1))*Simulations!$CD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D60/Simulations!$J60)^1.5+SQRT(LN(Simulations!$CD60/Simulations!$J60))+Simulations!$CD60/Simulations!$J60*SQRT(PI())/2*ERFC(SQRT(LN(Simulations!$CD60/Simulations!$J60)))),PI()*Simulations!$T60^2/2*(LN(Simulations!$CD60/Simulations!$J60)+1))))</f>
        <v>0</v>
      </c>
      <c r="U60" s="0" t="n">
        <f aca="false">IF(OR(NOT(AND(Simulations!$A60&lt;&gt;"",OR(Simulations!$CA60&lt;&gt;"",N(Simulations!$CC60)&gt;0))),N(Simulations!$CE60)&lt;=0,N(Simulations!$CC60)&lt;=0,2&gt;N(Simulations!$O60)),0,IF(Simulations!$CE60&lt;Simulations!$J60,Simulations!$CC60/(Simulations!$G60*Simulations!$H60*IF(Simulations!$I60&gt;0,Simulations!$I60,1))*Simulations!$CE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E60/Simulations!$J60)^1.5+SQRT(LN(Simulations!$CE60/Simulations!$J60))+Simulations!$CE60/Simulations!$J60*SQRT(PI())/2*ERFC(SQRT(LN(Simulations!$CE60/Simulations!$J60)))),PI()*Simulations!$T60^2/2*(LN(Simulations!$CE60/Simulations!$J60)+1))))</f>
        <v>0</v>
      </c>
      <c r="V60" s="0" t="n">
        <f aca="false">IF(OR(NOT(AND(Simulations!$A60&lt;&gt;"",OR(Simulations!$CA60&lt;&gt;"",N(Simulations!$CC60)&gt;0))),N(Simulations!$CF60)&lt;=0,N(Simulations!$CC60)&lt;=0,3&gt;N(Simulations!$O60)),0,IF(Simulations!$CF60&lt;Simulations!$J60,Simulations!$CC60/(Simulations!$G60*Simulations!$H60*IF(Simulations!$I60&gt;0,Simulations!$I60,1))*Simulations!$CF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F60/Simulations!$J60)^1.5+SQRT(LN(Simulations!$CF60/Simulations!$J60))+Simulations!$CF60/Simulations!$J60*SQRT(PI())/2*ERFC(SQRT(LN(Simulations!$CF60/Simulations!$J60)))),PI()*Simulations!$T60^2/2*(LN(Simulations!$CF60/Simulations!$J60)+1))))</f>
        <v>0</v>
      </c>
      <c r="W60" s="0" t="n">
        <f aca="false">IF(NOT(AND(Simulations!$A60&lt;&gt;"",OR(Simulations!$CA60&lt;&gt;"",N(Simulations!$CC60)&gt;0))),0,MAX(N(Simulations!$CD60),N(Simulations!$CE60),N(Simulations!$CF60))/Simulations!$J60)</f>
        <v>0</v>
      </c>
      <c r="X60" s="0" t="n">
        <f aca="false">IF(OR(NOT(AND(Simulations!$A60&lt;&gt;"",OR(Simulations!$CA60&lt;&gt;"",N(Simulations!$CC60)&gt;0))),N(Simulations!$CB60)&lt;=0),0,SQRT(2*Simulations!$CB60*1000000/(Simulations!$J60*1000))/Simulations!$T60)</f>
        <v>0</v>
      </c>
      <c r="Y60" s="0" t="n">
        <f aca="false">IF(AND(Simulations!$A60&lt;&gt;"",OR(Simulations!$CA60&lt;&gt;"",N(Simulations!$CC60)&gt;0)),1,0)</f>
        <v>0</v>
      </c>
      <c r="Z60" s="0" t="n">
        <f aca="false">IF(OR(NOT(AND(Simulations!$A60&lt;&gt;"",OR(Simulations!$CS60&lt;&gt;"",N(Simulations!$CU60)&gt;0))),N(Simulations!$CV60)&lt;=0,N(Simulations!$CU60)&lt;=0,1&gt;N(Simulations!$O60)),0,IF(Simulations!$CV60&lt;Simulations!$J60,Simulations!$CU60/(Simulations!$G60*Simulations!$H60*IF(Simulations!$I60&gt;0,Simulations!$I60,1))*Simulations!$CV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V60/Simulations!$J60)^1.5+SQRT(LN(Simulations!$CV60/Simulations!$J60))+Simulations!$CV60/Simulations!$J60*SQRT(PI())/2*ERFC(SQRT(LN(Simulations!$CV60/Simulations!$J60)))),PI()*Simulations!$T60^2/2*(LN(Simulations!$CV60/Simulations!$J60)+1))))</f>
        <v>0</v>
      </c>
      <c r="AA60" s="0" t="n">
        <f aca="false">IF(OR(NOT(AND(Simulations!$A60&lt;&gt;"",OR(Simulations!$CS60&lt;&gt;"",N(Simulations!$CU60)&gt;0))),N(Simulations!$CW60)&lt;=0,N(Simulations!$CU60)&lt;=0,2&gt;N(Simulations!$O60)),0,IF(Simulations!$CW60&lt;Simulations!$J60,Simulations!$CU60/(Simulations!$G60*Simulations!$H60*IF(Simulations!$I60&gt;0,Simulations!$I60,1))*Simulations!$CW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W60/Simulations!$J60)^1.5+SQRT(LN(Simulations!$CW60/Simulations!$J60))+Simulations!$CW60/Simulations!$J60*SQRT(PI())/2*ERFC(SQRT(LN(Simulations!$CW60/Simulations!$J60)))),PI()*Simulations!$T60^2/2*(LN(Simulations!$CW60/Simulations!$J60)+1))))</f>
        <v>0</v>
      </c>
      <c r="AB60" s="0" t="n">
        <f aca="false">IF(OR(NOT(AND(Simulations!$A60&lt;&gt;"",OR(Simulations!$CS60&lt;&gt;"",N(Simulations!$CU60)&gt;0))),N(Simulations!$CX60)&lt;=0,N(Simulations!$CU60)&lt;=0,3&gt;N(Simulations!$O60)),0,IF(Simulations!$CX60&lt;Simulations!$J60,Simulations!$CU60/(Simulations!$G60*Simulations!$H60*IF(Simulations!$I60&gt;0,Simulations!$I60,1))*Simulations!$CX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X60/Simulations!$J60)^1.5+SQRT(LN(Simulations!$CX60/Simulations!$J60))+Simulations!$CX60/Simulations!$J60*SQRT(PI())/2*ERFC(SQRT(LN(Simulations!$CX60/Simulations!$J60)))),PI()*Simulations!$T60^2/2*(LN(Simulations!$CX60/Simulations!$J60)+1))))</f>
        <v>0</v>
      </c>
      <c r="AC60" s="0" t="n">
        <f aca="false">IF(NOT(AND(Simulations!$A60&lt;&gt;"",OR(Simulations!$CS60&lt;&gt;"",N(Simulations!$CU60)&gt;0))),0,MAX(N(Simulations!$CV60),N(Simulations!$CW60),N(Simulations!$CX60))/Simulations!$J60)</f>
        <v>0</v>
      </c>
      <c r="AD60" s="0" t="n">
        <f aca="false">IF(OR(NOT(AND(Simulations!$A60&lt;&gt;"",OR(Simulations!$CS60&lt;&gt;"",N(Simulations!$CU60)&gt;0))),N(Simulations!$CT60)&lt;=0),0,SQRT(2*Simulations!$CT60*1000000/(Simulations!$J60*1000))/Simulations!$T60)</f>
        <v>0</v>
      </c>
      <c r="AE60" s="0" t="n">
        <f aca="false">IF(AND(Simulations!$A60&lt;&gt;"",OR(Simulations!$CS60&lt;&gt;"",N(Simulations!$CU60)&gt;0)),1,0)</f>
        <v>0</v>
      </c>
      <c r="AF60" s="0" t="n">
        <f aca="false">IF(OR(NOT(AND(Simulations!$A60&lt;&gt;"",OR(Simulations!$DK60&lt;&gt;"",N(Simulations!$DM60)&gt;0))),N(Simulations!$DN60)&lt;=0,N(Simulations!$DM60)&lt;=0,1&gt;N(Simulations!$O60)),0,IF(Simulations!$DN60&lt;Simulations!$J60,Simulations!$DM60/(Simulations!$G60*Simulations!$H60*IF(Simulations!$I60&gt;0,Simulations!$I60,1))*Simulations!$DN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N60/Simulations!$J60)^1.5+SQRT(LN(Simulations!$DN60/Simulations!$J60))+Simulations!$DN60/Simulations!$J60*SQRT(PI())/2*ERFC(SQRT(LN(Simulations!$DN60/Simulations!$J60)))),PI()*Simulations!$T60^2/2*(LN(Simulations!$DN60/Simulations!$J60)+1))))</f>
        <v>0</v>
      </c>
      <c r="AG60" s="0" t="n">
        <f aca="false">IF(OR(NOT(AND(Simulations!$A60&lt;&gt;"",OR(Simulations!$DK60&lt;&gt;"",N(Simulations!$DM60)&gt;0))),N(Simulations!$DO60)&lt;=0,N(Simulations!$DM60)&lt;=0,2&gt;N(Simulations!$O60)),0,IF(Simulations!$DO60&lt;Simulations!$J60,Simulations!$DM60/(Simulations!$G60*Simulations!$H60*IF(Simulations!$I60&gt;0,Simulations!$I60,1))*Simulations!$DO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O60/Simulations!$J60)^1.5+SQRT(LN(Simulations!$DO60/Simulations!$J60))+Simulations!$DO60/Simulations!$J60*SQRT(PI())/2*ERFC(SQRT(LN(Simulations!$DO60/Simulations!$J60)))),PI()*Simulations!$T60^2/2*(LN(Simulations!$DO60/Simulations!$J60)+1))))</f>
        <v>0</v>
      </c>
      <c r="AH60" s="0" t="n">
        <f aca="false">IF(OR(NOT(AND(Simulations!$A60&lt;&gt;"",OR(Simulations!$DK60&lt;&gt;"",N(Simulations!$DM60)&gt;0))),N(Simulations!$DP60)&lt;=0,N(Simulations!$DM60)&lt;=0,3&gt;N(Simulations!$O60)),0,IF(Simulations!$DP60&lt;Simulations!$J60,Simulations!$DM60/(Simulations!$G60*Simulations!$H60*IF(Simulations!$I60&gt;0,Simulations!$I60,1))*Simulations!$DP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P60/Simulations!$J60)^1.5+SQRT(LN(Simulations!$DP60/Simulations!$J60))+Simulations!$DP60/Simulations!$J60*SQRT(PI())/2*ERFC(SQRT(LN(Simulations!$DP60/Simulations!$J60)))),PI()*Simulations!$T60^2/2*(LN(Simulations!$DP60/Simulations!$J60)+1))))</f>
        <v>0</v>
      </c>
      <c r="AI60" s="0" t="n">
        <f aca="false">IF(NOT(AND(Simulations!$A60&lt;&gt;"",OR(Simulations!$DK60&lt;&gt;"",N(Simulations!$DM60)&gt;0))),0,MAX(N(Simulations!$DN60),N(Simulations!$DO60),N(Simulations!$DP60))/Simulations!$J60)</f>
        <v>0</v>
      </c>
      <c r="AJ60" s="0" t="n">
        <f aca="false">IF(OR(NOT(AND(Simulations!$A60&lt;&gt;"",OR(Simulations!$DK60&lt;&gt;"",N(Simulations!$DM60)&gt;0))),N(Simulations!$DL60)&lt;=0),0,SQRT(2*Simulations!$DL60*1000000/(Simulations!$J60*1000))/Simulations!$T60)</f>
        <v>0</v>
      </c>
      <c r="AK60" s="0" t="n">
        <f aca="false">IF(AND(Simulations!$A60&lt;&gt;"",OR(Simulations!$DK60&lt;&gt;"",N(Simulations!$DM60)&gt;0)),1,0)</f>
        <v>0</v>
      </c>
    </row>
    <row r="61" customFormat="false" ht="15" hidden="false" customHeight="false" outlineLevel="0" collapsed="false">
      <c r="B61" s="0" t="n">
        <f aca="false">IF(OR(NOT(AND(Simulations!$A61&lt;&gt;"",OR(Simulations!$Y61&lt;&gt;"",N(Simulations!$AA61)&gt;0))),N(Simulations!$AB61)&lt;=0,N(Simulations!$AA61)&lt;=0,1&gt;N(Simulations!$O61)),0,IF(Simulations!$AB61&lt;Simulations!$J61,Simulations!$AA61/(Simulations!$G61*Simulations!$H61*IF(Simulations!$I61&gt;0,Simulations!$I61,1))*Simulations!$AB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B61/Simulations!$J61)^1.5+SQRT(LN(Simulations!$AB61/Simulations!$J61))+Simulations!$AB61/Simulations!$J61*SQRT(PI())/2*ERFC(SQRT(LN(Simulations!$AB61/Simulations!$J61)))),PI()*Simulations!$T61^2/2*(LN(Simulations!$AB61/Simulations!$J61)+1))))</f>
        <v>0</v>
      </c>
      <c r="C61" s="0" t="n">
        <f aca="false">IF(OR(NOT(AND(Simulations!$A61&lt;&gt;"",OR(Simulations!$Y61&lt;&gt;"",N(Simulations!$AA61)&gt;0))),N(Simulations!$AC61)&lt;=0,N(Simulations!$AA61)&lt;=0,2&gt;N(Simulations!$O61)),0,IF(Simulations!$AC61&lt;Simulations!$J61,Simulations!$AA61/(Simulations!$G61*Simulations!$H61*IF(Simulations!$I61&gt;0,Simulations!$I61,1))*Simulations!$AC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C61/Simulations!$J61)^1.5+SQRT(LN(Simulations!$AC61/Simulations!$J61))+Simulations!$AC61/Simulations!$J61*SQRT(PI())/2*ERFC(SQRT(LN(Simulations!$AC61/Simulations!$J61)))),PI()*Simulations!$T61^2/2*(LN(Simulations!$AC61/Simulations!$J61)+1))))</f>
        <v>0</v>
      </c>
      <c r="D61" s="0" t="n">
        <f aca="false">IF(OR(NOT(AND(Simulations!$A61&lt;&gt;"",OR(Simulations!$Y61&lt;&gt;"",N(Simulations!$AA61)&gt;0))),N(Simulations!$AD61)&lt;=0,N(Simulations!$AA61)&lt;=0,3&gt;N(Simulations!$O61)),0,IF(Simulations!$AD61&lt;Simulations!$J61,Simulations!$AA61/(Simulations!$G61*Simulations!$H61*IF(Simulations!$I61&gt;0,Simulations!$I61,1))*Simulations!$AD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D61/Simulations!$J61)^1.5+SQRT(LN(Simulations!$AD61/Simulations!$J61))+Simulations!$AD61/Simulations!$J61*SQRT(PI())/2*ERFC(SQRT(LN(Simulations!$AD61/Simulations!$J61)))),PI()*Simulations!$T61^2/2*(LN(Simulations!$AD61/Simulations!$J61)+1))))</f>
        <v>0</v>
      </c>
      <c r="E61" s="0" t="n">
        <f aca="false">IF(NOT(AND(Simulations!$A61&lt;&gt;"",OR(Simulations!$Y61&lt;&gt;"",N(Simulations!$AA61)&gt;0))),0,MAX(N(Simulations!$AB61),N(Simulations!$AC61),N(Simulations!$AD61))/Simulations!$J61)</f>
        <v>0</v>
      </c>
      <c r="F61" s="0" t="n">
        <f aca="false">IF(OR(NOT(AND(Simulations!$A61&lt;&gt;"",OR(Simulations!$Y61&lt;&gt;"",N(Simulations!$AA61)&gt;0))),N(Simulations!$Z61)&lt;=0),0,SQRT(2*Simulations!$Z61*1000000/(Simulations!$J61*1000))/Simulations!$T61)</f>
        <v>0</v>
      </c>
      <c r="G61" s="0" t="n">
        <f aca="false">IF(AND(Simulations!$A61&lt;&gt;"",OR(Simulations!$Y61&lt;&gt;"",N(Simulations!$AA61)&gt;0)),1,0)</f>
        <v>0</v>
      </c>
      <c r="H61" s="0" t="n">
        <f aca="false">IF(OR(NOT(AND(Simulations!$A61&lt;&gt;"",OR(Simulations!$AQ61&lt;&gt;"",N(Simulations!$AS61)&gt;0))),N(Simulations!$AT61)&lt;=0,N(Simulations!$AS61)&lt;=0,1&gt;N(Simulations!$O61)),0,IF(Simulations!$AT61&lt;Simulations!$J61,Simulations!$AS61/(Simulations!$G61*Simulations!$H61*IF(Simulations!$I61&gt;0,Simulations!$I61,1))*Simulations!$AT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T61/Simulations!$J61)^1.5+SQRT(LN(Simulations!$AT61/Simulations!$J61))+Simulations!$AT61/Simulations!$J61*SQRT(PI())/2*ERFC(SQRT(LN(Simulations!$AT61/Simulations!$J61)))),PI()*Simulations!$T61^2/2*(LN(Simulations!$AT61/Simulations!$J61)+1))))</f>
        <v>0</v>
      </c>
      <c r="I61" s="0" t="n">
        <f aca="false">IF(OR(NOT(AND(Simulations!$A61&lt;&gt;"",OR(Simulations!$AQ61&lt;&gt;"",N(Simulations!$AS61)&gt;0))),N(Simulations!$AU61)&lt;=0,N(Simulations!$AS61)&lt;=0,2&gt;N(Simulations!$O61)),0,IF(Simulations!$AU61&lt;Simulations!$J61,Simulations!$AS61/(Simulations!$G61*Simulations!$H61*IF(Simulations!$I61&gt;0,Simulations!$I61,1))*Simulations!$AU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U61/Simulations!$J61)^1.5+SQRT(LN(Simulations!$AU61/Simulations!$J61))+Simulations!$AU61/Simulations!$J61*SQRT(PI())/2*ERFC(SQRT(LN(Simulations!$AU61/Simulations!$J61)))),PI()*Simulations!$T61^2/2*(LN(Simulations!$AU61/Simulations!$J61)+1))))</f>
        <v>0</v>
      </c>
      <c r="J61" s="0" t="n">
        <f aca="false">IF(OR(NOT(AND(Simulations!$A61&lt;&gt;"",OR(Simulations!$AQ61&lt;&gt;"",N(Simulations!$AS61)&gt;0))),N(Simulations!$AV61)&lt;=0,N(Simulations!$AS61)&lt;=0,3&gt;N(Simulations!$O61)),0,IF(Simulations!$AV61&lt;Simulations!$J61,Simulations!$AS61/(Simulations!$G61*Simulations!$H61*IF(Simulations!$I61&gt;0,Simulations!$I61,1))*Simulations!$AV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V61/Simulations!$J61)^1.5+SQRT(LN(Simulations!$AV61/Simulations!$J61))+Simulations!$AV61/Simulations!$J61*SQRT(PI())/2*ERFC(SQRT(LN(Simulations!$AV61/Simulations!$J61)))),PI()*Simulations!$T61^2/2*(LN(Simulations!$AV61/Simulations!$J61)+1))))</f>
        <v>0</v>
      </c>
      <c r="K61" s="0" t="n">
        <f aca="false">IF(NOT(AND(Simulations!$A61&lt;&gt;"",OR(Simulations!$AQ61&lt;&gt;"",N(Simulations!$AS61)&gt;0))),0,MAX(N(Simulations!$AT61),N(Simulations!$AU61),N(Simulations!$AV61))/Simulations!$J61)</f>
        <v>0</v>
      </c>
      <c r="L61" s="0" t="n">
        <f aca="false">IF(OR(NOT(AND(Simulations!$A61&lt;&gt;"",OR(Simulations!$AQ61&lt;&gt;"",N(Simulations!$AS61)&gt;0))),N(Simulations!$AR61)&lt;=0),0,SQRT(2*Simulations!$AR61*1000000/(Simulations!$J61*1000))/Simulations!$T61)</f>
        <v>0</v>
      </c>
      <c r="M61" s="0" t="n">
        <f aca="false">IF(AND(Simulations!$A61&lt;&gt;"",OR(Simulations!$AQ61&lt;&gt;"",N(Simulations!$AS61)&gt;0)),1,0)</f>
        <v>0</v>
      </c>
      <c r="N61" s="0" t="n">
        <f aca="false">IF(OR(NOT(AND(Simulations!$A61&lt;&gt;"",OR(Simulations!$BI61&lt;&gt;"",N(Simulations!$BK61)&gt;0))),N(Simulations!$BL61)&lt;=0,N(Simulations!$BK61)&lt;=0,1&gt;N(Simulations!$O61)),0,IF(Simulations!$BL61&lt;Simulations!$J61,Simulations!$BK61/(Simulations!$G61*Simulations!$H61*IF(Simulations!$I61&gt;0,Simulations!$I61,1))*Simulations!$BL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L61/Simulations!$J61)^1.5+SQRT(LN(Simulations!$BL61/Simulations!$J61))+Simulations!$BL61/Simulations!$J61*SQRT(PI())/2*ERFC(SQRT(LN(Simulations!$BL61/Simulations!$J61)))),PI()*Simulations!$T61^2/2*(LN(Simulations!$BL61/Simulations!$J61)+1))))</f>
        <v>0</v>
      </c>
      <c r="O61" s="0" t="n">
        <f aca="false">IF(OR(NOT(AND(Simulations!$A61&lt;&gt;"",OR(Simulations!$BI61&lt;&gt;"",N(Simulations!$BK61)&gt;0))),N(Simulations!$BM61)&lt;=0,N(Simulations!$BK61)&lt;=0,2&gt;N(Simulations!$O61)),0,IF(Simulations!$BM61&lt;Simulations!$J61,Simulations!$BK61/(Simulations!$G61*Simulations!$H61*IF(Simulations!$I61&gt;0,Simulations!$I61,1))*Simulations!$BM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M61/Simulations!$J61)^1.5+SQRT(LN(Simulations!$BM61/Simulations!$J61))+Simulations!$BM61/Simulations!$J61*SQRT(PI())/2*ERFC(SQRT(LN(Simulations!$BM61/Simulations!$J61)))),PI()*Simulations!$T61^2/2*(LN(Simulations!$BM61/Simulations!$J61)+1))))</f>
        <v>0</v>
      </c>
      <c r="P61" s="0" t="n">
        <f aca="false">IF(OR(NOT(AND(Simulations!$A61&lt;&gt;"",OR(Simulations!$BI61&lt;&gt;"",N(Simulations!$BK61)&gt;0))),N(Simulations!$BN61)&lt;=0,N(Simulations!$BK61)&lt;=0,3&gt;N(Simulations!$O61)),0,IF(Simulations!$BN61&lt;Simulations!$J61,Simulations!$BK61/(Simulations!$G61*Simulations!$H61*IF(Simulations!$I61&gt;0,Simulations!$I61,1))*Simulations!$BN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N61/Simulations!$J61)^1.5+SQRT(LN(Simulations!$BN61/Simulations!$J61))+Simulations!$BN61/Simulations!$J61*SQRT(PI())/2*ERFC(SQRT(LN(Simulations!$BN61/Simulations!$J61)))),PI()*Simulations!$T61^2/2*(LN(Simulations!$BN61/Simulations!$J61)+1))))</f>
        <v>0</v>
      </c>
      <c r="Q61" s="0" t="n">
        <f aca="false">IF(NOT(AND(Simulations!$A61&lt;&gt;"",OR(Simulations!$BI61&lt;&gt;"",N(Simulations!$BK61)&gt;0))),0,MAX(N(Simulations!$BL61),N(Simulations!$BM61),N(Simulations!$BN61))/Simulations!$J61)</f>
        <v>0</v>
      </c>
      <c r="R61" s="0" t="n">
        <f aca="false">IF(OR(NOT(AND(Simulations!$A61&lt;&gt;"",OR(Simulations!$BI61&lt;&gt;"",N(Simulations!$BK61)&gt;0))),N(Simulations!$BJ61)&lt;=0),0,SQRT(2*Simulations!$BJ61*1000000/(Simulations!$J61*1000))/Simulations!$T61)</f>
        <v>0</v>
      </c>
      <c r="S61" s="0" t="n">
        <f aca="false">IF(AND(Simulations!$A61&lt;&gt;"",OR(Simulations!$BI61&lt;&gt;"",N(Simulations!$BK61)&gt;0)),1,0)</f>
        <v>0</v>
      </c>
      <c r="T61" s="0" t="n">
        <f aca="false">IF(OR(NOT(AND(Simulations!$A61&lt;&gt;"",OR(Simulations!$CA61&lt;&gt;"",N(Simulations!$CC61)&gt;0))),N(Simulations!$CD61)&lt;=0,N(Simulations!$CC61)&lt;=0,1&gt;N(Simulations!$O61)),0,IF(Simulations!$CD61&lt;Simulations!$J61,Simulations!$CC61/(Simulations!$G61*Simulations!$H61*IF(Simulations!$I61&gt;0,Simulations!$I61,1))*Simulations!$CD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D61/Simulations!$J61)^1.5+SQRT(LN(Simulations!$CD61/Simulations!$J61))+Simulations!$CD61/Simulations!$J61*SQRT(PI())/2*ERFC(SQRT(LN(Simulations!$CD61/Simulations!$J61)))),PI()*Simulations!$T61^2/2*(LN(Simulations!$CD61/Simulations!$J61)+1))))</f>
        <v>0</v>
      </c>
      <c r="U61" s="0" t="n">
        <f aca="false">IF(OR(NOT(AND(Simulations!$A61&lt;&gt;"",OR(Simulations!$CA61&lt;&gt;"",N(Simulations!$CC61)&gt;0))),N(Simulations!$CE61)&lt;=0,N(Simulations!$CC61)&lt;=0,2&gt;N(Simulations!$O61)),0,IF(Simulations!$CE61&lt;Simulations!$J61,Simulations!$CC61/(Simulations!$G61*Simulations!$H61*IF(Simulations!$I61&gt;0,Simulations!$I61,1))*Simulations!$CE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E61/Simulations!$J61)^1.5+SQRT(LN(Simulations!$CE61/Simulations!$J61))+Simulations!$CE61/Simulations!$J61*SQRT(PI())/2*ERFC(SQRT(LN(Simulations!$CE61/Simulations!$J61)))),PI()*Simulations!$T61^2/2*(LN(Simulations!$CE61/Simulations!$J61)+1))))</f>
        <v>0</v>
      </c>
      <c r="V61" s="0" t="n">
        <f aca="false">IF(OR(NOT(AND(Simulations!$A61&lt;&gt;"",OR(Simulations!$CA61&lt;&gt;"",N(Simulations!$CC61)&gt;0))),N(Simulations!$CF61)&lt;=0,N(Simulations!$CC61)&lt;=0,3&gt;N(Simulations!$O61)),0,IF(Simulations!$CF61&lt;Simulations!$J61,Simulations!$CC61/(Simulations!$G61*Simulations!$H61*IF(Simulations!$I61&gt;0,Simulations!$I61,1))*Simulations!$CF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F61/Simulations!$J61)^1.5+SQRT(LN(Simulations!$CF61/Simulations!$J61))+Simulations!$CF61/Simulations!$J61*SQRT(PI())/2*ERFC(SQRT(LN(Simulations!$CF61/Simulations!$J61)))),PI()*Simulations!$T61^2/2*(LN(Simulations!$CF61/Simulations!$J61)+1))))</f>
        <v>0</v>
      </c>
      <c r="W61" s="0" t="n">
        <f aca="false">IF(NOT(AND(Simulations!$A61&lt;&gt;"",OR(Simulations!$CA61&lt;&gt;"",N(Simulations!$CC61)&gt;0))),0,MAX(N(Simulations!$CD61),N(Simulations!$CE61),N(Simulations!$CF61))/Simulations!$J61)</f>
        <v>0</v>
      </c>
      <c r="X61" s="0" t="n">
        <f aca="false">IF(OR(NOT(AND(Simulations!$A61&lt;&gt;"",OR(Simulations!$CA61&lt;&gt;"",N(Simulations!$CC61)&gt;0))),N(Simulations!$CB61)&lt;=0),0,SQRT(2*Simulations!$CB61*1000000/(Simulations!$J61*1000))/Simulations!$T61)</f>
        <v>0</v>
      </c>
      <c r="Y61" s="0" t="n">
        <f aca="false">IF(AND(Simulations!$A61&lt;&gt;"",OR(Simulations!$CA61&lt;&gt;"",N(Simulations!$CC61)&gt;0)),1,0)</f>
        <v>0</v>
      </c>
      <c r="Z61" s="0" t="n">
        <f aca="false">IF(OR(NOT(AND(Simulations!$A61&lt;&gt;"",OR(Simulations!$CS61&lt;&gt;"",N(Simulations!$CU61)&gt;0))),N(Simulations!$CV61)&lt;=0,N(Simulations!$CU61)&lt;=0,1&gt;N(Simulations!$O61)),0,IF(Simulations!$CV61&lt;Simulations!$J61,Simulations!$CU61/(Simulations!$G61*Simulations!$H61*IF(Simulations!$I61&gt;0,Simulations!$I61,1))*Simulations!$CV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V61/Simulations!$J61)^1.5+SQRT(LN(Simulations!$CV61/Simulations!$J61))+Simulations!$CV61/Simulations!$J61*SQRT(PI())/2*ERFC(SQRT(LN(Simulations!$CV61/Simulations!$J61)))),PI()*Simulations!$T61^2/2*(LN(Simulations!$CV61/Simulations!$J61)+1))))</f>
        <v>0</v>
      </c>
      <c r="AA61" s="0" t="n">
        <f aca="false">IF(OR(NOT(AND(Simulations!$A61&lt;&gt;"",OR(Simulations!$CS61&lt;&gt;"",N(Simulations!$CU61)&gt;0))),N(Simulations!$CW61)&lt;=0,N(Simulations!$CU61)&lt;=0,2&gt;N(Simulations!$O61)),0,IF(Simulations!$CW61&lt;Simulations!$J61,Simulations!$CU61/(Simulations!$G61*Simulations!$H61*IF(Simulations!$I61&gt;0,Simulations!$I61,1))*Simulations!$CW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W61/Simulations!$J61)^1.5+SQRT(LN(Simulations!$CW61/Simulations!$J61))+Simulations!$CW61/Simulations!$J61*SQRT(PI())/2*ERFC(SQRT(LN(Simulations!$CW61/Simulations!$J61)))),PI()*Simulations!$T61^2/2*(LN(Simulations!$CW61/Simulations!$J61)+1))))</f>
        <v>0</v>
      </c>
      <c r="AB61" s="0" t="n">
        <f aca="false">IF(OR(NOT(AND(Simulations!$A61&lt;&gt;"",OR(Simulations!$CS61&lt;&gt;"",N(Simulations!$CU61)&gt;0))),N(Simulations!$CX61)&lt;=0,N(Simulations!$CU61)&lt;=0,3&gt;N(Simulations!$O61)),0,IF(Simulations!$CX61&lt;Simulations!$J61,Simulations!$CU61/(Simulations!$G61*Simulations!$H61*IF(Simulations!$I61&gt;0,Simulations!$I61,1))*Simulations!$CX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X61/Simulations!$J61)^1.5+SQRT(LN(Simulations!$CX61/Simulations!$J61))+Simulations!$CX61/Simulations!$J61*SQRT(PI())/2*ERFC(SQRT(LN(Simulations!$CX61/Simulations!$J61)))),PI()*Simulations!$T61^2/2*(LN(Simulations!$CX61/Simulations!$J61)+1))))</f>
        <v>0</v>
      </c>
      <c r="AC61" s="0" t="n">
        <f aca="false">IF(NOT(AND(Simulations!$A61&lt;&gt;"",OR(Simulations!$CS61&lt;&gt;"",N(Simulations!$CU61)&gt;0))),0,MAX(N(Simulations!$CV61),N(Simulations!$CW61),N(Simulations!$CX61))/Simulations!$J61)</f>
        <v>0</v>
      </c>
      <c r="AD61" s="0" t="n">
        <f aca="false">IF(OR(NOT(AND(Simulations!$A61&lt;&gt;"",OR(Simulations!$CS61&lt;&gt;"",N(Simulations!$CU61)&gt;0))),N(Simulations!$CT61)&lt;=0),0,SQRT(2*Simulations!$CT61*1000000/(Simulations!$J61*1000))/Simulations!$T61)</f>
        <v>0</v>
      </c>
      <c r="AE61" s="0" t="n">
        <f aca="false">IF(AND(Simulations!$A61&lt;&gt;"",OR(Simulations!$CS61&lt;&gt;"",N(Simulations!$CU61)&gt;0)),1,0)</f>
        <v>0</v>
      </c>
      <c r="AF61" s="0" t="n">
        <f aca="false">IF(OR(NOT(AND(Simulations!$A61&lt;&gt;"",OR(Simulations!$DK61&lt;&gt;"",N(Simulations!$DM61)&gt;0))),N(Simulations!$DN61)&lt;=0,N(Simulations!$DM61)&lt;=0,1&gt;N(Simulations!$O61)),0,IF(Simulations!$DN61&lt;Simulations!$J61,Simulations!$DM61/(Simulations!$G61*Simulations!$H61*IF(Simulations!$I61&gt;0,Simulations!$I61,1))*Simulations!$DN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N61/Simulations!$J61)^1.5+SQRT(LN(Simulations!$DN61/Simulations!$J61))+Simulations!$DN61/Simulations!$J61*SQRT(PI())/2*ERFC(SQRT(LN(Simulations!$DN61/Simulations!$J61)))),PI()*Simulations!$T61^2/2*(LN(Simulations!$DN61/Simulations!$J61)+1))))</f>
        <v>0</v>
      </c>
      <c r="AG61" s="0" t="n">
        <f aca="false">IF(OR(NOT(AND(Simulations!$A61&lt;&gt;"",OR(Simulations!$DK61&lt;&gt;"",N(Simulations!$DM61)&gt;0))),N(Simulations!$DO61)&lt;=0,N(Simulations!$DM61)&lt;=0,2&gt;N(Simulations!$O61)),0,IF(Simulations!$DO61&lt;Simulations!$J61,Simulations!$DM61/(Simulations!$G61*Simulations!$H61*IF(Simulations!$I61&gt;0,Simulations!$I61,1))*Simulations!$DO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O61/Simulations!$J61)^1.5+SQRT(LN(Simulations!$DO61/Simulations!$J61))+Simulations!$DO61/Simulations!$J61*SQRT(PI())/2*ERFC(SQRT(LN(Simulations!$DO61/Simulations!$J61)))),PI()*Simulations!$T61^2/2*(LN(Simulations!$DO61/Simulations!$J61)+1))))</f>
        <v>0</v>
      </c>
      <c r="AH61" s="0" t="n">
        <f aca="false">IF(OR(NOT(AND(Simulations!$A61&lt;&gt;"",OR(Simulations!$DK61&lt;&gt;"",N(Simulations!$DM61)&gt;0))),N(Simulations!$DP61)&lt;=0,N(Simulations!$DM61)&lt;=0,3&gt;N(Simulations!$O61)),0,IF(Simulations!$DP61&lt;Simulations!$J61,Simulations!$DM61/(Simulations!$G61*Simulations!$H61*IF(Simulations!$I61&gt;0,Simulations!$I61,1))*Simulations!$DP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P61/Simulations!$J61)^1.5+SQRT(LN(Simulations!$DP61/Simulations!$J61))+Simulations!$DP61/Simulations!$J61*SQRT(PI())/2*ERFC(SQRT(LN(Simulations!$DP61/Simulations!$J61)))),PI()*Simulations!$T61^2/2*(LN(Simulations!$DP61/Simulations!$J61)+1))))</f>
        <v>0</v>
      </c>
      <c r="AI61" s="0" t="n">
        <f aca="false">IF(NOT(AND(Simulations!$A61&lt;&gt;"",OR(Simulations!$DK61&lt;&gt;"",N(Simulations!$DM61)&gt;0))),0,MAX(N(Simulations!$DN61),N(Simulations!$DO61),N(Simulations!$DP61))/Simulations!$J61)</f>
        <v>0</v>
      </c>
      <c r="AJ61" s="0" t="n">
        <f aca="false">IF(OR(NOT(AND(Simulations!$A61&lt;&gt;"",OR(Simulations!$DK61&lt;&gt;"",N(Simulations!$DM61)&gt;0))),N(Simulations!$DL61)&lt;=0),0,SQRT(2*Simulations!$DL61*1000000/(Simulations!$J61*1000))/Simulations!$T61)</f>
        <v>0</v>
      </c>
      <c r="AK61" s="0" t="n">
        <f aca="false">IF(AND(Simulations!$A61&lt;&gt;"",OR(Simulations!$DK61&lt;&gt;"",N(Simulations!$DM61)&gt;0)),1,0)</f>
        <v>0</v>
      </c>
    </row>
    <row r="62" customFormat="false" ht="15" hidden="false" customHeight="false" outlineLevel="0" collapsed="false">
      <c r="B62" s="0" t="n">
        <f aca="false">IF(OR(NOT(AND(Simulations!$A62&lt;&gt;"",OR(Simulations!$Y62&lt;&gt;"",N(Simulations!$AA62)&gt;0))),N(Simulations!$AB62)&lt;=0,N(Simulations!$AA62)&lt;=0,1&gt;N(Simulations!$O62)),0,IF(Simulations!$AB62&lt;Simulations!$J62,Simulations!$AA62/(Simulations!$G62*Simulations!$H62*IF(Simulations!$I62&gt;0,Simulations!$I62,1))*Simulations!$AB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B62/Simulations!$J62)^1.5+SQRT(LN(Simulations!$AB62/Simulations!$J62))+Simulations!$AB62/Simulations!$J62*SQRT(PI())/2*ERFC(SQRT(LN(Simulations!$AB62/Simulations!$J62)))),PI()*Simulations!$T62^2/2*(LN(Simulations!$AB62/Simulations!$J62)+1))))</f>
        <v>0</v>
      </c>
      <c r="C62" s="0" t="n">
        <f aca="false">IF(OR(NOT(AND(Simulations!$A62&lt;&gt;"",OR(Simulations!$Y62&lt;&gt;"",N(Simulations!$AA62)&gt;0))),N(Simulations!$AC62)&lt;=0,N(Simulations!$AA62)&lt;=0,2&gt;N(Simulations!$O62)),0,IF(Simulations!$AC62&lt;Simulations!$J62,Simulations!$AA62/(Simulations!$G62*Simulations!$H62*IF(Simulations!$I62&gt;0,Simulations!$I62,1))*Simulations!$AC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C62/Simulations!$J62)^1.5+SQRT(LN(Simulations!$AC62/Simulations!$J62))+Simulations!$AC62/Simulations!$J62*SQRT(PI())/2*ERFC(SQRT(LN(Simulations!$AC62/Simulations!$J62)))),PI()*Simulations!$T62^2/2*(LN(Simulations!$AC62/Simulations!$J62)+1))))</f>
        <v>0</v>
      </c>
      <c r="D62" s="0" t="n">
        <f aca="false">IF(OR(NOT(AND(Simulations!$A62&lt;&gt;"",OR(Simulations!$Y62&lt;&gt;"",N(Simulations!$AA62)&gt;0))),N(Simulations!$AD62)&lt;=0,N(Simulations!$AA62)&lt;=0,3&gt;N(Simulations!$O62)),0,IF(Simulations!$AD62&lt;Simulations!$J62,Simulations!$AA62/(Simulations!$G62*Simulations!$H62*IF(Simulations!$I62&gt;0,Simulations!$I62,1))*Simulations!$AD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D62/Simulations!$J62)^1.5+SQRT(LN(Simulations!$AD62/Simulations!$J62))+Simulations!$AD62/Simulations!$J62*SQRT(PI())/2*ERFC(SQRT(LN(Simulations!$AD62/Simulations!$J62)))),PI()*Simulations!$T62^2/2*(LN(Simulations!$AD62/Simulations!$J62)+1))))</f>
        <v>0</v>
      </c>
      <c r="E62" s="0" t="n">
        <f aca="false">IF(NOT(AND(Simulations!$A62&lt;&gt;"",OR(Simulations!$Y62&lt;&gt;"",N(Simulations!$AA62)&gt;0))),0,MAX(N(Simulations!$AB62),N(Simulations!$AC62),N(Simulations!$AD62))/Simulations!$J62)</f>
        <v>0</v>
      </c>
      <c r="F62" s="0" t="n">
        <f aca="false">IF(OR(NOT(AND(Simulations!$A62&lt;&gt;"",OR(Simulations!$Y62&lt;&gt;"",N(Simulations!$AA62)&gt;0))),N(Simulations!$Z62)&lt;=0),0,SQRT(2*Simulations!$Z62*1000000/(Simulations!$J62*1000))/Simulations!$T62)</f>
        <v>0</v>
      </c>
      <c r="G62" s="0" t="n">
        <f aca="false">IF(AND(Simulations!$A62&lt;&gt;"",OR(Simulations!$Y62&lt;&gt;"",N(Simulations!$AA62)&gt;0)),1,0)</f>
        <v>0</v>
      </c>
      <c r="H62" s="0" t="n">
        <f aca="false">IF(OR(NOT(AND(Simulations!$A62&lt;&gt;"",OR(Simulations!$AQ62&lt;&gt;"",N(Simulations!$AS62)&gt;0))),N(Simulations!$AT62)&lt;=0,N(Simulations!$AS62)&lt;=0,1&gt;N(Simulations!$O62)),0,IF(Simulations!$AT62&lt;Simulations!$J62,Simulations!$AS62/(Simulations!$G62*Simulations!$H62*IF(Simulations!$I62&gt;0,Simulations!$I62,1))*Simulations!$AT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T62/Simulations!$J62)^1.5+SQRT(LN(Simulations!$AT62/Simulations!$J62))+Simulations!$AT62/Simulations!$J62*SQRT(PI())/2*ERFC(SQRT(LN(Simulations!$AT62/Simulations!$J62)))),PI()*Simulations!$T62^2/2*(LN(Simulations!$AT62/Simulations!$J62)+1))))</f>
        <v>0</v>
      </c>
      <c r="I62" s="0" t="n">
        <f aca="false">IF(OR(NOT(AND(Simulations!$A62&lt;&gt;"",OR(Simulations!$AQ62&lt;&gt;"",N(Simulations!$AS62)&gt;0))),N(Simulations!$AU62)&lt;=0,N(Simulations!$AS62)&lt;=0,2&gt;N(Simulations!$O62)),0,IF(Simulations!$AU62&lt;Simulations!$J62,Simulations!$AS62/(Simulations!$G62*Simulations!$H62*IF(Simulations!$I62&gt;0,Simulations!$I62,1))*Simulations!$AU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U62/Simulations!$J62)^1.5+SQRT(LN(Simulations!$AU62/Simulations!$J62))+Simulations!$AU62/Simulations!$J62*SQRT(PI())/2*ERFC(SQRT(LN(Simulations!$AU62/Simulations!$J62)))),PI()*Simulations!$T62^2/2*(LN(Simulations!$AU62/Simulations!$J62)+1))))</f>
        <v>0</v>
      </c>
      <c r="J62" s="0" t="n">
        <f aca="false">IF(OR(NOT(AND(Simulations!$A62&lt;&gt;"",OR(Simulations!$AQ62&lt;&gt;"",N(Simulations!$AS62)&gt;0))),N(Simulations!$AV62)&lt;=0,N(Simulations!$AS62)&lt;=0,3&gt;N(Simulations!$O62)),0,IF(Simulations!$AV62&lt;Simulations!$J62,Simulations!$AS62/(Simulations!$G62*Simulations!$H62*IF(Simulations!$I62&gt;0,Simulations!$I62,1))*Simulations!$AV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V62/Simulations!$J62)^1.5+SQRT(LN(Simulations!$AV62/Simulations!$J62))+Simulations!$AV62/Simulations!$J62*SQRT(PI())/2*ERFC(SQRT(LN(Simulations!$AV62/Simulations!$J62)))),PI()*Simulations!$T62^2/2*(LN(Simulations!$AV62/Simulations!$J62)+1))))</f>
        <v>0</v>
      </c>
      <c r="K62" s="0" t="n">
        <f aca="false">IF(NOT(AND(Simulations!$A62&lt;&gt;"",OR(Simulations!$AQ62&lt;&gt;"",N(Simulations!$AS62)&gt;0))),0,MAX(N(Simulations!$AT62),N(Simulations!$AU62),N(Simulations!$AV62))/Simulations!$J62)</f>
        <v>0</v>
      </c>
      <c r="L62" s="0" t="n">
        <f aca="false">IF(OR(NOT(AND(Simulations!$A62&lt;&gt;"",OR(Simulations!$AQ62&lt;&gt;"",N(Simulations!$AS62)&gt;0))),N(Simulations!$AR62)&lt;=0),0,SQRT(2*Simulations!$AR62*1000000/(Simulations!$J62*1000))/Simulations!$T62)</f>
        <v>0</v>
      </c>
      <c r="M62" s="0" t="n">
        <f aca="false">IF(AND(Simulations!$A62&lt;&gt;"",OR(Simulations!$AQ62&lt;&gt;"",N(Simulations!$AS62)&gt;0)),1,0)</f>
        <v>0</v>
      </c>
      <c r="N62" s="0" t="n">
        <f aca="false">IF(OR(NOT(AND(Simulations!$A62&lt;&gt;"",OR(Simulations!$BI62&lt;&gt;"",N(Simulations!$BK62)&gt;0))),N(Simulations!$BL62)&lt;=0,N(Simulations!$BK62)&lt;=0,1&gt;N(Simulations!$O62)),0,IF(Simulations!$BL62&lt;Simulations!$J62,Simulations!$BK62/(Simulations!$G62*Simulations!$H62*IF(Simulations!$I62&gt;0,Simulations!$I62,1))*Simulations!$BL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L62/Simulations!$J62)^1.5+SQRT(LN(Simulations!$BL62/Simulations!$J62))+Simulations!$BL62/Simulations!$J62*SQRT(PI())/2*ERFC(SQRT(LN(Simulations!$BL62/Simulations!$J62)))),PI()*Simulations!$T62^2/2*(LN(Simulations!$BL62/Simulations!$J62)+1))))</f>
        <v>0</v>
      </c>
      <c r="O62" s="0" t="n">
        <f aca="false">IF(OR(NOT(AND(Simulations!$A62&lt;&gt;"",OR(Simulations!$BI62&lt;&gt;"",N(Simulations!$BK62)&gt;0))),N(Simulations!$BM62)&lt;=0,N(Simulations!$BK62)&lt;=0,2&gt;N(Simulations!$O62)),0,IF(Simulations!$BM62&lt;Simulations!$J62,Simulations!$BK62/(Simulations!$G62*Simulations!$H62*IF(Simulations!$I62&gt;0,Simulations!$I62,1))*Simulations!$BM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M62/Simulations!$J62)^1.5+SQRT(LN(Simulations!$BM62/Simulations!$J62))+Simulations!$BM62/Simulations!$J62*SQRT(PI())/2*ERFC(SQRT(LN(Simulations!$BM62/Simulations!$J62)))),PI()*Simulations!$T62^2/2*(LN(Simulations!$BM62/Simulations!$J62)+1))))</f>
        <v>0</v>
      </c>
      <c r="P62" s="0" t="n">
        <f aca="false">IF(OR(NOT(AND(Simulations!$A62&lt;&gt;"",OR(Simulations!$BI62&lt;&gt;"",N(Simulations!$BK62)&gt;0))),N(Simulations!$BN62)&lt;=0,N(Simulations!$BK62)&lt;=0,3&gt;N(Simulations!$O62)),0,IF(Simulations!$BN62&lt;Simulations!$J62,Simulations!$BK62/(Simulations!$G62*Simulations!$H62*IF(Simulations!$I62&gt;0,Simulations!$I62,1))*Simulations!$BN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N62/Simulations!$J62)^1.5+SQRT(LN(Simulations!$BN62/Simulations!$J62))+Simulations!$BN62/Simulations!$J62*SQRT(PI())/2*ERFC(SQRT(LN(Simulations!$BN62/Simulations!$J62)))),PI()*Simulations!$T62^2/2*(LN(Simulations!$BN62/Simulations!$J62)+1))))</f>
        <v>0</v>
      </c>
      <c r="Q62" s="0" t="n">
        <f aca="false">IF(NOT(AND(Simulations!$A62&lt;&gt;"",OR(Simulations!$BI62&lt;&gt;"",N(Simulations!$BK62)&gt;0))),0,MAX(N(Simulations!$BL62),N(Simulations!$BM62),N(Simulations!$BN62))/Simulations!$J62)</f>
        <v>0</v>
      </c>
      <c r="R62" s="0" t="n">
        <f aca="false">IF(OR(NOT(AND(Simulations!$A62&lt;&gt;"",OR(Simulations!$BI62&lt;&gt;"",N(Simulations!$BK62)&gt;0))),N(Simulations!$BJ62)&lt;=0),0,SQRT(2*Simulations!$BJ62*1000000/(Simulations!$J62*1000))/Simulations!$T62)</f>
        <v>0</v>
      </c>
      <c r="S62" s="0" t="n">
        <f aca="false">IF(AND(Simulations!$A62&lt;&gt;"",OR(Simulations!$BI62&lt;&gt;"",N(Simulations!$BK62)&gt;0)),1,0)</f>
        <v>0</v>
      </c>
      <c r="T62" s="0" t="n">
        <f aca="false">IF(OR(NOT(AND(Simulations!$A62&lt;&gt;"",OR(Simulations!$CA62&lt;&gt;"",N(Simulations!$CC62)&gt;0))),N(Simulations!$CD62)&lt;=0,N(Simulations!$CC62)&lt;=0,1&gt;N(Simulations!$O62)),0,IF(Simulations!$CD62&lt;Simulations!$J62,Simulations!$CC62/(Simulations!$G62*Simulations!$H62*IF(Simulations!$I62&gt;0,Simulations!$I62,1))*Simulations!$CD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D62/Simulations!$J62)^1.5+SQRT(LN(Simulations!$CD62/Simulations!$J62))+Simulations!$CD62/Simulations!$J62*SQRT(PI())/2*ERFC(SQRT(LN(Simulations!$CD62/Simulations!$J62)))),PI()*Simulations!$T62^2/2*(LN(Simulations!$CD62/Simulations!$J62)+1))))</f>
        <v>0</v>
      </c>
      <c r="U62" s="0" t="n">
        <f aca="false">IF(OR(NOT(AND(Simulations!$A62&lt;&gt;"",OR(Simulations!$CA62&lt;&gt;"",N(Simulations!$CC62)&gt;0))),N(Simulations!$CE62)&lt;=0,N(Simulations!$CC62)&lt;=0,2&gt;N(Simulations!$O62)),0,IF(Simulations!$CE62&lt;Simulations!$J62,Simulations!$CC62/(Simulations!$G62*Simulations!$H62*IF(Simulations!$I62&gt;0,Simulations!$I62,1))*Simulations!$CE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E62/Simulations!$J62)^1.5+SQRT(LN(Simulations!$CE62/Simulations!$J62))+Simulations!$CE62/Simulations!$J62*SQRT(PI())/2*ERFC(SQRT(LN(Simulations!$CE62/Simulations!$J62)))),PI()*Simulations!$T62^2/2*(LN(Simulations!$CE62/Simulations!$J62)+1))))</f>
        <v>0</v>
      </c>
      <c r="V62" s="0" t="n">
        <f aca="false">IF(OR(NOT(AND(Simulations!$A62&lt;&gt;"",OR(Simulations!$CA62&lt;&gt;"",N(Simulations!$CC62)&gt;0))),N(Simulations!$CF62)&lt;=0,N(Simulations!$CC62)&lt;=0,3&gt;N(Simulations!$O62)),0,IF(Simulations!$CF62&lt;Simulations!$J62,Simulations!$CC62/(Simulations!$G62*Simulations!$H62*IF(Simulations!$I62&gt;0,Simulations!$I62,1))*Simulations!$CF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F62/Simulations!$J62)^1.5+SQRT(LN(Simulations!$CF62/Simulations!$J62))+Simulations!$CF62/Simulations!$J62*SQRT(PI())/2*ERFC(SQRT(LN(Simulations!$CF62/Simulations!$J62)))),PI()*Simulations!$T62^2/2*(LN(Simulations!$CF62/Simulations!$J62)+1))))</f>
        <v>0</v>
      </c>
      <c r="W62" s="0" t="n">
        <f aca="false">IF(NOT(AND(Simulations!$A62&lt;&gt;"",OR(Simulations!$CA62&lt;&gt;"",N(Simulations!$CC62)&gt;0))),0,MAX(N(Simulations!$CD62),N(Simulations!$CE62),N(Simulations!$CF62))/Simulations!$J62)</f>
        <v>0</v>
      </c>
      <c r="X62" s="0" t="n">
        <f aca="false">IF(OR(NOT(AND(Simulations!$A62&lt;&gt;"",OR(Simulations!$CA62&lt;&gt;"",N(Simulations!$CC62)&gt;0))),N(Simulations!$CB62)&lt;=0),0,SQRT(2*Simulations!$CB62*1000000/(Simulations!$J62*1000))/Simulations!$T62)</f>
        <v>0</v>
      </c>
      <c r="Y62" s="0" t="n">
        <f aca="false">IF(AND(Simulations!$A62&lt;&gt;"",OR(Simulations!$CA62&lt;&gt;"",N(Simulations!$CC62)&gt;0)),1,0)</f>
        <v>0</v>
      </c>
      <c r="Z62" s="0" t="n">
        <f aca="false">IF(OR(NOT(AND(Simulations!$A62&lt;&gt;"",OR(Simulations!$CS62&lt;&gt;"",N(Simulations!$CU62)&gt;0))),N(Simulations!$CV62)&lt;=0,N(Simulations!$CU62)&lt;=0,1&gt;N(Simulations!$O62)),0,IF(Simulations!$CV62&lt;Simulations!$J62,Simulations!$CU62/(Simulations!$G62*Simulations!$H62*IF(Simulations!$I62&gt;0,Simulations!$I62,1))*Simulations!$CV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V62/Simulations!$J62)^1.5+SQRT(LN(Simulations!$CV62/Simulations!$J62))+Simulations!$CV62/Simulations!$J62*SQRT(PI())/2*ERFC(SQRT(LN(Simulations!$CV62/Simulations!$J62)))),PI()*Simulations!$T62^2/2*(LN(Simulations!$CV62/Simulations!$J62)+1))))</f>
        <v>0</v>
      </c>
      <c r="AA62" s="0" t="n">
        <f aca="false">IF(OR(NOT(AND(Simulations!$A62&lt;&gt;"",OR(Simulations!$CS62&lt;&gt;"",N(Simulations!$CU62)&gt;0))),N(Simulations!$CW62)&lt;=0,N(Simulations!$CU62)&lt;=0,2&gt;N(Simulations!$O62)),0,IF(Simulations!$CW62&lt;Simulations!$J62,Simulations!$CU62/(Simulations!$G62*Simulations!$H62*IF(Simulations!$I62&gt;0,Simulations!$I62,1))*Simulations!$CW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W62/Simulations!$J62)^1.5+SQRT(LN(Simulations!$CW62/Simulations!$J62))+Simulations!$CW62/Simulations!$J62*SQRT(PI())/2*ERFC(SQRT(LN(Simulations!$CW62/Simulations!$J62)))),PI()*Simulations!$T62^2/2*(LN(Simulations!$CW62/Simulations!$J62)+1))))</f>
        <v>0</v>
      </c>
      <c r="AB62" s="0" t="n">
        <f aca="false">IF(OR(NOT(AND(Simulations!$A62&lt;&gt;"",OR(Simulations!$CS62&lt;&gt;"",N(Simulations!$CU62)&gt;0))),N(Simulations!$CX62)&lt;=0,N(Simulations!$CU62)&lt;=0,3&gt;N(Simulations!$O62)),0,IF(Simulations!$CX62&lt;Simulations!$J62,Simulations!$CU62/(Simulations!$G62*Simulations!$H62*IF(Simulations!$I62&gt;0,Simulations!$I62,1))*Simulations!$CX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X62/Simulations!$J62)^1.5+SQRT(LN(Simulations!$CX62/Simulations!$J62))+Simulations!$CX62/Simulations!$J62*SQRT(PI())/2*ERFC(SQRT(LN(Simulations!$CX62/Simulations!$J62)))),PI()*Simulations!$T62^2/2*(LN(Simulations!$CX62/Simulations!$J62)+1))))</f>
        <v>0</v>
      </c>
      <c r="AC62" s="0" t="n">
        <f aca="false">IF(NOT(AND(Simulations!$A62&lt;&gt;"",OR(Simulations!$CS62&lt;&gt;"",N(Simulations!$CU62)&gt;0))),0,MAX(N(Simulations!$CV62),N(Simulations!$CW62),N(Simulations!$CX62))/Simulations!$J62)</f>
        <v>0</v>
      </c>
      <c r="AD62" s="0" t="n">
        <f aca="false">IF(OR(NOT(AND(Simulations!$A62&lt;&gt;"",OR(Simulations!$CS62&lt;&gt;"",N(Simulations!$CU62)&gt;0))),N(Simulations!$CT62)&lt;=0),0,SQRT(2*Simulations!$CT62*1000000/(Simulations!$J62*1000))/Simulations!$T62)</f>
        <v>0</v>
      </c>
      <c r="AE62" s="0" t="n">
        <f aca="false">IF(AND(Simulations!$A62&lt;&gt;"",OR(Simulations!$CS62&lt;&gt;"",N(Simulations!$CU62)&gt;0)),1,0)</f>
        <v>0</v>
      </c>
      <c r="AF62" s="0" t="n">
        <f aca="false">IF(OR(NOT(AND(Simulations!$A62&lt;&gt;"",OR(Simulations!$DK62&lt;&gt;"",N(Simulations!$DM62)&gt;0))),N(Simulations!$DN62)&lt;=0,N(Simulations!$DM62)&lt;=0,1&gt;N(Simulations!$O62)),0,IF(Simulations!$DN62&lt;Simulations!$J62,Simulations!$DM62/(Simulations!$G62*Simulations!$H62*IF(Simulations!$I62&gt;0,Simulations!$I62,1))*Simulations!$DN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N62/Simulations!$J62)^1.5+SQRT(LN(Simulations!$DN62/Simulations!$J62))+Simulations!$DN62/Simulations!$J62*SQRT(PI())/2*ERFC(SQRT(LN(Simulations!$DN62/Simulations!$J62)))),PI()*Simulations!$T62^2/2*(LN(Simulations!$DN62/Simulations!$J62)+1))))</f>
        <v>0</v>
      </c>
      <c r="AG62" s="0" t="n">
        <f aca="false">IF(OR(NOT(AND(Simulations!$A62&lt;&gt;"",OR(Simulations!$DK62&lt;&gt;"",N(Simulations!$DM62)&gt;0))),N(Simulations!$DO62)&lt;=0,N(Simulations!$DM62)&lt;=0,2&gt;N(Simulations!$O62)),0,IF(Simulations!$DO62&lt;Simulations!$J62,Simulations!$DM62/(Simulations!$G62*Simulations!$H62*IF(Simulations!$I62&gt;0,Simulations!$I62,1))*Simulations!$DO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O62/Simulations!$J62)^1.5+SQRT(LN(Simulations!$DO62/Simulations!$J62))+Simulations!$DO62/Simulations!$J62*SQRT(PI())/2*ERFC(SQRT(LN(Simulations!$DO62/Simulations!$J62)))),PI()*Simulations!$T62^2/2*(LN(Simulations!$DO62/Simulations!$J62)+1))))</f>
        <v>0</v>
      </c>
      <c r="AH62" s="0" t="n">
        <f aca="false">IF(OR(NOT(AND(Simulations!$A62&lt;&gt;"",OR(Simulations!$DK62&lt;&gt;"",N(Simulations!$DM62)&gt;0))),N(Simulations!$DP62)&lt;=0,N(Simulations!$DM62)&lt;=0,3&gt;N(Simulations!$O62)),0,IF(Simulations!$DP62&lt;Simulations!$J62,Simulations!$DM62/(Simulations!$G62*Simulations!$H62*IF(Simulations!$I62&gt;0,Simulations!$I62,1))*Simulations!$DP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P62/Simulations!$J62)^1.5+SQRT(LN(Simulations!$DP62/Simulations!$J62))+Simulations!$DP62/Simulations!$J62*SQRT(PI())/2*ERFC(SQRT(LN(Simulations!$DP62/Simulations!$J62)))),PI()*Simulations!$T62^2/2*(LN(Simulations!$DP62/Simulations!$J62)+1))))</f>
        <v>0</v>
      </c>
      <c r="AI62" s="0" t="n">
        <f aca="false">IF(NOT(AND(Simulations!$A62&lt;&gt;"",OR(Simulations!$DK62&lt;&gt;"",N(Simulations!$DM62)&gt;0))),0,MAX(N(Simulations!$DN62),N(Simulations!$DO62),N(Simulations!$DP62))/Simulations!$J62)</f>
        <v>0</v>
      </c>
      <c r="AJ62" s="0" t="n">
        <f aca="false">IF(OR(NOT(AND(Simulations!$A62&lt;&gt;"",OR(Simulations!$DK62&lt;&gt;"",N(Simulations!$DM62)&gt;0))),N(Simulations!$DL62)&lt;=0),0,SQRT(2*Simulations!$DL62*1000000/(Simulations!$J62*1000))/Simulations!$T62)</f>
        <v>0</v>
      </c>
      <c r="AK62" s="0" t="n">
        <f aca="false">IF(AND(Simulations!$A62&lt;&gt;"",OR(Simulations!$DK62&lt;&gt;"",N(Simulations!$DM62)&gt;0)),1,0)</f>
        <v>0</v>
      </c>
    </row>
    <row r="63" customFormat="false" ht="15" hidden="false" customHeight="false" outlineLevel="0" collapsed="false">
      <c r="B63" s="0" t="n">
        <f aca="false">IF(OR(NOT(AND(Simulations!$A63&lt;&gt;"",OR(Simulations!$Y63&lt;&gt;"",N(Simulations!$AA63)&gt;0))),N(Simulations!$AB63)&lt;=0,N(Simulations!$AA63)&lt;=0,1&gt;N(Simulations!$O63)),0,IF(Simulations!$AB63&lt;Simulations!$J63,Simulations!$AA63/(Simulations!$G63*Simulations!$H63*IF(Simulations!$I63&gt;0,Simulations!$I63,1))*Simulations!$AB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B63/Simulations!$J63)^1.5+SQRT(LN(Simulations!$AB63/Simulations!$J63))+Simulations!$AB63/Simulations!$J63*SQRT(PI())/2*ERFC(SQRT(LN(Simulations!$AB63/Simulations!$J63)))),PI()*Simulations!$T63^2/2*(LN(Simulations!$AB63/Simulations!$J63)+1))))</f>
        <v>0</v>
      </c>
      <c r="C63" s="0" t="n">
        <f aca="false">IF(OR(NOT(AND(Simulations!$A63&lt;&gt;"",OR(Simulations!$Y63&lt;&gt;"",N(Simulations!$AA63)&gt;0))),N(Simulations!$AC63)&lt;=0,N(Simulations!$AA63)&lt;=0,2&gt;N(Simulations!$O63)),0,IF(Simulations!$AC63&lt;Simulations!$J63,Simulations!$AA63/(Simulations!$G63*Simulations!$H63*IF(Simulations!$I63&gt;0,Simulations!$I63,1))*Simulations!$AC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C63/Simulations!$J63)^1.5+SQRT(LN(Simulations!$AC63/Simulations!$J63))+Simulations!$AC63/Simulations!$J63*SQRT(PI())/2*ERFC(SQRT(LN(Simulations!$AC63/Simulations!$J63)))),PI()*Simulations!$T63^2/2*(LN(Simulations!$AC63/Simulations!$J63)+1))))</f>
        <v>0</v>
      </c>
      <c r="D63" s="0" t="n">
        <f aca="false">IF(OR(NOT(AND(Simulations!$A63&lt;&gt;"",OR(Simulations!$Y63&lt;&gt;"",N(Simulations!$AA63)&gt;0))),N(Simulations!$AD63)&lt;=0,N(Simulations!$AA63)&lt;=0,3&gt;N(Simulations!$O63)),0,IF(Simulations!$AD63&lt;Simulations!$J63,Simulations!$AA63/(Simulations!$G63*Simulations!$H63*IF(Simulations!$I63&gt;0,Simulations!$I63,1))*Simulations!$AD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D63/Simulations!$J63)^1.5+SQRT(LN(Simulations!$AD63/Simulations!$J63))+Simulations!$AD63/Simulations!$J63*SQRT(PI())/2*ERFC(SQRT(LN(Simulations!$AD63/Simulations!$J63)))),PI()*Simulations!$T63^2/2*(LN(Simulations!$AD63/Simulations!$J63)+1))))</f>
        <v>0</v>
      </c>
      <c r="E63" s="0" t="n">
        <f aca="false">IF(NOT(AND(Simulations!$A63&lt;&gt;"",OR(Simulations!$Y63&lt;&gt;"",N(Simulations!$AA63)&gt;0))),0,MAX(N(Simulations!$AB63),N(Simulations!$AC63),N(Simulations!$AD63))/Simulations!$J63)</f>
        <v>0</v>
      </c>
      <c r="F63" s="0" t="n">
        <f aca="false">IF(OR(NOT(AND(Simulations!$A63&lt;&gt;"",OR(Simulations!$Y63&lt;&gt;"",N(Simulations!$AA63)&gt;0))),N(Simulations!$Z63)&lt;=0),0,SQRT(2*Simulations!$Z63*1000000/(Simulations!$J63*1000))/Simulations!$T63)</f>
        <v>0</v>
      </c>
      <c r="G63" s="0" t="n">
        <f aca="false">IF(AND(Simulations!$A63&lt;&gt;"",OR(Simulations!$Y63&lt;&gt;"",N(Simulations!$AA63)&gt;0)),1,0)</f>
        <v>0</v>
      </c>
      <c r="H63" s="0" t="n">
        <f aca="false">IF(OR(NOT(AND(Simulations!$A63&lt;&gt;"",OR(Simulations!$AQ63&lt;&gt;"",N(Simulations!$AS63)&gt;0))),N(Simulations!$AT63)&lt;=0,N(Simulations!$AS63)&lt;=0,1&gt;N(Simulations!$O63)),0,IF(Simulations!$AT63&lt;Simulations!$J63,Simulations!$AS63/(Simulations!$G63*Simulations!$H63*IF(Simulations!$I63&gt;0,Simulations!$I63,1))*Simulations!$AT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T63/Simulations!$J63)^1.5+SQRT(LN(Simulations!$AT63/Simulations!$J63))+Simulations!$AT63/Simulations!$J63*SQRT(PI())/2*ERFC(SQRT(LN(Simulations!$AT63/Simulations!$J63)))),PI()*Simulations!$T63^2/2*(LN(Simulations!$AT63/Simulations!$J63)+1))))</f>
        <v>0</v>
      </c>
      <c r="I63" s="0" t="n">
        <f aca="false">IF(OR(NOT(AND(Simulations!$A63&lt;&gt;"",OR(Simulations!$AQ63&lt;&gt;"",N(Simulations!$AS63)&gt;0))),N(Simulations!$AU63)&lt;=0,N(Simulations!$AS63)&lt;=0,2&gt;N(Simulations!$O63)),0,IF(Simulations!$AU63&lt;Simulations!$J63,Simulations!$AS63/(Simulations!$G63*Simulations!$H63*IF(Simulations!$I63&gt;0,Simulations!$I63,1))*Simulations!$AU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U63/Simulations!$J63)^1.5+SQRT(LN(Simulations!$AU63/Simulations!$J63))+Simulations!$AU63/Simulations!$J63*SQRT(PI())/2*ERFC(SQRT(LN(Simulations!$AU63/Simulations!$J63)))),PI()*Simulations!$T63^2/2*(LN(Simulations!$AU63/Simulations!$J63)+1))))</f>
        <v>0</v>
      </c>
      <c r="J63" s="0" t="n">
        <f aca="false">IF(OR(NOT(AND(Simulations!$A63&lt;&gt;"",OR(Simulations!$AQ63&lt;&gt;"",N(Simulations!$AS63)&gt;0))),N(Simulations!$AV63)&lt;=0,N(Simulations!$AS63)&lt;=0,3&gt;N(Simulations!$O63)),0,IF(Simulations!$AV63&lt;Simulations!$J63,Simulations!$AS63/(Simulations!$G63*Simulations!$H63*IF(Simulations!$I63&gt;0,Simulations!$I63,1))*Simulations!$AV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V63/Simulations!$J63)^1.5+SQRT(LN(Simulations!$AV63/Simulations!$J63))+Simulations!$AV63/Simulations!$J63*SQRT(PI())/2*ERFC(SQRT(LN(Simulations!$AV63/Simulations!$J63)))),PI()*Simulations!$T63^2/2*(LN(Simulations!$AV63/Simulations!$J63)+1))))</f>
        <v>0</v>
      </c>
      <c r="K63" s="0" t="n">
        <f aca="false">IF(NOT(AND(Simulations!$A63&lt;&gt;"",OR(Simulations!$AQ63&lt;&gt;"",N(Simulations!$AS63)&gt;0))),0,MAX(N(Simulations!$AT63),N(Simulations!$AU63),N(Simulations!$AV63))/Simulations!$J63)</f>
        <v>0</v>
      </c>
      <c r="L63" s="0" t="n">
        <f aca="false">IF(OR(NOT(AND(Simulations!$A63&lt;&gt;"",OR(Simulations!$AQ63&lt;&gt;"",N(Simulations!$AS63)&gt;0))),N(Simulations!$AR63)&lt;=0),0,SQRT(2*Simulations!$AR63*1000000/(Simulations!$J63*1000))/Simulations!$T63)</f>
        <v>0</v>
      </c>
      <c r="M63" s="0" t="n">
        <f aca="false">IF(AND(Simulations!$A63&lt;&gt;"",OR(Simulations!$AQ63&lt;&gt;"",N(Simulations!$AS63)&gt;0)),1,0)</f>
        <v>0</v>
      </c>
      <c r="N63" s="0" t="n">
        <f aca="false">IF(OR(NOT(AND(Simulations!$A63&lt;&gt;"",OR(Simulations!$BI63&lt;&gt;"",N(Simulations!$BK63)&gt;0))),N(Simulations!$BL63)&lt;=0,N(Simulations!$BK63)&lt;=0,1&gt;N(Simulations!$O63)),0,IF(Simulations!$BL63&lt;Simulations!$J63,Simulations!$BK63/(Simulations!$G63*Simulations!$H63*IF(Simulations!$I63&gt;0,Simulations!$I63,1))*Simulations!$BL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L63/Simulations!$J63)^1.5+SQRT(LN(Simulations!$BL63/Simulations!$J63))+Simulations!$BL63/Simulations!$J63*SQRT(PI())/2*ERFC(SQRT(LN(Simulations!$BL63/Simulations!$J63)))),PI()*Simulations!$T63^2/2*(LN(Simulations!$BL63/Simulations!$J63)+1))))</f>
        <v>0</v>
      </c>
      <c r="O63" s="0" t="n">
        <f aca="false">IF(OR(NOT(AND(Simulations!$A63&lt;&gt;"",OR(Simulations!$BI63&lt;&gt;"",N(Simulations!$BK63)&gt;0))),N(Simulations!$BM63)&lt;=0,N(Simulations!$BK63)&lt;=0,2&gt;N(Simulations!$O63)),0,IF(Simulations!$BM63&lt;Simulations!$J63,Simulations!$BK63/(Simulations!$G63*Simulations!$H63*IF(Simulations!$I63&gt;0,Simulations!$I63,1))*Simulations!$BM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M63/Simulations!$J63)^1.5+SQRT(LN(Simulations!$BM63/Simulations!$J63))+Simulations!$BM63/Simulations!$J63*SQRT(PI())/2*ERFC(SQRT(LN(Simulations!$BM63/Simulations!$J63)))),PI()*Simulations!$T63^2/2*(LN(Simulations!$BM63/Simulations!$J63)+1))))</f>
        <v>0</v>
      </c>
      <c r="P63" s="0" t="n">
        <f aca="false">IF(OR(NOT(AND(Simulations!$A63&lt;&gt;"",OR(Simulations!$BI63&lt;&gt;"",N(Simulations!$BK63)&gt;0))),N(Simulations!$BN63)&lt;=0,N(Simulations!$BK63)&lt;=0,3&gt;N(Simulations!$O63)),0,IF(Simulations!$BN63&lt;Simulations!$J63,Simulations!$BK63/(Simulations!$G63*Simulations!$H63*IF(Simulations!$I63&gt;0,Simulations!$I63,1))*Simulations!$BN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N63/Simulations!$J63)^1.5+SQRT(LN(Simulations!$BN63/Simulations!$J63))+Simulations!$BN63/Simulations!$J63*SQRT(PI())/2*ERFC(SQRT(LN(Simulations!$BN63/Simulations!$J63)))),PI()*Simulations!$T63^2/2*(LN(Simulations!$BN63/Simulations!$J63)+1))))</f>
        <v>0</v>
      </c>
      <c r="Q63" s="0" t="n">
        <f aca="false">IF(NOT(AND(Simulations!$A63&lt;&gt;"",OR(Simulations!$BI63&lt;&gt;"",N(Simulations!$BK63)&gt;0))),0,MAX(N(Simulations!$BL63),N(Simulations!$BM63),N(Simulations!$BN63))/Simulations!$J63)</f>
        <v>0</v>
      </c>
      <c r="R63" s="0" t="n">
        <f aca="false">IF(OR(NOT(AND(Simulations!$A63&lt;&gt;"",OR(Simulations!$BI63&lt;&gt;"",N(Simulations!$BK63)&gt;0))),N(Simulations!$BJ63)&lt;=0),0,SQRT(2*Simulations!$BJ63*1000000/(Simulations!$J63*1000))/Simulations!$T63)</f>
        <v>0</v>
      </c>
      <c r="S63" s="0" t="n">
        <f aca="false">IF(AND(Simulations!$A63&lt;&gt;"",OR(Simulations!$BI63&lt;&gt;"",N(Simulations!$BK63)&gt;0)),1,0)</f>
        <v>0</v>
      </c>
      <c r="T63" s="0" t="n">
        <f aca="false">IF(OR(NOT(AND(Simulations!$A63&lt;&gt;"",OR(Simulations!$CA63&lt;&gt;"",N(Simulations!$CC63)&gt;0))),N(Simulations!$CD63)&lt;=0,N(Simulations!$CC63)&lt;=0,1&gt;N(Simulations!$O63)),0,IF(Simulations!$CD63&lt;Simulations!$J63,Simulations!$CC63/(Simulations!$G63*Simulations!$H63*IF(Simulations!$I63&gt;0,Simulations!$I63,1))*Simulations!$CD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D63/Simulations!$J63)^1.5+SQRT(LN(Simulations!$CD63/Simulations!$J63))+Simulations!$CD63/Simulations!$J63*SQRT(PI())/2*ERFC(SQRT(LN(Simulations!$CD63/Simulations!$J63)))),PI()*Simulations!$T63^2/2*(LN(Simulations!$CD63/Simulations!$J63)+1))))</f>
        <v>0</v>
      </c>
      <c r="U63" s="0" t="n">
        <f aca="false">IF(OR(NOT(AND(Simulations!$A63&lt;&gt;"",OR(Simulations!$CA63&lt;&gt;"",N(Simulations!$CC63)&gt;0))),N(Simulations!$CE63)&lt;=0,N(Simulations!$CC63)&lt;=0,2&gt;N(Simulations!$O63)),0,IF(Simulations!$CE63&lt;Simulations!$J63,Simulations!$CC63/(Simulations!$G63*Simulations!$H63*IF(Simulations!$I63&gt;0,Simulations!$I63,1))*Simulations!$CE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E63/Simulations!$J63)^1.5+SQRT(LN(Simulations!$CE63/Simulations!$J63))+Simulations!$CE63/Simulations!$J63*SQRT(PI())/2*ERFC(SQRT(LN(Simulations!$CE63/Simulations!$J63)))),PI()*Simulations!$T63^2/2*(LN(Simulations!$CE63/Simulations!$J63)+1))))</f>
        <v>0</v>
      </c>
      <c r="V63" s="0" t="n">
        <f aca="false">IF(OR(NOT(AND(Simulations!$A63&lt;&gt;"",OR(Simulations!$CA63&lt;&gt;"",N(Simulations!$CC63)&gt;0))),N(Simulations!$CF63)&lt;=0,N(Simulations!$CC63)&lt;=0,3&gt;N(Simulations!$O63)),0,IF(Simulations!$CF63&lt;Simulations!$J63,Simulations!$CC63/(Simulations!$G63*Simulations!$H63*IF(Simulations!$I63&gt;0,Simulations!$I63,1))*Simulations!$CF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F63/Simulations!$J63)^1.5+SQRT(LN(Simulations!$CF63/Simulations!$J63))+Simulations!$CF63/Simulations!$J63*SQRT(PI())/2*ERFC(SQRT(LN(Simulations!$CF63/Simulations!$J63)))),PI()*Simulations!$T63^2/2*(LN(Simulations!$CF63/Simulations!$J63)+1))))</f>
        <v>0</v>
      </c>
      <c r="W63" s="0" t="n">
        <f aca="false">IF(NOT(AND(Simulations!$A63&lt;&gt;"",OR(Simulations!$CA63&lt;&gt;"",N(Simulations!$CC63)&gt;0))),0,MAX(N(Simulations!$CD63),N(Simulations!$CE63),N(Simulations!$CF63))/Simulations!$J63)</f>
        <v>0</v>
      </c>
      <c r="X63" s="0" t="n">
        <f aca="false">IF(OR(NOT(AND(Simulations!$A63&lt;&gt;"",OR(Simulations!$CA63&lt;&gt;"",N(Simulations!$CC63)&gt;0))),N(Simulations!$CB63)&lt;=0),0,SQRT(2*Simulations!$CB63*1000000/(Simulations!$J63*1000))/Simulations!$T63)</f>
        <v>0</v>
      </c>
      <c r="Y63" s="0" t="n">
        <f aca="false">IF(AND(Simulations!$A63&lt;&gt;"",OR(Simulations!$CA63&lt;&gt;"",N(Simulations!$CC63)&gt;0)),1,0)</f>
        <v>0</v>
      </c>
      <c r="Z63" s="0" t="n">
        <f aca="false">IF(OR(NOT(AND(Simulations!$A63&lt;&gt;"",OR(Simulations!$CS63&lt;&gt;"",N(Simulations!$CU63)&gt;0))),N(Simulations!$CV63)&lt;=0,N(Simulations!$CU63)&lt;=0,1&gt;N(Simulations!$O63)),0,IF(Simulations!$CV63&lt;Simulations!$J63,Simulations!$CU63/(Simulations!$G63*Simulations!$H63*IF(Simulations!$I63&gt;0,Simulations!$I63,1))*Simulations!$CV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V63/Simulations!$J63)^1.5+SQRT(LN(Simulations!$CV63/Simulations!$J63))+Simulations!$CV63/Simulations!$J63*SQRT(PI())/2*ERFC(SQRT(LN(Simulations!$CV63/Simulations!$J63)))),PI()*Simulations!$T63^2/2*(LN(Simulations!$CV63/Simulations!$J63)+1))))</f>
        <v>0</v>
      </c>
      <c r="AA63" s="0" t="n">
        <f aca="false">IF(OR(NOT(AND(Simulations!$A63&lt;&gt;"",OR(Simulations!$CS63&lt;&gt;"",N(Simulations!$CU63)&gt;0))),N(Simulations!$CW63)&lt;=0,N(Simulations!$CU63)&lt;=0,2&gt;N(Simulations!$O63)),0,IF(Simulations!$CW63&lt;Simulations!$J63,Simulations!$CU63/(Simulations!$G63*Simulations!$H63*IF(Simulations!$I63&gt;0,Simulations!$I63,1))*Simulations!$CW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W63/Simulations!$J63)^1.5+SQRT(LN(Simulations!$CW63/Simulations!$J63))+Simulations!$CW63/Simulations!$J63*SQRT(PI())/2*ERFC(SQRT(LN(Simulations!$CW63/Simulations!$J63)))),PI()*Simulations!$T63^2/2*(LN(Simulations!$CW63/Simulations!$J63)+1))))</f>
        <v>0</v>
      </c>
      <c r="AB63" s="0" t="n">
        <f aca="false">IF(OR(NOT(AND(Simulations!$A63&lt;&gt;"",OR(Simulations!$CS63&lt;&gt;"",N(Simulations!$CU63)&gt;0))),N(Simulations!$CX63)&lt;=0,N(Simulations!$CU63)&lt;=0,3&gt;N(Simulations!$O63)),0,IF(Simulations!$CX63&lt;Simulations!$J63,Simulations!$CU63/(Simulations!$G63*Simulations!$H63*IF(Simulations!$I63&gt;0,Simulations!$I63,1))*Simulations!$CX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X63/Simulations!$J63)^1.5+SQRT(LN(Simulations!$CX63/Simulations!$J63))+Simulations!$CX63/Simulations!$J63*SQRT(PI())/2*ERFC(SQRT(LN(Simulations!$CX63/Simulations!$J63)))),PI()*Simulations!$T63^2/2*(LN(Simulations!$CX63/Simulations!$J63)+1))))</f>
        <v>0</v>
      </c>
      <c r="AC63" s="0" t="n">
        <f aca="false">IF(NOT(AND(Simulations!$A63&lt;&gt;"",OR(Simulations!$CS63&lt;&gt;"",N(Simulations!$CU63)&gt;0))),0,MAX(N(Simulations!$CV63),N(Simulations!$CW63),N(Simulations!$CX63))/Simulations!$J63)</f>
        <v>0</v>
      </c>
      <c r="AD63" s="0" t="n">
        <f aca="false">IF(OR(NOT(AND(Simulations!$A63&lt;&gt;"",OR(Simulations!$CS63&lt;&gt;"",N(Simulations!$CU63)&gt;0))),N(Simulations!$CT63)&lt;=0),0,SQRT(2*Simulations!$CT63*1000000/(Simulations!$J63*1000))/Simulations!$T63)</f>
        <v>0</v>
      </c>
      <c r="AE63" s="0" t="n">
        <f aca="false">IF(AND(Simulations!$A63&lt;&gt;"",OR(Simulations!$CS63&lt;&gt;"",N(Simulations!$CU63)&gt;0)),1,0)</f>
        <v>0</v>
      </c>
      <c r="AF63" s="0" t="n">
        <f aca="false">IF(OR(NOT(AND(Simulations!$A63&lt;&gt;"",OR(Simulations!$DK63&lt;&gt;"",N(Simulations!$DM63)&gt;0))),N(Simulations!$DN63)&lt;=0,N(Simulations!$DM63)&lt;=0,1&gt;N(Simulations!$O63)),0,IF(Simulations!$DN63&lt;Simulations!$J63,Simulations!$DM63/(Simulations!$G63*Simulations!$H63*IF(Simulations!$I63&gt;0,Simulations!$I63,1))*Simulations!$DN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N63/Simulations!$J63)^1.5+SQRT(LN(Simulations!$DN63/Simulations!$J63))+Simulations!$DN63/Simulations!$J63*SQRT(PI())/2*ERFC(SQRT(LN(Simulations!$DN63/Simulations!$J63)))),PI()*Simulations!$T63^2/2*(LN(Simulations!$DN63/Simulations!$J63)+1))))</f>
        <v>0</v>
      </c>
      <c r="AG63" s="0" t="n">
        <f aca="false">IF(OR(NOT(AND(Simulations!$A63&lt;&gt;"",OR(Simulations!$DK63&lt;&gt;"",N(Simulations!$DM63)&gt;0))),N(Simulations!$DO63)&lt;=0,N(Simulations!$DM63)&lt;=0,2&gt;N(Simulations!$O63)),0,IF(Simulations!$DO63&lt;Simulations!$J63,Simulations!$DM63/(Simulations!$G63*Simulations!$H63*IF(Simulations!$I63&gt;0,Simulations!$I63,1))*Simulations!$DO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O63/Simulations!$J63)^1.5+SQRT(LN(Simulations!$DO63/Simulations!$J63))+Simulations!$DO63/Simulations!$J63*SQRT(PI())/2*ERFC(SQRT(LN(Simulations!$DO63/Simulations!$J63)))),PI()*Simulations!$T63^2/2*(LN(Simulations!$DO63/Simulations!$J63)+1))))</f>
        <v>0</v>
      </c>
      <c r="AH63" s="0" t="n">
        <f aca="false">IF(OR(NOT(AND(Simulations!$A63&lt;&gt;"",OR(Simulations!$DK63&lt;&gt;"",N(Simulations!$DM63)&gt;0))),N(Simulations!$DP63)&lt;=0,N(Simulations!$DM63)&lt;=0,3&gt;N(Simulations!$O63)),0,IF(Simulations!$DP63&lt;Simulations!$J63,Simulations!$DM63/(Simulations!$G63*Simulations!$H63*IF(Simulations!$I63&gt;0,Simulations!$I63,1))*Simulations!$DP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P63/Simulations!$J63)^1.5+SQRT(LN(Simulations!$DP63/Simulations!$J63))+Simulations!$DP63/Simulations!$J63*SQRT(PI())/2*ERFC(SQRT(LN(Simulations!$DP63/Simulations!$J63)))),PI()*Simulations!$T63^2/2*(LN(Simulations!$DP63/Simulations!$J63)+1))))</f>
        <v>0</v>
      </c>
      <c r="AI63" s="0" t="n">
        <f aca="false">IF(NOT(AND(Simulations!$A63&lt;&gt;"",OR(Simulations!$DK63&lt;&gt;"",N(Simulations!$DM63)&gt;0))),0,MAX(N(Simulations!$DN63),N(Simulations!$DO63),N(Simulations!$DP63))/Simulations!$J63)</f>
        <v>0</v>
      </c>
      <c r="AJ63" s="0" t="n">
        <f aca="false">IF(OR(NOT(AND(Simulations!$A63&lt;&gt;"",OR(Simulations!$DK63&lt;&gt;"",N(Simulations!$DM63)&gt;0))),N(Simulations!$DL63)&lt;=0),0,SQRT(2*Simulations!$DL63*1000000/(Simulations!$J63*1000))/Simulations!$T63)</f>
        <v>0</v>
      </c>
      <c r="AK63" s="0" t="n">
        <f aca="false">IF(AND(Simulations!$A63&lt;&gt;"",OR(Simulations!$DK63&lt;&gt;"",N(Simulations!$DM63)&gt;0)),1,0)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2026-10-14T08:19:36Z</dcterms:created>
  <dc:creator>openpyxl</dc:creator>
  <dc:description/>
  <dc:language>en-US</dc:language>
  <cp:lastModifiedBy/>
  <dcterms:modified xsi:type="dcterms:W3CDTF">2026-10-14T08:19:36Z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