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w to use" sheetId="1" state="visible" r:id="rId3"/>
    <sheet name="Column guide" sheetId="2" state="visible" r:id="rId4"/>
    <sheet name="Simulations" sheetId="3" state="visible" r:id="rId5"/>
    <sheet name="Lists" sheetId="4" state="hidden" r:id="rId6"/>
    <sheet name="Calc" sheetId="5" state="hidden" r:id="rId7"/>
  </sheets>
  <definedNames>
    <definedName function="false" hidden="true" localSheetId="2" name="_xlnm._FilterDatabase" vbProcedure="false">Simulations!$A$3:$FE$63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Unique short ID, e.g. S12</t>
        </r>
      </text>
    </comment>
    <comment ref="B3" authorId="0">
      <text>
        <r>
          <rPr>
            <sz val="10"/>
            <rFont val="Arial"/>
            <family val="2"/>
          </rPr>
          <t xml:space="preserve">PAMsim 'File name': files become &lt;name&gt;_1.sim, ...</t>
        </r>
      </text>
    </comment>
    <comment ref="F3" authorId="0">
      <text>
        <r>
          <rPr>
            <sz val="10"/>
            <rFont val="Arial"/>
            <family val="2"/>
          </rPr>
          <t xml:space="preserve">1 = highest</t>
        </r>
      </text>
    </comment>
    <comment ref="I3" authorId="0">
      <text>
        <r>
          <rPr>
            <sz val="10"/>
            <rFont val="Arial"/>
            <family val="2"/>
          </rPr>
          <t xml:space="preserve">0 = 2D (membrane)</t>
        </r>
      </text>
    </comment>
    <comment ref="O3" authorId="0">
      <text>
        <r>
          <rPr>
            <sz val="10"/>
            <rFont val="Arial"/>
            <family val="2"/>
          </rPr>
          <t xml:space="preserve">Number of colours / PIE lasers (1-3 in this planner)</t>
        </r>
      </text>
    </comment>
    <comment ref="T3" authorId="0">
      <text>
        <r>
          <rPr>
            <sz val="10"/>
            <rFont val="Arial"/>
            <family val="2"/>
          </rPr>
          <t xml:space="preserve">Lateral 1/e² radius of the focus of colour 1 (laser 1)</t>
        </r>
      </text>
    </comment>
    <comment ref="W3" authorId="0">
      <text>
        <r>
          <rPr>
            <sz val="10"/>
            <rFont val="Arial"/>
            <family val="2"/>
          </rPr>
          <t xml:space="preserve">Axial 1/e² radius of the focus of colour 1 (laser 1)</t>
        </r>
      </text>
    </comment>
    <comment ref="Z3" authorId="0">
      <text>
        <r>
          <rPr>
            <sz val="10"/>
            <rFont val="Arial"/>
            <family val="2"/>
          </rPr>
          <t xml:space="preserve">Shift of the focus of colour 1 from the box centre (0 = perfectly overlapping foci)</t>
        </r>
      </text>
    </comment>
    <comment ref="AI3" authorId="0">
      <text>
        <r>
          <rPr>
            <sz val="10"/>
            <rFont val="Arial"/>
            <family val="2"/>
          </rPr>
          <t xml:space="preserve">Förster radius donor colour 1 → acceptor colour 2 (Å or nm)</t>
        </r>
      </text>
    </comment>
    <comment ref="AO3" authorId="0">
      <text>
        <r>
          <rPr>
            <sz val="10"/>
            <rFont val="Arial"/>
            <family val="2"/>
          </rPr>
          <t xml:space="preserve">Brightness 0 = no dye of this colour</t>
        </r>
      </text>
    </comment>
    <comment ref="EY3" authorId="0">
      <text>
        <r>
          <rPr>
            <sz val="10"/>
            <rFont val="Arial"/>
            <family val="2"/>
          </rPr>
          <t xml:space="preserve">Empty = random</t>
        </r>
      </text>
    </comment>
  </commentList>
</comments>
</file>

<file path=xl/sharedStrings.xml><?xml version="1.0" encoding="utf-8"?>
<sst xmlns="http://schemas.openxmlformats.org/spreadsheetml/2006/main" count="641" uniqueCount="304">
  <si>
    <t xml:space="preserve">PAMsim simulation planner</t>
  </si>
  <si>
    <t xml:space="preserve">Plan your simulations here, then type the values into PAMsim (or Sim.m).</t>
  </si>
  <si>
    <t xml:space="preserve">How it works</t>
  </si>
  <si>
    <t xml:space="preserve">•  Sheet 'Simulations': ONE ROW PER SIMULATION. Left: identification and measurement settings.</t>
  </si>
  <si>
    <t xml:space="preserve">•  Then 6 species blocks side by side (Species 1, Species 2, ...). Each species has its own name, D, number of</t>
  </si>
  <si>
    <t xml:space="preserve">    molecules N, brightness and lifetime per colour, and FRET (type and dye distances R). Leave unused species blocks empty.</t>
  </si>
  <si>
    <t xml:space="preserve">•  Brightness 0 = this species carries no dye of that colour (e.g. a green-red complex: B1 = 0, B2 = 70, B3 = 50).</t>
  </si>
  <si>
    <t xml:space="preserve">•  Focus per colour: each colour (laser) has its own focus size wr / wz and position dX / dY / dZ (0 = foci overlap).</t>
  </si>
  <si>
    <t xml:space="preserve">•  FRET: Förster radii R0 are set once per simulation (purple block); per species choose FRET type and distances R.</t>
  </si>
  <si>
    <t xml:space="preserve">    The FRET efficiency E = 1 / (1 + (R/R0)^6) is calculated for you (grey cells).</t>
  </si>
  <si>
    <t xml:space="preserve">•  Grey cells are calculated: concentration, FRET efficiency, a check per species, expected count rates, photons, memory.</t>
  </si>
  <si>
    <t xml:space="preserve">•  Use the + / - buttons above the columns (Excel grouping) to fold species blocks away.</t>
  </si>
  <si>
    <t xml:space="preserve">•  Fix every red check before running a simulation; orange checks bias the results slightly.</t>
  </si>
  <si>
    <t xml:space="preserve">•  Empty cells are treated like in PAMsim: box 5000 nm, 1000 kHz, 10 s, 1 colour, wr 200 nm, wz 1000 nm, R0 63/51/68.</t>
  </si>
  <si>
    <t xml:space="preserve">Colour code</t>
  </si>
  <si>
    <t xml:space="preserve">Yellow cells with blue text = your input.   Grey cells with black text = formulas (do not overwrite).</t>
  </si>
  <si>
    <t xml:space="preserve">Rules of thumb (from the PAMsim checks)</t>
  </si>
  <si>
    <t xml:space="preserve">•  Brightness &lt; 10% of the sampling frequency (e.g. &lt; 100 kHz at 1000 kHz). Above it the focus saturates:</t>
  </si>
  <si>
    <t xml:space="preserve">    the fitted D comes out too small and the concentration too large. At &gt;= 100% the excitation is fully saturated.</t>
  </si>
  <si>
    <t xml:space="preserve">•  One diffusion step sqrt(2·D·dt) should be &lt; 10% of wr; otherwise raise the sampling frequency.</t>
  </si>
  <si>
    <t xml:space="preserve">•  Box &gt;= 8·wr laterally and &gt;= 3·wz axially.</t>
  </si>
  <si>
    <t xml:space="preserve">•  Memory ≈ 12 bytes per photon and file. For very long runs use several files (Number of files) instead.</t>
  </si>
  <si>
    <t xml:space="preserve">•  Expected count rates: Gaussian focus incl. saturation (as in PAMsim's Check panel). FRET and crosstalk are ignored,</t>
  </si>
  <si>
    <t xml:space="preserve">    so with FRET the donor channel gets fewer and the acceptor channel more photons than estimated.</t>
  </si>
  <si>
    <t xml:space="preserve">Units</t>
  </si>
  <si>
    <t xml:space="preserve">nm (box, wr, wz) · kHz (sampling frequency, brightness, background) · s (duration) · ns (lifetime, microtime range)</t>
  </si>
  <si>
    <t xml:space="preserve">µm²/s (D) · nM (concentration) · Å or nm for R0 and R (use the same unit for both) · kHz (count rates) · million photons · GB</t>
  </si>
  <si>
    <t xml:space="preserve">Example rows</t>
  </si>
  <si>
    <t xml:space="preserve">S00 is a worked example (realistic 3-colour FCCS mixture with a FRET pair). S01-S11 are the simulations from your earlier</t>
  </si>
  <si>
    <t xml:space="preserve">spreadsheet (box 5000 nm, wr 200 nm, wz 1000 nm for all colours assumed) - the checks show which of them saturate.</t>
  </si>
  <si>
    <t xml:space="preserve">S00 also shows colour-dependent foci (wr 180/210/240 nm, wz 900/1050/1200 nm, colour 3 shifted 100 nm in z).</t>
  </si>
  <si>
    <t xml:space="preserve">More than 6 species? Run  python make_planner.py --species 10 -o new_planner.xlsx  (see the README).</t>
  </si>
  <si>
    <t xml:space="preserve">Column</t>
  </si>
  <si>
    <t xml:space="preserve">Meaning</t>
  </si>
  <si>
    <t xml:space="preserve">Unit</t>
  </si>
  <si>
    <t xml:space="preserve">Required?</t>
  </si>
  <si>
    <t xml:space="preserve">If left blank</t>
  </si>
  <si>
    <t xml:space="preserve">Identification</t>
  </si>
  <si>
    <t xml:space="preserve">Sim ID</t>
  </si>
  <si>
    <t xml:space="preserve">Unique short name of the simulation (e.g. S12)</t>
  </si>
  <si>
    <t xml:space="preserve">-</t>
  </si>
  <si>
    <t xml:space="preserve">Required</t>
  </si>
  <si>
    <t xml:space="preserve">row is skipped</t>
  </si>
  <si>
    <t xml:space="preserve">File name</t>
  </si>
  <si>
    <t xml:space="preserve">Name of the simulation: folder &lt;Output folder&gt;/&lt;name&gt;/ with files &lt;name&gt;_1.sim, ...</t>
  </si>
  <si>
    <t xml:space="preserve">Optional</t>
  </si>
  <si>
    <t xml:space="preserve">the Sim ID</t>
  </si>
  <si>
    <t xml:space="preserve">Purpose / question</t>
  </si>
  <si>
    <t xml:space="preserve">What you want to learn from this simulation</t>
  </si>
  <si>
    <t xml:space="preserve">Not used</t>
  </si>
  <si>
    <t xml:space="preserve">Output folder</t>
  </si>
  <si>
    <t xml:space="preserve">Main folder; each simulation gets its own subfolder (created automatically)</t>
  </si>
  <si>
    <t xml:space="preserve">PAMsim's output folder</t>
  </si>
  <si>
    <t xml:space="preserve">Status, Priority</t>
  </si>
  <si>
    <t xml:space="preserve">Your bookkeeping</t>
  </si>
  <si>
    <t xml:space="preserve">Measurement</t>
  </si>
  <si>
    <t xml:space="preserve">Box x, y, z</t>
  </si>
  <si>
    <t xml:space="preserve">Size of the simulation box; z = 0 gives 2D (membrane)</t>
  </si>
  <si>
    <t xml:space="preserve">nm</t>
  </si>
  <si>
    <t xml:space="preserve">5000 each</t>
  </si>
  <si>
    <t xml:space="preserve">Sampling freq.</t>
  </si>
  <si>
    <t xml:space="preserve">Time resolution of the random walk (time step = 1/frequency)</t>
  </si>
  <si>
    <t xml:space="preserve">kHz</t>
  </si>
  <si>
    <t xml:space="preserve">1000</t>
  </si>
  <si>
    <t xml:space="preserve">Duration</t>
  </si>
  <si>
    <t xml:space="preserve">Simulated measurement time per file</t>
  </si>
  <si>
    <t xml:space="preserve">s</t>
  </si>
  <si>
    <t xml:space="preserve">10</t>
  </si>
  <si>
    <t xml:space="preserve">Frames</t>
  </si>
  <si>
    <t xml:space="preserve">Number of frames (relevant for scanning)</t>
  </si>
  <si>
    <t xml:space="preserve">1</t>
  </si>
  <si>
    <t xml:space="preserve">Microtime range</t>
  </si>
  <si>
    <t xml:space="preserve">TCSPC range (PIE period)</t>
  </si>
  <si>
    <t xml:space="preserve">ns</t>
  </si>
  <si>
    <t xml:space="preserve">80</t>
  </si>
  <si>
    <t xml:space="preserve">Scan type</t>
  </si>
  <si>
    <t xml:space="preserve">Point / Raster scan / Line scan / Circle scan</t>
  </si>
  <si>
    <t xml:space="preserve">Point</t>
  </si>
  <si>
    <t xml:space="preserve">Colours</t>
  </si>
  <si>
    <t xml:space="preserve">Number of colours = PIE lasers = detection channels (1-3)</t>
  </si>
  <si>
    <t xml:space="preserve">1 (brightness 2/3 ignored!)</t>
  </si>
  <si>
    <t xml:space="preserve">Background? / Background</t>
  </si>
  <si>
    <t xml:space="preserve">Uncorrelated background and its count rate per channel</t>
  </si>
  <si>
    <t xml:space="preserve">No / 0</t>
  </si>
  <si>
    <t xml:space="preserve">IRF? / IRF width</t>
  </si>
  <si>
    <t xml:space="preserve">Simulate an instrument response function</t>
  </si>
  <si>
    <t xml:space="preserve">ps</t>
  </si>
  <si>
    <t xml:space="preserve">No / 250</t>
  </si>
  <si>
    <t xml:space="preserve">Focus per colour and Förster radii</t>
  </si>
  <si>
    <t xml:space="preserve">wr 1/2/3</t>
  </si>
  <si>
    <t xml:space="preserve">Lateral 1/e² radius of the focus of each colour (laser)</t>
  </si>
  <si>
    <t xml:space="preserve">200</t>
  </si>
  <si>
    <t xml:space="preserve">wz 1/2/3</t>
  </si>
  <si>
    <t xml:space="preserve">Axial 1/e² radius of the focus of each colour (laser)</t>
  </si>
  <si>
    <t xml:space="preserve">dX, dY, dZ 1/2/3</t>
  </si>
  <si>
    <t xml:space="preserve">Shift of each colour's focus from the box centre (focus overlap for FCCS)</t>
  </si>
  <si>
    <t xml:space="preserve">0</t>
  </si>
  <si>
    <t xml:space="preserve">R0 1→2, 1→3, 2→3</t>
  </si>
  <si>
    <t xml:space="preserve">Förster radius per dye pair (donor colour → acceptor colour)</t>
  </si>
  <si>
    <t xml:space="preserve">Å or nm</t>
  </si>
  <si>
    <t xml:space="preserve">63, 51, 68</t>
  </si>
  <si>
    <t xml:space="preserve">Species blocks (one block per species; leave unused blocks empty)</t>
  </si>
  <si>
    <t xml:space="preserve">Name</t>
  </si>
  <si>
    <t xml:space="preserve">Name of the species</t>
  </si>
  <si>
    <t xml:space="preserve">Species 1, 2, ...</t>
  </si>
  <si>
    <t xml:space="preserve">D</t>
  </si>
  <si>
    <t xml:space="preserve">Diffusion coefficient</t>
  </si>
  <si>
    <t xml:space="preserve">µm²/s</t>
  </si>
  <si>
    <t xml:space="preserve">Molecules N</t>
  </si>
  <si>
    <t xml:space="preserve">Number of molecules in the box</t>
  </si>
  <si>
    <t xml:space="preserve">0 = species absent</t>
  </si>
  <si>
    <t xml:space="preserve">Brightness 1/2/3</t>
  </si>
  <si>
    <t xml:space="preserve">Count rate of one molecule in the focus centre per colour; 0 = no dye of this colour</t>
  </si>
  <si>
    <t xml:space="preserve">Lifetime 1/2/3</t>
  </si>
  <si>
    <t xml:space="preserve">Fluorescence lifetime per colour</t>
  </si>
  <si>
    <t xml:space="preserve">4</t>
  </si>
  <si>
    <t xml:space="preserve">FRET</t>
  </si>
  <si>
    <t xml:space="preserve">No FRET / Static FRET / Dynamic FRET</t>
  </si>
  <si>
    <t xml:space="preserve">No FRET</t>
  </si>
  <si>
    <t xml:space="preserve">R 1→2, 1→3, 2→3</t>
  </si>
  <si>
    <t xml:space="preserve">Dye distance for FRET between two colours; only dyes with brightness &gt; 0 take part</t>
  </si>
  <si>
    <t xml:space="preserve">no FRET for this pair</t>
  </si>
  <si>
    <t xml:space="preserve">E, Conc., Check (grey)</t>
  </si>
  <si>
    <t xml:space="preserve">FRET efficiency 1/(1+(R/R0)^6), concentration, check of the species</t>
  </si>
  <si>
    <t xml:space="preserve">-, nM</t>
  </si>
  <si>
    <t xml:space="preserve">Calculated</t>
  </si>
  <si>
    <t xml:space="preserve">Totals, output and results</t>
  </si>
  <si>
    <t xml:space="preserve">Exp. rates, Photons, Memory, Check (grey)</t>
  </si>
  <si>
    <t xml:space="preserve">Expected count rate per channel (incl. saturation), photons and memory per file, overall check</t>
  </si>
  <si>
    <t xml:space="preserve">kHz, M, GB</t>
  </si>
  <si>
    <t xml:space="preserve">Number of files</t>
  </si>
  <si>
    <t xml:space="preserve">Independent repeats with the same parameters</t>
  </si>
  <si>
    <t xml:space="preserve">Seed</t>
  </si>
  <si>
    <t xml:space="preserve">Random seed; file k uses seed + k - 1</t>
  </si>
  <si>
    <t xml:space="preserve">random</t>
  </si>
  <si>
    <t xml:space="preserve">Format</t>
  </si>
  <si>
    <t xml:space="preserve">.sim (PAM) / .npz / both</t>
  </si>
  <si>
    <t xml:space="preserve">.sim</t>
  </si>
  <si>
    <t xml:space="preserve">Date run ... Result notes</t>
  </si>
  <si>
    <t xml:space="preserve">Your notes after running and analysing</t>
  </si>
  <si>
    <t xml:space="preserve">Not in the planner (set them in PAMsim after 'Load into editor'): crosstalk, detection efficiency, bleaching, anisotropy, dynamic FRET rates, barrier maps.</t>
  </si>
  <si>
    <t xml:space="preserve">Full explanation: planning/PAMsim_planner_guide.docx</t>
  </si>
  <si>
    <t xml:space="preserve">Focus per colour</t>
  </si>
  <si>
    <t xml:space="preserve">Förster radii R0</t>
  </si>
  <si>
    <t xml:space="preserve">Species 1</t>
  </si>
  <si>
    <t xml:space="preserve">Species 2</t>
  </si>
  <si>
    <t xml:space="preserve">Species 3</t>
  </si>
  <si>
    <t xml:space="preserve">Species 4</t>
  </si>
  <si>
    <t xml:space="preserve">Species 5</t>
  </si>
  <si>
    <t xml:space="preserve">Species 6</t>
  </si>
  <si>
    <t xml:space="preserve">Totals and checks (automatic)</t>
  </si>
  <si>
    <t xml:space="preserve">Output</t>
  </si>
  <si>
    <t xml:space="preserve">Results</t>
  </si>
  <si>
    <t xml:space="preserve">Status</t>
  </si>
  <si>
    <t xml:space="preserve">Priority</t>
  </si>
  <si>
    <t xml:space="preserve">Box x [nm]</t>
  </si>
  <si>
    <t xml:space="preserve">Box y [nm]</t>
  </si>
  <si>
    <t xml:space="preserve">Box z [nm]</t>
  </si>
  <si>
    <t xml:space="preserve">Sampling freq. [kHz]</t>
  </si>
  <si>
    <t xml:space="preserve">Duration [s]</t>
  </si>
  <si>
    <t xml:space="preserve">Microtime range [ns]</t>
  </si>
  <si>
    <t xml:space="preserve">Background?</t>
  </si>
  <si>
    <t xml:space="preserve">Background [kHz/ch]</t>
  </si>
  <si>
    <t xml:space="preserve">IRF?</t>
  </si>
  <si>
    <t xml:space="preserve">IRF width [ps]</t>
  </si>
  <si>
    <t xml:space="preserve">wr 1 [nm]</t>
  </si>
  <si>
    <t xml:space="preserve">wr 2 [nm]</t>
  </si>
  <si>
    <t xml:space="preserve">wr 3 [nm]</t>
  </si>
  <si>
    <t xml:space="preserve">wz 1 [nm]</t>
  </si>
  <si>
    <t xml:space="preserve">wz 2 [nm]</t>
  </si>
  <si>
    <t xml:space="preserve">wz 3 [nm]</t>
  </si>
  <si>
    <t xml:space="preserve">dX 1 [nm]</t>
  </si>
  <si>
    <t xml:space="preserve">dX 2 [nm]</t>
  </si>
  <si>
    <t xml:space="preserve">dX 3 [nm]</t>
  </si>
  <si>
    <t xml:space="preserve">dY 1 [nm]</t>
  </si>
  <si>
    <t xml:space="preserve">dY 2 [nm]</t>
  </si>
  <si>
    <t xml:space="preserve">dY 3 [nm]</t>
  </si>
  <si>
    <t xml:space="preserve">dZ 1 [nm]</t>
  </si>
  <si>
    <t xml:space="preserve">dZ 2 [nm]</t>
  </si>
  <si>
    <t xml:space="preserve">dZ 3 [nm]</t>
  </si>
  <si>
    <t xml:space="preserve">R0 1→2</t>
  </si>
  <si>
    <t xml:space="preserve">R0 1→3</t>
  </si>
  <si>
    <t xml:space="preserve">R0 2→3</t>
  </si>
  <si>
    <t xml:space="preserve">D [µm²/s]</t>
  </si>
  <si>
    <t xml:space="preserve">Bright. 1 [kHz]</t>
  </si>
  <si>
    <t xml:space="preserve">Bright. 2 [kHz]</t>
  </si>
  <si>
    <t xml:space="preserve">Bright. 3 [kHz]</t>
  </si>
  <si>
    <t xml:space="preserve">Lifetime 1 [ns]</t>
  </si>
  <si>
    <t xml:space="preserve">Lifetime 2 [ns]</t>
  </si>
  <si>
    <t xml:space="preserve">Lifetime 3 [ns]</t>
  </si>
  <si>
    <t xml:space="preserve">R 1→2</t>
  </si>
  <si>
    <t xml:space="preserve">R 1→3</t>
  </si>
  <si>
    <t xml:space="preserve">R 2→3</t>
  </si>
  <si>
    <t xml:space="preserve">E 1→2</t>
  </si>
  <si>
    <t xml:space="preserve">E 1→3</t>
  </si>
  <si>
    <t xml:space="preserve">E 2→3</t>
  </si>
  <si>
    <t xml:space="preserve">Conc. [nM]</t>
  </si>
  <si>
    <t xml:space="preserve">Check</t>
  </si>
  <si>
    <t xml:space="preserve">Species used</t>
  </si>
  <si>
    <t xml:space="preserve">Total molecules</t>
  </si>
  <si>
    <t xml:space="preserve">Exp. rate ch1 [kHz]</t>
  </si>
  <si>
    <t xml:space="preserve">Exp. rate ch2 [kHz]</t>
  </si>
  <si>
    <t xml:space="preserve">Exp. rate ch3 [kHz]</t>
  </si>
  <si>
    <t xml:space="preserve">Photons per file [M]</t>
  </si>
  <si>
    <t xml:space="preserve">Memory per file [GB]</t>
  </si>
  <si>
    <t xml:space="preserve">Date run</t>
  </si>
  <si>
    <t xml:space="preserve">Run time [min]</t>
  </si>
  <si>
    <t xml:space="preserve">Fitted D [µm²/s]</t>
  </si>
  <si>
    <t xml:space="preserve">Fitted c [nM]</t>
  </si>
  <si>
    <t xml:space="preserve">Result notes</t>
  </si>
  <si>
    <t xml:space="preserve">S00</t>
  </si>
  <si>
    <t xml:space="preserve">example_3C_realistic</t>
  </si>
  <si>
    <t xml:space="preserve">EXAMPLE: realistic 3-colour FCCS mixture incl. a static FRET pair (brightness &lt; 10% of freq.)</t>
  </si>
  <si>
    <t xml:space="preserve">/Fablab 4/Users/Fabio/PhD/Projects/3C_FCCS/Simulation</t>
  </si>
  <si>
    <t xml:space="preserve">Idea</t>
  </si>
  <si>
    <t xml:space="preserve">No</t>
  </si>
  <si>
    <t xml:space="preserve">triple complex</t>
  </si>
  <si>
    <t xml:space="preserve">blue-green</t>
  </si>
  <si>
    <t xml:space="preserve">green-red</t>
  </si>
  <si>
    <t xml:space="preserve">FRET pair 1-2</t>
  </si>
  <si>
    <t xml:space="preserve">Static FRET</t>
  </si>
  <si>
    <t xml:space="preserve">Example row - shows the expected format</t>
  </si>
  <si>
    <t xml:space="preserve">S01</t>
  </si>
  <si>
    <t xml:space="preserve">Simulation_800N_15D_200wr_1000wz_60s_60ns</t>
  </si>
  <si>
    <t xml:space="preserve">Just to see if the code works</t>
  </si>
  <si>
    <t xml:space="preserve">Planned</t>
  </si>
  <si>
    <t xml:space="preserve">from Simulation_parameters.xlsx (box size assumed)</t>
  </si>
  <si>
    <t xml:space="preserve">S02</t>
  </si>
  <si>
    <t xml:space="preserve">Simulation_100Nx3_200wr_1000wz_60s_60ns_3colorXspecies</t>
  </si>
  <si>
    <t xml:space="preserve">To verify that no 3C cross-correlation would arise</t>
  </si>
  <si>
    <t xml:space="preserve">S03</t>
  </si>
  <si>
    <t xml:space="preserve">Simulation_complexes_1st_10N_200wr_1000wz_10s_60ns_1000kHz</t>
  </si>
  <si>
    <t xml:space="preserve">To test the code in a crowded environment</t>
  </si>
  <si>
    <t xml:space="preserve">/Fablab 4/Users/Fabio/PhD/Projects/3C_FCCS/Simulation/Complex</t>
  </si>
  <si>
    <t xml:space="preserve">S04</t>
  </si>
  <si>
    <t xml:space="preserve">Simulation_complexes_2nd_10N_200wr_1000wz_10s_60ns_1000kHz</t>
  </si>
  <si>
    <t xml:space="preserve">S05</t>
  </si>
  <si>
    <t xml:space="preserve">Simulation_complexes_3rd_10N_200wr_1000wz_10s_60ns_1000kHz</t>
  </si>
  <si>
    <t xml:space="preserve">To test whether the code would give rise to a 3C cross-correlation when wrong</t>
  </si>
  <si>
    <t xml:space="preserve">S06</t>
  </si>
  <si>
    <t xml:space="preserve">Simulation_complexes_4th_10N_200wr_1000wz_10s_60ns_1000kHz</t>
  </si>
  <si>
    <t xml:space="preserve">S07</t>
  </si>
  <si>
    <t xml:space="preserve">Crazy</t>
  </si>
  <si>
    <t xml:space="preserve">What happens to 3C if the environment is very crowded</t>
  </si>
  <si>
    <t xml:space="preserve">S08</t>
  </si>
  <si>
    <t xml:space="preserve">Crazy_2</t>
  </si>
  <si>
    <t xml:space="preserve">you need to shorten the lag time</t>
  </si>
  <si>
    <t xml:space="preserve">S09</t>
  </si>
  <si>
    <t xml:space="preserve">Crazy_3</t>
  </si>
  <si>
    <t xml:space="preserve">S10</t>
  </si>
  <si>
    <t xml:space="preserve">Crazy_4</t>
  </si>
  <si>
    <t xml:space="preserve">S11</t>
  </si>
  <si>
    <t xml:space="preserve">Crazy_2_checkup_final</t>
  </si>
  <si>
    <t xml:space="preserve">longer simulation with same concept as crazy_2 but better statistics</t>
  </si>
  <si>
    <t xml:space="preserve">/Fablab 4/Users/Fabio/PhD/Projects/3C_FCCS/Simulation/Complex/Crazy_2</t>
  </si>
  <si>
    <t xml:space="preserve">Yes/No</t>
  </si>
  <si>
    <t xml:space="preserve">Yes</t>
  </si>
  <si>
    <t xml:space="preserve">Raster scan</t>
  </si>
  <si>
    <t xml:space="preserve">.npz</t>
  </si>
  <si>
    <t xml:space="preserve">Running</t>
  </si>
  <si>
    <t xml:space="preserve">Line scan</t>
  </si>
  <si>
    <t xml:space="preserve">Dynamic FRET</t>
  </si>
  <si>
    <t xml:space="preserve">both</t>
  </si>
  <si>
    <t xml:space="preserve">Done</t>
  </si>
  <si>
    <t xml:space="preserve">Circle scan</t>
  </si>
  <si>
    <t xml:space="preserve">Analysed</t>
  </si>
  <si>
    <t xml:space="preserve">Discarded</t>
  </si>
  <si>
    <t xml:space="preserve">Per-species helper values for the Simulations sheet (do not edit)</t>
  </si>
  <si>
    <t xml:space="preserve">S1 rate1</t>
  </si>
  <si>
    <t xml:space="preserve">S1 rate2</t>
  </si>
  <si>
    <t xml:space="preserve">S1 rate3</t>
  </si>
  <si>
    <t xml:space="preserve">S1 maxb</t>
  </si>
  <si>
    <t xml:space="preserve">S1 step</t>
  </si>
  <si>
    <t xml:space="preserve">S1 used</t>
  </si>
  <si>
    <t xml:space="preserve">S2 rate1</t>
  </si>
  <si>
    <t xml:space="preserve">S2 rate2</t>
  </si>
  <si>
    <t xml:space="preserve">S2 rate3</t>
  </si>
  <si>
    <t xml:space="preserve">S2 maxb</t>
  </si>
  <si>
    <t xml:space="preserve">S2 step</t>
  </si>
  <si>
    <t xml:space="preserve">S2 used</t>
  </si>
  <si>
    <t xml:space="preserve">S3 rate1</t>
  </si>
  <si>
    <t xml:space="preserve">S3 rate2</t>
  </si>
  <si>
    <t xml:space="preserve">S3 rate3</t>
  </si>
  <si>
    <t xml:space="preserve">S3 maxb</t>
  </si>
  <si>
    <t xml:space="preserve">S3 step</t>
  </si>
  <si>
    <t xml:space="preserve">S3 used</t>
  </si>
  <si>
    <t xml:space="preserve">S4 rate1</t>
  </si>
  <si>
    <t xml:space="preserve">S4 rate2</t>
  </si>
  <si>
    <t xml:space="preserve">S4 rate3</t>
  </si>
  <si>
    <t xml:space="preserve">S4 maxb</t>
  </si>
  <si>
    <t xml:space="preserve">S4 step</t>
  </si>
  <si>
    <t xml:space="preserve">S4 used</t>
  </si>
  <si>
    <t xml:space="preserve">S5 rate1</t>
  </si>
  <si>
    <t xml:space="preserve">S5 rate2</t>
  </si>
  <si>
    <t xml:space="preserve">S5 rate3</t>
  </si>
  <si>
    <t xml:space="preserve">S5 maxb</t>
  </si>
  <si>
    <t xml:space="preserve">S5 step</t>
  </si>
  <si>
    <t xml:space="preserve">S5 used</t>
  </si>
  <si>
    <t xml:space="preserve">S6 rate1</t>
  </si>
  <si>
    <t xml:space="preserve">S6 rate2</t>
  </si>
  <si>
    <t xml:space="preserve">S6 rate3</t>
  </si>
  <si>
    <t xml:space="preserve">S6 maxb</t>
  </si>
  <si>
    <t xml:space="preserve">S6 step</t>
  </si>
  <si>
    <t xml:space="preserve">S6 used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</si>
</sst>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General"/>
    <numFmt numFmtId="168" formatCode="0.0;\-0.0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1C1C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6C7"/>
        <bgColor rgb="FFFCE6C4"/>
      </patternFill>
    </fill>
    <fill>
      <patternFill patternType="solid">
        <fgColor rgb="FF1F3A5F"/>
        <bgColor rgb="FF4F4F8A"/>
      </patternFill>
    </fill>
    <fill>
      <patternFill patternType="solid">
        <fgColor rgb="FF5A7FA8"/>
        <bgColor rgb="FF6C8EAF"/>
      </patternFill>
    </fill>
    <fill>
      <patternFill patternType="solid">
        <fgColor rgb="FFFDE2E2"/>
        <bgColor rgb="FFFCE6C4"/>
      </patternFill>
    </fill>
    <fill>
      <patternFill patternType="solid">
        <fgColor rgb="FF2A78D6"/>
        <bgColor rgb="FF3D6B9E"/>
      </patternFill>
    </fill>
    <fill>
      <patternFill patternType="solid">
        <fgColor rgb="FF3D6B9E"/>
        <bgColor rgb="FF1B6F8A"/>
      </patternFill>
    </fill>
    <fill>
      <patternFill patternType="solid">
        <fgColor rgb="FF7D5BA6"/>
        <bgColor rgb="FF6E6E6E"/>
      </patternFill>
    </fill>
    <fill>
      <patternFill patternType="solid">
        <fgColor rgb="FF1B6F8A"/>
        <bgColor rgb="FF3D6B9E"/>
      </patternFill>
    </fill>
    <fill>
      <patternFill patternType="solid">
        <fgColor rgb="FF8A5A1B"/>
        <bgColor rgb="FF8A4B00"/>
      </patternFill>
    </fill>
    <fill>
      <patternFill patternType="solid">
        <fgColor rgb="FF2E7D4F"/>
        <bgColor rgb="FF4E8A5B"/>
      </patternFill>
    </fill>
    <fill>
      <patternFill patternType="solid">
        <fgColor rgb="FF7A2E5E"/>
        <bgColor rgb="FF9C1C1C"/>
      </patternFill>
    </fill>
    <fill>
      <patternFill patternType="solid">
        <fgColor rgb="FF4F4F8A"/>
        <bgColor rgb="FF555555"/>
      </patternFill>
    </fill>
    <fill>
      <patternFill patternType="solid">
        <fgColor rgb="FF6B6B1B"/>
        <bgColor rgb="FF8A5A1B"/>
      </patternFill>
    </fill>
    <fill>
      <patternFill patternType="solid">
        <fgColor rgb="FF6E6E6E"/>
        <bgColor rgb="FF7D5BA6"/>
      </patternFill>
    </fill>
    <fill>
      <patternFill patternType="solid">
        <fgColor rgb="FF6C8EAF"/>
        <bgColor rgb="FF5A7FA8"/>
      </patternFill>
    </fill>
    <fill>
      <patternFill patternType="solid">
        <fgColor rgb="FF4E8A5B"/>
        <bgColor rgb="FF2E7D4F"/>
      </patternFill>
    </fill>
    <fill>
      <patternFill patternType="solid">
        <fgColor rgb="FFEEF2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1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1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1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1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6C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5EFD5"/>
          <bgColor rgb="FF000000"/>
        </patternFill>
      </fill>
    </dxf>
    <dxf>
      <fill>
        <patternFill patternType="solid">
          <fgColor rgb="FFF8D3D3"/>
          <bgColor rgb="FF000000"/>
        </patternFill>
      </fill>
    </dxf>
    <dxf>
      <fill>
        <patternFill patternType="solid">
          <fgColor rgb="FF1E6B1E"/>
          <bgColor rgb="FF000000"/>
        </patternFill>
      </fill>
    </dxf>
    <dxf>
      <fill>
        <patternFill patternType="solid">
          <fgColor rgb="FF9C1C1C"/>
          <bgColor rgb="FF000000"/>
        </patternFill>
      </fill>
    </dxf>
    <dxf>
      <font>
        <name val="Arial"/>
        <charset val="1"/>
        <family val="0"/>
        <b val="1"/>
        <color rgb="FF9C1C1C"/>
      </font>
      <fill>
        <patternFill>
          <bgColor rgb="FFF8D3D3"/>
        </patternFill>
      </fill>
    </dxf>
    <dxf>
      <font>
        <name val="Arial"/>
        <charset val="1"/>
        <family val="0"/>
        <color rgb="FF8A4B00"/>
      </font>
      <fill>
        <patternFill>
          <bgColor rgb="FFFCE6C4"/>
        </patternFill>
      </fill>
    </dxf>
    <dxf>
      <font>
        <name val="Arial"/>
        <charset val="1"/>
        <family val="0"/>
        <color rgb="FF1E6B1E"/>
      </font>
      <fill>
        <patternFill>
          <bgColor rgb="FFD5EFD5"/>
        </patternFill>
      </fill>
    </dxf>
    <dxf>
      <fill>
        <patternFill>
          <bgColor rgb="FFD5EFD5"/>
        </patternFill>
      </fill>
    </dxf>
    <dxf>
      <fill>
        <patternFill>
          <bgColor rgb="FFBFE3C6"/>
        </patternFill>
      </fill>
    </dxf>
    <dxf>
      <fill>
        <patternFill>
          <bgColor rgb="FFD6E6FA"/>
        </patternFill>
      </fill>
    </dxf>
    <dxf>
      <fill>
        <patternFill>
          <bgColor rgb="FFE3E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1E"/>
      <rgbColor rgb="FF000080"/>
      <rgbColor rgb="FF6B6B1B"/>
      <rgbColor rgb="FF800080"/>
      <rgbColor rgb="FF1B6F8A"/>
      <rgbColor rgb="FFBFE3C6"/>
      <rgbColor rgb="FF6E6E6E"/>
      <rgbColor rgb="FF5A7FA8"/>
      <rgbColor rgb="FF7A2E5E"/>
      <rgbColor rgb="FFFFF6C7"/>
      <rgbColor rgb="FFD6E6FA"/>
      <rgbColor rgb="FF660066"/>
      <rgbColor rgb="FFFF8080"/>
      <rgbColor rgb="FF3D6B9E"/>
      <rgbColor rgb="FFC9CED6"/>
      <rgbColor rgb="FF000080"/>
      <rgbColor rgb="FFFF00FF"/>
      <rgbColor rgb="FFFFFF00"/>
      <rgbColor rgb="FF00FFFF"/>
      <rgbColor rgb="FF800080"/>
      <rgbColor rgb="FF800000"/>
      <rgbColor rgb="FF2E7D4F"/>
      <rgbColor rgb="FF0000FF"/>
      <rgbColor rgb="FF00CCFF"/>
      <rgbColor rgb="FFEEF2F6"/>
      <rgbColor rgb="FFD5EFD5"/>
      <rgbColor rgb="FFFCE6C4"/>
      <rgbColor rgb="FFE3E3E3"/>
      <rgbColor rgb="FFFDE2E2"/>
      <rgbColor rgb="FFCC99FF"/>
      <rgbColor rgb="FFF8D3D3"/>
      <rgbColor rgb="FF2A78D6"/>
      <rgbColor rgb="FF33CCCC"/>
      <rgbColor rgb="FF99CC00"/>
      <rgbColor rgb="FFFFCC00"/>
      <rgbColor rgb="FFFF9900"/>
      <rgbColor rgb="FFFF6600"/>
      <rgbColor rgb="FF7D5BA6"/>
      <rgbColor rgb="FF6C8EAF"/>
      <rgbColor rgb="FF1F3A5F"/>
      <rgbColor rgb="FF4E8A5B"/>
      <rgbColor rgb="FF003300"/>
      <rgbColor rgb="FF8A5A1B"/>
      <rgbColor rgb="FF9C1C1C"/>
      <rgbColor rgb="FF8A4B00"/>
      <rgbColor rgb="FF4F4F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3" customFormat="false" ht="15" hidden="false" customHeight="false" outlineLevel="0" collapsed="false">
      <c r="B13" s="3" t="s">
        <v>11</v>
      </c>
    </row>
    <row r="14" customFormat="false" ht="15" hidden="false" customHeight="false" outlineLevel="0" collapsed="false">
      <c r="B14" s="3" t="s">
        <v>12</v>
      </c>
    </row>
    <row r="15" customFormat="false" ht="15" hidden="false" customHeight="false" outlineLevel="0" collapsed="false">
      <c r="B15" s="3" t="s">
        <v>13</v>
      </c>
    </row>
    <row r="16" customFormat="false" ht="15" hidden="false" customHeight="false" outlineLevel="0" collapsed="false">
      <c r="B16" s="5"/>
    </row>
    <row r="17" customFormat="false" ht="15" hidden="false" customHeight="false" outlineLevel="0" collapsed="false">
      <c r="B17" s="4" t="s">
        <v>14</v>
      </c>
    </row>
    <row r="18" customFormat="false" ht="15" hidden="false" customHeight="false" outlineLevel="0" collapsed="false">
      <c r="B18" s="3" t="s">
        <v>15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4" t="s">
        <v>16</v>
      </c>
    </row>
    <row r="21" customFormat="false" ht="15" hidden="false" customHeight="false" outlineLevel="0" collapsed="false">
      <c r="B21" s="3" t="s">
        <v>17</v>
      </c>
    </row>
    <row r="22" customFormat="false" ht="15" hidden="false" customHeight="false" outlineLevel="0" collapsed="false">
      <c r="B22" s="3" t="s">
        <v>18</v>
      </c>
    </row>
    <row r="23" customFormat="false" ht="15" hidden="false" customHeight="false" outlineLevel="0" collapsed="false">
      <c r="B23" s="3" t="s">
        <v>19</v>
      </c>
    </row>
    <row r="24" customFormat="false" ht="15" hidden="false" customHeight="false" outlineLevel="0" collapsed="false">
      <c r="B24" s="3" t="s">
        <v>20</v>
      </c>
    </row>
    <row r="25" customFormat="false" ht="15" hidden="false" customHeight="false" outlineLevel="0" collapsed="false">
      <c r="B25" s="3" t="s">
        <v>21</v>
      </c>
    </row>
    <row r="26" customFormat="false" ht="15" hidden="false" customHeight="false" outlineLevel="0" collapsed="false">
      <c r="B26" s="3" t="s">
        <v>22</v>
      </c>
    </row>
    <row r="27" customFormat="false" ht="15" hidden="false" customHeight="false" outlineLevel="0" collapsed="false">
      <c r="B27" s="3" t="s">
        <v>23</v>
      </c>
    </row>
    <row r="28" customFormat="false" ht="15" hidden="false" customHeight="false" outlineLevel="0" collapsed="false">
      <c r="B28" s="3"/>
    </row>
    <row r="29" customFormat="false" ht="15" hidden="false" customHeight="false" outlineLevel="0" collapsed="false">
      <c r="B29" s="4" t="s">
        <v>24</v>
      </c>
    </row>
    <row r="30" customFormat="false" ht="15" hidden="false" customHeight="false" outlineLevel="0" collapsed="false">
      <c r="B30" s="3" t="s">
        <v>25</v>
      </c>
    </row>
    <row r="31" customFormat="false" ht="15" hidden="false" customHeight="false" outlineLevel="0" collapsed="false">
      <c r="B31" s="3" t="s">
        <v>26</v>
      </c>
    </row>
    <row r="32" customFormat="false" ht="15" hidden="false" customHeight="false" outlineLevel="0" collapsed="false">
      <c r="B32" s="3"/>
    </row>
    <row r="33" customFormat="false" ht="15" hidden="false" customHeight="false" outlineLevel="0" collapsed="false">
      <c r="B33" s="4" t="s">
        <v>27</v>
      </c>
    </row>
    <row r="34" customFormat="false" ht="15" hidden="false" customHeight="false" outlineLevel="0" collapsed="false">
      <c r="B34" s="3" t="s">
        <v>28</v>
      </c>
    </row>
    <row r="35" customFormat="false" ht="15" hidden="false" customHeight="false" outlineLevel="0" collapsed="false">
      <c r="B35" s="3" t="s">
        <v>29</v>
      </c>
    </row>
    <row r="36" customFormat="false" ht="15" hidden="false" customHeight="false" outlineLevel="0" collapsed="false">
      <c r="B36" s="3" t="s">
        <v>30</v>
      </c>
    </row>
    <row r="37" customFormat="false" ht="15" hidden="false" customHeight="false" outlineLevel="0" collapsed="false">
      <c r="B37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</row>
    <row r="2" customFormat="false" ht="15" hidden="false" customHeight="false" outlineLevel="0" collapsed="false">
      <c r="A2" s="7" t="s">
        <v>37</v>
      </c>
      <c r="B2" s="7"/>
      <c r="C2" s="7"/>
      <c r="D2" s="7"/>
      <c r="E2" s="7"/>
    </row>
    <row r="3" customFormat="false" ht="15" hidden="false" customHeight="false" outlineLevel="0" collapsed="false">
      <c r="A3" s="8" t="s">
        <v>38</v>
      </c>
      <c r="B3" s="8" t="s">
        <v>39</v>
      </c>
      <c r="C3" s="8" t="s">
        <v>40</v>
      </c>
      <c r="D3" s="9" t="s">
        <v>41</v>
      </c>
      <c r="E3" s="8" t="s">
        <v>42</v>
      </c>
    </row>
    <row r="4" customFormat="false" ht="15" hidden="false" customHeight="false" outlineLevel="0" collapsed="false">
      <c r="A4" s="8" t="s">
        <v>43</v>
      </c>
      <c r="B4" s="8" t="s">
        <v>44</v>
      </c>
      <c r="C4" s="8" t="s">
        <v>40</v>
      </c>
      <c r="D4" s="8" t="s">
        <v>45</v>
      </c>
      <c r="E4" s="8" t="s">
        <v>46</v>
      </c>
    </row>
    <row r="5" customFormat="false" ht="15" hidden="false" customHeight="false" outlineLevel="0" collapsed="false">
      <c r="A5" s="8" t="s">
        <v>47</v>
      </c>
      <c r="B5" s="8" t="s">
        <v>48</v>
      </c>
      <c r="C5" s="8" t="s">
        <v>40</v>
      </c>
      <c r="D5" s="8" t="s">
        <v>49</v>
      </c>
      <c r="E5" s="8" t="s">
        <v>40</v>
      </c>
    </row>
    <row r="6" customFormat="false" ht="15" hidden="false" customHeight="false" outlineLevel="0" collapsed="false">
      <c r="A6" s="8" t="s">
        <v>50</v>
      </c>
      <c r="B6" s="8" t="s">
        <v>51</v>
      </c>
      <c r="C6" s="8" t="s">
        <v>40</v>
      </c>
      <c r="D6" s="8" t="s">
        <v>45</v>
      </c>
      <c r="E6" s="8" t="s">
        <v>52</v>
      </c>
    </row>
    <row r="7" customFormat="false" ht="15" hidden="false" customHeight="false" outlineLevel="0" collapsed="false">
      <c r="A7" s="8" t="s">
        <v>53</v>
      </c>
      <c r="B7" s="8" t="s">
        <v>54</v>
      </c>
      <c r="C7" s="8" t="s">
        <v>40</v>
      </c>
      <c r="D7" s="8" t="s">
        <v>49</v>
      </c>
      <c r="E7" s="8" t="s">
        <v>40</v>
      </c>
    </row>
    <row r="8" customFormat="false" ht="15" hidden="false" customHeight="false" outlineLevel="0" collapsed="false">
      <c r="A8" s="7" t="s">
        <v>55</v>
      </c>
      <c r="B8" s="7"/>
      <c r="C8" s="7"/>
      <c r="D8" s="7"/>
      <c r="E8" s="7"/>
    </row>
    <row r="9" customFormat="false" ht="15" hidden="false" customHeight="false" outlineLevel="0" collapsed="false">
      <c r="A9" s="8" t="s">
        <v>56</v>
      </c>
      <c r="B9" s="8" t="s">
        <v>57</v>
      </c>
      <c r="C9" s="8" t="s">
        <v>58</v>
      </c>
      <c r="D9" s="8" t="s">
        <v>45</v>
      </c>
      <c r="E9" s="8" t="s">
        <v>59</v>
      </c>
    </row>
    <row r="10" customFormat="false" ht="15" hidden="false" customHeight="false" outlineLevel="0" collapsed="false">
      <c r="A10" s="8" t="s">
        <v>60</v>
      </c>
      <c r="B10" s="8" t="s">
        <v>61</v>
      </c>
      <c r="C10" s="8" t="s">
        <v>62</v>
      </c>
      <c r="D10" s="8" t="s">
        <v>45</v>
      </c>
      <c r="E10" s="8" t="s">
        <v>63</v>
      </c>
    </row>
    <row r="11" customFormat="false" ht="15" hidden="false" customHeight="false" outlineLevel="0" collapsed="false">
      <c r="A11" s="8" t="s">
        <v>64</v>
      </c>
      <c r="B11" s="8" t="s">
        <v>65</v>
      </c>
      <c r="C11" s="8" t="s">
        <v>66</v>
      </c>
      <c r="D11" s="9" t="s">
        <v>41</v>
      </c>
      <c r="E11" s="8" t="s">
        <v>67</v>
      </c>
    </row>
    <row r="12" customFormat="false" ht="15" hidden="false" customHeight="false" outlineLevel="0" collapsed="false">
      <c r="A12" s="8" t="s">
        <v>68</v>
      </c>
      <c r="B12" s="8" t="s">
        <v>69</v>
      </c>
      <c r="C12" s="8" t="s">
        <v>40</v>
      </c>
      <c r="D12" s="8" t="s">
        <v>45</v>
      </c>
      <c r="E12" s="8" t="s">
        <v>70</v>
      </c>
    </row>
    <row r="13" customFormat="false" ht="15" hidden="false" customHeight="false" outlineLevel="0" collapsed="false">
      <c r="A13" s="8" t="s">
        <v>71</v>
      </c>
      <c r="B13" s="8" t="s">
        <v>72</v>
      </c>
      <c r="C13" s="8" t="s">
        <v>73</v>
      </c>
      <c r="D13" s="8" t="s">
        <v>45</v>
      </c>
      <c r="E13" s="8" t="s">
        <v>74</v>
      </c>
    </row>
    <row r="14" customFormat="false" ht="15" hidden="false" customHeight="false" outlineLevel="0" collapsed="false">
      <c r="A14" s="8" t="s">
        <v>75</v>
      </c>
      <c r="B14" s="8" t="s">
        <v>76</v>
      </c>
      <c r="C14" s="8" t="s">
        <v>40</v>
      </c>
      <c r="D14" s="8" t="s">
        <v>45</v>
      </c>
      <c r="E14" s="8" t="s">
        <v>77</v>
      </c>
    </row>
    <row r="15" customFormat="false" ht="15" hidden="false" customHeight="false" outlineLevel="0" collapsed="false">
      <c r="A15" s="8" t="s">
        <v>78</v>
      </c>
      <c r="B15" s="8" t="s">
        <v>79</v>
      </c>
      <c r="C15" s="8" t="s">
        <v>40</v>
      </c>
      <c r="D15" s="9" t="s">
        <v>41</v>
      </c>
      <c r="E15" s="8" t="s">
        <v>80</v>
      </c>
    </row>
    <row r="16" customFormat="false" ht="15" hidden="false" customHeight="false" outlineLevel="0" collapsed="false">
      <c r="A16" s="8" t="s">
        <v>81</v>
      </c>
      <c r="B16" s="8" t="s">
        <v>82</v>
      </c>
      <c r="C16" s="8" t="s">
        <v>62</v>
      </c>
      <c r="D16" s="8" t="s">
        <v>45</v>
      </c>
      <c r="E16" s="8" t="s">
        <v>83</v>
      </c>
    </row>
    <row r="17" customFormat="false" ht="15" hidden="false" customHeight="false" outlineLevel="0" collapsed="false">
      <c r="A17" s="8" t="s">
        <v>84</v>
      </c>
      <c r="B17" s="8" t="s">
        <v>85</v>
      </c>
      <c r="C17" s="8" t="s">
        <v>86</v>
      </c>
      <c r="D17" s="8" t="s">
        <v>45</v>
      </c>
      <c r="E17" s="8" t="s">
        <v>87</v>
      </c>
    </row>
    <row r="18" customFormat="false" ht="15" hidden="false" customHeight="false" outlineLevel="0" collapsed="false">
      <c r="A18" s="7" t="s">
        <v>88</v>
      </c>
      <c r="B18" s="7"/>
      <c r="C18" s="7"/>
      <c r="D18" s="7"/>
      <c r="E18" s="7"/>
    </row>
    <row r="19" customFormat="false" ht="15" hidden="false" customHeight="false" outlineLevel="0" collapsed="false">
      <c r="A19" s="8" t="s">
        <v>89</v>
      </c>
      <c r="B19" s="8" t="s">
        <v>90</v>
      </c>
      <c r="C19" s="8" t="s">
        <v>58</v>
      </c>
      <c r="D19" s="8" t="s">
        <v>45</v>
      </c>
      <c r="E19" s="8" t="s">
        <v>91</v>
      </c>
    </row>
    <row r="20" customFormat="false" ht="15" hidden="false" customHeight="false" outlineLevel="0" collapsed="false">
      <c r="A20" s="8" t="s">
        <v>92</v>
      </c>
      <c r="B20" s="8" t="s">
        <v>93</v>
      </c>
      <c r="C20" s="8" t="s">
        <v>58</v>
      </c>
      <c r="D20" s="8" t="s">
        <v>45</v>
      </c>
      <c r="E20" s="8" t="s">
        <v>63</v>
      </c>
    </row>
    <row r="21" customFormat="false" ht="15" hidden="false" customHeight="false" outlineLevel="0" collapsed="false">
      <c r="A21" s="8" t="s">
        <v>94</v>
      </c>
      <c r="B21" s="8" t="s">
        <v>95</v>
      </c>
      <c r="C21" s="8" t="s">
        <v>58</v>
      </c>
      <c r="D21" s="8" t="s">
        <v>45</v>
      </c>
      <c r="E21" s="8" t="s">
        <v>96</v>
      </c>
    </row>
    <row r="22" customFormat="false" ht="15" hidden="false" customHeight="false" outlineLevel="0" collapsed="false">
      <c r="A22" s="8" t="s">
        <v>97</v>
      </c>
      <c r="B22" s="8" t="s">
        <v>98</v>
      </c>
      <c r="C22" s="8" t="s">
        <v>99</v>
      </c>
      <c r="D22" s="8" t="s">
        <v>45</v>
      </c>
      <c r="E22" s="8" t="s">
        <v>100</v>
      </c>
    </row>
    <row r="23" customFormat="false" ht="15" hidden="false" customHeight="false" outlineLevel="0" collapsed="false">
      <c r="A23" s="7" t="s">
        <v>101</v>
      </c>
      <c r="B23" s="7"/>
      <c r="C23" s="7"/>
      <c r="D23" s="7"/>
      <c r="E23" s="7"/>
    </row>
    <row r="24" customFormat="false" ht="15" hidden="false" customHeight="false" outlineLevel="0" collapsed="false">
      <c r="A24" s="8" t="s">
        <v>102</v>
      </c>
      <c r="B24" s="8" t="s">
        <v>103</v>
      </c>
      <c r="C24" s="8" t="s">
        <v>40</v>
      </c>
      <c r="D24" s="8" t="s">
        <v>45</v>
      </c>
      <c r="E24" s="8" t="s">
        <v>104</v>
      </c>
    </row>
    <row r="25" customFormat="false" ht="15" hidden="false" customHeight="false" outlineLevel="0" collapsed="false">
      <c r="A25" s="8" t="s">
        <v>105</v>
      </c>
      <c r="B25" s="8" t="s">
        <v>106</v>
      </c>
      <c r="C25" s="8" t="s">
        <v>107</v>
      </c>
      <c r="D25" s="9" t="s">
        <v>41</v>
      </c>
      <c r="E25" s="8" t="s">
        <v>70</v>
      </c>
    </row>
    <row r="26" customFormat="false" ht="15" hidden="false" customHeight="false" outlineLevel="0" collapsed="false">
      <c r="A26" s="8" t="s">
        <v>108</v>
      </c>
      <c r="B26" s="8" t="s">
        <v>109</v>
      </c>
      <c r="C26" s="8" t="s">
        <v>40</v>
      </c>
      <c r="D26" s="9" t="s">
        <v>41</v>
      </c>
      <c r="E26" s="8" t="s">
        <v>110</v>
      </c>
    </row>
    <row r="27" customFormat="false" ht="15" hidden="false" customHeight="false" outlineLevel="0" collapsed="false">
      <c r="A27" s="8" t="s">
        <v>111</v>
      </c>
      <c r="B27" s="8" t="s">
        <v>112</v>
      </c>
      <c r="C27" s="8" t="s">
        <v>62</v>
      </c>
      <c r="D27" s="9" t="s">
        <v>41</v>
      </c>
      <c r="E27" s="8" t="s">
        <v>96</v>
      </c>
    </row>
    <row r="28" customFormat="false" ht="15" hidden="false" customHeight="false" outlineLevel="0" collapsed="false">
      <c r="A28" s="8" t="s">
        <v>113</v>
      </c>
      <c r="B28" s="8" t="s">
        <v>114</v>
      </c>
      <c r="C28" s="8" t="s">
        <v>73</v>
      </c>
      <c r="D28" s="8" t="s">
        <v>45</v>
      </c>
      <c r="E28" s="8" t="s">
        <v>115</v>
      </c>
    </row>
    <row r="29" customFormat="false" ht="15" hidden="false" customHeight="false" outlineLevel="0" collapsed="false">
      <c r="A29" s="8" t="s">
        <v>116</v>
      </c>
      <c r="B29" s="8" t="s">
        <v>117</v>
      </c>
      <c r="C29" s="8" t="s">
        <v>40</v>
      </c>
      <c r="D29" s="8" t="s">
        <v>45</v>
      </c>
      <c r="E29" s="8" t="s">
        <v>118</v>
      </c>
    </row>
    <row r="30" customFormat="false" ht="15" hidden="false" customHeight="false" outlineLevel="0" collapsed="false">
      <c r="A30" s="8" t="s">
        <v>119</v>
      </c>
      <c r="B30" s="8" t="s">
        <v>120</v>
      </c>
      <c r="C30" s="8" t="s">
        <v>99</v>
      </c>
      <c r="D30" s="8" t="s">
        <v>45</v>
      </c>
      <c r="E30" s="8" t="s">
        <v>121</v>
      </c>
    </row>
    <row r="31" customFormat="false" ht="15" hidden="false" customHeight="false" outlineLevel="0" collapsed="false">
      <c r="A31" s="8" t="s">
        <v>122</v>
      </c>
      <c r="B31" s="8" t="s">
        <v>123</v>
      </c>
      <c r="C31" s="8" t="s">
        <v>124</v>
      </c>
      <c r="D31" s="8" t="s">
        <v>125</v>
      </c>
      <c r="E31" s="8" t="s">
        <v>40</v>
      </c>
    </row>
    <row r="32" customFormat="false" ht="15" hidden="false" customHeight="false" outlineLevel="0" collapsed="false">
      <c r="A32" s="7" t="s">
        <v>126</v>
      </c>
      <c r="B32" s="7"/>
      <c r="C32" s="7"/>
      <c r="D32" s="7"/>
      <c r="E32" s="7"/>
    </row>
    <row r="33" customFormat="false" ht="23.85" hidden="false" customHeight="false" outlineLevel="0" collapsed="false">
      <c r="A33" s="8" t="s">
        <v>127</v>
      </c>
      <c r="B33" s="8" t="s">
        <v>128</v>
      </c>
      <c r="C33" s="8" t="s">
        <v>129</v>
      </c>
      <c r="D33" s="8" t="s">
        <v>125</v>
      </c>
      <c r="E33" s="8" t="s">
        <v>40</v>
      </c>
    </row>
    <row r="34" customFormat="false" ht="15" hidden="false" customHeight="false" outlineLevel="0" collapsed="false">
      <c r="A34" s="8" t="s">
        <v>130</v>
      </c>
      <c r="B34" s="8" t="s">
        <v>131</v>
      </c>
      <c r="C34" s="8" t="s">
        <v>40</v>
      </c>
      <c r="D34" s="8" t="s">
        <v>45</v>
      </c>
      <c r="E34" s="8" t="s">
        <v>70</v>
      </c>
    </row>
    <row r="35" customFormat="false" ht="15" hidden="false" customHeight="false" outlineLevel="0" collapsed="false">
      <c r="A35" s="8" t="s">
        <v>132</v>
      </c>
      <c r="B35" s="8" t="s">
        <v>133</v>
      </c>
      <c r="C35" s="8" t="s">
        <v>40</v>
      </c>
      <c r="D35" s="8" t="s">
        <v>45</v>
      </c>
      <c r="E35" s="8" t="s">
        <v>134</v>
      </c>
    </row>
    <row r="36" customFormat="false" ht="15" hidden="false" customHeight="false" outlineLevel="0" collapsed="false">
      <c r="A36" s="8" t="s">
        <v>135</v>
      </c>
      <c r="B36" s="8" t="s">
        <v>136</v>
      </c>
      <c r="C36" s="8" t="s">
        <v>40</v>
      </c>
      <c r="D36" s="8" t="s">
        <v>45</v>
      </c>
      <c r="E36" s="8" t="s">
        <v>137</v>
      </c>
    </row>
    <row r="37" customFormat="false" ht="15" hidden="false" customHeight="false" outlineLevel="0" collapsed="false">
      <c r="A37" s="8" t="s">
        <v>138</v>
      </c>
      <c r="B37" s="8" t="s">
        <v>139</v>
      </c>
      <c r="C37" s="8" t="s">
        <v>40</v>
      </c>
      <c r="D37" s="8" t="s">
        <v>49</v>
      </c>
      <c r="E37" s="8" t="s">
        <v>40</v>
      </c>
    </row>
    <row r="39" customFormat="false" ht="15" hidden="false" customHeight="false" outlineLevel="0" collapsed="false">
      <c r="A39" s="10" t="s">
        <v>140</v>
      </c>
    </row>
    <row r="40" customFormat="false" ht="15" hidden="false" customHeight="false" outlineLevel="0" collapsed="false">
      <c r="A40" s="10" t="s">
        <v>141</v>
      </c>
    </row>
  </sheetData>
  <mergeCells count="5">
    <mergeCell ref="A2:E2"/>
    <mergeCell ref="A8:E8"/>
    <mergeCell ref="A18:E18"/>
    <mergeCell ref="A23:E23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E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9" min="7" style="0" width="8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7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7"/>
    <col collapsed="false" customWidth="true" hidden="false" outlineLevel="0" max="17" min="16" style="0" width="9"/>
    <col collapsed="false" customWidth="true" hidden="false" outlineLevel="0" max="18" min="18" style="0" width="6"/>
    <col collapsed="false" customWidth="true" hidden="false" outlineLevel="0" max="37" min="19" style="0" width="7"/>
    <col collapsed="false" customWidth="true" hidden="false" outlineLevel="1" max="145" min="38" style="0" width="14"/>
    <col collapsed="false" customWidth="true" hidden="false" outlineLevel="0" max="146" min="146" style="0" width="8"/>
    <col collapsed="false" customWidth="true" hidden="false" outlineLevel="0" max="152" min="147" style="0" width="9"/>
    <col collapsed="false" customWidth="true" hidden="false" outlineLevel="0" max="153" min="153" style="0" width="40"/>
    <col collapsed="false" customWidth="true" hidden="false" outlineLevel="0" max="155" min="154" style="0" width="8"/>
    <col collapsed="false" customWidth="true" hidden="false" outlineLevel="0" max="156" min="156" style="0" width="7"/>
    <col collapsed="false" customWidth="true" hidden="false" outlineLevel="0" max="157" min="157" style="0" width="10"/>
    <col collapsed="false" customWidth="true" hidden="false" outlineLevel="0" max="158" min="158" style="0" width="8"/>
    <col collapsed="false" customWidth="true" hidden="false" outlineLevel="0" max="160" min="159" style="0" width="9"/>
    <col collapsed="false" customWidth="true" hidden="false" outlineLevel="0" max="161" min="161" style="0" width="36"/>
  </cols>
  <sheetData>
    <row r="1" customFormat="false" ht="15" hidden="false" customHeight="false" outlineLevel="0" collapsed="false">
      <c r="A1" s="11" t="s">
        <v>37</v>
      </c>
      <c r="B1" s="11"/>
      <c r="C1" s="11"/>
      <c r="D1" s="11"/>
      <c r="E1" s="11"/>
      <c r="F1" s="11"/>
      <c r="G1" s="12" t="s">
        <v>55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 t="s">
        <v>142</v>
      </c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4" t="s">
        <v>143</v>
      </c>
      <c r="AJ1" s="14"/>
      <c r="AK1" s="14"/>
      <c r="AL1" s="15" t="s">
        <v>144</v>
      </c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6" t="s">
        <v>145</v>
      </c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7" t="s">
        <v>146</v>
      </c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8" t="s">
        <v>147</v>
      </c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9" t="s">
        <v>148</v>
      </c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20" t="s">
        <v>149</v>
      </c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1" t="s">
        <v>150</v>
      </c>
      <c r="EQ1" s="21"/>
      <c r="ER1" s="21"/>
      <c r="ES1" s="21"/>
      <c r="ET1" s="21"/>
      <c r="EU1" s="21"/>
      <c r="EV1" s="21"/>
      <c r="EW1" s="21"/>
      <c r="EX1" s="22" t="s">
        <v>151</v>
      </c>
      <c r="EY1" s="22"/>
      <c r="EZ1" s="22"/>
      <c r="FA1" s="23" t="s">
        <v>152</v>
      </c>
      <c r="FB1" s="23"/>
      <c r="FC1" s="23"/>
      <c r="FD1" s="23"/>
      <c r="FE1" s="23"/>
    </row>
    <row r="2" customFormat="false" ht="15" hidden="false" customHeight="false" outlineLevel="0" collapsed="false">
      <c r="A2" s="11"/>
      <c r="B2" s="11"/>
      <c r="C2" s="11"/>
      <c r="D2" s="11"/>
      <c r="E2" s="11"/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  <c r="AJ2" s="14"/>
      <c r="AK2" s="14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1"/>
      <c r="EQ2" s="21"/>
      <c r="ER2" s="21"/>
      <c r="ES2" s="21"/>
      <c r="ET2" s="21"/>
      <c r="EU2" s="21"/>
      <c r="EV2" s="21"/>
      <c r="EW2" s="21"/>
      <c r="EX2" s="22"/>
      <c r="EY2" s="22"/>
      <c r="EZ2" s="22"/>
      <c r="FA2" s="23"/>
      <c r="FB2" s="23"/>
      <c r="FC2" s="23"/>
      <c r="FD2" s="23"/>
      <c r="FE2" s="23"/>
    </row>
    <row r="3" customFormat="false" ht="39.75" hidden="false" customHeight="true" outlineLevel="0" collapsed="false">
      <c r="A3" s="24" t="s">
        <v>38</v>
      </c>
      <c r="B3" s="24" t="s">
        <v>43</v>
      </c>
      <c r="C3" s="24" t="s">
        <v>47</v>
      </c>
      <c r="D3" s="24" t="s">
        <v>50</v>
      </c>
      <c r="E3" s="24" t="s">
        <v>153</v>
      </c>
      <c r="F3" s="24" t="s">
        <v>154</v>
      </c>
      <c r="G3" s="24" t="s">
        <v>155</v>
      </c>
      <c r="H3" s="24" t="s">
        <v>156</v>
      </c>
      <c r="I3" s="24" t="s">
        <v>157</v>
      </c>
      <c r="J3" s="24" t="s">
        <v>158</v>
      </c>
      <c r="K3" s="24" t="s">
        <v>159</v>
      </c>
      <c r="L3" s="24" t="s">
        <v>68</v>
      </c>
      <c r="M3" s="24" t="s">
        <v>160</v>
      </c>
      <c r="N3" s="24" t="s">
        <v>75</v>
      </c>
      <c r="O3" s="24" t="s">
        <v>78</v>
      </c>
      <c r="P3" s="24" t="s">
        <v>161</v>
      </c>
      <c r="Q3" s="24" t="s">
        <v>162</v>
      </c>
      <c r="R3" s="24" t="s">
        <v>163</v>
      </c>
      <c r="S3" s="24" t="s">
        <v>164</v>
      </c>
      <c r="T3" s="24" t="s">
        <v>165</v>
      </c>
      <c r="U3" s="24" t="s">
        <v>166</v>
      </c>
      <c r="V3" s="24" t="s">
        <v>167</v>
      </c>
      <c r="W3" s="24" t="s">
        <v>168</v>
      </c>
      <c r="X3" s="24" t="s">
        <v>169</v>
      </c>
      <c r="Y3" s="24" t="s">
        <v>170</v>
      </c>
      <c r="Z3" s="24" t="s">
        <v>171</v>
      </c>
      <c r="AA3" s="24" t="s">
        <v>172</v>
      </c>
      <c r="AB3" s="24" t="s">
        <v>173</v>
      </c>
      <c r="AC3" s="24" t="s">
        <v>174</v>
      </c>
      <c r="AD3" s="24" t="s">
        <v>175</v>
      </c>
      <c r="AE3" s="24" t="s">
        <v>176</v>
      </c>
      <c r="AF3" s="24" t="s">
        <v>177</v>
      </c>
      <c r="AG3" s="24" t="s">
        <v>178</v>
      </c>
      <c r="AH3" s="24" t="s">
        <v>179</v>
      </c>
      <c r="AI3" s="24" t="s">
        <v>180</v>
      </c>
      <c r="AJ3" s="24" t="s">
        <v>181</v>
      </c>
      <c r="AK3" s="24" t="s">
        <v>182</v>
      </c>
      <c r="AL3" s="24" t="s">
        <v>102</v>
      </c>
      <c r="AM3" s="24" t="s">
        <v>183</v>
      </c>
      <c r="AN3" s="24" t="s">
        <v>108</v>
      </c>
      <c r="AO3" s="24" t="s">
        <v>184</v>
      </c>
      <c r="AP3" s="24" t="s">
        <v>185</v>
      </c>
      <c r="AQ3" s="24" t="s">
        <v>186</v>
      </c>
      <c r="AR3" s="24" t="s">
        <v>187</v>
      </c>
      <c r="AS3" s="24" t="s">
        <v>188</v>
      </c>
      <c r="AT3" s="24" t="s">
        <v>189</v>
      </c>
      <c r="AU3" s="24" t="s">
        <v>116</v>
      </c>
      <c r="AV3" s="24" t="s">
        <v>190</v>
      </c>
      <c r="AW3" s="24" t="s">
        <v>191</v>
      </c>
      <c r="AX3" s="24" t="s">
        <v>192</v>
      </c>
      <c r="AY3" s="24" t="s">
        <v>193</v>
      </c>
      <c r="AZ3" s="24" t="s">
        <v>194</v>
      </c>
      <c r="BA3" s="24" t="s">
        <v>195</v>
      </c>
      <c r="BB3" s="24" t="s">
        <v>196</v>
      </c>
      <c r="BC3" s="24" t="s">
        <v>197</v>
      </c>
      <c r="BD3" s="24" t="s">
        <v>102</v>
      </c>
      <c r="BE3" s="24" t="s">
        <v>183</v>
      </c>
      <c r="BF3" s="24" t="s">
        <v>108</v>
      </c>
      <c r="BG3" s="24" t="s">
        <v>184</v>
      </c>
      <c r="BH3" s="24" t="s">
        <v>185</v>
      </c>
      <c r="BI3" s="24" t="s">
        <v>186</v>
      </c>
      <c r="BJ3" s="24" t="s">
        <v>187</v>
      </c>
      <c r="BK3" s="24" t="s">
        <v>188</v>
      </c>
      <c r="BL3" s="24" t="s">
        <v>189</v>
      </c>
      <c r="BM3" s="24" t="s">
        <v>116</v>
      </c>
      <c r="BN3" s="24" t="s">
        <v>190</v>
      </c>
      <c r="BO3" s="24" t="s">
        <v>191</v>
      </c>
      <c r="BP3" s="24" t="s">
        <v>192</v>
      </c>
      <c r="BQ3" s="24" t="s">
        <v>193</v>
      </c>
      <c r="BR3" s="24" t="s">
        <v>194</v>
      </c>
      <c r="BS3" s="24" t="s">
        <v>195</v>
      </c>
      <c r="BT3" s="24" t="s">
        <v>196</v>
      </c>
      <c r="BU3" s="24" t="s">
        <v>197</v>
      </c>
      <c r="BV3" s="24" t="s">
        <v>102</v>
      </c>
      <c r="BW3" s="24" t="s">
        <v>183</v>
      </c>
      <c r="BX3" s="24" t="s">
        <v>108</v>
      </c>
      <c r="BY3" s="24" t="s">
        <v>184</v>
      </c>
      <c r="BZ3" s="24" t="s">
        <v>185</v>
      </c>
      <c r="CA3" s="24" t="s">
        <v>186</v>
      </c>
      <c r="CB3" s="24" t="s">
        <v>187</v>
      </c>
      <c r="CC3" s="24" t="s">
        <v>188</v>
      </c>
      <c r="CD3" s="24" t="s">
        <v>189</v>
      </c>
      <c r="CE3" s="24" t="s">
        <v>116</v>
      </c>
      <c r="CF3" s="24" t="s">
        <v>190</v>
      </c>
      <c r="CG3" s="24" t="s">
        <v>191</v>
      </c>
      <c r="CH3" s="24" t="s">
        <v>192</v>
      </c>
      <c r="CI3" s="24" t="s">
        <v>193</v>
      </c>
      <c r="CJ3" s="24" t="s">
        <v>194</v>
      </c>
      <c r="CK3" s="24" t="s">
        <v>195</v>
      </c>
      <c r="CL3" s="24" t="s">
        <v>196</v>
      </c>
      <c r="CM3" s="24" t="s">
        <v>197</v>
      </c>
      <c r="CN3" s="24" t="s">
        <v>102</v>
      </c>
      <c r="CO3" s="24" t="s">
        <v>183</v>
      </c>
      <c r="CP3" s="24" t="s">
        <v>108</v>
      </c>
      <c r="CQ3" s="24" t="s">
        <v>184</v>
      </c>
      <c r="CR3" s="24" t="s">
        <v>185</v>
      </c>
      <c r="CS3" s="24" t="s">
        <v>186</v>
      </c>
      <c r="CT3" s="24" t="s">
        <v>187</v>
      </c>
      <c r="CU3" s="24" t="s">
        <v>188</v>
      </c>
      <c r="CV3" s="24" t="s">
        <v>189</v>
      </c>
      <c r="CW3" s="24" t="s">
        <v>116</v>
      </c>
      <c r="CX3" s="24" t="s">
        <v>190</v>
      </c>
      <c r="CY3" s="24" t="s">
        <v>191</v>
      </c>
      <c r="CZ3" s="24" t="s">
        <v>192</v>
      </c>
      <c r="DA3" s="24" t="s">
        <v>193</v>
      </c>
      <c r="DB3" s="24" t="s">
        <v>194</v>
      </c>
      <c r="DC3" s="24" t="s">
        <v>195</v>
      </c>
      <c r="DD3" s="24" t="s">
        <v>196</v>
      </c>
      <c r="DE3" s="24" t="s">
        <v>197</v>
      </c>
      <c r="DF3" s="24" t="s">
        <v>102</v>
      </c>
      <c r="DG3" s="24" t="s">
        <v>183</v>
      </c>
      <c r="DH3" s="24" t="s">
        <v>108</v>
      </c>
      <c r="DI3" s="24" t="s">
        <v>184</v>
      </c>
      <c r="DJ3" s="24" t="s">
        <v>185</v>
      </c>
      <c r="DK3" s="24" t="s">
        <v>186</v>
      </c>
      <c r="DL3" s="24" t="s">
        <v>187</v>
      </c>
      <c r="DM3" s="24" t="s">
        <v>188</v>
      </c>
      <c r="DN3" s="24" t="s">
        <v>189</v>
      </c>
      <c r="DO3" s="24" t="s">
        <v>116</v>
      </c>
      <c r="DP3" s="24" t="s">
        <v>190</v>
      </c>
      <c r="DQ3" s="24" t="s">
        <v>191</v>
      </c>
      <c r="DR3" s="24" t="s">
        <v>192</v>
      </c>
      <c r="DS3" s="24" t="s">
        <v>193</v>
      </c>
      <c r="DT3" s="24" t="s">
        <v>194</v>
      </c>
      <c r="DU3" s="24" t="s">
        <v>195</v>
      </c>
      <c r="DV3" s="24" t="s">
        <v>196</v>
      </c>
      <c r="DW3" s="24" t="s">
        <v>197</v>
      </c>
      <c r="DX3" s="24" t="s">
        <v>102</v>
      </c>
      <c r="DY3" s="24" t="s">
        <v>183</v>
      </c>
      <c r="DZ3" s="24" t="s">
        <v>108</v>
      </c>
      <c r="EA3" s="24" t="s">
        <v>184</v>
      </c>
      <c r="EB3" s="24" t="s">
        <v>185</v>
      </c>
      <c r="EC3" s="24" t="s">
        <v>186</v>
      </c>
      <c r="ED3" s="24" t="s">
        <v>187</v>
      </c>
      <c r="EE3" s="24" t="s">
        <v>188</v>
      </c>
      <c r="EF3" s="24" t="s">
        <v>189</v>
      </c>
      <c r="EG3" s="24" t="s">
        <v>116</v>
      </c>
      <c r="EH3" s="24" t="s">
        <v>190</v>
      </c>
      <c r="EI3" s="24" t="s">
        <v>191</v>
      </c>
      <c r="EJ3" s="24" t="s">
        <v>192</v>
      </c>
      <c r="EK3" s="24" t="s">
        <v>193</v>
      </c>
      <c r="EL3" s="24" t="s">
        <v>194</v>
      </c>
      <c r="EM3" s="24" t="s">
        <v>195</v>
      </c>
      <c r="EN3" s="24" t="s">
        <v>196</v>
      </c>
      <c r="EO3" s="24" t="s">
        <v>197</v>
      </c>
      <c r="EP3" s="24" t="s">
        <v>198</v>
      </c>
      <c r="EQ3" s="24" t="s">
        <v>199</v>
      </c>
      <c r="ER3" s="24" t="s">
        <v>200</v>
      </c>
      <c r="ES3" s="24" t="s">
        <v>201</v>
      </c>
      <c r="ET3" s="24" t="s">
        <v>202</v>
      </c>
      <c r="EU3" s="24" t="s">
        <v>203</v>
      </c>
      <c r="EV3" s="24" t="s">
        <v>204</v>
      </c>
      <c r="EW3" s="24" t="s">
        <v>197</v>
      </c>
      <c r="EX3" s="24" t="s">
        <v>130</v>
      </c>
      <c r="EY3" s="24" t="s">
        <v>132</v>
      </c>
      <c r="EZ3" s="24" t="s">
        <v>135</v>
      </c>
      <c r="FA3" s="24" t="s">
        <v>205</v>
      </c>
      <c r="FB3" s="24" t="s">
        <v>206</v>
      </c>
      <c r="FC3" s="24" t="s">
        <v>207</v>
      </c>
      <c r="FD3" s="24" t="s">
        <v>208</v>
      </c>
      <c r="FE3" s="24" t="s">
        <v>209</v>
      </c>
    </row>
    <row r="4" customFormat="false" ht="35.05" hidden="false" customHeight="false" outlineLevel="0" collapsed="false">
      <c r="A4" s="25" t="s">
        <v>210</v>
      </c>
      <c r="B4" s="25" t="s">
        <v>211</v>
      </c>
      <c r="C4" s="26" t="s">
        <v>212</v>
      </c>
      <c r="D4" s="26" t="s">
        <v>213</v>
      </c>
      <c r="E4" s="25" t="s">
        <v>214</v>
      </c>
      <c r="F4" s="25" t="n">
        <v>1</v>
      </c>
      <c r="G4" s="25" t="n">
        <v>5000</v>
      </c>
      <c r="H4" s="25" t="n">
        <v>5000</v>
      </c>
      <c r="I4" s="25" t="n">
        <v>5000</v>
      </c>
      <c r="J4" s="25" t="n">
        <v>1000</v>
      </c>
      <c r="K4" s="25" t="n">
        <v>60</v>
      </c>
      <c r="L4" s="25" t="n">
        <v>1</v>
      </c>
      <c r="M4" s="25" t="n">
        <v>60</v>
      </c>
      <c r="N4" s="25" t="s">
        <v>77</v>
      </c>
      <c r="O4" s="25" t="n">
        <v>3</v>
      </c>
      <c r="P4" s="25" t="s">
        <v>215</v>
      </c>
      <c r="Q4" s="25" t="n">
        <v>0.2</v>
      </c>
      <c r="R4" s="25" t="s">
        <v>215</v>
      </c>
      <c r="S4" s="25" t="n">
        <v>250</v>
      </c>
      <c r="T4" s="25" t="n">
        <v>180</v>
      </c>
      <c r="U4" s="25" t="n">
        <v>210</v>
      </c>
      <c r="V4" s="25" t="n">
        <v>240</v>
      </c>
      <c r="W4" s="25" t="n">
        <v>900</v>
      </c>
      <c r="X4" s="25" t="n">
        <v>1050</v>
      </c>
      <c r="Y4" s="25" t="n">
        <v>1200</v>
      </c>
      <c r="Z4" s="25" t="n">
        <v>0</v>
      </c>
      <c r="AA4" s="25" t="n">
        <v>0</v>
      </c>
      <c r="AB4" s="25" t="n">
        <v>0</v>
      </c>
      <c r="AC4" s="25" t="n">
        <v>0</v>
      </c>
      <c r="AD4" s="25" t="n">
        <v>0</v>
      </c>
      <c r="AE4" s="25" t="n">
        <v>0</v>
      </c>
      <c r="AF4" s="25" t="n">
        <v>0</v>
      </c>
      <c r="AG4" s="25" t="n">
        <v>0</v>
      </c>
      <c r="AH4" s="25" t="n">
        <v>100</v>
      </c>
      <c r="AI4" s="25" t="n">
        <v>63</v>
      </c>
      <c r="AJ4" s="25" t="n">
        <v>51</v>
      </c>
      <c r="AK4" s="25" t="n">
        <v>68</v>
      </c>
      <c r="AL4" s="25" t="s">
        <v>216</v>
      </c>
      <c r="AM4" s="25" t="n">
        <v>35</v>
      </c>
      <c r="AN4" s="25" t="n">
        <v>300</v>
      </c>
      <c r="AO4" s="25" t="n">
        <v>100</v>
      </c>
      <c r="AP4" s="25" t="n">
        <v>70</v>
      </c>
      <c r="AQ4" s="25" t="n">
        <v>50</v>
      </c>
      <c r="AR4" s="25" t="n">
        <v>4</v>
      </c>
      <c r="AS4" s="25" t="n">
        <v>3</v>
      </c>
      <c r="AT4" s="25" t="n">
        <v>2</v>
      </c>
      <c r="AU4" s="25" t="s">
        <v>118</v>
      </c>
      <c r="AV4" s="25"/>
      <c r="AW4" s="25"/>
      <c r="AX4" s="25"/>
      <c r="AY4" s="27" t="str">
        <f aca="false">IF(OR($AU4="",$AU4="No FRET",N($AV4)&lt;=0,N(IF($AI4="",63,$AI4))&lt;=0),"",1/(1+($AV4/IF($AI4="",63,$AI4))^6))</f>
        <v/>
      </c>
      <c r="AZ4" s="27" t="str">
        <f aca="false">IF(OR($AU4="",$AU4="No FRET",N($AW4)&lt;=0,N(IF($AJ4="",51,$AJ4))&lt;=0),"",1/(1+($AW4/IF($AJ4="",51,$AJ4))^6))</f>
        <v/>
      </c>
      <c r="BA4" s="27" t="str">
        <f aca="false">IF(OR($AU4="",$AU4="No FRET",N($AX4)&lt;=0,N(IF($AK4="",68,$AK4))&lt;=0),"",1/(1+($AX4/IF($AK4="",68,$AK4))^6))</f>
        <v/>
      </c>
      <c r="BB4" s="28" t="n">
        <f aca="false">IF(OR($A4="",N($AN4)&lt;=0),"",IF(IF($I4="",5000,$I4)&gt;0,$AN4/(IF($G4="",5000,$G4)*IF($H4="",5000,$H4)*IF($I4="",5000,$I4))/1E-024/6.022E+023/0.000000001,""))</f>
        <v>3.9853869146463</v>
      </c>
      <c r="BC4" s="29" t="str">
        <f aca="false">IF(Calc!G4=0,"",IF(Calc!E4&gt;=1,"✖ saturated (B ≥ freq.)",IF(Calc!E4&gt;0.1,"⚠ B &gt; 10% of freq.",IF(Calc!E4=0,"⚠ no brightness",IF(Calc!F4&gt;0.1,"⚠ step &gt; 10% of wr",IF(OR(AND(N($AQ4)&gt;0,IF($O4="",1,$O4)&lt;3),AND(N($AP4)&gt;0,IF($O4="",1,$O4)&lt;2)),"⚠ uses a colour above Colours = "&amp;IF($O4="",1,$O4)&amp;" (ignored)",IF(AND($AU4&lt;&gt;"",$AU4&lt;&gt;"No FRET",N(IF($O4="",1,$O4))&lt;2),"⚠ FRET needs ≥ 2 colours",IF(AND($AU4&lt;&gt;"",$AU4&lt;&gt;"No FRET",N($AV4)+N($AW4)+N($AX4)=0),"⚠ FRET: set R","✔ OK"))))))))</f>
        <v>✔ OK</v>
      </c>
      <c r="BD4" s="25" t="s">
        <v>217</v>
      </c>
      <c r="BE4" s="25" t="n">
        <v>35</v>
      </c>
      <c r="BF4" s="25" t="n">
        <v>200</v>
      </c>
      <c r="BG4" s="25" t="n">
        <v>100</v>
      </c>
      <c r="BH4" s="25" t="n">
        <v>70</v>
      </c>
      <c r="BI4" s="25" t="n">
        <v>0</v>
      </c>
      <c r="BJ4" s="25" t="n">
        <v>4</v>
      </c>
      <c r="BK4" s="25" t="n">
        <v>3</v>
      </c>
      <c r="BL4" s="25" t="n">
        <v>2</v>
      </c>
      <c r="BM4" s="25" t="s">
        <v>118</v>
      </c>
      <c r="BN4" s="25"/>
      <c r="BO4" s="25"/>
      <c r="BP4" s="25"/>
      <c r="BQ4" s="27" t="str">
        <f aca="false">IF(OR($BM4="",$BM4="No FRET",N($BN4)&lt;=0,N(IF($AI4="",63,$AI4))&lt;=0),"",1/(1+($BN4/IF($AI4="",63,$AI4))^6))</f>
        <v/>
      </c>
      <c r="BR4" s="27" t="str">
        <f aca="false">IF(OR($BM4="",$BM4="No FRET",N($BO4)&lt;=0,N(IF($AJ4="",51,$AJ4))&lt;=0),"",1/(1+($BO4/IF($AJ4="",51,$AJ4))^6))</f>
        <v/>
      </c>
      <c r="BS4" s="27" t="str">
        <f aca="false">IF(OR($BM4="",$BM4="No FRET",N($BP4)&lt;=0,N(IF($AK4="",68,$AK4))&lt;=0),"",1/(1+($BP4/IF($AK4="",68,$AK4))^6))</f>
        <v/>
      </c>
      <c r="BT4" s="28" t="n">
        <f aca="false">IF(OR($A4="",N($BF4)&lt;=0),"",IF(IF($I4="",5000,$I4)&gt;0,$BF4/(IF($G4="",5000,$G4)*IF($H4="",5000,$H4)*IF($I4="",5000,$I4))/1E-024/6.022E+023/0.000000001,""))</f>
        <v>2.6569246097642</v>
      </c>
      <c r="BU4" s="29" t="str">
        <f aca="false">IF(Calc!M4=0,"",IF(Calc!K4&gt;=1,"✖ saturated (B ≥ freq.)",IF(Calc!K4&gt;0.1,"⚠ B &gt; 10% of freq.",IF(Calc!K4=0,"⚠ no brightness",IF(Calc!L4&gt;0.1,"⚠ step &gt; 10% of wr",IF(OR(AND(N($BI4)&gt;0,IF($O4="",1,$O4)&lt;3),AND(N($BH4)&gt;0,IF($O4="",1,$O4)&lt;2)),"⚠ uses a colour above Colours = "&amp;IF($O4="",1,$O4)&amp;" (ignored)",IF(AND($BM4&lt;&gt;"",$BM4&lt;&gt;"No FRET",N(IF($O4="",1,$O4))&lt;2),"⚠ FRET needs ≥ 2 colours",IF(AND($BM4&lt;&gt;"",$BM4&lt;&gt;"No FRET",N($BN4)+N($BO4)+N($BP4)=0),"⚠ FRET: set R","✔ OK"))))))))</f>
        <v>✔ OK</v>
      </c>
      <c r="BV4" s="25" t="s">
        <v>218</v>
      </c>
      <c r="BW4" s="25" t="n">
        <v>35</v>
      </c>
      <c r="BX4" s="25" t="n">
        <v>200</v>
      </c>
      <c r="BY4" s="25" t="n">
        <v>0</v>
      </c>
      <c r="BZ4" s="25" t="n">
        <v>70</v>
      </c>
      <c r="CA4" s="25" t="n">
        <v>50</v>
      </c>
      <c r="CB4" s="25" t="n">
        <v>4</v>
      </c>
      <c r="CC4" s="25" t="n">
        <v>3</v>
      </c>
      <c r="CD4" s="25" t="n">
        <v>2</v>
      </c>
      <c r="CE4" s="25" t="s">
        <v>118</v>
      </c>
      <c r="CF4" s="25"/>
      <c r="CG4" s="25"/>
      <c r="CH4" s="25"/>
      <c r="CI4" s="27" t="str">
        <f aca="false">IF(OR($CE4="",$CE4="No FRET",N($CF4)&lt;=0,N(IF($AI4="",63,$AI4))&lt;=0),"",1/(1+($CF4/IF($AI4="",63,$AI4))^6))</f>
        <v/>
      </c>
      <c r="CJ4" s="27" t="str">
        <f aca="false">IF(OR($CE4="",$CE4="No FRET",N($CG4)&lt;=0,N(IF($AJ4="",51,$AJ4))&lt;=0),"",1/(1+($CG4/IF($AJ4="",51,$AJ4))^6))</f>
        <v/>
      </c>
      <c r="CK4" s="27" t="str">
        <f aca="false">IF(OR($CE4="",$CE4="No FRET",N($CH4)&lt;=0,N(IF($AK4="",68,$AK4))&lt;=0),"",1/(1+($CH4/IF($AK4="",68,$AK4))^6))</f>
        <v/>
      </c>
      <c r="CL4" s="28" t="n">
        <f aca="false">IF(OR($A4="",N($BX4)&lt;=0),"",IF(IF($I4="",5000,$I4)&gt;0,$BX4/(IF($G4="",5000,$G4)*IF($H4="",5000,$H4)*IF($I4="",5000,$I4))/1E-024/6.022E+023/0.000000001,""))</f>
        <v>2.6569246097642</v>
      </c>
      <c r="CM4" s="29" t="str">
        <f aca="false">IF(Calc!S4=0,"",IF(Calc!Q4&gt;=1,"✖ saturated (B ≥ freq.)",IF(Calc!Q4&gt;0.1,"⚠ B &gt; 10% of freq.",IF(Calc!Q4=0,"⚠ no brightness",IF(Calc!R4&gt;0.1,"⚠ step &gt; 10% of wr",IF(OR(AND(N($CA4)&gt;0,IF($O4="",1,$O4)&lt;3),AND(N($BZ4)&gt;0,IF($O4="",1,$O4)&lt;2)),"⚠ uses a colour above Colours = "&amp;IF($O4="",1,$O4)&amp;" (ignored)",IF(AND($CE4&lt;&gt;"",$CE4&lt;&gt;"No FRET",N(IF($O4="",1,$O4))&lt;2),"⚠ FRET needs ≥ 2 colours",IF(AND($CE4&lt;&gt;"",$CE4&lt;&gt;"No FRET",N($CF4)+N($CG4)+N($CH4)=0),"⚠ FRET: set R","✔ OK"))))))))</f>
        <v>✔ OK</v>
      </c>
      <c r="CN4" s="25" t="s">
        <v>219</v>
      </c>
      <c r="CO4" s="25" t="n">
        <v>50</v>
      </c>
      <c r="CP4" s="25" t="n">
        <v>100</v>
      </c>
      <c r="CQ4" s="25" t="n">
        <v>100</v>
      </c>
      <c r="CR4" s="25" t="n">
        <v>70</v>
      </c>
      <c r="CS4" s="25" t="n">
        <v>0</v>
      </c>
      <c r="CT4" s="25" t="n">
        <v>4</v>
      </c>
      <c r="CU4" s="25" t="n">
        <v>3</v>
      </c>
      <c r="CV4" s="25" t="n">
        <v>2</v>
      </c>
      <c r="CW4" s="25" t="s">
        <v>220</v>
      </c>
      <c r="CX4" s="25" t="n">
        <v>50</v>
      </c>
      <c r="CY4" s="25"/>
      <c r="CZ4" s="25"/>
      <c r="DA4" s="27" t="n">
        <f aca="false">IF(OR($CW4="",$CW4="No FRET",N($CX4)&lt;=0,N(IF($AI4="",63,$AI4))&lt;=0),"",1/(1+($CX4/IF($AI4="",63,$AI4))^6))</f>
        <v>0.800060147560953</v>
      </c>
      <c r="DB4" s="27" t="str">
        <f aca="false">IF(OR($CW4="",$CW4="No FRET",N($CY4)&lt;=0,N(IF($AJ4="",51,$AJ4))&lt;=0),"",1/(1+($CY4/IF($AJ4="",51,$AJ4))^6))</f>
        <v/>
      </c>
      <c r="DC4" s="27" t="str">
        <f aca="false">IF(OR($CW4="",$CW4="No FRET",N($CZ4)&lt;=0,N(IF($AK4="",68,$AK4))&lt;=0),"",1/(1+($CZ4/IF($AK4="",68,$AK4))^6))</f>
        <v/>
      </c>
      <c r="DD4" s="28" t="n">
        <f aca="false">IF(OR($A4="",N($CP4)&lt;=0),"",IF(IF($I4="",5000,$I4)&gt;0,$CP4/(IF($G4="",5000,$G4)*IF($H4="",5000,$H4)*IF($I4="",5000,$I4))/1E-024/6.022E+023/0.000000001,""))</f>
        <v>1.3284623048821</v>
      </c>
      <c r="DE4" s="29" t="str">
        <f aca="false">IF(Calc!Y4=0,"",IF(Calc!W4&gt;=1,"✖ saturated (B ≥ freq.)",IF(Calc!W4&gt;0.1,"⚠ B &gt; 10% of freq.",IF(Calc!W4=0,"⚠ no brightness",IF(Calc!X4&gt;0.1,"⚠ step &gt; 10% of wr",IF(OR(AND(N($CS4)&gt;0,IF($O4="",1,$O4)&lt;3),AND(N($CR4)&gt;0,IF($O4="",1,$O4)&lt;2)),"⚠ uses a colour above Colours = "&amp;IF($O4="",1,$O4)&amp;" (ignored)",IF(AND($CW4&lt;&gt;"",$CW4&lt;&gt;"No FRET",N(IF($O4="",1,$O4))&lt;2),"⚠ FRET needs ≥ 2 colours",IF(AND($CW4&lt;&gt;"",$CW4&lt;&gt;"No FRET",N($CX4)+N($CY4)+N($CZ4)=0),"⚠ FRET: set R","✔ OK"))))))))</f>
        <v>✔ OK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7" t="str">
        <f aca="false">IF(OR($DO4="",$DO4="No FRET",N($DP4)&lt;=0,N(IF($AI4="",63,$AI4))&lt;=0),"",1/(1+($DP4/IF($AI4="",63,$AI4))^6))</f>
        <v/>
      </c>
      <c r="DT4" s="27" t="str">
        <f aca="false">IF(OR($DO4="",$DO4="No FRET",N($DQ4)&lt;=0,N(IF($AJ4="",51,$AJ4))&lt;=0),"",1/(1+($DQ4/IF($AJ4="",51,$AJ4))^6))</f>
        <v/>
      </c>
      <c r="DU4" s="27" t="str">
        <f aca="false">IF(OR($DO4="",$DO4="No FRET",N($DR4)&lt;=0,N(IF($AK4="",68,$AK4))&lt;=0),"",1/(1+($DR4/IF($AK4="",68,$AK4))^6))</f>
        <v/>
      </c>
      <c r="DV4" s="28" t="str">
        <f aca="false">IF(OR($A4="",N($DH4)&lt;=0),"",IF(IF($I4="",5000,$I4)&gt;0,$DH4/(IF($G4="",5000,$G4)*IF($H4="",5000,$H4)*IF($I4="",5000,$I4))/1E-024/6.022E+023/0.000000001,""))</f>
        <v/>
      </c>
      <c r="DW4" s="29" t="str">
        <f aca="false">IF(Calc!AE4=0,"",IF(Calc!AC4&gt;=1,"✖ saturated (B ≥ freq.)",IF(Calc!AC4&gt;0.1,"⚠ B &gt; 10% of freq.",IF(Calc!AC4=0,"⚠ no brightness",IF(Calc!AD4&gt;0.1,"⚠ step &gt; 10% of wr",IF(OR(AND(N($DK4)&gt;0,IF($O4="",1,$O4)&lt;3),AND(N($DJ4)&gt;0,IF($O4="",1,$O4)&lt;2)),"⚠ uses a colour above Colours = "&amp;IF($O4="",1,$O4)&amp;" (ignored)",IF(AND($DO4&lt;&gt;"",$DO4&lt;&gt;"No FRET",N(IF($O4="",1,$O4))&lt;2),"⚠ FRET needs ≥ 2 colours",IF(AND($DO4&lt;&gt;"",$DO4&lt;&gt;"No FRET",N($DP4)+N($DQ4)+N($DR4)=0),"⚠ FRET: set R","✔ OK"))))))))</f>
        <v/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7" t="str">
        <f aca="false">IF(OR($EG4="",$EG4="No FRET",N($EH4)&lt;=0,N(IF($AI4="",63,$AI4))&lt;=0),"",1/(1+($EH4/IF($AI4="",63,$AI4))^6))</f>
        <v/>
      </c>
      <c r="EL4" s="27" t="str">
        <f aca="false">IF(OR($EG4="",$EG4="No FRET",N($EI4)&lt;=0,N(IF($AJ4="",51,$AJ4))&lt;=0),"",1/(1+($EI4/IF($AJ4="",51,$AJ4))^6))</f>
        <v/>
      </c>
      <c r="EM4" s="27" t="str">
        <f aca="false">IF(OR($EG4="",$EG4="No FRET",N($EJ4)&lt;=0,N(IF($AK4="",68,$AK4))&lt;=0),"",1/(1+($EJ4/IF($AK4="",68,$AK4))^6))</f>
        <v/>
      </c>
      <c r="EN4" s="28" t="str">
        <f aca="false">IF(OR($A4="",N($DZ4)&lt;=0),"",IF(IF($I4="",5000,$I4)&gt;0,$DZ4/(IF($G4="",5000,$G4)*IF($H4="",5000,$H4)*IF($I4="",5000,$I4))/1E-024/6.022E+023/0.000000001,""))</f>
        <v/>
      </c>
      <c r="EO4" s="29" t="str">
        <f aca="false">IF(Calc!AK4=0,"",IF(Calc!AI4&gt;=1,"✖ saturated (B ≥ freq.)",IF(Calc!AI4&gt;0.1,"⚠ B &gt; 10% of freq.",IF(Calc!AI4=0,"⚠ no brightness",IF(Calc!AJ4&gt;0.1,"⚠ step &gt; 10% of wr",IF(OR(AND(N($EC4)&gt;0,IF($O4="",1,$O4)&lt;3),AND(N($EB4)&gt;0,IF($O4="",1,$O4)&lt;2)),"⚠ uses a colour above Colours = "&amp;IF($O4="",1,$O4)&amp;" (ignored)",IF(AND($EG4&lt;&gt;"",$EG4&lt;&gt;"No FRET",N(IF($O4="",1,$O4))&lt;2),"⚠ FRET needs ≥ 2 colours",IF(AND($EG4&lt;&gt;"",$EG4&lt;&gt;"No FRET",N($EH4)+N($EI4)+N($EJ4)=0),"⚠ FRET: set R","✔ OK"))))))))</f>
        <v/>
      </c>
      <c r="EP4" s="30" t="n">
        <f aca="false">IF($A4="","",SUM(Calc!G4,Calc!M4,Calc!S4,Calc!Y4,Calc!AE4,Calc!AK4))</f>
        <v>4</v>
      </c>
      <c r="EQ4" s="30" t="n">
        <f aca="false">IF($A4="","",N($AN4)+N($BF4)+N($BX4)+N($CP4)+N($DH4)+N($DZ4))</f>
        <v>800</v>
      </c>
      <c r="ER4" s="31" t="n">
        <f aca="false">IF($A4="","",SUM(Calc!B4,Calc!H4,Calc!N4,Calc!T4,Calc!Z4,Calc!AF4))</f>
        <v>27.5555175610359</v>
      </c>
      <c r="ES4" s="31" t="n">
        <f aca="false">IF($A4="","",SUM(Calc!C4,Calc!I4,Calc!O4,Calc!U4,Calc!AA4,Calc!AG4))</f>
        <v>40.8399985580539</v>
      </c>
      <c r="ET4" s="31" t="n">
        <f aca="false">IF($A4="","",SUM(Calc!D4,Calc!J4,Calc!P4,Calc!V4,Calc!AB4,Calc!AH4))</f>
        <v>27.2153259862083</v>
      </c>
      <c r="EU4" s="27" t="n">
        <f aca="false">IF($A4="","",($ER4+$ES4+$ET4+IF($P4="Yes",N($Q4)*N(IF($O4="",1,$O4)),0))*1000*IF($K4="",10,$K4)/1000000)</f>
        <v>5.73665052631789</v>
      </c>
      <c r="EV4" s="28" t="n">
        <f aca="false">IF($A4="","",$EU4*1000000*12/1000000000)</f>
        <v>0.0688398063158147</v>
      </c>
      <c r="EW4" s="32" t="str">
        <f aca="false">IF($A4="","",IF($EP4=0,"⚠ no species entered",IF(((LEFT($BC4,1)="✖")+(LEFT($BU4,1)="✖")+(LEFT($CM4,1)="✖")+(LEFT($DE4,1)="✖")+(LEFT($DW4,1)="✖")+(LEFT($EO4,1)="✖"))&gt;0,"✖ "&amp;((LEFT($BC4,1)="✖")+(LEFT($BU4,1)="✖")+(LEFT($CM4,1)="✖")+(LEFT($DE4,1)="✖")+(LEFT($DW4,1)="✖")+(LEFT($EO4,1)="✖"))&amp;" species saturated - see the species checks",IF(MIN(IF($G4="",5000,$G4),IF($H4="",5000,$H4))&lt;8*MAX(IF($T4="",200,$T4),IF($U4="",200,$U4),IF($V4="",200,$V4)),"⚠ box too small laterally (&lt; 8·wr)",IF(AND(IF($I4="",5000,$I4)&gt;0,IF($I4="",5000,$I4)&lt;3*MAX(IF($W4="",1000,$W4),IF($X4="",1000,$X4),IF($Y4="",1000,$Y4))),"⚠ box too small axially (&lt; 3·wz)",IF($EV4&gt;8,"⚠ &gt; 8 GB per file: shorten the duration and use several files",IF(((LEFT($BC4,1)="⚠")+(LEFT($BU4,1)="⚠")+(LEFT($CM4,1)="⚠")+(LEFT($DE4,1)="⚠")+(LEFT($DW4,1)="⚠")+(LEFT($EO4,1)="⚠"))&gt;0,"⚠ "&amp;((LEFT($BC4,1)="⚠")+(LEFT($BU4,1)="⚠")+(LEFT($CM4,1)="⚠")+(LEFT($DE4,1)="⚠")+(LEFT($DW4,1)="⚠")+(LEFT($EO4,1)="⚠"))&amp;" species with a warning","✔ OK")))))))</f>
        <v>✔ OK</v>
      </c>
      <c r="EX4" s="25" t="n">
        <v>1</v>
      </c>
      <c r="EY4" s="25"/>
      <c r="EZ4" s="25" t="s">
        <v>137</v>
      </c>
      <c r="FA4" s="25"/>
      <c r="FB4" s="25"/>
      <c r="FC4" s="25"/>
      <c r="FD4" s="25"/>
      <c r="FE4" s="26" t="s">
        <v>221</v>
      </c>
    </row>
    <row r="5" customFormat="false" ht="35.05" hidden="false" customHeight="false" outlineLevel="0" collapsed="false">
      <c r="A5" s="25" t="s">
        <v>222</v>
      </c>
      <c r="B5" s="25" t="s">
        <v>223</v>
      </c>
      <c r="C5" s="26" t="s">
        <v>224</v>
      </c>
      <c r="D5" s="26" t="s">
        <v>213</v>
      </c>
      <c r="E5" s="25" t="s">
        <v>225</v>
      </c>
      <c r="F5" s="25" t="n">
        <v>2</v>
      </c>
      <c r="G5" s="25" t="n">
        <v>5000</v>
      </c>
      <c r="H5" s="25" t="n">
        <v>5000</v>
      </c>
      <c r="I5" s="25" t="n">
        <v>5000</v>
      </c>
      <c r="J5" s="25" t="n">
        <v>1000</v>
      </c>
      <c r="K5" s="25" t="n">
        <v>60</v>
      </c>
      <c r="L5" s="25" t="n">
        <v>1</v>
      </c>
      <c r="M5" s="25" t="n">
        <v>60</v>
      </c>
      <c r="N5" s="25" t="s">
        <v>77</v>
      </c>
      <c r="O5" s="25" t="n">
        <v>3</v>
      </c>
      <c r="P5" s="25" t="s">
        <v>215</v>
      </c>
      <c r="Q5" s="25" t="n">
        <v>0.2</v>
      </c>
      <c r="R5" s="25" t="s">
        <v>215</v>
      </c>
      <c r="S5" s="25" t="n">
        <v>250</v>
      </c>
      <c r="T5" s="25" t="n">
        <v>200</v>
      </c>
      <c r="U5" s="25" t="n">
        <v>200</v>
      </c>
      <c r="V5" s="25" t="n">
        <v>200</v>
      </c>
      <c r="W5" s="25" t="n">
        <v>1000</v>
      </c>
      <c r="X5" s="25" t="n">
        <v>1000</v>
      </c>
      <c r="Y5" s="25" t="n">
        <v>1000</v>
      </c>
      <c r="Z5" s="25" t="n">
        <v>0</v>
      </c>
      <c r="AA5" s="25" t="n">
        <v>0</v>
      </c>
      <c r="AB5" s="25" t="n">
        <v>0</v>
      </c>
      <c r="AC5" s="25" t="n">
        <v>0</v>
      </c>
      <c r="AD5" s="25" t="n">
        <v>0</v>
      </c>
      <c r="AE5" s="25" t="n">
        <v>0</v>
      </c>
      <c r="AF5" s="25" t="n">
        <v>0</v>
      </c>
      <c r="AG5" s="25" t="n">
        <v>0</v>
      </c>
      <c r="AH5" s="25" t="n">
        <v>0</v>
      </c>
      <c r="AI5" s="25" t="n">
        <v>63</v>
      </c>
      <c r="AJ5" s="25" t="n">
        <v>51</v>
      </c>
      <c r="AK5" s="25" t="n">
        <v>68</v>
      </c>
      <c r="AL5" s="25" t="s">
        <v>144</v>
      </c>
      <c r="AM5" s="25" t="n">
        <v>15</v>
      </c>
      <c r="AN5" s="25" t="n">
        <v>800</v>
      </c>
      <c r="AO5" s="25" t="n">
        <v>50</v>
      </c>
      <c r="AP5" s="25" t="n">
        <v>50</v>
      </c>
      <c r="AQ5" s="25" t="n">
        <v>50</v>
      </c>
      <c r="AR5" s="25" t="n">
        <v>4</v>
      </c>
      <c r="AS5" s="25" t="n">
        <v>3</v>
      </c>
      <c r="AT5" s="25" t="n">
        <v>2</v>
      </c>
      <c r="AU5" s="25" t="s">
        <v>118</v>
      </c>
      <c r="AV5" s="25"/>
      <c r="AW5" s="25"/>
      <c r="AX5" s="25"/>
      <c r="AY5" s="27" t="str">
        <f aca="false">IF(OR($AU5="",$AU5="No FRET",N($AV5)&lt;=0,N(IF($AI5="",63,$AI5))&lt;=0),"",1/(1+($AV5/IF($AI5="",63,$AI5))^6))</f>
        <v/>
      </c>
      <c r="AZ5" s="27" t="str">
        <f aca="false">IF(OR($AU5="",$AU5="No FRET",N($AW5)&lt;=0,N(IF($AJ5="",51,$AJ5))&lt;=0),"",1/(1+($AW5/IF($AJ5="",51,$AJ5))^6))</f>
        <v/>
      </c>
      <c r="BA5" s="27" t="str">
        <f aca="false">IF(OR($AU5="",$AU5="No FRET",N($AX5)&lt;=0,N(IF($AK5="",68,$AK5))&lt;=0),"",1/(1+($AX5/IF($AK5="",68,$AK5))^6))</f>
        <v/>
      </c>
      <c r="BB5" s="28" t="n">
        <f aca="false">IF(OR($A5="",N($AN5)&lt;=0),"",IF(IF($I5="",5000,$I5)&gt;0,$AN5/(IF($G5="",5000,$G5)*IF($H5="",5000,$H5)*IF($I5="",5000,$I5))/1E-024/6.022E+023/0.000000001,""))</f>
        <v>10.6276984390568</v>
      </c>
      <c r="BC5" s="29" t="str">
        <f aca="false">IF(Calc!G5=0,"",IF(Calc!E5&gt;=1,"✖ saturated (B ≥ freq.)",IF(Calc!E5&gt;0.1,"⚠ B &gt; 10% of freq.",IF(Calc!E5=0,"⚠ no brightness",IF(Calc!F5&gt;0.1,"⚠ step &gt; 10% of wr",IF(OR(AND(N($AQ5)&gt;0,IF($O5="",1,$O5)&lt;3),AND(N($AP5)&gt;0,IF($O5="",1,$O5)&lt;2)),"⚠ uses a colour above Colours = "&amp;IF($O5="",1,$O5)&amp;" (ignored)",IF(AND($AU5&lt;&gt;"",$AU5&lt;&gt;"No FRET",N(IF($O5="",1,$O5))&lt;2),"⚠ FRET needs ≥ 2 colours",IF(AND($AU5&lt;&gt;"",$AU5&lt;&gt;"No FRET",N($AV5)+N($AW5)+N($AX5)=0),"⚠ FRET: set R","✔ OK"))))))))</f>
        <v>✔ OK</v>
      </c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7" t="str">
        <f aca="false">IF(OR($BM5="",$BM5="No FRET",N($BN5)&lt;=0,N(IF($AI5="",63,$AI5))&lt;=0),"",1/(1+($BN5/IF($AI5="",63,$AI5))^6))</f>
        <v/>
      </c>
      <c r="BR5" s="27" t="str">
        <f aca="false">IF(OR($BM5="",$BM5="No FRET",N($BO5)&lt;=0,N(IF($AJ5="",51,$AJ5))&lt;=0),"",1/(1+($BO5/IF($AJ5="",51,$AJ5))^6))</f>
        <v/>
      </c>
      <c r="BS5" s="27" t="str">
        <f aca="false">IF(OR($BM5="",$BM5="No FRET",N($BP5)&lt;=0,N(IF($AK5="",68,$AK5))&lt;=0),"",1/(1+($BP5/IF($AK5="",68,$AK5))^6))</f>
        <v/>
      </c>
      <c r="BT5" s="28" t="str">
        <f aca="false">IF(OR($A5="",N($BF5)&lt;=0),"",IF(IF($I5="",5000,$I5)&gt;0,$BF5/(IF($G5="",5000,$G5)*IF($H5="",5000,$H5)*IF($I5="",5000,$I5))/1E-024/6.022E+023/0.000000001,""))</f>
        <v/>
      </c>
      <c r="BU5" s="29" t="str">
        <f aca="false">IF(Calc!M5=0,"",IF(Calc!K5&gt;=1,"✖ saturated (B ≥ freq.)",IF(Calc!K5&gt;0.1,"⚠ B &gt; 10% of freq.",IF(Calc!K5=0,"⚠ no brightness",IF(Calc!L5&gt;0.1,"⚠ step &gt; 10% of wr",IF(OR(AND(N($BI5)&gt;0,IF($O5="",1,$O5)&lt;3),AND(N($BH5)&gt;0,IF($O5="",1,$O5)&lt;2)),"⚠ uses a colour above Colours = "&amp;IF($O5="",1,$O5)&amp;" (ignored)",IF(AND($BM5&lt;&gt;"",$BM5&lt;&gt;"No FRET",N(IF($O5="",1,$O5))&lt;2),"⚠ FRET needs ≥ 2 colours",IF(AND($BM5&lt;&gt;"",$BM5&lt;&gt;"No FRET",N($BN5)+N($BO5)+N($BP5)=0),"⚠ FRET: set R","✔ OK"))))))))</f>
        <v/>
      </c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7" t="str">
        <f aca="false">IF(OR($CE5="",$CE5="No FRET",N($CF5)&lt;=0,N(IF($AI5="",63,$AI5))&lt;=0),"",1/(1+($CF5/IF($AI5="",63,$AI5))^6))</f>
        <v/>
      </c>
      <c r="CJ5" s="27" t="str">
        <f aca="false">IF(OR($CE5="",$CE5="No FRET",N($CG5)&lt;=0,N(IF($AJ5="",51,$AJ5))&lt;=0),"",1/(1+($CG5/IF($AJ5="",51,$AJ5))^6))</f>
        <v/>
      </c>
      <c r="CK5" s="27" t="str">
        <f aca="false">IF(OR($CE5="",$CE5="No FRET",N($CH5)&lt;=0,N(IF($AK5="",68,$AK5))&lt;=0),"",1/(1+($CH5/IF($AK5="",68,$AK5))^6))</f>
        <v/>
      </c>
      <c r="CL5" s="28" t="str">
        <f aca="false">IF(OR($A5="",N($BX5)&lt;=0),"",IF(IF($I5="",5000,$I5)&gt;0,$BX5/(IF($G5="",5000,$G5)*IF($H5="",5000,$H5)*IF($I5="",5000,$I5))/1E-024/6.022E+023/0.000000001,""))</f>
        <v/>
      </c>
      <c r="CM5" s="29" t="str">
        <f aca="false">IF(Calc!S5=0,"",IF(Calc!Q5&gt;=1,"✖ saturated (B ≥ freq.)",IF(Calc!Q5&gt;0.1,"⚠ B &gt; 10% of freq.",IF(Calc!Q5=0,"⚠ no brightness",IF(Calc!R5&gt;0.1,"⚠ step &gt; 10% of wr",IF(OR(AND(N($CA5)&gt;0,IF($O5="",1,$O5)&lt;3),AND(N($BZ5)&gt;0,IF($O5="",1,$O5)&lt;2)),"⚠ uses a colour above Colours = "&amp;IF($O5="",1,$O5)&amp;" (ignored)",IF(AND($CE5&lt;&gt;"",$CE5&lt;&gt;"No FRET",N(IF($O5="",1,$O5))&lt;2),"⚠ FRET needs ≥ 2 colours",IF(AND($CE5&lt;&gt;"",$CE5&lt;&gt;"No FRET",N($CF5)+N($CG5)+N($CH5)=0),"⚠ FRET: set R","✔ OK"))))))))</f>
        <v/>
      </c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7" t="str">
        <f aca="false">IF(OR($CW5="",$CW5="No FRET",N($CX5)&lt;=0,N(IF($AI5="",63,$AI5))&lt;=0),"",1/(1+($CX5/IF($AI5="",63,$AI5))^6))</f>
        <v/>
      </c>
      <c r="DB5" s="27" t="str">
        <f aca="false">IF(OR($CW5="",$CW5="No FRET",N($CY5)&lt;=0,N(IF($AJ5="",51,$AJ5))&lt;=0),"",1/(1+($CY5/IF($AJ5="",51,$AJ5))^6))</f>
        <v/>
      </c>
      <c r="DC5" s="27" t="str">
        <f aca="false">IF(OR($CW5="",$CW5="No FRET",N($CZ5)&lt;=0,N(IF($AK5="",68,$AK5))&lt;=0),"",1/(1+($CZ5/IF($AK5="",68,$AK5))^6))</f>
        <v/>
      </c>
      <c r="DD5" s="28" t="str">
        <f aca="false">IF(OR($A5="",N($CP5)&lt;=0),"",IF(IF($I5="",5000,$I5)&gt;0,$CP5/(IF($G5="",5000,$G5)*IF($H5="",5000,$H5)*IF($I5="",5000,$I5))/1E-024/6.022E+023/0.000000001,""))</f>
        <v/>
      </c>
      <c r="DE5" s="29" t="str">
        <f aca="false">IF(Calc!Y5=0,"",IF(Calc!W5&gt;=1,"✖ saturated (B ≥ freq.)",IF(Calc!W5&gt;0.1,"⚠ B &gt; 10% of freq.",IF(Calc!W5=0,"⚠ no brightness",IF(Calc!X5&gt;0.1,"⚠ step &gt; 10% of wr",IF(OR(AND(N($CS5)&gt;0,IF($O5="",1,$O5)&lt;3),AND(N($CR5)&gt;0,IF($O5="",1,$O5)&lt;2)),"⚠ uses a colour above Colours = "&amp;IF($O5="",1,$O5)&amp;" (ignored)",IF(AND($CW5&lt;&gt;"",$CW5&lt;&gt;"No FRET",N(IF($O5="",1,$O5))&lt;2),"⚠ FRET needs ≥ 2 colours",IF(AND($CW5&lt;&gt;"",$CW5&lt;&gt;"No FRET",N($CX5)+N($CY5)+N($CZ5)=0),"⚠ FRET: set R","✔ OK"))))))))</f>
        <v/>
      </c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7" t="str">
        <f aca="false">IF(OR($DO5="",$DO5="No FRET",N($DP5)&lt;=0,N(IF($AI5="",63,$AI5))&lt;=0),"",1/(1+($DP5/IF($AI5="",63,$AI5))^6))</f>
        <v/>
      </c>
      <c r="DT5" s="27" t="str">
        <f aca="false">IF(OR($DO5="",$DO5="No FRET",N($DQ5)&lt;=0,N(IF($AJ5="",51,$AJ5))&lt;=0),"",1/(1+($DQ5/IF($AJ5="",51,$AJ5))^6))</f>
        <v/>
      </c>
      <c r="DU5" s="27" t="str">
        <f aca="false">IF(OR($DO5="",$DO5="No FRET",N($DR5)&lt;=0,N(IF($AK5="",68,$AK5))&lt;=0),"",1/(1+($DR5/IF($AK5="",68,$AK5))^6))</f>
        <v/>
      </c>
      <c r="DV5" s="28" t="str">
        <f aca="false">IF(OR($A5="",N($DH5)&lt;=0),"",IF(IF($I5="",5000,$I5)&gt;0,$DH5/(IF($G5="",5000,$G5)*IF($H5="",5000,$H5)*IF($I5="",5000,$I5))/1E-024/6.022E+023/0.000000001,""))</f>
        <v/>
      </c>
      <c r="DW5" s="29" t="str">
        <f aca="false">IF(Calc!AE5=0,"",IF(Calc!AC5&gt;=1,"✖ saturated (B ≥ freq.)",IF(Calc!AC5&gt;0.1,"⚠ B &gt; 10% of freq.",IF(Calc!AC5=0,"⚠ no brightness",IF(Calc!AD5&gt;0.1,"⚠ step &gt; 10% of wr",IF(OR(AND(N($DK5)&gt;0,IF($O5="",1,$O5)&lt;3),AND(N($DJ5)&gt;0,IF($O5="",1,$O5)&lt;2)),"⚠ uses a colour above Colours = "&amp;IF($O5="",1,$O5)&amp;" (ignored)",IF(AND($DO5&lt;&gt;"",$DO5&lt;&gt;"No FRET",N(IF($O5="",1,$O5))&lt;2),"⚠ FRET needs ≥ 2 colours",IF(AND($DO5&lt;&gt;"",$DO5&lt;&gt;"No FRET",N($DP5)+N($DQ5)+N($DR5)=0),"⚠ FRET: set R","✔ OK"))))))))</f>
        <v/>
      </c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7" t="str">
        <f aca="false">IF(OR($EG5="",$EG5="No FRET",N($EH5)&lt;=0,N(IF($AI5="",63,$AI5))&lt;=0),"",1/(1+($EH5/IF($AI5="",63,$AI5))^6))</f>
        <v/>
      </c>
      <c r="EL5" s="27" t="str">
        <f aca="false">IF(OR($EG5="",$EG5="No FRET",N($EI5)&lt;=0,N(IF($AJ5="",51,$AJ5))&lt;=0),"",1/(1+($EI5/IF($AJ5="",51,$AJ5))^6))</f>
        <v/>
      </c>
      <c r="EM5" s="27" t="str">
        <f aca="false">IF(OR($EG5="",$EG5="No FRET",N($EJ5)&lt;=0,N(IF($AK5="",68,$AK5))&lt;=0),"",1/(1+($EJ5/IF($AK5="",68,$AK5))^6))</f>
        <v/>
      </c>
      <c r="EN5" s="28" t="str">
        <f aca="false">IF(OR($A5="",N($DZ5)&lt;=0),"",IF(IF($I5="",5000,$I5)&gt;0,$DZ5/(IF($G5="",5000,$G5)*IF($H5="",5000,$H5)*IF($I5="",5000,$I5))/1E-024/6.022E+023/0.000000001,""))</f>
        <v/>
      </c>
      <c r="EO5" s="29" t="str">
        <f aca="false">IF(Calc!AK5=0,"",IF(Calc!AI5&gt;=1,"✖ saturated (B ≥ freq.)",IF(Calc!AI5&gt;0.1,"⚠ B &gt; 10% of freq.",IF(Calc!AI5=0,"⚠ no brightness",IF(Calc!AJ5&gt;0.1,"⚠ step &gt; 10% of wr",IF(OR(AND(N($EC5)&gt;0,IF($O5="",1,$O5)&lt;3),AND(N($EB5)&gt;0,IF($O5="",1,$O5)&lt;2)),"⚠ uses a colour above Colours = "&amp;IF($O5="",1,$O5)&amp;" (ignored)",IF(AND($EG5&lt;&gt;"",$EG5&lt;&gt;"No FRET",N(IF($O5="",1,$O5))&lt;2),"⚠ FRET needs ≥ 2 colours",IF(AND($EG5&lt;&gt;"",$EG5&lt;&gt;"No FRET",N($EH5)+N($EI5)+N($EJ5)=0),"⚠ FRET: set R","✔ OK"))))))))</f>
        <v/>
      </c>
      <c r="EP5" s="30" t="n">
        <f aca="false">IF($A5="","",SUM(Calc!G5,Calc!M5,Calc!S5,Calc!Y5,Calc!AE5,Calc!AK5))</f>
        <v>1</v>
      </c>
      <c r="EQ5" s="30" t="n">
        <f aca="false">IF($A5="","",N($AN5)+N($BF5)+N($BX5)+N($CP5)+N($DH5)+N($DZ5))</f>
        <v>800</v>
      </c>
      <c r="ER5" s="31" t="n">
        <f aca="false">IF($A5="","",SUM(Calc!B5,Calc!H5,Calc!N5,Calc!T5,Calc!Z5,Calc!AF5))</f>
        <v>25.1993759131559</v>
      </c>
      <c r="ES5" s="31" t="n">
        <f aca="false">IF($A5="","",SUM(Calc!C5,Calc!I5,Calc!O5,Calc!U5,Calc!AA5,Calc!AG5))</f>
        <v>25.1993759131559</v>
      </c>
      <c r="ET5" s="31" t="n">
        <f aca="false">IF($A5="","",SUM(Calc!D5,Calc!J5,Calc!P5,Calc!V5,Calc!AB5,Calc!AH5))</f>
        <v>25.1993759131559</v>
      </c>
      <c r="EU5" s="27" t="n">
        <f aca="false">IF($A5="","",($ER5+$ES5+$ET5+IF($P5="Yes",N($Q5)*N(IF($O5="",1,$O5)),0))*1000*IF($K5="",10,$K5)/1000000)</f>
        <v>4.53588766436806</v>
      </c>
      <c r="EV5" s="28" t="n">
        <f aca="false">IF($A5="","",$EU5*1000000*12/1000000000)</f>
        <v>0.0544306519724167</v>
      </c>
      <c r="EW5" s="32" t="str">
        <f aca="false">IF($A5="","",IF($EP5=0,"⚠ no species entered",IF(((LEFT($BC5,1)="✖")+(LEFT($BU5,1)="✖")+(LEFT($CM5,1)="✖")+(LEFT($DE5,1)="✖")+(LEFT($DW5,1)="✖")+(LEFT($EO5,1)="✖"))&gt;0,"✖ "&amp;((LEFT($BC5,1)="✖")+(LEFT($BU5,1)="✖")+(LEFT($CM5,1)="✖")+(LEFT($DE5,1)="✖")+(LEFT($DW5,1)="✖")+(LEFT($EO5,1)="✖"))&amp;" species saturated - see the species checks",IF(MIN(IF($G5="",5000,$G5),IF($H5="",5000,$H5))&lt;8*MAX(IF($T5="",200,$T5),IF($U5="",200,$U5),IF($V5="",200,$V5)),"⚠ box too small laterally (&lt; 8·wr)",IF(AND(IF($I5="",5000,$I5)&gt;0,IF($I5="",5000,$I5)&lt;3*MAX(IF($W5="",1000,$W5),IF($X5="",1000,$X5),IF($Y5="",1000,$Y5))),"⚠ box too small axially (&lt; 3·wz)",IF($EV5&gt;8,"⚠ &gt; 8 GB per file: shorten the duration and use several files",IF(((LEFT($BC5,1)="⚠")+(LEFT($BU5,1)="⚠")+(LEFT($CM5,1)="⚠")+(LEFT($DE5,1)="⚠")+(LEFT($DW5,1)="⚠")+(LEFT($EO5,1)="⚠"))&gt;0,"⚠ "&amp;((LEFT($BC5,1)="⚠")+(LEFT($BU5,1)="⚠")+(LEFT($CM5,1)="⚠")+(LEFT($DE5,1)="⚠")+(LEFT($DW5,1)="⚠")+(LEFT($EO5,1)="⚠"))&amp;" species with a warning","✔ OK")))))))</f>
        <v>✔ OK</v>
      </c>
      <c r="EX5" s="25" t="n">
        <v>1</v>
      </c>
      <c r="EY5" s="25"/>
      <c r="EZ5" s="25" t="s">
        <v>137</v>
      </c>
      <c r="FA5" s="25"/>
      <c r="FB5" s="25"/>
      <c r="FC5" s="25"/>
      <c r="FD5" s="25"/>
      <c r="FE5" s="26" t="s">
        <v>226</v>
      </c>
    </row>
    <row r="6" customFormat="false" ht="35.05" hidden="false" customHeight="false" outlineLevel="0" collapsed="false">
      <c r="A6" s="25" t="s">
        <v>227</v>
      </c>
      <c r="B6" s="25" t="s">
        <v>228</v>
      </c>
      <c r="C6" s="26" t="s">
        <v>229</v>
      </c>
      <c r="D6" s="26" t="s">
        <v>213</v>
      </c>
      <c r="E6" s="25" t="s">
        <v>225</v>
      </c>
      <c r="F6" s="25" t="n">
        <v>2</v>
      </c>
      <c r="G6" s="25" t="n">
        <v>5000</v>
      </c>
      <c r="H6" s="25" t="n">
        <v>5000</v>
      </c>
      <c r="I6" s="25" t="n">
        <v>5000</v>
      </c>
      <c r="J6" s="25" t="n">
        <v>1000</v>
      </c>
      <c r="K6" s="25" t="n">
        <v>60</v>
      </c>
      <c r="L6" s="25" t="n">
        <v>1</v>
      </c>
      <c r="M6" s="25" t="n">
        <v>60</v>
      </c>
      <c r="N6" s="25" t="s">
        <v>77</v>
      </c>
      <c r="O6" s="25" t="n">
        <v>3</v>
      </c>
      <c r="P6" s="25" t="s">
        <v>215</v>
      </c>
      <c r="Q6" s="25" t="n">
        <v>0.2</v>
      </c>
      <c r="R6" s="25" t="s">
        <v>215</v>
      </c>
      <c r="S6" s="25" t="n">
        <v>250</v>
      </c>
      <c r="T6" s="25" t="n">
        <v>200</v>
      </c>
      <c r="U6" s="25" t="n">
        <v>200</v>
      </c>
      <c r="V6" s="25" t="n">
        <v>200</v>
      </c>
      <c r="W6" s="25" t="n">
        <v>1000</v>
      </c>
      <c r="X6" s="25" t="n">
        <v>1000</v>
      </c>
      <c r="Y6" s="25" t="n">
        <v>1000</v>
      </c>
      <c r="Z6" s="25" t="n">
        <v>0</v>
      </c>
      <c r="AA6" s="25" t="n">
        <v>0</v>
      </c>
      <c r="AB6" s="25" t="n">
        <v>0</v>
      </c>
      <c r="AC6" s="25" t="n">
        <v>0</v>
      </c>
      <c r="AD6" s="25" t="n">
        <v>0</v>
      </c>
      <c r="AE6" s="25" t="n">
        <v>0</v>
      </c>
      <c r="AF6" s="25" t="n">
        <v>0</v>
      </c>
      <c r="AG6" s="25" t="n">
        <v>0</v>
      </c>
      <c r="AH6" s="25" t="n">
        <v>0</v>
      </c>
      <c r="AI6" s="25" t="n">
        <v>63</v>
      </c>
      <c r="AJ6" s="25" t="n">
        <v>51</v>
      </c>
      <c r="AK6" s="25" t="n">
        <v>68</v>
      </c>
      <c r="AL6" s="25" t="s">
        <v>144</v>
      </c>
      <c r="AM6" s="25" t="n">
        <v>50</v>
      </c>
      <c r="AN6" s="25" t="n">
        <v>800</v>
      </c>
      <c r="AO6" s="25" t="n">
        <v>50</v>
      </c>
      <c r="AP6" s="25" t="n">
        <v>50</v>
      </c>
      <c r="AQ6" s="25" t="n">
        <v>0</v>
      </c>
      <c r="AR6" s="25" t="n">
        <v>4</v>
      </c>
      <c r="AS6" s="25" t="n">
        <v>3</v>
      </c>
      <c r="AT6" s="25" t="n">
        <v>2</v>
      </c>
      <c r="AU6" s="25" t="s">
        <v>118</v>
      </c>
      <c r="AV6" s="25"/>
      <c r="AW6" s="25"/>
      <c r="AX6" s="25"/>
      <c r="AY6" s="27" t="str">
        <f aca="false">IF(OR($AU6="",$AU6="No FRET",N($AV6)&lt;=0,N(IF($AI6="",63,$AI6))&lt;=0),"",1/(1+($AV6/IF($AI6="",63,$AI6))^6))</f>
        <v/>
      </c>
      <c r="AZ6" s="27" t="str">
        <f aca="false">IF(OR($AU6="",$AU6="No FRET",N($AW6)&lt;=0,N(IF($AJ6="",51,$AJ6))&lt;=0),"",1/(1+($AW6/IF($AJ6="",51,$AJ6))^6))</f>
        <v/>
      </c>
      <c r="BA6" s="27" t="str">
        <f aca="false">IF(OR($AU6="",$AU6="No FRET",N($AX6)&lt;=0,N(IF($AK6="",68,$AK6))&lt;=0),"",1/(1+($AX6/IF($AK6="",68,$AK6))^6))</f>
        <v/>
      </c>
      <c r="BB6" s="28" t="n">
        <f aca="false">IF(OR($A6="",N($AN6)&lt;=0),"",IF(IF($I6="",5000,$I6)&gt;0,$AN6/(IF($G6="",5000,$G6)*IF($H6="",5000,$H6)*IF($I6="",5000,$I6))/1E-024/6.022E+023/0.000000001,""))</f>
        <v>10.6276984390568</v>
      </c>
      <c r="BC6" s="29" t="str">
        <f aca="false">IF(Calc!G6=0,"",IF(Calc!E6&gt;=1,"✖ saturated (B ≥ freq.)",IF(Calc!E6&gt;0.1,"⚠ B &gt; 10% of freq.",IF(Calc!E6=0,"⚠ no brightness",IF(Calc!F6&gt;0.1,"⚠ step &gt; 10% of wr",IF(OR(AND(N($AQ6)&gt;0,IF($O6="",1,$O6)&lt;3),AND(N($AP6)&gt;0,IF($O6="",1,$O6)&lt;2)),"⚠ uses a colour above Colours = "&amp;IF($O6="",1,$O6)&amp;" (ignored)",IF(AND($AU6&lt;&gt;"",$AU6&lt;&gt;"No FRET",N(IF($O6="",1,$O6))&lt;2),"⚠ FRET needs ≥ 2 colours",IF(AND($AU6&lt;&gt;"",$AU6&lt;&gt;"No FRET",N($AV6)+N($AW6)+N($AX6)=0),"⚠ FRET: set R","✔ OK"))))))))</f>
        <v>✔ OK</v>
      </c>
      <c r="BD6" s="25" t="s">
        <v>145</v>
      </c>
      <c r="BE6" s="25" t="n">
        <v>50</v>
      </c>
      <c r="BF6" s="25" t="n">
        <v>100</v>
      </c>
      <c r="BG6" s="25" t="n">
        <v>50</v>
      </c>
      <c r="BH6" s="25" t="n">
        <v>0</v>
      </c>
      <c r="BI6" s="25" t="n">
        <v>50</v>
      </c>
      <c r="BJ6" s="25" t="n">
        <v>4</v>
      </c>
      <c r="BK6" s="25" t="n">
        <v>3</v>
      </c>
      <c r="BL6" s="25" t="n">
        <v>2</v>
      </c>
      <c r="BM6" s="25" t="s">
        <v>118</v>
      </c>
      <c r="BN6" s="25"/>
      <c r="BO6" s="25"/>
      <c r="BP6" s="25"/>
      <c r="BQ6" s="27" t="str">
        <f aca="false">IF(OR($BM6="",$BM6="No FRET",N($BN6)&lt;=0,N(IF($AI6="",63,$AI6))&lt;=0),"",1/(1+($BN6/IF($AI6="",63,$AI6))^6))</f>
        <v/>
      </c>
      <c r="BR6" s="27" t="str">
        <f aca="false">IF(OR($BM6="",$BM6="No FRET",N($BO6)&lt;=0,N(IF($AJ6="",51,$AJ6))&lt;=0),"",1/(1+($BO6/IF($AJ6="",51,$AJ6))^6))</f>
        <v/>
      </c>
      <c r="BS6" s="27" t="str">
        <f aca="false">IF(OR($BM6="",$BM6="No FRET",N($BP6)&lt;=0,N(IF($AK6="",68,$AK6))&lt;=0),"",1/(1+($BP6/IF($AK6="",68,$AK6))^6))</f>
        <v/>
      </c>
      <c r="BT6" s="28" t="n">
        <f aca="false">IF(OR($A6="",N($BF6)&lt;=0),"",IF(IF($I6="",5000,$I6)&gt;0,$BF6/(IF($G6="",5000,$G6)*IF($H6="",5000,$H6)*IF($I6="",5000,$I6))/1E-024/6.022E+023/0.000000001,""))</f>
        <v>1.3284623048821</v>
      </c>
      <c r="BU6" s="29" t="str">
        <f aca="false">IF(Calc!M6=0,"",IF(Calc!K6&gt;=1,"✖ saturated (B ≥ freq.)",IF(Calc!K6&gt;0.1,"⚠ B &gt; 10% of freq.",IF(Calc!K6=0,"⚠ no brightness",IF(Calc!L6&gt;0.1,"⚠ step &gt; 10% of wr",IF(OR(AND(N($BI6)&gt;0,IF($O6="",1,$O6)&lt;3),AND(N($BH6)&gt;0,IF($O6="",1,$O6)&lt;2)),"⚠ uses a colour above Colours = "&amp;IF($O6="",1,$O6)&amp;" (ignored)",IF(AND($BM6&lt;&gt;"",$BM6&lt;&gt;"No FRET",N(IF($O6="",1,$O6))&lt;2),"⚠ FRET needs ≥ 2 colours",IF(AND($BM6&lt;&gt;"",$BM6&lt;&gt;"No FRET",N($BN6)+N($BO6)+N($BP6)=0),"⚠ FRET: set R","✔ OK"))))))))</f>
        <v>✔ OK</v>
      </c>
      <c r="BV6" s="25" t="s">
        <v>146</v>
      </c>
      <c r="BW6" s="25" t="n">
        <v>50</v>
      </c>
      <c r="BX6" s="25" t="n">
        <v>100</v>
      </c>
      <c r="BY6" s="25" t="n">
        <v>0</v>
      </c>
      <c r="BZ6" s="25" t="n">
        <v>50</v>
      </c>
      <c r="CA6" s="25" t="n">
        <v>50</v>
      </c>
      <c r="CB6" s="25" t="n">
        <v>4</v>
      </c>
      <c r="CC6" s="25" t="n">
        <v>3</v>
      </c>
      <c r="CD6" s="25" t="n">
        <v>2</v>
      </c>
      <c r="CE6" s="25" t="s">
        <v>118</v>
      </c>
      <c r="CF6" s="25"/>
      <c r="CG6" s="25"/>
      <c r="CH6" s="25"/>
      <c r="CI6" s="27" t="str">
        <f aca="false">IF(OR($CE6="",$CE6="No FRET",N($CF6)&lt;=0,N(IF($AI6="",63,$AI6))&lt;=0),"",1/(1+($CF6/IF($AI6="",63,$AI6))^6))</f>
        <v/>
      </c>
      <c r="CJ6" s="27" t="str">
        <f aca="false">IF(OR($CE6="",$CE6="No FRET",N($CG6)&lt;=0,N(IF($AJ6="",51,$AJ6))&lt;=0),"",1/(1+($CG6/IF($AJ6="",51,$AJ6))^6))</f>
        <v/>
      </c>
      <c r="CK6" s="27" t="str">
        <f aca="false">IF(OR($CE6="",$CE6="No FRET",N($CH6)&lt;=0,N(IF($AK6="",68,$AK6))&lt;=0),"",1/(1+($CH6/IF($AK6="",68,$AK6))^6))</f>
        <v/>
      </c>
      <c r="CL6" s="28" t="n">
        <f aca="false">IF(OR($A6="",N($BX6)&lt;=0),"",IF(IF($I6="",5000,$I6)&gt;0,$BX6/(IF($G6="",5000,$G6)*IF($H6="",5000,$H6)*IF($I6="",5000,$I6))/1E-024/6.022E+023/0.000000001,""))</f>
        <v>1.3284623048821</v>
      </c>
      <c r="CM6" s="29" t="str">
        <f aca="false">IF(Calc!S6=0,"",IF(Calc!Q6&gt;=1,"✖ saturated (B ≥ freq.)",IF(Calc!Q6&gt;0.1,"⚠ B &gt; 10% of freq.",IF(Calc!Q6=0,"⚠ no brightness",IF(Calc!R6&gt;0.1,"⚠ step &gt; 10% of wr",IF(OR(AND(N($CA6)&gt;0,IF($O6="",1,$O6)&lt;3),AND(N($BZ6)&gt;0,IF($O6="",1,$O6)&lt;2)),"⚠ uses a colour above Colours = "&amp;IF($O6="",1,$O6)&amp;" (ignored)",IF(AND($CE6&lt;&gt;"",$CE6&lt;&gt;"No FRET",N(IF($O6="",1,$O6))&lt;2),"⚠ FRET needs ≥ 2 colours",IF(AND($CE6&lt;&gt;"",$CE6&lt;&gt;"No FRET",N($CF6)+N($CG6)+N($CH6)=0),"⚠ FRET: set R","✔ OK"))))))))</f>
        <v>✔ OK</v>
      </c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7" t="str">
        <f aca="false">IF(OR($CW6="",$CW6="No FRET",N($CX6)&lt;=0,N(IF($AI6="",63,$AI6))&lt;=0),"",1/(1+($CX6/IF($AI6="",63,$AI6))^6))</f>
        <v/>
      </c>
      <c r="DB6" s="27" t="str">
        <f aca="false">IF(OR($CW6="",$CW6="No FRET",N($CY6)&lt;=0,N(IF($AJ6="",51,$AJ6))&lt;=0),"",1/(1+($CY6/IF($AJ6="",51,$AJ6))^6))</f>
        <v/>
      </c>
      <c r="DC6" s="27" t="str">
        <f aca="false">IF(OR($CW6="",$CW6="No FRET",N($CZ6)&lt;=0,N(IF($AK6="",68,$AK6))&lt;=0),"",1/(1+($CZ6/IF($AK6="",68,$AK6))^6))</f>
        <v/>
      </c>
      <c r="DD6" s="28" t="str">
        <f aca="false">IF(OR($A6="",N($CP6)&lt;=0),"",IF(IF($I6="",5000,$I6)&gt;0,$CP6/(IF($G6="",5000,$G6)*IF($H6="",5000,$H6)*IF($I6="",5000,$I6))/1E-024/6.022E+023/0.000000001,""))</f>
        <v/>
      </c>
      <c r="DE6" s="29" t="str">
        <f aca="false">IF(Calc!Y6=0,"",IF(Calc!W6&gt;=1,"✖ saturated (B ≥ freq.)",IF(Calc!W6&gt;0.1,"⚠ B &gt; 10% of freq.",IF(Calc!W6=0,"⚠ no brightness",IF(Calc!X6&gt;0.1,"⚠ step &gt; 10% of wr",IF(OR(AND(N($CS6)&gt;0,IF($O6="",1,$O6)&lt;3),AND(N($CR6)&gt;0,IF($O6="",1,$O6)&lt;2)),"⚠ uses a colour above Colours = "&amp;IF($O6="",1,$O6)&amp;" (ignored)",IF(AND($CW6&lt;&gt;"",$CW6&lt;&gt;"No FRET",N(IF($O6="",1,$O6))&lt;2),"⚠ FRET needs ≥ 2 colours",IF(AND($CW6&lt;&gt;"",$CW6&lt;&gt;"No FRET",N($CX6)+N($CY6)+N($CZ6)=0),"⚠ FRET: set R","✔ OK"))))))))</f>
        <v/>
      </c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7" t="str">
        <f aca="false">IF(OR($DO6="",$DO6="No FRET",N($DP6)&lt;=0,N(IF($AI6="",63,$AI6))&lt;=0),"",1/(1+($DP6/IF($AI6="",63,$AI6))^6))</f>
        <v/>
      </c>
      <c r="DT6" s="27" t="str">
        <f aca="false">IF(OR($DO6="",$DO6="No FRET",N($DQ6)&lt;=0,N(IF($AJ6="",51,$AJ6))&lt;=0),"",1/(1+($DQ6/IF($AJ6="",51,$AJ6))^6))</f>
        <v/>
      </c>
      <c r="DU6" s="27" t="str">
        <f aca="false">IF(OR($DO6="",$DO6="No FRET",N($DR6)&lt;=0,N(IF($AK6="",68,$AK6))&lt;=0),"",1/(1+($DR6/IF($AK6="",68,$AK6))^6))</f>
        <v/>
      </c>
      <c r="DV6" s="28" t="str">
        <f aca="false">IF(OR($A6="",N($DH6)&lt;=0),"",IF(IF($I6="",5000,$I6)&gt;0,$DH6/(IF($G6="",5000,$G6)*IF($H6="",5000,$H6)*IF($I6="",5000,$I6))/1E-024/6.022E+023/0.000000001,""))</f>
        <v/>
      </c>
      <c r="DW6" s="29" t="str">
        <f aca="false">IF(Calc!AE6=0,"",IF(Calc!AC6&gt;=1,"✖ saturated (B ≥ freq.)",IF(Calc!AC6&gt;0.1,"⚠ B &gt; 10% of freq.",IF(Calc!AC6=0,"⚠ no brightness",IF(Calc!AD6&gt;0.1,"⚠ step &gt; 10% of wr",IF(OR(AND(N($DK6)&gt;0,IF($O6="",1,$O6)&lt;3),AND(N($DJ6)&gt;0,IF($O6="",1,$O6)&lt;2)),"⚠ uses a colour above Colours = "&amp;IF($O6="",1,$O6)&amp;" (ignored)",IF(AND($DO6&lt;&gt;"",$DO6&lt;&gt;"No FRET",N(IF($O6="",1,$O6))&lt;2),"⚠ FRET needs ≥ 2 colours",IF(AND($DO6&lt;&gt;"",$DO6&lt;&gt;"No FRET",N($DP6)+N($DQ6)+N($DR6)=0),"⚠ FRET: set R","✔ OK"))))))))</f>
        <v/>
      </c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7" t="str">
        <f aca="false">IF(OR($EG6="",$EG6="No FRET",N($EH6)&lt;=0,N(IF($AI6="",63,$AI6))&lt;=0),"",1/(1+($EH6/IF($AI6="",63,$AI6))^6))</f>
        <v/>
      </c>
      <c r="EL6" s="27" t="str">
        <f aca="false">IF(OR($EG6="",$EG6="No FRET",N($EI6)&lt;=0,N(IF($AJ6="",51,$AJ6))&lt;=0),"",1/(1+($EI6/IF($AJ6="",51,$AJ6))^6))</f>
        <v/>
      </c>
      <c r="EM6" s="27" t="str">
        <f aca="false">IF(OR($EG6="",$EG6="No FRET",N($EJ6)&lt;=0,N(IF($AK6="",68,$AK6))&lt;=0),"",1/(1+($EJ6/IF($AK6="",68,$AK6))^6))</f>
        <v/>
      </c>
      <c r="EN6" s="28" t="str">
        <f aca="false">IF(OR($A6="",N($DZ6)&lt;=0),"",IF(IF($I6="",5000,$I6)&gt;0,$DZ6/(IF($G6="",5000,$G6)*IF($H6="",5000,$H6)*IF($I6="",5000,$I6))/1E-024/6.022E+023/0.000000001,""))</f>
        <v/>
      </c>
      <c r="EO6" s="29" t="str">
        <f aca="false">IF(Calc!AK6=0,"",IF(Calc!AI6&gt;=1,"✖ saturated (B ≥ freq.)",IF(Calc!AI6&gt;0.1,"⚠ B &gt; 10% of freq.",IF(Calc!AI6=0,"⚠ no brightness",IF(Calc!AJ6&gt;0.1,"⚠ step &gt; 10% of wr",IF(OR(AND(N($EC6)&gt;0,IF($O6="",1,$O6)&lt;3),AND(N($EB6)&gt;0,IF($O6="",1,$O6)&lt;2)),"⚠ uses a colour above Colours = "&amp;IF($O6="",1,$O6)&amp;" (ignored)",IF(AND($EG6&lt;&gt;"",$EG6&lt;&gt;"No FRET",N(IF($O6="",1,$O6))&lt;2),"⚠ FRET needs ≥ 2 colours",IF(AND($EG6&lt;&gt;"",$EG6&lt;&gt;"No FRET",N($EH6)+N($EI6)+N($EJ6)=0),"⚠ FRET: set R","✔ OK"))))))))</f>
        <v/>
      </c>
      <c r="EP6" s="30" t="n">
        <f aca="false">IF($A6="","",SUM(Calc!G6,Calc!M6,Calc!S6,Calc!Y6,Calc!AE6,Calc!AK6))</f>
        <v>3</v>
      </c>
      <c r="EQ6" s="30" t="n">
        <f aca="false">IF($A6="","",N($AN6)+N($BF6)+N($BX6)+N($CP6)+N($DH6)+N($DZ6))</f>
        <v>1000</v>
      </c>
      <c r="ER6" s="31" t="n">
        <f aca="false">IF($A6="","",SUM(Calc!B6,Calc!H6,Calc!N6,Calc!T6,Calc!Z6,Calc!AF6))</f>
        <v>28.3492979023004</v>
      </c>
      <c r="ES6" s="31" t="n">
        <f aca="false">IF($A6="","",SUM(Calc!C6,Calc!I6,Calc!O6,Calc!U6,Calc!AA6,Calc!AG6))</f>
        <v>28.3492979023004</v>
      </c>
      <c r="ET6" s="31" t="n">
        <f aca="false">IF($A6="","",SUM(Calc!D6,Calc!J6,Calc!P6,Calc!V6,Calc!AB6,Calc!AH6))</f>
        <v>6.29984397828897</v>
      </c>
      <c r="EU6" s="27" t="n">
        <f aca="false">IF($A6="","",($ER6+$ES6+$ET6+IF($P6="Yes",N($Q6)*N(IF($O6="",1,$O6)),0))*1000*IF($K6="",10,$K6)/1000000)</f>
        <v>3.77990638697338</v>
      </c>
      <c r="EV6" s="28" t="n">
        <f aca="false">IF($A6="","",$EU6*1000000*12/1000000000)</f>
        <v>0.0453588766436806</v>
      </c>
      <c r="EW6" s="32" t="str">
        <f aca="false">IF($A6="","",IF($EP6=0,"⚠ no species entered",IF(((LEFT($BC6,1)="✖")+(LEFT($BU6,1)="✖")+(LEFT($CM6,1)="✖")+(LEFT($DE6,1)="✖")+(LEFT($DW6,1)="✖")+(LEFT($EO6,1)="✖"))&gt;0,"✖ "&amp;((LEFT($BC6,1)="✖")+(LEFT($BU6,1)="✖")+(LEFT($CM6,1)="✖")+(LEFT($DE6,1)="✖")+(LEFT($DW6,1)="✖")+(LEFT($EO6,1)="✖"))&amp;" species saturated - see the species checks",IF(MIN(IF($G6="",5000,$G6),IF($H6="",5000,$H6))&lt;8*MAX(IF($T6="",200,$T6),IF($U6="",200,$U6),IF($V6="",200,$V6)),"⚠ box too small laterally (&lt; 8·wr)",IF(AND(IF($I6="",5000,$I6)&gt;0,IF($I6="",5000,$I6)&lt;3*MAX(IF($W6="",1000,$W6),IF($X6="",1000,$X6),IF($Y6="",1000,$Y6))),"⚠ box too small axially (&lt; 3·wz)",IF($EV6&gt;8,"⚠ &gt; 8 GB per file: shorten the duration and use several files",IF(((LEFT($BC6,1)="⚠")+(LEFT($BU6,1)="⚠")+(LEFT($CM6,1)="⚠")+(LEFT($DE6,1)="⚠")+(LEFT($DW6,1)="⚠")+(LEFT($EO6,1)="⚠"))&gt;0,"⚠ "&amp;((LEFT($BC6,1)="⚠")+(LEFT($BU6,1)="⚠")+(LEFT($CM6,1)="⚠")+(LEFT($DE6,1)="⚠")+(LEFT($DW6,1)="⚠")+(LEFT($EO6,1)="⚠"))&amp;" species with a warning","✔ OK")))))))</f>
        <v>✔ OK</v>
      </c>
      <c r="EX6" s="25" t="n">
        <v>1</v>
      </c>
      <c r="EY6" s="25"/>
      <c r="EZ6" s="25" t="s">
        <v>137</v>
      </c>
      <c r="FA6" s="25"/>
      <c r="FB6" s="25"/>
      <c r="FC6" s="25"/>
      <c r="FD6" s="25"/>
      <c r="FE6" s="26" t="s">
        <v>226</v>
      </c>
    </row>
    <row r="7" customFormat="false" ht="35.05" hidden="false" customHeight="false" outlineLevel="0" collapsed="false">
      <c r="A7" s="25" t="s">
        <v>230</v>
      </c>
      <c r="B7" s="25" t="s">
        <v>231</v>
      </c>
      <c r="C7" s="26" t="s">
        <v>232</v>
      </c>
      <c r="D7" s="26" t="s">
        <v>233</v>
      </c>
      <c r="E7" s="25" t="s">
        <v>225</v>
      </c>
      <c r="F7" s="25" t="n">
        <v>3</v>
      </c>
      <c r="G7" s="25" t="n">
        <v>5000</v>
      </c>
      <c r="H7" s="25" t="n">
        <v>5000</v>
      </c>
      <c r="I7" s="25" t="n">
        <v>5000</v>
      </c>
      <c r="J7" s="25" t="n">
        <v>1000</v>
      </c>
      <c r="K7" s="25" t="n">
        <v>10</v>
      </c>
      <c r="L7" s="25" t="n">
        <v>1</v>
      </c>
      <c r="M7" s="25" t="n">
        <v>60</v>
      </c>
      <c r="N7" s="25" t="s">
        <v>77</v>
      </c>
      <c r="O7" s="25" t="n">
        <v>3</v>
      </c>
      <c r="P7" s="25" t="s">
        <v>215</v>
      </c>
      <c r="Q7" s="25" t="n">
        <v>0.2</v>
      </c>
      <c r="R7" s="25" t="s">
        <v>215</v>
      </c>
      <c r="S7" s="25" t="n">
        <v>250</v>
      </c>
      <c r="T7" s="25" t="n">
        <v>200</v>
      </c>
      <c r="U7" s="25" t="n">
        <v>200</v>
      </c>
      <c r="V7" s="25" t="n">
        <v>200</v>
      </c>
      <c r="W7" s="25" t="n">
        <v>1000</v>
      </c>
      <c r="X7" s="25" t="n">
        <v>1000</v>
      </c>
      <c r="Y7" s="25" t="n">
        <v>1000</v>
      </c>
      <c r="Z7" s="25" t="n">
        <v>0</v>
      </c>
      <c r="AA7" s="25" t="n">
        <v>0</v>
      </c>
      <c r="AB7" s="25" t="n">
        <v>0</v>
      </c>
      <c r="AC7" s="25" t="n">
        <v>0</v>
      </c>
      <c r="AD7" s="25" t="n">
        <v>0</v>
      </c>
      <c r="AE7" s="25" t="n">
        <v>0</v>
      </c>
      <c r="AF7" s="25" t="n">
        <v>0</v>
      </c>
      <c r="AG7" s="25" t="n">
        <v>0</v>
      </c>
      <c r="AH7" s="25" t="n">
        <v>0</v>
      </c>
      <c r="AI7" s="25" t="n">
        <v>63</v>
      </c>
      <c r="AJ7" s="25" t="n">
        <v>51</v>
      </c>
      <c r="AK7" s="25" t="n">
        <v>68</v>
      </c>
      <c r="AL7" s="25" t="s">
        <v>144</v>
      </c>
      <c r="AM7" s="25" t="n">
        <v>400</v>
      </c>
      <c r="AN7" s="25" t="n">
        <v>10</v>
      </c>
      <c r="AO7" s="25" t="n">
        <v>10000</v>
      </c>
      <c r="AP7" s="25" t="n">
        <v>0</v>
      </c>
      <c r="AQ7" s="25" t="n">
        <v>0</v>
      </c>
      <c r="AR7" s="25" t="n">
        <v>4</v>
      </c>
      <c r="AS7" s="25" t="n">
        <v>3</v>
      </c>
      <c r="AT7" s="25" t="n">
        <v>2.5</v>
      </c>
      <c r="AU7" s="25" t="s">
        <v>118</v>
      </c>
      <c r="AV7" s="25"/>
      <c r="AW7" s="25"/>
      <c r="AX7" s="25"/>
      <c r="AY7" s="27" t="str">
        <f aca="false">IF(OR($AU7="",$AU7="No FRET",N($AV7)&lt;=0,N(IF($AI7="",63,$AI7))&lt;=0),"",1/(1+($AV7/IF($AI7="",63,$AI7))^6))</f>
        <v/>
      </c>
      <c r="AZ7" s="27" t="str">
        <f aca="false">IF(OR($AU7="",$AU7="No FRET",N($AW7)&lt;=0,N(IF($AJ7="",51,$AJ7))&lt;=0),"",1/(1+($AW7/IF($AJ7="",51,$AJ7))^6))</f>
        <v/>
      </c>
      <c r="BA7" s="27" t="str">
        <f aca="false">IF(OR($AU7="",$AU7="No FRET",N($AX7)&lt;=0,N(IF($AK7="",68,$AK7))&lt;=0),"",1/(1+($AX7/IF($AK7="",68,$AK7))^6))</f>
        <v/>
      </c>
      <c r="BB7" s="28" t="n">
        <f aca="false">IF(OR($A7="",N($AN7)&lt;=0),"",IF(IF($I7="",5000,$I7)&gt;0,$AN7/(IF($G7="",5000,$G7)*IF($H7="",5000,$H7)*IF($I7="",5000,$I7))/1E-024/6.022E+023/0.000000001,""))</f>
        <v>0.13284623048821</v>
      </c>
      <c r="BC7" s="29" t="str">
        <f aca="false">IF(Calc!G7=0,"",IF(Calc!E7&gt;=1,"✖ saturated (B ≥ freq.)",IF(Calc!E7&gt;0.1,"⚠ B &gt; 10% of freq.",IF(Calc!E7=0,"⚠ no brightness",IF(Calc!F7&gt;0.1,"⚠ step &gt; 10% of wr",IF(OR(AND(N($AQ7)&gt;0,IF($O7="",1,$O7)&lt;3),AND(N($AP7)&gt;0,IF($O7="",1,$O7)&lt;2)),"⚠ uses a colour above Colours = "&amp;IF($O7="",1,$O7)&amp;" (ignored)",IF(AND($AU7&lt;&gt;"",$AU7&lt;&gt;"No FRET",N(IF($O7="",1,$O7))&lt;2),"⚠ FRET needs ≥ 2 colours",IF(AND($AU7&lt;&gt;"",$AU7&lt;&gt;"No FRET",N($AV7)+N($AW7)+N($AX7)=0),"⚠ FRET: set R","✔ OK"))))))))</f>
        <v>✖ saturated (B ≥ freq.)</v>
      </c>
      <c r="BD7" s="25" t="s">
        <v>145</v>
      </c>
      <c r="BE7" s="25" t="n">
        <v>400</v>
      </c>
      <c r="BF7" s="25" t="n">
        <v>10</v>
      </c>
      <c r="BG7" s="25" t="n">
        <v>0</v>
      </c>
      <c r="BH7" s="25" t="n">
        <v>10000</v>
      </c>
      <c r="BI7" s="25" t="n">
        <v>0</v>
      </c>
      <c r="BJ7" s="25" t="n">
        <v>4</v>
      </c>
      <c r="BK7" s="25" t="n">
        <v>3</v>
      </c>
      <c r="BL7" s="25" t="n">
        <v>2.5</v>
      </c>
      <c r="BM7" s="25" t="s">
        <v>118</v>
      </c>
      <c r="BN7" s="25"/>
      <c r="BO7" s="25"/>
      <c r="BP7" s="25"/>
      <c r="BQ7" s="27" t="str">
        <f aca="false">IF(OR($BM7="",$BM7="No FRET",N($BN7)&lt;=0,N(IF($AI7="",63,$AI7))&lt;=0),"",1/(1+($BN7/IF($AI7="",63,$AI7))^6))</f>
        <v/>
      </c>
      <c r="BR7" s="27" t="str">
        <f aca="false">IF(OR($BM7="",$BM7="No FRET",N($BO7)&lt;=0,N(IF($AJ7="",51,$AJ7))&lt;=0),"",1/(1+($BO7/IF($AJ7="",51,$AJ7))^6))</f>
        <v/>
      </c>
      <c r="BS7" s="27" t="str">
        <f aca="false">IF(OR($BM7="",$BM7="No FRET",N($BP7)&lt;=0,N(IF($AK7="",68,$AK7))&lt;=0),"",1/(1+($BP7/IF($AK7="",68,$AK7))^6))</f>
        <v/>
      </c>
      <c r="BT7" s="28" t="n">
        <f aca="false">IF(OR($A7="",N($BF7)&lt;=0),"",IF(IF($I7="",5000,$I7)&gt;0,$BF7/(IF($G7="",5000,$G7)*IF($H7="",5000,$H7)*IF($I7="",5000,$I7))/1E-024/6.022E+023/0.000000001,""))</f>
        <v>0.13284623048821</v>
      </c>
      <c r="BU7" s="29" t="str">
        <f aca="false">IF(Calc!M7=0,"",IF(Calc!K7&gt;=1,"✖ saturated (B ≥ freq.)",IF(Calc!K7&gt;0.1,"⚠ B &gt; 10% of freq.",IF(Calc!K7=0,"⚠ no brightness",IF(Calc!L7&gt;0.1,"⚠ step &gt; 10% of wr",IF(OR(AND(N($BI7)&gt;0,IF($O7="",1,$O7)&lt;3),AND(N($BH7)&gt;0,IF($O7="",1,$O7)&lt;2)),"⚠ uses a colour above Colours = "&amp;IF($O7="",1,$O7)&amp;" (ignored)",IF(AND($BM7&lt;&gt;"",$BM7&lt;&gt;"No FRET",N(IF($O7="",1,$O7))&lt;2),"⚠ FRET needs ≥ 2 colours",IF(AND($BM7&lt;&gt;"",$BM7&lt;&gt;"No FRET",N($BN7)+N($BO7)+N($BP7)=0),"⚠ FRET: set R","✔ OK"))))))))</f>
        <v>✖ saturated (B ≥ freq.)</v>
      </c>
      <c r="BV7" s="25" t="s">
        <v>146</v>
      </c>
      <c r="BW7" s="25" t="n">
        <v>400</v>
      </c>
      <c r="BX7" s="25" t="n">
        <v>10</v>
      </c>
      <c r="BY7" s="25" t="n">
        <v>0</v>
      </c>
      <c r="BZ7" s="25" t="n">
        <v>0</v>
      </c>
      <c r="CA7" s="25" t="n">
        <v>10000</v>
      </c>
      <c r="CB7" s="25" t="n">
        <v>4</v>
      </c>
      <c r="CC7" s="25" t="n">
        <v>3</v>
      </c>
      <c r="CD7" s="25" t="n">
        <v>2.5</v>
      </c>
      <c r="CE7" s="25" t="s">
        <v>118</v>
      </c>
      <c r="CF7" s="25"/>
      <c r="CG7" s="25"/>
      <c r="CH7" s="25"/>
      <c r="CI7" s="27" t="str">
        <f aca="false">IF(OR($CE7="",$CE7="No FRET",N($CF7)&lt;=0,N(IF($AI7="",63,$AI7))&lt;=0),"",1/(1+($CF7/IF($AI7="",63,$AI7))^6))</f>
        <v/>
      </c>
      <c r="CJ7" s="27" t="str">
        <f aca="false">IF(OR($CE7="",$CE7="No FRET",N($CG7)&lt;=0,N(IF($AJ7="",51,$AJ7))&lt;=0),"",1/(1+($CG7/IF($AJ7="",51,$AJ7))^6))</f>
        <v/>
      </c>
      <c r="CK7" s="27" t="str">
        <f aca="false">IF(OR($CE7="",$CE7="No FRET",N($CH7)&lt;=0,N(IF($AK7="",68,$AK7))&lt;=0),"",1/(1+($CH7/IF($AK7="",68,$AK7))^6))</f>
        <v/>
      </c>
      <c r="CL7" s="28" t="n">
        <f aca="false">IF(OR($A7="",N($BX7)&lt;=0),"",IF(IF($I7="",5000,$I7)&gt;0,$BX7/(IF($G7="",5000,$G7)*IF($H7="",5000,$H7)*IF($I7="",5000,$I7))/1E-024/6.022E+023/0.000000001,""))</f>
        <v>0.13284623048821</v>
      </c>
      <c r="CM7" s="29" t="str">
        <f aca="false">IF(Calc!S7=0,"",IF(Calc!Q7&gt;=1,"✖ saturated (B ≥ freq.)",IF(Calc!Q7&gt;0.1,"⚠ B &gt; 10% of freq.",IF(Calc!Q7=0,"⚠ no brightness",IF(Calc!R7&gt;0.1,"⚠ step &gt; 10% of wr",IF(OR(AND(N($CA7)&gt;0,IF($O7="",1,$O7)&lt;3),AND(N($BZ7)&gt;0,IF($O7="",1,$O7)&lt;2)),"⚠ uses a colour above Colours = "&amp;IF($O7="",1,$O7)&amp;" (ignored)",IF(AND($CE7&lt;&gt;"",$CE7&lt;&gt;"No FRET",N(IF($O7="",1,$O7))&lt;2),"⚠ FRET needs ≥ 2 colours",IF(AND($CE7&lt;&gt;"",$CE7&lt;&gt;"No FRET",N($CF7)+N($CG7)+N($CH7)=0),"⚠ FRET: set R","✔ OK"))))))))</f>
        <v>✖ saturated (B ≥ freq.)</v>
      </c>
      <c r="CN7" s="25" t="s">
        <v>147</v>
      </c>
      <c r="CO7" s="25" t="n">
        <v>33</v>
      </c>
      <c r="CP7" s="25" t="n">
        <v>10</v>
      </c>
      <c r="CQ7" s="25" t="n">
        <v>10000</v>
      </c>
      <c r="CR7" s="25" t="n">
        <v>10000</v>
      </c>
      <c r="CS7" s="25" t="n">
        <v>10000</v>
      </c>
      <c r="CT7" s="25" t="n">
        <v>4</v>
      </c>
      <c r="CU7" s="25" t="n">
        <v>3</v>
      </c>
      <c r="CV7" s="25" t="n">
        <v>2.5</v>
      </c>
      <c r="CW7" s="25" t="s">
        <v>118</v>
      </c>
      <c r="CX7" s="25"/>
      <c r="CY7" s="25"/>
      <c r="CZ7" s="25"/>
      <c r="DA7" s="27" t="str">
        <f aca="false">IF(OR($CW7="",$CW7="No FRET",N($CX7)&lt;=0,N(IF($AI7="",63,$AI7))&lt;=0),"",1/(1+($CX7/IF($AI7="",63,$AI7))^6))</f>
        <v/>
      </c>
      <c r="DB7" s="27" t="str">
        <f aca="false">IF(OR($CW7="",$CW7="No FRET",N($CY7)&lt;=0,N(IF($AJ7="",51,$AJ7))&lt;=0),"",1/(1+($CY7/IF($AJ7="",51,$AJ7))^6))</f>
        <v/>
      </c>
      <c r="DC7" s="27" t="str">
        <f aca="false">IF(OR($CW7="",$CW7="No FRET",N($CZ7)&lt;=0,N(IF($AK7="",68,$AK7))&lt;=0),"",1/(1+($CZ7/IF($AK7="",68,$AK7))^6))</f>
        <v/>
      </c>
      <c r="DD7" s="28" t="n">
        <f aca="false">IF(OR($A7="",N($CP7)&lt;=0),"",IF(IF($I7="",5000,$I7)&gt;0,$CP7/(IF($G7="",5000,$G7)*IF($H7="",5000,$H7)*IF($I7="",5000,$I7))/1E-024/6.022E+023/0.000000001,""))</f>
        <v>0.13284623048821</v>
      </c>
      <c r="DE7" s="29" t="str">
        <f aca="false">IF(Calc!Y7=0,"",IF(Calc!W7&gt;=1,"✖ saturated (B ≥ freq.)",IF(Calc!W7&gt;0.1,"⚠ B &gt; 10% of freq.",IF(Calc!W7=0,"⚠ no brightness",IF(Calc!X7&gt;0.1,"⚠ step &gt; 10% of wr",IF(OR(AND(N($CS7)&gt;0,IF($O7="",1,$O7)&lt;3),AND(N($CR7)&gt;0,IF($O7="",1,$O7)&lt;2)),"⚠ uses a colour above Colours = "&amp;IF($O7="",1,$O7)&amp;" (ignored)",IF(AND($CW7&lt;&gt;"",$CW7&lt;&gt;"No FRET",N(IF($O7="",1,$O7))&lt;2),"⚠ FRET needs ≥ 2 colours",IF(AND($CW7&lt;&gt;"",$CW7&lt;&gt;"No FRET",N($CX7)+N($CY7)+N($CZ7)=0),"⚠ FRET: set R","✔ OK"))))))))</f>
        <v>✖ saturated (B ≥ freq.)</v>
      </c>
      <c r="DF7" s="25" t="s">
        <v>148</v>
      </c>
      <c r="DG7" s="25" t="n">
        <v>35</v>
      </c>
      <c r="DH7" s="25" t="n">
        <v>10</v>
      </c>
      <c r="DI7" s="25" t="n">
        <v>10000</v>
      </c>
      <c r="DJ7" s="25" t="n">
        <v>10000</v>
      </c>
      <c r="DK7" s="25" t="n">
        <v>0</v>
      </c>
      <c r="DL7" s="25" t="n">
        <v>4</v>
      </c>
      <c r="DM7" s="25" t="n">
        <v>3</v>
      </c>
      <c r="DN7" s="25" t="n">
        <v>2.5</v>
      </c>
      <c r="DO7" s="25" t="s">
        <v>118</v>
      </c>
      <c r="DP7" s="25"/>
      <c r="DQ7" s="25"/>
      <c r="DR7" s="25"/>
      <c r="DS7" s="27" t="str">
        <f aca="false">IF(OR($DO7="",$DO7="No FRET",N($DP7)&lt;=0,N(IF($AI7="",63,$AI7))&lt;=0),"",1/(1+($DP7/IF($AI7="",63,$AI7))^6))</f>
        <v/>
      </c>
      <c r="DT7" s="27" t="str">
        <f aca="false">IF(OR($DO7="",$DO7="No FRET",N($DQ7)&lt;=0,N(IF($AJ7="",51,$AJ7))&lt;=0),"",1/(1+($DQ7/IF($AJ7="",51,$AJ7))^6))</f>
        <v/>
      </c>
      <c r="DU7" s="27" t="str">
        <f aca="false">IF(OR($DO7="",$DO7="No FRET",N($DR7)&lt;=0,N(IF($AK7="",68,$AK7))&lt;=0),"",1/(1+($DR7/IF($AK7="",68,$AK7))^6))</f>
        <v/>
      </c>
      <c r="DV7" s="28" t="n">
        <f aca="false">IF(OR($A7="",N($DH7)&lt;=0),"",IF(IF($I7="",5000,$I7)&gt;0,$DH7/(IF($G7="",5000,$G7)*IF($H7="",5000,$H7)*IF($I7="",5000,$I7))/1E-024/6.022E+023/0.000000001,""))</f>
        <v>0.13284623048821</v>
      </c>
      <c r="DW7" s="29" t="str">
        <f aca="false">IF(Calc!AE7=0,"",IF(Calc!AC7&gt;=1,"✖ saturated (B ≥ freq.)",IF(Calc!AC7&gt;0.1,"⚠ B &gt; 10% of freq.",IF(Calc!AC7=0,"⚠ no brightness",IF(Calc!AD7&gt;0.1,"⚠ step &gt; 10% of wr",IF(OR(AND(N($DK7)&gt;0,IF($O7="",1,$O7)&lt;3),AND(N($DJ7)&gt;0,IF($O7="",1,$O7)&lt;2)),"⚠ uses a colour above Colours = "&amp;IF($O7="",1,$O7)&amp;" (ignored)",IF(AND($DO7&lt;&gt;"",$DO7&lt;&gt;"No FRET",N(IF($O7="",1,$O7))&lt;2),"⚠ FRET needs ≥ 2 colours",IF(AND($DO7&lt;&gt;"",$DO7&lt;&gt;"No FRET",N($DP7)+N($DQ7)+N($DR7)=0),"⚠ FRET: set R","✔ OK"))))))))</f>
        <v>✖ saturated (B ≥ freq.)</v>
      </c>
      <c r="DX7" s="25" t="s">
        <v>149</v>
      </c>
      <c r="DY7" s="25" t="n">
        <v>33</v>
      </c>
      <c r="DZ7" s="25" t="n">
        <v>10</v>
      </c>
      <c r="EA7" s="25" t="n">
        <v>20000</v>
      </c>
      <c r="EB7" s="25" t="n">
        <v>10000</v>
      </c>
      <c r="EC7" s="25" t="n">
        <v>0</v>
      </c>
      <c r="ED7" s="25" t="n">
        <v>4</v>
      </c>
      <c r="EE7" s="25" t="n">
        <v>3</v>
      </c>
      <c r="EF7" s="25" t="n">
        <v>2.5</v>
      </c>
      <c r="EG7" s="25" t="s">
        <v>118</v>
      </c>
      <c r="EH7" s="25"/>
      <c r="EI7" s="25"/>
      <c r="EJ7" s="25"/>
      <c r="EK7" s="27" t="str">
        <f aca="false">IF(OR($EG7="",$EG7="No FRET",N($EH7)&lt;=0,N(IF($AI7="",63,$AI7))&lt;=0),"",1/(1+($EH7/IF($AI7="",63,$AI7))^6))</f>
        <v/>
      </c>
      <c r="EL7" s="27" t="str">
        <f aca="false">IF(OR($EG7="",$EG7="No FRET",N($EI7)&lt;=0,N(IF($AJ7="",51,$AJ7))&lt;=0),"",1/(1+($EI7/IF($AJ7="",51,$AJ7))^6))</f>
        <v/>
      </c>
      <c r="EM7" s="27" t="str">
        <f aca="false">IF(OR($EG7="",$EG7="No FRET",N($EJ7)&lt;=0,N(IF($AK7="",68,$AK7))&lt;=0),"",1/(1+($EJ7/IF($AK7="",68,$AK7))^6))</f>
        <v/>
      </c>
      <c r="EN7" s="28" t="n">
        <f aca="false">IF(OR($A7="",N($DZ7)&lt;=0),"",IF(IF($I7="",5000,$I7)&gt;0,$DZ7/(IF($G7="",5000,$G7)*IF($H7="",5000,$H7)*IF($I7="",5000,$I7))/1E-024/6.022E+023/0.000000001,""))</f>
        <v>0.13284623048821</v>
      </c>
      <c r="EO7" s="29" t="str">
        <f aca="false">IF(Calc!AK7=0,"",IF(Calc!AI7&gt;=1,"✖ saturated (B ≥ freq.)",IF(Calc!AI7&gt;0.1,"⚠ B &gt; 10% of freq.",IF(Calc!AI7=0,"⚠ no brightness",IF(Calc!AJ7&gt;0.1,"⚠ step &gt; 10% of wr",IF(OR(AND(N($EC7)&gt;0,IF($O7="",1,$O7)&lt;3),AND(N($EB7)&gt;0,IF($O7="",1,$O7)&lt;2)),"⚠ uses a colour above Colours = "&amp;IF($O7="",1,$O7)&amp;" (ignored)",IF(AND($EG7&lt;&gt;"",$EG7&lt;&gt;"No FRET",N(IF($O7="",1,$O7))&lt;2),"⚠ FRET needs ≥ 2 colours",IF(AND($EG7&lt;&gt;"",$EG7&lt;&gt;"No FRET",N($EH7)+N($EI7)+N($EJ7)=0),"⚠ FRET: set R","✔ OK"))))))))</f>
        <v>✖ saturated (B ≥ freq.)</v>
      </c>
      <c r="EP7" s="30" t="n">
        <f aca="false">IF($A7="","",SUM(Calc!G7,Calc!M7,Calc!S7,Calc!Y7,Calc!AE7,Calc!AK7))</f>
        <v>6</v>
      </c>
      <c r="EQ7" s="30" t="n">
        <f aca="false">IF($A7="","",N($AN7)+N($BF7)+N($BX7)+N($CP7)+N($DH7)+N($DZ7))</f>
        <v>60</v>
      </c>
      <c r="ER7" s="31" t="n">
        <f aca="false">IF($A7="","",SUM(Calc!B7,Calc!H7,Calc!N7,Calc!T7,Calc!Z7,Calc!AF7))</f>
        <v>126.747204152334</v>
      </c>
      <c r="ES7" s="31" t="n">
        <f aca="false">IF($A7="","",SUM(Calc!C7,Calc!I7,Calc!O7,Calc!U7,Calc!AA7,Calc!AG7))</f>
        <v>117.413092352471</v>
      </c>
      <c r="ET7" s="31" t="n">
        <f aca="false">IF($A7="","",SUM(Calc!D7,Calc!J7,Calc!P7,Calc!V7,Calc!AB7,Calc!AH7))</f>
        <v>58.7065461762353</v>
      </c>
      <c r="EU7" s="27" t="n">
        <f aca="false">IF($A7="","",($ER7+$ES7+$ET7+IF($P7="Yes",N($Q7)*N(IF($O7="",1,$O7)),0))*1000*IF($K7="",10,$K7)/1000000)</f>
        <v>3.0286684268104</v>
      </c>
      <c r="EV7" s="28" t="n">
        <f aca="false">IF($A7="","",$EU7*1000000*12/1000000000)</f>
        <v>0.0363440211217248</v>
      </c>
      <c r="EW7" s="32" t="str">
        <f aca="false">IF($A7="","",IF($EP7=0,"⚠ no species entered",IF(((LEFT($BC7,1)="✖")+(LEFT($BU7,1)="✖")+(LEFT($CM7,1)="✖")+(LEFT($DE7,1)="✖")+(LEFT($DW7,1)="✖")+(LEFT($EO7,1)="✖"))&gt;0,"✖ "&amp;((LEFT($BC7,1)="✖")+(LEFT($BU7,1)="✖")+(LEFT($CM7,1)="✖")+(LEFT($DE7,1)="✖")+(LEFT($DW7,1)="✖")+(LEFT($EO7,1)="✖"))&amp;" species saturated - see the species checks",IF(MIN(IF($G7="",5000,$G7),IF($H7="",5000,$H7))&lt;8*MAX(IF($T7="",200,$T7),IF($U7="",200,$U7),IF($V7="",200,$V7)),"⚠ box too small laterally (&lt; 8·wr)",IF(AND(IF($I7="",5000,$I7)&gt;0,IF($I7="",5000,$I7)&lt;3*MAX(IF($W7="",1000,$W7),IF($X7="",1000,$X7),IF($Y7="",1000,$Y7))),"⚠ box too small axially (&lt; 3·wz)",IF($EV7&gt;8,"⚠ &gt; 8 GB per file: shorten the duration and use several files",IF(((LEFT($BC7,1)="⚠")+(LEFT($BU7,1)="⚠")+(LEFT($CM7,1)="⚠")+(LEFT($DE7,1)="⚠")+(LEFT($DW7,1)="⚠")+(LEFT($EO7,1)="⚠"))&gt;0,"⚠ "&amp;((LEFT($BC7,1)="⚠")+(LEFT($BU7,1)="⚠")+(LEFT($CM7,1)="⚠")+(LEFT($DE7,1)="⚠")+(LEFT($DW7,1)="⚠")+(LEFT($EO7,1)="⚠"))&amp;" species with a warning","✔ OK")))))))</f>
        <v>✖ 6 species saturated - see the species checks</v>
      </c>
      <c r="EX7" s="25" t="n">
        <v>1</v>
      </c>
      <c r="EY7" s="25"/>
      <c r="EZ7" s="25" t="s">
        <v>137</v>
      </c>
      <c r="FA7" s="25"/>
      <c r="FB7" s="25"/>
      <c r="FC7" s="25"/>
      <c r="FD7" s="25"/>
      <c r="FE7" s="26" t="s">
        <v>226</v>
      </c>
    </row>
    <row r="8" customFormat="false" ht="35.05" hidden="false" customHeight="false" outlineLevel="0" collapsed="false">
      <c r="A8" s="25" t="s">
        <v>234</v>
      </c>
      <c r="B8" s="25" t="s">
        <v>235</v>
      </c>
      <c r="C8" s="26" t="s">
        <v>232</v>
      </c>
      <c r="D8" s="26" t="s">
        <v>233</v>
      </c>
      <c r="E8" s="25" t="s">
        <v>225</v>
      </c>
      <c r="F8" s="25" t="n">
        <v>3</v>
      </c>
      <c r="G8" s="25" t="n">
        <v>5000</v>
      </c>
      <c r="H8" s="25" t="n">
        <v>5000</v>
      </c>
      <c r="I8" s="25" t="n">
        <v>5000</v>
      </c>
      <c r="J8" s="25" t="n">
        <v>1000</v>
      </c>
      <c r="K8" s="25" t="n">
        <v>10</v>
      </c>
      <c r="L8" s="25" t="n">
        <v>1</v>
      </c>
      <c r="M8" s="25" t="n">
        <v>60</v>
      </c>
      <c r="N8" s="25" t="s">
        <v>77</v>
      </c>
      <c r="O8" s="25" t="n">
        <v>3</v>
      </c>
      <c r="P8" s="25" t="s">
        <v>215</v>
      </c>
      <c r="Q8" s="25" t="n">
        <v>0.2</v>
      </c>
      <c r="R8" s="25" t="s">
        <v>215</v>
      </c>
      <c r="S8" s="25" t="n">
        <v>250</v>
      </c>
      <c r="T8" s="25" t="n">
        <v>200</v>
      </c>
      <c r="U8" s="25" t="n">
        <v>200</v>
      </c>
      <c r="V8" s="25" t="n">
        <v>200</v>
      </c>
      <c r="W8" s="25" t="n">
        <v>1000</v>
      </c>
      <c r="X8" s="25" t="n">
        <v>1000</v>
      </c>
      <c r="Y8" s="25" t="n">
        <v>1000</v>
      </c>
      <c r="Z8" s="25" t="n">
        <v>0</v>
      </c>
      <c r="AA8" s="25" t="n">
        <v>0</v>
      </c>
      <c r="AB8" s="25" t="n">
        <v>0</v>
      </c>
      <c r="AC8" s="25" t="n">
        <v>0</v>
      </c>
      <c r="AD8" s="25" t="n">
        <v>0</v>
      </c>
      <c r="AE8" s="25" t="n">
        <v>0</v>
      </c>
      <c r="AF8" s="25" t="n">
        <v>0</v>
      </c>
      <c r="AG8" s="25" t="n">
        <v>0</v>
      </c>
      <c r="AH8" s="25" t="n">
        <v>0</v>
      </c>
      <c r="AI8" s="25" t="n">
        <v>63</v>
      </c>
      <c r="AJ8" s="25" t="n">
        <v>51</v>
      </c>
      <c r="AK8" s="25" t="n">
        <v>68</v>
      </c>
      <c r="AL8" s="25" t="s">
        <v>144</v>
      </c>
      <c r="AM8" s="25" t="n">
        <v>400</v>
      </c>
      <c r="AN8" s="25" t="n">
        <v>10</v>
      </c>
      <c r="AO8" s="25" t="n">
        <v>10000</v>
      </c>
      <c r="AP8" s="25" t="n">
        <v>0</v>
      </c>
      <c r="AQ8" s="25" t="n">
        <v>0</v>
      </c>
      <c r="AR8" s="25" t="n">
        <v>4</v>
      </c>
      <c r="AS8" s="25" t="n">
        <v>3</v>
      </c>
      <c r="AT8" s="25" t="n">
        <v>2.5</v>
      </c>
      <c r="AU8" s="25" t="s">
        <v>118</v>
      </c>
      <c r="AV8" s="25"/>
      <c r="AW8" s="25"/>
      <c r="AX8" s="25"/>
      <c r="AY8" s="27" t="str">
        <f aca="false">IF(OR($AU8="",$AU8="No FRET",N($AV8)&lt;=0,N(IF($AI8="",63,$AI8))&lt;=0),"",1/(1+($AV8/IF($AI8="",63,$AI8))^6))</f>
        <v/>
      </c>
      <c r="AZ8" s="27" t="str">
        <f aca="false">IF(OR($AU8="",$AU8="No FRET",N($AW8)&lt;=0,N(IF($AJ8="",51,$AJ8))&lt;=0),"",1/(1+($AW8/IF($AJ8="",51,$AJ8))^6))</f>
        <v/>
      </c>
      <c r="BA8" s="27" t="str">
        <f aca="false">IF(OR($AU8="",$AU8="No FRET",N($AX8)&lt;=0,N(IF($AK8="",68,$AK8))&lt;=0),"",1/(1+($AX8/IF($AK8="",68,$AK8))^6))</f>
        <v/>
      </c>
      <c r="BB8" s="28" t="n">
        <f aca="false">IF(OR($A8="",N($AN8)&lt;=0),"",IF(IF($I8="",5000,$I8)&gt;0,$AN8/(IF($G8="",5000,$G8)*IF($H8="",5000,$H8)*IF($I8="",5000,$I8))/1E-024/6.022E+023/0.000000001,""))</f>
        <v>0.13284623048821</v>
      </c>
      <c r="BC8" s="29" t="str">
        <f aca="false">IF(Calc!G8=0,"",IF(Calc!E8&gt;=1,"✖ saturated (B ≥ freq.)",IF(Calc!E8&gt;0.1,"⚠ B &gt; 10% of freq.",IF(Calc!E8=0,"⚠ no brightness",IF(Calc!F8&gt;0.1,"⚠ step &gt; 10% of wr",IF(OR(AND(N($AQ8)&gt;0,IF($O8="",1,$O8)&lt;3),AND(N($AP8)&gt;0,IF($O8="",1,$O8)&lt;2)),"⚠ uses a colour above Colours = "&amp;IF($O8="",1,$O8)&amp;" (ignored)",IF(AND($AU8&lt;&gt;"",$AU8&lt;&gt;"No FRET",N(IF($O8="",1,$O8))&lt;2),"⚠ FRET needs ≥ 2 colours",IF(AND($AU8&lt;&gt;"",$AU8&lt;&gt;"No FRET",N($AV8)+N($AW8)+N($AX8)=0),"⚠ FRET: set R","✔ OK"))))))))</f>
        <v>✖ saturated (B ≥ freq.)</v>
      </c>
      <c r="BD8" s="25" t="s">
        <v>145</v>
      </c>
      <c r="BE8" s="25" t="n">
        <v>400</v>
      </c>
      <c r="BF8" s="25" t="n">
        <v>10</v>
      </c>
      <c r="BG8" s="25" t="n">
        <v>0</v>
      </c>
      <c r="BH8" s="25" t="n">
        <v>7000</v>
      </c>
      <c r="BI8" s="25" t="n">
        <v>0</v>
      </c>
      <c r="BJ8" s="25" t="n">
        <v>4</v>
      </c>
      <c r="BK8" s="25" t="n">
        <v>3</v>
      </c>
      <c r="BL8" s="25" t="n">
        <v>2.5</v>
      </c>
      <c r="BM8" s="25" t="s">
        <v>118</v>
      </c>
      <c r="BN8" s="25"/>
      <c r="BO8" s="25"/>
      <c r="BP8" s="25"/>
      <c r="BQ8" s="27" t="str">
        <f aca="false">IF(OR($BM8="",$BM8="No FRET",N($BN8)&lt;=0,N(IF($AI8="",63,$AI8))&lt;=0),"",1/(1+($BN8/IF($AI8="",63,$AI8))^6))</f>
        <v/>
      </c>
      <c r="BR8" s="27" t="str">
        <f aca="false">IF(OR($BM8="",$BM8="No FRET",N($BO8)&lt;=0,N(IF($AJ8="",51,$AJ8))&lt;=0),"",1/(1+($BO8/IF($AJ8="",51,$AJ8))^6))</f>
        <v/>
      </c>
      <c r="BS8" s="27" t="str">
        <f aca="false">IF(OR($BM8="",$BM8="No FRET",N($BP8)&lt;=0,N(IF($AK8="",68,$AK8))&lt;=0),"",1/(1+($BP8/IF($AK8="",68,$AK8))^6))</f>
        <v/>
      </c>
      <c r="BT8" s="28" t="n">
        <f aca="false">IF(OR($A8="",N($BF8)&lt;=0),"",IF(IF($I8="",5000,$I8)&gt;0,$BF8/(IF($G8="",5000,$G8)*IF($H8="",5000,$H8)*IF($I8="",5000,$I8))/1E-024/6.022E+023/0.000000001,""))</f>
        <v>0.13284623048821</v>
      </c>
      <c r="BU8" s="29" t="str">
        <f aca="false">IF(Calc!M8=0,"",IF(Calc!K8&gt;=1,"✖ saturated (B ≥ freq.)",IF(Calc!K8&gt;0.1,"⚠ B &gt; 10% of freq.",IF(Calc!K8=0,"⚠ no brightness",IF(Calc!L8&gt;0.1,"⚠ step &gt; 10% of wr",IF(OR(AND(N($BI8)&gt;0,IF($O8="",1,$O8)&lt;3),AND(N($BH8)&gt;0,IF($O8="",1,$O8)&lt;2)),"⚠ uses a colour above Colours = "&amp;IF($O8="",1,$O8)&amp;" (ignored)",IF(AND($BM8&lt;&gt;"",$BM8&lt;&gt;"No FRET",N(IF($O8="",1,$O8))&lt;2),"⚠ FRET needs ≥ 2 colours",IF(AND($BM8&lt;&gt;"",$BM8&lt;&gt;"No FRET",N($BN8)+N($BO8)+N($BP8)=0),"⚠ FRET: set R","✔ OK"))))))))</f>
        <v>✖ saturated (B ≥ freq.)</v>
      </c>
      <c r="BV8" s="25" t="s">
        <v>146</v>
      </c>
      <c r="BW8" s="25" t="n">
        <v>400</v>
      </c>
      <c r="BX8" s="25" t="n">
        <v>10</v>
      </c>
      <c r="BY8" s="25" t="n">
        <v>0</v>
      </c>
      <c r="BZ8" s="25" t="n">
        <v>0</v>
      </c>
      <c r="CA8" s="25" t="n">
        <v>5000</v>
      </c>
      <c r="CB8" s="25" t="n">
        <v>4</v>
      </c>
      <c r="CC8" s="25" t="n">
        <v>3</v>
      </c>
      <c r="CD8" s="25" t="n">
        <v>2.5</v>
      </c>
      <c r="CE8" s="25" t="s">
        <v>118</v>
      </c>
      <c r="CF8" s="25"/>
      <c r="CG8" s="25"/>
      <c r="CH8" s="25"/>
      <c r="CI8" s="27" t="str">
        <f aca="false">IF(OR($CE8="",$CE8="No FRET",N($CF8)&lt;=0,N(IF($AI8="",63,$AI8))&lt;=0),"",1/(1+($CF8/IF($AI8="",63,$AI8))^6))</f>
        <v/>
      </c>
      <c r="CJ8" s="27" t="str">
        <f aca="false">IF(OR($CE8="",$CE8="No FRET",N($CG8)&lt;=0,N(IF($AJ8="",51,$AJ8))&lt;=0),"",1/(1+($CG8/IF($AJ8="",51,$AJ8))^6))</f>
        <v/>
      </c>
      <c r="CK8" s="27" t="str">
        <f aca="false">IF(OR($CE8="",$CE8="No FRET",N($CH8)&lt;=0,N(IF($AK8="",68,$AK8))&lt;=0),"",1/(1+($CH8/IF($AK8="",68,$AK8))^6))</f>
        <v/>
      </c>
      <c r="CL8" s="28" t="n">
        <f aca="false">IF(OR($A8="",N($BX8)&lt;=0),"",IF(IF($I8="",5000,$I8)&gt;0,$BX8/(IF($G8="",5000,$G8)*IF($H8="",5000,$H8)*IF($I8="",5000,$I8))/1E-024/6.022E+023/0.000000001,""))</f>
        <v>0.13284623048821</v>
      </c>
      <c r="CM8" s="29" t="str">
        <f aca="false">IF(Calc!S8=0,"",IF(Calc!Q8&gt;=1,"✖ saturated (B ≥ freq.)",IF(Calc!Q8&gt;0.1,"⚠ B &gt; 10% of freq.",IF(Calc!Q8=0,"⚠ no brightness",IF(Calc!R8&gt;0.1,"⚠ step &gt; 10% of wr",IF(OR(AND(N($CA8)&gt;0,IF($O8="",1,$O8)&lt;3),AND(N($BZ8)&gt;0,IF($O8="",1,$O8)&lt;2)),"⚠ uses a colour above Colours = "&amp;IF($O8="",1,$O8)&amp;" (ignored)",IF(AND($CE8&lt;&gt;"",$CE8&lt;&gt;"No FRET",N(IF($O8="",1,$O8))&lt;2),"⚠ FRET needs ≥ 2 colours",IF(AND($CE8&lt;&gt;"",$CE8&lt;&gt;"No FRET",N($CF8)+N($CG8)+N($CH8)=0),"⚠ FRET: set R","✔ OK"))))))))</f>
        <v>✖ saturated (B ≥ freq.)</v>
      </c>
      <c r="CN8" s="25" t="s">
        <v>147</v>
      </c>
      <c r="CO8" s="25" t="n">
        <v>33</v>
      </c>
      <c r="CP8" s="25" t="n">
        <v>10</v>
      </c>
      <c r="CQ8" s="25" t="n">
        <v>10000</v>
      </c>
      <c r="CR8" s="25" t="n">
        <v>7000</v>
      </c>
      <c r="CS8" s="25" t="n">
        <v>5000</v>
      </c>
      <c r="CT8" s="25" t="n">
        <v>4</v>
      </c>
      <c r="CU8" s="25" t="n">
        <v>3</v>
      </c>
      <c r="CV8" s="25" t="n">
        <v>2.5</v>
      </c>
      <c r="CW8" s="25" t="s">
        <v>118</v>
      </c>
      <c r="CX8" s="25"/>
      <c r="CY8" s="25"/>
      <c r="CZ8" s="25"/>
      <c r="DA8" s="27" t="str">
        <f aca="false">IF(OR($CW8="",$CW8="No FRET",N($CX8)&lt;=0,N(IF($AI8="",63,$AI8))&lt;=0),"",1/(1+($CX8/IF($AI8="",63,$AI8))^6))</f>
        <v/>
      </c>
      <c r="DB8" s="27" t="str">
        <f aca="false">IF(OR($CW8="",$CW8="No FRET",N($CY8)&lt;=0,N(IF($AJ8="",51,$AJ8))&lt;=0),"",1/(1+($CY8/IF($AJ8="",51,$AJ8))^6))</f>
        <v/>
      </c>
      <c r="DC8" s="27" t="str">
        <f aca="false">IF(OR($CW8="",$CW8="No FRET",N($CZ8)&lt;=0,N(IF($AK8="",68,$AK8))&lt;=0),"",1/(1+($CZ8/IF($AK8="",68,$AK8))^6))</f>
        <v/>
      </c>
      <c r="DD8" s="28" t="n">
        <f aca="false">IF(OR($A8="",N($CP8)&lt;=0),"",IF(IF($I8="",5000,$I8)&gt;0,$CP8/(IF($G8="",5000,$G8)*IF($H8="",5000,$H8)*IF($I8="",5000,$I8))/1E-024/6.022E+023/0.000000001,""))</f>
        <v>0.13284623048821</v>
      </c>
      <c r="DE8" s="29" t="str">
        <f aca="false">IF(Calc!Y8=0,"",IF(Calc!W8&gt;=1,"✖ saturated (B ≥ freq.)",IF(Calc!W8&gt;0.1,"⚠ B &gt; 10% of freq.",IF(Calc!W8=0,"⚠ no brightness",IF(Calc!X8&gt;0.1,"⚠ step &gt; 10% of wr",IF(OR(AND(N($CS8)&gt;0,IF($O8="",1,$O8)&lt;3),AND(N($CR8)&gt;0,IF($O8="",1,$O8)&lt;2)),"⚠ uses a colour above Colours = "&amp;IF($O8="",1,$O8)&amp;" (ignored)",IF(AND($CW8&lt;&gt;"",$CW8&lt;&gt;"No FRET",N(IF($O8="",1,$O8))&lt;2),"⚠ FRET needs ≥ 2 colours",IF(AND($CW8&lt;&gt;"",$CW8&lt;&gt;"No FRET",N($CX8)+N($CY8)+N($CZ8)=0),"⚠ FRET: set R","✔ OK"))))))))</f>
        <v>✖ saturated (B ≥ freq.)</v>
      </c>
      <c r="DF8" s="25" t="s">
        <v>148</v>
      </c>
      <c r="DG8" s="25" t="n">
        <v>33</v>
      </c>
      <c r="DH8" s="25" t="n">
        <v>10</v>
      </c>
      <c r="DI8" s="25" t="n">
        <v>20000</v>
      </c>
      <c r="DJ8" s="25" t="n">
        <v>7000</v>
      </c>
      <c r="DK8" s="25" t="n">
        <v>0</v>
      </c>
      <c r="DL8" s="25" t="n">
        <v>4</v>
      </c>
      <c r="DM8" s="25" t="n">
        <v>3</v>
      </c>
      <c r="DN8" s="25" t="n">
        <v>2.5</v>
      </c>
      <c r="DO8" s="25" t="s">
        <v>118</v>
      </c>
      <c r="DP8" s="25"/>
      <c r="DQ8" s="25"/>
      <c r="DR8" s="25"/>
      <c r="DS8" s="27" t="str">
        <f aca="false">IF(OR($DO8="",$DO8="No FRET",N($DP8)&lt;=0,N(IF($AI8="",63,$AI8))&lt;=0),"",1/(1+($DP8/IF($AI8="",63,$AI8))^6))</f>
        <v/>
      </c>
      <c r="DT8" s="27" t="str">
        <f aca="false">IF(OR($DO8="",$DO8="No FRET",N($DQ8)&lt;=0,N(IF($AJ8="",51,$AJ8))&lt;=0),"",1/(1+($DQ8/IF($AJ8="",51,$AJ8))^6))</f>
        <v/>
      </c>
      <c r="DU8" s="27" t="str">
        <f aca="false">IF(OR($DO8="",$DO8="No FRET",N($DR8)&lt;=0,N(IF($AK8="",68,$AK8))&lt;=0),"",1/(1+($DR8/IF($AK8="",68,$AK8))^6))</f>
        <v/>
      </c>
      <c r="DV8" s="28" t="n">
        <f aca="false">IF(OR($A8="",N($DH8)&lt;=0),"",IF(IF($I8="",5000,$I8)&gt;0,$DH8/(IF($G8="",5000,$G8)*IF($H8="",5000,$H8)*IF($I8="",5000,$I8))/1E-024/6.022E+023/0.000000001,""))</f>
        <v>0.13284623048821</v>
      </c>
      <c r="DW8" s="29" t="str">
        <f aca="false">IF(Calc!AE8=0,"",IF(Calc!AC8&gt;=1,"✖ saturated (B ≥ freq.)",IF(Calc!AC8&gt;0.1,"⚠ B &gt; 10% of freq.",IF(Calc!AC8=0,"⚠ no brightness",IF(Calc!AD8&gt;0.1,"⚠ step &gt; 10% of wr",IF(OR(AND(N($DK8)&gt;0,IF($O8="",1,$O8)&lt;3),AND(N($DJ8)&gt;0,IF($O8="",1,$O8)&lt;2)),"⚠ uses a colour above Colours = "&amp;IF($O8="",1,$O8)&amp;" (ignored)",IF(AND($DO8&lt;&gt;"",$DO8&lt;&gt;"No FRET",N(IF($O8="",1,$O8))&lt;2),"⚠ FRET needs ≥ 2 colours",IF(AND($DO8&lt;&gt;"",$DO8&lt;&gt;"No FRET",N($DP8)+N($DQ8)+N($DR8)=0),"⚠ FRET: set R","✔ OK"))))))))</f>
        <v>✖ saturated (B ≥ freq.)</v>
      </c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7" t="str">
        <f aca="false">IF(OR($EG8="",$EG8="No FRET",N($EH8)&lt;=0,N(IF($AI8="",63,$AI8))&lt;=0),"",1/(1+($EH8/IF($AI8="",63,$AI8))^6))</f>
        <v/>
      </c>
      <c r="EL8" s="27" t="str">
        <f aca="false">IF(OR($EG8="",$EG8="No FRET",N($EI8)&lt;=0,N(IF($AJ8="",51,$AJ8))&lt;=0),"",1/(1+($EI8/IF($AJ8="",51,$AJ8))^6))</f>
        <v/>
      </c>
      <c r="EM8" s="27" t="str">
        <f aca="false">IF(OR($EG8="",$EG8="No FRET",N($EJ8)&lt;=0,N(IF($AK8="",68,$AK8))&lt;=0),"",1/(1+($EJ8/IF($AK8="",68,$AK8))^6))</f>
        <v/>
      </c>
      <c r="EN8" s="28" t="str">
        <f aca="false">IF(OR($A8="",N($DZ8)&lt;=0),"",IF(IF($I8="",5000,$I8)&gt;0,$DZ8/(IF($G8="",5000,$G8)*IF($H8="",5000,$H8)*IF($I8="",5000,$I8))/1E-024/6.022E+023/0.000000001,""))</f>
        <v/>
      </c>
      <c r="EO8" s="29" t="str">
        <f aca="false">IF(Calc!AK8=0,"",IF(Calc!AI8&gt;=1,"✖ saturated (B ≥ freq.)",IF(Calc!AI8&gt;0.1,"⚠ B &gt; 10% of freq.",IF(Calc!AI8=0,"⚠ no brightness",IF(Calc!AJ8&gt;0.1,"⚠ step &gt; 10% of wr",IF(OR(AND(N($EC8)&gt;0,IF($O8="",1,$O8)&lt;3),AND(N($EB8)&gt;0,IF($O8="",1,$O8)&lt;2)),"⚠ uses a colour above Colours = "&amp;IF($O8="",1,$O8)&amp;" (ignored)",IF(AND($EG8&lt;&gt;"",$EG8&lt;&gt;"No FRET",N(IF($O8="",1,$O8))&lt;2),"⚠ FRET needs ≥ 2 colours",IF(AND($EG8&lt;&gt;"",$EG8&lt;&gt;"No FRET",N($EH8)+N($EI8)+N($EJ8)=0),"⚠ FRET: set R","✔ OK"))))))))</f>
        <v/>
      </c>
      <c r="EP8" s="30" t="n">
        <f aca="false">IF($A8="","",SUM(Calc!G8,Calc!M8,Calc!S8,Calc!Y8,Calc!AE8,Calc!AK8))</f>
        <v>5</v>
      </c>
      <c r="EQ8" s="30" t="n">
        <f aca="false">IF($A8="","",N($AN8)+N($BF8)+N($BX8)+N($CP8)+N($DH8)+N($DZ8))</f>
        <v>50</v>
      </c>
      <c r="ER8" s="31" t="n">
        <f aca="false">IF($A8="","",SUM(Calc!B8,Calc!H8,Calc!N8,Calc!T8,Calc!Z8,Calc!AF8))</f>
        <v>97.393931064216</v>
      </c>
      <c r="ES8" s="31" t="n">
        <f aca="false">IF($A8="","",SUM(Calc!C8,Calc!I8,Calc!O8,Calc!U8,Calc!AA8,Calc!AG8))</f>
        <v>74.7600966767359</v>
      </c>
      <c r="ET8" s="31" t="n">
        <f aca="false">IF($A8="","",SUM(Calc!D8,Calc!J8,Calc!P8,Calc!V8,Calc!AB8,Calc!AH8))</f>
        <v>41.9747754151457</v>
      </c>
      <c r="EU8" s="27" t="n">
        <f aca="false">IF($A8="","",($ER8+$ES8+$ET8+IF($P8="Yes",N($Q8)*N(IF($O8="",1,$O8)),0))*1000*IF($K8="",10,$K8)/1000000)</f>
        <v>2.14128803156098</v>
      </c>
      <c r="EV8" s="28" t="n">
        <f aca="false">IF($A8="","",$EU8*1000000*12/1000000000)</f>
        <v>0.0256954563787317</v>
      </c>
      <c r="EW8" s="32" t="str">
        <f aca="false">IF($A8="","",IF($EP8=0,"⚠ no species entered",IF(((LEFT($BC8,1)="✖")+(LEFT($BU8,1)="✖")+(LEFT($CM8,1)="✖")+(LEFT($DE8,1)="✖")+(LEFT($DW8,1)="✖")+(LEFT($EO8,1)="✖"))&gt;0,"✖ "&amp;((LEFT($BC8,1)="✖")+(LEFT($BU8,1)="✖")+(LEFT($CM8,1)="✖")+(LEFT($DE8,1)="✖")+(LEFT($DW8,1)="✖")+(LEFT($EO8,1)="✖"))&amp;" species saturated - see the species checks",IF(MIN(IF($G8="",5000,$G8),IF($H8="",5000,$H8))&lt;8*MAX(IF($T8="",200,$T8),IF($U8="",200,$U8),IF($V8="",200,$V8)),"⚠ box too small laterally (&lt; 8·wr)",IF(AND(IF($I8="",5000,$I8)&gt;0,IF($I8="",5000,$I8)&lt;3*MAX(IF($W8="",1000,$W8),IF($X8="",1000,$X8),IF($Y8="",1000,$Y8))),"⚠ box too small axially (&lt; 3·wz)",IF($EV8&gt;8,"⚠ &gt; 8 GB per file: shorten the duration and use several files",IF(((LEFT($BC8,1)="⚠")+(LEFT($BU8,1)="⚠")+(LEFT($CM8,1)="⚠")+(LEFT($DE8,1)="⚠")+(LEFT($DW8,1)="⚠")+(LEFT($EO8,1)="⚠"))&gt;0,"⚠ "&amp;((LEFT($BC8,1)="⚠")+(LEFT($BU8,1)="⚠")+(LEFT($CM8,1)="⚠")+(LEFT($DE8,1)="⚠")+(LEFT($DW8,1)="⚠")+(LEFT($EO8,1)="⚠"))&amp;" species with a warning","✔ OK")))))))</f>
        <v>✖ 5 species saturated - see the species checks</v>
      </c>
      <c r="EX8" s="25" t="n">
        <v>1</v>
      </c>
      <c r="EY8" s="25"/>
      <c r="EZ8" s="25" t="s">
        <v>137</v>
      </c>
      <c r="FA8" s="25"/>
      <c r="FB8" s="25"/>
      <c r="FC8" s="25"/>
      <c r="FD8" s="25"/>
      <c r="FE8" s="26" t="s">
        <v>226</v>
      </c>
    </row>
    <row r="9" customFormat="false" ht="35.05" hidden="false" customHeight="false" outlineLevel="0" collapsed="false">
      <c r="A9" s="25" t="s">
        <v>236</v>
      </c>
      <c r="B9" s="25" t="s">
        <v>237</v>
      </c>
      <c r="C9" s="26" t="s">
        <v>238</v>
      </c>
      <c r="D9" s="26" t="s">
        <v>233</v>
      </c>
      <c r="E9" s="25" t="s">
        <v>225</v>
      </c>
      <c r="F9" s="25" t="n">
        <v>3</v>
      </c>
      <c r="G9" s="25" t="n">
        <v>5000</v>
      </c>
      <c r="H9" s="25" t="n">
        <v>5000</v>
      </c>
      <c r="I9" s="25" t="n">
        <v>5000</v>
      </c>
      <c r="J9" s="25" t="n">
        <v>1000</v>
      </c>
      <c r="K9" s="25" t="n">
        <v>10</v>
      </c>
      <c r="L9" s="25" t="n">
        <v>1</v>
      </c>
      <c r="M9" s="25" t="n">
        <v>60</v>
      </c>
      <c r="N9" s="25" t="s">
        <v>77</v>
      </c>
      <c r="O9" s="25" t="n">
        <v>3</v>
      </c>
      <c r="P9" s="25" t="s">
        <v>215</v>
      </c>
      <c r="Q9" s="25" t="n">
        <v>0.2</v>
      </c>
      <c r="R9" s="25" t="s">
        <v>215</v>
      </c>
      <c r="S9" s="25" t="n">
        <v>250</v>
      </c>
      <c r="T9" s="25" t="n">
        <v>200</v>
      </c>
      <c r="U9" s="25" t="n">
        <v>200</v>
      </c>
      <c r="V9" s="25" t="n">
        <v>200</v>
      </c>
      <c r="W9" s="25" t="n">
        <v>1000</v>
      </c>
      <c r="X9" s="25" t="n">
        <v>1000</v>
      </c>
      <c r="Y9" s="25" t="n">
        <v>1000</v>
      </c>
      <c r="Z9" s="25" t="n">
        <v>0</v>
      </c>
      <c r="AA9" s="25" t="n">
        <v>0</v>
      </c>
      <c r="AB9" s="25" t="n">
        <v>0</v>
      </c>
      <c r="AC9" s="25" t="n">
        <v>0</v>
      </c>
      <c r="AD9" s="25" t="n">
        <v>0</v>
      </c>
      <c r="AE9" s="25" t="n">
        <v>0</v>
      </c>
      <c r="AF9" s="25" t="n">
        <v>0</v>
      </c>
      <c r="AG9" s="25" t="n">
        <v>0</v>
      </c>
      <c r="AH9" s="25" t="n">
        <v>0</v>
      </c>
      <c r="AI9" s="25" t="n">
        <v>63</v>
      </c>
      <c r="AJ9" s="25" t="n">
        <v>51</v>
      </c>
      <c r="AK9" s="25" t="n">
        <v>68</v>
      </c>
      <c r="AL9" s="25" t="s">
        <v>144</v>
      </c>
      <c r="AM9" s="25" t="n">
        <v>400</v>
      </c>
      <c r="AN9" s="25" t="n">
        <v>10</v>
      </c>
      <c r="AO9" s="25" t="n">
        <v>10000</v>
      </c>
      <c r="AP9" s="25" t="n">
        <v>0</v>
      </c>
      <c r="AQ9" s="25" t="n">
        <v>0</v>
      </c>
      <c r="AR9" s="25" t="n">
        <v>4</v>
      </c>
      <c r="AS9" s="25" t="n">
        <v>3</v>
      </c>
      <c r="AT9" s="25" t="n">
        <v>2.5</v>
      </c>
      <c r="AU9" s="25" t="s">
        <v>118</v>
      </c>
      <c r="AV9" s="25"/>
      <c r="AW9" s="25"/>
      <c r="AX9" s="25"/>
      <c r="AY9" s="27" t="str">
        <f aca="false">IF(OR($AU9="",$AU9="No FRET",N($AV9)&lt;=0,N(IF($AI9="",63,$AI9))&lt;=0),"",1/(1+($AV9/IF($AI9="",63,$AI9))^6))</f>
        <v/>
      </c>
      <c r="AZ9" s="27" t="str">
        <f aca="false">IF(OR($AU9="",$AU9="No FRET",N($AW9)&lt;=0,N(IF($AJ9="",51,$AJ9))&lt;=0),"",1/(1+($AW9/IF($AJ9="",51,$AJ9))^6))</f>
        <v/>
      </c>
      <c r="BA9" s="27" t="str">
        <f aca="false">IF(OR($AU9="",$AU9="No FRET",N($AX9)&lt;=0,N(IF($AK9="",68,$AK9))&lt;=0),"",1/(1+($AX9/IF($AK9="",68,$AK9))^6))</f>
        <v/>
      </c>
      <c r="BB9" s="28" t="n">
        <f aca="false">IF(OR($A9="",N($AN9)&lt;=0),"",IF(IF($I9="",5000,$I9)&gt;0,$AN9/(IF($G9="",5000,$G9)*IF($H9="",5000,$H9)*IF($I9="",5000,$I9))/1E-024/6.022E+023/0.000000001,""))</f>
        <v>0.13284623048821</v>
      </c>
      <c r="BC9" s="29" t="str">
        <f aca="false">IF(Calc!G9=0,"",IF(Calc!E9&gt;=1,"✖ saturated (B ≥ freq.)",IF(Calc!E9&gt;0.1,"⚠ B &gt; 10% of freq.",IF(Calc!E9=0,"⚠ no brightness",IF(Calc!F9&gt;0.1,"⚠ step &gt; 10% of wr",IF(OR(AND(N($AQ9)&gt;0,IF($O9="",1,$O9)&lt;3),AND(N($AP9)&gt;0,IF($O9="",1,$O9)&lt;2)),"⚠ uses a colour above Colours = "&amp;IF($O9="",1,$O9)&amp;" (ignored)",IF(AND($AU9&lt;&gt;"",$AU9&lt;&gt;"No FRET",N(IF($O9="",1,$O9))&lt;2),"⚠ FRET needs ≥ 2 colours",IF(AND($AU9&lt;&gt;"",$AU9&lt;&gt;"No FRET",N($AV9)+N($AW9)+N($AX9)=0),"⚠ FRET: set R","✔ OK"))))))))</f>
        <v>✖ saturated (B ≥ freq.)</v>
      </c>
      <c r="BD9" s="25" t="s">
        <v>145</v>
      </c>
      <c r="BE9" s="25" t="n">
        <v>400</v>
      </c>
      <c r="BF9" s="25" t="n">
        <v>10</v>
      </c>
      <c r="BG9" s="25" t="n">
        <v>0</v>
      </c>
      <c r="BH9" s="25" t="n">
        <v>7000</v>
      </c>
      <c r="BI9" s="25" t="n">
        <v>0</v>
      </c>
      <c r="BJ9" s="25" t="n">
        <v>4</v>
      </c>
      <c r="BK9" s="25" t="n">
        <v>3</v>
      </c>
      <c r="BL9" s="25" t="n">
        <v>2.5</v>
      </c>
      <c r="BM9" s="25" t="s">
        <v>118</v>
      </c>
      <c r="BN9" s="25"/>
      <c r="BO9" s="25"/>
      <c r="BP9" s="25"/>
      <c r="BQ9" s="27" t="str">
        <f aca="false">IF(OR($BM9="",$BM9="No FRET",N($BN9)&lt;=0,N(IF($AI9="",63,$AI9))&lt;=0),"",1/(1+($BN9/IF($AI9="",63,$AI9))^6))</f>
        <v/>
      </c>
      <c r="BR9" s="27" t="str">
        <f aca="false">IF(OR($BM9="",$BM9="No FRET",N($BO9)&lt;=0,N(IF($AJ9="",51,$AJ9))&lt;=0),"",1/(1+($BO9/IF($AJ9="",51,$AJ9))^6))</f>
        <v/>
      </c>
      <c r="BS9" s="27" t="str">
        <f aca="false">IF(OR($BM9="",$BM9="No FRET",N($BP9)&lt;=0,N(IF($AK9="",68,$AK9))&lt;=0),"",1/(1+($BP9/IF($AK9="",68,$AK9))^6))</f>
        <v/>
      </c>
      <c r="BT9" s="28" t="n">
        <f aca="false">IF(OR($A9="",N($BF9)&lt;=0),"",IF(IF($I9="",5000,$I9)&gt;0,$BF9/(IF($G9="",5000,$G9)*IF($H9="",5000,$H9)*IF($I9="",5000,$I9))/1E-024/6.022E+023/0.000000001,""))</f>
        <v>0.13284623048821</v>
      </c>
      <c r="BU9" s="29" t="str">
        <f aca="false">IF(Calc!M9=0,"",IF(Calc!K9&gt;=1,"✖ saturated (B ≥ freq.)",IF(Calc!K9&gt;0.1,"⚠ B &gt; 10% of freq.",IF(Calc!K9=0,"⚠ no brightness",IF(Calc!L9&gt;0.1,"⚠ step &gt; 10% of wr",IF(OR(AND(N($BI9)&gt;0,IF($O9="",1,$O9)&lt;3),AND(N($BH9)&gt;0,IF($O9="",1,$O9)&lt;2)),"⚠ uses a colour above Colours = "&amp;IF($O9="",1,$O9)&amp;" (ignored)",IF(AND($BM9&lt;&gt;"",$BM9&lt;&gt;"No FRET",N(IF($O9="",1,$O9))&lt;2),"⚠ FRET needs ≥ 2 colours",IF(AND($BM9&lt;&gt;"",$BM9&lt;&gt;"No FRET",N($BN9)+N($BO9)+N($BP9)=0),"⚠ FRET: set R","✔ OK"))))))))</f>
        <v>✖ saturated (B ≥ freq.)</v>
      </c>
      <c r="BV9" s="25" t="s">
        <v>146</v>
      </c>
      <c r="BW9" s="25" t="n">
        <v>400</v>
      </c>
      <c r="BX9" s="25" t="n">
        <v>10</v>
      </c>
      <c r="BY9" s="25" t="n">
        <v>0</v>
      </c>
      <c r="BZ9" s="25" t="n">
        <v>0</v>
      </c>
      <c r="CA9" s="25" t="n">
        <v>5000</v>
      </c>
      <c r="CB9" s="25" t="n">
        <v>4</v>
      </c>
      <c r="CC9" s="25" t="n">
        <v>3</v>
      </c>
      <c r="CD9" s="25" t="n">
        <v>2.5</v>
      </c>
      <c r="CE9" s="25" t="s">
        <v>118</v>
      </c>
      <c r="CF9" s="25"/>
      <c r="CG9" s="25"/>
      <c r="CH9" s="25"/>
      <c r="CI9" s="27" t="str">
        <f aca="false">IF(OR($CE9="",$CE9="No FRET",N($CF9)&lt;=0,N(IF($AI9="",63,$AI9))&lt;=0),"",1/(1+($CF9/IF($AI9="",63,$AI9))^6))</f>
        <v/>
      </c>
      <c r="CJ9" s="27" t="str">
        <f aca="false">IF(OR($CE9="",$CE9="No FRET",N($CG9)&lt;=0,N(IF($AJ9="",51,$AJ9))&lt;=0),"",1/(1+($CG9/IF($AJ9="",51,$AJ9))^6))</f>
        <v/>
      </c>
      <c r="CK9" s="27" t="str">
        <f aca="false">IF(OR($CE9="",$CE9="No FRET",N($CH9)&lt;=0,N(IF($AK9="",68,$AK9))&lt;=0),"",1/(1+($CH9/IF($AK9="",68,$AK9))^6))</f>
        <v/>
      </c>
      <c r="CL9" s="28" t="n">
        <f aca="false">IF(OR($A9="",N($BX9)&lt;=0),"",IF(IF($I9="",5000,$I9)&gt;0,$BX9/(IF($G9="",5000,$G9)*IF($H9="",5000,$H9)*IF($I9="",5000,$I9))/1E-024/6.022E+023/0.000000001,""))</f>
        <v>0.13284623048821</v>
      </c>
      <c r="CM9" s="29" t="str">
        <f aca="false">IF(Calc!S9=0,"",IF(Calc!Q9&gt;=1,"✖ saturated (B ≥ freq.)",IF(Calc!Q9&gt;0.1,"⚠ B &gt; 10% of freq.",IF(Calc!Q9=0,"⚠ no brightness",IF(Calc!R9&gt;0.1,"⚠ step &gt; 10% of wr",IF(OR(AND(N($CA9)&gt;0,IF($O9="",1,$O9)&lt;3),AND(N($BZ9)&gt;0,IF($O9="",1,$O9)&lt;2)),"⚠ uses a colour above Colours = "&amp;IF($O9="",1,$O9)&amp;" (ignored)",IF(AND($CE9&lt;&gt;"",$CE9&lt;&gt;"No FRET",N(IF($O9="",1,$O9))&lt;2),"⚠ FRET needs ≥ 2 colours",IF(AND($CE9&lt;&gt;"",$CE9&lt;&gt;"No FRET",N($CF9)+N($CG9)+N($CH9)=0),"⚠ FRET: set R","✔ OK"))))))))</f>
        <v>✖ saturated (B ≥ freq.)</v>
      </c>
      <c r="CN9" s="25" t="s">
        <v>147</v>
      </c>
      <c r="CO9" s="25" t="n">
        <v>33</v>
      </c>
      <c r="CP9" s="25" t="n">
        <v>10</v>
      </c>
      <c r="CQ9" s="25" t="n">
        <v>20000</v>
      </c>
      <c r="CR9" s="25" t="n">
        <v>7000</v>
      </c>
      <c r="CS9" s="25" t="n">
        <v>0</v>
      </c>
      <c r="CT9" s="25" t="n">
        <v>4</v>
      </c>
      <c r="CU9" s="25" t="n">
        <v>3</v>
      </c>
      <c r="CV9" s="25" t="n">
        <v>2.5</v>
      </c>
      <c r="CW9" s="25" t="s">
        <v>118</v>
      </c>
      <c r="CX9" s="25"/>
      <c r="CY9" s="25"/>
      <c r="CZ9" s="25"/>
      <c r="DA9" s="27" t="str">
        <f aca="false">IF(OR($CW9="",$CW9="No FRET",N($CX9)&lt;=0,N(IF($AI9="",63,$AI9))&lt;=0),"",1/(1+($CX9/IF($AI9="",63,$AI9))^6))</f>
        <v/>
      </c>
      <c r="DB9" s="27" t="str">
        <f aca="false">IF(OR($CW9="",$CW9="No FRET",N($CY9)&lt;=0,N(IF($AJ9="",51,$AJ9))&lt;=0),"",1/(1+($CY9/IF($AJ9="",51,$AJ9))^6))</f>
        <v/>
      </c>
      <c r="DC9" s="27" t="str">
        <f aca="false">IF(OR($CW9="",$CW9="No FRET",N($CZ9)&lt;=0,N(IF($AK9="",68,$AK9))&lt;=0),"",1/(1+($CZ9/IF($AK9="",68,$AK9))^6))</f>
        <v/>
      </c>
      <c r="DD9" s="28" t="n">
        <f aca="false">IF(OR($A9="",N($CP9)&lt;=0),"",IF(IF($I9="",5000,$I9)&gt;0,$CP9/(IF($G9="",5000,$G9)*IF($H9="",5000,$H9)*IF($I9="",5000,$I9))/1E-024/6.022E+023/0.000000001,""))</f>
        <v>0.13284623048821</v>
      </c>
      <c r="DE9" s="29" t="str">
        <f aca="false">IF(Calc!Y9=0,"",IF(Calc!W9&gt;=1,"✖ saturated (B ≥ freq.)",IF(Calc!W9&gt;0.1,"⚠ B &gt; 10% of freq.",IF(Calc!W9=0,"⚠ no brightness",IF(Calc!X9&gt;0.1,"⚠ step &gt; 10% of wr",IF(OR(AND(N($CS9)&gt;0,IF($O9="",1,$O9)&lt;3),AND(N($CR9)&gt;0,IF($O9="",1,$O9)&lt;2)),"⚠ uses a colour above Colours = "&amp;IF($O9="",1,$O9)&amp;" (ignored)",IF(AND($CW9&lt;&gt;"",$CW9&lt;&gt;"No FRET",N(IF($O9="",1,$O9))&lt;2),"⚠ FRET needs ≥ 2 colours",IF(AND($CW9&lt;&gt;"",$CW9&lt;&gt;"No FRET",N($CX9)+N($CY9)+N($CZ9)=0),"⚠ FRET: set R","✔ OK"))))))))</f>
        <v>✖ saturated (B ≥ freq.)</v>
      </c>
      <c r="DF9" s="25" t="s">
        <v>148</v>
      </c>
      <c r="DG9" s="25" t="n">
        <v>33</v>
      </c>
      <c r="DH9" s="25" t="n">
        <v>10</v>
      </c>
      <c r="DI9" s="25" t="n">
        <v>10000</v>
      </c>
      <c r="DJ9" s="25" t="n">
        <v>7000</v>
      </c>
      <c r="DK9" s="25" t="n">
        <v>5000</v>
      </c>
      <c r="DL9" s="25" t="n">
        <v>4</v>
      </c>
      <c r="DM9" s="25" t="n">
        <v>3</v>
      </c>
      <c r="DN9" s="25" t="n">
        <v>2.5</v>
      </c>
      <c r="DO9" s="25" t="s">
        <v>118</v>
      </c>
      <c r="DP9" s="25"/>
      <c r="DQ9" s="25"/>
      <c r="DR9" s="25"/>
      <c r="DS9" s="27" t="str">
        <f aca="false">IF(OR($DO9="",$DO9="No FRET",N($DP9)&lt;=0,N(IF($AI9="",63,$AI9))&lt;=0),"",1/(1+($DP9/IF($AI9="",63,$AI9))^6))</f>
        <v/>
      </c>
      <c r="DT9" s="27" t="str">
        <f aca="false">IF(OR($DO9="",$DO9="No FRET",N($DQ9)&lt;=0,N(IF($AJ9="",51,$AJ9))&lt;=0),"",1/(1+($DQ9/IF($AJ9="",51,$AJ9))^6))</f>
        <v/>
      </c>
      <c r="DU9" s="27" t="str">
        <f aca="false">IF(OR($DO9="",$DO9="No FRET",N($DR9)&lt;=0,N(IF($AK9="",68,$AK9))&lt;=0),"",1/(1+($DR9/IF($AK9="",68,$AK9))^6))</f>
        <v/>
      </c>
      <c r="DV9" s="28" t="n">
        <f aca="false">IF(OR($A9="",N($DH9)&lt;=0),"",IF(IF($I9="",5000,$I9)&gt;0,$DH9/(IF($G9="",5000,$G9)*IF($H9="",5000,$H9)*IF($I9="",5000,$I9))/1E-024/6.022E+023/0.000000001,""))</f>
        <v>0.13284623048821</v>
      </c>
      <c r="DW9" s="29" t="str">
        <f aca="false">IF(Calc!AE9=0,"",IF(Calc!AC9&gt;=1,"✖ saturated (B ≥ freq.)",IF(Calc!AC9&gt;0.1,"⚠ B &gt; 10% of freq.",IF(Calc!AC9=0,"⚠ no brightness",IF(Calc!AD9&gt;0.1,"⚠ step &gt; 10% of wr",IF(OR(AND(N($DK9)&gt;0,IF($O9="",1,$O9)&lt;3),AND(N($DJ9)&gt;0,IF($O9="",1,$O9)&lt;2)),"⚠ uses a colour above Colours = "&amp;IF($O9="",1,$O9)&amp;" (ignored)",IF(AND($DO9&lt;&gt;"",$DO9&lt;&gt;"No FRET",N(IF($O9="",1,$O9))&lt;2),"⚠ FRET needs ≥ 2 colours",IF(AND($DO9&lt;&gt;"",$DO9&lt;&gt;"No FRET",N($DP9)+N($DQ9)+N($DR9)=0),"⚠ FRET: set R","✔ OK"))))))))</f>
        <v>✖ saturated (B ≥ freq.)</v>
      </c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7" t="str">
        <f aca="false">IF(OR($EG9="",$EG9="No FRET",N($EH9)&lt;=0,N(IF($AI9="",63,$AI9))&lt;=0),"",1/(1+($EH9/IF($AI9="",63,$AI9))^6))</f>
        <v/>
      </c>
      <c r="EL9" s="27" t="str">
        <f aca="false">IF(OR($EG9="",$EG9="No FRET",N($EI9)&lt;=0,N(IF($AJ9="",51,$AJ9))&lt;=0),"",1/(1+($EI9/IF($AJ9="",51,$AJ9))^6))</f>
        <v/>
      </c>
      <c r="EM9" s="27" t="str">
        <f aca="false">IF(OR($EG9="",$EG9="No FRET",N($EJ9)&lt;=0,N(IF($AK9="",68,$AK9))&lt;=0),"",1/(1+($EJ9/IF($AK9="",68,$AK9))^6))</f>
        <v/>
      </c>
      <c r="EN9" s="28" t="str">
        <f aca="false">IF(OR($A9="",N($DZ9)&lt;=0),"",IF(IF($I9="",5000,$I9)&gt;0,$DZ9/(IF($G9="",5000,$G9)*IF($H9="",5000,$H9)*IF($I9="",5000,$I9))/1E-024/6.022E+023/0.000000001,""))</f>
        <v/>
      </c>
      <c r="EO9" s="29" t="str">
        <f aca="false">IF(Calc!AK9=0,"",IF(Calc!AI9&gt;=1,"✖ saturated (B ≥ freq.)",IF(Calc!AI9&gt;0.1,"⚠ B &gt; 10% of freq.",IF(Calc!AI9=0,"⚠ no brightness",IF(Calc!AJ9&gt;0.1,"⚠ step &gt; 10% of wr",IF(OR(AND(N($EC9)&gt;0,IF($O9="",1,$O9)&lt;3),AND(N($EB9)&gt;0,IF($O9="",1,$O9)&lt;2)),"⚠ uses a colour above Colours = "&amp;IF($O9="",1,$O9)&amp;" (ignored)",IF(AND($EG9&lt;&gt;"",$EG9&lt;&gt;"No FRET",N(IF($O9="",1,$O9))&lt;2),"⚠ FRET needs ≥ 2 colours",IF(AND($EG9&lt;&gt;"",$EG9&lt;&gt;"No FRET",N($EH9)+N($EI9)+N($EJ9)=0),"⚠ FRET: set R","✔ OK"))))))))</f>
        <v/>
      </c>
      <c r="EP9" s="30" t="n">
        <f aca="false">IF($A9="","",SUM(Calc!G9,Calc!M9,Calc!S9,Calc!Y9,Calc!AE9,Calc!AK9))</f>
        <v>5</v>
      </c>
      <c r="EQ9" s="30" t="n">
        <f aca="false">IF($A9="","",N($AN9)+N($BF9)+N($BX9)+N($CP9)+N($DH9)+N($DZ9))</f>
        <v>50</v>
      </c>
      <c r="ER9" s="31" t="n">
        <f aca="false">IF($A9="","",SUM(Calc!B9,Calc!H9,Calc!N9,Calc!T9,Calc!Z9,Calc!AF9))</f>
        <v>97.393931064216</v>
      </c>
      <c r="ES9" s="31" t="n">
        <f aca="false">IF($A9="","",SUM(Calc!C9,Calc!I9,Calc!O9,Calc!U9,Calc!AA9,Calc!AG9))</f>
        <v>74.7600966767359</v>
      </c>
      <c r="ET9" s="31" t="n">
        <f aca="false">IF($A9="","",SUM(Calc!D9,Calc!J9,Calc!P9,Calc!V9,Calc!AB9,Calc!AH9))</f>
        <v>41.9747754151457</v>
      </c>
      <c r="EU9" s="27" t="n">
        <f aca="false">IF($A9="","",($ER9+$ES9+$ET9+IF($P9="Yes",N($Q9)*N(IF($O9="",1,$O9)),0))*1000*IF($K9="",10,$K9)/1000000)</f>
        <v>2.14128803156098</v>
      </c>
      <c r="EV9" s="28" t="n">
        <f aca="false">IF($A9="","",$EU9*1000000*12/1000000000)</f>
        <v>0.0256954563787317</v>
      </c>
      <c r="EW9" s="32" t="str">
        <f aca="false">IF($A9="","",IF($EP9=0,"⚠ no species entered",IF(((LEFT($BC9,1)="✖")+(LEFT($BU9,1)="✖")+(LEFT($CM9,1)="✖")+(LEFT($DE9,1)="✖")+(LEFT($DW9,1)="✖")+(LEFT($EO9,1)="✖"))&gt;0,"✖ "&amp;((LEFT($BC9,1)="✖")+(LEFT($BU9,1)="✖")+(LEFT($CM9,1)="✖")+(LEFT($DE9,1)="✖")+(LEFT($DW9,1)="✖")+(LEFT($EO9,1)="✖"))&amp;" species saturated - see the species checks",IF(MIN(IF($G9="",5000,$G9),IF($H9="",5000,$H9))&lt;8*MAX(IF($T9="",200,$T9),IF($U9="",200,$U9),IF($V9="",200,$V9)),"⚠ box too small laterally (&lt; 8·wr)",IF(AND(IF($I9="",5000,$I9)&gt;0,IF($I9="",5000,$I9)&lt;3*MAX(IF($W9="",1000,$W9),IF($X9="",1000,$X9),IF($Y9="",1000,$Y9))),"⚠ box too small axially (&lt; 3·wz)",IF($EV9&gt;8,"⚠ &gt; 8 GB per file: shorten the duration and use several files",IF(((LEFT($BC9,1)="⚠")+(LEFT($BU9,1)="⚠")+(LEFT($CM9,1)="⚠")+(LEFT($DE9,1)="⚠")+(LEFT($DW9,1)="⚠")+(LEFT($EO9,1)="⚠"))&gt;0,"⚠ "&amp;((LEFT($BC9,1)="⚠")+(LEFT($BU9,1)="⚠")+(LEFT($CM9,1)="⚠")+(LEFT($DE9,1)="⚠")+(LEFT($DW9,1)="⚠")+(LEFT($EO9,1)="⚠"))&amp;" species with a warning","✔ OK")))))))</f>
        <v>✖ 5 species saturated - see the species checks</v>
      </c>
      <c r="EX9" s="25" t="n">
        <v>1</v>
      </c>
      <c r="EY9" s="25"/>
      <c r="EZ9" s="25" t="s">
        <v>137</v>
      </c>
      <c r="FA9" s="25"/>
      <c r="FB9" s="25"/>
      <c r="FC9" s="25"/>
      <c r="FD9" s="25"/>
      <c r="FE9" s="26" t="s">
        <v>226</v>
      </c>
    </row>
    <row r="10" customFormat="false" ht="35.05" hidden="false" customHeight="false" outlineLevel="0" collapsed="false">
      <c r="A10" s="25" t="s">
        <v>239</v>
      </c>
      <c r="B10" s="25" t="s">
        <v>240</v>
      </c>
      <c r="C10" s="26" t="s">
        <v>238</v>
      </c>
      <c r="D10" s="26" t="s">
        <v>233</v>
      </c>
      <c r="E10" s="25" t="s">
        <v>225</v>
      </c>
      <c r="F10" s="25" t="n">
        <v>3</v>
      </c>
      <c r="G10" s="25" t="n">
        <v>5000</v>
      </c>
      <c r="H10" s="25" t="n">
        <v>5000</v>
      </c>
      <c r="I10" s="25" t="n">
        <v>5000</v>
      </c>
      <c r="J10" s="25" t="n">
        <v>1000</v>
      </c>
      <c r="K10" s="25" t="n">
        <v>10</v>
      </c>
      <c r="L10" s="25" t="n">
        <v>1</v>
      </c>
      <c r="M10" s="25" t="n">
        <v>60</v>
      </c>
      <c r="N10" s="25" t="s">
        <v>77</v>
      </c>
      <c r="O10" s="25" t="n">
        <v>3</v>
      </c>
      <c r="P10" s="25" t="s">
        <v>215</v>
      </c>
      <c r="Q10" s="25" t="n">
        <v>0.2</v>
      </c>
      <c r="R10" s="25" t="s">
        <v>215</v>
      </c>
      <c r="S10" s="25" t="n">
        <v>250</v>
      </c>
      <c r="T10" s="25" t="n">
        <v>200</v>
      </c>
      <c r="U10" s="25" t="n">
        <v>200</v>
      </c>
      <c r="V10" s="25" t="n">
        <v>200</v>
      </c>
      <c r="W10" s="25" t="n">
        <v>1000</v>
      </c>
      <c r="X10" s="25" t="n">
        <v>1000</v>
      </c>
      <c r="Y10" s="25" t="n">
        <v>1000</v>
      </c>
      <c r="Z10" s="25" t="n">
        <v>0</v>
      </c>
      <c r="AA10" s="25" t="n">
        <v>0</v>
      </c>
      <c r="AB10" s="25" t="n">
        <v>0</v>
      </c>
      <c r="AC10" s="25" t="n">
        <v>0</v>
      </c>
      <c r="AD10" s="25" t="n">
        <v>0</v>
      </c>
      <c r="AE10" s="25" t="n">
        <v>0</v>
      </c>
      <c r="AF10" s="25" t="n">
        <v>0</v>
      </c>
      <c r="AG10" s="25" t="n">
        <v>0</v>
      </c>
      <c r="AH10" s="25" t="n">
        <v>0</v>
      </c>
      <c r="AI10" s="25" t="n">
        <v>63</v>
      </c>
      <c r="AJ10" s="25" t="n">
        <v>51</v>
      </c>
      <c r="AK10" s="25" t="n">
        <v>68</v>
      </c>
      <c r="AL10" s="25" t="s">
        <v>144</v>
      </c>
      <c r="AM10" s="25" t="n">
        <v>400</v>
      </c>
      <c r="AN10" s="25" t="n">
        <v>10</v>
      </c>
      <c r="AO10" s="25" t="n">
        <v>10000</v>
      </c>
      <c r="AP10" s="25" t="n">
        <v>0</v>
      </c>
      <c r="AQ10" s="25" t="n">
        <v>0</v>
      </c>
      <c r="AR10" s="25" t="n">
        <v>4</v>
      </c>
      <c r="AS10" s="25" t="n">
        <v>3</v>
      </c>
      <c r="AT10" s="25" t="n">
        <v>2.5</v>
      </c>
      <c r="AU10" s="25" t="s">
        <v>118</v>
      </c>
      <c r="AV10" s="25"/>
      <c r="AW10" s="25"/>
      <c r="AX10" s="25"/>
      <c r="AY10" s="27" t="str">
        <f aca="false">IF(OR($AU10="",$AU10="No FRET",N($AV10)&lt;=0,N(IF($AI10="",63,$AI10))&lt;=0),"",1/(1+($AV10/IF($AI10="",63,$AI10))^6))</f>
        <v/>
      </c>
      <c r="AZ10" s="27" t="str">
        <f aca="false">IF(OR($AU10="",$AU10="No FRET",N($AW10)&lt;=0,N(IF($AJ10="",51,$AJ10))&lt;=0),"",1/(1+($AW10/IF($AJ10="",51,$AJ10))^6))</f>
        <v/>
      </c>
      <c r="BA10" s="27" t="str">
        <f aca="false">IF(OR($AU10="",$AU10="No FRET",N($AX10)&lt;=0,N(IF($AK10="",68,$AK10))&lt;=0),"",1/(1+($AX10/IF($AK10="",68,$AK10))^6))</f>
        <v/>
      </c>
      <c r="BB10" s="28" t="n">
        <f aca="false">IF(OR($A10="",N($AN10)&lt;=0),"",IF(IF($I10="",5000,$I10)&gt;0,$AN10/(IF($G10="",5000,$G10)*IF($H10="",5000,$H10)*IF($I10="",5000,$I10))/1E-024/6.022E+023/0.000000001,""))</f>
        <v>0.13284623048821</v>
      </c>
      <c r="BC10" s="29" t="str">
        <f aca="false">IF(Calc!G10=0,"",IF(Calc!E10&gt;=1,"✖ saturated (B ≥ freq.)",IF(Calc!E10&gt;0.1,"⚠ B &gt; 10% of freq.",IF(Calc!E10=0,"⚠ no brightness",IF(Calc!F10&gt;0.1,"⚠ step &gt; 10% of wr",IF(OR(AND(N($AQ10)&gt;0,IF($O10="",1,$O10)&lt;3),AND(N($AP10)&gt;0,IF($O10="",1,$O10)&lt;2)),"⚠ uses a colour above Colours = "&amp;IF($O10="",1,$O10)&amp;" (ignored)",IF(AND($AU10&lt;&gt;"",$AU10&lt;&gt;"No FRET",N(IF($O10="",1,$O10))&lt;2),"⚠ FRET needs ≥ 2 colours",IF(AND($AU10&lt;&gt;"",$AU10&lt;&gt;"No FRET",N($AV10)+N($AW10)+N($AX10)=0),"⚠ FRET: set R","✔ OK"))))))))</f>
        <v>✖ saturated (B ≥ freq.)</v>
      </c>
      <c r="BD10" s="25" t="s">
        <v>145</v>
      </c>
      <c r="BE10" s="25" t="n">
        <v>400</v>
      </c>
      <c r="BF10" s="25" t="n">
        <v>10</v>
      </c>
      <c r="BG10" s="25" t="n">
        <v>0</v>
      </c>
      <c r="BH10" s="25" t="n">
        <v>7000</v>
      </c>
      <c r="BI10" s="25" t="n">
        <v>0</v>
      </c>
      <c r="BJ10" s="25" t="n">
        <v>4</v>
      </c>
      <c r="BK10" s="25" t="n">
        <v>3</v>
      </c>
      <c r="BL10" s="25" t="n">
        <v>2.5</v>
      </c>
      <c r="BM10" s="25" t="s">
        <v>118</v>
      </c>
      <c r="BN10" s="25"/>
      <c r="BO10" s="25"/>
      <c r="BP10" s="25"/>
      <c r="BQ10" s="27" t="str">
        <f aca="false">IF(OR($BM10="",$BM10="No FRET",N($BN10)&lt;=0,N(IF($AI10="",63,$AI10))&lt;=0),"",1/(1+($BN10/IF($AI10="",63,$AI10))^6))</f>
        <v/>
      </c>
      <c r="BR10" s="27" t="str">
        <f aca="false">IF(OR($BM10="",$BM10="No FRET",N($BO10)&lt;=0,N(IF($AJ10="",51,$AJ10))&lt;=0),"",1/(1+($BO10/IF($AJ10="",51,$AJ10))^6))</f>
        <v/>
      </c>
      <c r="BS10" s="27" t="str">
        <f aca="false">IF(OR($BM10="",$BM10="No FRET",N($BP10)&lt;=0,N(IF($AK10="",68,$AK10))&lt;=0),"",1/(1+($BP10/IF($AK10="",68,$AK10))^6))</f>
        <v/>
      </c>
      <c r="BT10" s="28" t="n">
        <f aca="false">IF(OR($A10="",N($BF10)&lt;=0),"",IF(IF($I10="",5000,$I10)&gt;0,$BF10/(IF($G10="",5000,$G10)*IF($H10="",5000,$H10)*IF($I10="",5000,$I10))/1E-024/6.022E+023/0.000000001,""))</f>
        <v>0.13284623048821</v>
      </c>
      <c r="BU10" s="29" t="str">
        <f aca="false">IF(Calc!M10=0,"",IF(Calc!K10&gt;=1,"✖ saturated (B ≥ freq.)",IF(Calc!K10&gt;0.1,"⚠ B &gt; 10% of freq.",IF(Calc!K10=0,"⚠ no brightness",IF(Calc!L10&gt;0.1,"⚠ step &gt; 10% of wr",IF(OR(AND(N($BI10)&gt;0,IF($O10="",1,$O10)&lt;3),AND(N($BH10)&gt;0,IF($O10="",1,$O10)&lt;2)),"⚠ uses a colour above Colours = "&amp;IF($O10="",1,$O10)&amp;" (ignored)",IF(AND($BM10&lt;&gt;"",$BM10&lt;&gt;"No FRET",N(IF($O10="",1,$O10))&lt;2),"⚠ FRET needs ≥ 2 colours",IF(AND($BM10&lt;&gt;"",$BM10&lt;&gt;"No FRET",N($BN10)+N($BO10)+N($BP10)=0),"⚠ FRET: set R","✔ OK"))))))))</f>
        <v>✖ saturated (B ≥ freq.)</v>
      </c>
      <c r="BV10" s="25" t="s">
        <v>146</v>
      </c>
      <c r="BW10" s="25" t="n">
        <v>400</v>
      </c>
      <c r="BX10" s="25" t="n">
        <v>10</v>
      </c>
      <c r="BY10" s="25" t="n">
        <v>0</v>
      </c>
      <c r="BZ10" s="25" t="n">
        <v>0</v>
      </c>
      <c r="CA10" s="25" t="n">
        <v>5000</v>
      </c>
      <c r="CB10" s="25" t="n">
        <v>4</v>
      </c>
      <c r="CC10" s="25" t="n">
        <v>3</v>
      </c>
      <c r="CD10" s="25" t="n">
        <v>2.5</v>
      </c>
      <c r="CE10" s="25" t="s">
        <v>118</v>
      </c>
      <c r="CF10" s="25"/>
      <c r="CG10" s="25"/>
      <c r="CH10" s="25"/>
      <c r="CI10" s="27" t="str">
        <f aca="false">IF(OR($CE10="",$CE10="No FRET",N($CF10)&lt;=0,N(IF($AI10="",63,$AI10))&lt;=0),"",1/(1+($CF10/IF($AI10="",63,$AI10))^6))</f>
        <v/>
      </c>
      <c r="CJ10" s="27" t="str">
        <f aca="false">IF(OR($CE10="",$CE10="No FRET",N($CG10)&lt;=0,N(IF($AJ10="",51,$AJ10))&lt;=0),"",1/(1+($CG10/IF($AJ10="",51,$AJ10))^6))</f>
        <v/>
      </c>
      <c r="CK10" s="27" t="str">
        <f aca="false">IF(OR($CE10="",$CE10="No FRET",N($CH10)&lt;=0,N(IF($AK10="",68,$AK10))&lt;=0),"",1/(1+($CH10/IF($AK10="",68,$AK10))^6))</f>
        <v/>
      </c>
      <c r="CL10" s="28" t="n">
        <f aca="false">IF(OR($A10="",N($BX10)&lt;=0),"",IF(IF($I10="",5000,$I10)&gt;0,$BX10/(IF($G10="",5000,$G10)*IF($H10="",5000,$H10)*IF($I10="",5000,$I10))/1E-024/6.022E+023/0.000000001,""))</f>
        <v>0.13284623048821</v>
      </c>
      <c r="CM10" s="29" t="str">
        <f aca="false">IF(Calc!S10=0,"",IF(Calc!Q10&gt;=1,"✖ saturated (B ≥ freq.)",IF(Calc!Q10&gt;0.1,"⚠ B &gt; 10% of freq.",IF(Calc!Q10=0,"⚠ no brightness",IF(Calc!R10&gt;0.1,"⚠ step &gt; 10% of wr",IF(OR(AND(N($CA10)&gt;0,IF($O10="",1,$O10)&lt;3),AND(N($BZ10)&gt;0,IF($O10="",1,$O10)&lt;2)),"⚠ uses a colour above Colours = "&amp;IF($O10="",1,$O10)&amp;" (ignored)",IF(AND($CE10&lt;&gt;"",$CE10&lt;&gt;"No FRET",N(IF($O10="",1,$O10))&lt;2),"⚠ FRET needs ≥ 2 colours",IF(AND($CE10&lt;&gt;"",$CE10&lt;&gt;"No FRET",N($CF10)+N($CG10)+N($CH10)=0),"⚠ FRET: set R","✔ OK"))))))))</f>
        <v>✖ saturated (B ≥ freq.)</v>
      </c>
      <c r="CN10" s="25" t="s">
        <v>147</v>
      </c>
      <c r="CO10" s="25" t="n">
        <v>33</v>
      </c>
      <c r="CP10" s="25" t="n">
        <v>10</v>
      </c>
      <c r="CQ10" s="25" t="n">
        <v>20000</v>
      </c>
      <c r="CR10" s="25" t="n">
        <v>7000</v>
      </c>
      <c r="CS10" s="25" t="n">
        <v>0</v>
      </c>
      <c r="CT10" s="25" t="n">
        <v>4</v>
      </c>
      <c r="CU10" s="25" t="n">
        <v>3</v>
      </c>
      <c r="CV10" s="25" t="n">
        <v>2.5</v>
      </c>
      <c r="CW10" s="25" t="s">
        <v>118</v>
      </c>
      <c r="CX10" s="25"/>
      <c r="CY10" s="25"/>
      <c r="CZ10" s="25"/>
      <c r="DA10" s="27" t="str">
        <f aca="false">IF(OR($CW10="",$CW10="No FRET",N($CX10)&lt;=0,N(IF($AI10="",63,$AI10))&lt;=0),"",1/(1+($CX10/IF($AI10="",63,$AI10))^6))</f>
        <v/>
      </c>
      <c r="DB10" s="27" t="str">
        <f aca="false">IF(OR($CW10="",$CW10="No FRET",N($CY10)&lt;=0,N(IF($AJ10="",51,$AJ10))&lt;=0),"",1/(1+($CY10/IF($AJ10="",51,$AJ10))^6))</f>
        <v/>
      </c>
      <c r="DC10" s="27" t="str">
        <f aca="false">IF(OR($CW10="",$CW10="No FRET",N($CZ10)&lt;=0,N(IF($AK10="",68,$AK10))&lt;=0),"",1/(1+($CZ10/IF($AK10="",68,$AK10))^6))</f>
        <v/>
      </c>
      <c r="DD10" s="28" t="n">
        <f aca="false">IF(OR($A10="",N($CP10)&lt;=0),"",IF(IF($I10="",5000,$I10)&gt;0,$CP10/(IF($G10="",5000,$G10)*IF($H10="",5000,$H10)*IF($I10="",5000,$I10))/1E-024/6.022E+023/0.000000001,""))</f>
        <v>0.13284623048821</v>
      </c>
      <c r="DE10" s="29" t="str">
        <f aca="false">IF(Calc!Y10=0,"",IF(Calc!W10&gt;=1,"✖ saturated (B ≥ freq.)",IF(Calc!W10&gt;0.1,"⚠ B &gt; 10% of freq.",IF(Calc!W10=0,"⚠ no brightness",IF(Calc!X10&gt;0.1,"⚠ step &gt; 10% of wr",IF(OR(AND(N($CS10)&gt;0,IF($O10="",1,$O10)&lt;3),AND(N($CR10)&gt;0,IF($O10="",1,$O10)&lt;2)),"⚠ uses a colour above Colours = "&amp;IF($O10="",1,$O10)&amp;" (ignored)",IF(AND($CW10&lt;&gt;"",$CW10&lt;&gt;"No FRET",N(IF($O10="",1,$O10))&lt;2),"⚠ FRET needs ≥ 2 colours",IF(AND($CW10&lt;&gt;"",$CW10&lt;&gt;"No FRET",N($CX10)+N($CY10)+N($CZ10)=0),"⚠ FRET: set R","✔ OK"))))))))</f>
        <v>✖ saturated (B ≥ freq.)</v>
      </c>
      <c r="DF10" s="25" t="s">
        <v>148</v>
      </c>
      <c r="DG10" s="25" t="n">
        <v>33</v>
      </c>
      <c r="DH10" s="25" t="n">
        <v>10</v>
      </c>
      <c r="DI10" s="25" t="n">
        <v>10000</v>
      </c>
      <c r="DJ10" s="25" t="n">
        <v>0</v>
      </c>
      <c r="DK10" s="25" t="n">
        <v>5000</v>
      </c>
      <c r="DL10" s="25" t="n">
        <v>4</v>
      </c>
      <c r="DM10" s="25" t="n">
        <v>3</v>
      </c>
      <c r="DN10" s="25" t="n">
        <v>2.5</v>
      </c>
      <c r="DO10" s="25" t="s">
        <v>118</v>
      </c>
      <c r="DP10" s="25"/>
      <c r="DQ10" s="25"/>
      <c r="DR10" s="25"/>
      <c r="DS10" s="27" t="str">
        <f aca="false">IF(OR($DO10="",$DO10="No FRET",N($DP10)&lt;=0,N(IF($AI10="",63,$AI10))&lt;=0),"",1/(1+($DP10/IF($AI10="",63,$AI10))^6))</f>
        <v/>
      </c>
      <c r="DT10" s="27" t="str">
        <f aca="false">IF(OR($DO10="",$DO10="No FRET",N($DQ10)&lt;=0,N(IF($AJ10="",51,$AJ10))&lt;=0),"",1/(1+($DQ10/IF($AJ10="",51,$AJ10))^6))</f>
        <v/>
      </c>
      <c r="DU10" s="27" t="str">
        <f aca="false">IF(OR($DO10="",$DO10="No FRET",N($DR10)&lt;=0,N(IF($AK10="",68,$AK10))&lt;=0),"",1/(1+($DR10/IF($AK10="",68,$AK10))^6))</f>
        <v/>
      </c>
      <c r="DV10" s="28" t="n">
        <f aca="false">IF(OR($A10="",N($DH10)&lt;=0),"",IF(IF($I10="",5000,$I10)&gt;0,$DH10/(IF($G10="",5000,$G10)*IF($H10="",5000,$H10)*IF($I10="",5000,$I10))/1E-024/6.022E+023/0.000000001,""))</f>
        <v>0.13284623048821</v>
      </c>
      <c r="DW10" s="29" t="str">
        <f aca="false">IF(Calc!AE10=0,"",IF(Calc!AC10&gt;=1,"✖ saturated (B ≥ freq.)",IF(Calc!AC10&gt;0.1,"⚠ B &gt; 10% of freq.",IF(Calc!AC10=0,"⚠ no brightness",IF(Calc!AD10&gt;0.1,"⚠ step &gt; 10% of wr",IF(OR(AND(N($DK10)&gt;0,IF($O10="",1,$O10)&lt;3),AND(N($DJ10)&gt;0,IF($O10="",1,$O10)&lt;2)),"⚠ uses a colour above Colours = "&amp;IF($O10="",1,$O10)&amp;" (ignored)",IF(AND($DO10&lt;&gt;"",$DO10&lt;&gt;"No FRET",N(IF($O10="",1,$O10))&lt;2),"⚠ FRET needs ≥ 2 colours",IF(AND($DO10&lt;&gt;"",$DO10&lt;&gt;"No FRET",N($DP10)+N($DQ10)+N($DR10)=0),"⚠ FRET: set R","✔ OK"))))))))</f>
        <v>✖ saturated (B ≥ freq.)</v>
      </c>
      <c r="DX10" s="25" t="s">
        <v>149</v>
      </c>
      <c r="DY10" s="25" t="n">
        <v>33</v>
      </c>
      <c r="DZ10" s="25" t="n">
        <v>10</v>
      </c>
      <c r="EA10" s="25" t="n">
        <v>0</v>
      </c>
      <c r="EB10" s="25" t="n">
        <v>7000</v>
      </c>
      <c r="EC10" s="25" t="n">
        <v>10000</v>
      </c>
      <c r="ED10" s="25" t="n">
        <v>4</v>
      </c>
      <c r="EE10" s="25" t="n">
        <v>3</v>
      </c>
      <c r="EF10" s="25" t="n">
        <v>2.5</v>
      </c>
      <c r="EG10" s="25" t="s">
        <v>118</v>
      </c>
      <c r="EH10" s="25"/>
      <c r="EI10" s="25"/>
      <c r="EJ10" s="25"/>
      <c r="EK10" s="27" t="str">
        <f aca="false">IF(OR($EG10="",$EG10="No FRET",N($EH10)&lt;=0,N(IF($AI10="",63,$AI10))&lt;=0),"",1/(1+($EH10/IF($AI10="",63,$AI10))^6))</f>
        <v/>
      </c>
      <c r="EL10" s="27" t="str">
        <f aca="false">IF(OR($EG10="",$EG10="No FRET",N($EI10)&lt;=0,N(IF($AJ10="",51,$AJ10))&lt;=0),"",1/(1+($EI10/IF($AJ10="",51,$AJ10))^6))</f>
        <v/>
      </c>
      <c r="EM10" s="27" t="str">
        <f aca="false">IF(OR($EG10="",$EG10="No FRET",N($EJ10)&lt;=0,N(IF($AK10="",68,$AK10))&lt;=0),"",1/(1+($EJ10/IF($AK10="",68,$AK10))^6))</f>
        <v/>
      </c>
      <c r="EN10" s="28" t="n">
        <f aca="false">IF(OR($A10="",N($DZ10)&lt;=0),"",IF(IF($I10="",5000,$I10)&gt;0,$DZ10/(IF($G10="",5000,$G10)*IF($H10="",5000,$H10)*IF($I10="",5000,$I10))/1E-024/6.022E+023/0.000000001,""))</f>
        <v>0.13284623048821</v>
      </c>
      <c r="EO10" s="29" t="str">
        <f aca="false">IF(Calc!AK10=0,"",IF(Calc!AI10&gt;=1,"✖ saturated (B ≥ freq.)",IF(Calc!AI10&gt;0.1,"⚠ B &gt; 10% of freq.",IF(Calc!AI10=0,"⚠ no brightness",IF(Calc!AJ10&gt;0.1,"⚠ step &gt; 10% of wr",IF(OR(AND(N($EC10)&gt;0,IF($O10="",1,$O10)&lt;3),AND(N($EB10)&gt;0,IF($O10="",1,$O10)&lt;2)),"⚠ uses a colour above Colours = "&amp;IF($O10="",1,$O10)&amp;" (ignored)",IF(AND($EG10&lt;&gt;"",$EG10&lt;&gt;"No FRET",N(IF($O10="",1,$O10))&lt;2),"⚠ FRET needs ≥ 2 colours",IF(AND($EG10&lt;&gt;"",$EG10&lt;&gt;"No FRET",N($EH10)+N($EI10)+N($EJ10)=0),"⚠ FRET: set R","✔ OK"))))))))</f>
        <v>✖ saturated (B ≥ freq.)</v>
      </c>
      <c r="EP10" s="30" t="n">
        <f aca="false">IF($A10="","",SUM(Calc!G10,Calc!M10,Calc!S10,Calc!Y10,Calc!AE10,Calc!AK10))</f>
        <v>6</v>
      </c>
      <c r="EQ10" s="30" t="n">
        <f aca="false">IF($A10="","",N($AN10)+N($BF10)+N($BX10)+N($CP10)+N($DH10)+N($DZ10))</f>
        <v>60</v>
      </c>
      <c r="ER10" s="31" t="n">
        <f aca="false">IF($A10="","",SUM(Calc!B10,Calc!H10,Calc!N10,Calc!T10,Calc!Z10,Calc!AF10))</f>
        <v>97.393931064216</v>
      </c>
      <c r="ES10" s="31" t="n">
        <f aca="false">IF($A10="","",SUM(Calc!C10,Calc!I10,Calc!O10,Calc!U10,Calc!AA10,Calc!AG10))</f>
        <v>74.7600966767359</v>
      </c>
      <c r="ET10" s="31" t="n">
        <f aca="false">IF($A10="","",SUM(Calc!D10,Calc!J10,Calc!P10,Calc!V10,Calc!AB10,Calc!AH10))</f>
        <v>71.3280485032634</v>
      </c>
      <c r="EU10" s="27" t="n">
        <f aca="false">IF($A10="","",($ER10+$ES10+$ET10+IF($P10="Yes",N($Q10)*N(IF($O10="",1,$O10)),0))*1000*IF($K10="",10,$K10)/1000000)</f>
        <v>2.43482076244215</v>
      </c>
      <c r="EV10" s="28" t="n">
        <f aca="false">IF($A10="","",$EU10*1000000*12/1000000000)</f>
        <v>0.0292178491493058</v>
      </c>
      <c r="EW10" s="32" t="str">
        <f aca="false">IF($A10="","",IF($EP10=0,"⚠ no species entered",IF(((LEFT($BC10,1)="✖")+(LEFT($BU10,1)="✖")+(LEFT($CM10,1)="✖")+(LEFT($DE10,1)="✖")+(LEFT($DW10,1)="✖")+(LEFT($EO10,1)="✖"))&gt;0,"✖ "&amp;((LEFT($BC10,1)="✖")+(LEFT($BU10,1)="✖")+(LEFT($CM10,1)="✖")+(LEFT($DE10,1)="✖")+(LEFT($DW10,1)="✖")+(LEFT($EO10,1)="✖"))&amp;" species saturated - see the species checks",IF(MIN(IF($G10="",5000,$G10),IF($H10="",5000,$H10))&lt;8*MAX(IF($T10="",200,$T10),IF($U10="",200,$U10),IF($V10="",200,$V10)),"⚠ box too small laterally (&lt; 8·wr)",IF(AND(IF($I10="",5000,$I10)&gt;0,IF($I10="",5000,$I10)&lt;3*MAX(IF($W10="",1000,$W10),IF($X10="",1000,$X10),IF($Y10="",1000,$Y10))),"⚠ box too small axially (&lt; 3·wz)",IF($EV10&gt;8,"⚠ &gt; 8 GB per file: shorten the duration and use several files",IF(((LEFT($BC10,1)="⚠")+(LEFT($BU10,1)="⚠")+(LEFT($CM10,1)="⚠")+(LEFT($DE10,1)="⚠")+(LEFT($DW10,1)="⚠")+(LEFT($EO10,1)="⚠"))&gt;0,"⚠ "&amp;((LEFT($BC10,1)="⚠")+(LEFT($BU10,1)="⚠")+(LEFT($CM10,1)="⚠")+(LEFT($DE10,1)="⚠")+(LEFT($DW10,1)="⚠")+(LEFT($EO10,1)="⚠"))&amp;" species with a warning","✔ OK")))))))</f>
        <v>✖ 6 species saturated - see the species checks</v>
      </c>
      <c r="EX10" s="25" t="n">
        <v>1</v>
      </c>
      <c r="EY10" s="25"/>
      <c r="EZ10" s="25" t="s">
        <v>137</v>
      </c>
      <c r="FA10" s="25"/>
      <c r="FB10" s="25"/>
      <c r="FC10" s="25"/>
      <c r="FD10" s="25"/>
      <c r="FE10" s="26" t="s">
        <v>226</v>
      </c>
    </row>
    <row r="11" customFormat="false" ht="35.05" hidden="false" customHeight="false" outlineLevel="0" collapsed="false">
      <c r="A11" s="25" t="s">
        <v>241</v>
      </c>
      <c r="B11" s="25" t="s">
        <v>242</v>
      </c>
      <c r="C11" s="26" t="s">
        <v>243</v>
      </c>
      <c r="D11" s="26" t="s">
        <v>233</v>
      </c>
      <c r="E11" s="25" t="s">
        <v>225</v>
      </c>
      <c r="F11" s="25" t="n">
        <v>3</v>
      </c>
      <c r="G11" s="25" t="n">
        <v>5000</v>
      </c>
      <c r="H11" s="25" t="n">
        <v>5000</v>
      </c>
      <c r="I11" s="25" t="n">
        <v>5000</v>
      </c>
      <c r="J11" s="25" t="n">
        <v>1000</v>
      </c>
      <c r="K11" s="25" t="n">
        <v>30</v>
      </c>
      <c r="L11" s="25" t="n">
        <v>1</v>
      </c>
      <c r="M11" s="25" t="n">
        <v>60</v>
      </c>
      <c r="N11" s="25" t="s">
        <v>77</v>
      </c>
      <c r="O11" s="25" t="n">
        <v>3</v>
      </c>
      <c r="P11" s="25" t="s">
        <v>215</v>
      </c>
      <c r="Q11" s="25" t="n">
        <v>0.2</v>
      </c>
      <c r="R11" s="25" t="s">
        <v>215</v>
      </c>
      <c r="S11" s="25" t="n">
        <v>250</v>
      </c>
      <c r="T11" s="25" t="n">
        <v>200</v>
      </c>
      <c r="U11" s="25" t="n">
        <v>200</v>
      </c>
      <c r="V11" s="25" t="n">
        <v>200</v>
      </c>
      <c r="W11" s="25" t="n">
        <v>1000</v>
      </c>
      <c r="X11" s="25" t="n">
        <v>1000</v>
      </c>
      <c r="Y11" s="25" t="n">
        <v>1000</v>
      </c>
      <c r="Z11" s="25" t="n">
        <v>0</v>
      </c>
      <c r="AA11" s="25" t="n">
        <v>0</v>
      </c>
      <c r="AB11" s="25" t="n">
        <v>0</v>
      </c>
      <c r="AC11" s="25" t="n">
        <v>0</v>
      </c>
      <c r="AD11" s="25" t="n">
        <v>0</v>
      </c>
      <c r="AE11" s="25" t="n">
        <v>0</v>
      </c>
      <c r="AF11" s="25" t="n">
        <v>0</v>
      </c>
      <c r="AG11" s="25" t="n">
        <v>0</v>
      </c>
      <c r="AH11" s="25" t="n">
        <v>0</v>
      </c>
      <c r="AI11" s="25" t="n">
        <v>63</v>
      </c>
      <c r="AJ11" s="25" t="n">
        <v>51</v>
      </c>
      <c r="AK11" s="25" t="n">
        <v>68</v>
      </c>
      <c r="AL11" s="25" t="s">
        <v>144</v>
      </c>
      <c r="AM11" s="25" t="n">
        <v>35</v>
      </c>
      <c r="AN11" s="25" t="n">
        <v>100</v>
      </c>
      <c r="AO11" s="25" t="n">
        <v>1000</v>
      </c>
      <c r="AP11" s="25" t="n">
        <v>700</v>
      </c>
      <c r="AQ11" s="25" t="n">
        <v>500</v>
      </c>
      <c r="AR11" s="25" t="n">
        <v>4</v>
      </c>
      <c r="AS11" s="25" t="n">
        <v>3</v>
      </c>
      <c r="AT11" s="25" t="n">
        <v>2</v>
      </c>
      <c r="AU11" s="25" t="s">
        <v>118</v>
      </c>
      <c r="AV11" s="25"/>
      <c r="AW11" s="25"/>
      <c r="AX11" s="25"/>
      <c r="AY11" s="27" t="str">
        <f aca="false">IF(OR($AU11="",$AU11="No FRET",N($AV11)&lt;=0,N(IF($AI11="",63,$AI11))&lt;=0),"",1/(1+($AV11/IF($AI11="",63,$AI11))^6))</f>
        <v/>
      </c>
      <c r="AZ11" s="27" t="str">
        <f aca="false">IF(OR($AU11="",$AU11="No FRET",N($AW11)&lt;=0,N(IF($AJ11="",51,$AJ11))&lt;=0),"",1/(1+($AW11/IF($AJ11="",51,$AJ11))^6))</f>
        <v/>
      </c>
      <c r="BA11" s="27" t="str">
        <f aca="false">IF(OR($AU11="",$AU11="No FRET",N($AX11)&lt;=0,N(IF($AK11="",68,$AK11))&lt;=0),"",1/(1+($AX11/IF($AK11="",68,$AK11))^6))</f>
        <v/>
      </c>
      <c r="BB11" s="28" t="n">
        <f aca="false">IF(OR($A11="",N($AN11)&lt;=0),"",IF(IF($I11="",5000,$I11)&gt;0,$AN11/(IF($G11="",5000,$G11)*IF($H11="",5000,$H11)*IF($I11="",5000,$I11))/1E-024/6.022E+023/0.000000001,""))</f>
        <v>1.3284623048821</v>
      </c>
      <c r="BC11" s="29" t="str">
        <f aca="false">IF(Calc!G11=0,"",IF(Calc!E11&gt;=1,"✖ saturated (B ≥ freq.)",IF(Calc!E11&gt;0.1,"⚠ B &gt; 10% of freq.",IF(Calc!E11=0,"⚠ no brightness",IF(Calc!F11&gt;0.1,"⚠ step &gt; 10% of wr",IF(OR(AND(N($AQ11)&gt;0,IF($O11="",1,$O11)&lt;3),AND(N($AP11)&gt;0,IF($O11="",1,$O11)&lt;2)),"⚠ uses a colour above Colours = "&amp;IF($O11="",1,$O11)&amp;" (ignored)",IF(AND($AU11&lt;&gt;"",$AU11&lt;&gt;"No FRET",N(IF($O11="",1,$O11))&lt;2),"⚠ FRET needs ≥ 2 colours",IF(AND($AU11&lt;&gt;"",$AU11&lt;&gt;"No FRET",N($AV11)+N($AW11)+N($AX11)=0),"⚠ FRET: set R","✔ OK"))))))))</f>
        <v>✖ saturated (B ≥ freq.)</v>
      </c>
      <c r="BD11" s="25" t="s">
        <v>145</v>
      </c>
      <c r="BE11" s="25" t="n">
        <v>35</v>
      </c>
      <c r="BF11" s="25" t="n">
        <v>1000</v>
      </c>
      <c r="BG11" s="25" t="n">
        <v>1000</v>
      </c>
      <c r="BH11" s="25" t="n">
        <v>0</v>
      </c>
      <c r="BI11" s="25" t="n">
        <v>500</v>
      </c>
      <c r="BJ11" s="25" t="n">
        <v>4</v>
      </c>
      <c r="BK11" s="25" t="n">
        <v>3</v>
      </c>
      <c r="BL11" s="25" t="n">
        <v>2</v>
      </c>
      <c r="BM11" s="25" t="s">
        <v>118</v>
      </c>
      <c r="BN11" s="25"/>
      <c r="BO11" s="25"/>
      <c r="BP11" s="25"/>
      <c r="BQ11" s="27" t="str">
        <f aca="false">IF(OR($BM11="",$BM11="No FRET",N($BN11)&lt;=0,N(IF($AI11="",63,$AI11))&lt;=0),"",1/(1+($BN11/IF($AI11="",63,$AI11))^6))</f>
        <v/>
      </c>
      <c r="BR11" s="27" t="str">
        <f aca="false">IF(OR($BM11="",$BM11="No FRET",N($BO11)&lt;=0,N(IF($AJ11="",51,$AJ11))&lt;=0),"",1/(1+($BO11/IF($AJ11="",51,$AJ11))^6))</f>
        <v/>
      </c>
      <c r="BS11" s="27" t="str">
        <f aca="false">IF(OR($BM11="",$BM11="No FRET",N($BP11)&lt;=0,N(IF($AK11="",68,$AK11))&lt;=0),"",1/(1+($BP11/IF($AK11="",68,$AK11))^6))</f>
        <v/>
      </c>
      <c r="BT11" s="28" t="n">
        <f aca="false">IF(OR($A11="",N($BF11)&lt;=0),"",IF(IF($I11="",5000,$I11)&gt;0,$BF11/(IF($G11="",5000,$G11)*IF($H11="",5000,$H11)*IF($I11="",5000,$I11))/1E-024/6.022E+023/0.000000001,""))</f>
        <v>13.284623048821</v>
      </c>
      <c r="BU11" s="29" t="str">
        <f aca="false">IF(Calc!M11=0,"",IF(Calc!K11&gt;=1,"✖ saturated (B ≥ freq.)",IF(Calc!K11&gt;0.1,"⚠ B &gt; 10% of freq.",IF(Calc!K11=0,"⚠ no brightness",IF(Calc!L11&gt;0.1,"⚠ step &gt; 10% of wr",IF(OR(AND(N($BI11)&gt;0,IF($O11="",1,$O11)&lt;3),AND(N($BH11)&gt;0,IF($O11="",1,$O11)&lt;2)),"⚠ uses a colour above Colours = "&amp;IF($O11="",1,$O11)&amp;" (ignored)",IF(AND($BM11&lt;&gt;"",$BM11&lt;&gt;"No FRET",N(IF($O11="",1,$O11))&lt;2),"⚠ FRET needs ≥ 2 colours",IF(AND($BM11&lt;&gt;"",$BM11&lt;&gt;"No FRET",N($BN11)+N($BO11)+N($BP11)=0),"⚠ FRET: set R","✔ OK"))))))))</f>
        <v>✖ saturated (B ≥ freq.)</v>
      </c>
      <c r="BV11" s="25" t="s">
        <v>146</v>
      </c>
      <c r="BW11" s="25" t="n">
        <v>35</v>
      </c>
      <c r="BX11" s="25" t="n">
        <v>500</v>
      </c>
      <c r="BY11" s="25" t="n">
        <v>1000</v>
      </c>
      <c r="BZ11" s="25" t="n">
        <v>700</v>
      </c>
      <c r="CA11" s="25" t="n">
        <v>0</v>
      </c>
      <c r="CB11" s="25" t="n">
        <v>4</v>
      </c>
      <c r="CC11" s="25" t="n">
        <v>3</v>
      </c>
      <c r="CD11" s="25" t="n">
        <v>2</v>
      </c>
      <c r="CE11" s="25" t="s">
        <v>118</v>
      </c>
      <c r="CF11" s="25"/>
      <c r="CG11" s="25"/>
      <c r="CH11" s="25"/>
      <c r="CI11" s="27" t="str">
        <f aca="false">IF(OR($CE11="",$CE11="No FRET",N($CF11)&lt;=0,N(IF($AI11="",63,$AI11))&lt;=0),"",1/(1+($CF11/IF($AI11="",63,$AI11))^6))</f>
        <v/>
      </c>
      <c r="CJ11" s="27" t="str">
        <f aca="false">IF(OR($CE11="",$CE11="No FRET",N($CG11)&lt;=0,N(IF($AJ11="",51,$AJ11))&lt;=0),"",1/(1+($CG11/IF($AJ11="",51,$AJ11))^6))</f>
        <v/>
      </c>
      <c r="CK11" s="27" t="str">
        <f aca="false">IF(OR($CE11="",$CE11="No FRET",N($CH11)&lt;=0,N(IF($AK11="",68,$AK11))&lt;=0),"",1/(1+($CH11/IF($AK11="",68,$AK11))^6))</f>
        <v/>
      </c>
      <c r="CL11" s="28" t="n">
        <f aca="false">IF(OR($A11="",N($BX11)&lt;=0),"",IF(IF($I11="",5000,$I11)&gt;0,$BX11/(IF($G11="",5000,$G11)*IF($H11="",5000,$H11)*IF($I11="",5000,$I11))/1E-024/6.022E+023/0.000000001,""))</f>
        <v>6.6423115244105</v>
      </c>
      <c r="CM11" s="29" t="str">
        <f aca="false">IF(Calc!S11=0,"",IF(Calc!Q11&gt;=1,"✖ saturated (B ≥ freq.)",IF(Calc!Q11&gt;0.1,"⚠ B &gt; 10% of freq.",IF(Calc!Q11=0,"⚠ no brightness",IF(Calc!R11&gt;0.1,"⚠ step &gt; 10% of wr",IF(OR(AND(N($CA11)&gt;0,IF($O11="",1,$O11)&lt;3),AND(N($BZ11)&gt;0,IF($O11="",1,$O11)&lt;2)),"⚠ uses a colour above Colours = "&amp;IF($O11="",1,$O11)&amp;" (ignored)",IF(AND($CE11&lt;&gt;"",$CE11&lt;&gt;"No FRET",N(IF($O11="",1,$O11))&lt;2),"⚠ FRET needs ≥ 2 colours",IF(AND($CE11&lt;&gt;"",$CE11&lt;&gt;"No FRET",N($CF11)+N($CG11)+N($CH11)=0),"⚠ FRET: set R","✔ OK"))))))))</f>
        <v>✖ saturated (B ≥ freq.)</v>
      </c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7" t="str">
        <f aca="false">IF(OR($CW11="",$CW11="No FRET",N($CX11)&lt;=0,N(IF($AI11="",63,$AI11))&lt;=0),"",1/(1+($CX11/IF($AI11="",63,$AI11))^6))</f>
        <v/>
      </c>
      <c r="DB11" s="27" t="str">
        <f aca="false">IF(OR($CW11="",$CW11="No FRET",N($CY11)&lt;=0,N(IF($AJ11="",51,$AJ11))&lt;=0),"",1/(1+($CY11/IF($AJ11="",51,$AJ11))^6))</f>
        <v/>
      </c>
      <c r="DC11" s="27" t="str">
        <f aca="false">IF(OR($CW11="",$CW11="No FRET",N($CZ11)&lt;=0,N(IF($AK11="",68,$AK11))&lt;=0),"",1/(1+($CZ11/IF($AK11="",68,$AK11))^6))</f>
        <v/>
      </c>
      <c r="DD11" s="28" t="str">
        <f aca="false">IF(OR($A11="",N($CP11)&lt;=0),"",IF(IF($I11="",5000,$I11)&gt;0,$CP11/(IF($G11="",5000,$G11)*IF($H11="",5000,$H11)*IF($I11="",5000,$I11))/1E-024/6.022E+023/0.000000001,""))</f>
        <v/>
      </c>
      <c r="DE11" s="29" t="str">
        <f aca="false">IF(Calc!Y11=0,"",IF(Calc!W11&gt;=1,"✖ saturated (B ≥ freq.)",IF(Calc!W11&gt;0.1,"⚠ B &gt; 10% of freq.",IF(Calc!W11=0,"⚠ no brightness",IF(Calc!X11&gt;0.1,"⚠ step &gt; 10% of wr",IF(OR(AND(N($CS11)&gt;0,IF($O11="",1,$O11)&lt;3),AND(N($CR11)&gt;0,IF($O11="",1,$O11)&lt;2)),"⚠ uses a colour above Colours = "&amp;IF($O11="",1,$O11)&amp;" (ignored)",IF(AND($CW11&lt;&gt;"",$CW11&lt;&gt;"No FRET",N(IF($O11="",1,$O11))&lt;2),"⚠ FRET needs ≥ 2 colours",IF(AND($CW11&lt;&gt;"",$CW11&lt;&gt;"No FRET",N($CX11)+N($CY11)+N($CZ11)=0),"⚠ FRET: set R","✔ OK"))))))))</f>
        <v/>
      </c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7" t="str">
        <f aca="false">IF(OR($DO11="",$DO11="No FRET",N($DP11)&lt;=0,N(IF($AI11="",63,$AI11))&lt;=0),"",1/(1+($DP11/IF($AI11="",63,$AI11))^6))</f>
        <v/>
      </c>
      <c r="DT11" s="27" t="str">
        <f aca="false">IF(OR($DO11="",$DO11="No FRET",N($DQ11)&lt;=0,N(IF($AJ11="",51,$AJ11))&lt;=0),"",1/(1+($DQ11/IF($AJ11="",51,$AJ11))^6))</f>
        <v/>
      </c>
      <c r="DU11" s="27" t="str">
        <f aca="false">IF(OR($DO11="",$DO11="No FRET",N($DR11)&lt;=0,N(IF($AK11="",68,$AK11))&lt;=0),"",1/(1+($DR11/IF($AK11="",68,$AK11))^6))</f>
        <v/>
      </c>
      <c r="DV11" s="28" t="str">
        <f aca="false">IF(OR($A11="",N($DH11)&lt;=0),"",IF(IF($I11="",5000,$I11)&gt;0,$DH11/(IF($G11="",5000,$G11)*IF($H11="",5000,$H11)*IF($I11="",5000,$I11))/1E-024/6.022E+023/0.000000001,""))</f>
        <v/>
      </c>
      <c r="DW11" s="29" t="str">
        <f aca="false">IF(Calc!AE11=0,"",IF(Calc!AC11&gt;=1,"✖ saturated (B ≥ freq.)",IF(Calc!AC11&gt;0.1,"⚠ B &gt; 10% of freq.",IF(Calc!AC11=0,"⚠ no brightness",IF(Calc!AD11&gt;0.1,"⚠ step &gt; 10% of wr",IF(OR(AND(N($DK11)&gt;0,IF($O11="",1,$O11)&lt;3),AND(N($DJ11)&gt;0,IF($O11="",1,$O11)&lt;2)),"⚠ uses a colour above Colours = "&amp;IF($O11="",1,$O11)&amp;" (ignored)",IF(AND($DO11&lt;&gt;"",$DO11&lt;&gt;"No FRET",N(IF($O11="",1,$O11))&lt;2),"⚠ FRET needs ≥ 2 colours",IF(AND($DO11&lt;&gt;"",$DO11&lt;&gt;"No FRET",N($DP11)+N($DQ11)+N($DR11)=0),"⚠ FRET: set R","✔ OK"))))))))</f>
        <v/>
      </c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7" t="str">
        <f aca="false">IF(OR($EG11="",$EG11="No FRET",N($EH11)&lt;=0,N(IF($AI11="",63,$AI11))&lt;=0),"",1/(1+($EH11/IF($AI11="",63,$AI11))^6))</f>
        <v/>
      </c>
      <c r="EL11" s="27" t="str">
        <f aca="false">IF(OR($EG11="",$EG11="No FRET",N($EI11)&lt;=0,N(IF($AJ11="",51,$AJ11))&lt;=0),"",1/(1+($EI11/IF($AJ11="",51,$AJ11))^6))</f>
        <v/>
      </c>
      <c r="EM11" s="27" t="str">
        <f aca="false">IF(OR($EG11="",$EG11="No FRET",N($EJ11)&lt;=0,N(IF($AK11="",68,$AK11))&lt;=0),"",1/(1+($EJ11/IF($AK11="",68,$AK11))^6))</f>
        <v/>
      </c>
      <c r="EN11" s="28" t="str">
        <f aca="false">IF(OR($A11="",N($DZ11)&lt;=0),"",IF(IF($I11="",5000,$I11)&gt;0,$DZ11/(IF($G11="",5000,$G11)*IF($H11="",5000,$H11)*IF($I11="",5000,$I11))/1E-024/6.022E+023/0.000000001,""))</f>
        <v/>
      </c>
      <c r="EO11" s="29" t="str">
        <f aca="false">IF(Calc!AK11=0,"",IF(Calc!AI11&gt;=1,"✖ saturated (B ≥ freq.)",IF(Calc!AI11&gt;0.1,"⚠ B &gt; 10% of freq.",IF(Calc!AI11=0,"⚠ no brightness",IF(Calc!AJ11&gt;0.1,"⚠ step &gt; 10% of wr",IF(OR(AND(N($EC11)&gt;0,IF($O11="",1,$O11)&lt;3),AND(N($EB11)&gt;0,IF($O11="",1,$O11)&lt;2)),"⚠ uses a colour above Colours = "&amp;IF($O11="",1,$O11)&amp;" (ignored)",IF(AND($EG11&lt;&gt;"",$EG11&lt;&gt;"No FRET",N(IF($O11="",1,$O11))&lt;2),"⚠ FRET needs ≥ 2 colours",IF(AND($EG11&lt;&gt;"",$EG11&lt;&gt;"No FRET",N($EH11)+N($EI11)+N($EJ11)=0),"⚠ FRET: set R","✔ OK"))))))))</f>
        <v/>
      </c>
      <c r="EP11" s="30" t="n">
        <f aca="false">IF($A11="","",SUM(Calc!G11,Calc!M11,Calc!S11,Calc!Y11,Calc!AE11,Calc!AK11))</f>
        <v>3</v>
      </c>
      <c r="EQ11" s="30" t="n">
        <f aca="false">IF($A11="","",N($AN11)+N($BF11)+N($BX11)+N($CP11)+N($DH11)+N($DZ11))</f>
        <v>1600</v>
      </c>
      <c r="ER11" s="31" t="n">
        <f aca="false">IF($A11="","",SUM(Calc!B11,Calc!H11,Calc!N11,Calc!T11,Calc!Z11,Calc!AF11))</f>
        <v>1007.97503652623</v>
      </c>
      <c r="ES11" s="31" t="n">
        <f aca="false">IF($A11="","",SUM(Calc!C11,Calc!I11,Calc!O11,Calc!U11,Calc!AA11,Calc!AG11))</f>
        <v>264.593447088137</v>
      </c>
      <c r="ET11" s="31" t="n">
        <f aca="false">IF($A11="","",SUM(Calc!D11,Calc!J11,Calc!P11,Calc!V11,Calc!AB11,Calc!AH11))</f>
        <v>346.491418805893</v>
      </c>
      <c r="EU11" s="27" t="n">
        <f aca="false">IF($A11="","",($ER11+$ES11+$ET11+IF($P11="Yes",N($Q11)*N(IF($O11="",1,$O11)),0))*1000*IF($K11="",10,$K11)/1000000)</f>
        <v>48.571797072608</v>
      </c>
      <c r="EV11" s="28" t="n">
        <f aca="false">IF($A11="","",$EU11*1000000*12/1000000000)</f>
        <v>0.582861564871296</v>
      </c>
      <c r="EW11" s="32" t="str">
        <f aca="false">IF($A11="","",IF($EP11=0,"⚠ no species entered",IF(((LEFT($BC11,1)="✖")+(LEFT($BU11,1)="✖")+(LEFT($CM11,1)="✖")+(LEFT($DE11,1)="✖")+(LEFT($DW11,1)="✖")+(LEFT($EO11,1)="✖"))&gt;0,"✖ "&amp;((LEFT($BC11,1)="✖")+(LEFT($BU11,1)="✖")+(LEFT($CM11,1)="✖")+(LEFT($DE11,1)="✖")+(LEFT($DW11,1)="✖")+(LEFT($EO11,1)="✖"))&amp;" species saturated - see the species checks",IF(MIN(IF($G11="",5000,$G11),IF($H11="",5000,$H11))&lt;8*MAX(IF($T11="",200,$T11),IF($U11="",200,$U11),IF($V11="",200,$V11)),"⚠ box too small laterally (&lt; 8·wr)",IF(AND(IF($I11="",5000,$I11)&gt;0,IF($I11="",5000,$I11)&lt;3*MAX(IF($W11="",1000,$W11),IF($X11="",1000,$X11),IF($Y11="",1000,$Y11))),"⚠ box too small axially (&lt; 3·wz)",IF($EV11&gt;8,"⚠ &gt; 8 GB per file: shorten the duration and use several files",IF(((LEFT($BC11,1)="⚠")+(LEFT($BU11,1)="⚠")+(LEFT($CM11,1)="⚠")+(LEFT($DE11,1)="⚠")+(LEFT($DW11,1)="⚠")+(LEFT($EO11,1)="⚠"))&gt;0,"⚠ "&amp;((LEFT($BC11,1)="⚠")+(LEFT($BU11,1)="⚠")+(LEFT($CM11,1)="⚠")+(LEFT($DE11,1)="⚠")+(LEFT($DW11,1)="⚠")+(LEFT($EO11,1)="⚠"))&amp;" species with a warning","✔ OK")))))))</f>
        <v>✖ 3 species saturated - see the species checks</v>
      </c>
      <c r="EX11" s="25" t="n">
        <v>1</v>
      </c>
      <c r="EY11" s="25"/>
      <c r="EZ11" s="25" t="s">
        <v>137</v>
      </c>
      <c r="FA11" s="25"/>
      <c r="FB11" s="25"/>
      <c r="FC11" s="25"/>
      <c r="FD11" s="25"/>
      <c r="FE11" s="26" t="s">
        <v>226</v>
      </c>
    </row>
    <row r="12" customFormat="false" ht="35.05" hidden="false" customHeight="false" outlineLevel="0" collapsed="false">
      <c r="A12" s="25" t="s">
        <v>244</v>
      </c>
      <c r="B12" s="25" t="s">
        <v>245</v>
      </c>
      <c r="C12" s="26" t="s">
        <v>246</v>
      </c>
      <c r="D12" s="26" t="s">
        <v>233</v>
      </c>
      <c r="E12" s="25" t="s">
        <v>225</v>
      </c>
      <c r="F12" s="25" t="n">
        <v>3</v>
      </c>
      <c r="G12" s="25" t="n">
        <v>5000</v>
      </c>
      <c r="H12" s="25" t="n">
        <v>5000</v>
      </c>
      <c r="I12" s="25" t="n">
        <v>5000</v>
      </c>
      <c r="J12" s="25" t="n">
        <v>1000</v>
      </c>
      <c r="K12" s="25" t="n">
        <v>30</v>
      </c>
      <c r="L12" s="25" t="n">
        <v>1</v>
      </c>
      <c r="M12" s="25" t="n">
        <v>60</v>
      </c>
      <c r="N12" s="25" t="s">
        <v>77</v>
      </c>
      <c r="O12" s="25" t="n">
        <v>3</v>
      </c>
      <c r="P12" s="25" t="s">
        <v>215</v>
      </c>
      <c r="Q12" s="25" t="n">
        <v>0.2</v>
      </c>
      <c r="R12" s="25" t="s">
        <v>215</v>
      </c>
      <c r="S12" s="25" t="n">
        <v>250</v>
      </c>
      <c r="T12" s="25" t="n">
        <v>200</v>
      </c>
      <c r="U12" s="25" t="n">
        <v>200</v>
      </c>
      <c r="V12" s="25" t="n">
        <v>200</v>
      </c>
      <c r="W12" s="25" t="n">
        <v>1000</v>
      </c>
      <c r="X12" s="25" t="n">
        <v>1000</v>
      </c>
      <c r="Y12" s="25" t="n">
        <v>1000</v>
      </c>
      <c r="Z12" s="25" t="n">
        <v>0</v>
      </c>
      <c r="AA12" s="25" t="n">
        <v>0</v>
      </c>
      <c r="AB12" s="25" t="n">
        <v>0</v>
      </c>
      <c r="AC12" s="25" t="n">
        <v>0</v>
      </c>
      <c r="AD12" s="25" t="n">
        <v>0</v>
      </c>
      <c r="AE12" s="25" t="n">
        <v>0</v>
      </c>
      <c r="AF12" s="25" t="n">
        <v>0</v>
      </c>
      <c r="AG12" s="25" t="n">
        <v>0</v>
      </c>
      <c r="AH12" s="25" t="n">
        <v>0</v>
      </c>
      <c r="AI12" s="25" t="n">
        <v>63</v>
      </c>
      <c r="AJ12" s="25" t="n">
        <v>51</v>
      </c>
      <c r="AK12" s="25" t="n">
        <v>68</v>
      </c>
      <c r="AL12" s="25" t="s">
        <v>144</v>
      </c>
      <c r="AM12" s="25" t="n">
        <v>35</v>
      </c>
      <c r="AN12" s="25" t="n">
        <v>100</v>
      </c>
      <c r="AO12" s="25" t="n">
        <v>1000</v>
      </c>
      <c r="AP12" s="25" t="n">
        <v>700</v>
      </c>
      <c r="AQ12" s="25" t="n">
        <v>500</v>
      </c>
      <c r="AR12" s="25" t="n">
        <v>4</v>
      </c>
      <c r="AS12" s="25" t="n">
        <v>3</v>
      </c>
      <c r="AT12" s="25" t="n">
        <v>2</v>
      </c>
      <c r="AU12" s="25" t="s">
        <v>118</v>
      </c>
      <c r="AV12" s="25"/>
      <c r="AW12" s="25"/>
      <c r="AX12" s="25"/>
      <c r="AY12" s="27" t="str">
        <f aca="false">IF(OR($AU12="",$AU12="No FRET",N($AV12)&lt;=0,N(IF($AI12="",63,$AI12))&lt;=0),"",1/(1+($AV12/IF($AI12="",63,$AI12))^6))</f>
        <v/>
      </c>
      <c r="AZ12" s="27" t="str">
        <f aca="false">IF(OR($AU12="",$AU12="No FRET",N($AW12)&lt;=0,N(IF($AJ12="",51,$AJ12))&lt;=0),"",1/(1+($AW12/IF($AJ12="",51,$AJ12))^6))</f>
        <v/>
      </c>
      <c r="BA12" s="27" t="str">
        <f aca="false">IF(OR($AU12="",$AU12="No FRET",N($AX12)&lt;=0,N(IF($AK12="",68,$AK12))&lt;=0),"",1/(1+($AX12/IF($AK12="",68,$AK12))^6))</f>
        <v/>
      </c>
      <c r="BB12" s="28" t="n">
        <f aca="false">IF(OR($A12="",N($AN12)&lt;=0),"",IF(IF($I12="",5000,$I12)&gt;0,$AN12/(IF($G12="",5000,$G12)*IF($H12="",5000,$H12)*IF($I12="",5000,$I12))/1E-024/6.022E+023/0.000000001,""))</f>
        <v>1.3284623048821</v>
      </c>
      <c r="BC12" s="29" t="str">
        <f aca="false">IF(Calc!G12=0,"",IF(Calc!E12&gt;=1,"✖ saturated (B ≥ freq.)",IF(Calc!E12&gt;0.1,"⚠ B &gt; 10% of freq.",IF(Calc!E12=0,"⚠ no brightness",IF(Calc!F12&gt;0.1,"⚠ step &gt; 10% of wr",IF(OR(AND(N($AQ12)&gt;0,IF($O12="",1,$O12)&lt;3),AND(N($AP12)&gt;0,IF($O12="",1,$O12)&lt;2)),"⚠ uses a colour above Colours = "&amp;IF($O12="",1,$O12)&amp;" (ignored)",IF(AND($AU12&lt;&gt;"",$AU12&lt;&gt;"No FRET",N(IF($O12="",1,$O12))&lt;2),"⚠ FRET needs ≥ 2 colours",IF(AND($AU12&lt;&gt;"",$AU12&lt;&gt;"No FRET",N($AV12)+N($AW12)+N($AX12)=0),"⚠ FRET: set R","✔ OK"))))))))</f>
        <v>✖ saturated (B ≥ freq.)</v>
      </c>
      <c r="BD12" s="25" t="s">
        <v>145</v>
      </c>
      <c r="BE12" s="25" t="n">
        <v>35</v>
      </c>
      <c r="BF12" s="25" t="n">
        <v>1000</v>
      </c>
      <c r="BG12" s="25" t="n">
        <v>1000</v>
      </c>
      <c r="BH12" s="25" t="n">
        <v>0</v>
      </c>
      <c r="BI12" s="25" t="n">
        <v>500</v>
      </c>
      <c r="BJ12" s="25" t="n">
        <v>4</v>
      </c>
      <c r="BK12" s="25" t="n">
        <v>3</v>
      </c>
      <c r="BL12" s="25" t="n">
        <v>2</v>
      </c>
      <c r="BM12" s="25" t="s">
        <v>118</v>
      </c>
      <c r="BN12" s="25"/>
      <c r="BO12" s="25"/>
      <c r="BP12" s="25"/>
      <c r="BQ12" s="27" t="str">
        <f aca="false">IF(OR($BM12="",$BM12="No FRET",N($BN12)&lt;=0,N(IF($AI12="",63,$AI12))&lt;=0),"",1/(1+($BN12/IF($AI12="",63,$AI12))^6))</f>
        <v/>
      </c>
      <c r="BR12" s="27" t="str">
        <f aca="false">IF(OR($BM12="",$BM12="No FRET",N($BO12)&lt;=0,N(IF($AJ12="",51,$AJ12))&lt;=0),"",1/(1+($BO12/IF($AJ12="",51,$AJ12))^6))</f>
        <v/>
      </c>
      <c r="BS12" s="27" t="str">
        <f aca="false">IF(OR($BM12="",$BM12="No FRET",N($BP12)&lt;=0,N(IF($AK12="",68,$AK12))&lt;=0),"",1/(1+($BP12/IF($AK12="",68,$AK12))^6))</f>
        <v/>
      </c>
      <c r="BT12" s="28" t="n">
        <f aca="false">IF(OR($A12="",N($BF12)&lt;=0),"",IF(IF($I12="",5000,$I12)&gt;0,$BF12/(IF($G12="",5000,$G12)*IF($H12="",5000,$H12)*IF($I12="",5000,$I12))/1E-024/6.022E+023/0.000000001,""))</f>
        <v>13.284623048821</v>
      </c>
      <c r="BU12" s="29" t="str">
        <f aca="false">IF(Calc!M12=0,"",IF(Calc!K12&gt;=1,"✖ saturated (B ≥ freq.)",IF(Calc!K12&gt;0.1,"⚠ B &gt; 10% of freq.",IF(Calc!K12=0,"⚠ no brightness",IF(Calc!L12&gt;0.1,"⚠ step &gt; 10% of wr",IF(OR(AND(N($BI12)&gt;0,IF($O12="",1,$O12)&lt;3),AND(N($BH12)&gt;0,IF($O12="",1,$O12)&lt;2)),"⚠ uses a colour above Colours = "&amp;IF($O12="",1,$O12)&amp;" (ignored)",IF(AND($BM12&lt;&gt;"",$BM12&lt;&gt;"No FRET",N(IF($O12="",1,$O12))&lt;2),"⚠ FRET needs ≥ 2 colours",IF(AND($BM12&lt;&gt;"",$BM12&lt;&gt;"No FRET",N($BN12)+N($BO12)+N($BP12)=0),"⚠ FRET: set R","✔ OK"))))))))</f>
        <v>✖ saturated (B ≥ freq.)</v>
      </c>
      <c r="BV12" s="25" t="s">
        <v>146</v>
      </c>
      <c r="BW12" s="25" t="n">
        <v>35</v>
      </c>
      <c r="BX12" s="25" t="n">
        <v>2000</v>
      </c>
      <c r="BY12" s="25" t="n">
        <v>2000</v>
      </c>
      <c r="BZ12" s="25" t="n">
        <v>700</v>
      </c>
      <c r="CA12" s="25" t="n">
        <v>0</v>
      </c>
      <c r="CB12" s="25" t="n">
        <v>4</v>
      </c>
      <c r="CC12" s="25" t="n">
        <v>3</v>
      </c>
      <c r="CD12" s="25" t="n">
        <v>2</v>
      </c>
      <c r="CE12" s="25" t="s">
        <v>118</v>
      </c>
      <c r="CF12" s="25"/>
      <c r="CG12" s="25"/>
      <c r="CH12" s="25"/>
      <c r="CI12" s="27" t="str">
        <f aca="false">IF(OR($CE12="",$CE12="No FRET",N($CF12)&lt;=0,N(IF($AI12="",63,$AI12))&lt;=0),"",1/(1+($CF12/IF($AI12="",63,$AI12))^6))</f>
        <v/>
      </c>
      <c r="CJ12" s="27" t="str">
        <f aca="false">IF(OR($CE12="",$CE12="No FRET",N($CG12)&lt;=0,N(IF($AJ12="",51,$AJ12))&lt;=0),"",1/(1+($CG12/IF($AJ12="",51,$AJ12))^6))</f>
        <v/>
      </c>
      <c r="CK12" s="27" t="str">
        <f aca="false">IF(OR($CE12="",$CE12="No FRET",N($CH12)&lt;=0,N(IF($AK12="",68,$AK12))&lt;=0),"",1/(1+($CH12/IF($AK12="",68,$AK12))^6))</f>
        <v/>
      </c>
      <c r="CL12" s="28" t="n">
        <f aca="false">IF(OR($A12="",N($BX12)&lt;=0),"",IF(IF($I12="",5000,$I12)&gt;0,$BX12/(IF($G12="",5000,$G12)*IF($H12="",5000,$H12)*IF($I12="",5000,$I12))/1E-024/6.022E+023/0.000000001,""))</f>
        <v>26.569246097642</v>
      </c>
      <c r="CM12" s="29" t="str">
        <f aca="false">IF(Calc!S12=0,"",IF(Calc!Q12&gt;=1,"✖ saturated (B ≥ freq.)",IF(Calc!Q12&gt;0.1,"⚠ B &gt; 10% of freq.",IF(Calc!Q12=0,"⚠ no brightness",IF(Calc!R12&gt;0.1,"⚠ step &gt; 10% of wr",IF(OR(AND(N($CA12)&gt;0,IF($O12="",1,$O12)&lt;3),AND(N($BZ12)&gt;0,IF($O12="",1,$O12)&lt;2)),"⚠ uses a colour above Colours = "&amp;IF($O12="",1,$O12)&amp;" (ignored)",IF(AND($CE12&lt;&gt;"",$CE12&lt;&gt;"No FRET",N(IF($O12="",1,$O12))&lt;2),"⚠ FRET needs ≥ 2 colours",IF(AND($CE12&lt;&gt;"",$CE12&lt;&gt;"No FRET",N($CF12)+N($CG12)+N($CH12)=0),"⚠ FRET: set R","✔ OK"))))))))</f>
        <v>✖ saturated (B ≥ freq.)</v>
      </c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7" t="str">
        <f aca="false">IF(OR($CW12="",$CW12="No FRET",N($CX12)&lt;=0,N(IF($AI12="",63,$AI12))&lt;=0),"",1/(1+($CX12/IF($AI12="",63,$AI12))^6))</f>
        <v/>
      </c>
      <c r="DB12" s="27" t="str">
        <f aca="false">IF(OR($CW12="",$CW12="No FRET",N($CY12)&lt;=0,N(IF($AJ12="",51,$AJ12))&lt;=0),"",1/(1+($CY12/IF($AJ12="",51,$AJ12))^6))</f>
        <v/>
      </c>
      <c r="DC12" s="27" t="str">
        <f aca="false">IF(OR($CW12="",$CW12="No FRET",N($CZ12)&lt;=0,N(IF($AK12="",68,$AK12))&lt;=0),"",1/(1+($CZ12/IF($AK12="",68,$AK12))^6))</f>
        <v/>
      </c>
      <c r="DD12" s="28" t="str">
        <f aca="false">IF(OR($A12="",N($CP12)&lt;=0),"",IF(IF($I12="",5000,$I12)&gt;0,$CP12/(IF($G12="",5000,$G12)*IF($H12="",5000,$H12)*IF($I12="",5000,$I12))/1E-024/6.022E+023/0.000000001,""))</f>
        <v/>
      </c>
      <c r="DE12" s="29" t="str">
        <f aca="false">IF(Calc!Y12=0,"",IF(Calc!W12&gt;=1,"✖ saturated (B ≥ freq.)",IF(Calc!W12&gt;0.1,"⚠ B &gt; 10% of freq.",IF(Calc!W12=0,"⚠ no brightness",IF(Calc!X12&gt;0.1,"⚠ step &gt; 10% of wr",IF(OR(AND(N($CS12)&gt;0,IF($O12="",1,$O12)&lt;3),AND(N($CR12)&gt;0,IF($O12="",1,$O12)&lt;2)),"⚠ uses a colour above Colours = "&amp;IF($O12="",1,$O12)&amp;" (ignored)",IF(AND($CW12&lt;&gt;"",$CW12&lt;&gt;"No FRET",N(IF($O12="",1,$O12))&lt;2),"⚠ FRET needs ≥ 2 colours",IF(AND($CW12&lt;&gt;"",$CW12&lt;&gt;"No FRET",N($CX12)+N($CY12)+N($CZ12)=0),"⚠ FRET: set R","✔ OK"))))))))</f>
        <v/>
      </c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7" t="str">
        <f aca="false">IF(OR($DO12="",$DO12="No FRET",N($DP12)&lt;=0,N(IF($AI12="",63,$AI12))&lt;=0),"",1/(1+($DP12/IF($AI12="",63,$AI12))^6))</f>
        <v/>
      </c>
      <c r="DT12" s="27" t="str">
        <f aca="false">IF(OR($DO12="",$DO12="No FRET",N($DQ12)&lt;=0,N(IF($AJ12="",51,$AJ12))&lt;=0),"",1/(1+($DQ12/IF($AJ12="",51,$AJ12))^6))</f>
        <v/>
      </c>
      <c r="DU12" s="27" t="str">
        <f aca="false">IF(OR($DO12="",$DO12="No FRET",N($DR12)&lt;=0,N(IF($AK12="",68,$AK12))&lt;=0),"",1/(1+($DR12/IF($AK12="",68,$AK12))^6))</f>
        <v/>
      </c>
      <c r="DV12" s="28" t="str">
        <f aca="false">IF(OR($A12="",N($DH12)&lt;=0),"",IF(IF($I12="",5000,$I12)&gt;0,$DH12/(IF($G12="",5000,$G12)*IF($H12="",5000,$H12)*IF($I12="",5000,$I12))/1E-024/6.022E+023/0.000000001,""))</f>
        <v/>
      </c>
      <c r="DW12" s="29" t="str">
        <f aca="false">IF(Calc!AE12=0,"",IF(Calc!AC12&gt;=1,"✖ saturated (B ≥ freq.)",IF(Calc!AC12&gt;0.1,"⚠ B &gt; 10% of freq.",IF(Calc!AC12=0,"⚠ no brightness",IF(Calc!AD12&gt;0.1,"⚠ step &gt; 10% of wr",IF(OR(AND(N($DK12)&gt;0,IF($O12="",1,$O12)&lt;3),AND(N($DJ12)&gt;0,IF($O12="",1,$O12)&lt;2)),"⚠ uses a colour above Colours = "&amp;IF($O12="",1,$O12)&amp;" (ignored)",IF(AND($DO12&lt;&gt;"",$DO12&lt;&gt;"No FRET",N(IF($O12="",1,$O12))&lt;2),"⚠ FRET needs ≥ 2 colours",IF(AND($DO12&lt;&gt;"",$DO12&lt;&gt;"No FRET",N($DP12)+N($DQ12)+N($DR12)=0),"⚠ FRET: set R","✔ OK"))))))))</f>
        <v/>
      </c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7" t="str">
        <f aca="false">IF(OR($EG12="",$EG12="No FRET",N($EH12)&lt;=0,N(IF($AI12="",63,$AI12))&lt;=0),"",1/(1+($EH12/IF($AI12="",63,$AI12))^6))</f>
        <v/>
      </c>
      <c r="EL12" s="27" t="str">
        <f aca="false">IF(OR($EG12="",$EG12="No FRET",N($EI12)&lt;=0,N(IF($AJ12="",51,$AJ12))&lt;=0),"",1/(1+($EI12/IF($AJ12="",51,$AJ12))^6))</f>
        <v/>
      </c>
      <c r="EM12" s="27" t="str">
        <f aca="false">IF(OR($EG12="",$EG12="No FRET",N($EJ12)&lt;=0,N(IF($AK12="",68,$AK12))&lt;=0),"",1/(1+($EJ12/IF($AK12="",68,$AK12))^6))</f>
        <v/>
      </c>
      <c r="EN12" s="28" t="str">
        <f aca="false">IF(OR($A12="",N($DZ12)&lt;=0),"",IF(IF($I12="",5000,$I12)&gt;0,$DZ12/(IF($G12="",5000,$G12)*IF($H12="",5000,$H12)*IF($I12="",5000,$I12))/1E-024/6.022E+023/0.000000001,""))</f>
        <v/>
      </c>
      <c r="EO12" s="29" t="str">
        <f aca="false">IF(Calc!AK12=0,"",IF(Calc!AI12&gt;=1,"✖ saturated (B ≥ freq.)",IF(Calc!AI12&gt;0.1,"⚠ B &gt; 10% of freq.",IF(Calc!AI12=0,"⚠ no brightness",IF(Calc!AJ12&gt;0.1,"⚠ step &gt; 10% of wr",IF(OR(AND(N($EC12)&gt;0,IF($O12="",1,$O12)&lt;3),AND(N($EB12)&gt;0,IF($O12="",1,$O12)&lt;2)),"⚠ uses a colour above Colours = "&amp;IF($O12="",1,$O12)&amp;" (ignored)",IF(AND($EG12&lt;&gt;"",$EG12&lt;&gt;"No FRET",N(IF($O12="",1,$O12))&lt;2),"⚠ FRET needs ≥ 2 colours",IF(AND($EG12&lt;&gt;"",$EG12&lt;&gt;"No FRET",N($EH12)+N($EI12)+N($EJ12)=0),"⚠ FRET: set R","✔ OK"))))))))</f>
        <v/>
      </c>
      <c r="EP12" s="30" t="n">
        <f aca="false">IF($A12="","",SUM(Calc!G12,Calc!M12,Calc!S12,Calc!Y12,Calc!AE12,Calc!AK12))</f>
        <v>3</v>
      </c>
      <c r="EQ12" s="30" t="n">
        <f aca="false">IF($A12="","",N($AN12)+N($BF12)+N($BX12)+N($CP12)+N($DH12)+N($DZ12))</f>
        <v>3100</v>
      </c>
      <c r="ER12" s="31" t="n">
        <f aca="false">IF($A12="","",SUM(Calc!B12,Calc!H12,Calc!N12,Calc!T12,Calc!Z12,Calc!AF12))</f>
        <v>3025.95776972885</v>
      </c>
      <c r="ES12" s="31" t="n">
        <f aca="false">IF($A12="","",SUM(Calc!C12,Calc!I12,Calc!O12,Calc!U12,Calc!AA12,Calc!AG12))</f>
        <v>926.077064808478</v>
      </c>
      <c r="ET12" s="31" t="n">
        <f aca="false">IF($A12="","",SUM(Calc!D12,Calc!J12,Calc!P12,Calc!V12,Calc!AB12,Calc!AH12))</f>
        <v>346.491418805893</v>
      </c>
      <c r="EU12" s="27" t="n">
        <f aca="false">IF($A12="","",($ER12+$ES12+$ET12+IF($P12="Yes",N($Q12)*N(IF($O12="",1,$O12)),0))*1000*IF($K12="",10,$K12)/1000000)</f>
        <v>128.955787600297</v>
      </c>
      <c r="EV12" s="28" t="n">
        <f aca="false">IF($A12="","",$EU12*1000000*12/1000000000)</f>
        <v>1.54746945120356</v>
      </c>
      <c r="EW12" s="32" t="str">
        <f aca="false">IF($A12="","",IF($EP12=0,"⚠ no species entered",IF(((LEFT($BC12,1)="✖")+(LEFT($BU12,1)="✖")+(LEFT($CM12,1)="✖")+(LEFT($DE12,1)="✖")+(LEFT($DW12,1)="✖")+(LEFT($EO12,1)="✖"))&gt;0,"✖ "&amp;((LEFT($BC12,1)="✖")+(LEFT($BU12,1)="✖")+(LEFT($CM12,1)="✖")+(LEFT($DE12,1)="✖")+(LEFT($DW12,1)="✖")+(LEFT($EO12,1)="✖"))&amp;" species saturated - see the species checks",IF(MIN(IF($G12="",5000,$G12),IF($H12="",5000,$H12))&lt;8*MAX(IF($T12="",200,$T12),IF($U12="",200,$U12),IF($V12="",200,$V12)),"⚠ box too small laterally (&lt; 8·wr)",IF(AND(IF($I12="",5000,$I12)&gt;0,IF($I12="",5000,$I12)&lt;3*MAX(IF($W12="",1000,$W12),IF($X12="",1000,$X12),IF($Y12="",1000,$Y12))),"⚠ box too small axially (&lt; 3·wz)",IF($EV12&gt;8,"⚠ &gt; 8 GB per file: shorten the duration and use several files",IF(((LEFT($BC12,1)="⚠")+(LEFT($BU12,1)="⚠")+(LEFT($CM12,1)="⚠")+(LEFT($DE12,1)="⚠")+(LEFT($DW12,1)="⚠")+(LEFT($EO12,1)="⚠"))&gt;0,"⚠ "&amp;((LEFT($BC12,1)="⚠")+(LEFT($BU12,1)="⚠")+(LEFT($CM12,1)="⚠")+(LEFT($DE12,1)="⚠")+(LEFT($DW12,1)="⚠")+(LEFT($EO12,1)="⚠"))&amp;" species with a warning","✔ OK")))))))</f>
        <v>✖ 3 species saturated - see the species checks</v>
      </c>
      <c r="EX12" s="25" t="n">
        <v>1</v>
      </c>
      <c r="EY12" s="25"/>
      <c r="EZ12" s="25" t="s">
        <v>137</v>
      </c>
      <c r="FA12" s="25"/>
      <c r="FB12" s="25"/>
      <c r="FC12" s="25"/>
      <c r="FD12" s="25"/>
      <c r="FE12" s="26" t="s">
        <v>226</v>
      </c>
    </row>
    <row r="13" customFormat="false" ht="35.05" hidden="false" customHeight="false" outlineLevel="0" collapsed="false">
      <c r="A13" s="25" t="s">
        <v>247</v>
      </c>
      <c r="B13" s="25" t="s">
        <v>248</v>
      </c>
      <c r="C13" s="26"/>
      <c r="D13" s="26" t="s">
        <v>233</v>
      </c>
      <c r="E13" s="25" t="s">
        <v>225</v>
      </c>
      <c r="F13" s="25" t="n">
        <v>3</v>
      </c>
      <c r="G13" s="25" t="n">
        <v>5000</v>
      </c>
      <c r="H13" s="25" t="n">
        <v>5000</v>
      </c>
      <c r="I13" s="25" t="n">
        <v>5000</v>
      </c>
      <c r="J13" s="25" t="n">
        <v>1000</v>
      </c>
      <c r="K13" s="25" t="n">
        <v>30</v>
      </c>
      <c r="L13" s="25" t="n">
        <v>1</v>
      </c>
      <c r="M13" s="25" t="n">
        <v>60</v>
      </c>
      <c r="N13" s="25" t="s">
        <v>77</v>
      </c>
      <c r="O13" s="25" t="n">
        <v>3</v>
      </c>
      <c r="P13" s="25" t="s">
        <v>215</v>
      </c>
      <c r="Q13" s="25" t="n">
        <v>0.2</v>
      </c>
      <c r="R13" s="25" t="s">
        <v>215</v>
      </c>
      <c r="S13" s="25" t="n">
        <v>250</v>
      </c>
      <c r="T13" s="25" t="n">
        <v>200</v>
      </c>
      <c r="U13" s="25" t="n">
        <v>200</v>
      </c>
      <c r="V13" s="25" t="n">
        <v>200</v>
      </c>
      <c r="W13" s="25" t="n">
        <v>1000</v>
      </c>
      <c r="X13" s="25" t="n">
        <v>1000</v>
      </c>
      <c r="Y13" s="25" t="n">
        <v>1000</v>
      </c>
      <c r="Z13" s="25" t="n">
        <v>0</v>
      </c>
      <c r="AA13" s="25" t="n">
        <v>0</v>
      </c>
      <c r="AB13" s="25" t="n">
        <v>0</v>
      </c>
      <c r="AC13" s="25" t="n">
        <v>0</v>
      </c>
      <c r="AD13" s="25" t="n">
        <v>0</v>
      </c>
      <c r="AE13" s="25" t="n">
        <v>0</v>
      </c>
      <c r="AF13" s="25" t="n">
        <v>0</v>
      </c>
      <c r="AG13" s="25" t="n">
        <v>0</v>
      </c>
      <c r="AH13" s="25" t="n">
        <v>0</v>
      </c>
      <c r="AI13" s="25" t="n">
        <v>63</v>
      </c>
      <c r="AJ13" s="25" t="n">
        <v>51</v>
      </c>
      <c r="AK13" s="25" t="n">
        <v>68</v>
      </c>
      <c r="AL13" s="25" t="s">
        <v>144</v>
      </c>
      <c r="AM13" s="25" t="n">
        <v>35</v>
      </c>
      <c r="AN13" s="25" t="n">
        <v>10</v>
      </c>
      <c r="AO13" s="25" t="n">
        <v>1000</v>
      </c>
      <c r="AP13" s="25" t="n">
        <v>700</v>
      </c>
      <c r="AQ13" s="25" t="n">
        <v>500</v>
      </c>
      <c r="AR13" s="25" t="n">
        <v>4</v>
      </c>
      <c r="AS13" s="25" t="n">
        <v>3</v>
      </c>
      <c r="AT13" s="25" t="n">
        <v>2</v>
      </c>
      <c r="AU13" s="25" t="s">
        <v>118</v>
      </c>
      <c r="AV13" s="25"/>
      <c r="AW13" s="25"/>
      <c r="AX13" s="25"/>
      <c r="AY13" s="27" t="str">
        <f aca="false">IF(OR($AU13="",$AU13="No FRET",N($AV13)&lt;=0,N(IF($AI13="",63,$AI13))&lt;=0),"",1/(1+($AV13/IF($AI13="",63,$AI13))^6))</f>
        <v/>
      </c>
      <c r="AZ13" s="27" t="str">
        <f aca="false">IF(OR($AU13="",$AU13="No FRET",N($AW13)&lt;=0,N(IF($AJ13="",51,$AJ13))&lt;=0),"",1/(1+($AW13/IF($AJ13="",51,$AJ13))^6))</f>
        <v/>
      </c>
      <c r="BA13" s="27" t="str">
        <f aca="false">IF(OR($AU13="",$AU13="No FRET",N($AX13)&lt;=0,N(IF($AK13="",68,$AK13))&lt;=0),"",1/(1+($AX13/IF($AK13="",68,$AK13))^6))</f>
        <v/>
      </c>
      <c r="BB13" s="28" t="n">
        <f aca="false">IF(OR($A13="",N($AN13)&lt;=0),"",IF(IF($I13="",5000,$I13)&gt;0,$AN13/(IF($G13="",5000,$G13)*IF($H13="",5000,$H13)*IF($I13="",5000,$I13))/1E-024/6.022E+023/0.000000001,""))</f>
        <v>0.13284623048821</v>
      </c>
      <c r="BC13" s="29" t="str">
        <f aca="false">IF(Calc!G13=0,"",IF(Calc!E13&gt;=1,"✖ saturated (B ≥ freq.)",IF(Calc!E13&gt;0.1,"⚠ B &gt; 10% of freq.",IF(Calc!E13=0,"⚠ no brightness",IF(Calc!F13&gt;0.1,"⚠ step &gt; 10% of wr",IF(OR(AND(N($AQ13)&gt;0,IF($O13="",1,$O13)&lt;3),AND(N($AP13)&gt;0,IF($O13="",1,$O13)&lt;2)),"⚠ uses a colour above Colours = "&amp;IF($O13="",1,$O13)&amp;" (ignored)",IF(AND($AU13&lt;&gt;"",$AU13&lt;&gt;"No FRET",N(IF($O13="",1,$O13))&lt;2),"⚠ FRET needs ≥ 2 colours",IF(AND($AU13&lt;&gt;"",$AU13&lt;&gt;"No FRET",N($AV13)+N($AW13)+N($AX13)=0),"⚠ FRET: set R","✔ OK"))))))))</f>
        <v>✖ saturated (B ≥ freq.)</v>
      </c>
      <c r="BD13" s="25" t="s">
        <v>145</v>
      </c>
      <c r="BE13" s="25" t="n">
        <v>35</v>
      </c>
      <c r="BF13" s="25" t="n">
        <v>10</v>
      </c>
      <c r="BG13" s="25" t="n">
        <v>1000</v>
      </c>
      <c r="BH13" s="25" t="n">
        <v>0</v>
      </c>
      <c r="BI13" s="25" t="n">
        <v>500</v>
      </c>
      <c r="BJ13" s="25" t="n">
        <v>4</v>
      </c>
      <c r="BK13" s="25" t="n">
        <v>3</v>
      </c>
      <c r="BL13" s="25" t="n">
        <v>2</v>
      </c>
      <c r="BM13" s="25" t="s">
        <v>118</v>
      </c>
      <c r="BN13" s="25"/>
      <c r="BO13" s="25"/>
      <c r="BP13" s="25"/>
      <c r="BQ13" s="27" t="str">
        <f aca="false">IF(OR($BM13="",$BM13="No FRET",N($BN13)&lt;=0,N(IF($AI13="",63,$AI13))&lt;=0),"",1/(1+($BN13/IF($AI13="",63,$AI13))^6))</f>
        <v/>
      </c>
      <c r="BR13" s="27" t="str">
        <f aca="false">IF(OR($BM13="",$BM13="No FRET",N($BO13)&lt;=0,N(IF($AJ13="",51,$AJ13))&lt;=0),"",1/(1+($BO13/IF($AJ13="",51,$AJ13))^6))</f>
        <v/>
      </c>
      <c r="BS13" s="27" t="str">
        <f aca="false">IF(OR($BM13="",$BM13="No FRET",N($BP13)&lt;=0,N(IF($AK13="",68,$AK13))&lt;=0),"",1/(1+($BP13/IF($AK13="",68,$AK13))^6))</f>
        <v/>
      </c>
      <c r="BT13" s="28" t="n">
        <f aca="false">IF(OR($A13="",N($BF13)&lt;=0),"",IF(IF($I13="",5000,$I13)&gt;0,$BF13/(IF($G13="",5000,$G13)*IF($H13="",5000,$H13)*IF($I13="",5000,$I13))/1E-024/6.022E+023/0.000000001,""))</f>
        <v>0.13284623048821</v>
      </c>
      <c r="BU13" s="29" t="str">
        <f aca="false">IF(Calc!M13=0,"",IF(Calc!K13&gt;=1,"✖ saturated (B ≥ freq.)",IF(Calc!K13&gt;0.1,"⚠ B &gt; 10% of freq.",IF(Calc!K13=0,"⚠ no brightness",IF(Calc!L13&gt;0.1,"⚠ step &gt; 10% of wr",IF(OR(AND(N($BI13)&gt;0,IF($O13="",1,$O13)&lt;3),AND(N($BH13)&gt;0,IF($O13="",1,$O13)&lt;2)),"⚠ uses a colour above Colours = "&amp;IF($O13="",1,$O13)&amp;" (ignored)",IF(AND($BM13&lt;&gt;"",$BM13&lt;&gt;"No FRET",N(IF($O13="",1,$O13))&lt;2),"⚠ FRET needs ≥ 2 colours",IF(AND($BM13&lt;&gt;"",$BM13&lt;&gt;"No FRET",N($BN13)+N($BO13)+N($BP13)=0),"⚠ FRET: set R","✔ OK"))))))))</f>
        <v>✖ saturated (B ≥ freq.)</v>
      </c>
      <c r="BV13" s="25" t="s">
        <v>146</v>
      </c>
      <c r="BW13" s="25" t="n">
        <v>35</v>
      </c>
      <c r="BX13" s="25" t="n">
        <v>10</v>
      </c>
      <c r="BY13" s="25" t="n">
        <v>2000</v>
      </c>
      <c r="BZ13" s="25" t="n">
        <v>700</v>
      </c>
      <c r="CA13" s="25" t="n">
        <v>0</v>
      </c>
      <c r="CB13" s="25" t="n">
        <v>4</v>
      </c>
      <c r="CC13" s="25" t="n">
        <v>3</v>
      </c>
      <c r="CD13" s="25" t="n">
        <v>2</v>
      </c>
      <c r="CE13" s="25" t="s">
        <v>118</v>
      </c>
      <c r="CF13" s="25"/>
      <c r="CG13" s="25"/>
      <c r="CH13" s="25"/>
      <c r="CI13" s="27" t="str">
        <f aca="false">IF(OR($CE13="",$CE13="No FRET",N($CF13)&lt;=0,N(IF($AI13="",63,$AI13))&lt;=0),"",1/(1+($CF13/IF($AI13="",63,$AI13))^6))</f>
        <v/>
      </c>
      <c r="CJ13" s="27" t="str">
        <f aca="false">IF(OR($CE13="",$CE13="No FRET",N($CG13)&lt;=0,N(IF($AJ13="",51,$AJ13))&lt;=0),"",1/(1+($CG13/IF($AJ13="",51,$AJ13))^6))</f>
        <v/>
      </c>
      <c r="CK13" s="27" t="str">
        <f aca="false">IF(OR($CE13="",$CE13="No FRET",N($CH13)&lt;=0,N(IF($AK13="",68,$AK13))&lt;=0),"",1/(1+($CH13/IF($AK13="",68,$AK13))^6))</f>
        <v/>
      </c>
      <c r="CL13" s="28" t="n">
        <f aca="false">IF(OR($A13="",N($BX13)&lt;=0),"",IF(IF($I13="",5000,$I13)&gt;0,$BX13/(IF($G13="",5000,$G13)*IF($H13="",5000,$H13)*IF($I13="",5000,$I13))/1E-024/6.022E+023/0.000000001,""))</f>
        <v>0.13284623048821</v>
      </c>
      <c r="CM13" s="29" t="str">
        <f aca="false">IF(Calc!S13=0,"",IF(Calc!Q13&gt;=1,"✖ saturated (B ≥ freq.)",IF(Calc!Q13&gt;0.1,"⚠ B &gt; 10% of freq.",IF(Calc!Q13=0,"⚠ no brightness",IF(Calc!R13&gt;0.1,"⚠ step &gt; 10% of wr",IF(OR(AND(N($CA13)&gt;0,IF($O13="",1,$O13)&lt;3),AND(N($BZ13)&gt;0,IF($O13="",1,$O13)&lt;2)),"⚠ uses a colour above Colours = "&amp;IF($O13="",1,$O13)&amp;" (ignored)",IF(AND($CE13&lt;&gt;"",$CE13&lt;&gt;"No FRET",N(IF($O13="",1,$O13))&lt;2),"⚠ FRET needs ≥ 2 colours",IF(AND($CE13&lt;&gt;"",$CE13&lt;&gt;"No FRET",N($CF13)+N($CG13)+N($CH13)=0),"⚠ FRET: set R","✔ OK"))))))))</f>
        <v>✖ saturated (B ≥ freq.)</v>
      </c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7" t="str">
        <f aca="false">IF(OR($CW13="",$CW13="No FRET",N($CX13)&lt;=0,N(IF($AI13="",63,$AI13))&lt;=0),"",1/(1+($CX13/IF($AI13="",63,$AI13))^6))</f>
        <v/>
      </c>
      <c r="DB13" s="27" t="str">
        <f aca="false">IF(OR($CW13="",$CW13="No FRET",N($CY13)&lt;=0,N(IF($AJ13="",51,$AJ13))&lt;=0),"",1/(1+($CY13/IF($AJ13="",51,$AJ13))^6))</f>
        <v/>
      </c>
      <c r="DC13" s="27" t="str">
        <f aca="false">IF(OR($CW13="",$CW13="No FRET",N($CZ13)&lt;=0,N(IF($AK13="",68,$AK13))&lt;=0),"",1/(1+($CZ13/IF($AK13="",68,$AK13))^6))</f>
        <v/>
      </c>
      <c r="DD13" s="28" t="str">
        <f aca="false">IF(OR($A13="",N($CP13)&lt;=0),"",IF(IF($I13="",5000,$I13)&gt;0,$CP13/(IF($G13="",5000,$G13)*IF($H13="",5000,$H13)*IF($I13="",5000,$I13))/1E-024/6.022E+023/0.000000001,""))</f>
        <v/>
      </c>
      <c r="DE13" s="29" t="str">
        <f aca="false">IF(Calc!Y13=0,"",IF(Calc!W13&gt;=1,"✖ saturated (B ≥ freq.)",IF(Calc!W13&gt;0.1,"⚠ B &gt; 10% of freq.",IF(Calc!W13=0,"⚠ no brightness",IF(Calc!X13&gt;0.1,"⚠ step &gt; 10% of wr",IF(OR(AND(N($CS13)&gt;0,IF($O13="",1,$O13)&lt;3),AND(N($CR13)&gt;0,IF($O13="",1,$O13)&lt;2)),"⚠ uses a colour above Colours = "&amp;IF($O13="",1,$O13)&amp;" (ignored)",IF(AND($CW13&lt;&gt;"",$CW13&lt;&gt;"No FRET",N(IF($O13="",1,$O13))&lt;2),"⚠ FRET needs ≥ 2 colours",IF(AND($CW13&lt;&gt;"",$CW13&lt;&gt;"No FRET",N($CX13)+N($CY13)+N($CZ13)=0),"⚠ FRET: set R","✔ OK"))))))))</f>
        <v/>
      </c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7" t="str">
        <f aca="false">IF(OR($DO13="",$DO13="No FRET",N($DP13)&lt;=0,N(IF($AI13="",63,$AI13))&lt;=0),"",1/(1+($DP13/IF($AI13="",63,$AI13))^6))</f>
        <v/>
      </c>
      <c r="DT13" s="27" t="str">
        <f aca="false">IF(OR($DO13="",$DO13="No FRET",N($DQ13)&lt;=0,N(IF($AJ13="",51,$AJ13))&lt;=0),"",1/(1+($DQ13/IF($AJ13="",51,$AJ13))^6))</f>
        <v/>
      </c>
      <c r="DU13" s="27" t="str">
        <f aca="false">IF(OR($DO13="",$DO13="No FRET",N($DR13)&lt;=0,N(IF($AK13="",68,$AK13))&lt;=0),"",1/(1+($DR13/IF($AK13="",68,$AK13))^6))</f>
        <v/>
      </c>
      <c r="DV13" s="28" t="str">
        <f aca="false">IF(OR($A13="",N($DH13)&lt;=0),"",IF(IF($I13="",5000,$I13)&gt;0,$DH13/(IF($G13="",5000,$G13)*IF($H13="",5000,$H13)*IF($I13="",5000,$I13))/1E-024/6.022E+023/0.000000001,""))</f>
        <v/>
      </c>
      <c r="DW13" s="29" t="str">
        <f aca="false">IF(Calc!AE13=0,"",IF(Calc!AC13&gt;=1,"✖ saturated (B ≥ freq.)",IF(Calc!AC13&gt;0.1,"⚠ B &gt; 10% of freq.",IF(Calc!AC13=0,"⚠ no brightness",IF(Calc!AD13&gt;0.1,"⚠ step &gt; 10% of wr",IF(OR(AND(N($DK13)&gt;0,IF($O13="",1,$O13)&lt;3),AND(N($DJ13)&gt;0,IF($O13="",1,$O13)&lt;2)),"⚠ uses a colour above Colours = "&amp;IF($O13="",1,$O13)&amp;" (ignored)",IF(AND($DO13&lt;&gt;"",$DO13&lt;&gt;"No FRET",N(IF($O13="",1,$O13))&lt;2),"⚠ FRET needs ≥ 2 colours",IF(AND($DO13&lt;&gt;"",$DO13&lt;&gt;"No FRET",N($DP13)+N($DQ13)+N($DR13)=0),"⚠ FRET: set R","✔ OK"))))))))</f>
        <v/>
      </c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7" t="str">
        <f aca="false">IF(OR($EG13="",$EG13="No FRET",N($EH13)&lt;=0,N(IF($AI13="",63,$AI13))&lt;=0),"",1/(1+($EH13/IF($AI13="",63,$AI13))^6))</f>
        <v/>
      </c>
      <c r="EL13" s="27" t="str">
        <f aca="false">IF(OR($EG13="",$EG13="No FRET",N($EI13)&lt;=0,N(IF($AJ13="",51,$AJ13))&lt;=0),"",1/(1+($EI13/IF($AJ13="",51,$AJ13))^6))</f>
        <v/>
      </c>
      <c r="EM13" s="27" t="str">
        <f aca="false">IF(OR($EG13="",$EG13="No FRET",N($EJ13)&lt;=0,N(IF($AK13="",68,$AK13))&lt;=0),"",1/(1+($EJ13/IF($AK13="",68,$AK13))^6))</f>
        <v/>
      </c>
      <c r="EN13" s="28" t="str">
        <f aca="false">IF(OR($A13="",N($DZ13)&lt;=0),"",IF(IF($I13="",5000,$I13)&gt;0,$DZ13/(IF($G13="",5000,$G13)*IF($H13="",5000,$H13)*IF($I13="",5000,$I13))/1E-024/6.022E+023/0.000000001,""))</f>
        <v/>
      </c>
      <c r="EO13" s="29" t="str">
        <f aca="false">IF(Calc!AK13=0,"",IF(Calc!AI13&gt;=1,"✖ saturated (B ≥ freq.)",IF(Calc!AI13&gt;0.1,"⚠ B &gt; 10% of freq.",IF(Calc!AI13=0,"⚠ no brightness",IF(Calc!AJ13&gt;0.1,"⚠ step &gt; 10% of wr",IF(OR(AND(N($EC13)&gt;0,IF($O13="",1,$O13)&lt;3),AND(N($EB13)&gt;0,IF($O13="",1,$O13)&lt;2)),"⚠ uses a colour above Colours = "&amp;IF($O13="",1,$O13)&amp;" (ignored)",IF(AND($EG13&lt;&gt;"",$EG13&lt;&gt;"No FRET",N(IF($O13="",1,$O13))&lt;2),"⚠ FRET needs ≥ 2 colours",IF(AND($EG13&lt;&gt;"",$EG13&lt;&gt;"No FRET",N($EH13)+N($EI13)+N($EJ13)=0),"⚠ FRET: set R","✔ OK"))))))))</f>
        <v/>
      </c>
      <c r="EP13" s="30" t="n">
        <f aca="false">IF($A13="","",SUM(Calc!G13,Calc!M13,Calc!S13,Calc!Y13,Calc!AE13,Calc!AK13))</f>
        <v>3</v>
      </c>
      <c r="EQ13" s="30" t="n">
        <f aca="false">IF($A13="","",N($AN13)+N($BF13)+N($BX13)+N($CP13)+N($DH13)+N($DZ13))</f>
        <v>30</v>
      </c>
      <c r="ER13" s="31" t="n">
        <f aca="false">IF($A13="","",SUM(Calc!B13,Calc!H13,Calc!N13,Calc!T13,Calc!Z13,Calc!AF13))</f>
        <v>24.2645626171632</v>
      </c>
      <c r="ES13" s="31" t="n">
        <f aca="false">IF($A13="","",SUM(Calc!C13,Calc!I13,Calc!O13,Calc!U13,Calc!AA13,Calc!AG13))</f>
        <v>8.81978156960456</v>
      </c>
      <c r="ET13" s="31" t="n">
        <f aca="false">IF($A13="","",SUM(Calc!D13,Calc!J13,Calc!P13,Calc!V13,Calc!AB13,Calc!AH13))</f>
        <v>6.29984397828897</v>
      </c>
      <c r="EU13" s="27" t="n">
        <f aca="false">IF($A13="","",($ER13+$ES13+$ET13+IF($P13="Yes",N($Q13)*N(IF($O13="",1,$O13)),0))*1000*IF($K13="",10,$K13)/1000000)</f>
        <v>1.1815256449517</v>
      </c>
      <c r="EV13" s="28" t="n">
        <f aca="false">IF($A13="","",$EU13*1000000*12/1000000000)</f>
        <v>0.0141783077394204</v>
      </c>
      <c r="EW13" s="32" t="str">
        <f aca="false">IF($A13="","",IF($EP13=0,"⚠ no species entered",IF(((LEFT($BC13,1)="✖")+(LEFT($BU13,1)="✖")+(LEFT($CM13,1)="✖")+(LEFT($DE13,1)="✖")+(LEFT($DW13,1)="✖")+(LEFT($EO13,1)="✖"))&gt;0,"✖ "&amp;((LEFT($BC13,1)="✖")+(LEFT($BU13,1)="✖")+(LEFT($CM13,1)="✖")+(LEFT($DE13,1)="✖")+(LEFT($DW13,1)="✖")+(LEFT($EO13,1)="✖"))&amp;" species saturated - see the species checks",IF(MIN(IF($G13="",5000,$G13),IF($H13="",5000,$H13))&lt;8*MAX(IF($T13="",200,$T13),IF($U13="",200,$U13),IF($V13="",200,$V13)),"⚠ box too small laterally (&lt; 8·wr)",IF(AND(IF($I13="",5000,$I13)&gt;0,IF($I13="",5000,$I13)&lt;3*MAX(IF($W13="",1000,$W13),IF($X13="",1000,$X13),IF($Y13="",1000,$Y13))),"⚠ box too small axially (&lt; 3·wz)",IF($EV13&gt;8,"⚠ &gt; 8 GB per file: shorten the duration and use several files",IF(((LEFT($BC13,1)="⚠")+(LEFT($BU13,1)="⚠")+(LEFT($CM13,1)="⚠")+(LEFT($DE13,1)="⚠")+(LEFT($DW13,1)="⚠")+(LEFT($EO13,1)="⚠"))&gt;0,"⚠ "&amp;((LEFT($BC13,1)="⚠")+(LEFT($BU13,1)="⚠")+(LEFT($CM13,1)="⚠")+(LEFT($DE13,1)="⚠")+(LEFT($DW13,1)="⚠")+(LEFT($EO13,1)="⚠"))&amp;" species with a warning","✔ OK")))))))</f>
        <v>✖ 3 species saturated - see the species checks</v>
      </c>
      <c r="EX13" s="25" t="n">
        <v>1</v>
      </c>
      <c r="EY13" s="25"/>
      <c r="EZ13" s="25" t="s">
        <v>137</v>
      </c>
      <c r="FA13" s="25"/>
      <c r="FB13" s="25"/>
      <c r="FC13" s="25"/>
      <c r="FD13" s="25"/>
      <c r="FE13" s="26" t="s">
        <v>226</v>
      </c>
    </row>
    <row r="14" customFormat="false" ht="35.05" hidden="false" customHeight="false" outlineLevel="0" collapsed="false">
      <c r="A14" s="25" t="s">
        <v>249</v>
      </c>
      <c r="B14" s="25" t="s">
        <v>250</v>
      </c>
      <c r="C14" s="26"/>
      <c r="D14" s="26" t="s">
        <v>233</v>
      </c>
      <c r="E14" s="25" t="s">
        <v>225</v>
      </c>
      <c r="F14" s="25" t="n">
        <v>3</v>
      </c>
      <c r="G14" s="25" t="n">
        <v>5000</v>
      </c>
      <c r="H14" s="25" t="n">
        <v>5000</v>
      </c>
      <c r="I14" s="25" t="n">
        <v>5000</v>
      </c>
      <c r="J14" s="25" t="n">
        <v>1000</v>
      </c>
      <c r="K14" s="25" t="n">
        <v>5</v>
      </c>
      <c r="L14" s="25" t="n">
        <v>1</v>
      </c>
      <c r="M14" s="25" t="n">
        <v>60</v>
      </c>
      <c r="N14" s="25" t="s">
        <v>77</v>
      </c>
      <c r="O14" s="25" t="n">
        <v>3</v>
      </c>
      <c r="P14" s="25" t="s">
        <v>215</v>
      </c>
      <c r="Q14" s="25" t="n">
        <v>0.2</v>
      </c>
      <c r="R14" s="25" t="s">
        <v>215</v>
      </c>
      <c r="S14" s="25" t="n">
        <v>250</v>
      </c>
      <c r="T14" s="25" t="n">
        <v>200</v>
      </c>
      <c r="U14" s="25" t="n">
        <v>200</v>
      </c>
      <c r="V14" s="25" t="n">
        <v>200</v>
      </c>
      <c r="W14" s="25" t="n">
        <v>1000</v>
      </c>
      <c r="X14" s="25" t="n">
        <v>1000</v>
      </c>
      <c r="Y14" s="25" t="n">
        <v>1000</v>
      </c>
      <c r="Z14" s="25" t="n">
        <v>0</v>
      </c>
      <c r="AA14" s="25" t="n">
        <v>0</v>
      </c>
      <c r="AB14" s="25" t="n">
        <v>0</v>
      </c>
      <c r="AC14" s="25" t="n">
        <v>0</v>
      </c>
      <c r="AD14" s="25" t="n">
        <v>0</v>
      </c>
      <c r="AE14" s="25" t="n">
        <v>0</v>
      </c>
      <c r="AF14" s="25" t="n">
        <v>0</v>
      </c>
      <c r="AG14" s="25" t="n">
        <v>0</v>
      </c>
      <c r="AH14" s="25" t="n">
        <v>0</v>
      </c>
      <c r="AI14" s="25" t="n">
        <v>63</v>
      </c>
      <c r="AJ14" s="25" t="n">
        <v>51</v>
      </c>
      <c r="AK14" s="25" t="n">
        <v>68</v>
      </c>
      <c r="AL14" s="25" t="s">
        <v>144</v>
      </c>
      <c r="AM14" s="25" t="n">
        <v>35</v>
      </c>
      <c r="AN14" s="25" t="n">
        <v>1000</v>
      </c>
      <c r="AO14" s="25" t="n">
        <v>1000</v>
      </c>
      <c r="AP14" s="25" t="n">
        <v>700</v>
      </c>
      <c r="AQ14" s="25" t="n">
        <v>500</v>
      </c>
      <c r="AR14" s="25" t="n">
        <v>4</v>
      </c>
      <c r="AS14" s="25" t="n">
        <v>3</v>
      </c>
      <c r="AT14" s="25" t="n">
        <v>2</v>
      </c>
      <c r="AU14" s="25" t="s">
        <v>118</v>
      </c>
      <c r="AV14" s="25"/>
      <c r="AW14" s="25"/>
      <c r="AX14" s="25"/>
      <c r="AY14" s="27" t="str">
        <f aca="false">IF(OR($AU14="",$AU14="No FRET",N($AV14)&lt;=0,N(IF($AI14="",63,$AI14))&lt;=0),"",1/(1+($AV14/IF($AI14="",63,$AI14))^6))</f>
        <v/>
      </c>
      <c r="AZ14" s="27" t="str">
        <f aca="false">IF(OR($AU14="",$AU14="No FRET",N($AW14)&lt;=0,N(IF($AJ14="",51,$AJ14))&lt;=0),"",1/(1+($AW14/IF($AJ14="",51,$AJ14))^6))</f>
        <v/>
      </c>
      <c r="BA14" s="27" t="str">
        <f aca="false">IF(OR($AU14="",$AU14="No FRET",N($AX14)&lt;=0,N(IF($AK14="",68,$AK14))&lt;=0),"",1/(1+($AX14/IF($AK14="",68,$AK14))^6))</f>
        <v/>
      </c>
      <c r="BB14" s="28" t="n">
        <f aca="false">IF(OR($A14="",N($AN14)&lt;=0),"",IF(IF($I14="",5000,$I14)&gt;0,$AN14/(IF($G14="",5000,$G14)*IF($H14="",5000,$H14)*IF($I14="",5000,$I14))/1E-024/6.022E+023/0.000000001,""))</f>
        <v>13.284623048821</v>
      </c>
      <c r="BC14" s="29" t="str">
        <f aca="false">IF(Calc!G14=0,"",IF(Calc!E14&gt;=1,"✖ saturated (B ≥ freq.)",IF(Calc!E14&gt;0.1,"⚠ B &gt; 10% of freq.",IF(Calc!E14=0,"⚠ no brightness",IF(Calc!F14&gt;0.1,"⚠ step &gt; 10% of wr",IF(OR(AND(N($AQ14)&gt;0,IF($O14="",1,$O14)&lt;3),AND(N($AP14)&gt;0,IF($O14="",1,$O14)&lt;2)),"⚠ uses a colour above Colours = "&amp;IF($O14="",1,$O14)&amp;" (ignored)",IF(AND($AU14&lt;&gt;"",$AU14&lt;&gt;"No FRET",N(IF($O14="",1,$O14))&lt;2),"⚠ FRET needs ≥ 2 colours",IF(AND($AU14&lt;&gt;"",$AU14&lt;&gt;"No FRET",N($AV14)+N($AW14)+N($AX14)=0),"⚠ FRET: set R","✔ OK"))))))))</f>
        <v>✖ saturated (B ≥ freq.)</v>
      </c>
      <c r="BD14" s="25" t="s">
        <v>145</v>
      </c>
      <c r="BE14" s="25" t="n">
        <v>35</v>
      </c>
      <c r="BF14" s="25" t="n">
        <v>1000</v>
      </c>
      <c r="BG14" s="25" t="n">
        <v>1000</v>
      </c>
      <c r="BH14" s="25" t="n">
        <v>0</v>
      </c>
      <c r="BI14" s="25" t="n">
        <v>500</v>
      </c>
      <c r="BJ14" s="25" t="n">
        <v>4</v>
      </c>
      <c r="BK14" s="25" t="n">
        <v>3</v>
      </c>
      <c r="BL14" s="25" t="n">
        <v>2</v>
      </c>
      <c r="BM14" s="25" t="s">
        <v>118</v>
      </c>
      <c r="BN14" s="25"/>
      <c r="BO14" s="25"/>
      <c r="BP14" s="25"/>
      <c r="BQ14" s="27" t="str">
        <f aca="false">IF(OR($BM14="",$BM14="No FRET",N($BN14)&lt;=0,N(IF($AI14="",63,$AI14))&lt;=0),"",1/(1+($BN14/IF($AI14="",63,$AI14))^6))</f>
        <v/>
      </c>
      <c r="BR14" s="27" t="str">
        <f aca="false">IF(OR($BM14="",$BM14="No FRET",N($BO14)&lt;=0,N(IF($AJ14="",51,$AJ14))&lt;=0),"",1/(1+($BO14/IF($AJ14="",51,$AJ14))^6))</f>
        <v/>
      </c>
      <c r="BS14" s="27" t="str">
        <f aca="false">IF(OR($BM14="",$BM14="No FRET",N($BP14)&lt;=0,N(IF($AK14="",68,$AK14))&lt;=0),"",1/(1+($BP14/IF($AK14="",68,$AK14))^6))</f>
        <v/>
      </c>
      <c r="BT14" s="28" t="n">
        <f aca="false">IF(OR($A14="",N($BF14)&lt;=0),"",IF(IF($I14="",5000,$I14)&gt;0,$BF14/(IF($G14="",5000,$G14)*IF($H14="",5000,$H14)*IF($I14="",5000,$I14))/1E-024/6.022E+023/0.000000001,""))</f>
        <v>13.284623048821</v>
      </c>
      <c r="BU14" s="29" t="str">
        <f aca="false">IF(Calc!M14=0,"",IF(Calc!K14&gt;=1,"✖ saturated (B ≥ freq.)",IF(Calc!K14&gt;0.1,"⚠ B &gt; 10% of freq.",IF(Calc!K14=0,"⚠ no brightness",IF(Calc!L14&gt;0.1,"⚠ step &gt; 10% of wr",IF(OR(AND(N($BI14)&gt;0,IF($O14="",1,$O14)&lt;3),AND(N($BH14)&gt;0,IF($O14="",1,$O14)&lt;2)),"⚠ uses a colour above Colours = "&amp;IF($O14="",1,$O14)&amp;" (ignored)",IF(AND($BM14&lt;&gt;"",$BM14&lt;&gt;"No FRET",N(IF($O14="",1,$O14))&lt;2),"⚠ FRET needs ≥ 2 colours",IF(AND($BM14&lt;&gt;"",$BM14&lt;&gt;"No FRET",N($BN14)+N($BO14)+N($BP14)=0),"⚠ FRET: set R","✔ OK"))))))))</f>
        <v>✖ saturated (B ≥ freq.)</v>
      </c>
      <c r="BV14" s="25" t="s">
        <v>146</v>
      </c>
      <c r="BW14" s="25" t="n">
        <v>35</v>
      </c>
      <c r="BX14" s="25" t="n">
        <v>1000</v>
      </c>
      <c r="BY14" s="25" t="n">
        <v>2000</v>
      </c>
      <c r="BZ14" s="25" t="n">
        <v>700</v>
      </c>
      <c r="CA14" s="25" t="n">
        <v>0</v>
      </c>
      <c r="CB14" s="25" t="n">
        <v>4</v>
      </c>
      <c r="CC14" s="25" t="n">
        <v>3</v>
      </c>
      <c r="CD14" s="25" t="n">
        <v>2</v>
      </c>
      <c r="CE14" s="25" t="s">
        <v>118</v>
      </c>
      <c r="CF14" s="25"/>
      <c r="CG14" s="25"/>
      <c r="CH14" s="25"/>
      <c r="CI14" s="27" t="str">
        <f aca="false">IF(OR($CE14="",$CE14="No FRET",N($CF14)&lt;=0,N(IF($AI14="",63,$AI14))&lt;=0),"",1/(1+($CF14/IF($AI14="",63,$AI14))^6))</f>
        <v/>
      </c>
      <c r="CJ14" s="27" t="str">
        <f aca="false">IF(OR($CE14="",$CE14="No FRET",N($CG14)&lt;=0,N(IF($AJ14="",51,$AJ14))&lt;=0),"",1/(1+($CG14/IF($AJ14="",51,$AJ14))^6))</f>
        <v/>
      </c>
      <c r="CK14" s="27" t="str">
        <f aca="false">IF(OR($CE14="",$CE14="No FRET",N($CH14)&lt;=0,N(IF($AK14="",68,$AK14))&lt;=0),"",1/(1+($CH14/IF($AK14="",68,$AK14))^6))</f>
        <v/>
      </c>
      <c r="CL14" s="28" t="n">
        <f aca="false">IF(OR($A14="",N($BX14)&lt;=0),"",IF(IF($I14="",5000,$I14)&gt;0,$BX14/(IF($G14="",5000,$G14)*IF($H14="",5000,$H14)*IF($I14="",5000,$I14))/1E-024/6.022E+023/0.000000001,""))</f>
        <v>13.284623048821</v>
      </c>
      <c r="CM14" s="29" t="str">
        <f aca="false">IF(Calc!S14=0,"",IF(Calc!Q14&gt;=1,"✖ saturated (B ≥ freq.)",IF(Calc!Q14&gt;0.1,"⚠ B &gt; 10% of freq.",IF(Calc!Q14=0,"⚠ no brightness",IF(Calc!R14&gt;0.1,"⚠ step &gt; 10% of wr",IF(OR(AND(N($CA14)&gt;0,IF($O14="",1,$O14)&lt;3),AND(N($BZ14)&gt;0,IF($O14="",1,$O14)&lt;2)),"⚠ uses a colour above Colours = "&amp;IF($O14="",1,$O14)&amp;" (ignored)",IF(AND($CE14&lt;&gt;"",$CE14&lt;&gt;"No FRET",N(IF($O14="",1,$O14))&lt;2),"⚠ FRET needs ≥ 2 colours",IF(AND($CE14&lt;&gt;"",$CE14&lt;&gt;"No FRET",N($CF14)+N($CG14)+N($CH14)=0),"⚠ FRET: set R","✔ OK"))))))))</f>
        <v>✖ saturated (B ≥ freq.)</v>
      </c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7" t="str">
        <f aca="false">IF(OR($CW14="",$CW14="No FRET",N($CX14)&lt;=0,N(IF($AI14="",63,$AI14))&lt;=0),"",1/(1+($CX14/IF($AI14="",63,$AI14))^6))</f>
        <v/>
      </c>
      <c r="DB14" s="27" t="str">
        <f aca="false">IF(OR($CW14="",$CW14="No FRET",N($CY14)&lt;=0,N(IF($AJ14="",51,$AJ14))&lt;=0),"",1/(1+($CY14/IF($AJ14="",51,$AJ14))^6))</f>
        <v/>
      </c>
      <c r="DC14" s="27" t="str">
        <f aca="false">IF(OR($CW14="",$CW14="No FRET",N($CZ14)&lt;=0,N(IF($AK14="",68,$AK14))&lt;=0),"",1/(1+($CZ14/IF($AK14="",68,$AK14))^6))</f>
        <v/>
      </c>
      <c r="DD14" s="28" t="str">
        <f aca="false">IF(OR($A14="",N($CP14)&lt;=0),"",IF(IF($I14="",5000,$I14)&gt;0,$CP14/(IF($G14="",5000,$G14)*IF($H14="",5000,$H14)*IF($I14="",5000,$I14))/1E-024/6.022E+023/0.000000001,""))</f>
        <v/>
      </c>
      <c r="DE14" s="29" t="str">
        <f aca="false">IF(Calc!Y14=0,"",IF(Calc!W14&gt;=1,"✖ saturated (B ≥ freq.)",IF(Calc!W14&gt;0.1,"⚠ B &gt; 10% of freq.",IF(Calc!W14=0,"⚠ no brightness",IF(Calc!X14&gt;0.1,"⚠ step &gt; 10% of wr",IF(OR(AND(N($CS14)&gt;0,IF($O14="",1,$O14)&lt;3),AND(N($CR14)&gt;0,IF($O14="",1,$O14)&lt;2)),"⚠ uses a colour above Colours = "&amp;IF($O14="",1,$O14)&amp;" (ignored)",IF(AND($CW14&lt;&gt;"",$CW14&lt;&gt;"No FRET",N(IF($O14="",1,$O14))&lt;2),"⚠ FRET needs ≥ 2 colours",IF(AND($CW14&lt;&gt;"",$CW14&lt;&gt;"No FRET",N($CX14)+N($CY14)+N($CZ14)=0),"⚠ FRET: set R","✔ OK"))))))))</f>
        <v/>
      </c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7" t="str">
        <f aca="false">IF(OR($DO14="",$DO14="No FRET",N($DP14)&lt;=0,N(IF($AI14="",63,$AI14))&lt;=0),"",1/(1+($DP14/IF($AI14="",63,$AI14))^6))</f>
        <v/>
      </c>
      <c r="DT14" s="27" t="str">
        <f aca="false">IF(OR($DO14="",$DO14="No FRET",N($DQ14)&lt;=0,N(IF($AJ14="",51,$AJ14))&lt;=0),"",1/(1+($DQ14/IF($AJ14="",51,$AJ14))^6))</f>
        <v/>
      </c>
      <c r="DU14" s="27" t="str">
        <f aca="false">IF(OR($DO14="",$DO14="No FRET",N($DR14)&lt;=0,N(IF($AK14="",68,$AK14))&lt;=0),"",1/(1+($DR14/IF($AK14="",68,$AK14))^6))</f>
        <v/>
      </c>
      <c r="DV14" s="28" t="str">
        <f aca="false">IF(OR($A14="",N($DH14)&lt;=0),"",IF(IF($I14="",5000,$I14)&gt;0,$DH14/(IF($G14="",5000,$G14)*IF($H14="",5000,$H14)*IF($I14="",5000,$I14))/1E-024/6.022E+023/0.000000001,""))</f>
        <v/>
      </c>
      <c r="DW14" s="29" t="str">
        <f aca="false">IF(Calc!AE14=0,"",IF(Calc!AC14&gt;=1,"✖ saturated (B ≥ freq.)",IF(Calc!AC14&gt;0.1,"⚠ B &gt; 10% of freq.",IF(Calc!AC14=0,"⚠ no brightness",IF(Calc!AD14&gt;0.1,"⚠ step &gt; 10% of wr",IF(OR(AND(N($DK14)&gt;0,IF($O14="",1,$O14)&lt;3),AND(N($DJ14)&gt;0,IF($O14="",1,$O14)&lt;2)),"⚠ uses a colour above Colours = "&amp;IF($O14="",1,$O14)&amp;" (ignored)",IF(AND($DO14&lt;&gt;"",$DO14&lt;&gt;"No FRET",N(IF($O14="",1,$O14))&lt;2),"⚠ FRET needs ≥ 2 colours",IF(AND($DO14&lt;&gt;"",$DO14&lt;&gt;"No FRET",N($DP14)+N($DQ14)+N($DR14)=0),"⚠ FRET: set R","✔ OK"))))))))</f>
        <v/>
      </c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7" t="str">
        <f aca="false">IF(OR($EG14="",$EG14="No FRET",N($EH14)&lt;=0,N(IF($AI14="",63,$AI14))&lt;=0),"",1/(1+($EH14/IF($AI14="",63,$AI14))^6))</f>
        <v/>
      </c>
      <c r="EL14" s="27" t="str">
        <f aca="false">IF(OR($EG14="",$EG14="No FRET",N($EI14)&lt;=0,N(IF($AJ14="",51,$AJ14))&lt;=0),"",1/(1+($EI14/IF($AJ14="",51,$AJ14))^6))</f>
        <v/>
      </c>
      <c r="EM14" s="27" t="str">
        <f aca="false">IF(OR($EG14="",$EG14="No FRET",N($EJ14)&lt;=0,N(IF($AK14="",68,$AK14))&lt;=0),"",1/(1+($EJ14/IF($AK14="",68,$AK14))^6))</f>
        <v/>
      </c>
      <c r="EN14" s="28" t="str">
        <f aca="false">IF(OR($A14="",N($DZ14)&lt;=0),"",IF(IF($I14="",5000,$I14)&gt;0,$DZ14/(IF($G14="",5000,$G14)*IF($H14="",5000,$H14)*IF($I14="",5000,$I14))/1E-024/6.022E+023/0.000000001,""))</f>
        <v/>
      </c>
      <c r="EO14" s="29" t="str">
        <f aca="false">IF(Calc!AK14=0,"",IF(Calc!AI14&gt;=1,"✖ saturated (B ≥ freq.)",IF(Calc!AI14&gt;0.1,"⚠ B &gt; 10% of freq.",IF(Calc!AI14=0,"⚠ no brightness",IF(Calc!AJ14&gt;0.1,"⚠ step &gt; 10% of wr",IF(OR(AND(N($EC14)&gt;0,IF($O14="",1,$O14)&lt;3),AND(N($EB14)&gt;0,IF($O14="",1,$O14)&lt;2)),"⚠ uses a colour above Colours = "&amp;IF($O14="",1,$O14)&amp;" (ignored)",IF(AND($EG14&lt;&gt;"",$EG14&lt;&gt;"No FRET",N(IF($O14="",1,$O14))&lt;2),"⚠ FRET needs ≥ 2 colours",IF(AND($EG14&lt;&gt;"",$EG14&lt;&gt;"No FRET",N($EH14)+N($EI14)+N($EJ14)=0),"⚠ FRET: set R","✔ OK"))))))))</f>
        <v/>
      </c>
      <c r="EP14" s="30" t="n">
        <f aca="false">IF($A14="","",SUM(Calc!G14,Calc!M14,Calc!S14,Calc!Y14,Calc!AE14,Calc!AK14))</f>
        <v>3</v>
      </c>
      <c r="EQ14" s="30" t="n">
        <f aca="false">IF($A14="","",N($AN14)+N($BF14)+N($BX14)+N($CP14)+N($DH14)+N($DZ14))</f>
        <v>3000</v>
      </c>
      <c r="ER14" s="31" t="n">
        <f aca="false">IF($A14="","",SUM(Calc!B14,Calc!H14,Calc!N14,Calc!T14,Calc!Z14,Calc!AF14))</f>
        <v>2426.45626171632</v>
      </c>
      <c r="ES14" s="31" t="n">
        <f aca="false">IF($A14="","",SUM(Calc!C14,Calc!I14,Calc!O14,Calc!U14,Calc!AA14,Calc!AG14))</f>
        <v>881.978156960456</v>
      </c>
      <c r="ET14" s="31" t="n">
        <f aca="false">IF($A14="","",SUM(Calc!D14,Calc!J14,Calc!P14,Calc!V14,Calc!AB14,Calc!AH14))</f>
        <v>629.984397828897</v>
      </c>
      <c r="EU14" s="27" t="n">
        <f aca="false">IF($A14="","",($ER14+$ES14+$ET14+IF($P14="Yes",N($Q14)*N(IF($O14="",1,$O14)),0))*1000*IF($K14="",10,$K14)/1000000)</f>
        <v>19.6920940825284</v>
      </c>
      <c r="EV14" s="28" t="n">
        <f aca="false">IF($A14="","",$EU14*1000000*12/1000000000)</f>
        <v>0.236305128990341</v>
      </c>
      <c r="EW14" s="32" t="str">
        <f aca="false">IF($A14="","",IF($EP14=0,"⚠ no species entered",IF(((LEFT($BC14,1)="✖")+(LEFT($BU14,1)="✖")+(LEFT($CM14,1)="✖")+(LEFT($DE14,1)="✖")+(LEFT($DW14,1)="✖")+(LEFT($EO14,1)="✖"))&gt;0,"✖ "&amp;((LEFT($BC14,1)="✖")+(LEFT($BU14,1)="✖")+(LEFT($CM14,1)="✖")+(LEFT($DE14,1)="✖")+(LEFT($DW14,1)="✖")+(LEFT($EO14,1)="✖"))&amp;" species saturated - see the species checks",IF(MIN(IF($G14="",5000,$G14),IF($H14="",5000,$H14))&lt;8*MAX(IF($T14="",200,$T14),IF($U14="",200,$U14),IF($V14="",200,$V14)),"⚠ box too small laterally (&lt; 8·wr)",IF(AND(IF($I14="",5000,$I14)&gt;0,IF($I14="",5000,$I14)&lt;3*MAX(IF($W14="",1000,$W14),IF($X14="",1000,$X14),IF($Y14="",1000,$Y14))),"⚠ box too small axially (&lt; 3·wz)",IF($EV14&gt;8,"⚠ &gt; 8 GB per file: shorten the duration and use several files",IF(((LEFT($BC14,1)="⚠")+(LEFT($BU14,1)="⚠")+(LEFT($CM14,1)="⚠")+(LEFT($DE14,1)="⚠")+(LEFT($DW14,1)="⚠")+(LEFT($EO14,1)="⚠"))&gt;0,"⚠ "&amp;((LEFT($BC14,1)="⚠")+(LEFT($BU14,1)="⚠")+(LEFT($CM14,1)="⚠")+(LEFT($DE14,1)="⚠")+(LEFT($DW14,1)="⚠")+(LEFT($EO14,1)="⚠"))&amp;" species with a warning","✔ OK")))))))</f>
        <v>✖ 3 species saturated - see the species checks</v>
      </c>
      <c r="EX14" s="25" t="n">
        <v>1</v>
      </c>
      <c r="EY14" s="25"/>
      <c r="EZ14" s="25" t="s">
        <v>137</v>
      </c>
      <c r="FA14" s="25"/>
      <c r="FB14" s="25"/>
      <c r="FC14" s="25"/>
      <c r="FD14" s="25"/>
      <c r="FE14" s="26" t="s">
        <v>226</v>
      </c>
    </row>
    <row r="15" customFormat="false" ht="46.25" hidden="false" customHeight="false" outlineLevel="0" collapsed="false">
      <c r="A15" s="25" t="s">
        <v>251</v>
      </c>
      <c r="B15" s="25" t="s">
        <v>252</v>
      </c>
      <c r="C15" s="26" t="s">
        <v>253</v>
      </c>
      <c r="D15" s="26" t="s">
        <v>254</v>
      </c>
      <c r="E15" s="25" t="s">
        <v>225</v>
      </c>
      <c r="F15" s="25" t="n">
        <v>3</v>
      </c>
      <c r="G15" s="25" t="n">
        <v>5000</v>
      </c>
      <c r="H15" s="25" t="n">
        <v>5000</v>
      </c>
      <c r="I15" s="25" t="n">
        <v>5000</v>
      </c>
      <c r="J15" s="25" t="n">
        <v>1000</v>
      </c>
      <c r="K15" s="25" t="n">
        <v>150</v>
      </c>
      <c r="L15" s="25" t="n">
        <v>1</v>
      </c>
      <c r="M15" s="25" t="n">
        <v>60</v>
      </c>
      <c r="N15" s="25" t="s">
        <v>77</v>
      </c>
      <c r="O15" s="25" t="n">
        <v>3</v>
      </c>
      <c r="P15" s="25" t="s">
        <v>215</v>
      </c>
      <c r="Q15" s="25" t="n">
        <v>0.2</v>
      </c>
      <c r="R15" s="25" t="s">
        <v>215</v>
      </c>
      <c r="S15" s="25" t="n">
        <v>250</v>
      </c>
      <c r="T15" s="25" t="n">
        <v>200</v>
      </c>
      <c r="U15" s="25" t="n">
        <v>200</v>
      </c>
      <c r="V15" s="25" t="n">
        <v>200</v>
      </c>
      <c r="W15" s="25" t="n">
        <v>1000</v>
      </c>
      <c r="X15" s="25" t="n">
        <v>1000</v>
      </c>
      <c r="Y15" s="25" t="n">
        <v>1000</v>
      </c>
      <c r="Z15" s="25" t="n">
        <v>0</v>
      </c>
      <c r="AA15" s="25" t="n">
        <v>0</v>
      </c>
      <c r="AB15" s="25" t="n">
        <v>0</v>
      </c>
      <c r="AC15" s="25" t="n">
        <v>0</v>
      </c>
      <c r="AD15" s="25" t="n">
        <v>0</v>
      </c>
      <c r="AE15" s="25" t="n">
        <v>0</v>
      </c>
      <c r="AF15" s="25" t="n">
        <v>0</v>
      </c>
      <c r="AG15" s="25" t="n">
        <v>0</v>
      </c>
      <c r="AH15" s="25" t="n">
        <v>0</v>
      </c>
      <c r="AI15" s="25" t="n">
        <v>63</v>
      </c>
      <c r="AJ15" s="25" t="n">
        <v>51</v>
      </c>
      <c r="AK15" s="25" t="n">
        <v>68</v>
      </c>
      <c r="AL15" s="25" t="s">
        <v>144</v>
      </c>
      <c r="AM15" s="25" t="n">
        <v>35</v>
      </c>
      <c r="AN15" s="25" t="n">
        <v>200</v>
      </c>
      <c r="AO15" s="25" t="n">
        <v>10000</v>
      </c>
      <c r="AP15" s="25" t="n">
        <v>7000</v>
      </c>
      <c r="AQ15" s="25" t="n">
        <v>5000</v>
      </c>
      <c r="AR15" s="25" t="n">
        <v>4</v>
      </c>
      <c r="AS15" s="25" t="n">
        <v>3</v>
      </c>
      <c r="AT15" s="25" t="n">
        <v>2</v>
      </c>
      <c r="AU15" s="25" t="s">
        <v>118</v>
      </c>
      <c r="AV15" s="25"/>
      <c r="AW15" s="25"/>
      <c r="AX15" s="25"/>
      <c r="AY15" s="27" t="str">
        <f aca="false">IF(OR($AU15="",$AU15="No FRET",N($AV15)&lt;=0,N(IF($AI15="",63,$AI15))&lt;=0),"",1/(1+($AV15/IF($AI15="",63,$AI15))^6))</f>
        <v/>
      </c>
      <c r="AZ15" s="27" t="str">
        <f aca="false">IF(OR($AU15="",$AU15="No FRET",N($AW15)&lt;=0,N(IF($AJ15="",51,$AJ15))&lt;=0),"",1/(1+($AW15/IF($AJ15="",51,$AJ15))^6))</f>
        <v/>
      </c>
      <c r="BA15" s="27" t="str">
        <f aca="false">IF(OR($AU15="",$AU15="No FRET",N($AX15)&lt;=0,N(IF($AK15="",68,$AK15))&lt;=0),"",1/(1+($AX15/IF($AK15="",68,$AK15))^6))</f>
        <v/>
      </c>
      <c r="BB15" s="28" t="n">
        <f aca="false">IF(OR($A15="",N($AN15)&lt;=0),"",IF(IF($I15="",5000,$I15)&gt;0,$AN15/(IF($G15="",5000,$G15)*IF($H15="",5000,$H15)*IF($I15="",5000,$I15))/1E-024/6.022E+023/0.000000001,""))</f>
        <v>2.6569246097642</v>
      </c>
      <c r="BC15" s="29" t="str">
        <f aca="false">IF(Calc!G15=0,"",IF(Calc!E15&gt;=1,"✖ saturated (B ≥ freq.)",IF(Calc!E15&gt;0.1,"⚠ B &gt; 10% of freq.",IF(Calc!E15=0,"⚠ no brightness",IF(Calc!F15&gt;0.1,"⚠ step &gt; 10% of wr",IF(OR(AND(N($AQ15)&gt;0,IF($O15="",1,$O15)&lt;3),AND(N($AP15)&gt;0,IF($O15="",1,$O15)&lt;2)),"⚠ uses a colour above Colours = "&amp;IF($O15="",1,$O15)&amp;" (ignored)",IF(AND($AU15&lt;&gt;"",$AU15&lt;&gt;"No FRET",N(IF($O15="",1,$O15))&lt;2),"⚠ FRET needs ≥ 2 colours",IF(AND($AU15&lt;&gt;"",$AU15&lt;&gt;"No FRET",N($AV15)+N($AW15)+N($AX15)=0),"⚠ FRET: set R","✔ OK"))))))))</f>
        <v>✖ saturated (B ≥ freq.)</v>
      </c>
      <c r="BD15" s="25" t="s">
        <v>145</v>
      </c>
      <c r="BE15" s="25" t="n">
        <v>35</v>
      </c>
      <c r="BF15" s="25" t="n">
        <v>2000</v>
      </c>
      <c r="BG15" s="25" t="n">
        <v>10000</v>
      </c>
      <c r="BH15" s="25" t="n">
        <v>0</v>
      </c>
      <c r="BI15" s="25" t="n">
        <v>5000</v>
      </c>
      <c r="BJ15" s="25" t="n">
        <v>4</v>
      </c>
      <c r="BK15" s="25" t="n">
        <v>3</v>
      </c>
      <c r="BL15" s="25" t="n">
        <v>2</v>
      </c>
      <c r="BM15" s="25" t="s">
        <v>118</v>
      </c>
      <c r="BN15" s="25"/>
      <c r="BO15" s="25"/>
      <c r="BP15" s="25"/>
      <c r="BQ15" s="27" t="str">
        <f aca="false">IF(OR($BM15="",$BM15="No FRET",N($BN15)&lt;=0,N(IF($AI15="",63,$AI15))&lt;=0),"",1/(1+($BN15/IF($AI15="",63,$AI15))^6))</f>
        <v/>
      </c>
      <c r="BR15" s="27" t="str">
        <f aca="false">IF(OR($BM15="",$BM15="No FRET",N($BO15)&lt;=0,N(IF($AJ15="",51,$AJ15))&lt;=0),"",1/(1+($BO15/IF($AJ15="",51,$AJ15))^6))</f>
        <v/>
      </c>
      <c r="BS15" s="27" t="str">
        <f aca="false">IF(OR($BM15="",$BM15="No FRET",N($BP15)&lt;=0,N(IF($AK15="",68,$AK15))&lt;=0),"",1/(1+($BP15/IF($AK15="",68,$AK15))^6))</f>
        <v/>
      </c>
      <c r="BT15" s="28" t="n">
        <f aca="false">IF(OR($A15="",N($BF15)&lt;=0),"",IF(IF($I15="",5000,$I15)&gt;0,$BF15/(IF($G15="",5000,$G15)*IF($H15="",5000,$H15)*IF($I15="",5000,$I15))/1E-024/6.022E+023/0.000000001,""))</f>
        <v>26.569246097642</v>
      </c>
      <c r="BU15" s="29" t="str">
        <f aca="false">IF(Calc!M15=0,"",IF(Calc!K15&gt;=1,"✖ saturated (B ≥ freq.)",IF(Calc!K15&gt;0.1,"⚠ B &gt; 10% of freq.",IF(Calc!K15=0,"⚠ no brightness",IF(Calc!L15&gt;0.1,"⚠ step &gt; 10% of wr",IF(OR(AND(N($BI15)&gt;0,IF($O15="",1,$O15)&lt;3),AND(N($BH15)&gt;0,IF($O15="",1,$O15)&lt;2)),"⚠ uses a colour above Colours = "&amp;IF($O15="",1,$O15)&amp;" (ignored)",IF(AND($BM15&lt;&gt;"",$BM15&lt;&gt;"No FRET",N(IF($O15="",1,$O15))&lt;2),"⚠ FRET needs ≥ 2 colours",IF(AND($BM15&lt;&gt;"",$BM15&lt;&gt;"No FRET",N($BN15)+N($BO15)+N($BP15)=0),"⚠ FRET: set R","✔ OK"))))))))</f>
        <v>✖ saturated (B ≥ freq.)</v>
      </c>
      <c r="BV15" s="25" t="s">
        <v>146</v>
      </c>
      <c r="BW15" s="25" t="n">
        <v>35</v>
      </c>
      <c r="BX15" s="25" t="n">
        <v>4000</v>
      </c>
      <c r="BY15" s="25" t="n">
        <v>20000</v>
      </c>
      <c r="BZ15" s="25" t="n">
        <v>7000</v>
      </c>
      <c r="CA15" s="25" t="n">
        <v>0</v>
      </c>
      <c r="CB15" s="25" t="n">
        <v>4</v>
      </c>
      <c r="CC15" s="25" t="n">
        <v>3</v>
      </c>
      <c r="CD15" s="25" t="n">
        <v>2</v>
      </c>
      <c r="CE15" s="25" t="s">
        <v>118</v>
      </c>
      <c r="CF15" s="25"/>
      <c r="CG15" s="25"/>
      <c r="CH15" s="25"/>
      <c r="CI15" s="27" t="str">
        <f aca="false">IF(OR($CE15="",$CE15="No FRET",N($CF15)&lt;=0,N(IF($AI15="",63,$AI15))&lt;=0),"",1/(1+($CF15/IF($AI15="",63,$AI15))^6))</f>
        <v/>
      </c>
      <c r="CJ15" s="27" t="str">
        <f aca="false">IF(OR($CE15="",$CE15="No FRET",N($CG15)&lt;=0,N(IF($AJ15="",51,$AJ15))&lt;=0),"",1/(1+($CG15/IF($AJ15="",51,$AJ15))^6))</f>
        <v/>
      </c>
      <c r="CK15" s="27" t="str">
        <f aca="false">IF(OR($CE15="",$CE15="No FRET",N($CH15)&lt;=0,N(IF($AK15="",68,$AK15))&lt;=0),"",1/(1+($CH15/IF($AK15="",68,$AK15))^6))</f>
        <v/>
      </c>
      <c r="CL15" s="28" t="n">
        <f aca="false">IF(OR($A15="",N($BX15)&lt;=0),"",IF(IF($I15="",5000,$I15)&gt;0,$BX15/(IF($G15="",5000,$G15)*IF($H15="",5000,$H15)*IF($I15="",5000,$I15))/1E-024/6.022E+023/0.000000001,""))</f>
        <v>53.138492195284</v>
      </c>
      <c r="CM15" s="29" t="str">
        <f aca="false">IF(Calc!S15=0,"",IF(Calc!Q15&gt;=1,"✖ saturated (B ≥ freq.)",IF(Calc!Q15&gt;0.1,"⚠ B &gt; 10% of freq.",IF(Calc!Q15=0,"⚠ no brightness",IF(Calc!R15&gt;0.1,"⚠ step &gt; 10% of wr",IF(OR(AND(N($CA15)&gt;0,IF($O15="",1,$O15)&lt;3),AND(N($BZ15)&gt;0,IF($O15="",1,$O15)&lt;2)),"⚠ uses a colour above Colours = "&amp;IF($O15="",1,$O15)&amp;" (ignored)",IF(AND($CE15&lt;&gt;"",$CE15&lt;&gt;"No FRET",N(IF($O15="",1,$O15))&lt;2),"⚠ FRET needs ≥ 2 colours",IF(AND($CE15&lt;&gt;"",$CE15&lt;&gt;"No FRET",N($CF15)+N($CG15)+N($CH15)=0),"⚠ FRET: set R","✔ OK"))))))))</f>
        <v>✖ saturated (B ≥ freq.)</v>
      </c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7" t="str">
        <f aca="false">IF(OR($CW15="",$CW15="No FRET",N($CX15)&lt;=0,N(IF($AI15="",63,$AI15))&lt;=0),"",1/(1+($CX15/IF($AI15="",63,$AI15))^6))</f>
        <v/>
      </c>
      <c r="DB15" s="27" t="str">
        <f aca="false">IF(OR($CW15="",$CW15="No FRET",N($CY15)&lt;=0,N(IF($AJ15="",51,$AJ15))&lt;=0),"",1/(1+($CY15/IF($AJ15="",51,$AJ15))^6))</f>
        <v/>
      </c>
      <c r="DC15" s="27" t="str">
        <f aca="false">IF(OR($CW15="",$CW15="No FRET",N($CZ15)&lt;=0,N(IF($AK15="",68,$AK15))&lt;=0),"",1/(1+($CZ15/IF($AK15="",68,$AK15))^6))</f>
        <v/>
      </c>
      <c r="DD15" s="28" t="str">
        <f aca="false">IF(OR($A15="",N($CP15)&lt;=0),"",IF(IF($I15="",5000,$I15)&gt;0,$CP15/(IF($G15="",5000,$G15)*IF($H15="",5000,$H15)*IF($I15="",5000,$I15))/1E-024/6.022E+023/0.000000001,""))</f>
        <v/>
      </c>
      <c r="DE15" s="29" t="str">
        <f aca="false">IF(Calc!Y15=0,"",IF(Calc!W15&gt;=1,"✖ saturated (B ≥ freq.)",IF(Calc!W15&gt;0.1,"⚠ B &gt; 10% of freq.",IF(Calc!W15=0,"⚠ no brightness",IF(Calc!X15&gt;0.1,"⚠ step &gt; 10% of wr",IF(OR(AND(N($CS15)&gt;0,IF($O15="",1,$O15)&lt;3),AND(N($CR15)&gt;0,IF($O15="",1,$O15)&lt;2)),"⚠ uses a colour above Colours = "&amp;IF($O15="",1,$O15)&amp;" (ignored)",IF(AND($CW15&lt;&gt;"",$CW15&lt;&gt;"No FRET",N(IF($O15="",1,$O15))&lt;2),"⚠ FRET needs ≥ 2 colours",IF(AND($CW15&lt;&gt;"",$CW15&lt;&gt;"No FRET",N($CX15)+N($CY15)+N($CZ15)=0),"⚠ FRET: set R","✔ OK"))))))))</f>
        <v/>
      </c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7" t="str">
        <f aca="false">IF(OR($DO15="",$DO15="No FRET",N($DP15)&lt;=0,N(IF($AI15="",63,$AI15))&lt;=0),"",1/(1+($DP15/IF($AI15="",63,$AI15))^6))</f>
        <v/>
      </c>
      <c r="DT15" s="27" t="str">
        <f aca="false">IF(OR($DO15="",$DO15="No FRET",N($DQ15)&lt;=0,N(IF($AJ15="",51,$AJ15))&lt;=0),"",1/(1+($DQ15/IF($AJ15="",51,$AJ15))^6))</f>
        <v/>
      </c>
      <c r="DU15" s="27" t="str">
        <f aca="false">IF(OR($DO15="",$DO15="No FRET",N($DR15)&lt;=0,N(IF($AK15="",68,$AK15))&lt;=0),"",1/(1+($DR15/IF($AK15="",68,$AK15))^6))</f>
        <v/>
      </c>
      <c r="DV15" s="28" t="str">
        <f aca="false">IF(OR($A15="",N($DH15)&lt;=0),"",IF(IF($I15="",5000,$I15)&gt;0,$DH15/(IF($G15="",5000,$G15)*IF($H15="",5000,$H15)*IF($I15="",5000,$I15))/1E-024/6.022E+023/0.000000001,""))</f>
        <v/>
      </c>
      <c r="DW15" s="29" t="str">
        <f aca="false">IF(Calc!AE15=0,"",IF(Calc!AC15&gt;=1,"✖ saturated (B ≥ freq.)",IF(Calc!AC15&gt;0.1,"⚠ B &gt; 10% of freq.",IF(Calc!AC15=0,"⚠ no brightness",IF(Calc!AD15&gt;0.1,"⚠ step &gt; 10% of wr",IF(OR(AND(N($DK15)&gt;0,IF($O15="",1,$O15)&lt;3),AND(N($DJ15)&gt;0,IF($O15="",1,$O15)&lt;2)),"⚠ uses a colour above Colours = "&amp;IF($O15="",1,$O15)&amp;" (ignored)",IF(AND($DO15&lt;&gt;"",$DO15&lt;&gt;"No FRET",N(IF($O15="",1,$O15))&lt;2),"⚠ FRET needs ≥ 2 colours",IF(AND($DO15&lt;&gt;"",$DO15&lt;&gt;"No FRET",N($DP15)+N($DQ15)+N($DR15)=0),"⚠ FRET: set R","✔ OK"))))))))</f>
        <v/>
      </c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7" t="str">
        <f aca="false">IF(OR($EG15="",$EG15="No FRET",N($EH15)&lt;=0,N(IF($AI15="",63,$AI15))&lt;=0),"",1/(1+($EH15/IF($AI15="",63,$AI15))^6))</f>
        <v/>
      </c>
      <c r="EL15" s="27" t="str">
        <f aca="false">IF(OR($EG15="",$EG15="No FRET",N($EI15)&lt;=0,N(IF($AJ15="",51,$AJ15))&lt;=0),"",1/(1+($EI15/IF($AJ15="",51,$AJ15))^6))</f>
        <v/>
      </c>
      <c r="EM15" s="27" t="str">
        <f aca="false">IF(OR($EG15="",$EG15="No FRET",N($EJ15)&lt;=0,N(IF($AK15="",68,$AK15))&lt;=0),"",1/(1+($EJ15/IF($AK15="",68,$AK15))^6))</f>
        <v/>
      </c>
      <c r="EN15" s="28" t="str">
        <f aca="false">IF(OR($A15="",N($DZ15)&lt;=0),"",IF(IF($I15="",5000,$I15)&gt;0,$DZ15/(IF($G15="",5000,$G15)*IF($H15="",5000,$H15)*IF($I15="",5000,$I15))/1E-024/6.022E+023/0.000000001,""))</f>
        <v/>
      </c>
      <c r="EO15" s="29" t="str">
        <f aca="false">IF(Calc!AK15=0,"",IF(Calc!AI15&gt;=1,"✖ saturated (B ≥ freq.)",IF(Calc!AI15&gt;0.1,"⚠ B &gt; 10% of freq.",IF(Calc!AI15=0,"⚠ no brightness",IF(Calc!AJ15&gt;0.1,"⚠ step &gt; 10% of wr",IF(OR(AND(N($EC15)&gt;0,IF($O15="",1,$O15)&lt;3),AND(N($EB15)&gt;0,IF($O15="",1,$O15)&lt;2)),"⚠ uses a colour above Colours = "&amp;IF($O15="",1,$O15)&amp;" (ignored)",IF(AND($EG15&lt;&gt;"",$EG15&lt;&gt;"No FRET",N(IF($O15="",1,$O15))&lt;2),"⚠ FRET needs ≥ 2 colours",IF(AND($EG15&lt;&gt;"",$EG15&lt;&gt;"No FRET",N($EH15)+N($EI15)+N($EJ15)=0),"⚠ FRET: set R","✔ OK"))))))))</f>
        <v/>
      </c>
      <c r="EP15" s="30" t="n">
        <f aca="false">IF($A15="","",SUM(Calc!G15,Calc!M15,Calc!S15,Calc!Y15,Calc!AE15,Calc!AK15))</f>
        <v>3</v>
      </c>
      <c r="EQ15" s="30" t="n">
        <f aca="false">IF($A15="","",N($AN15)+N($BF15)+N($BX15)+N($CP15)+N($DH15)+N($DZ15))</f>
        <v>6200</v>
      </c>
      <c r="ER15" s="31" t="n">
        <f aca="false">IF($A15="","",SUM(Calc!B15,Calc!H15,Calc!N15,Calc!T15,Calc!Z15,Calc!AF15))</f>
        <v>21932.6740345782</v>
      </c>
      <c r="ES15" s="31" t="n">
        <f aca="false">IF($A15="","",SUM(Calc!C15,Calc!I15,Calc!O15,Calc!U15,Calc!AA15,Calc!AG15))</f>
        <v>10466.413534743</v>
      </c>
      <c r="ET15" s="31" t="n">
        <f aca="false">IF($A15="","",SUM(Calc!D15,Calc!J15,Calc!P15,Calc!V15,Calc!AB15,Calc!AH15))</f>
        <v>4617.22529566603</v>
      </c>
      <c r="EU15" s="27" t="n">
        <f aca="false">IF($A15="","",($ER15+$ES15+$ET15+IF($P15="Yes",N($Q15)*N(IF($O15="",1,$O15)),0))*1000*IF($K15="",10,$K15)/1000000)</f>
        <v>5552.44692974808</v>
      </c>
      <c r="EV15" s="28" t="n">
        <f aca="false">IF($A15="","",$EU15*1000000*12/1000000000)</f>
        <v>66.629363156977</v>
      </c>
      <c r="EW15" s="32" t="str">
        <f aca="false">IF($A15="","",IF($EP15=0,"⚠ no species entered",IF(((LEFT($BC15,1)="✖")+(LEFT($BU15,1)="✖")+(LEFT($CM15,1)="✖")+(LEFT($DE15,1)="✖")+(LEFT($DW15,1)="✖")+(LEFT($EO15,1)="✖"))&gt;0,"✖ "&amp;((LEFT($BC15,1)="✖")+(LEFT($BU15,1)="✖")+(LEFT($CM15,1)="✖")+(LEFT($DE15,1)="✖")+(LEFT($DW15,1)="✖")+(LEFT($EO15,1)="✖"))&amp;" species saturated - see the species checks",IF(MIN(IF($G15="",5000,$G15),IF($H15="",5000,$H15))&lt;8*MAX(IF($T15="",200,$T15),IF($U15="",200,$U15),IF($V15="",200,$V15)),"⚠ box too small laterally (&lt; 8·wr)",IF(AND(IF($I15="",5000,$I15)&gt;0,IF($I15="",5000,$I15)&lt;3*MAX(IF($W15="",1000,$W15),IF($X15="",1000,$X15),IF($Y15="",1000,$Y15))),"⚠ box too small axially (&lt; 3·wz)",IF($EV15&gt;8,"⚠ &gt; 8 GB per file: shorten the duration and use several files",IF(((LEFT($BC15,1)="⚠")+(LEFT($BU15,1)="⚠")+(LEFT($CM15,1)="⚠")+(LEFT($DE15,1)="⚠")+(LEFT($DW15,1)="⚠")+(LEFT($EO15,1)="⚠"))&gt;0,"⚠ "&amp;((LEFT($BC15,1)="⚠")+(LEFT($BU15,1)="⚠")+(LEFT($CM15,1)="⚠")+(LEFT($DE15,1)="⚠")+(LEFT($DW15,1)="⚠")+(LEFT($EO15,1)="⚠"))&amp;" species with a warning","✔ OK")))))))</f>
        <v>✖ 3 species saturated - see the species checks</v>
      </c>
      <c r="EX15" s="25" t="n">
        <v>1</v>
      </c>
      <c r="EY15" s="25"/>
      <c r="EZ15" s="25" t="s">
        <v>137</v>
      </c>
      <c r="FA15" s="25"/>
      <c r="FB15" s="25"/>
      <c r="FC15" s="25"/>
      <c r="FD15" s="25"/>
      <c r="FE15" s="26" t="s">
        <v>226</v>
      </c>
    </row>
    <row r="16" customFormat="false" ht="15" hidden="false" customHeight="false" outlineLevel="0" collapsed="false">
      <c r="A16" s="25"/>
      <c r="B16" s="25"/>
      <c r="C16" s="26"/>
      <c r="D16" s="26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7" t="str">
        <f aca="false">IF(OR($AU16="",$AU16="No FRET",N($AV16)&lt;=0,N(IF($AI16="",63,$AI16))&lt;=0),"",1/(1+($AV16/IF($AI16="",63,$AI16))^6))</f>
        <v/>
      </c>
      <c r="AZ16" s="27" t="str">
        <f aca="false">IF(OR($AU16="",$AU16="No FRET",N($AW16)&lt;=0,N(IF($AJ16="",51,$AJ16))&lt;=0),"",1/(1+($AW16/IF($AJ16="",51,$AJ16))^6))</f>
        <v/>
      </c>
      <c r="BA16" s="27" t="str">
        <f aca="false">IF(OR($AU16="",$AU16="No FRET",N($AX16)&lt;=0,N(IF($AK16="",68,$AK16))&lt;=0),"",1/(1+($AX16/IF($AK16="",68,$AK16))^6))</f>
        <v/>
      </c>
      <c r="BB16" s="28" t="str">
        <f aca="false">IF(OR($A16="",N($AN16)&lt;=0),"",IF(IF($I16="",5000,$I16)&gt;0,$AN16/(IF($G16="",5000,$G16)*IF($H16="",5000,$H16)*IF($I16="",5000,$I16))/1E-024/6.022E+023/0.000000001,""))</f>
        <v/>
      </c>
      <c r="BC16" s="29" t="str">
        <f aca="false">IF(Calc!G16=0,"",IF(Calc!E16&gt;=1,"✖ saturated (B ≥ freq.)",IF(Calc!E16&gt;0.1,"⚠ B &gt; 10% of freq.",IF(Calc!E16=0,"⚠ no brightness",IF(Calc!F16&gt;0.1,"⚠ step &gt; 10% of wr",IF(OR(AND(N($AQ16)&gt;0,IF($O16="",1,$O16)&lt;3),AND(N($AP16)&gt;0,IF($O16="",1,$O16)&lt;2)),"⚠ uses a colour above Colours = "&amp;IF($O16="",1,$O16)&amp;" (ignored)",IF(AND($AU16&lt;&gt;"",$AU16&lt;&gt;"No FRET",N(IF($O16="",1,$O16))&lt;2),"⚠ FRET needs ≥ 2 colours",IF(AND($AU16&lt;&gt;"",$AU16&lt;&gt;"No FRET",N($AV16)+N($AW16)+N($AX16)=0),"⚠ FRET: set R","✔ OK"))))))))</f>
        <v/>
      </c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7" t="str">
        <f aca="false">IF(OR($BM16="",$BM16="No FRET",N($BN16)&lt;=0,N(IF($AI16="",63,$AI16))&lt;=0),"",1/(1+($BN16/IF($AI16="",63,$AI16))^6))</f>
        <v/>
      </c>
      <c r="BR16" s="27" t="str">
        <f aca="false">IF(OR($BM16="",$BM16="No FRET",N($BO16)&lt;=0,N(IF($AJ16="",51,$AJ16))&lt;=0),"",1/(1+($BO16/IF($AJ16="",51,$AJ16))^6))</f>
        <v/>
      </c>
      <c r="BS16" s="27" t="str">
        <f aca="false">IF(OR($BM16="",$BM16="No FRET",N($BP16)&lt;=0,N(IF($AK16="",68,$AK16))&lt;=0),"",1/(1+($BP16/IF($AK16="",68,$AK16))^6))</f>
        <v/>
      </c>
      <c r="BT16" s="28" t="str">
        <f aca="false">IF(OR($A16="",N($BF16)&lt;=0),"",IF(IF($I16="",5000,$I16)&gt;0,$BF16/(IF($G16="",5000,$G16)*IF($H16="",5000,$H16)*IF($I16="",5000,$I16))/1E-024/6.022E+023/0.000000001,""))</f>
        <v/>
      </c>
      <c r="BU16" s="29" t="str">
        <f aca="false">IF(Calc!M16=0,"",IF(Calc!K16&gt;=1,"✖ saturated (B ≥ freq.)",IF(Calc!K16&gt;0.1,"⚠ B &gt; 10% of freq.",IF(Calc!K16=0,"⚠ no brightness",IF(Calc!L16&gt;0.1,"⚠ step &gt; 10% of wr",IF(OR(AND(N($BI16)&gt;0,IF($O16="",1,$O16)&lt;3),AND(N($BH16)&gt;0,IF($O16="",1,$O16)&lt;2)),"⚠ uses a colour above Colours = "&amp;IF($O16="",1,$O16)&amp;" (ignored)",IF(AND($BM16&lt;&gt;"",$BM16&lt;&gt;"No FRET",N(IF($O16="",1,$O16))&lt;2),"⚠ FRET needs ≥ 2 colours",IF(AND($BM16&lt;&gt;"",$BM16&lt;&gt;"No FRET",N($BN16)+N($BO16)+N($BP16)=0),"⚠ FRET: set R","✔ OK"))))))))</f>
        <v/>
      </c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7" t="str">
        <f aca="false">IF(OR($CE16="",$CE16="No FRET",N($CF16)&lt;=0,N(IF($AI16="",63,$AI16))&lt;=0),"",1/(1+($CF16/IF($AI16="",63,$AI16))^6))</f>
        <v/>
      </c>
      <c r="CJ16" s="27" t="str">
        <f aca="false">IF(OR($CE16="",$CE16="No FRET",N($CG16)&lt;=0,N(IF($AJ16="",51,$AJ16))&lt;=0),"",1/(1+($CG16/IF($AJ16="",51,$AJ16))^6))</f>
        <v/>
      </c>
      <c r="CK16" s="27" t="str">
        <f aca="false">IF(OR($CE16="",$CE16="No FRET",N($CH16)&lt;=0,N(IF($AK16="",68,$AK16))&lt;=0),"",1/(1+($CH16/IF($AK16="",68,$AK16))^6))</f>
        <v/>
      </c>
      <c r="CL16" s="28" t="str">
        <f aca="false">IF(OR($A16="",N($BX16)&lt;=0),"",IF(IF($I16="",5000,$I16)&gt;0,$BX16/(IF($G16="",5000,$G16)*IF($H16="",5000,$H16)*IF($I16="",5000,$I16))/1E-024/6.022E+023/0.000000001,""))</f>
        <v/>
      </c>
      <c r="CM16" s="29" t="str">
        <f aca="false">IF(Calc!S16=0,"",IF(Calc!Q16&gt;=1,"✖ saturated (B ≥ freq.)",IF(Calc!Q16&gt;0.1,"⚠ B &gt; 10% of freq.",IF(Calc!Q16=0,"⚠ no brightness",IF(Calc!R16&gt;0.1,"⚠ step &gt; 10% of wr",IF(OR(AND(N($CA16)&gt;0,IF($O16="",1,$O16)&lt;3),AND(N($BZ16)&gt;0,IF($O16="",1,$O16)&lt;2)),"⚠ uses a colour above Colours = "&amp;IF($O16="",1,$O16)&amp;" (ignored)",IF(AND($CE16&lt;&gt;"",$CE16&lt;&gt;"No FRET",N(IF($O16="",1,$O16))&lt;2),"⚠ FRET needs ≥ 2 colours",IF(AND($CE16&lt;&gt;"",$CE16&lt;&gt;"No FRET",N($CF16)+N($CG16)+N($CH16)=0),"⚠ FRET: set R","✔ OK"))))))))</f>
        <v/>
      </c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7" t="str">
        <f aca="false">IF(OR($CW16="",$CW16="No FRET",N($CX16)&lt;=0,N(IF($AI16="",63,$AI16))&lt;=0),"",1/(1+($CX16/IF($AI16="",63,$AI16))^6))</f>
        <v/>
      </c>
      <c r="DB16" s="27" t="str">
        <f aca="false">IF(OR($CW16="",$CW16="No FRET",N($CY16)&lt;=0,N(IF($AJ16="",51,$AJ16))&lt;=0),"",1/(1+($CY16/IF($AJ16="",51,$AJ16))^6))</f>
        <v/>
      </c>
      <c r="DC16" s="27" t="str">
        <f aca="false">IF(OR($CW16="",$CW16="No FRET",N($CZ16)&lt;=0,N(IF($AK16="",68,$AK16))&lt;=0),"",1/(1+($CZ16/IF($AK16="",68,$AK16))^6))</f>
        <v/>
      </c>
      <c r="DD16" s="28" t="str">
        <f aca="false">IF(OR($A16="",N($CP16)&lt;=0),"",IF(IF($I16="",5000,$I16)&gt;0,$CP16/(IF($G16="",5000,$G16)*IF($H16="",5000,$H16)*IF($I16="",5000,$I16))/1E-024/6.022E+023/0.000000001,""))</f>
        <v/>
      </c>
      <c r="DE16" s="29" t="str">
        <f aca="false">IF(Calc!Y16=0,"",IF(Calc!W16&gt;=1,"✖ saturated (B ≥ freq.)",IF(Calc!W16&gt;0.1,"⚠ B &gt; 10% of freq.",IF(Calc!W16=0,"⚠ no brightness",IF(Calc!X16&gt;0.1,"⚠ step &gt; 10% of wr",IF(OR(AND(N($CS16)&gt;0,IF($O16="",1,$O16)&lt;3),AND(N($CR16)&gt;0,IF($O16="",1,$O16)&lt;2)),"⚠ uses a colour above Colours = "&amp;IF($O16="",1,$O16)&amp;" (ignored)",IF(AND($CW16&lt;&gt;"",$CW16&lt;&gt;"No FRET",N(IF($O16="",1,$O16))&lt;2),"⚠ FRET needs ≥ 2 colours",IF(AND($CW16&lt;&gt;"",$CW16&lt;&gt;"No FRET",N($CX16)+N($CY16)+N($CZ16)=0),"⚠ FRET: set R","✔ OK"))))))))</f>
        <v/>
      </c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7" t="str">
        <f aca="false">IF(OR($DO16="",$DO16="No FRET",N($DP16)&lt;=0,N(IF($AI16="",63,$AI16))&lt;=0),"",1/(1+($DP16/IF($AI16="",63,$AI16))^6))</f>
        <v/>
      </c>
      <c r="DT16" s="27" t="str">
        <f aca="false">IF(OR($DO16="",$DO16="No FRET",N($DQ16)&lt;=0,N(IF($AJ16="",51,$AJ16))&lt;=0),"",1/(1+($DQ16/IF($AJ16="",51,$AJ16))^6))</f>
        <v/>
      </c>
      <c r="DU16" s="27" t="str">
        <f aca="false">IF(OR($DO16="",$DO16="No FRET",N($DR16)&lt;=0,N(IF($AK16="",68,$AK16))&lt;=0),"",1/(1+($DR16/IF($AK16="",68,$AK16))^6))</f>
        <v/>
      </c>
      <c r="DV16" s="28" t="str">
        <f aca="false">IF(OR($A16="",N($DH16)&lt;=0),"",IF(IF($I16="",5000,$I16)&gt;0,$DH16/(IF($G16="",5000,$G16)*IF($H16="",5000,$H16)*IF($I16="",5000,$I16))/1E-024/6.022E+023/0.000000001,""))</f>
        <v/>
      </c>
      <c r="DW16" s="29" t="str">
        <f aca="false">IF(Calc!AE16=0,"",IF(Calc!AC16&gt;=1,"✖ saturated (B ≥ freq.)",IF(Calc!AC16&gt;0.1,"⚠ B &gt; 10% of freq.",IF(Calc!AC16=0,"⚠ no brightness",IF(Calc!AD16&gt;0.1,"⚠ step &gt; 10% of wr",IF(OR(AND(N($DK16)&gt;0,IF($O16="",1,$O16)&lt;3),AND(N($DJ16)&gt;0,IF($O16="",1,$O16)&lt;2)),"⚠ uses a colour above Colours = "&amp;IF($O16="",1,$O16)&amp;" (ignored)",IF(AND($DO16&lt;&gt;"",$DO16&lt;&gt;"No FRET",N(IF($O16="",1,$O16))&lt;2),"⚠ FRET needs ≥ 2 colours",IF(AND($DO16&lt;&gt;"",$DO16&lt;&gt;"No FRET",N($DP16)+N($DQ16)+N($DR16)=0),"⚠ FRET: set R","✔ OK"))))))))</f>
        <v/>
      </c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7" t="str">
        <f aca="false">IF(OR($EG16="",$EG16="No FRET",N($EH16)&lt;=0,N(IF($AI16="",63,$AI16))&lt;=0),"",1/(1+($EH16/IF($AI16="",63,$AI16))^6))</f>
        <v/>
      </c>
      <c r="EL16" s="27" t="str">
        <f aca="false">IF(OR($EG16="",$EG16="No FRET",N($EI16)&lt;=0,N(IF($AJ16="",51,$AJ16))&lt;=0),"",1/(1+($EI16/IF($AJ16="",51,$AJ16))^6))</f>
        <v/>
      </c>
      <c r="EM16" s="27" t="str">
        <f aca="false">IF(OR($EG16="",$EG16="No FRET",N($EJ16)&lt;=0,N(IF($AK16="",68,$AK16))&lt;=0),"",1/(1+($EJ16/IF($AK16="",68,$AK16))^6))</f>
        <v/>
      </c>
      <c r="EN16" s="28" t="str">
        <f aca="false">IF(OR($A16="",N($DZ16)&lt;=0),"",IF(IF($I16="",5000,$I16)&gt;0,$DZ16/(IF($G16="",5000,$G16)*IF($H16="",5000,$H16)*IF($I16="",5000,$I16))/1E-024/6.022E+023/0.000000001,""))</f>
        <v/>
      </c>
      <c r="EO16" s="29" t="str">
        <f aca="false">IF(Calc!AK16=0,"",IF(Calc!AI16&gt;=1,"✖ saturated (B ≥ freq.)",IF(Calc!AI16&gt;0.1,"⚠ B &gt; 10% of freq.",IF(Calc!AI16=0,"⚠ no brightness",IF(Calc!AJ16&gt;0.1,"⚠ step &gt; 10% of wr",IF(OR(AND(N($EC16)&gt;0,IF($O16="",1,$O16)&lt;3),AND(N($EB16)&gt;0,IF($O16="",1,$O16)&lt;2)),"⚠ uses a colour above Colours = "&amp;IF($O16="",1,$O16)&amp;" (ignored)",IF(AND($EG16&lt;&gt;"",$EG16&lt;&gt;"No FRET",N(IF($O16="",1,$O16))&lt;2),"⚠ FRET needs ≥ 2 colours",IF(AND($EG16&lt;&gt;"",$EG16&lt;&gt;"No FRET",N($EH16)+N($EI16)+N($EJ16)=0),"⚠ FRET: set R","✔ OK"))))))))</f>
        <v/>
      </c>
      <c r="EP16" s="30" t="str">
        <f aca="false">IF($A16="","",SUM(Calc!G16,Calc!M16,Calc!S16,Calc!Y16,Calc!AE16,Calc!AK16))</f>
        <v/>
      </c>
      <c r="EQ16" s="30" t="str">
        <f aca="false">IF($A16="","",N($AN16)+N($BF16)+N($BX16)+N($CP16)+N($DH16)+N($DZ16))</f>
        <v/>
      </c>
      <c r="ER16" s="31" t="str">
        <f aca="false">IF($A16="","",SUM(Calc!B16,Calc!H16,Calc!N16,Calc!T16,Calc!Z16,Calc!AF16))</f>
        <v/>
      </c>
      <c r="ES16" s="31" t="str">
        <f aca="false">IF($A16="","",SUM(Calc!C16,Calc!I16,Calc!O16,Calc!U16,Calc!AA16,Calc!AG16))</f>
        <v/>
      </c>
      <c r="ET16" s="31" t="str">
        <f aca="false">IF($A16="","",SUM(Calc!D16,Calc!J16,Calc!P16,Calc!V16,Calc!AB16,Calc!AH16))</f>
        <v/>
      </c>
      <c r="EU16" s="27" t="str">
        <f aca="false">IF($A16="","",($ER16+$ES16+$ET16+IF($P16="Yes",N($Q16)*N(IF($O16="",1,$O16)),0))*1000*IF($K16="",10,$K16)/1000000)</f>
        <v/>
      </c>
      <c r="EV16" s="28" t="str">
        <f aca="false">IF($A16="","",$EU16*1000000*12/1000000000)</f>
        <v/>
      </c>
      <c r="EW16" s="32" t="str">
        <f aca="false">IF($A16="","",IF($EP16=0,"⚠ no species entered",IF(((LEFT($BC16,1)="✖")+(LEFT($BU16,1)="✖")+(LEFT($CM16,1)="✖")+(LEFT($DE16,1)="✖")+(LEFT($DW16,1)="✖")+(LEFT($EO16,1)="✖"))&gt;0,"✖ "&amp;((LEFT($BC16,1)="✖")+(LEFT($BU16,1)="✖")+(LEFT($CM16,1)="✖")+(LEFT($DE16,1)="✖")+(LEFT($DW16,1)="✖")+(LEFT($EO16,1)="✖"))&amp;" species saturated - see the species checks",IF(MIN(IF($G16="",5000,$G16),IF($H16="",5000,$H16))&lt;8*MAX(IF($T16="",200,$T16),IF($U16="",200,$U16),IF($V16="",200,$V16)),"⚠ box too small laterally (&lt; 8·wr)",IF(AND(IF($I16="",5000,$I16)&gt;0,IF($I16="",5000,$I16)&lt;3*MAX(IF($W16="",1000,$W16),IF($X16="",1000,$X16),IF($Y16="",1000,$Y16))),"⚠ box too small axially (&lt; 3·wz)",IF($EV16&gt;8,"⚠ &gt; 8 GB per file: shorten the duration and use several files",IF(((LEFT($BC16,1)="⚠")+(LEFT($BU16,1)="⚠")+(LEFT($CM16,1)="⚠")+(LEFT($DE16,1)="⚠")+(LEFT($DW16,1)="⚠")+(LEFT($EO16,1)="⚠"))&gt;0,"⚠ "&amp;((LEFT($BC16,1)="⚠")+(LEFT($BU16,1)="⚠")+(LEFT($CM16,1)="⚠")+(LEFT($DE16,1)="⚠")+(LEFT($DW16,1)="⚠")+(LEFT($EO16,1)="⚠"))&amp;" species with a warning","✔ OK")))))))</f>
        <v/>
      </c>
      <c r="EX16" s="25"/>
      <c r="EY16" s="25"/>
      <c r="EZ16" s="25"/>
      <c r="FA16" s="25"/>
      <c r="FB16" s="25"/>
      <c r="FC16" s="25"/>
      <c r="FD16" s="25"/>
      <c r="FE16" s="26"/>
    </row>
    <row r="17" customFormat="false" ht="15" hidden="false" customHeight="false" outlineLevel="0" collapsed="false">
      <c r="A17" s="25"/>
      <c r="B17" s="25"/>
      <c r="C17" s="26"/>
      <c r="D17" s="26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7" t="str">
        <f aca="false">IF(OR($AU17="",$AU17="No FRET",N($AV17)&lt;=0,N(IF($AI17="",63,$AI17))&lt;=0),"",1/(1+($AV17/IF($AI17="",63,$AI17))^6))</f>
        <v/>
      </c>
      <c r="AZ17" s="27" t="str">
        <f aca="false">IF(OR($AU17="",$AU17="No FRET",N($AW17)&lt;=0,N(IF($AJ17="",51,$AJ17))&lt;=0),"",1/(1+($AW17/IF($AJ17="",51,$AJ17))^6))</f>
        <v/>
      </c>
      <c r="BA17" s="27" t="str">
        <f aca="false">IF(OR($AU17="",$AU17="No FRET",N($AX17)&lt;=0,N(IF($AK17="",68,$AK17))&lt;=0),"",1/(1+($AX17/IF($AK17="",68,$AK17))^6))</f>
        <v/>
      </c>
      <c r="BB17" s="28" t="str">
        <f aca="false">IF(OR($A17="",N($AN17)&lt;=0),"",IF(IF($I17="",5000,$I17)&gt;0,$AN17/(IF($G17="",5000,$G17)*IF($H17="",5000,$H17)*IF($I17="",5000,$I17))/1E-024/6.022E+023/0.000000001,""))</f>
        <v/>
      </c>
      <c r="BC17" s="29" t="str">
        <f aca="false">IF(Calc!G17=0,"",IF(Calc!E17&gt;=1,"✖ saturated (B ≥ freq.)",IF(Calc!E17&gt;0.1,"⚠ B &gt; 10% of freq.",IF(Calc!E17=0,"⚠ no brightness",IF(Calc!F17&gt;0.1,"⚠ step &gt; 10% of wr",IF(OR(AND(N($AQ17)&gt;0,IF($O17="",1,$O17)&lt;3),AND(N($AP17)&gt;0,IF($O17="",1,$O17)&lt;2)),"⚠ uses a colour above Colours = "&amp;IF($O17="",1,$O17)&amp;" (ignored)",IF(AND($AU17&lt;&gt;"",$AU17&lt;&gt;"No FRET",N(IF($O17="",1,$O17))&lt;2),"⚠ FRET needs ≥ 2 colours",IF(AND($AU17&lt;&gt;"",$AU17&lt;&gt;"No FRET",N($AV17)+N($AW17)+N($AX17)=0),"⚠ FRET: set R","✔ OK"))))))))</f>
        <v/>
      </c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7" t="str">
        <f aca="false">IF(OR($BM17="",$BM17="No FRET",N($BN17)&lt;=0,N(IF($AI17="",63,$AI17))&lt;=0),"",1/(1+($BN17/IF($AI17="",63,$AI17))^6))</f>
        <v/>
      </c>
      <c r="BR17" s="27" t="str">
        <f aca="false">IF(OR($BM17="",$BM17="No FRET",N($BO17)&lt;=0,N(IF($AJ17="",51,$AJ17))&lt;=0),"",1/(1+($BO17/IF($AJ17="",51,$AJ17))^6))</f>
        <v/>
      </c>
      <c r="BS17" s="27" t="str">
        <f aca="false">IF(OR($BM17="",$BM17="No FRET",N($BP17)&lt;=0,N(IF($AK17="",68,$AK17))&lt;=0),"",1/(1+($BP17/IF($AK17="",68,$AK17))^6))</f>
        <v/>
      </c>
      <c r="BT17" s="28" t="str">
        <f aca="false">IF(OR($A17="",N($BF17)&lt;=0),"",IF(IF($I17="",5000,$I17)&gt;0,$BF17/(IF($G17="",5000,$G17)*IF($H17="",5000,$H17)*IF($I17="",5000,$I17))/1E-024/6.022E+023/0.000000001,""))</f>
        <v/>
      </c>
      <c r="BU17" s="29" t="str">
        <f aca="false">IF(Calc!M17=0,"",IF(Calc!K17&gt;=1,"✖ saturated (B ≥ freq.)",IF(Calc!K17&gt;0.1,"⚠ B &gt; 10% of freq.",IF(Calc!K17=0,"⚠ no brightness",IF(Calc!L17&gt;0.1,"⚠ step &gt; 10% of wr",IF(OR(AND(N($BI17)&gt;0,IF($O17="",1,$O17)&lt;3),AND(N($BH17)&gt;0,IF($O17="",1,$O17)&lt;2)),"⚠ uses a colour above Colours = "&amp;IF($O17="",1,$O17)&amp;" (ignored)",IF(AND($BM17&lt;&gt;"",$BM17&lt;&gt;"No FRET",N(IF($O17="",1,$O17))&lt;2),"⚠ FRET needs ≥ 2 colours",IF(AND($BM17&lt;&gt;"",$BM17&lt;&gt;"No FRET",N($BN17)+N($BO17)+N($BP17)=0),"⚠ FRET: set R","✔ OK"))))))))</f>
        <v/>
      </c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7" t="str">
        <f aca="false">IF(OR($CE17="",$CE17="No FRET",N($CF17)&lt;=0,N(IF($AI17="",63,$AI17))&lt;=0),"",1/(1+($CF17/IF($AI17="",63,$AI17))^6))</f>
        <v/>
      </c>
      <c r="CJ17" s="27" t="str">
        <f aca="false">IF(OR($CE17="",$CE17="No FRET",N($CG17)&lt;=0,N(IF($AJ17="",51,$AJ17))&lt;=0),"",1/(1+($CG17/IF($AJ17="",51,$AJ17))^6))</f>
        <v/>
      </c>
      <c r="CK17" s="27" t="str">
        <f aca="false">IF(OR($CE17="",$CE17="No FRET",N($CH17)&lt;=0,N(IF($AK17="",68,$AK17))&lt;=0),"",1/(1+($CH17/IF($AK17="",68,$AK17))^6))</f>
        <v/>
      </c>
      <c r="CL17" s="28" t="str">
        <f aca="false">IF(OR($A17="",N($BX17)&lt;=0),"",IF(IF($I17="",5000,$I17)&gt;0,$BX17/(IF($G17="",5000,$G17)*IF($H17="",5000,$H17)*IF($I17="",5000,$I17))/1E-024/6.022E+023/0.000000001,""))</f>
        <v/>
      </c>
      <c r="CM17" s="29" t="str">
        <f aca="false">IF(Calc!S17=0,"",IF(Calc!Q17&gt;=1,"✖ saturated (B ≥ freq.)",IF(Calc!Q17&gt;0.1,"⚠ B &gt; 10% of freq.",IF(Calc!Q17=0,"⚠ no brightness",IF(Calc!R17&gt;0.1,"⚠ step &gt; 10% of wr",IF(OR(AND(N($CA17)&gt;0,IF($O17="",1,$O17)&lt;3),AND(N($BZ17)&gt;0,IF($O17="",1,$O17)&lt;2)),"⚠ uses a colour above Colours = "&amp;IF($O17="",1,$O17)&amp;" (ignored)",IF(AND($CE17&lt;&gt;"",$CE17&lt;&gt;"No FRET",N(IF($O17="",1,$O17))&lt;2),"⚠ FRET needs ≥ 2 colours",IF(AND($CE17&lt;&gt;"",$CE17&lt;&gt;"No FRET",N($CF17)+N($CG17)+N($CH17)=0),"⚠ FRET: set R","✔ OK"))))))))</f>
        <v/>
      </c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7" t="str">
        <f aca="false">IF(OR($CW17="",$CW17="No FRET",N($CX17)&lt;=0,N(IF($AI17="",63,$AI17))&lt;=0),"",1/(1+($CX17/IF($AI17="",63,$AI17))^6))</f>
        <v/>
      </c>
      <c r="DB17" s="27" t="str">
        <f aca="false">IF(OR($CW17="",$CW17="No FRET",N($CY17)&lt;=0,N(IF($AJ17="",51,$AJ17))&lt;=0),"",1/(1+($CY17/IF($AJ17="",51,$AJ17))^6))</f>
        <v/>
      </c>
      <c r="DC17" s="27" t="str">
        <f aca="false">IF(OR($CW17="",$CW17="No FRET",N($CZ17)&lt;=0,N(IF($AK17="",68,$AK17))&lt;=0),"",1/(1+($CZ17/IF($AK17="",68,$AK17))^6))</f>
        <v/>
      </c>
      <c r="DD17" s="28" t="str">
        <f aca="false">IF(OR($A17="",N($CP17)&lt;=0),"",IF(IF($I17="",5000,$I17)&gt;0,$CP17/(IF($G17="",5000,$G17)*IF($H17="",5000,$H17)*IF($I17="",5000,$I17))/1E-024/6.022E+023/0.000000001,""))</f>
        <v/>
      </c>
      <c r="DE17" s="29" t="str">
        <f aca="false">IF(Calc!Y17=0,"",IF(Calc!W17&gt;=1,"✖ saturated (B ≥ freq.)",IF(Calc!W17&gt;0.1,"⚠ B &gt; 10% of freq.",IF(Calc!W17=0,"⚠ no brightness",IF(Calc!X17&gt;0.1,"⚠ step &gt; 10% of wr",IF(OR(AND(N($CS17)&gt;0,IF($O17="",1,$O17)&lt;3),AND(N($CR17)&gt;0,IF($O17="",1,$O17)&lt;2)),"⚠ uses a colour above Colours = "&amp;IF($O17="",1,$O17)&amp;" (ignored)",IF(AND($CW17&lt;&gt;"",$CW17&lt;&gt;"No FRET",N(IF($O17="",1,$O17))&lt;2),"⚠ FRET needs ≥ 2 colours",IF(AND($CW17&lt;&gt;"",$CW17&lt;&gt;"No FRET",N($CX17)+N($CY17)+N($CZ17)=0),"⚠ FRET: set R","✔ OK"))))))))</f>
        <v/>
      </c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7" t="str">
        <f aca="false">IF(OR($DO17="",$DO17="No FRET",N($DP17)&lt;=0,N(IF($AI17="",63,$AI17))&lt;=0),"",1/(1+($DP17/IF($AI17="",63,$AI17))^6))</f>
        <v/>
      </c>
      <c r="DT17" s="27" t="str">
        <f aca="false">IF(OR($DO17="",$DO17="No FRET",N($DQ17)&lt;=0,N(IF($AJ17="",51,$AJ17))&lt;=0),"",1/(1+($DQ17/IF($AJ17="",51,$AJ17))^6))</f>
        <v/>
      </c>
      <c r="DU17" s="27" t="str">
        <f aca="false">IF(OR($DO17="",$DO17="No FRET",N($DR17)&lt;=0,N(IF($AK17="",68,$AK17))&lt;=0),"",1/(1+($DR17/IF($AK17="",68,$AK17))^6))</f>
        <v/>
      </c>
      <c r="DV17" s="28" t="str">
        <f aca="false">IF(OR($A17="",N($DH17)&lt;=0),"",IF(IF($I17="",5000,$I17)&gt;0,$DH17/(IF($G17="",5000,$G17)*IF($H17="",5000,$H17)*IF($I17="",5000,$I17))/1E-024/6.022E+023/0.000000001,""))</f>
        <v/>
      </c>
      <c r="DW17" s="29" t="str">
        <f aca="false">IF(Calc!AE17=0,"",IF(Calc!AC17&gt;=1,"✖ saturated (B ≥ freq.)",IF(Calc!AC17&gt;0.1,"⚠ B &gt; 10% of freq.",IF(Calc!AC17=0,"⚠ no brightness",IF(Calc!AD17&gt;0.1,"⚠ step &gt; 10% of wr",IF(OR(AND(N($DK17)&gt;0,IF($O17="",1,$O17)&lt;3),AND(N($DJ17)&gt;0,IF($O17="",1,$O17)&lt;2)),"⚠ uses a colour above Colours = "&amp;IF($O17="",1,$O17)&amp;" (ignored)",IF(AND($DO17&lt;&gt;"",$DO17&lt;&gt;"No FRET",N(IF($O17="",1,$O17))&lt;2),"⚠ FRET needs ≥ 2 colours",IF(AND($DO17&lt;&gt;"",$DO17&lt;&gt;"No FRET",N($DP17)+N($DQ17)+N($DR17)=0),"⚠ FRET: set R","✔ OK"))))))))</f>
        <v/>
      </c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7" t="str">
        <f aca="false">IF(OR($EG17="",$EG17="No FRET",N($EH17)&lt;=0,N(IF($AI17="",63,$AI17))&lt;=0),"",1/(1+($EH17/IF($AI17="",63,$AI17))^6))</f>
        <v/>
      </c>
      <c r="EL17" s="27" t="str">
        <f aca="false">IF(OR($EG17="",$EG17="No FRET",N($EI17)&lt;=0,N(IF($AJ17="",51,$AJ17))&lt;=0),"",1/(1+($EI17/IF($AJ17="",51,$AJ17))^6))</f>
        <v/>
      </c>
      <c r="EM17" s="27" t="str">
        <f aca="false">IF(OR($EG17="",$EG17="No FRET",N($EJ17)&lt;=0,N(IF($AK17="",68,$AK17))&lt;=0),"",1/(1+($EJ17/IF($AK17="",68,$AK17))^6))</f>
        <v/>
      </c>
      <c r="EN17" s="28" t="str">
        <f aca="false">IF(OR($A17="",N($DZ17)&lt;=0),"",IF(IF($I17="",5000,$I17)&gt;0,$DZ17/(IF($G17="",5000,$G17)*IF($H17="",5000,$H17)*IF($I17="",5000,$I17))/1E-024/6.022E+023/0.000000001,""))</f>
        <v/>
      </c>
      <c r="EO17" s="29" t="str">
        <f aca="false">IF(Calc!AK17=0,"",IF(Calc!AI17&gt;=1,"✖ saturated (B ≥ freq.)",IF(Calc!AI17&gt;0.1,"⚠ B &gt; 10% of freq.",IF(Calc!AI17=0,"⚠ no brightness",IF(Calc!AJ17&gt;0.1,"⚠ step &gt; 10% of wr",IF(OR(AND(N($EC17)&gt;0,IF($O17="",1,$O17)&lt;3),AND(N($EB17)&gt;0,IF($O17="",1,$O17)&lt;2)),"⚠ uses a colour above Colours = "&amp;IF($O17="",1,$O17)&amp;" (ignored)",IF(AND($EG17&lt;&gt;"",$EG17&lt;&gt;"No FRET",N(IF($O17="",1,$O17))&lt;2),"⚠ FRET needs ≥ 2 colours",IF(AND($EG17&lt;&gt;"",$EG17&lt;&gt;"No FRET",N($EH17)+N($EI17)+N($EJ17)=0),"⚠ FRET: set R","✔ OK"))))))))</f>
        <v/>
      </c>
      <c r="EP17" s="30" t="str">
        <f aca="false">IF($A17="","",SUM(Calc!G17,Calc!M17,Calc!S17,Calc!Y17,Calc!AE17,Calc!AK17))</f>
        <v/>
      </c>
      <c r="EQ17" s="30" t="str">
        <f aca="false">IF($A17="","",N($AN17)+N($BF17)+N($BX17)+N($CP17)+N($DH17)+N($DZ17))</f>
        <v/>
      </c>
      <c r="ER17" s="31" t="str">
        <f aca="false">IF($A17="","",SUM(Calc!B17,Calc!H17,Calc!N17,Calc!T17,Calc!Z17,Calc!AF17))</f>
        <v/>
      </c>
      <c r="ES17" s="31" t="str">
        <f aca="false">IF($A17="","",SUM(Calc!C17,Calc!I17,Calc!O17,Calc!U17,Calc!AA17,Calc!AG17))</f>
        <v/>
      </c>
      <c r="ET17" s="31" t="str">
        <f aca="false">IF($A17="","",SUM(Calc!D17,Calc!J17,Calc!P17,Calc!V17,Calc!AB17,Calc!AH17))</f>
        <v/>
      </c>
      <c r="EU17" s="27" t="str">
        <f aca="false">IF($A17="","",($ER17+$ES17+$ET17+IF($P17="Yes",N($Q17)*N(IF($O17="",1,$O17)),0))*1000*IF($K17="",10,$K17)/1000000)</f>
        <v/>
      </c>
      <c r="EV17" s="28" t="str">
        <f aca="false">IF($A17="","",$EU17*1000000*12/1000000000)</f>
        <v/>
      </c>
      <c r="EW17" s="32" t="str">
        <f aca="false">IF($A17="","",IF($EP17=0,"⚠ no species entered",IF(((LEFT($BC17,1)="✖")+(LEFT($BU17,1)="✖")+(LEFT($CM17,1)="✖")+(LEFT($DE17,1)="✖")+(LEFT($DW17,1)="✖")+(LEFT($EO17,1)="✖"))&gt;0,"✖ "&amp;((LEFT($BC17,1)="✖")+(LEFT($BU17,1)="✖")+(LEFT($CM17,1)="✖")+(LEFT($DE17,1)="✖")+(LEFT($DW17,1)="✖")+(LEFT($EO17,1)="✖"))&amp;" species saturated - see the species checks",IF(MIN(IF($G17="",5000,$G17),IF($H17="",5000,$H17))&lt;8*MAX(IF($T17="",200,$T17),IF($U17="",200,$U17),IF($V17="",200,$V17)),"⚠ box too small laterally (&lt; 8·wr)",IF(AND(IF($I17="",5000,$I17)&gt;0,IF($I17="",5000,$I17)&lt;3*MAX(IF($W17="",1000,$W17),IF($X17="",1000,$X17),IF($Y17="",1000,$Y17))),"⚠ box too small axially (&lt; 3·wz)",IF($EV17&gt;8,"⚠ &gt; 8 GB per file: shorten the duration and use several files",IF(((LEFT($BC17,1)="⚠")+(LEFT($BU17,1)="⚠")+(LEFT($CM17,1)="⚠")+(LEFT($DE17,1)="⚠")+(LEFT($DW17,1)="⚠")+(LEFT($EO17,1)="⚠"))&gt;0,"⚠ "&amp;((LEFT($BC17,1)="⚠")+(LEFT($BU17,1)="⚠")+(LEFT($CM17,1)="⚠")+(LEFT($DE17,1)="⚠")+(LEFT($DW17,1)="⚠")+(LEFT($EO17,1)="⚠"))&amp;" species with a warning","✔ OK")))))))</f>
        <v/>
      </c>
      <c r="EX17" s="25"/>
      <c r="EY17" s="25"/>
      <c r="EZ17" s="25"/>
      <c r="FA17" s="25"/>
      <c r="FB17" s="25"/>
      <c r="FC17" s="25"/>
      <c r="FD17" s="25"/>
      <c r="FE17" s="26"/>
    </row>
    <row r="18" customFormat="false" ht="15" hidden="false" customHeight="false" outlineLevel="0" collapsed="false">
      <c r="A18" s="25"/>
      <c r="B18" s="25"/>
      <c r="C18" s="26"/>
      <c r="D18" s="26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7" t="str">
        <f aca="false">IF(OR($AU18="",$AU18="No FRET",N($AV18)&lt;=0,N(IF($AI18="",63,$AI18))&lt;=0),"",1/(1+($AV18/IF($AI18="",63,$AI18))^6))</f>
        <v/>
      </c>
      <c r="AZ18" s="27" t="str">
        <f aca="false">IF(OR($AU18="",$AU18="No FRET",N($AW18)&lt;=0,N(IF($AJ18="",51,$AJ18))&lt;=0),"",1/(1+($AW18/IF($AJ18="",51,$AJ18))^6))</f>
        <v/>
      </c>
      <c r="BA18" s="27" t="str">
        <f aca="false">IF(OR($AU18="",$AU18="No FRET",N($AX18)&lt;=0,N(IF($AK18="",68,$AK18))&lt;=0),"",1/(1+($AX18/IF($AK18="",68,$AK18))^6))</f>
        <v/>
      </c>
      <c r="BB18" s="28" t="str">
        <f aca="false">IF(OR($A18="",N($AN18)&lt;=0),"",IF(IF($I18="",5000,$I18)&gt;0,$AN18/(IF($G18="",5000,$G18)*IF($H18="",5000,$H18)*IF($I18="",5000,$I18))/1E-024/6.022E+023/0.000000001,""))</f>
        <v/>
      </c>
      <c r="BC18" s="29" t="str">
        <f aca="false">IF(Calc!G18=0,"",IF(Calc!E18&gt;=1,"✖ saturated (B ≥ freq.)",IF(Calc!E18&gt;0.1,"⚠ B &gt; 10% of freq.",IF(Calc!E18=0,"⚠ no brightness",IF(Calc!F18&gt;0.1,"⚠ step &gt; 10% of wr",IF(OR(AND(N($AQ18)&gt;0,IF($O18="",1,$O18)&lt;3),AND(N($AP18)&gt;0,IF($O18="",1,$O18)&lt;2)),"⚠ uses a colour above Colours = "&amp;IF($O18="",1,$O18)&amp;" (ignored)",IF(AND($AU18&lt;&gt;"",$AU18&lt;&gt;"No FRET",N(IF($O18="",1,$O18))&lt;2),"⚠ FRET needs ≥ 2 colours",IF(AND($AU18&lt;&gt;"",$AU18&lt;&gt;"No FRET",N($AV18)+N($AW18)+N($AX18)=0),"⚠ FRET: set R","✔ OK"))))))))</f>
        <v/>
      </c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7" t="str">
        <f aca="false">IF(OR($BM18="",$BM18="No FRET",N($BN18)&lt;=0,N(IF($AI18="",63,$AI18))&lt;=0),"",1/(1+($BN18/IF($AI18="",63,$AI18))^6))</f>
        <v/>
      </c>
      <c r="BR18" s="27" t="str">
        <f aca="false">IF(OR($BM18="",$BM18="No FRET",N($BO18)&lt;=0,N(IF($AJ18="",51,$AJ18))&lt;=0),"",1/(1+($BO18/IF($AJ18="",51,$AJ18))^6))</f>
        <v/>
      </c>
      <c r="BS18" s="27" t="str">
        <f aca="false">IF(OR($BM18="",$BM18="No FRET",N($BP18)&lt;=0,N(IF($AK18="",68,$AK18))&lt;=0),"",1/(1+($BP18/IF($AK18="",68,$AK18))^6))</f>
        <v/>
      </c>
      <c r="BT18" s="28" t="str">
        <f aca="false">IF(OR($A18="",N($BF18)&lt;=0),"",IF(IF($I18="",5000,$I18)&gt;0,$BF18/(IF($G18="",5000,$G18)*IF($H18="",5000,$H18)*IF($I18="",5000,$I18))/1E-024/6.022E+023/0.000000001,""))</f>
        <v/>
      </c>
      <c r="BU18" s="29" t="str">
        <f aca="false">IF(Calc!M18=0,"",IF(Calc!K18&gt;=1,"✖ saturated (B ≥ freq.)",IF(Calc!K18&gt;0.1,"⚠ B &gt; 10% of freq.",IF(Calc!K18=0,"⚠ no brightness",IF(Calc!L18&gt;0.1,"⚠ step &gt; 10% of wr",IF(OR(AND(N($BI18)&gt;0,IF($O18="",1,$O18)&lt;3),AND(N($BH18)&gt;0,IF($O18="",1,$O18)&lt;2)),"⚠ uses a colour above Colours = "&amp;IF($O18="",1,$O18)&amp;" (ignored)",IF(AND($BM18&lt;&gt;"",$BM18&lt;&gt;"No FRET",N(IF($O18="",1,$O18))&lt;2),"⚠ FRET needs ≥ 2 colours",IF(AND($BM18&lt;&gt;"",$BM18&lt;&gt;"No FRET",N($BN18)+N($BO18)+N($BP18)=0),"⚠ FRET: set R","✔ OK"))))))))</f>
        <v/>
      </c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7" t="str">
        <f aca="false">IF(OR($CE18="",$CE18="No FRET",N($CF18)&lt;=0,N(IF($AI18="",63,$AI18))&lt;=0),"",1/(1+($CF18/IF($AI18="",63,$AI18))^6))</f>
        <v/>
      </c>
      <c r="CJ18" s="27" t="str">
        <f aca="false">IF(OR($CE18="",$CE18="No FRET",N($CG18)&lt;=0,N(IF($AJ18="",51,$AJ18))&lt;=0),"",1/(1+($CG18/IF($AJ18="",51,$AJ18))^6))</f>
        <v/>
      </c>
      <c r="CK18" s="27" t="str">
        <f aca="false">IF(OR($CE18="",$CE18="No FRET",N($CH18)&lt;=0,N(IF($AK18="",68,$AK18))&lt;=0),"",1/(1+($CH18/IF($AK18="",68,$AK18))^6))</f>
        <v/>
      </c>
      <c r="CL18" s="28" t="str">
        <f aca="false">IF(OR($A18="",N($BX18)&lt;=0),"",IF(IF($I18="",5000,$I18)&gt;0,$BX18/(IF($G18="",5000,$G18)*IF($H18="",5000,$H18)*IF($I18="",5000,$I18))/1E-024/6.022E+023/0.000000001,""))</f>
        <v/>
      </c>
      <c r="CM18" s="29" t="str">
        <f aca="false">IF(Calc!S18=0,"",IF(Calc!Q18&gt;=1,"✖ saturated (B ≥ freq.)",IF(Calc!Q18&gt;0.1,"⚠ B &gt; 10% of freq.",IF(Calc!Q18=0,"⚠ no brightness",IF(Calc!R18&gt;0.1,"⚠ step &gt; 10% of wr",IF(OR(AND(N($CA18)&gt;0,IF($O18="",1,$O18)&lt;3),AND(N($BZ18)&gt;0,IF($O18="",1,$O18)&lt;2)),"⚠ uses a colour above Colours = "&amp;IF($O18="",1,$O18)&amp;" (ignored)",IF(AND($CE18&lt;&gt;"",$CE18&lt;&gt;"No FRET",N(IF($O18="",1,$O18))&lt;2),"⚠ FRET needs ≥ 2 colours",IF(AND($CE18&lt;&gt;"",$CE18&lt;&gt;"No FRET",N($CF18)+N($CG18)+N($CH18)=0),"⚠ FRET: set R","✔ OK"))))))))</f>
        <v/>
      </c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7" t="str">
        <f aca="false">IF(OR($CW18="",$CW18="No FRET",N($CX18)&lt;=0,N(IF($AI18="",63,$AI18))&lt;=0),"",1/(1+($CX18/IF($AI18="",63,$AI18))^6))</f>
        <v/>
      </c>
      <c r="DB18" s="27" t="str">
        <f aca="false">IF(OR($CW18="",$CW18="No FRET",N($CY18)&lt;=0,N(IF($AJ18="",51,$AJ18))&lt;=0),"",1/(1+($CY18/IF($AJ18="",51,$AJ18))^6))</f>
        <v/>
      </c>
      <c r="DC18" s="27" t="str">
        <f aca="false">IF(OR($CW18="",$CW18="No FRET",N($CZ18)&lt;=0,N(IF($AK18="",68,$AK18))&lt;=0),"",1/(1+($CZ18/IF($AK18="",68,$AK18))^6))</f>
        <v/>
      </c>
      <c r="DD18" s="28" t="str">
        <f aca="false">IF(OR($A18="",N($CP18)&lt;=0),"",IF(IF($I18="",5000,$I18)&gt;0,$CP18/(IF($G18="",5000,$G18)*IF($H18="",5000,$H18)*IF($I18="",5000,$I18))/1E-024/6.022E+023/0.000000001,""))</f>
        <v/>
      </c>
      <c r="DE18" s="29" t="str">
        <f aca="false">IF(Calc!Y18=0,"",IF(Calc!W18&gt;=1,"✖ saturated (B ≥ freq.)",IF(Calc!W18&gt;0.1,"⚠ B &gt; 10% of freq.",IF(Calc!W18=0,"⚠ no brightness",IF(Calc!X18&gt;0.1,"⚠ step &gt; 10% of wr",IF(OR(AND(N($CS18)&gt;0,IF($O18="",1,$O18)&lt;3),AND(N($CR18)&gt;0,IF($O18="",1,$O18)&lt;2)),"⚠ uses a colour above Colours = "&amp;IF($O18="",1,$O18)&amp;" (ignored)",IF(AND($CW18&lt;&gt;"",$CW18&lt;&gt;"No FRET",N(IF($O18="",1,$O18))&lt;2),"⚠ FRET needs ≥ 2 colours",IF(AND($CW18&lt;&gt;"",$CW18&lt;&gt;"No FRET",N($CX18)+N($CY18)+N($CZ18)=0),"⚠ FRET: set R","✔ OK"))))))))</f>
        <v/>
      </c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7" t="str">
        <f aca="false">IF(OR($DO18="",$DO18="No FRET",N($DP18)&lt;=0,N(IF($AI18="",63,$AI18))&lt;=0),"",1/(1+($DP18/IF($AI18="",63,$AI18))^6))</f>
        <v/>
      </c>
      <c r="DT18" s="27" t="str">
        <f aca="false">IF(OR($DO18="",$DO18="No FRET",N($DQ18)&lt;=0,N(IF($AJ18="",51,$AJ18))&lt;=0),"",1/(1+($DQ18/IF($AJ18="",51,$AJ18))^6))</f>
        <v/>
      </c>
      <c r="DU18" s="27" t="str">
        <f aca="false">IF(OR($DO18="",$DO18="No FRET",N($DR18)&lt;=0,N(IF($AK18="",68,$AK18))&lt;=0),"",1/(1+($DR18/IF($AK18="",68,$AK18))^6))</f>
        <v/>
      </c>
      <c r="DV18" s="28" t="str">
        <f aca="false">IF(OR($A18="",N($DH18)&lt;=0),"",IF(IF($I18="",5000,$I18)&gt;0,$DH18/(IF($G18="",5000,$G18)*IF($H18="",5000,$H18)*IF($I18="",5000,$I18))/1E-024/6.022E+023/0.000000001,""))</f>
        <v/>
      </c>
      <c r="DW18" s="29" t="str">
        <f aca="false">IF(Calc!AE18=0,"",IF(Calc!AC18&gt;=1,"✖ saturated (B ≥ freq.)",IF(Calc!AC18&gt;0.1,"⚠ B &gt; 10% of freq.",IF(Calc!AC18=0,"⚠ no brightness",IF(Calc!AD18&gt;0.1,"⚠ step &gt; 10% of wr",IF(OR(AND(N($DK18)&gt;0,IF($O18="",1,$O18)&lt;3),AND(N($DJ18)&gt;0,IF($O18="",1,$O18)&lt;2)),"⚠ uses a colour above Colours = "&amp;IF($O18="",1,$O18)&amp;" (ignored)",IF(AND($DO18&lt;&gt;"",$DO18&lt;&gt;"No FRET",N(IF($O18="",1,$O18))&lt;2),"⚠ FRET needs ≥ 2 colours",IF(AND($DO18&lt;&gt;"",$DO18&lt;&gt;"No FRET",N($DP18)+N($DQ18)+N($DR18)=0),"⚠ FRET: set R","✔ OK"))))))))</f>
        <v/>
      </c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7" t="str">
        <f aca="false">IF(OR($EG18="",$EG18="No FRET",N($EH18)&lt;=0,N(IF($AI18="",63,$AI18))&lt;=0),"",1/(1+($EH18/IF($AI18="",63,$AI18))^6))</f>
        <v/>
      </c>
      <c r="EL18" s="27" t="str">
        <f aca="false">IF(OR($EG18="",$EG18="No FRET",N($EI18)&lt;=0,N(IF($AJ18="",51,$AJ18))&lt;=0),"",1/(1+($EI18/IF($AJ18="",51,$AJ18))^6))</f>
        <v/>
      </c>
      <c r="EM18" s="27" t="str">
        <f aca="false">IF(OR($EG18="",$EG18="No FRET",N($EJ18)&lt;=0,N(IF($AK18="",68,$AK18))&lt;=0),"",1/(1+($EJ18/IF($AK18="",68,$AK18))^6))</f>
        <v/>
      </c>
      <c r="EN18" s="28" t="str">
        <f aca="false">IF(OR($A18="",N($DZ18)&lt;=0),"",IF(IF($I18="",5000,$I18)&gt;0,$DZ18/(IF($G18="",5000,$G18)*IF($H18="",5000,$H18)*IF($I18="",5000,$I18))/1E-024/6.022E+023/0.000000001,""))</f>
        <v/>
      </c>
      <c r="EO18" s="29" t="str">
        <f aca="false">IF(Calc!AK18=0,"",IF(Calc!AI18&gt;=1,"✖ saturated (B ≥ freq.)",IF(Calc!AI18&gt;0.1,"⚠ B &gt; 10% of freq.",IF(Calc!AI18=0,"⚠ no brightness",IF(Calc!AJ18&gt;0.1,"⚠ step &gt; 10% of wr",IF(OR(AND(N($EC18)&gt;0,IF($O18="",1,$O18)&lt;3),AND(N($EB18)&gt;0,IF($O18="",1,$O18)&lt;2)),"⚠ uses a colour above Colours = "&amp;IF($O18="",1,$O18)&amp;" (ignored)",IF(AND($EG18&lt;&gt;"",$EG18&lt;&gt;"No FRET",N(IF($O18="",1,$O18))&lt;2),"⚠ FRET needs ≥ 2 colours",IF(AND($EG18&lt;&gt;"",$EG18&lt;&gt;"No FRET",N($EH18)+N($EI18)+N($EJ18)=0),"⚠ FRET: set R","✔ OK"))))))))</f>
        <v/>
      </c>
      <c r="EP18" s="30" t="str">
        <f aca="false">IF($A18="","",SUM(Calc!G18,Calc!M18,Calc!S18,Calc!Y18,Calc!AE18,Calc!AK18))</f>
        <v/>
      </c>
      <c r="EQ18" s="30" t="str">
        <f aca="false">IF($A18="","",N($AN18)+N($BF18)+N($BX18)+N($CP18)+N($DH18)+N($DZ18))</f>
        <v/>
      </c>
      <c r="ER18" s="31" t="str">
        <f aca="false">IF($A18="","",SUM(Calc!B18,Calc!H18,Calc!N18,Calc!T18,Calc!Z18,Calc!AF18))</f>
        <v/>
      </c>
      <c r="ES18" s="31" t="str">
        <f aca="false">IF($A18="","",SUM(Calc!C18,Calc!I18,Calc!O18,Calc!U18,Calc!AA18,Calc!AG18))</f>
        <v/>
      </c>
      <c r="ET18" s="31" t="str">
        <f aca="false">IF($A18="","",SUM(Calc!D18,Calc!J18,Calc!P18,Calc!V18,Calc!AB18,Calc!AH18))</f>
        <v/>
      </c>
      <c r="EU18" s="27" t="str">
        <f aca="false">IF($A18="","",($ER18+$ES18+$ET18+IF($P18="Yes",N($Q18)*N(IF($O18="",1,$O18)),0))*1000*IF($K18="",10,$K18)/1000000)</f>
        <v/>
      </c>
      <c r="EV18" s="28" t="str">
        <f aca="false">IF($A18="","",$EU18*1000000*12/1000000000)</f>
        <v/>
      </c>
      <c r="EW18" s="32" t="str">
        <f aca="false">IF($A18="","",IF($EP18=0,"⚠ no species entered",IF(((LEFT($BC18,1)="✖")+(LEFT($BU18,1)="✖")+(LEFT($CM18,1)="✖")+(LEFT($DE18,1)="✖")+(LEFT($DW18,1)="✖")+(LEFT($EO18,1)="✖"))&gt;0,"✖ "&amp;((LEFT($BC18,1)="✖")+(LEFT($BU18,1)="✖")+(LEFT($CM18,1)="✖")+(LEFT($DE18,1)="✖")+(LEFT($DW18,1)="✖")+(LEFT($EO18,1)="✖"))&amp;" species saturated - see the species checks",IF(MIN(IF($G18="",5000,$G18),IF($H18="",5000,$H18))&lt;8*MAX(IF($T18="",200,$T18),IF($U18="",200,$U18),IF($V18="",200,$V18)),"⚠ box too small laterally (&lt; 8·wr)",IF(AND(IF($I18="",5000,$I18)&gt;0,IF($I18="",5000,$I18)&lt;3*MAX(IF($W18="",1000,$W18),IF($X18="",1000,$X18),IF($Y18="",1000,$Y18))),"⚠ box too small axially (&lt; 3·wz)",IF($EV18&gt;8,"⚠ &gt; 8 GB per file: shorten the duration and use several files",IF(((LEFT($BC18,1)="⚠")+(LEFT($BU18,1)="⚠")+(LEFT($CM18,1)="⚠")+(LEFT($DE18,1)="⚠")+(LEFT($DW18,1)="⚠")+(LEFT($EO18,1)="⚠"))&gt;0,"⚠ "&amp;((LEFT($BC18,1)="⚠")+(LEFT($BU18,1)="⚠")+(LEFT($CM18,1)="⚠")+(LEFT($DE18,1)="⚠")+(LEFT($DW18,1)="⚠")+(LEFT($EO18,1)="⚠"))&amp;" species with a warning","✔ OK")))))))</f>
        <v/>
      </c>
      <c r="EX18" s="25"/>
      <c r="EY18" s="25"/>
      <c r="EZ18" s="25"/>
      <c r="FA18" s="25"/>
      <c r="FB18" s="25"/>
      <c r="FC18" s="25"/>
      <c r="FD18" s="25"/>
      <c r="FE18" s="26"/>
    </row>
    <row r="19" customFormat="false" ht="15" hidden="false" customHeight="false" outlineLevel="0" collapsed="false">
      <c r="A19" s="25"/>
      <c r="B19" s="25"/>
      <c r="C19" s="26"/>
      <c r="D19" s="26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7" t="str">
        <f aca="false">IF(OR($AU19="",$AU19="No FRET",N($AV19)&lt;=0,N(IF($AI19="",63,$AI19))&lt;=0),"",1/(1+($AV19/IF($AI19="",63,$AI19))^6))</f>
        <v/>
      </c>
      <c r="AZ19" s="27" t="str">
        <f aca="false">IF(OR($AU19="",$AU19="No FRET",N($AW19)&lt;=0,N(IF($AJ19="",51,$AJ19))&lt;=0),"",1/(1+($AW19/IF($AJ19="",51,$AJ19))^6))</f>
        <v/>
      </c>
      <c r="BA19" s="27" t="str">
        <f aca="false">IF(OR($AU19="",$AU19="No FRET",N($AX19)&lt;=0,N(IF($AK19="",68,$AK19))&lt;=0),"",1/(1+($AX19/IF($AK19="",68,$AK19))^6))</f>
        <v/>
      </c>
      <c r="BB19" s="28" t="str">
        <f aca="false">IF(OR($A19="",N($AN19)&lt;=0),"",IF(IF($I19="",5000,$I19)&gt;0,$AN19/(IF($G19="",5000,$G19)*IF($H19="",5000,$H19)*IF($I19="",5000,$I19))/1E-024/6.022E+023/0.000000001,""))</f>
        <v/>
      </c>
      <c r="BC19" s="29" t="str">
        <f aca="false">IF(Calc!G19=0,"",IF(Calc!E19&gt;=1,"✖ saturated (B ≥ freq.)",IF(Calc!E19&gt;0.1,"⚠ B &gt; 10% of freq.",IF(Calc!E19=0,"⚠ no brightness",IF(Calc!F19&gt;0.1,"⚠ step &gt; 10% of wr",IF(OR(AND(N($AQ19)&gt;0,IF($O19="",1,$O19)&lt;3),AND(N($AP19)&gt;0,IF($O19="",1,$O19)&lt;2)),"⚠ uses a colour above Colours = "&amp;IF($O19="",1,$O19)&amp;" (ignored)",IF(AND($AU19&lt;&gt;"",$AU19&lt;&gt;"No FRET",N(IF($O19="",1,$O19))&lt;2),"⚠ FRET needs ≥ 2 colours",IF(AND($AU19&lt;&gt;"",$AU19&lt;&gt;"No FRET",N($AV19)+N($AW19)+N($AX19)=0),"⚠ FRET: set R","✔ OK"))))))))</f>
        <v/>
      </c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7" t="str">
        <f aca="false">IF(OR($BM19="",$BM19="No FRET",N($BN19)&lt;=0,N(IF($AI19="",63,$AI19))&lt;=0),"",1/(1+($BN19/IF($AI19="",63,$AI19))^6))</f>
        <v/>
      </c>
      <c r="BR19" s="27" t="str">
        <f aca="false">IF(OR($BM19="",$BM19="No FRET",N($BO19)&lt;=0,N(IF($AJ19="",51,$AJ19))&lt;=0),"",1/(1+($BO19/IF($AJ19="",51,$AJ19))^6))</f>
        <v/>
      </c>
      <c r="BS19" s="27" t="str">
        <f aca="false">IF(OR($BM19="",$BM19="No FRET",N($BP19)&lt;=0,N(IF($AK19="",68,$AK19))&lt;=0),"",1/(1+($BP19/IF($AK19="",68,$AK19))^6))</f>
        <v/>
      </c>
      <c r="BT19" s="28" t="str">
        <f aca="false">IF(OR($A19="",N($BF19)&lt;=0),"",IF(IF($I19="",5000,$I19)&gt;0,$BF19/(IF($G19="",5000,$G19)*IF($H19="",5000,$H19)*IF($I19="",5000,$I19))/1E-024/6.022E+023/0.000000001,""))</f>
        <v/>
      </c>
      <c r="BU19" s="29" t="str">
        <f aca="false">IF(Calc!M19=0,"",IF(Calc!K19&gt;=1,"✖ saturated (B ≥ freq.)",IF(Calc!K19&gt;0.1,"⚠ B &gt; 10% of freq.",IF(Calc!K19=0,"⚠ no brightness",IF(Calc!L19&gt;0.1,"⚠ step &gt; 10% of wr",IF(OR(AND(N($BI19)&gt;0,IF($O19="",1,$O19)&lt;3),AND(N($BH19)&gt;0,IF($O19="",1,$O19)&lt;2)),"⚠ uses a colour above Colours = "&amp;IF($O19="",1,$O19)&amp;" (ignored)",IF(AND($BM19&lt;&gt;"",$BM19&lt;&gt;"No FRET",N(IF($O19="",1,$O19))&lt;2),"⚠ FRET needs ≥ 2 colours",IF(AND($BM19&lt;&gt;"",$BM19&lt;&gt;"No FRET",N($BN19)+N($BO19)+N($BP19)=0),"⚠ FRET: set R","✔ OK"))))))))</f>
        <v/>
      </c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7" t="str">
        <f aca="false">IF(OR($CE19="",$CE19="No FRET",N($CF19)&lt;=0,N(IF($AI19="",63,$AI19))&lt;=0),"",1/(1+($CF19/IF($AI19="",63,$AI19))^6))</f>
        <v/>
      </c>
      <c r="CJ19" s="27" t="str">
        <f aca="false">IF(OR($CE19="",$CE19="No FRET",N($CG19)&lt;=0,N(IF($AJ19="",51,$AJ19))&lt;=0),"",1/(1+($CG19/IF($AJ19="",51,$AJ19))^6))</f>
        <v/>
      </c>
      <c r="CK19" s="27" t="str">
        <f aca="false">IF(OR($CE19="",$CE19="No FRET",N($CH19)&lt;=0,N(IF($AK19="",68,$AK19))&lt;=0),"",1/(1+($CH19/IF($AK19="",68,$AK19))^6))</f>
        <v/>
      </c>
      <c r="CL19" s="28" t="str">
        <f aca="false">IF(OR($A19="",N($BX19)&lt;=0),"",IF(IF($I19="",5000,$I19)&gt;0,$BX19/(IF($G19="",5000,$G19)*IF($H19="",5000,$H19)*IF($I19="",5000,$I19))/1E-024/6.022E+023/0.000000001,""))</f>
        <v/>
      </c>
      <c r="CM19" s="29" t="str">
        <f aca="false">IF(Calc!S19=0,"",IF(Calc!Q19&gt;=1,"✖ saturated (B ≥ freq.)",IF(Calc!Q19&gt;0.1,"⚠ B &gt; 10% of freq.",IF(Calc!Q19=0,"⚠ no brightness",IF(Calc!R19&gt;0.1,"⚠ step &gt; 10% of wr",IF(OR(AND(N($CA19)&gt;0,IF($O19="",1,$O19)&lt;3),AND(N($BZ19)&gt;0,IF($O19="",1,$O19)&lt;2)),"⚠ uses a colour above Colours = "&amp;IF($O19="",1,$O19)&amp;" (ignored)",IF(AND($CE19&lt;&gt;"",$CE19&lt;&gt;"No FRET",N(IF($O19="",1,$O19))&lt;2),"⚠ FRET needs ≥ 2 colours",IF(AND($CE19&lt;&gt;"",$CE19&lt;&gt;"No FRET",N($CF19)+N($CG19)+N($CH19)=0),"⚠ FRET: set R","✔ OK"))))))))</f>
        <v/>
      </c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7" t="str">
        <f aca="false">IF(OR($CW19="",$CW19="No FRET",N($CX19)&lt;=0,N(IF($AI19="",63,$AI19))&lt;=0),"",1/(1+($CX19/IF($AI19="",63,$AI19))^6))</f>
        <v/>
      </c>
      <c r="DB19" s="27" t="str">
        <f aca="false">IF(OR($CW19="",$CW19="No FRET",N($CY19)&lt;=0,N(IF($AJ19="",51,$AJ19))&lt;=0),"",1/(1+($CY19/IF($AJ19="",51,$AJ19))^6))</f>
        <v/>
      </c>
      <c r="DC19" s="27" t="str">
        <f aca="false">IF(OR($CW19="",$CW19="No FRET",N($CZ19)&lt;=0,N(IF($AK19="",68,$AK19))&lt;=0),"",1/(1+($CZ19/IF($AK19="",68,$AK19))^6))</f>
        <v/>
      </c>
      <c r="DD19" s="28" t="str">
        <f aca="false">IF(OR($A19="",N($CP19)&lt;=0),"",IF(IF($I19="",5000,$I19)&gt;0,$CP19/(IF($G19="",5000,$G19)*IF($H19="",5000,$H19)*IF($I19="",5000,$I19))/1E-024/6.022E+023/0.000000001,""))</f>
        <v/>
      </c>
      <c r="DE19" s="29" t="str">
        <f aca="false">IF(Calc!Y19=0,"",IF(Calc!W19&gt;=1,"✖ saturated (B ≥ freq.)",IF(Calc!W19&gt;0.1,"⚠ B &gt; 10% of freq.",IF(Calc!W19=0,"⚠ no brightness",IF(Calc!X19&gt;0.1,"⚠ step &gt; 10% of wr",IF(OR(AND(N($CS19)&gt;0,IF($O19="",1,$O19)&lt;3),AND(N($CR19)&gt;0,IF($O19="",1,$O19)&lt;2)),"⚠ uses a colour above Colours = "&amp;IF($O19="",1,$O19)&amp;" (ignored)",IF(AND($CW19&lt;&gt;"",$CW19&lt;&gt;"No FRET",N(IF($O19="",1,$O19))&lt;2),"⚠ FRET needs ≥ 2 colours",IF(AND($CW19&lt;&gt;"",$CW19&lt;&gt;"No FRET",N($CX19)+N($CY19)+N($CZ19)=0),"⚠ FRET: set R","✔ OK"))))))))</f>
        <v/>
      </c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7" t="str">
        <f aca="false">IF(OR($DO19="",$DO19="No FRET",N($DP19)&lt;=0,N(IF($AI19="",63,$AI19))&lt;=0),"",1/(1+($DP19/IF($AI19="",63,$AI19))^6))</f>
        <v/>
      </c>
      <c r="DT19" s="27" t="str">
        <f aca="false">IF(OR($DO19="",$DO19="No FRET",N($DQ19)&lt;=0,N(IF($AJ19="",51,$AJ19))&lt;=0),"",1/(1+($DQ19/IF($AJ19="",51,$AJ19))^6))</f>
        <v/>
      </c>
      <c r="DU19" s="27" t="str">
        <f aca="false">IF(OR($DO19="",$DO19="No FRET",N($DR19)&lt;=0,N(IF($AK19="",68,$AK19))&lt;=0),"",1/(1+($DR19/IF($AK19="",68,$AK19))^6))</f>
        <v/>
      </c>
      <c r="DV19" s="28" t="str">
        <f aca="false">IF(OR($A19="",N($DH19)&lt;=0),"",IF(IF($I19="",5000,$I19)&gt;0,$DH19/(IF($G19="",5000,$G19)*IF($H19="",5000,$H19)*IF($I19="",5000,$I19))/1E-024/6.022E+023/0.000000001,""))</f>
        <v/>
      </c>
      <c r="DW19" s="29" t="str">
        <f aca="false">IF(Calc!AE19=0,"",IF(Calc!AC19&gt;=1,"✖ saturated (B ≥ freq.)",IF(Calc!AC19&gt;0.1,"⚠ B &gt; 10% of freq.",IF(Calc!AC19=0,"⚠ no brightness",IF(Calc!AD19&gt;0.1,"⚠ step &gt; 10% of wr",IF(OR(AND(N($DK19)&gt;0,IF($O19="",1,$O19)&lt;3),AND(N($DJ19)&gt;0,IF($O19="",1,$O19)&lt;2)),"⚠ uses a colour above Colours = "&amp;IF($O19="",1,$O19)&amp;" (ignored)",IF(AND($DO19&lt;&gt;"",$DO19&lt;&gt;"No FRET",N(IF($O19="",1,$O19))&lt;2),"⚠ FRET needs ≥ 2 colours",IF(AND($DO19&lt;&gt;"",$DO19&lt;&gt;"No FRET",N($DP19)+N($DQ19)+N($DR19)=0),"⚠ FRET: set R","✔ OK"))))))))</f>
        <v/>
      </c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7" t="str">
        <f aca="false">IF(OR($EG19="",$EG19="No FRET",N($EH19)&lt;=0,N(IF($AI19="",63,$AI19))&lt;=0),"",1/(1+($EH19/IF($AI19="",63,$AI19))^6))</f>
        <v/>
      </c>
      <c r="EL19" s="27" t="str">
        <f aca="false">IF(OR($EG19="",$EG19="No FRET",N($EI19)&lt;=0,N(IF($AJ19="",51,$AJ19))&lt;=0),"",1/(1+($EI19/IF($AJ19="",51,$AJ19))^6))</f>
        <v/>
      </c>
      <c r="EM19" s="27" t="str">
        <f aca="false">IF(OR($EG19="",$EG19="No FRET",N($EJ19)&lt;=0,N(IF($AK19="",68,$AK19))&lt;=0),"",1/(1+($EJ19/IF($AK19="",68,$AK19))^6))</f>
        <v/>
      </c>
      <c r="EN19" s="28" t="str">
        <f aca="false">IF(OR($A19="",N($DZ19)&lt;=0),"",IF(IF($I19="",5000,$I19)&gt;0,$DZ19/(IF($G19="",5000,$G19)*IF($H19="",5000,$H19)*IF($I19="",5000,$I19))/1E-024/6.022E+023/0.000000001,""))</f>
        <v/>
      </c>
      <c r="EO19" s="29" t="str">
        <f aca="false">IF(Calc!AK19=0,"",IF(Calc!AI19&gt;=1,"✖ saturated (B ≥ freq.)",IF(Calc!AI19&gt;0.1,"⚠ B &gt; 10% of freq.",IF(Calc!AI19=0,"⚠ no brightness",IF(Calc!AJ19&gt;0.1,"⚠ step &gt; 10% of wr",IF(OR(AND(N($EC19)&gt;0,IF($O19="",1,$O19)&lt;3),AND(N($EB19)&gt;0,IF($O19="",1,$O19)&lt;2)),"⚠ uses a colour above Colours = "&amp;IF($O19="",1,$O19)&amp;" (ignored)",IF(AND($EG19&lt;&gt;"",$EG19&lt;&gt;"No FRET",N(IF($O19="",1,$O19))&lt;2),"⚠ FRET needs ≥ 2 colours",IF(AND($EG19&lt;&gt;"",$EG19&lt;&gt;"No FRET",N($EH19)+N($EI19)+N($EJ19)=0),"⚠ FRET: set R","✔ OK"))))))))</f>
        <v/>
      </c>
      <c r="EP19" s="30" t="str">
        <f aca="false">IF($A19="","",SUM(Calc!G19,Calc!M19,Calc!S19,Calc!Y19,Calc!AE19,Calc!AK19))</f>
        <v/>
      </c>
      <c r="EQ19" s="30" t="str">
        <f aca="false">IF($A19="","",N($AN19)+N($BF19)+N($BX19)+N($CP19)+N($DH19)+N($DZ19))</f>
        <v/>
      </c>
      <c r="ER19" s="31" t="str">
        <f aca="false">IF($A19="","",SUM(Calc!B19,Calc!H19,Calc!N19,Calc!T19,Calc!Z19,Calc!AF19))</f>
        <v/>
      </c>
      <c r="ES19" s="31" t="str">
        <f aca="false">IF($A19="","",SUM(Calc!C19,Calc!I19,Calc!O19,Calc!U19,Calc!AA19,Calc!AG19))</f>
        <v/>
      </c>
      <c r="ET19" s="31" t="str">
        <f aca="false">IF($A19="","",SUM(Calc!D19,Calc!J19,Calc!P19,Calc!V19,Calc!AB19,Calc!AH19))</f>
        <v/>
      </c>
      <c r="EU19" s="27" t="str">
        <f aca="false">IF($A19="","",($ER19+$ES19+$ET19+IF($P19="Yes",N($Q19)*N(IF($O19="",1,$O19)),0))*1000*IF($K19="",10,$K19)/1000000)</f>
        <v/>
      </c>
      <c r="EV19" s="28" t="str">
        <f aca="false">IF($A19="","",$EU19*1000000*12/1000000000)</f>
        <v/>
      </c>
      <c r="EW19" s="32" t="str">
        <f aca="false">IF($A19="","",IF($EP19=0,"⚠ no species entered",IF(((LEFT($BC19,1)="✖")+(LEFT($BU19,1)="✖")+(LEFT($CM19,1)="✖")+(LEFT($DE19,1)="✖")+(LEFT($DW19,1)="✖")+(LEFT($EO19,1)="✖"))&gt;0,"✖ "&amp;((LEFT($BC19,1)="✖")+(LEFT($BU19,1)="✖")+(LEFT($CM19,1)="✖")+(LEFT($DE19,1)="✖")+(LEFT($DW19,1)="✖")+(LEFT($EO19,1)="✖"))&amp;" species saturated - see the species checks",IF(MIN(IF($G19="",5000,$G19),IF($H19="",5000,$H19))&lt;8*MAX(IF($T19="",200,$T19),IF($U19="",200,$U19),IF($V19="",200,$V19)),"⚠ box too small laterally (&lt; 8·wr)",IF(AND(IF($I19="",5000,$I19)&gt;0,IF($I19="",5000,$I19)&lt;3*MAX(IF($W19="",1000,$W19),IF($X19="",1000,$X19),IF($Y19="",1000,$Y19))),"⚠ box too small axially (&lt; 3·wz)",IF($EV19&gt;8,"⚠ &gt; 8 GB per file: shorten the duration and use several files",IF(((LEFT($BC19,1)="⚠")+(LEFT($BU19,1)="⚠")+(LEFT($CM19,1)="⚠")+(LEFT($DE19,1)="⚠")+(LEFT($DW19,1)="⚠")+(LEFT($EO19,1)="⚠"))&gt;0,"⚠ "&amp;((LEFT($BC19,1)="⚠")+(LEFT($BU19,1)="⚠")+(LEFT($CM19,1)="⚠")+(LEFT($DE19,1)="⚠")+(LEFT($DW19,1)="⚠")+(LEFT($EO19,1)="⚠"))&amp;" species with a warning","✔ OK")))))))</f>
        <v/>
      </c>
      <c r="EX19" s="25"/>
      <c r="EY19" s="25"/>
      <c r="EZ19" s="25"/>
      <c r="FA19" s="25"/>
      <c r="FB19" s="25"/>
      <c r="FC19" s="25"/>
      <c r="FD19" s="25"/>
      <c r="FE19" s="26"/>
    </row>
    <row r="20" customFormat="false" ht="15" hidden="false" customHeight="false" outlineLevel="0" collapsed="false">
      <c r="A20" s="25"/>
      <c r="B20" s="25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7" t="str">
        <f aca="false">IF(OR($AU20="",$AU20="No FRET",N($AV20)&lt;=0,N(IF($AI20="",63,$AI20))&lt;=0),"",1/(1+($AV20/IF($AI20="",63,$AI20))^6))</f>
        <v/>
      </c>
      <c r="AZ20" s="27" t="str">
        <f aca="false">IF(OR($AU20="",$AU20="No FRET",N($AW20)&lt;=0,N(IF($AJ20="",51,$AJ20))&lt;=0),"",1/(1+($AW20/IF($AJ20="",51,$AJ20))^6))</f>
        <v/>
      </c>
      <c r="BA20" s="27" t="str">
        <f aca="false">IF(OR($AU20="",$AU20="No FRET",N($AX20)&lt;=0,N(IF($AK20="",68,$AK20))&lt;=0),"",1/(1+($AX20/IF($AK20="",68,$AK20))^6))</f>
        <v/>
      </c>
      <c r="BB20" s="28" t="str">
        <f aca="false">IF(OR($A20="",N($AN20)&lt;=0),"",IF(IF($I20="",5000,$I20)&gt;0,$AN20/(IF($G20="",5000,$G20)*IF($H20="",5000,$H20)*IF($I20="",5000,$I20))/1E-024/6.022E+023/0.000000001,""))</f>
        <v/>
      </c>
      <c r="BC20" s="29" t="str">
        <f aca="false">IF(Calc!G20=0,"",IF(Calc!E20&gt;=1,"✖ saturated (B ≥ freq.)",IF(Calc!E20&gt;0.1,"⚠ B &gt; 10% of freq.",IF(Calc!E20=0,"⚠ no brightness",IF(Calc!F20&gt;0.1,"⚠ step &gt; 10% of wr",IF(OR(AND(N($AQ20)&gt;0,IF($O20="",1,$O20)&lt;3),AND(N($AP20)&gt;0,IF($O20="",1,$O20)&lt;2)),"⚠ uses a colour above Colours = "&amp;IF($O20="",1,$O20)&amp;" (ignored)",IF(AND($AU20&lt;&gt;"",$AU20&lt;&gt;"No FRET",N(IF($O20="",1,$O20))&lt;2),"⚠ FRET needs ≥ 2 colours",IF(AND($AU20&lt;&gt;"",$AU20&lt;&gt;"No FRET",N($AV20)+N($AW20)+N($AX20)=0),"⚠ FRET: set R","✔ OK"))))))))</f>
        <v/>
      </c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7" t="str">
        <f aca="false">IF(OR($BM20="",$BM20="No FRET",N($BN20)&lt;=0,N(IF($AI20="",63,$AI20))&lt;=0),"",1/(1+($BN20/IF($AI20="",63,$AI20))^6))</f>
        <v/>
      </c>
      <c r="BR20" s="27" t="str">
        <f aca="false">IF(OR($BM20="",$BM20="No FRET",N($BO20)&lt;=0,N(IF($AJ20="",51,$AJ20))&lt;=0),"",1/(1+($BO20/IF($AJ20="",51,$AJ20))^6))</f>
        <v/>
      </c>
      <c r="BS20" s="27" t="str">
        <f aca="false">IF(OR($BM20="",$BM20="No FRET",N($BP20)&lt;=0,N(IF($AK20="",68,$AK20))&lt;=0),"",1/(1+($BP20/IF($AK20="",68,$AK20))^6))</f>
        <v/>
      </c>
      <c r="BT20" s="28" t="str">
        <f aca="false">IF(OR($A20="",N($BF20)&lt;=0),"",IF(IF($I20="",5000,$I20)&gt;0,$BF20/(IF($G20="",5000,$G20)*IF($H20="",5000,$H20)*IF($I20="",5000,$I20))/1E-024/6.022E+023/0.000000001,""))</f>
        <v/>
      </c>
      <c r="BU20" s="29" t="str">
        <f aca="false">IF(Calc!M20=0,"",IF(Calc!K20&gt;=1,"✖ saturated (B ≥ freq.)",IF(Calc!K20&gt;0.1,"⚠ B &gt; 10% of freq.",IF(Calc!K20=0,"⚠ no brightness",IF(Calc!L20&gt;0.1,"⚠ step &gt; 10% of wr",IF(OR(AND(N($BI20)&gt;0,IF($O20="",1,$O20)&lt;3),AND(N($BH20)&gt;0,IF($O20="",1,$O20)&lt;2)),"⚠ uses a colour above Colours = "&amp;IF($O20="",1,$O20)&amp;" (ignored)",IF(AND($BM20&lt;&gt;"",$BM20&lt;&gt;"No FRET",N(IF($O20="",1,$O20))&lt;2),"⚠ FRET needs ≥ 2 colours",IF(AND($BM20&lt;&gt;"",$BM20&lt;&gt;"No FRET",N($BN20)+N($BO20)+N($BP20)=0),"⚠ FRET: set R","✔ OK"))))))))</f>
        <v/>
      </c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7" t="str">
        <f aca="false">IF(OR($CE20="",$CE20="No FRET",N($CF20)&lt;=0,N(IF($AI20="",63,$AI20))&lt;=0),"",1/(1+($CF20/IF($AI20="",63,$AI20))^6))</f>
        <v/>
      </c>
      <c r="CJ20" s="27" t="str">
        <f aca="false">IF(OR($CE20="",$CE20="No FRET",N($CG20)&lt;=0,N(IF($AJ20="",51,$AJ20))&lt;=0),"",1/(1+($CG20/IF($AJ20="",51,$AJ20))^6))</f>
        <v/>
      </c>
      <c r="CK20" s="27" t="str">
        <f aca="false">IF(OR($CE20="",$CE20="No FRET",N($CH20)&lt;=0,N(IF($AK20="",68,$AK20))&lt;=0),"",1/(1+($CH20/IF($AK20="",68,$AK20))^6))</f>
        <v/>
      </c>
      <c r="CL20" s="28" t="str">
        <f aca="false">IF(OR($A20="",N($BX20)&lt;=0),"",IF(IF($I20="",5000,$I20)&gt;0,$BX20/(IF($G20="",5000,$G20)*IF($H20="",5000,$H20)*IF($I20="",5000,$I20))/1E-024/6.022E+023/0.000000001,""))</f>
        <v/>
      </c>
      <c r="CM20" s="29" t="str">
        <f aca="false">IF(Calc!S20=0,"",IF(Calc!Q20&gt;=1,"✖ saturated (B ≥ freq.)",IF(Calc!Q20&gt;0.1,"⚠ B &gt; 10% of freq.",IF(Calc!Q20=0,"⚠ no brightness",IF(Calc!R20&gt;0.1,"⚠ step &gt; 10% of wr",IF(OR(AND(N($CA20)&gt;0,IF($O20="",1,$O20)&lt;3),AND(N($BZ20)&gt;0,IF($O20="",1,$O20)&lt;2)),"⚠ uses a colour above Colours = "&amp;IF($O20="",1,$O20)&amp;" (ignored)",IF(AND($CE20&lt;&gt;"",$CE20&lt;&gt;"No FRET",N(IF($O20="",1,$O20))&lt;2),"⚠ FRET needs ≥ 2 colours",IF(AND($CE20&lt;&gt;"",$CE20&lt;&gt;"No FRET",N($CF20)+N($CG20)+N($CH20)=0),"⚠ FRET: set R","✔ OK"))))))))</f>
        <v/>
      </c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7" t="str">
        <f aca="false">IF(OR($CW20="",$CW20="No FRET",N($CX20)&lt;=0,N(IF($AI20="",63,$AI20))&lt;=0),"",1/(1+($CX20/IF($AI20="",63,$AI20))^6))</f>
        <v/>
      </c>
      <c r="DB20" s="27" t="str">
        <f aca="false">IF(OR($CW20="",$CW20="No FRET",N($CY20)&lt;=0,N(IF($AJ20="",51,$AJ20))&lt;=0),"",1/(1+($CY20/IF($AJ20="",51,$AJ20))^6))</f>
        <v/>
      </c>
      <c r="DC20" s="27" t="str">
        <f aca="false">IF(OR($CW20="",$CW20="No FRET",N($CZ20)&lt;=0,N(IF($AK20="",68,$AK20))&lt;=0),"",1/(1+($CZ20/IF($AK20="",68,$AK20))^6))</f>
        <v/>
      </c>
      <c r="DD20" s="28" t="str">
        <f aca="false">IF(OR($A20="",N($CP20)&lt;=0),"",IF(IF($I20="",5000,$I20)&gt;0,$CP20/(IF($G20="",5000,$G20)*IF($H20="",5000,$H20)*IF($I20="",5000,$I20))/1E-024/6.022E+023/0.000000001,""))</f>
        <v/>
      </c>
      <c r="DE20" s="29" t="str">
        <f aca="false">IF(Calc!Y20=0,"",IF(Calc!W20&gt;=1,"✖ saturated (B ≥ freq.)",IF(Calc!W20&gt;0.1,"⚠ B &gt; 10% of freq.",IF(Calc!W20=0,"⚠ no brightness",IF(Calc!X20&gt;0.1,"⚠ step &gt; 10% of wr",IF(OR(AND(N($CS20)&gt;0,IF($O20="",1,$O20)&lt;3),AND(N($CR20)&gt;0,IF($O20="",1,$O20)&lt;2)),"⚠ uses a colour above Colours = "&amp;IF($O20="",1,$O20)&amp;" (ignored)",IF(AND($CW20&lt;&gt;"",$CW20&lt;&gt;"No FRET",N(IF($O20="",1,$O20))&lt;2),"⚠ FRET needs ≥ 2 colours",IF(AND($CW20&lt;&gt;"",$CW20&lt;&gt;"No FRET",N($CX20)+N($CY20)+N($CZ20)=0),"⚠ FRET: set R","✔ OK"))))))))</f>
        <v/>
      </c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7" t="str">
        <f aca="false">IF(OR($DO20="",$DO20="No FRET",N($DP20)&lt;=0,N(IF($AI20="",63,$AI20))&lt;=0),"",1/(1+($DP20/IF($AI20="",63,$AI20))^6))</f>
        <v/>
      </c>
      <c r="DT20" s="27" t="str">
        <f aca="false">IF(OR($DO20="",$DO20="No FRET",N($DQ20)&lt;=0,N(IF($AJ20="",51,$AJ20))&lt;=0),"",1/(1+($DQ20/IF($AJ20="",51,$AJ20))^6))</f>
        <v/>
      </c>
      <c r="DU20" s="27" t="str">
        <f aca="false">IF(OR($DO20="",$DO20="No FRET",N($DR20)&lt;=0,N(IF($AK20="",68,$AK20))&lt;=0),"",1/(1+($DR20/IF($AK20="",68,$AK20))^6))</f>
        <v/>
      </c>
      <c r="DV20" s="28" t="str">
        <f aca="false">IF(OR($A20="",N($DH20)&lt;=0),"",IF(IF($I20="",5000,$I20)&gt;0,$DH20/(IF($G20="",5000,$G20)*IF($H20="",5000,$H20)*IF($I20="",5000,$I20))/1E-024/6.022E+023/0.000000001,""))</f>
        <v/>
      </c>
      <c r="DW20" s="29" t="str">
        <f aca="false">IF(Calc!AE20=0,"",IF(Calc!AC20&gt;=1,"✖ saturated (B ≥ freq.)",IF(Calc!AC20&gt;0.1,"⚠ B &gt; 10% of freq.",IF(Calc!AC20=0,"⚠ no brightness",IF(Calc!AD20&gt;0.1,"⚠ step &gt; 10% of wr",IF(OR(AND(N($DK20)&gt;0,IF($O20="",1,$O20)&lt;3),AND(N($DJ20)&gt;0,IF($O20="",1,$O20)&lt;2)),"⚠ uses a colour above Colours = "&amp;IF($O20="",1,$O20)&amp;" (ignored)",IF(AND($DO20&lt;&gt;"",$DO20&lt;&gt;"No FRET",N(IF($O20="",1,$O20))&lt;2),"⚠ FRET needs ≥ 2 colours",IF(AND($DO20&lt;&gt;"",$DO20&lt;&gt;"No FRET",N($DP20)+N($DQ20)+N($DR20)=0),"⚠ FRET: set R","✔ OK"))))))))</f>
        <v/>
      </c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7" t="str">
        <f aca="false">IF(OR($EG20="",$EG20="No FRET",N($EH20)&lt;=0,N(IF($AI20="",63,$AI20))&lt;=0),"",1/(1+($EH20/IF($AI20="",63,$AI20))^6))</f>
        <v/>
      </c>
      <c r="EL20" s="27" t="str">
        <f aca="false">IF(OR($EG20="",$EG20="No FRET",N($EI20)&lt;=0,N(IF($AJ20="",51,$AJ20))&lt;=0),"",1/(1+($EI20/IF($AJ20="",51,$AJ20))^6))</f>
        <v/>
      </c>
      <c r="EM20" s="27" t="str">
        <f aca="false">IF(OR($EG20="",$EG20="No FRET",N($EJ20)&lt;=0,N(IF($AK20="",68,$AK20))&lt;=0),"",1/(1+($EJ20/IF($AK20="",68,$AK20))^6))</f>
        <v/>
      </c>
      <c r="EN20" s="28" t="str">
        <f aca="false">IF(OR($A20="",N($DZ20)&lt;=0),"",IF(IF($I20="",5000,$I20)&gt;0,$DZ20/(IF($G20="",5000,$G20)*IF($H20="",5000,$H20)*IF($I20="",5000,$I20))/1E-024/6.022E+023/0.000000001,""))</f>
        <v/>
      </c>
      <c r="EO20" s="29" t="str">
        <f aca="false">IF(Calc!AK20=0,"",IF(Calc!AI20&gt;=1,"✖ saturated (B ≥ freq.)",IF(Calc!AI20&gt;0.1,"⚠ B &gt; 10% of freq.",IF(Calc!AI20=0,"⚠ no brightness",IF(Calc!AJ20&gt;0.1,"⚠ step &gt; 10% of wr",IF(OR(AND(N($EC20)&gt;0,IF($O20="",1,$O20)&lt;3),AND(N($EB20)&gt;0,IF($O20="",1,$O20)&lt;2)),"⚠ uses a colour above Colours = "&amp;IF($O20="",1,$O20)&amp;" (ignored)",IF(AND($EG20&lt;&gt;"",$EG20&lt;&gt;"No FRET",N(IF($O20="",1,$O20))&lt;2),"⚠ FRET needs ≥ 2 colours",IF(AND($EG20&lt;&gt;"",$EG20&lt;&gt;"No FRET",N($EH20)+N($EI20)+N($EJ20)=0),"⚠ FRET: set R","✔ OK"))))))))</f>
        <v/>
      </c>
      <c r="EP20" s="30" t="str">
        <f aca="false">IF($A20="","",SUM(Calc!G20,Calc!M20,Calc!S20,Calc!Y20,Calc!AE20,Calc!AK20))</f>
        <v/>
      </c>
      <c r="EQ20" s="30" t="str">
        <f aca="false">IF($A20="","",N($AN20)+N($BF20)+N($BX20)+N($CP20)+N($DH20)+N($DZ20))</f>
        <v/>
      </c>
      <c r="ER20" s="31" t="str">
        <f aca="false">IF($A20="","",SUM(Calc!B20,Calc!H20,Calc!N20,Calc!T20,Calc!Z20,Calc!AF20))</f>
        <v/>
      </c>
      <c r="ES20" s="31" t="str">
        <f aca="false">IF($A20="","",SUM(Calc!C20,Calc!I20,Calc!O20,Calc!U20,Calc!AA20,Calc!AG20))</f>
        <v/>
      </c>
      <c r="ET20" s="31" t="str">
        <f aca="false">IF($A20="","",SUM(Calc!D20,Calc!J20,Calc!P20,Calc!V20,Calc!AB20,Calc!AH20))</f>
        <v/>
      </c>
      <c r="EU20" s="27" t="str">
        <f aca="false">IF($A20="","",($ER20+$ES20+$ET20+IF($P20="Yes",N($Q20)*N(IF($O20="",1,$O20)),0))*1000*IF($K20="",10,$K20)/1000000)</f>
        <v/>
      </c>
      <c r="EV20" s="28" t="str">
        <f aca="false">IF($A20="","",$EU20*1000000*12/1000000000)</f>
        <v/>
      </c>
      <c r="EW20" s="32" t="str">
        <f aca="false">IF($A20="","",IF($EP20=0,"⚠ no species entered",IF(((LEFT($BC20,1)="✖")+(LEFT($BU20,1)="✖")+(LEFT($CM20,1)="✖")+(LEFT($DE20,1)="✖")+(LEFT($DW20,1)="✖")+(LEFT($EO20,1)="✖"))&gt;0,"✖ "&amp;((LEFT($BC20,1)="✖")+(LEFT($BU20,1)="✖")+(LEFT($CM20,1)="✖")+(LEFT($DE20,1)="✖")+(LEFT($DW20,1)="✖")+(LEFT($EO20,1)="✖"))&amp;" species saturated - see the species checks",IF(MIN(IF($G20="",5000,$G20),IF($H20="",5000,$H20))&lt;8*MAX(IF($T20="",200,$T20),IF($U20="",200,$U20),IF($V20="",200,$V20)),"⚠ box too small laterally (&lt; 8·wr)",IF(AND(IF($I20="",5000,$I20)&gt;0,IF($I20="",5000,$I20)&lt;3*MAX(IF($W20="",1000,$W20),IF($X20="",1000,$X20),IF($Y20="",1000,$Y20))),"⚠ box too small axially (&lt; 3·wz)",IF($EV20&gt;8,"⚠ &gt; 8 GB per file: shorten the duration and use several files",IF(((LEFT($BC20,1)="⚠")+(LEFT($BU20,1)="⚠")+(LEFT($CM20,1)="⚠")+(LEFT($DE20,1)="⚠")+(LEFT($DW20,1)="⚠")+(LEFT($EO20,1)="⚠"))&gt;0,"⚠ "&amp;((LEFT($BC20,1)="⚠")+(LEFT($BU20,1)="⚠")+(LEFT($CM20,1)="⚠")+(LEFT($DE20,1)="⚠")+(LEFT($DW20,1)="⚠")+(LEFT($EO20,1)="⚠"))&amp;" species with a warning","✔ OK")))))))</f>
        <v/>
      </c>
      <c r="EX20" s="25"/>
      <c r="EY20" s="25"/>
      <c r="EZ20" s="25"/>
      <c r="FA20" s="25"/>
      <c r="FB20" s="25"/>
      <c r="FC20" s="25"/>
      <c r="FD20" s="25"/>
      <c r="FE20" s="26"/>
    </row>
    <row r="21" customFormat="false" ht="15" hidden="false" customHeight="false" outlineLevel="0" collapsed="false">
      <c r="A21" s="25"/>
      <c r="B21" s="25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7" t="str">
        <f aca="false">IF(OR($AU21="",$AU21="No FRET",N($AV21)&lt;=0,N(IF($AI21="",63,$AI21))&lt;=0),"",1/(1+($AV21/IF($AI21="",63,$AI21))^6))</f>
        <v/>
      </c>
      <c r="AZ21" s="27" t="str">
        <f aca="false">IF(OR($AU21="",$AU21="No FRET",N($AW21)&lt;=0,N(IF($AJ21="",51,$AJ21))&lt;=0),"",1/(1+($AW21/IF($AJ21="",51,$AJ21))^6))</f>
        <v/>
      </c>
      <c r="BA21" s="27" t="str">
        <f aca="false">IF(OR($AU21="",$AU21="No FRET",N($AX21)&lt;=0,N(IF($AK21="",68,$AK21))&lt;=0),"",1/(1+($AX21/IF($AK21="",68,$AK21))^6))</f>
        <v/>
      </c>
      <c r="BB21" s="28" t="str">
        <f aca="false">IF(OR($A21="",N($AN21)&lt;=0),"",IF(IF($I21="",5000,$I21)&gt;0,$AN21/(IF($G21="",5000,$G21)*IF($H21="",5000,$H21)*IF($I21="",5000,$I21))/1E-024/6.022E+023/0.000000001,""))</f>
        <v/>
      </c>
      <c r="BC21" s="29" t="str">
        <f aca="false">IF(Calc!G21=0,"",IF(Calc!E21&gt;=1,"✖ saturated (B ≥ freq.)",IF(Calc!E21&gt;0.1,"⚠ B &gt; 10% of freq.",IF(Calc!E21=0,"⚠ no brightness",IF(Calc!F21&gt;0.1,"⚠ step &gt; 10% of wr",IF(OR(AND(N($AQ21)&gt;0,IF($O21="",1,$O21)&lt;3),AND(N($AP21)&gt;0,IF($O21="",1,$O21)&lt;2)),"⚠ uses a colour above Colours = "&amp;IF($O21="",1,$O21)&amp;" (ignored)",IF(AND($AU21&lt;&gt;"",$AU21&lt;&gt;"No FRET",N(IF($O21="",1,$O21))&lt;2),"⚠ FRET needs ≥ 2 colours",IF(AND($AU21&lt;&gt;"",$AU21&lt;&gt;"No FRET",N($AV21)+N($AW21)+N($AX21)=0),"⚠ FRET: set R","✔ OK"))))))))</f>
        <v/>
      </c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7" t="str">
        <f aca="false">IF(OR($BM21="",$BM21="No FRET",N($BN21)&lt;=0,N(IF($AI21="",63,$AI21))&lt;=0),"",1/(1+($BN21/IF($AI21="",63,$AI21))^6))</f>
        <v/>
      </c>
      <c r="BR21" s="27" t="str">
        <f aca="false">IF(OR($BM21="",$BM21="No FRET",N($BO21)&lt;=0,N(IF($AJ21="",51,$AJ21))&lt;=0),"",1/(1+($BO21/IF($AJ21="",51,$AJ21))^6))</f>
        <v/>
      </c>
      <c r="BS21" s="27" t="str">
        <f aca="false">IF(OR($BM21="",$BM21="No FRET",N($BP21)&lt;=0,N(IF($AK21="",68,$AK21))&lt;=0),"",1/(1+($BP21/IF($AK21="",68,$AK21))^6))</f>
        <v/>
      </c>
      <c r="BT21" s="28" t="str">
        <f aca="false">IF(OR($A21="",N($BF21)&lt;=0),"",IF(IF($I21="",5000,$I21)&gt;0,$BF21/(IF($G21="",5000,$G21)*IF($H21="",5000,$H21)*IF($I21="",5000,$I21))/1E-024/6.022E+023/0.000000001,""))</f>
        <v/>
      </c>
      <c r="BU21" s="29" t="str">
        <f aca="false">IF(Calc!M21=0,"",IF(Calc!K21&gt;=1,"✖ saturated (B ≥ freq.)",IF(Calc!K21&gt;0.1,"⚠ B &gt; 10% of freq.",IF(Calc!K21=0,"⚠ no brightness",IF(Calc!L21&gt;0.1,"⚠ step &gt; 10% of wr",IF(OR(AND(N($BI21)&gt;0,IF($O21="",1,$O21)&lt;3),AND(N($BH21)&gt;0,IF($O21="",1,$O21)&lt;2)),"⚠ uses a colour above Colours = "&amp;IF($O21="",1,$O21)&amp;" (ignored)",IF(AND($BM21&lt;&gt;"",$BM21&lt;&gt;"No FRET",N(IF($O21="",1,$O21))&lt;2),"⚠ FRET needs ≥ 2 colours",IF(AND($BM21&lt;&gt;"",$BM21&lt;&gt;"No FRET",N($BN21)+N($BO21)+N($BP21)=0),"⚠ FRET: set R","✔ OK"))))))))</f>
        <v/>
      </c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7" t="str">
        <f aca="false">IF(OR($CE21="",$CE21="No FRET",N($CF21)&lt;=0,N(IF($AI21="",63,$AI21))&lt;=0),"",1/(1+($CF21/IF($AI21="",63,$AI21))^6))</f>
        <v/>
      </c>
      <c r="CJ21" s="27" t="str">
        <f aca="false">IF(OR($CE21="",$CE21="No FRET",N($CG21)&lt;=0,N(IF($AJ21="",51,$AJ21))&lt;=0),"",1/(1+($CG21/IF($AJ21="",51,$AJ21))^6))</f>
        <v/>
      </c>
      <c r="CK21" s="27" t="str">
        <f aca="false">IF(OR($CE21="",$CE21="No FRET",N($CH21)&lt;=0,N(IF($AK21="",68,$AK21))&lt;=0),"",1/(1+($CH21/IF($AK21="",68,$AK21))^6))</f>
        <v/>
      </c>
      <c r="CL21" s="28" t="str">
        <f aca="false">IF(OR($A21="",N($BX21)&lt;=0),"",IF(IF($I21="",5000,$I21)&gt;0,$BX21/(IF($G21="",5000,$G21)*IF($H21="",5000,$H21)*IF($I21="",5000,$I21))/1E-024/6.022E+023/0.000000001,""))</f>
        <v/>
      </c>
      <c r="CM21" s="29" t="str">
        <f aca="false">IF(Calc!S21=0,"",IF(Calc!Q21&gt;=1,"✖ saturated (B ≥ freq.)",IF(Calc!Q21&gt;0.1,"⚠ B &gt; 10% of freq.",IF(Calc!Q21=0,"⚠ no brightness",IF(Calc!R21&gt;0.1,"⚠ step &gt; 10% of wr",IF(OR(AND(N($CA21)&gt;0,IF($O21="",1,$O21)&lt;3),AND(N($BZ21)&gt;0,IF($O21="",1,$O21)&lt;2)),"⚠ uses a colour above Colours = "&amp;IF($O21="",1,$O21)&amp;" (ignored)",IF(AND($CE21&lt;&gt;"",$CE21&lt;&gt;"No FRET",N(IF($O21="",1,$O21))&lt;2),"⚠ FRET needs ≥ 2 colours",IF(AND($CE21&lt;&gt;"",$CE21&lt;&gt;"No FRET",N($CF21)+N($CG21)+N($CH21)=0),"⚠ FRET: set R","✔ OK"))))))))</f>
        <v/>
      </c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7" t="str">
        <f aca="false">IF(OR($CW21="",$CW21="No FRET",N($CX21)&lt;=0,N(IF($AI21="",63,$AI21))&lt;=0),"",1/(1+($CX21/IF($AI21="",63,$AI21))^6))</f>
        <v/>
      </c>
      <c r="DB21" s="27" t="str">
        <f aca="false">IF(OR($CW21="",$CW21="No FRET",N($CY21)&lt;=0,N(IF($AJ21="",51,$AJ21))&lt;=0),"",1/(1+($CY21/IF($AJ21="",51,$AJ21))^6))</f>
        <v/>
      </c>
      <c r="DC21" s="27" t="str">
        <f aca="false">IF(OR($CW21="",$CW21="No FRET",N($CZ21)&lt;=0,N(IF($AK21="",68,$AK21))&lt;=0),"",1/(1+($CZ21/IF($AK21="",68,$AK21))^6))</f>
        <v/>
      </c>
      <c r="DD21" s="28" t="str">
        <f aca="false">IF(OR($A21="",N($CP21)&lt;=0),"",IF(IF($I21="",5000,$I21)&gt;0,$CP21/(IF($G21="",5000,$G21)*IF($H21="",5000,$H21)*IF($I21="",5000,$I21))/1E-024/6.022E+023/0.000000001,""))</f>
        <v/>
      </c>
      <c r="DE21" s="29" t="str">
        <f aca="false">IF(Calc!Y21=0,"",IF(Calc!W21&gt;=1,"✖ saturated (B ≥ freq.)",IF(Calc!W21&gt;0.1,"⚠ B &gt; 10% of freq.",IF(Calc!W21=0,"⚠ no brightness",IF(Calc!X21&gt;0.1,"⚠ step &gt; 10% of wr",IF(OR(AND(N($CS21)&gt;0,IF($O21="",1,$O21)&lt;3),AND(N($CR21)&gt;0,IF($O21="",1,$O21)&lt;2)),"⚠ uses a colour above Colours = "&amp;IF($O21="",1,$O21)&amp;" (ignored)",IF(AND($CW21&lt;&gt;"",$CW21&lt;&gt;"No FRET",N(IF($O21="",1,$O21))&lt;2),"⚠ FRET needs ≥ 2 colours",IF(AND($CW21&lt;&gt;"",$CW21&lt;&gt;"No FRET",N($CX21)+N($CY21)+N($CZ21)=0),"⚠ FRET: set R","✔ OK"))))))))</f>
        <v/>
      </c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7" t="str">
        <f aca="false">IF(OR($DO21="",$DO21="No FRET",N($DP21)&lt;=0,N(IF($AI21="",63,$AI21))&lt;=0),"",1/(1+($DP21/IF($AI21="",63,$AI21))^6))</f>
        <v/>
      </c>
      <c r="DT21" s="27" t="str">
        <f aca="false">IF(OR($DO21="",$DO21="No FRET",N($DQ21)&lt;=0,N(IF($AJ21="",51,$AJ21))&lt;=0),"",1/(1+($DQ21/IF($AJ21="",51,$AJ21))^6))</f>
        <v/>
      </c>
      <c r="DU21" s="27" t="str">
        <f aca="false">IF(OR($DO21="",$DO21="No FRET",N($DR21)&lt;=0,N(IF($AK21="",68,$AK21))&lt;=0),"",1/(1+($DR21/IF($AK21="",68,$AK21))^6))</f>
        <v/>
      </c>
      <c r="DV21" s="28" t="str">
        <f aca="false">IF(OR($A21="",N($DH21)&lt;=0),"",IF(IF($I21="",5000,$I21)&gt;0,$DH21/(IF($G21="",5000,$G21)*IF($H21="",5000,$H21)*IF($I21="",5000,$I21))/1E-024/6.022E+023/0.000000001,""))</f>
        <v/>
      </c>
      <c r="DW21" s="29" t="str">
        <f aca="false">IF(Calc!AE21=0,"",IF(Calc!AC21&gt;=1,"✖ saturated (B ≥ freq.)",IF(Calc!AC21&gt;0.1,"⚠ B &gt; 10% of freq.",IF(Calc!AC21=0,"⚠ no brightness",IF(Calc!AD21&gt;0.1,"⚠ step &gt; 10% of wr",IF(OR(AND(N($DK21)&gt;0,IF($O21="",1,$O21)&lt;3),AND(N($DJ21)&gt;0,IF($O21="",1,$O21)&lt;2)),"⚠ uses a colour above Colours = "&amp;IF($O21="",1,$O21)&amp;" (ignored)",IF(AND($DO21&lt;&gt;"",$DO21&lt;&gt;"No FRET",N(IF($O21="",1,$O21))&lt;2),"⚠ FRET needs ≥ 2 colours",IF(AND($DO21&lt;&gt;"",$DO21&lt;&gt;"No FRET",N($DP21)+N($DQ21)+N($DR21)=0),"⚠ FRET: set R","✔ OK"))))))))</f>
        <v/>
      </c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7" t="str">
        <f aca="false">IF(OR($EG21="",$EG21="No FRET",N($EH21)&lt;=0,N(IF($AI21="",63,$AI21))&lt;=0),"",1/(1+($EH21/IF($AI21="",63,$AI21))^6))</f>
        <v/>
      </c>
      <c r="EL21" s="27" t="str">
        <f aca="false">IF(OR($EG21="",$EG21="No FRET",N($EI21)&lt;=0,N(IF($AJ21="",51,$AJ21))&lt;=0),"",1/(1+($EI21/IF($AJ21="",51,$AJ21))^6))</f>
        <v/>
      </c>
      <c r="EM21" s="27" t="str">
        <f aca="false">IF(OR($EG21="",$EG21="No FRET",N($EJ21)&lt;=0,N(IF($AK21="",68,$AK21))&lt;=0),"",1/(1+($EJ21/IF($AK21="",68,$AK21))^6))</f>
        <v/>
      </c>
      <c r="EN21" s="28" t="str">
        <f aca="false">IF(OR($A21="",N($DZ21)&lt;=0),"",IF(IF($I21="",5000,$I21)&gt;0,$DZ21/(IF($G21="",5000,$G21)*IF($H21="",5000,$H21)*IF($I21="",5000,$I21))/1E-024/6.022E+023/0.000000001,""))</f>
        <v/>
      </c>
      <c r="EO21" s="29" t="str">
        <f aca="false">IF(Calc!AK21=0,"",IF(Calc!AI21&gt;=1,"✖ saturated (B ≥ freq.)",IF(Calc!AI21&gt;0.1,"⚠ B &gt; 10% of freq.",IF(Calc!AI21=0,"⚠ no brightness",IF(Calc!AJ21&gt;0.1,"⚠ step &gt; 10% of wr",IF(OR(AND(N($EC21)&gt;0,IF($O21="",1,$O21)&lt;3),AND(N($EB21)&gt;0,IF($O21="",1,$O21)&lt;2)),"⚠ uses a colour above Colours = "&amp;IF($O21="",1,$O21)&amp;" (ignored)",IF(AND($EG21&lt;&gt;"",$EG21&lt;&gt;"No FRET",N(IF($O21="",1,$O21))&lt;2),"⚠ FRET needs ≥ 2 colours",IF(AND($EG21&lt;&gt;"",$EG21&lt;&gt;"No FRET",N($EH21)+N($EI21)+N($EJ21)=0),"⚠ FRET: set R","✔ OK"))))))))</f>
        <v/>
      </c>
      <c r="EP21" s="30" t="str">
        <f aca="false">IF($A21="","",SUM(Calc!G21,Calc!M21,Calc!S21,Calc!Y21,Calc!AE21,Calc!AK21))</f>
        <v/>
      </c>
      <c r="EQ21" s="30" t="str">
        <f aca="false">IF($A21="","",N($AN21)+N($BF21)+N($BX21)+N($CP21)+N($DH21)+N($DZ21))</f>
        <v/>
      </c>
      <c r="ER21" s="31" t="str">
        <f aca="false">IF($A21="","",SUM(Calc!B21,Calc!H21,Calc!N21,Calc!T21,Calc!Z21,Calc!AF21))</f>
        <v/>
      </c>
      <c r="ES21" s="31" t="str">
        <f aca="false">IF($A21="","",SUM(Calc!C21,Calc!I21,Calc!O21,Calc!U21,Calc!AA21,Calc!AG21))</f>
        <v/>
      </c>
      <c r="ET21" s="31" t="str">
        <f aca="false">IF($A21="","",SUM(Calc!D21,Calc!J21,Calc!P21,Calc!V21,Calc!AB21,Calc!AH21))</f>
        <v/>
      </c>
      <c r="EU21" s="27" t="str">
        <f aca="false">IF($A21="","",($ER21+$ES21+$ET21+IF($P21="Yes",N($Q21)*N(IF($O21="",1,$O21)),0))*1000*IF($K21="",10,$K21)/1000000)</f>
        <v/>
      </c>
      <c r="EV21" s="28" t="str">
        <f aca="false">IF($A21="","",$EU21*1000000*12/1000000000)</f>
        <v/>
      </c>
      <c r="EW21" s="32" t="str">
        <f aca="false">IF($A21="","",IF($EP21=0,"⚠ no species entered",IF(((LEFT($BC21,1)="✖")+(LEFT($BU21,1)="✖")+(LEFT($CM21,1)="✖")+(LEFT($DE21,1)="✖")+(LEFT($DW21,1)="✖")+(LEFT($EO21,1)="✖"))&gt;0,"✖ "&amp;((LEFT($BC21,1)="✖")+(LEFT($BU21,1)="✖")+(LEFT($CM21,1)="✖")+(LEFT($DE21,1)="✖")+(LEFT($DW21,1)="✖")+(LEFT($EO21,1)="✖"))&amp;" species saturated - see the species checks",IF(MIN(IF($G21="",5000,$G21),IF($H21="",5000,$H21))&lt;8*MAX(IF($T21="",200,$T21),IF($U21="",200,$U21),IF($V21="",200,$V21)),"⚠ box too small laterally (&lt; 8·wr)",IF(AND(IF($I21="",5000,$I21)&gt;0,IF($I21="",5000,$I21)&lt;3*MAX(IF($W21="",1000,$W21),IF($X21="",1000,$X21),IF($Y21="",1000,$Y21))),"⚠ box too small axially (&lt; 3·wz)",IF($EV21&gt;8,"⚠ &gt; 8 GB per file: shorten the duration and use several files",IF(((LEFT($BC21,1)="⚠")+(LEFT($BU21,1)="⚠")+(LEFT($CM21,1)="⚠")+(LEFT($DE21,1)="⚠")+(LEFT($DW21,1)="⚠")+(LEFT($EO21,1)="⚠"))&gt;0,"⚠ "&amp;((LEFT($BC21,1)="⚠")+(LEFT($BU21,1)="⚠")+(LEFT($CM21,1)="⚠")+(LEFT($DE21,1)="⚠")+(LEFT($DW21,1)="⚠")+(LEFT($EO21,1)="⚠"))&amp;" species with a warning","✔ OK")))))))</f>
        <v/>
      </c>
      <c r="EX21" s="25"/>
      <c r="EY21" s="25"/>
      <c r="EZ21" s="25"/>
      <c r="FA21" s="25"/>
      <c r="FB21" s="25"/>
      <c r="FC21" s="25"/>
      <c r="FD21" s="25"/>
      <c r="FE21" s="26"/>
    </row>
    <row r="22" customFormat="false" ht="15" hidden="false" customHeight="false" outlineLevel="0" collapsed="false">
      <c r="A22" s="25"/>
      <c r="B22" s="25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7" t="str">
        <f aca="false">IF(OR($AU22="",$AU22="No FRET",N($AV22)&lt;=0,N(IF($AI22="",63,$AI22))&lt;=0),"",1/(1+($AV22/IF($AI22="",63,$AI22))^6))</f>
        <v/>
      </c>
      <c r="AZ22" s="27" t="str">
        <f aca="false">IF(OR($AU22="",$AU22="No FRET",N($AW22)&lt;=0,N(IF($AJ22="",51,$AJ22))&lt;=0),"",1/(1+($AW22/IF($AJ22="",51,$AJ22))^6))</f>
        <v/>
      </c>
      <c r="BA22" s="27" t="str">
        <f aca="false">IF(OR($AU22="",$AU22="No FRET",N($AX22)&lt;=0,N(IF($AK22="",68,$AK22))&lt;=0),"",1/(1+($AX22/IF($AK22="",68,$AK22))^6))</f>
        <v/>
      </c>
      <c r="BB22" s="28" t="str">
        <f aca="false">IF(OR($A22="",N($AN22)&lt;=0),"",IF(IF($I22="",5000,$I22)&gt;0,$AN22/(IF($G22="",5000,$G22)*IF($H22="",5000,$H22)*IF($I22="",5000,$I22))/1E-024/6.022E+023/0.000000001,""))</f>
        <v/>
      </c>
      <c r="BC22" s="29" t="str">
        <f aca="false">IF(Calc!G22=0,"",IF(Calc!E22&gt;=1,"✖ saturated (B ≥ freq.)",IF(Calc!E22&gt;0.1,"⚠ B &gt; 10% of freq.",IF(Calc!E22=0,"⚠ no brightness",IF(Calc!F22&gt;0.1,"⚠ step &gt; 10% of wr",IF(OR(AND(N($AQ22)&gt;0,IF($O22="",1,$O22)&lt;3),AND(N($AP22)&gt;0,IF($O22="",1,$O22)&lt;2)),"⚠ uses a colour above Colours = "&amp;IF($O22="",1,$O22)&amp;" (ignored)",IF(AND($AU22&lt;&gt;"",$AU22&lt;&gt;"No FRET",N(IF($O22="",1,$O22))&lt;2),"⚠ FRET needs ≥ 2 colours",IF(AND($AU22&lt;&gt;"",$AU22&lt;&gt;"No FRET",N($AV22)+N($AW22)+N($AX22)=0),"⚠ FRET: set R","✔ OK"))))))))</f>
        <v/>
      </c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7" t="str">
        <f aca="false">IF(OR($BM22="",$BM22="No FRET",N($BN22)&lt;=0,N(IF($AI22="",63,$AI22))&lt;=0),"",1/(1+($BN22/IF($AI22="",63,$AI22))^6))</f>
        <v/>
      </c>
      <c r="BR22" s="27" t="str">
        <f aca="false">IF(OR($BM22="",$BM22="No FRET",N($BO22)&lt;=0,N(IF($AJ22="",51,$AJ22))&lt;=0),"",1/(1+($BO22/IF($AJ22="",51,$AJ22))^6))</f>
        <v/>
      </c>
      <c r="BS22" s="27" t="str">
        <f aca="false">IF(OR($BM22="",$BM22="No FRET",N($BP22)&lt;=0,N(IF($AK22="",68,$AK22))&lt;=0),"",1/(1+($BP22/IF($AK22="",68,$AK22))^6))</f>
        <v/>
      </c>
      <c r="BT22" s="28" t="str">
        <f aca="false">IF(OR($A22="",N($BF22)&lt;=0),"",IF(IF($I22="",5000,$I22)&gt;0,$BF22/(IF($G22="",5000,$G22)*IF($H22="",5000,$H22)*IF($I22="",5000,$I22))/1E-024/6.022E+023/0.000000001,""))</f>
        <v/>
      </c>
      <c r="BU22" s="29" t="str">
        <f aca="false">IF(Calc!M22=0,"",IF(Calc!K22&gt;=1,"✖ saturated (B ≥ freq.)",IF(Calc!K22&gt;0.1,"⚠ B &gt; 10% of freq.",IF(Calc!K22=0,"⚠ no brightness",IF(Calc!L22&gt;0.1,"⚠ step &gt; 10% of wr",IF(OR(AND(N($BI22)&gt;0,IF($O22="",1,$O22)&lt;3),AND(N($BH22)&gt;0,IF($O22="",1,$O22)&lt;2)),"⚠ uses a colour above Colours = "&amp;IF($O22="",1,$O22)&amp;" (ignored)",IF(AND($BM22&lt;&gt;"",$BM22&lt;&gt;"No FRET",N(IF($O22="",1,$O22))&lt;2),"⚠ FRET needs ≥ 2 colours",IF(AND($BM22&lt;&gt;"",$BM22&lt;&gt;"No FRET",N($BN22)+N($BO22)+N($BP22)=0),"⚠ FRET: set R","✔ OK"))))))))</f>
        <v/>
      </c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7" t="str">
        <f aca="false">IF(OR($CE22="",$CE22="No FRET",N($CF22)&lt;=0,N(IF($AI22="",63,$AI22))&lt;=0),"",1/(1+($CF22/IF($AI22="",63,$AI22))^6))</f>
        <v/>
      </c>
      <c r="CJ22" s="27" t="str">
        <f aca="false">IF(OR($CE22="",$CE22="No FRET",N($CG22)&lt;=0,N(IF($AJ22="",51,$AJ22))&lt;=0),"",1/(1+($CG22/IF($AJ22="",51,$AJ22))^6))</f>
        <v/>
      </c>
      <c r="CK22" s="27" t="str">
        <f aca="false">IF(OR($CE22="",$CE22="No FRET",N($CH22)&lt;=0,N(IF($AK22="",68,$AK22))&lt;=0),"",1/(1+($CH22/IF($AK22="",68,$AK22))^6))</f>
        <v/>
      </c>
      <c r="CL22" s="28" t="str">
        <f aca="false">IF(OR($A22="",N($BX22)&lt;=0),"",IF(IF($I22="",5000,$I22)&gt;0,$BX22/(IF($G22="",5000,$G22)*IF($H22="",5000,$H22)*IF($I22="",5000,$I22))/1E-024/6.022E+023/0.000000001,""))</f>
        <v/>
      </c>
      <c r="CM22" s="29" t="str">
        <f aca="false">IF(Calc!S22=0,"",IF(Calc!Q22&gt;=1,"✖ saturated (B ≥ freq.)",IF(Calc!Q22&gt;0.1,"⚠ B &gt; 10% of freq.",IF(Calc!Q22=0,"⚠ no brightness",IF(Calc!R22&gt;0.1,"⚠ step &gt; 10% of wr",IF(OR(AND(N($CA22)&gt;0,IF($O22="",1,$O22)&lt;3),AND(N($BZ22)&gt;0,IF($O22="",1,$O22)&lt;2)),"⚠ uses a colour above Colours = "&amp;IF($O22="",1,$O22)&amp;" (ignored)",IF(AND($CE22&lt;&gt;"",$CE22&lt;&gt;"No FRET",N(IF($O22="",1,$O22))&lt;2),"⚠ FRET needs ≥ 2 colours",IF(AND($CE22&lt;&gt;"",$CE22&lt;&gt;"No FRET",N($CF22)+N($CG22)+N($CH22)=0),"⚠ FRET: set R","✔ OK"))))))))</f>
        <v/>
      </c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7" t="str">
        <f aca="false">IF(OR($CW22="",$CW22="No FRET",N($CX22)&lt;=0,N(IF($AI22="",63,$AI22))&lt;=0),"",1/(1+($CX22/IF($AI22="",63,$AI22))^6))</f>
        <v/>
      </c>
      <c r="DB22" s="27" t="str">
        <f aca="false">IF(OR($CW22="",$CW22="No FRET",N($CY22)&lt;=0,N(IF($AJ22="",51,$AJ22))&lt;=0),"",1/(1+($CY22/IF($AJ22="",51,$AJ22))^6))</f>
        <v/>
      </c>
      <c r="DC22" s="27" t="str">
        <f aca="false">IF(OR($CW22="",$CW22="No FRET",N($CZ22)&lt;=0,N(IF($AK22="",68,$AK22))&lt;=0),"",1/(1+($CZ22/IF($AK22="",68,$AK22))^6))</f>
        <v/>
      </c>
      <c r="DD22" s="28" t="str">
        <f aca="false">IF(OR($A22="",N($CP22)&lt;=0),"",IF(IF($I22="",5000,$I22)&gt;0,$CP22/(IF($G22="",5000,$G22)*IF($H22="",5000,$H22)*IF($I22="",5000,$I22))/1E-024/6.022E+023/0.000000001,""))</f>
        <v/>
      </c>
      <c r="DE22" s="29" t="str">
        <f aca="false">IF(Calc!Y22=0,"",IF(Calc!W22&gt;=1,"✖ saturated (B ≥ freq.)",IF(Calc!W22&gt;0.1,"⚠ B &gt; 10% of freq.",IF(Calc!W22=0,"⚠ no brightness",IF(Calc!X22&gt;0.1,"⚠ step &gt; 10% of wr",IF(OR(AND(N($CS22)&gt;0,IF($O22="",1,$O22)&lt;3),AND(N($CR22)&gt;0,IF($O22="",1,$O22)&lt;2)),"⚠ uses a colour above Colours = "&amp;IF($O22="",1,$O22)&amp;" (ignored)",IF(AND($CW22&lt;&gt;"",$CW22&lt;&gt;"No FRET",N(IF($O22="",1,$O22))&lt;2),"⚠ FRET needs ≥ 2 colours",IF(AND($CW22&lt;&gt;"",$CW22&lt;&gt;"No FRET",N($CX22)+N($CY22)+N($CZ22)=0),"⚠ FRET: set R","✔ OK"))))))))</f>
        <v/>
      </c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7" t="str">
        <f aca="false">IF(OR($DO22="",$DO22="No FRET",N($DP22)&lt;=0,N(IF($AI22="",63,$AI22))&lt;=0),"",1/(1+($DP22/IF($AI22="",63,$AI22))^6))</f>
        <v/>
      </c>
      <c r="DT22" s="27" t="str">
        <f aca="false">IF(OR($DO22="",$DO22="No FRET",N($DQ22)&lt;=0,N(IF($AJ22="",51,$AJ22))&lt;=0),"",1/(1+($DQ22/IF($AJ22="",51,$AJ22))^6))</f>
        <v/>
      </c>
      <c r="DU22" s="27" t="str">
        <f aca="false">IF(OR($DO22="",$DO22="No FRET",N($DR22)&lt;=0,N(IF($AK22="",68,$AK22))&lt;=0),"",1/(1+($DR22/IF($AK22="",68,$AK22))^6))</f>
        <v/>
      </c>
      <c r="DV22" s="28" t="str">
        <f aca="false">IF(OR($A22="",N($DH22)&lt;=0),"",IF(IF($I22="",5000,$I22)&gt;0,$DH22/(IF($G22="",5000,$G22)*IF($H22="",5000,$H22)*IF($I22="",5000,$I22))/1E-024/6.022E+023/0.000000001,""))</f>
        <v/>
      </c>
      <c r="DW22" s="29" t="str">
        <f aca="false">IF(Calc!AE22=0,"",IF(Calc!AC22&gt;=1,"✖ saturated (B ≥ freq.)",IF(Calc!AC22&gt;0.1,"⚠ B &gt; 10% of freq.",IF(Calc!AC22=0,"⚠ no brightness",IF(Calc!AD22&gt;0.1,"⚠ step &gt; 10% of wr",IF(OR(AND(N($DK22)&gt;0,IF($O22="",1,$O22)&lt;3),AND(N($DJ22)&gt;0,IF($O22="",1,$O22)&lt;2)),"⚠ uses a colour above Colours = "&amp;IF($O22="",1,$O22)&amp;" (ignored)",IF(AND($DO22&lt;&gt;"",$DO22&lt;&gt;"No FRET",N(IF($O22="",1,$O22))&lt;2),"⚠ FRET needs ≥ 2 colours",IF(AND($DO22&lt;&gt;"",$DO22&lt;&gt;"No FRET",N($DP22)+N($DQ22)+N($DR22)=0),"⚠ FRET: set R","✔ OK"))))))))</f>
        <v/>
      </c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7" t="str">
        <f aca="false">IF(OR($EG22="",$EG22="No FRET",N($EH22)&lt;=0,N(IF($AI22="",63,$AI22))&lt;=0),"",1/(1+($EH22/IF($AI22="",63,$AI22))^6))</f>
        <v/>
      </c>
      <c r="EL22" s="27" t="str">
        <f aca="false">IF(OR($EG22="",$EG22="No FRET",N($EI22)&lt;=0,N(IF($AJ22="",51,$AJ22))&lt;=0),"",1/(1+($EI22/IF($AJ22="",51,$AJ22))^6))</f>
        <v/>
      </c>
      <c r="EM22" s="27" t="str">
        <f aca="false">IF(OR($EG22="",$EG22="No FRET",N($EJ22)&lt;=0,N(IF($AK22="",68,$AK22))&lt;=0),"",1/(1+($EJ22/IF($AK22="",68,$AK22))^6))</f>
        <v/>
      </c>
      <c r="EN22" s="28" t="str">
        <f aca="false">IF(OR($A22="",N($DZ22)&lt;=0),"",IF(IF($I22="",5000,$I22)&gt;0,$DZ22/(IF($G22="",5000,$G22)*IF($H22="",5000,$H22)*IF($I22="",5000,$I22))/1E-024/6.022E+023/0.000000001,""))</f>
        <v/>
      </c>
      <c r="EO22" s="29" t="str">
        <f aca="false">IF(Calc!AK22=0,"",IF(Calc!AI22&gt;=1,"✖ saturated (B ≥ freq.)",IF(Calc!AI22&gt;0.1,"⚠ B &gt; 10% of freq.",IF(Calc!AI22=0,"⚠ no brightness",IF(Calc!AJ22&gt;0.1,"⚠ step &gt; 10% of wr",IF(OR(AND(N($EC22)&gt;0,IF($O22="",1,$O22)&lt;3),AND(N($EB22)&gt;0,IF($O22="",1,$O22)&lt;2)),"⚠ uses a colour above Colours = "&amp;IF($O22="",1,$O22)&amp;" (ignored)",IF(AND($EG22&lt;&gt;"",$EG22&lt;&gt;"No FRET",N(IF($O22="",1,$O22))&lt;2),"⚠ FRET needs ≥ 2 colours",IF(AND($EG22&lt;&gt;"",$EG22&lt;&gt;"No FRET",N($EH22)+N($EI22)+N($EJ22)=0),"⚠ FRET: set R","✔ OK"))))))))</f>
        <v/>
      </c>
      <c r="EP22" s="30" t="str">
        <f aca="false">IF($A22="","",SUM(Calc!G22,Calc!M22,Calc!S22,Calc!Y22,Calc!AE22,Calc!AK22))</f>
        <v/>
      </c>
      <c r="EQ22" s="30" t="str">
        <f aca="false">IF($A22="","",N($AN22)+N($BF22)+N($BX22)+N($CP22)+N($DH22)+N($DZ22))</f>
        <v/>
      </c>
      <c r="ER22" s="31" t="str">
        <f aca="false">IF($A22="","",SUM(Calc!B22,Calc!H22,Calc!N22,Calc!T22,Calc!Z22,Calc!AF22))</f>
        <v/>
      </c>
      <c r="ES22" s="31" t="str">
        <f aca="false">IF($A22="","",SUM(Calc!C22,Calc!I22,Calc!O22,Calc!U22,Calc!AA22,Calc!AG22))</f>
        <v/>
      </c>
      <c r="ET22" s="31" t="str">
        <f aca="false">IF($A22="","",SUM(Calc!D22,Calc!J22,Calc!P22,Calc!V22,Calc!AB22,Calc!AH22))</f>
        <v/>
      </c>
      <c r="EU22" s="27" t="str">
        <f aca="false">IF($A22="","",($ER22+$ES22+$ET22+IF($P22="Yes",N($Q22)*N(IF($O22="",1,$O22)),0))*1000*IF($K22="",10,$K22)/1000000)</f>
        <v/>
      </c>
      <c r="EV22" s="28" t="str">
        <f aca="false">IF($A22="","",$EU22*1000000*12/1000000000)</f>
        <v/>
      </c>
      <c r="EW22" s="32" t="str">
        <f aca="false">IF($A22="","",IF($EP22=0,"⚠ no species entered",IF(((LEFT($BC22,1)="✖")+(LEFT($BU22,1)="✖")+(LEFT($CM22,1)="✖")+(LEFT($DE22,1)="✖")+(LEFT($DW22,1)="✖")+(LEFT($EO22,1)="✖"))&gt;0,"✖ "&amp;((LEFT($BC22,1)="✖")+(LEFT($BU22,1)="✖")+(LEFT($CM22,1)="✖")+(LEFT($DE22,1)="✖")+(LEFT($DW22,1)="✖")+(LEFT($EO22,1)="✖"))&amp;" species saturated - see the species checks",IF(MIN(IF($G22="",5000,$G22),IF($H22="",5000,$H22))&lt;8*MAX(IF($T22="",200,$T22),IF($U22="",200,$U22),IF($V22="",200,$V22)),"⚠ box too small laterally (&lt; 8·wr)",IF(AND(IF($I22="",5000,$I22)&gt;0,IF($I22="",5000,$I22)&lt;3*MAX(IF($W22="",1000,$W22),IF($X22="",1000,$X22),IF($Y22="",1000,$Y22))),"⚠ box too small axially (&lt; 3·wz)",IF($EV22&gt;8,"⚠ &gt; 8 GB per file: shorten the duration and use several files",IF(((LEFT($BC22,1)="⚠")+(LEFT($BU22,1)="⚠")+(LEFT($CM22,1)="⚠")+(LEFT($DE22,1)="⚠")+(LEFT($DW22,1)="⚠")+(LEFT($EO22,1)="⚠"))&gt;0,"⚠ "&amp;((LEFT($BC22,1)="⚠")+(LEFT($BU22,1)="⚠")+(LEFT($CM22,1)="⚠")+(LEFT($DE22,1)="⚠")+(LEFT($DW22,1)="⚠")+(LEFT($EO22,1)="⚠"))&amp;" species with a warning","✔ OK")))))))</f>
        <v/>
      </c>
      <c r="EX22" s="25"/>
      <c r="EY22" s="25"/>
      <c r="EZ22" s="25"/>
      <c r="FA22" s="25"/>
      <c r="FB22" s="25"/>
      <c r="FC22" s="25"/>
      <c r="FD22" s="25"/>
      <c r="FE22" s="26"/>
    </row>
    <row r="23" customFormat="false" ht="15" hidden="false" customHeight="false" outlineLevel="0" collapsed="false">
      <c r="A23" s="25"/>
      <c r="B23" s="25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7" t="str">
        <f aca="false">IF(OR($AU23="",$AU23="No FRET",N($AV23)&lt;=0,N(IF($AI23="",63,$AI23))&lt;=0),"",1/(1+($AV23/IF($AI23="",63,$AI23))^6))</f>
        <v/>
      </c>
      <c r="AZ23" s="27" t="str">
        <f aca="false">IF(OR($AU23="",$AU23="No FRET",N($AW23)&lt;=0,N(IF($AJ23="",51,$AJ23))&lt;=0),"",1/(1+($AW23/IF($AJ23="",51,$AJ23))^6))</f>
        <v/>
      </c>
      <c r="BA23" s="27" t="str">
        <f aca="false">IF(OR($AU23="",$AU23="No FRET",N($AX23)&lt;=0,N(IF($AK23="",68,$AK23))&lt;=0),"",1/(1+($AX23/IF($AK23="",68,$AK23))^6))</f>
        <v/>
      </c>
      <c r="BB23" s="28" t="str">
        <f aca="false">IF(OR($A23="",N($AN23)&lt;=0),"",IF(IF($I23="",5000,$I23)&gt;0,$AN23/(IF($G23="",5000,$G23)*IF($H23="",5000,$H23)*IF($I23="",5000,$I23))/1E-024/6.022E+023/0.000000001,""))</f>
        <v/>
      </c>
      <c r="BC23" s="29" t="str">
        <f aca="false">IF(Calc!G23=0,"",IF(Calc!E23&gt;=1,"✖ saturated (B ≥ freq.)",IF(Calc!E23&gt;0.1,"⚠ B &gt; 10% of freq.",IF(Calc!E23=0,"⚠ no brightness",IF(Calc!F23&gt;0.1,"⚠ step &gt; 10% of wr",IF(OR(AND(N($AQ23)&gt;0,IF($O23="",1,$O23)&lt;3),AND(N($AP23)&gt;0,IF($O23="",1,$O23)&lt;2)),"⚠ uses a colour above Colours = "&amp;IF($O23="",1,$O23)&amp;" (ignored)",IF(AND($AU23&lt;&gt;"",$AU23&lt;&gt;"No FRET",N(IF($O23="",1,$O23))&lt;2),"⚠ FRET needs ≥ 2 colours",IF(AND($AU23&lt;&gt;"",$AU23&lt;&gt;"No FRET",N($AV23)+N($AW23)+N($AX23)=0),"⚠ FRET: set R","✔ OK"))))))))</f>
        <v/>
      </c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7" t="str">
        <f aca="false">IF(OR($BM23="",$BM23="No FRET",N($BN23)&lt;=0,N(IF($AI23="",63,$AI23))&lt;=0),"",1/(1+($BN23/IF($AI23="",63,$AI23))^6))</f>
        <v/>
      </c>
      <c r="BR23" s="27" t="str">
        <f aca="false">IF(OR($BM23="",$BM23="No FRET",N($BO23)&lt;=0,N(IF($AJ23="",51,$AJ23))&lt;=0),"",1/(1+($BO23/IF($AJ23="",51,$AJ23))^6))</f>
        <v/>
      </c>
      <c r="BS23" s="27" t="str">
        <f aca="false">IF(OR($BM23="",$BM23="No FRET",N($BP23)&lt;=0,N(IF($AK23="",68,$AK23))&lt;=0),"",1/(1+($BP23/IF($AK23="",68,$AK23))^6))</f>
        <v/>
      </c>
      <c r="BT23" s="28" t="str">
        <f aca="false">IF(OR($A23="",N($BF23)&lt;=0),"",IF(IF($I23="",5000,$I23)&gt;0,$BF23/(IF($G23="",5000,$G23)*IF($H23="",5000,$H23)*IF($I23="",5000,$I23))/1E-024/6.022E+023/0.000000001,""))</f>
        <v/>
      </c>
      <c r="BU23" s="29" t="str">
        <f aca="false">IF(Calc!M23=0,"",IF(Calc!K23&gt;=1,"✖ saturated (B ≥ freq.)",IF(Calc!K23&gt;0.1,"⚠ B &gt; 10% of freq.",IF(Calc!K23=0,"⚠ no brightness",IF(Calc!L23&gt;0.1,"⚠ step &gt; 10% of wr",IF(OR(AND(N($BI23)&gt;0,IF($O23="",1,$O23)&lt;3),AND(N($BH23)&gt;0,IF($O23="",1,$O23)&lt;2)),"⚠ uses a colour above Colours = "&amp;IF($O23="",1,$O23)&amp;" (ignored)",IF(AND($BM23&lt;&gt;"",$BM23&lt;&gt;"No FRET",N(IF($O23="",1,$O23))&lt;2),"⚠ FRET needs ≥ 2 colours",IF(AND($BM23&lt;&gt;"",$BM23&lt;&gt;"No FRET",N($BN23)+N($BO23)+N($BP23)=0),"⚠ FRET: set R","✔ OK"))))))))</f>
        <v/>
      </c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7" t="str">
        <f aca="false">IF(OR($CE23="",$CE23="No FRET",N($CF23)&lt;=0,N(IF($AI23="",63,$AI23))&lt;=0),"",1/(1+($CF23/IF($AI23="",63,$AI23))^6))</f>
        <v/>
      </c>
      <c r="CJ23" s="27" t="str">
        <f aca="false">IF(OR($CE23="",$CE23="No FRET",N($CG23)&lt;=0,N(IF($AJ23="",51,$AJ23))&lt;=0),"",1/(1+($CG23/IF($AJ23="",51,$AJ23))^6))</f>
        <v/>
      </c>
      <c r="CK23" s="27" t="str">
        <f aca="false">IF(OR($CE23="",$CE23="No FRET",N($CH23)&lt;=0,N(IF($AK23="",68,$AK23))&lt;=0),"",1/(1+($CH23/IF($AK23="",68,$AK23))^6))</f>
        <v/>
      </c>
      <c r="CL23" s="28" t="str">
        <f aca="false">IF(OR($A23="",N($BX23)&lt;=0),"",IF(IF($I23="",5000,$I23)&gt;0,$BX23/(IF($G23="",5000,$G23)*IF($H23="",5000,$H23)*IF($I23="",5000,$I23))/1E-024/6.022E+023/0.000000001,""))</f>
        <v/>
      </c>
      <c r="CM23" s="29" t="str">
        <f aca="false">IF(Calc!S23=0,"",IF(Calc!Q23&gt;=1,"✖ saturated (B ≥ freq.)",IF(Calc!Q23&gt;0.1,"⚠ B &gt; 10% of freq.",IF(Calc!Q23=0,"⚠ no brightness",IF(Calc!R23&gt;0.1,"⚠ step &gt; 10% of wr",IF(OR(AND(N($CA23)&gt;0,IF($O23="",1,$O23)&lt;3),AND(N($BZ23)&gt;0,IF($O23="",1,$O23)&lt;2)),"⚠ uses a colour above Colours = "&amp;IF($O23="",1,$O23)&amp;" (ignored)",IF(AND($CE23&lt;&gt;"",$CE23&lt;&gt;"No FRET",N(IF($O23="",1,$O23))&lt;2),"⚠ FRET needs ≥ 2 colours",IF(AND($CE23&lt;&gt;"",$CE23&lt;&gt;"No FRET",N($CF23)+N($CG23)+N($CH23)=0),"⚠ FRET: set R","✔ OK"))))))))</f>
        <v/>
      </c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7" t="str">
        <f aca="false">IF(OR($CW23="",$CW23="No FRET",N($CX23)&lt;=0,N(IF($AI23="",63,$AI23))&lt;=0),"",1/(1+($CX23/IF($AI23="",63,$AI23))^6))</f>
        <v/>
      </c>
      <c r="DB23" s="27" t="str">
        <f aca="false">IF(OR($CW23="",$CW23="No FRET",N($CY23)&lt;=0,N(IF($AJ23="",51,$AJ23))&lt;=0),"",1/(1+($CY23/IF($AJ23="",51,$AJ23))^6))</f>
        <v/>
      </c>
      <c r="DC23" s="27" t="str">
        <f aca="false">IF(OR($CW23="",$CW23="No FRET",N($CZ23)&lt;=0,N(IF($AK23="",68,$AK23))&lt;=0),"",1/(1+($CZ23/IF($AK23="",68,$AK23))^6))</f>
        <v/>
      </c>
      <c r="DD23" s="28" t="str">
        <f aca="false">IF(OR($A23="",N($CP23)&lt;=0),"",IF(IF($I23="",5000,$I23)&gt;0,$CP23/(IF($G23="",5000,$G23)*IF($H23="",5000,$H23)*IF($I23="",5000,$I23))/1E-024/6.022E+023/0.000000001,""))</f>
        <v/>
      </c>
      <c r="DE23" s="29" t="str">
        <f aca="false">IF(Calc!Y23=0,"",IF(Calc!W23&gt;=1,"✖ saturated (B ≥ freq.)",IF(Calc!W23&gt;0.1,"⚠ B &gt; 10% of freq.",IF(Calc!W23=0,"⚠ no brightness",IF(Calc!X23&gt;0.1,"⚠ step &gt; 10% of wr",IF(OR(AND(N($CS23)&gt;0,IF($O23="",1,$O23)&lt;3),AND(N($CR23)&gt;0,IF($O23="",1,$O23)&lt;2)),"⚠ uses a colour above Colours = "&amp;IF($O23="",1,$O23)&amp;" (ignored)",IF(AND($CW23&lt;&gt;"",$CW23&lt;&gt;"No FRET",N(IF($O23="",1,$O23))&lt;2),"⚠ FRET needs ≥ 2 colours",IF(AND($CW23&lt;&gt;"",$CW23&lt;&gt;"No FRET",N($CX23)+N($CY23)+N($CZ23)=0),"⚠ FRET: set R","✔ OK"))))))))</f>
        <v/>
      </c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7" t="str">
        <f aca="false">IF(OR($DO23="",$DO23="No FRET",N($DP23)&lt;=0,N(IF($AI23="",63,$AI23))&lt;=0),"",1/(1+($DP23/IF($AI23="",63,$AI23))^6))</f>
        <v/>
      </c>
      <c r="DT23" s="27" t="str">
        <f aca="false">IF(OR($DO23="",$DO23="No FRET",N($DQ23)&lt;=0,N(IF($AJ23="",51,$AJ23))&lt;=0),"",1/(1+($DQ23/IF($AJ23="",51,$AJ23))^6))</f>
        <v/>
      </c>
      <c r="DU23" s="27" t="str">
        <f aca="false">IF(OR($DO23="",$DO23="No FRET",N($DR23)&lt;=0,N(IF($AK23="",68,$AK23))&lt;=0),"",1/(1+($DR23/IF($AK23="",68,$AK23))^6))</f>
        <v/>
      </c>
      <c r="DV23" s="28" t="str">
        <f aca="false">IF(OR($A23="",N($DH23)&lt;=0),"",IF(IF($I23="",5000,$I23)&gt;0,$DH23/(IF($G23="",5000,$G23)*IF($H23="",5000,$H23)*IF($I23="",5000,$I23))/1E-024/6.022E+023/0.000000001,""))</f>
        <v/>
      </c>
      <c r="DW23" s="29" t="str">
        <f aca="false">IF(Calc!AE23=0,"",IF(Calc!AC23&gt;=1,"✖ saturated (B ≥ freq.)",IF(Calc!AC23&gt;0.1,"⚠ B &gt; 10% of freq.",IF(Calc!AC23=0,"⚠ no brightness",IF(Calc!AD23&gt;0.1,"⚠ step &gt; 10% of wr",IF(OR(AND(N($DK23)&gt;0,IF($O23="",1,$O23)&lt;3),AND(N($DJ23)&gt;0,IF($O23="",1,$O23)&lt;2)),"⚠ uses a colour above Colours = "&amp;IF($O23="",1,$O23)&amp;" (ignored)",IF(AND($DO23&lt;&gt;"",$DO23&lt;&gt;"No FRET",N(IF($O23="",1,$O23))&lt;2),"⚠ FRET needs ≥ 2 colours",IF(AND($DO23&lt;&gt;"",$DO23&lt;&gt;"No FRET",N($DP23)+N($DQ23)+N($DR23)=0),"⚠ FRET: set R","✔ OK"))))))))</f>
        <v/>
      </c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7" t="str">
        <f aca="false">IF(OR($EG23="",$EG23="No FRET",N($EH23)&lt;=0,N(IF($AI23="",63,$AI23))&lt;=0),"",1/(1+($EH23/IF($AI23="",63,$AI23))^6))</f>
        <v/>
      </c>
      <c r="EL23" s="27" t="str">
        <f aca="false">IF(OR($EG23="",$EG23="No FRET",N($EI23)&lt;=0,N(IF($AJ23="",51,$AJ23))&lt;=0),"",1/(1+($EI23/IF($AJ23="",51,$AJ23))^6))</f>
        <v/>
      </c>
      <c r="EM23" s="27" t="str">
        <f aca="false">IF(OR($EG23="",$EG23="No FRET",N($EJ23)&lt;=0,N(IF($AK23="",68,$AK23))&lt;=0),"",1/(1+($EJ23/IF($AK23="",68,$AK23))^6))</f>
        <v/>
      </c>
      <c r="EN23" s="28" t="str">
        <f aca="false">IF(OR($A23="",N($DZ23)&lt;=0),"",IF(IF($I23="",5000,$I23)&gt;0,$DZ23/(IF($G23="",5000,$G23)*IF($H23="",5000,$H23)*IF($I23="",5000,$I23))/1E-024/6.022E+023/0.000000001,""))</f>
        <v/>
      </c>
      <c r="EO23" s="29" t="str">
        <f aca="false">IF(Calc!AK23=0,"",IF(Calc!AI23&gt;=1,"✖ saturated (B ≥ freq.)",IF(Calc!AI23&gt;0.1,"⚠ B &gt; 10% of freq.",IF(Calc!AI23=0,"⚠ no brightness",IF(Calc!AJ23&gt;0.1,"⚠ step &gt; 10% of wr",IF(OR(AND(N($EC23)&gt;0,IF($O23="",1,$O23)&lt;3),AND(N($EB23)&gt;0,IF($O23="",1,$O23)&lt;2)),"⚠ uses a colour above Colours = "&amp;IF($O23="",1,$O23)&amp;" (ignored)",IF(AND($EG23&lt;&gt;"",$EG23&lt;&gt;"No FRET",N(IF($O23="",1,$O23))&lt;2),"⚠ FRET needs ≥ 2 colours",IF(AND($EG23&lt;&gt;"",$EG23&lt;&gt;"No FRET",N($EH23)+N($EI23)+N($EJ23)=0),"⚠ FRET: set R","✔ OK"))))))))</f>
        <v/>
      </c>
      <c r="EP23" s="30" t="str">
        <f aca="false">IF($A23="","",SUM(Calc!G23,Calc!M23,Calc!S23,Calc!Y23,Calc!AE23,Calc!AK23))</f>
        <v/>
      </c>
      <c r="EQ23" s="30" t="str">
        <f aca="false">IF($A23="","",N($AN23)+N($BF23)+N($BX23)+N($CP23)+N($DH23)+N($DZ23))</f>
        <v/>
      </c>
      <c r="ER23" s="31" t="str">
        <f aca="false">IF($A23="","",SUM(Calc!B23,Calc!H23,Calc!N23,Calc!T23,Calc!Z23,Calc!AF23))</f>
        <v/>
      </c>
      <c r="ES23" s="31" t="str">
        <f aca="false">IF($A23="","",SUM(Calc!C23,Calc!I23,Calc!O23,Calc!U23,Calc!AA23,Calc!AG23))</f>
        <v/>
      </c>
      <c r="ET23" s="31" t="str">
        <f aca="false">IF($A23="","",SUM(Calc!D23,Calc!J23,Calc!P23,Calc!V23,Calc!AB23,Calc!AH23))</f>
        <v/>
      </c>
      <c r="EU23" s="27" t="str">
        <f aca="false">IF($A23="","",($ER23+$ES23+$ET23+IF($P23="Yes",N($Q23)*N(IF($O23="",1,$O23)),0))*1000*IF($K23="",10,$K23)/1000000)</f>
        <v/>
      </c>
      <c r="EV23" s="28" t="str">
        <f aca="false">IF($A23="","",$EU23*1000000*12/1000000000)</f>
        <v/>
      </c>
      <c r="EW23" s="32" t="str">
        <f aca="false">IF($A23="","",IF($EP23=0,"⚠ no species entered",IF(((LEFT($BC23,1)="✖")+(LEFT($BU23,1)="✖")+(LEFT($CM23,1)="✖")+(LEFT($DE23,1)="✖")+(LEFT($DW23,1)="✖")+(LEFT($EO23,1)="✖"))&gt;0,"✖ "&amp;((LEFT($BC23,1)="✖")+(LEFT($BU23,1)="✖")+(LEFT($CM23,1)="✖")+(LEFT($DE23,1)="✖")+(LEFT($DW23,1)="✖")+(LEFT($EO23,1)="✖"))&amp;" species saturated - see the species checks",IF(MIN(IF($G23="",5000,$G23),IF($H23="",5000,$H23))&lt;8*MAX(IF($T23="",200,$T23),IF($U23="",200,$U23),IF($V23="",200,$V23)),"⚠ box too small laterally (&lt; 8·wr)",IF(AND(IF($I23="",5000,$I23)&gt;0,IF($I23="",5000,$I23)&lt;3*MAX(IF($W23="",1000,$W23),IF($X23="",1000,$X23),IF($Y23="",1000,$Y23))),"⚠ box too small axially (&lt; 3·wz)",IF($EV23&gt;8,"⚠ &gt; 8 GB per file: shorten the duration and use several files",IF(((LEFT($BC23,1)="⚠")+(LEFT($BU23,1)="⚠")+(LEFT($CM23,1)="⚠")+(LEFT($DE23,1)="⚠")+(LEFT($DW23,1)="⚠")+(LEFT($EO23,1)="⚠"))&gt;0,"⚠ "&amp;((LEFT($BC23,1)="⚠")+(LEFT($BU23,1)="⚠")+(LEFT($CM23,1)="⚠")+(LEFT($DE23,1)="⚠")+(LEFT($DW23,1)="⚠")+(LEFT($EO23,1)="⚠"))&amp;" species with a warning","✔ OK")))))))</f>
        <v/>
      </c>
      <c r="EX23" s="25"/>
      <c r="EY23" s="25"/>
      <c r="EZ23" s="25"/>
      <c r="FA23" s="25"/>
      <c r="FB23" s="25"/>
      <c r="FC23" s="25"/>
      <c r="FD23" s="25"/>
      <c r="FE23" s="26"/>
    </row>
    <row r="24" customFormat="false" ht="15" hidden="false" customHeight="false" outlineLevel="0" collapsed="false">
      <c r="A24" s="25"/>
      <c r="B24" s="25"/>
      <c r="C24" s="26"/>
      <c r="D24" s="26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7" t="str">
        <f aca="false">IF(OR($AU24="",$AU24="No FRET",N($AV24)&lt;=0,N(IF($AI24="",63,$AI24))&lt;=0),"",1/(1+($AV24/IF($AI24="",63,$AI24))^6))</f>
        <v/>
      </c>
      <c r="AZ24" s="27" t="str">
        <f aca="false">IF(OR($AU24="",$AU24="No FRET",N($AW24)&lt;=0,N(IF($AJ24="",51,$AJ24))&lt;=0),"",1/(1+($AW24/IF($AJ24="",51,$AJ24))^6))</f>
        <v/>
      </c>
      <c r="BA24" s="27" t="str">
        <f aca="false">IF(OR($AU24="",$AU24="No FRET",N($AX24)&lt;=0,N(IF($AK24="",68,$AK24))&lt;=0),"",1/(1+($AX24/IF($AK24="",68,$AK24))^6))</f>
        <v/>
      </c>
      <c r="BB24" s="28" t="str">
        <f aca="false">IF(OR($A24="",N($AN24)&lt;=0),"",IF(IF($I24="",5000,$I24)&gt;0,$AN24/(IF($G24="",5000,$G24)*IF($H24="",5000,$H24)*IF($I24="",5000,$I24))/1E-024/6.022E+023/0.000000001,""))</f>
        <v/>
      </c>
      <c r="BC24" s="29" t="str">
        <f aca="false">IF(Calc!G24=0,"",IF(Calc!E24&gt;=1,"✖ saturated (B ≥ freq.)",IF(Calc!E24&gt;0.1,"⚠ B &gt; 10% of freq.",IF(Calc!E24=0,"⚠ no brightness",IF(Calc!F24&gt;0.1,"⚠ step &gt; 10% of wr",IF(OR(AND(N($AQ24)&gt;0,IF($O24="",1,$O24)&lt;3),AND(N($AP24)&gt;0,IF($O24="",1,$O24)&lt;2)),"⚠ uses a colour above Colours = "&amp;IF($O24="",1,$O24)&amp;" (ignored)",IF(AND($AU24&lt;&gt;"",$AU24&lt;&gt;"No FRET",N(IF($O24="",1,$O24))&lt;2),"⚠ FRET needs ≥ 2 colours",IF(AND($AU24&lt;&gt;"",$AU24&lt;&gt;"No FRET",N($AV24)+N($AW24)+N($AX24)=0),"⚠ FRET: set R","✔ OK"))))))))</f>
        <v/>
      </c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7" t="str">
        <f aca="false">IF(OR($BM24="",$BM24="No FRET",N($BN24)&lt;=0,N(IF($AI24="",63,$AI24))&lt;=0),"",1/(1+($BN24/IF($AI24="",63,$AI24))^6))</f>
        <v/>
      </c>
      <c r="BR24" s="27" t="str">
        <f aca="false">IF(OR($BM24="",$BM24="No FRET",N($BO24)&lt;=0,N(IF($AJ24="",51,$AJ24))&lt;=0),"",1/(1+($BO24/IF($AJ24="",51,$AJ24))^6))</f>
        <v/>
      </c>
      <c r="BS24" s="27" t="str">
        <f aca="false">IF(OR($BM24="",$BM24="No FRET",N($BP24)&lt;=0,N(IF($AK24="",68,$AK24))&lt;=0),"",1/(1+($BP24/IF($AK24="",68,$AK24))^6))</f>
        <v/>
      </c>
      <c r="BT24" s="28" t="str">
        <f aca="false">IF(OR($A24="",N($BF24)&lt;=0),"",IF(IF($I24="",5000,$I24)&gt;0,$BF24/(IF($G24="",5000,$G24)*IF($H24="",5000,$H24)*IF($I24="",5000,$I24))/1E-024/6.022E+023/0.000000001,""))</f>
        <v/>
      </c>
      <c r="BU24" s="29" t="str">
        <f aca="false">IF(Calc!M24=0,"",IF(Calc!K24&gt;=1,"✖ saturated (B ≥ freq.)",IF(Calc!K24&gt;0.1,"⚠ B &gt; 10% of freq.",IF(Calc!K24=0,"⚠ no brightness",IF(Calc!L24&gt;0.1,"⚠ step &gt; 10% of wr",IF(OR(AND(N($BI24)&gt;0,IF($O24="",1,$O24)&lt;3),AND(N($BH24)&gt;0,IF($O24="",1,$O24)&lt;2)),"⚠ uses a colour above Colours = "&amp;IF($O24="",1,$O24)&amp;" (ignored)",IF(AND($BM24&lt;&gt;"",$BM24&lt;&gt;"No FRET",N(IF($O24="",1,$O24))&lt;2),"⚠ FRET needs ≥ 2 colours",IF(AND($BM24&lt;&gt;"",$BM24&lt;&gt;"No FRET",N($BN24)+N($BO24)+N($BP24)=0),"⚠ FRET: set R","✔ OK"))))))))</f>
        <v/>
      </c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7" t="str">
        <f aca="false">IF(OR($CE24="",$CE24="No FRET",N($CF24)&lt;=0,N(IF($AI24="",63,$AI24))&lt;=0),"",1/(1+($CF24/IF($AI24="",63,$AI24))^6))</f>
        <v/>
      </c>
      <c r="CJ24" s="27" t="str">
        <f aca="false">IF(OR($CE24="",$CE24="No FRET",N($CG24)&lt;=0,N(IF($AJ24="",51,$AJ24))&lt;=0),"",1/(1+($CG24/IF($AJ24="",51,$AJ24))^6))</f>
        <v/>
      </c>
      <c r="CK24" s="27" t="str">
        <f aca="false">IF(OR($CE24="",$CE24="No FRET",N($CH24)&lt;=0,N(IF($AK24="",68,$AK24))&lt;=0),"",1/(1+($CH24/IF($AK24="",68,$AK24))^6))</f>
        <v/>
      </c>
      <c r="CL24" s="28" t="str">
        <f aca="false">IF(OR($A24="",N($BX24)&lt;=0),"",IF(IF($I24="",5000,$I24)&gt;0,$BX24/(IF($G24="",5000,$G24)*IF($H24="",5000,$H24)*IF($I24="",5000,$I24))/1E-024/6.022E+023/0.000000001,""))</f>
        <v/>
      </c>
      <c r="CM24" s="29" t="str">
        <f aca="false">IF(Calc!S24=0,"",IF(Calc!Q24&gt;=1,"✖ saturated (B ≥ freq.)",IF(Calc!Q24&gt;0.1,"⚠ B &gt; 10% of freq.",IF(Calc!Q24=0,"⚠ no brightness",IF(Calc!R24&gt;0.1,"⚠ step &gt; 10% of wr",IF(OR(AND(N($CA24)&gt;0,IF($O24="",1,$O24)&lt;3),AND(N($BZ24)&gt;0,IF($O24="",1,$O24)&lt;2)),"⚠ uses a colour above Colours = "&amp;IF($O24="",1,$O24)&amp;" (ignored)",IF(AND($CE24&lt;&gt;"",$CE24&lt;&gt;"No FRET",N(IF($O24="",1,$O24))&lt;2),"⚠ FRET needs ≥ 2 colours",IF(AND($CE24&lt;&gt;"",$CE24&lt;&gt;"No FRET",N($CF24)+N($CG24)+N($CH24)=0),"⚠ FRET: set R","✔ OK"))))))))</f>
        <v/>
      </c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7" t="str">
        <f aca="false">IF(OR($CW24="",$CW24="No FRET",N($CX24)&lt;=0,N(IF($AI24="",63,$AI24))&lt;=0),"",1/(1+($CX24/IF($AI24="",63,$AI24))^6))</f>
        <v/>
      </c>
      <c r="DB24" s="27" t="str">
        <f aca="false">IF(OR($CW24="",$CW24="No FRET",N($CY24)&lt;=0,N(IF($AJ24="",51,$AJ24))&lt;=0),"",1/(1+($CY24/IF($AJ24="",51,$AJ24))^6))</f>
        <v/>
      </c>
      <c r="DC24" s="27" t="str">
        <f aca="false">IF(OR($CW24="",$CW24="No FRET",N($CZ24)&lt;=0,N(IF($AK24="",68,$AK24))&lt;=0),"",1/(1+($CZ24/IF($AK24="",68,$AK24))^6))</f>
        <v/>
      </c>
      <c r="DD24" s="28" t="str">
        <f aca="false">IF(OR($A24="",N($CP24)&lt;=0),"",IF(IF($I24="",5000,$I24)&gt;0,$CP24/(IF($G24="",5000,$G24)*IF($H24="",5000,$H24)*IF($I24="",5000,$I24))/1E-024/6.022E+023/0.000000001,""))</f>
        <v/>
      </c>
      <c r="DE24" s="29" t="str">
        <f aca="false">IF(Calc!Y24=0,"",IF(Calc!W24&gt;=1,"✖ saturated (B ≥ freq.)",IF(Calc!W24&gt;0.1,"⚠ B &gt; 10% of freq.",IF(Calc!W24=0,"⚠ no brightness",IF(Calc!X24&gt;0.1,"⚠ step &gt; 10% of wr",IF(OR(AND(N($CS24)&gt;0,IF($O24="",1,$O24)&lt;3),AND(N($CR24)&gt;0,IF($O24="",1,$O24)&lt;2)),"⚠ uses a colour above Colours = "&amp;IF($O24="",1,$O24)&amp;" (ignored)",IF(AND($CW24&lt;&gt;"",$CW24&lt;&gt;"No FRET",N(IF($O24="",1,$O24))&lt;2),"⚠ FRET needs ≥ 2 colours",IF(AND($CW24&lt;&gt;"",$CW24&lt;&gt;"No FRET",N($CX24)+N($CY24)+N($CZ24)=0),"⚠ FRET: set R","✔ OK"))))))))</f>
        <v/>
      </c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7" t="str">
        <f aca="false">IF(OR($DO24="",$DO24="No FRET",N($DP24)&lt;=0,N(IF($AI24="",63,$AI24))&lt;=0),"",1/(1+($DP24/IF($AI24="",63,$AI24))^6))</f>
        <v/>
      </c>
      <c r="DT24" s="27" t="str">
        <f aca="false">IF(OR($DO24="",$DO24="No FRET",N($DQ24)&lt;=0,N(IF($AJ24="",51,$AJ24))&lt;=0),"",1/(1+($DQ24/IF($AJ24="",51,$AJ24))^6))</f>
        <v/>
      </c>
      <c r="DU24" s="27" t="str">
        <f aca="false">IF(OR($DO24="",$DO24="No FRET",N($DR24)&lt;=0,N(IF($AK24="",68,$AK24))&lt;=0),"",1/(1+($DR24/IF($AK24="",68,$AK24))^6))</f>
        <v/>
      </c>
      <c r="DV24" s="28" t="str">
        <f aca="false">IF(OR($A24="",N($DH24)&lt;=0),"",IF(IF($I24="",5000,$I24)&gt;0,$DH24/(IF($G24="",5000,$G24)*IF($H24="",5000,$H24)*IF($I24="",5000,$I24))/1E-024/6.022E+023/0.000000001,""))</f>
        <v/>
      </c>
      <c r="DW24" s="29" t="str">
        <f aca="false">IF(Calc!AE24=0,"",IF(Calc!AC24&gt;=1,"✖ saturated (B ≥ freq.)",IF(Calc!AC24&gt;0.1,"⚠ B &gt; 10% of freq.",IF(Calc!AC24=0,"⚠ no brightness",IF(Calc!AD24&gt;0.1,"⚠ step &gt; 10% of wr",IF(OR(AND(N($DK24)&gt;0,IF($O24="",1,$O24)&lt;3),AND(N($DJ24)&gt;0,IF($O24="",1,$O24)&lt;2)),"⚠ uses a colour above Colours = "&amp;IF($O24="",1,$O24)&amp;" (ignored)",IF(AND($DO24&lt;&gt;"",$DO24&lt;&gt;"No FRET",N(IF($O24="",1,$O24))&lt;2),"⚠ FRET needs ≥ 2 colours",IF(AND($DO24&lt;&gt;"",$DO24&lt;&gt;"No FRET",N($DP24)+N($DQ24)+N($DR24)=0),"⚠ FRET: set R","✔ OK"))))))))</f>
        <v/>
      </c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7" t="str">
        <f aca="false">IF(OR($EG24="",$EG24="No FRET",N($EH24)&lt;=0,N(IF($AI24="",63,$AI24))&lt;=0),"",1/(1+($EH24/IF($AI24="",63,$AI24))^6))</f>
        <v/>
      </c>
      <c r="EL24" s="27" t="str">
        <f aca="false">IF(OR($EG24="",$EG24="No FRET",N($EI24)&lt;=0,N(IF($AJ24="",51,$AJ24))&lt;=0),"",1/(1+($EI24/IF($AJ24="",51,$AJ24))^6))</f>
        <v/>
      </c>
      <c r="EM24" s="27" t="str">
        <f aca="false">IF(OR($EG24="",$EG24="No FRET",N($EJ24)&lt;=0,N(IF($AK24="",68,$AK24))&lt;=0),"",1/(1+($EJ24/IF($AK24="",68,$AK24))^6))</f>
        <v/>
      </c>
      <c r="EN24" s="28" t="str">
        <f aca="false">IF(OR($A24="",N($DZ24)&lt;=0),"",IF(IF($I24="",5000,$I24)&gt;0,$DZ24/(IF($G24="",5000,$G24)*IF($H24="",5000,$H24)*IF($I24="",5000,$I24))/1E-024/6.022E+023/0.000000001,""))</f>
        <v/>
      </c>
      <c r="EO24" s="29" t="str">
        <f aca="false">IF(Calc!AK24=0,"",IF(Calc!AI24&gt;=1,"✖ saturated (B ≥ freq.)",IF(Calc!AI24&gt;0.1,"⚠ B &gt; 10% of freq.",IF(Calc!AI24=0,"⚠ no brightness",IF(Calc!AJ24&gt;0.1,"⚠ step &gt; 10% of wr",IF(OR(AND(N($EC24)&gt;0,IF($O24="",1,$O24)&lt;3),AND(N($EB24)&gt;0,IF($O24="",1,$O24)&lt;2)),"⚠ uses a colour above Colours = "&amp;IF($O24="",1,$O24)&amp;" (ignored)",IF(AND($EG24&lt;&gt;"",$EG24&lt;&gt;"No FRET",N(IF($O24="",1,$O24))&lt;2),"⚠ FRET needs ≥ 2 colours",IF(AND($EG24&lt;&gt;"",$EG24&lt;&gt;"No FRET",N($EH24)+N($EI24)+N($EJ24)=0),"⚠ FRET: set R","✔ OK"))))))))</f>
        <v/>
      </c>
      <c r="EP24" s="30" t="str">
        <f aca="false">IF($A24="","",SUM(Calc!G24,Calc!M24,Calc!S24,Calc!Y24,Calc!AE24,Calc!AK24))</f>
        <v/>
      </c>
      <c r="EQ24" s="30" t="str">
        <f aca="false">IF($A24="","",N($AN24)+N($BF24)+N($BX24)+N($CP24)+N($DH24)+N($DZ24))</f>
        <v/>
      </c>
      <c r="ER24" s="31" t="str">
        <f aca="false">IF($A24="","",SUM(Calc!B24,Calc!H24,Calc!N24,Calc!T24,Calc!Z24,Calc!AF24))</f>
        <v/>
      </c>
      <c r="ES24" s="31" t="str">
        <f aca="false">IF($A24="","",SUM(Calc!C24,Calc!I24,Calc!O24,Calc!U24,Calc!AA24,Calc!AG24))</f>
        <v/>
      </c>
      <c r="ET24" s="31" t="str">
        <f aca="false">IF($A24="","",SUM(Calc!D24,Calc!J24,Calc!P24,Calc!V24,Calc!AB24,Calc!AH24))</f>
        <v/>
      </c>
      <c r="EU24" s="27" t="str">
        <f aca="false">IF($A24="","",($ER24+$ES24+$ET24+IF($P24="Yes",N($Q24)*N(IF($O24="",1,$O24)),0))*1000*IF($K24="",10,$K24)/1000000)</f>
        <v/>
      </c>
      <c r="EV24" s="28" t="str">
        <f aca="false">IF($A24="","",$EU24*1000000*12/1000000000)</f>
        <v/>
      </c>
      <c r="EW24" s="32" t="str">
        <f aca="false">IF($A24="","",IF($EP24=0,"⚠ no species entered",IF(((LEFT($BC24,1)="✖")+(LEFT($BU24,1)="✖")+(LEFT($CM24,1)="✖")+(LEFT($DE24,1)="✖")+(LEFT($DW24,1)="✖")+(LEFT($EO24,1)="✖"))&gt;0,"✖ "&amp;((LEFT($BC24,1)="✖")+(LEFT($BU24,1)="✖")+(LEFT($CM24,1)="✖")+(LEFT($DE24,1)="✖")+(LEFT($DW24,1)="✖")+(LEFT($EO24,1)="✖"))&amp;" species saturated - see the species checks",IF(MIN(IF($G24="",5000,$G24),IF($H24="",5000,$H24))&lt;8*MAX(IF($T24="",200,$T24),IF($U24="",200,$U24),IF($V24="",200,$V24)),"⚠ box too small laterally (&lt; 8·wr)",IF(AND(IF($I24="",5000,$I24)&gt;0,IF($I24="",5000,$I24)&lt;3*MAX(IF($W24="",1000,$W24),IF($X24="",1000,$X24),IF($Y24="",1000,$Y24))),"⚠ box too small axially (&lt; 3·wz)",IF($EV24&gt;8,"⚠ &gt; 8 GB per file: shorten the duration and use several files",IF(((LEFT($BC24,1)="⚠")+(LEFT($BU24,1)="⚠")+(LEFT($CM24,1)="⚠")+(LEFT($DE24,1)="⚠")+(LEFT($DW24,1)="⚠")+(LEFT($EO24,1)="⚠"))&gt;0,"⚠ "&amp;((LEFT($BC24,1)="⚠")+(LEFT($BU24,1)="⚠")+(LEFT($CM24,1)="⚠")+(LEFT($DE24,1)="⚠")+(LEFT($DW24,1)="⚠")+(LEFT($EO24,1)="⚠"))&amp;" species with a warning","✔ OK")))))))</f>
        <v/>
      </c>
      <c r="EX24" s="25"/>
      <c r="EY24" s="25"/>
      <c r="EZ24" s="25"/>
      <c r="FA24" s="25"/>
      <c r="FB24" s="25"/>
      <c r="FC24" s="25"/>
      <c r="FD24" s="25"/>
      <c r="FE24" s="26"/>
    </row>
    <row r="25" customFormat="false" ht="15" hidden="false" customHeight="false" outlineLevel="0" collapsed="false">
      <c r="A25" s="25"/>
      <c r="B25" s="25"/>
      <c r="C25" s="26"/>
      <c r="D25" s="26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7" t="str">
        <f aca="false">IF(OR($AU25="",$AU25="No FRET",N($AV25)&lt;=0,N(IF($AI25="",63,$AI25))&lt;=0),"",1/(1+($AV25/IF($AI25="",63,$AI25))^6))</f>
        <v/>
      </c>
      <c r="AZ25" s="27" t="str">
        <f aca="false">IF(OR($AU25="",$AU25="No FRET",N($AW25)&lt;=0,N(IF($AJ25="",51,$AJ25))&lt;=0),"",1/(1+($AW25/IF($AJ25="",51,$AJ25))^6))</f>
        <v/>
      </c>
      <c r="BA25" s="27" t="str">
        <f aca="false">IF(OR($AU25="",$AU25="No FRET",N($AX25)&lt;=0,N(IF($AK25="",68,$AK25))&lt;=0),"",1/(1+($AX25/IF($AK25="",68,$AK25))^6))</f>
        <v/>
      </c>
      <c r="BB25" s="28" t="str">
        <f aca="false">IF(OR($A25="",N($AN25)&lt;=0),"",IF(IF($I25="",5000,$I25)&gt;0,$AN25/(IF($G25="",5000,$G25)*IF($H25="",5000,$H25)*IF($I25="",5000,$I25))/1E-024/6.022E+023/0.000000001,""))</f>
        <v/>
      </c>
      <c r="BC25" s="29" t="str">
        <f aca="false">IF(Calc!G25=0,"",IF(Calc!E25&gt;=1,"✖ saturated (B ≥ freq.)",IF(Calc!E25&gt;0.1,"⚠ B &gt; 10% of freq.",IF(Calc!E25=0,"⚠ no brightness",IF(Calc!F25&gt;0.1,"⚠ step &gt; 10% of wr",IF(OR(AND(N($AQ25)&gt;0,IF($O25="",1,$O25)&lt;3),AND(N($AP25)&gt;0,IF($O25="",1,$O25)&lt;2)),"⚠ uses a colour above Colours = "&amp;IF($O25="",1,$O25)&amp;" (ignored)",IF(AND($AU25&lt;&gt;"",$AU25&lt;&gt;"No FRET",N(IF($O25="",1,$O25))&lt;2),"⚠ FRET needs ≥ 2 colours",IF(AND($AU25&lt;&gt;"",$AU25&lt;&gt;"No FRET",N($AV25)+N($AW25)+N($AX25)=0),"⚠ FRET: set R","✔ OK"))))))))</f>
        <v/>
      </c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7" t="str">
        <f aca="false">IF(OR($BM25="",$BM25="No FRET",N($BN25)&lt;=0,N(IF($AI25="",63,$AI25))&lt;=0),"",1/(1+($BN25/IF($AI25="",63,$AI25))^6))</f>
        <v/>
      </c>
      <c r="BR25" s="27" t="str">
        <f aca="false">IF(OR($BM25="",$BM25="No FRET",N($BO25)&lt;=0,N(IF($AJ25="",51,$AJ25))&lt;=0),"",1/(1+($BO25/IF($AJ25="",51,$AJ25))^6))</f>
        <v/>
      </c>
      <c r="BS25" s="27" t="str">
        <f aca="false">IF(OR($BM25="",$BM25="No FRET",N($BP25)&lt;=0,N(IF($AK25="",68,$AK25))&lt;=0),"",1/(1+($BP25/IF($AK25="",68,$AK25))^6))</f>
        <v/>
      </c>
      <c r="BT25" s="28" t="str">
        <f aca="false">IF(OR($A25="",N($BF25)&lt;=0),"",IF(IF($I25="",5000,$I25)&gt;0,$BF25/(IF($G25="",5000,$G25)*IF($H25="",5000,$H25)*IF($I25="",5000,$I25))/1E-024/6.022E+023/0.000000001,""))</f>
        <v/>
      </c>
      <c r="BU25" s="29" t="str">
        <f aca="false">IF(Calc!M25=0,"",IF(Calc!K25&gt;=1,"✖ saturated (B ≥ freq.)",IF(Calc!K25&gt;0.1,"⚠ B &gt; 10% of freq.",IF(Calc!K25=0,"⚠ no brightness",IF(Calc!L25&gt;0.1,"⚠ step &gt; 10% of wr",IF(OR(AND(N($BI25)&gt;0,IF($O25="",1,$O25)&lt;3),AND(N($BH25)&gt;0,IF($O25="",1,$O25)&lt;2)),"⚠ uses a colour above Colours = "&amp;IF($O25="",1,$O25)&amp;" (ignored)",IF(AND($BM25&lt;&gt;"",$BM25&lt;&gt;"No FRET",N(IF($O25="",1,$O25))&lt;2),"⚠ FRET needs ≥ 2 colours",IF(AND($BM25&lt;&gt;"",$BM25&lt;&gt;"No FRET",N($BN25)+N($BO25)+N($BP25)=0),"⚠ FRET: set R","✔ OK"))))))))</f>
        <v/>
      </c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7" t="str">
        <f aca="false">IF(OR($CE25="",$CE25="No FRET",N($CF25)&lt;=0,N(IF($AI25="",63,$AI25))&lt;=0),"",1/(1+($CF25/IF($AI25="",63,$AI25))^6))</f>
        <v/>
      </c>
      <c r="CJ25" s="27" t="str">
        <f aca="false">IF(OR($CE25="",$CE25="No FRET",N($CG25)&lt;=0,N(IF($AJ25="",51,$AJ25))&lt;=0),"",1/(1+($CG25/IF($AJ25="",51,$AJ25))^6))</f>
        <v/>
      </c>
      <c r="CK25" s="27" t="str">
        <f aca="false">IF(OR($CE25="",$CE25="No FRET",N($CH25)&lt;=0,N(IF($AK25="",68,$AK25))&lt;=0),"",1/(1+($CH25/IF($AK25="",68,$AK25))^6))</f>
        <v/>
      </c>
      <c r="CL25" s="28" t="str">
        <f aca="false">IF(OR($A25="",N($BX25)&lt;=0),"",IF(IF($I25="",5000,$I25)&gt;0,$BX25/(IF($G25="",5000,$G25)*IF($H25="",5000,$H25)*IF($I25="",5000,$I25))/1E-024/6.022E+023/0.000000001,""))</f>
        <v/>
      </c>
      <c r="CM25" s="29" t="str">
        <f aca="false">IF(Calc!S25=0,"",IF(Calc!Q25&gt;=1,"✖ saturated (B ≥ freq.)",IF(Calc!Q25&gt;0.1,"⚠ B &gt; 10% of freq.",IF(Calc!Q25=0,"⚠ no brightness",IF(Calc!R25&gt;0.1,"⚠ step &gt; 10% of wr",IF(OR(AND(N($CA25)&gt;0,IF($O25="",1,$O25)&lt;3),AND(N($BZ25)&gt;0,IF($O25="",1,$O25)&lt;2)),"⚠ uses a colour above Colours = "&amp;IF($O25="",1,$O25)&amp;" (ignored)",IF(AND($CE25&lt;&gt;"",$CE25&lt;&gt;"No FRET",N(IF($O25="",1,$O25))&lt;2),"⚠ FRET needs ≥ 2 colours",IF(AND($CE25&lt;&gt;"",$CE25&lt;&gt;"No FRET",N($CF25)+N($CG25)+N($CH25)=0),"⚠ FRET: set R","✔ OK"))))))))</f>
        <v/>
      </c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7" t="str">
        <f aca="false">IF(OR($CW25="",$CW25="No FRET",N($CX25)&lt;=0,N(IF($AI25="",63,$AI25))&lt;=0),"",1/(1+($CX25/IF($AI25="",63,$AI25))^6))</f>
        <v/>
      </c>
      <c r="DB25" s="27" t="str">
        <f aca="false">IF(OR($CW25="",$CW25="No FRET",N($CY25)&lt;=0,N(IF($AJ25="",51,$AJ25))&lt;=0),"",1/(1+($CY25/IF($AJ25="",51,$AJ25))^6))</f>
        <v/>
      </c>
      <c r="DC25" s="27" t="str">
        <f aca="false">IF(OR($CW25="",$CW25="No FRET",N($CZ25)&lt;=0,N(IF($AK25="",68,$AK25))&lt;=0),"",1/(1+($CZ25/IF($AK25="",68,$AK25))^6))</f>
        <v/>
      </c>
      <c r="DD25" s="28" t="str">
        <f aca="false">IF(OR($A25="",N($CP25)&lt;=0),"",IF(IF($I25="",5000,$I25)&gt;0,$CP25/(IF($G25="",5000,$G25)*IF($H25="",5000,$H25)*IF($I25="",5000,$I25))/1E-024/6.022E+023/0.000000001,""))</f>
        <v/>
      </c>
      <c r="DE25" s="29" t="str">
        <f aca="false">IF(Calc!Y25=0,"",IF(Calc!W25&gt;=1,"✖ saturated (B ≥ freq.)",IF(Calc!W25&gt;0.1,"⚠ B &gt; 10% of freq.",IF(Calc!W25=0,"⚠ no brightness",IF(Calc!X25&gt;0.1,"⚠ step &gt; 10% of wr",IF(OR(AND(N($CS25)&gt;0,IF($O25="",1,$O25)&lt;3),AND(N($CR25)&gt;0,IF($O25="",1,$O25)&lt;2)),"⚠ uses a colour above Colours = "&amp;IF($O25="",1,$O25)&amp;" (ignored)",IF(AND($CW25&lt;&gt;"",$CW25&lt;&gt;"No FRET",N(IF($O25="",1,$O25))&lt;2),"⚠ FRET needs ≥ 2 colours",IF(AND($CW25&lt;&gt;"",$CW25&lt;&gt;"No FRET",N($CX25)+N($CY25)+N($CZ25)=0),"⚠ FRET: set R","✔ OK"))))))))</f>
        <v/>
      </c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7" t="str">
        <f aca="false">IF(OR($DO25="",$DO25="No FRET",N($DP25)&lt;=0,N(IF($AI25="",63,$AI25))&lt;=0),"",1/(1+($DP25/IF($AI25="",63,$AI25))^6))</f>
        <v/>
      </c>
      <c r="DT25" s="27" t="str">
        <f aca="false">IF(OR($DO25="",$DO25="No FRET",N($DQ25)&lt;=0,N(IF($AJ25="",51,$AJ25))&lt;=0),"",1/(1+($DQ25/IF($AJ25="",51,$AJ25))^6))</f>
        <v/>
      </c>
      <c r="DU25" s="27" t="str">
        <f aca="false">IF(OR($DO25="",$DO25="No FRET",N($DR25)&lt;=0,N(IF($AK25="",68,$AK25))&lt;=0),"",1/(1+($DR25/IF($AK25="",68,$AK25))^6))</f>
        <v/>
      </c>
      <c r="DV25" s="28" t="str">
        <f aca="false">IF(OR($A25="",N($DH25)&lt;=0),"",IF(IF($I25="",5000,$I25)&gt;0,$DH25/(IF($G25="",5000,$G25)*IF($H25="",5000,$H25)*IF($I25="",5000,$I25))/1E-024/6.022E+023/0.000000001,""))</f>
        <v/>
      </c>
      <c r="DW25" s="29" t="str">
        <f aca="false">IF(Calc!AE25=0,"",IF(Calc!AC25&gt;=1,"✖ saturated (B ≥ freq.)",IF(Calc!AC25&gt;0.1,"⚠ B &gt; 10% of freq.",IF(Calc!AC25=0,"⚠ no brightness",IF(Calc!AD25&gt;0.1,"⚠ step &gt; 10% of wr",IF(OR(AND(N($DK25)&gt;0,IF($O25="",1,$O25)&lt;3),AND(N($DJ25)&gt;0,IF($O25="",1,$O25)&lt;2)),"⚠ uses a colour above Colours = "&amp;IF($O25="",1,$O25)&amp;" (ignored)",IF(AND($DO25&lt;&gt;"",$DO25&lt;&gt;"No FRET",N(IF($O25="",1,$O25))&lt;2),"⚠ FRET needs ≥ 2 colours",IF(AND($DO25&lt;&gt;"",$DO25&lt;&gt;"No FRET",N($DP25)+N($DQ25)+N($DR25)=0),"⚠ FRET: set R","✔ OK"))))))))</f>
        <v/>
      </c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7" t="str">
        <f aca="false">IF(OR($EG25="",$EG25="No FRET",N($EH25)&lt;=0,N(IF($AI25="",63,$AI25))&lt;=0),"",1/(1+($EH25/IF($AI25="",63,$AI25))^6))</f>
        <v/>
      </c>
      <c r="EL25" s="27" t="str">
        <f aca="false">IF(OR($EG25="",$EG25="No FRET",N($EI25)&lt;=0,N(IF($AJ25="",51,$AJ25))&lt;=0),"",1/(1+($EI25/IF($AJ25="",51,$AJ25))^6))</f>
        <v/>
      </c>
      <c r="EM25" s="27" t="str">
        <f aca="false">IF(OR($EG25="",$EG25="No FRET",N($EJ25)&lt;=0,N(IF($AK25="",68,$AK25))&lt;=0),"",1/(1+($EJ25/IF($AK25="",68,$AK25))^6))</f>
        <v/>
      </c>
      <c r="EN25" s="28" t="str">
        <f aca="false">IF(OR($A25="",N($DZ25)&lt;=0),"",IF(IF($I25="",5000,$I25)&gt;0,$DZ25/(IF($G25="",5000,$G25)*IF($H25="",5000,$H25)*IF($I25="",5000,$I25))/1E-024/6.022E+023/0.000000001,""))</f>
        <v/>
      </c>
      <c r="EO25" s="29" t="str">
        <f aca="false">IF(Calc!AK25=0,"",IF(Calc!AI25&gt;=1,"✖ saturated (B ≥ freq.)",IF(Calc!AI25&gt;0.1,"⚠ B &gt; 10% of freq.",IF(Calc!AI25=0,"⚠ no brightness",IF(Calc!AJ25&gt;0.1,"⚠ step &gt; 10% of wr",IF(OR(AND(N($EC25)&gt;0,IF($O25="",1,$O25)&lt;3),AND(N($EB25)&gt;0,IF($O25="",1,$O25)&lt;2)),"⚠ uses a colour above Colours = "&amp;IF($O25="",1,$O25)&amp;" (ignored)",IF(AND($EG25&lt;&gt;"",$EG25&lt;&gt;"No FRET",N(IF($O25="",1,$O25))&lt;2),"⚠ FRET needs ≥ 2 colours",IF(AND($EG25&lt;&gt;"",$EG25&lt;&gt;"No FRET",N($EH25)+N($EI25)+N($EJ25)=0),"⚠ FRET: set R","✔ OK"))))))))</f>
        <v/>
      </c>
      <c r="EP25" s="30" t="str">
        <f aca="false">IF($A25="","",SUM(Calc!G25,Calc!M25,Calc!S25,Calc!Y25,Calc!AE25,Calc!AK25))</f>
        <v/>
      </c>
      <c r="EQ25" s="30" t="str">
        <f aca="false">IF($A25="","",N($AN25)+N($BF25)+N($BX25)+N($CP25)+N($DH25)+N($DZ25))</f>
        <v/>
      </c>
      <c r="ER25" s="31" t="str">
        <f aca="false">IF($A25="","",SUM(Calc!B25,Calc!H25,Calc!N25,Calc!T25,Calc!Z25,Calc!AF25))</f>
        <v/>
      </c>
      <c r="ES25" s="31" t="str">
        <f aca="false">IF($A25="","",SUM(Calc!C25,Calc!I25,Calc!O25,Calc!U25,Calc!AA25,Calc!AG25))</f>
        <v/>
      </c>
      <c r="ET25" s="31" t="str">
        <f aca="false">IF($A25="","",SUM(Calc!D25,Calc!J25,Calc!P25,Calc!V25,Calc!AB25,Calc!AH25))</f>
        <v/>
      </c>
      <c r="EU25" s="27" t="str">
        <f aca="false">IF($A25="","",($ER25+$ES25+$ET25+IF($P25="Yes",N($Q25)*N(IF($O25="",1,$O25)),0))*1000*IF($K25="",10,$K25)/1000000)</f>
        <v/>
      </c>
      <c r="EV25" s="28" t="str">
        <f aca="false">IF($A25="","",$EU25*1000000*12/1000000000)</f>
        <v/>
      </c>
      <c r="EW25" s="32" t="str">
        <f aca="false">IF($A25="","",IF($EP25=0,"⚠ no species entered",IF(((LEFT($BC25,1)="✖")+(LEFT($BU25,1)="✖")+(LEFT($CM25,1)="✖")+(LEFT($DE25,1)="✖")+(LEFT($DW25,1)="✖")+(LEFT($EO25,1)="✖"))&gt;0,"✖ "&amp;((LEFT($BC25,1)="✖")+(LEFT($BU25,1)="✖")+(LEFT($CM25,1)="✖")+(LEFT($DE25,1)="✖")+(LEFT($DW25,1)="✖")+(LEFT($EO25,1)="✖"))&amp;" species saturated - see the species checks",IF(MIN(IF($G25="",5000,$G25),IF($H25="",5000,$H25))&lt;8*MAX(IF($T25="",200,$T25),IF($U25="",200,$U25),IF($V25="",200,$V25)),"⚠ box too small laterally (&lt; 8·wr)",IF(AND(IF($I25="",5000,$I25)&gt;0,IF($I25="",5000,$I25)&lt;3*MAX(IF($W25="",1000,$W25),IF($X25="",1000,$X25),IF($Y25="",1000,$Y25))),"⚠ box too small axially (&lt; 3·wz)",IF($EV25&gt;8,"⚠ &gt; 8 GB per file: shorten the duration and use several files",IF(((LEFT($BC25,1)="⚠")+(LEFT($BU25,1)="⚠")+(LEFT($CM25,1)="⚠")+(LEFT($DE25,1)="⚠")+(LEFT($DW25,1)="⚠")+(LEFT($EO25,1)="⚠"))&gt;0,"⚠ "&amp;((LEFT($BC25,1)="⚠")+(LEFT($BU25,1)="⚠")+(LEFT($CM25,1)="⚠")+(LEFT($DE25,1)="⚠")+(LEFT($DW25,1)="⚠")+(LEFT($EO25,1)="⚠"))&amp;" species with a warning","✔ OK")))))))</f>
        <v/>
      </c>
      <c r="EX25" s="25"/>
      <c r="EY25" s="25"/>
      <c r="EZ25" s="25"/>
      <c r="FA25" s="25"/>
      <c r="FB25" s="25"/>
      <c r="FC25" s="25"/>
      <c r="FD25" s="25"/>
      <c r="FE25" s="26"/>
    </row>
    <row r="26" customFormat="false" ht="15" hidden="false" customHeight="false" outlineLevel="0" collapsed="false">
      <c r="A26" s="25"/>
      <c r="B26" s="25"/>
      <c r="C26" s="26"/>
      <c r="D26" s="26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7" t="str">
        <f aca="false">IF(OR($AU26="",$AU26="No FRET",N($AV26)&lt;=0,N(IF($AI26="",63,$AI26))&lt;=0),"",1/(1+($AV26/IF($AI26="",63,$AI26))^6))</f>
        <v/>
      </c>
      <c r="AZ26" s="27" t="str">
        <f aca="false">IF(OR($AU26="",$AU26="No FRET",N($AW26)&lt;=0,N(IF($AJ26="",51,$AJ26))&lt;=0),"",1/(1+($AW26/IF($AJ26="",51,$AJ26))^6))</f>
        <v/>
      </c>
      <c r="BA26" s="27" t="str">
        <f aca="false">IF(OR($AU26="",$AU26="No FRET",N($AX26)&lt;=0,N(IF($AK26="",68,$AK26))&lt;=0),"",1/(1+($AX26/IF($AK26="",68,$AK26))^6))</f>
        <v/>
      </c>
      <c r="BB26" s="28" t="str">
        <f aca="false">IF(OR($A26="",N($AN26)&lt;=0),"",IF(IF($I26="",5000,$I26)&gt;0,$AN26/(IF($G26="",5000,$G26)*IF($H26="",5000,$H26)*IF($I26="",5000,$I26))/1E-024/6.022E+023/0.000000001,""))</f>
        <v/>
      </c>
      <c r="BC26" s="29" t="str">
        <f aca="false">IF(Calc!G26=0,"",IF(Calc!E26&gt;=1,"✖ saturated (B ≥ freq.)",IF(Calc!E26&gt;0.1,"⚠ B &gt; 10% of freq.",IF(Calc!E26=0,"⚠ no brightness",IF(Calc!F26&gt;0.1,"⚠ step &gt; 10% of wr",IF(OR(AND(N($AQ26)&gt;0,IF($O26="",1,$O26)&lt;3),AND(N($AP26)&gt;0,IF($O26="",1,$O26)&lt;2)),"⚠ uses a colour above Colours = "&amp;IF($O26="",1,$O26)&amp;" (ignored)",IF(AND($AU26&lt;&gt;"",$AU26&lt;&gt;"No FRET",N(IF($O26="",1,$O26))&lt;2),"⚠ FRET needs ≥ 2 colours",IF(AND($AU26&lt;&gt;"",$AU26&lt;&gt;"No FRET",N($AV26)+N($AW26)+N($AX26)=0),"⚠ FRET: set R","✔ OK"))))))))</f>
        <v/>
      </c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7" t="str">
        <f aca="false">IF(OR($BM26="",$BM26="No FRET",N($BN26)&lt;=0,N(IF($AI26="",63,$AI26))&lt;=0),"",1/(1+($BN26/IF($AI26="",63,$AI26))^6))</f>
        <v/>
      </c>
      <c r="BR26" s="27" t="str">
        <f aca="false">IF(OR($BM26="",$BM26="No FRET",N($BO26)&lt;=0,N(IF($AJ26="",51,$AJ26))&lt;=0),"",1/(1+($BO26/IF($AJ26="",51,$AJ26))^6))</f>
        <v/>
      </c>
      <c r="BS26" s="27" t="str">
        <f aca="false">IF(OR($BM26="",$BM26="No FRET",N($BP26)&lt;=0,N(IF($AK26="",68,$AK26))&lt;=0),"",1/(1+($BP26/IF($AK26="",68,$AK26))^6))</f>
        <v/>
      </c>
      <c r="BT26" s="28" t="str">
        <f aca="false">IF(OR($A26="",N($BF26)&lt;=0),"",IF(IF($I26="",5000,$I26)&gt;0,$BF26/(IF($G26="",5000,$G26)*IF($H26="",5000,$H26)*IF($I26="",5000,$I26))/1E-024/6.022E+023/0.000000001,""))</f>
        <v/>
      </c>
      <c r="BU26" s="29" t="str">
        <f aca="false">IF(Calc!M26=0,"",IF(Calc!K26&gt;=1,"✖ saturated (B ≥ freq.)",IF(Calc!K26&gt;0.1,"⚠ B &gt; 10% of freq.",IF(Calc!K26=0,"⚠ no brightness",IF(Calc!L26&gt;0.1,"⚠ step &gt; 10% of wr",IF(OR(AND(N($BI26)&gt;0,IF($O26="",1,$O26)&lt;3),AND(N($BH26)&gt;0,IF($O26="",1,$O26)&lt;2)),"⚠ uses a colour above Colours = "&amp;IF($O26="",1,$O26)&amp;" (ignored)",IF(AND($BM26&lt;&gt;"",$BM26&lt;&gt;"No FRET",N(IF($O26="",1,$O26))&lt;2),"⚠ FRET needs ≥ 2 colours",IF(AND($BM26&lt;&gt;"",$BM26&lt;&gt;"No FRET",N($BN26)+N($BO26)+N($BP26)=0),"⚠ FRET: set R","✔ OK"))))))))</f>
        <v/>
      </c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7" t="str">
        <f aca="false">IF(OR($CE26="",$CE26="No FRET",N($CF26)&lt;=0,N(IF($AI26="",63,$AI26))&lt;=0),"",1/(1+($CF26/IF($AI26="",63,$AI26))^6))</f>
        <v/>
      </c>
      <c r="CJ26" s="27" t="str">
        <f aca="false">IF(OR($CE26="",$CE26="No FRET",N($CG26)&lt;=0,N(IF($AJ26="",51,$AJ26))&lt;=0),"",1/(1+($CG26/IF($AJ26="",51,$AJ26))^6))</f>
        <v/>
      </c>
      <c r="CK26" s="27" t="str">
        <f aca="false">IF(OR($CE26="",$CE26="No FRET",N($CH26)&lt;=0,N(IF($AK26="",68,$AK26))&lt;=0),"",1/(1+($CH26/IF($AK26="",68,$AK26))^6))</f>
        <v/>
      </c>
      <c r="CL26" s="28" t="str">
        <f aca="false">IF(OR($A26="",N($BX26)&lt;=0),"",IF(IF($I26="",5000,$I26)&gt;0,$BX26/(IF($G26="",5000,$G26)*IF($H26="",5000,$H26)*IF($I26="",5000,$I26))/1E-024/6.022E+023/0.000000001,""))</f>
        <v/>
      </c>
      <c r="CM26" s="29" t="str">
        <f aca="false">IF(Calc!S26=0,"",IF(Calc!Q26&gt;=1,"✖ saturated (B ≥ freq.)",IF(Calc!Q26&gt;0.1,"⚠ B &gt; 10% of freq.",IF(Calc!Q26=0,"⚠ no brightness",IF(Calc!R26&gt;0.1,"⚠ step &gt; 10% of wr",IF(OR(AND(N($CA26)&gt;0,IF($O26="",1,$O26)&lt;3),AND(N($BZ26)&gt;0,IF($O26="",1,$O26)&lt;2)),"⚠ uses a colour above Colours = "&amp;IF($O26="",1,$O26)&amp;" (ignored)",IF(AND($CE26&lt;&gt;"",$CE26&lt;&gt;"No FRET",N(IF($O26="",1,$O26))&lt;2),"⚠ FRET needs ≥ 2 colours",IF(AND($CE26&lt;&gt;"",$CE26&lt;&gt;"No FRET",N($CF26)+N($CG26)+N($CH26)=0),"⚠ FRET: set R","✔ OK"))))))))</f>
        <v/>
      </c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7" t="str">
        <f aca="false">IF(OR($CW26="",$CW26="No FRET",N($CX26)&lt;=0,N(IF($AI26="",63,$AI26))&lt;=0),"",1/(1+($CX26/IF($AI26="",63,$AI26))^6))</f>
        <v/>
      </c>
      <c r="DB26" s="27" t="str">
        <f aca="false">IF(OR($CW26="",$CW26="No FRET",N($CY26)&lt;=0,N(IF($AJ26="",51,$AJ26))&lt;=0),"",1/(1+($CY26/IF($AJ26="",51,$AJ26))^6))</f>
        <v/>
      </c>
      <c r="DC26" s="27" t="str">
        <f aca="false">IF(OR($CW26="",$CW26="No FRET",N($CZ26)&lt;=0,N(IF($AK26="",68,$AK26))&lt;=0),"",1/(1+($CZ26/IF($AK26="",68,$AK26))^6))</f>
        <v/>
      </c>
      <c r="DD26" s="28" t="str">
        <f aca="false">IF(OR($A26="",N($CP26)&lt;=0),"",IF(IF($I26="",5000,$I26)&gt;0,$CP26/(IF($G26="",5000,$G26)*IF($H26="",5000,$H26)*IF($I26="",5000,$I26))/1E-024/6.022E+023/0.000000001,""))</f>
        <v/>
      </c>
      <c r="DE26" s="29" t="str">
        <f aca="false">IF(Calc!Y26=0,"",IF(Calc!W26&gt;=1,"✖ saturated (B ≥ freq.)",IF(Calc!W26&gt;0.1,"⚠ B &gt; 10% of freq.",IF(Calc!W26=0,"⚠ no brightness",IF(Calc!X26&gt;0.1,"⚠ step &gt; 10% of wr",IF(OR(AND(N($CS26)&gt;0,IF($O26="",1,$O26)&lt;3),AND(N($CR26)&gt;0,IF($O26="",1,$O26)&lt;2)),"⚠ uses a colour above Colours = "&amp;IF($O26="",1,$O26)&amp;" (ignored)",IF(AND($CW26&lt;&gt;"",$CW26&lt;&gt;"No FRET",N(IF($O26="",1,$O26))&lt;2),"⚠ FRET needs ≥ 2 colours",IF(AND($CW26&lt;&gt;"",$CW26&lt;&gt;"No FRET",N($CX26)+N($CY26)+N($CZ26)=0),"⚠ FRET: set R","✔ OK"))))))))</f>
        <v/>
      </c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7" t="str">
        <f aca="false">IF(OR($DO26="",$DO26="No FRET",N($DP26)&lt;=0,N(IF($AI26="",63,$AI26))&lt;=0),"",1/(1+($DP26/IF($AI26="",63,$AI26))^6))</f>
        <v/>
      </c>
      <c r="DT26" s="27" t="str">
        <f aca="false">IF(OR($DO26="",$DO26="No FRET",N($DQ26)&lt;=0,N(IF($AJ26="",51,$AJ26))&lt;=0),"",1/(1+($DQ26/IF($AJ26="",51,$AJ26))^6))</f>
        <v/>
      </c>
      <c r="DU26" s="27" t="str">
        <f aca="false">IF(OR($DO26="",$DO26="No FRET",N($DR26)&lt;=0,N(IF($AK26="",68,$AK26))&lt;=0),"",1/(1+($DR26/IF($AK26="",68,$AK26))^6))</f>
        <v/>
      </c>
      <c r="DV26" s="28" t="str">
        <f aca="false">IF(OR($A26="",N($DH26)&lt;=0),"",IF(IF($I26="",5000,$I26)&gt;0,$DH26/(IF($G26="",5000,$G26)*IF($H26="",5000,$H26)*IF($I26="",5000,$I26))/1E-024/6.022E+023/0.000000001,""))</f>
        <v/>
      </c>
      <c r="DW26" s="29" t="str">
        <f aca="false">IF(Calc!AE26=0,"",IF(Calc!AC26&gt;=1,"✖ saturated (B ≥ freq.)",IF(Calc!AC26&gt;0.1,"⚠ B &gt; 10% of freq.",IF(Calc!AC26=0,"⚠ no brightness",IF(Calc!AD26&gt;0.1,"⚠ step &gt; 10% of wr",IF(OR(AND(N($DK26)&gt;0,IF($O26="",1,$O26)&lt;3),AND(N($DJ26)&gt;0,IF($O26="",1,$O26)&lt;2)),"⚠ uses a colour above Colours = "&amp;IF($O26="",1,$O26)&amp;" (ignored)",IF(AND($DO26&lt;&gt;"",$DO26&lt;&gt;"No FRET",N(IF($O26="",1,$O26))&lt;2),"⚠ FRET needs ≥ 2 colours",IF(AND($DO26&lt;&gt;"",$DO26&lt;&gt;"No FRET",N($DP26)+N($DQ26)+N($DR26)=0),"⚠ FRET: set R","✔ OK"))))))))</f>
        <v/>
      </c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7" t="str">
        <f aca="false">IF(OR($EG26="",$EG26="No FRET",N($EH26)&lt;=0,N(IF($AI26="",63,$AI26))&lt;=0),"",1/(1+($EH26/IF($AI26="",63,$AI26))^6))</f>
        <v/>
      </c>
      <c r="EL26" s="27" t="str">
        <f aca="false">IF(OR($EG26="",$EG26="No FRET",N($EI26)&lt;=0,N(IF($AJ26="",51,$AJ26))&lt;=0),"",1/(1+($EI26/IF($AJ26="",51,$AJ26))^6))</f>
        <v/>
      </c>
      <c r="EM26" s="27" t="str">
        <f aca="false">IF(OR($EG26="",$EG26="No FRET",N($EJ26)&lt;=0,N(IF($AK26="",68,$AK26))&lt;=0),"",1/(1+($EJ26/IF($AK26="",68,$AK26))^6))</f>
        <v/>
      </c>
      <c r="EN26" s="28" t="str">
        <f aca="false">IF(OR($A26="",N($DZ26)&lt;=0),"",IF(IF($I26="",5000,$I26)&gt;0,$DZ26/(IF($G26="",5000,$G26)*IF($H26="",5000,$H26)*IF($I26="",5000,$I26))/1E-024/6.022E+023/0.000000001,""))</f>
        <v/>
      </c>
      <c r="EO26" s="29" t="str">
        <f aca="false">IF(Calc!AK26=0,"",IF(Calc!AI26&gt;=1,"✖ saturated (B ≥ freq.)",IF(Calc!AI26&gt;0.1,"⚠ B &gt; 10% of freq.",IF(Calc!AI26=0,"⚠ no brightness",IF(Calc!AJ26&gt;0.1,"⚠ step &gt; 10% of wr",IF(OR(AND(N($EC26)&gt;0,IF($O26="",1,$O26)&lt;3),AND(N($EB26)&gt;0,IF($O26="",1,$O26)&lt;2)),"⚠ uses a colour above Colours = "&amp;IF($O26="",1,$O26)&amp;" (ignored)",IF(AND($EG26&lt;&gt;"",$EG26&lt;&gt;"No FRET",N(IF($O26="",1,$O26))&lt;2),"⚠ FRET needs ≥ 2 colours",IF(AND($EG26&lt;&gt;"",$EG26&lt;&gt;"No FRET",N($EH26)+N($EI26)+N($EJ26)=0),"⚠ FRET: set R","✔ OK"))))))))</f>
        <v/>
      </c>
      <c r="EP26" s="30" t="str">
        <f aca="false">IF($A26="","",SUM(Calc!G26,Calc!M26,Calc!S26,Calc!Y26,Calc!AE26,Calc!AK26))</f>
        <v/>
      </c>
      <c r="EQ26" s="30" t="str">
        <f aca="false">IF($A26="","",N($AN26)+N($BF26)+N($BX26)+N($CP26)+N($DH26)+N($DZ26))</f>
        <v/>
      </c>
      <c r="ER26" s="31" t="str">
        <f aca="false">IF($A26="","",SUM(Calc!B26,Calc!H26,Calc!N26,Calc!T26,Calc!Z26,Calc!AF26))</f>
        <v/>
      </c>
      <c r="ES26" s="31" t="str">
        <f aca="false">IF($A26="","",SUM(Calc!C26,Calc!I26,Calc!O26,Calc!U26,Calc!AA26,Calc!AG26))</f>
        <v/>
      </c>
      <c r="ET26" s="31" t="str">
        <f aca="false">IF($A26="","",SUM(Calc!D26,Calc!J26,Calc!P26,Calc!V26,Calc!AB26,Calc!AH26))</f>
        <v/>
      </c>
      <c r="EU26" s="27" t="str">
        <f aca="false">IF($A26="","",($ER26+$ES26+$ET26+IF($P26="Yes",N($Q26)*N(IF($O26="",1,$O26)),0))*1000*IF($K26="",10,$K26)/1000000)</f>
        <v/>
      </c>
      <c r="EV26" s="28" t="str">
        <f aca="false">IF($A26="","",$EU26*1000000*12/1000000000)</f>
        <v/>
      </c>
      <c r="EW26" s="32" t="str">
        <f aca="false">IF($A26="","",IF($EP26=0,"⚠ no species entered",IF(((LEFT($BC26,1)="✖")+(LEFT($BU26,1)="✖")+(LEFT($CM26,1)="✖")+(LEFT($DE26,1)="✖")+(LEFT($DW26,1)="✖")+(LEFT($EO26,1)="✖"))&gt;0,"✖ "&amp;((LEFT($BC26,1)="✖")+(LEFT($BU26,1)="✖")+(LEFT($CM26,1)="✖")+(LEFT($DE26,1)="✖")+(LEFT($DW26,1)="✖")+(LEFT($EO26,1)="✖"))&amp;" species saturated - see the species checks",IF(MIN(IF($G26="",5000,$G26),IF($H26="",5000,$H26))&lt;8*MAX(IF($T26="",200,$T26),IF($U26="",200,$U26),IF($V26="",200,$V26)),"⚠ box too small laterally (&lt; 8·wr)",IF(AND(IF($I26="",5000,$I26)&gt;0,IF($I26="",5000,$I26)&lt;3*MAX(IF($W26="",1000,$W26),IF($X26="",1000,$X26),IF($Y26="",1000,$Y26))),"⚠ box too small axially (&lt; 3·wz)",IF($EV26&gt;8,"⚠ &gt; 8 GB per file: shorten the duration and use several files",IF(((LEFT($BC26,1)="⚠")+(LEFT($BU26,1)="⚠")+(LEFT($CM26,1)="⚠")+(LEFT($DE26,1)="⚠")+(LEFT($DW26,1)="⚠")+(LEFT($EO26,1)="⚠"))&gt;0,"⚠ "&amp;((LEFT($BC26,1)="⚠")+(LEFT($BU26,1)="⚠")+(LEFT($CM26,1)="⚠")+(LEFT($DE26,1)="⚠")+(LEFT($DW26,1)="⚠")+(LEFT($EO26,1)="⚠"))&amp;" species with a warning","✔ OK")))))))</f>
        <v/>
      </c>
      <c r="EX26" s="25"/>
      <c r="EY26" s="25"/>
      <c r="EZ26" s="25"/>
      <c r="FA26" s="25"/>
      <c r="FB26" s="25"/>
      <c r="FC26" s="25"/>
      <c r="FD26" s="25"/>
      <c r="FE26" s="26"/>
    </row>
    <row r="27" customFormat="false" ht="15" hidden="false" customHeight="false" outlineLevel="0" collapsed="false">
      <c r="A27" s="25"/>
      <c r="B27" s="25"/>
      <c r="C27" s="26"/>
      <c r="D27" s="26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7" t="str">
        <f aca="false">IF(OR($AU27="",$AU27="No FRET",N($AV27)&lt;=0,N(IF($AI27="",63,$AI27))&lt;=0),"",1/(1+($AV27/IF($AI27="",63,$AI27))^6))</f>
        <v/>
      </c>
      <c r="AZ27" s="27" t="str">
        <f aca="false">IF(OR($AU27="",$AU27="No FRET",N($AW27)&lt;=0,N(IF($AJ27="",51,$AJ27))&lt;=0),"",1/(1+($AW27/IF($AJ27="",51,$AJ27))^6))</f>
        <v/>
      </c>
      <c r="BA27" s="27" t="str">
        <f aca="false">IF(OR($AU27="",$AU27="No FRET",N($AX27)&lt;=0,N(IF($AK27="",68,$AK27))&lt;=0),"",1/(1+($AX27/IF($AK27="",68,$AK27))^6))</f>
        <v/>
      </c>
      <c r="BB27" s="28" t="str">
        <f aca="false">IF(OR($A27="",N($AN27)&lt;=0),"",IF(IF($I27="",5000,$I27)&gt;0,$AN27/(IF($G27="",5000,$G27)*IF($H27="",5000,$H27)*IF($I27="",5000,$I27))/1E-024/6.022E+023/0.000000001,""))</f>
        <v/>
      </c>
      <c r="BC27" s="29" t="str">
        <f aca="false">IF(Calc!G27=0,"",IF(Calc!E27&gt;=1,"✖ saturated (B ≥ freq.)",IF(Calc!E27&gt;0.1,"⚠ B &gt; 10% of freq.",IF(Calc!E27=0,"⚠ no brightness",IF(Calc!F27&gt;0.1,"⚠ step &gt; 10% of wr",IF(OR(AND(N($AQ27)&gt;0,IF($O27="",1,$O27)&lt;3),AND(N($AP27)&gt;0,IF($O27="",1,$O27)&lt;2)),"⚠ uses a colour above Colours = "&amp;IF($O27="",1,$O27)&amp;" (ignored)",IF(AND($AU27&lt;&gt;"",$AU27&lt;&gt;"No FRET",N(IF($O27="",1,$O27))&lt;2),"⚠ FRET needs ≥ 2 colours",IF(AND($AU27&lt;&gt;"",$AU27&lt;&gt;"No FRET",N($AV27)+N($AW27)+N($AX27)=0),"⚠ FRET: set R","✔ OK"))))))))</f>
        <v/>
      </c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7" t="str">
        <f aca="false">IF(OR($BM27="",$BM27="No FRET",N($BN27)&lt;=0,N(IF($AI27="",63,$AI27))&lt;=0),"",1/(1+($BN27/IF($AI27="",63,$AI27))^6))</f>
        <v/>
      </c>
      <c r="BR27" s="27" t="str">
        <f aca="false">IF(OR($BM27="",$BM27="No FRET",N($BO27)&lt;=0,N(IF($AJ27="",51,$AJ27))&lt;=0),"",1/(1+($BO27/IF($AJ27="",51,$AJ27))^6))</f>
        <v/>
      </c>
      <c r="BS27" s="27" t="str">
        <f aca="false">IF(OR($BM27="",$BM27="No FRET",N($BP27)&lt;=0,N(IF($AK27="",68,$AK27))&lt;=0),"",1/(1+($BP27/IF($AK27="",68,$AK27))^6))</f>
        <v/>
      </c>
      <c r="BT27" s="28" t="str">
        <f aca="false">IF(OR($A27="",N($BF27)&lt;=0),"",IF(IF($I27="",5000,$I27)&gt;0,$BF27/(IF($G27="",5000,$G27)*IF($H27="",5000,$H27)*IF($I27="",5000,$I27))/1E-024/6.022E+023/0.000000001,""))</f>
        <v/>
      </c>
      <c r="BU27" s="29" t="str">
        <f aca="false">IF(Calc!M27=0,"",IF(Calc!K27&gt;=1,"✖ saturated (B ≥ freq.)",IF(Calc!K27&gt;0.1,"⚠ B &gt; 10% of freq.",IF(Calc!K27=0,"⚠ no brightness",IF(Calc!L27&gt;0.1,"⚠ step &gt; 10% of wr",IF(OR(AND(N($BI27)&gt;0,IF($O27="",1,$O27)&lt;3),AND(N($BH27)&gt;0,IF($O27="",1,$O27)&lt;2)),"⚠ uses a colour above Colours = "&amp;IF($O27="",1,$O27)&amp;" (ignored)",IF(AND($BM27&lt;&gt;"",$BM27&lt;&gt;"No FRET",N(IF($O27="",1,$O27))&lt;2),"⚠ FRET needs ≥ 2 colours",IF(AND($BM27&lt;&gt;"",$BM27&lt;&gt;"No FRET",N($BN27)+N($BO27)+N($BP27)=0),"⚠ FRET: set R","✔ OK"))))))))</f>
        <v/>
      </c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7" t="str">
        <f aca="false">IF(OR($CE27="",$CE27="No FRET",N($CF27)&lt;=0,N(IF($AI27="",63,$AI27))&lt;=0),"",1/(1+($CF27/IF($AI27="",63,$AI27))^6))</f>
        <v/>
      </c>
      <c r="CJ27" s="27" t="str">
        <f aca="false">IF(OR($CE27="",$CE27="No FRET",N($CG27)&lt;=0,N(IF($AJ27="",51,$AJ27))&lt;=0),"",1/(1+($CG27/IF($AJ27="",51,$AJ27))^6))</f>
        <v/>
      </c>
      <c r="CK27" s="27" t="str">
        <f aca="false">IF(OR($CE27="",$CE27="No FRET",N($CH27)&lt;=0,N(IF($AK27="",68,$AK27))&lt;=0),"",1/(1+($CH27/IF($AK27="",68,$AK27))^6))</f>
        <v/>
      </c>
      <c r="CL27" s="28" t="str">
        <f aca="false">IF(OR($A27="",N($BX27)&lt;=0),"",IF(IF($I27="",5000,$I27)&gt;0,$BX27/(IF($G27="",5000,$G27)*IF($H27="",5000,$H27)*IF($I27="",5000,$I27))/1E-024/6.022E+023/0.000000001,""))</f>
        <v/>
      </c>
      <c r="CM27" s="29" t="str">
        <f aca="false">IF(Calc!S27=0,"",IF(Calc!Q27&gt;=1,"✖ saturated (B ≥ freq.)",IF(Calc!Q27&gt;0.1,"⚠ B &gt; 10% of freq.",IF(Calc!Q27=0,"⚠ no brightness",IF(Calc!R27&gt;0.1,"⚠ step &gt; 10% of wr",IF(OR(AND(N($CA27)&gt;0,IF($O27="",1,$O27)&lt;3),AND(N($BZ27)&gt;0,IF($O27="",1,$O27)&lt;2)),"⚠ uses a colour above Colours = "&amp;IF($O27="",1,$O27)&amp;" (ignored)",IF(AND($CE27&lt;&gt;"",$CE27&lt;&gt;"No FRET",N(IF($O27="",1,$O27))&lt;2),"⚠ FRET needs ≥ 2 colours",IF(AND($CE27&lt;&gt;"",$CE27&lt;&gt;"No FRET",N($CF27)+N($CG27)+N($CH27)=0),"⚠ FRET: set R","✔ OK"))))))))</f>
        <v/>
      </c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7" t="str">
        <f aca="false">IF(OR($CW27="",$CW27="No FRET",N($CX27)&lt;=0,N(IF($AI27="",63,$AI27))&lt;=0),"",1/(1+($CX27/IF($AI27="",63,$AI27))^6))</f>
        <v/>
      </c>
      <c r="DB27" s="27" t="str">
        <f aca="false">IF(OR($CW27="",$CW27="No FRET",N($CY27)&lt;=0,N(IF($AJ27="",51,$AJ27))&lt;=0),"",1/(1+($CY27/IF($AJ27="",51,$AJ27))^6))</f>
        <v/>
      </c>
      <c r="DC27" s="27" t="str">
        <f aca="false">IF(OR($CW27="",$CW27="No FRET",N($CZ27)&lt;=0,N(IF($AK27="",68,$AK27))&lt;=0),"",1/(1+($CZ27/IF($AK27="",68,$AK27))^6))</f>
        <v/>
      </c>
      <c r="DD27" s="28" t="str">
        <f aca="false">IF(OR($A27="",N($CP27)&lt;=0),"",IF(IF($I27="",5000,$I27)&gt;0,$CP27/(IF($G27="",5000,$G27)*IF($H27="",5000,$H27)*IF($I27="",5000,$I27))/1E-024/6.022E+023/0.000000001,""))</f>
        <v/>
      </c>
      <c r="DE27" s="29" t="str">
        <f aca="false">IF(Calc!Y27=0,"",IF(Calc!W27&gt;=1,"✖ saturated (B ≥ freq.)",IF(Calc!W27&gt;0.1,"⚠ B &gt; 10% of freq.",IF(Calc!W27=0,"⚠ no brightness",IF(Calc!X27&gt;0.1,"⚠ step &gt; 10% of wr",IF(OR(AND(N($CS27)&gt;0,IF($O27="",1,$O27)&lt;3),AND(N($CR27)&gt;0,IF($O27="",1,$O27)&lt;2)),"⚠ uses a colour above Colours = "&amp;IF($O27="",1,$O27)&amp;" (ignored)",IF(AND($CW27&lt;&gt;"",$CW27&lt;&gt;"No FRET",N(IF($O27="",1,$O27))&lt;2),"⚠ FRET needs ≥ 2 colours",IF(AND($CW27&lt;&gt;"",$CW27&lt;&gt;"No FRET",N($CX27)+N($CY27)+N($CZ27)=0),"⚠ FRET: set R","✔ OK"))))))))</f>
        <v/>
      </c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7" t="str">
        <f aca="false">IF(OR($DO27="",$DO27="No FRET",N($DP27)&lt;=0,N(IF($AI27="",63,$AI27))&lt;=0),"",1/(1+($DP27/IF($AI27="",63,$AI27))^6))</f>
        <v/>
      </c>
      <c r="DT27" s="27" t="str">
        <f aca="false">IF(OR($DO27="",$DO27="No FRET",N($DQ27)&lt;=0,N(IF($AJ27="",51,$AJ27))&lt;=0),"",1/(1+($DQ27/IF($AJ27="",51,$AJ27))^6))</f>
        <v/>
      </c>
      <c r="DU27" s="27" t="str">
        <f aca="false">IF(OR($DO27="",$DO27="No FRET",N($DR27)&lt;=0,N(IF($AK27="",68,$AK27))&lt;=0),"",1/(1+($DR27/IF($AK27="",68,$AK27))^6))</f>
        <v/>
      </c>
      <c r="DV27" s="28" t="str">
        <f aca="false">IF(OR($A27="",N($DH27)&lt;=0),"",IF(IF($I27="",5000,$I27)&gt;0,$DH27/(IF($G27="",5000,$G27)*IF($H27="",5000,$H27)*IF($I27="",5000,$I27))/1E-024/6.022E+023/0.000000001,""))</f>
        <v/>
      </c>
      <c r="DW27" s="29" t="str">
        <f aca="false">IF(Calc!AE27=0,"",IF(Calc!AC27&gt;=1,"✖ saturated (B ≥ freq.)",IF(Calc!AC27&gt;0.1,"⚠ B &gt; 10% of freq.",IF(Calc!AC27=0,"⚠ no brightness",IF(Calc!AD27&gt;0.1,"⚠ step &gt; 10% of wr",IF(OR(AND(N($DK27)&gt;0,IF($O27="",1,$O27)&lt;3),AND(N($DJ27)&gt;0,IF($O27="",1,$O27)&lt;2)),"⚠ uses a colour above Colours = "&amp;IF($O27="",1,$O27)&amp;" (ignored)",IF(AND($DO27&lt;&gt;"",$DO27&lt;&gt;"No FRET",N(IF($O27="",1,$O27))&lt;2),"⚠ FRET needs ≥ 2 colours",IF(AND($DO27&lt;&gt;"",$DO27&lt;&gt;"No FRET",N($DP27)+N($DQ27)+N($DR27)=0),"⚠ FRET: set R","✔ OK"))))))))</f>
        <v/>
      </c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7" t="str">
        <f aca="false">IF(OR($EG27="",$EG27="No FRET",N($EH27)&lt;=0,N(IF($AI27="",63,$AI27))&lt;=0),"",1/(1+($EH27/IF($AI27="",63,$AI27))^6))</f>
        <v/>
      </c>
      <c r="EL27" s="27" t="str">
        <f aca="false">IF(OR($EG27="",$EG27="No FRET",N($EI27)&lt;=0,N(IF($AJ27="",51,$AJ27))&lt;=0),"",1/(1+($EI27/IF($AJ27="",51,$AJ27))^6))</f>
        <v/>
      </c>
      <c r="EM27" s="27" t="str">
        <f aca="false">IF(OR($EG27="",$EG27="No FRET",N($EJ27)&lt;=0,N(IF($AK27="",68,$AK27))&lt;=0),"",1/(1+($EJ27/IF($AK27="",68,$AK27))^6))</f>
        <v/>
      </c>
      <c r="EN27" s="28" t="str">
        <f aca="false">IF(OR($A27="",N($DZ27)&lt;=0),"",IF(IF($I27="",5000,$I27)&gt;0,$DZ27/(IF($G27="",5000,$G27)*IF($H27="",5000,$H27)*IF($I27="",5000,$I27))/1E-024/6.022E+023/0.000000001,""))</f>
        <v/>
      </c>
      <c r="EO27" s="29" t="str">
        <f aca="false">IF(Calc!AK27=0,"",IF(Calc!AI27&gt;=1,"✖ saturated (B ≥ freq.)",IF(Calc!AI27&gt;0.1,"⚠ B &gt; 10% of freq.",IF(Calc!AI27=0,"⚠ no brightness",IF(Calc!AJ27&gt;0.1,"⚠ step &gt; 10% of wr",IF(OR(AND(N($EC27)&gt;0,IF($O27="",1,$O27)&lt;3),AND(N($EB27)&gt;0,IF($O27="",1,$O27)&lt;2)),"⚠ uses a colour above Colours = "&amp;IF($O27="",1,$O27)&amp;" (ignored)",IF(AND($EG27&lt;&gt;"",$EG27&lt;&gt;"No FRET",N(IF($O27="",1,$O27))&lt;2),"⚠ FRET needs ≥ 2 colours",IF(AND($EG27&lt;&gt;"",$EG27&lt;&gt;"No FRET",N($EH27)+N($EI27)+N($EJ27)=0),"⚠ FRET: set R","✔ OK"))))))))</f>
        <v/>
      </c>
      <c r="EP27" s="30" t="str">
        <f aca="false">IF($A27="","",SUM(Calc!G27,Calc!M27,Calc!S27,Calc!Y27,Calc!AE27,Calc!AK27))</f>
        <v/>
      </c>
      <c r="EQ27" s="30" t="str">
        <f aca="false">IF($A27="","",N($AN27)+N($BF27)+N($BX27)+N($CP27)+N($DH27)+N($DZ27))</f>
        <v/>
      </c>
      <c r="ER27" s="31" t="str">
        <f aca="false">IF($A27="","",SUM(Calc!B27,Calc!H27,Calc!N27,Calc!T27,Calc!Z27,Calc!AF27))</f>
        <v/>
      </c>
      <c r="ES27" s="31" t="str">
        <f aca="false">IF($A27="","",SUM(Calc!C27,Calc!I27,Calc!O27,Calc!U27,Calc!AA27,Calc!AG27))</f>
        <v/>
      </c>
      <c r="ET27" s="31" t="str">
        <f aca="false">IF($A27="","",SUM(Calc!D27,Calc!J27,Calc!P27,Calc!V27,Calc!AB27,Calc!AH27))</f>
        <v/>
      </c>
      <c r="EU27" s="27" t="str">
        <f aca="false">IF($A27="","",($ER27+$ES27+$ET27+IF($P27="Yes",N($Q27)*N(IF($O27="",1,$O27)),0))*1000*IF($K27="",10,$K27)/1000000)</f>
        <v/>
      </c>
      <c r="EV27" s="28" t="str">
        <f aca="false">IF($A27="","",$EU27*1000000*12/1000000000)</f>
        <v/>
      </c>
      <c r="EW27" s="32" t="str">
        <f aca="false">IF($A27="","",IF($EP27=0,"⚠ no species entered",IF(((LEFT($BC27,1)="✖")+(LEFT($BU27,1)="✖")+(LEFT($CM27,1)="✖")+(LEFT($DE27,1)="✖")+(LEFT($DW27,1)="✖")+(LEFT($EO27,1)="✖"))&gt;0,"✖ "&amp;((LEFT($BC27,1)="✖")+(LEFT($BU27,1)="✖")+(LEFT($CM27,1)="✖")+(LEFT($DE27,1)="✖")+(LEFT($DW27,1)="✖")+(LEFT($EO27,1)="✖"))&amp;" species saturated - see the species checks",IF(MIN(IF($G27="",5000,$G27),IF($H27="",5000,$H27))&lt;8*MAX(IF($T27="",200,$T27),IF($U27="",200,$U27),IF($V27="",200,$V27)),"⚠ box too small laterally (&lt; 8·wr)",IF(AND(IF($I27="",5000,$I27)&gt;0,IF($I27="",5000,$I27)&lt;3*MAX(IF($W27="",1000,$W27),IF($X27="",1000,$X27),IF($Y27="",1000,$Y27))),"⚠ box too small axially (&lt; 3·wz)",IF($EV27&gt;8,"⚠ &gt; 8 GB per file: shorten the duration and use several files",IF(((LEFT($BC27,1)="⚠")+(LEFT($BU27,1)="⚠")+(LEFT($CM27,1)="⚠")+(LEFT($DE27,1)="⚠")+(LEFT($DW27,1)="⚠")+(LEFT($EO27,1)="⚠"))&gt;0,"⚠ "&amp;((LEFT($BC27,1)="⚠")+(LEFT($BU27,1)="⚠")+(LEFT($CM27,1)="⚠")+(LEFT($DE27,1)="⚠")+(LEFT($DW27,1)="⚠")+(LEFT($EO27,1)="⚠"))&amp;" species with a warning","✔ OK")))))))</f>
        <v/>
      </c>
      <c r="EX27" s="25"/>
      <c r="EY27" s="25"/>
      <c r="EZ27" s="25"/>
      <c r="FA27" s="25"/>
      <c r="FB27" s="25"/>
      <c r="FC27" s="25"/>
      <c r="FD27" s="25"/>
      <c r="FE27" s="26"/>
    </row>
    <row r="28" customFormat="false" ht="15" hidden="false" customHeight="false" outlineLevel="0" collapsed="false">
      <c r="A28" s="25"/>
      <c r="B28" s="25"/>
      <c r="C28" s="26"/>
      <c r="D28" s="26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7" t="str">
        <f aca="false">IF(OR($AU28="",$AU28="No FRET",N($AV28)&lt;=0,N(IF($AI28="",63,$AI28))&lt;=0),"",1/(1+($AV28/IF($AI28="",63,$AI28))^6))</f>
        <v/>
      </c>
      <c r="AZ28" s="27" t="str">
        <f aca="false">IF(OR($AU28="",$AU28="No FRET",N($AW28)&lt;=0,N(IF($AJ28="",51,$AJ28))&lt;=0),"",1/(1+($AW28/IF($AJ28="",51,$AJ28))^6))</f>
        <v/>
      </c>
      <c r="BA28" s="27" t="str">
        <f aca="false">IF(OR($AU28="",$AU28="No FRET",N($AX28)&lt;=0,N(IF($AK28="",68,$AK28))&lt;=0),"",1/(1+($AX28/IF($AK28="",68,$AK28))^6))</f>
        <v/>
      </c>
      <c r="BB28" s="28" t="str">
        <f aca="false">IF(OR($A28="",N($AN28)&lt;=0),"",IF(IF($I28="",5000,$I28)&gt;0,$AN28/(IF($G28="",5000,$G28)*IF($H28="",5000,$H28)*IF($I28="",5000,$I28))/1E-024/6.022E+023/0.000000001,""))</f>
        <v/>
      </c>
      <c r="BC28" s="29" t="str">
        <f aca="false">IF(Calc!G28=0,"",IF(Calc!E28&gt;=1,"✖ saturated (B ≥ freq.)",IF(Calc!E28&gt;0.1,"⚠ B &gt; 10% of freq.",IF(Calc!E28=0,"⚠ no brightness",IF(Calc!F28&gt;0.1,"⚠ step &gt; 10% of wr",IF(OR(AND(N($AQ28)&gt;0,IF($O28="",1,$O28)&lt;3),AND(N($AP28)&gt;0,IF($O28="",1,$O28)&lt;2)),"⚠ uses a colour above Colours = "&amp;IF($O28="",1,$O28)&amp;" (ignored)",IF(AND($AU28&lt;&gt;"",$AU28&lt;&gt;"No FRET",N(IF($O28="",1,$O28))&lt;2),"⚠ FRET needs ≥ 2 colours",IF(AND($AU28&lt;&gt;"",$AU28&lt;&gt;"No FRET",N($AV28)+N($AW28)+N($AX28)=0),"⚠ FRET: set R","✔ OK"))))))))</f>
        <v/>
      </c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7" t="str">
        <f aca="false">IF(OR($BM28="",$BM28="No FRET",N($BN28)&lt;=0,N(IF($AI28="",63,$AI28))&lt;=0),"",1/(1+($BN28/IF($AI28="",63,$AI28))^6))</f>
        <v/>
      </c>
      <c r="BR28" s="27" t="str">
        <f aca="false">IF(OR($BM28="",$BM28="No FRET",N($BO28)&lt;=0,N(IF($AJ28="",51,$AJ28))&lt;=0),"",1/(1+($BO28/IF($AJ28="",51,$AJ28))^6))</f>
        <v/>
      </c>
      <c r="BS28" s="27" t="str">
        <f aca="false">IF(OR($BM28="",$BM28="No FRET",N($BP28)&lt;=0,N(IF($AK28="",68,$AK28))&lt;=0),"",1/(1+($BP28/IF($AK28="",68,$AK28))^6))</f>
        <v/>
      </c>
      <c r="BT28" s="28" t="str">
        <f aca="false">IF(OR($A28="",N($BF28)&lt;=0),"",IF(IF($I28="",5000,$I28)&gt;0,$BF28/(IF($G28="",5000,$G28)*IF($H28="",5000,$H28)*IF($I28="",5000,$I28))/1E-024/6.022E+023/0.000000001,""))</f>
        <v/>
      </c>
      <c r="BU28" s="29" t="str">
        <f aca="false">IF(Calc!M28=0,"",IF(Calc!K28&gt;=1,"✖ saturated (B ≥ freq.)",IF(Calc!K28&gt;0.1,"⚠ B &gt; 10% of freq.",IF(Calc!K28=0,"⚠ no brightness",IF(Calc!L28&gt;0.1,"⚠ step &gt; 10% of wr",IF(OR(AND(N($BI28)&gt;0,IF($O28="",1,$O28)&lt;3),AND(N($BH28)&gt;0,IF($O28="",1,$O28)&lt;2)),"⚠ uses a colour above Colours = "&amp;IF($O28="",1,$O28)&amp;" (ignored)",IF(AND($BM28&lt;&gt;"",$BM28&lt;&gt;"No FRET",N(IF($O28="",1,$O28))&lt;2),"⚠ FRET needs ≥ 2 colours",IF(AND($BM28&lt;&gt;"",$BM28&lt;&gt;"No FRET",N($BN28)+N($BO28)+N($BP28)=0),"⚠ FRET: set R","✔ OK"))))))))</f>
        <v/>
      </c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7" t="str">
        <f aca="false">IF(OR($CE28="",$CE28="No FRET",N($CF28)&lt;=0,N(IF($AI28="",63,$AI28))&lt;=0),"",1/(1+($CF28/IF($AI28="",63,$AI28))^6))</f>
        <v/>
      </c>
      <c r="CJ28" s="27" t="str">
        <f aca="false">IF(OR($CE28="",$CE28="No FRET",N($CG28)&lt;=0,N(IF($AJ28="",51,$AJ28))&lt;=0),"",1/(1+($CG28/IF($AJ28="",51,$AJ28))^6))</f>
        <v/>
      </c>
      <c r="CK28" s="27" t="str">
        <f aca="false">IF(OR($CE28="",$CE28="No FRET",N($CH28)&lt;=0,N(IF($AK28="",68,$AK28))&lt;=0),"",1/(1+($CH28/IF($AK28="",68,$AK28))^6))</f>
        <v/>
      </c>
      <c r="CL28" s="28" t="str">
        <f aca="false">IF(OR($A28="",N($BX28)&lt;=0),"",IF(IF($I28="",5000,$I28)&gt;0,$BX28/(IF($G28="",5000,$G28)*IF($H28="",5000,$H28)*IF($I28="",5000,$I28))/1E-024/6.022E+023/0.000000001,""))</f>
        <v/>
      </c>
      <c r="CM28" s="29" t="str">
        <f aca="false">IF(Calc!S28=0,"",IF(Calc!Q28&gt;=1,"✖ saturated (B ≥ freq.)",IF(Calc!Q28&gt;0.1,"⚠ B &gt; 10% of freq.",IF(Calc!Q28=0,"⚠ no brightness",IF(Calc!R28&gt;0.1,"⚠ step &gt; 10% of wr",IF(OR(AND(N($CA28)&gt;0,IF($O28="",1,$O28)&lt;3),AND(N($BZ28)&gt;0,IF($O28="",1,$O28)&lt;2)),"⚠ uses a colour above Colours = "&amp;IF($O28="",1,$O28)&amp;" (ignored)",IF(AND($CE28&lt;&gt;"",$CE28&lt;&gt;"No FRET",N(IF($O28="",1,$O28))&lt;2),"⚠ FRET needs ≥ 2 colours",IF(AND($CE28&lt;&gt;"",$CE28&lt;&gt;"No FRET",N($CF28)+N($CG28)+N($CH28)=0),"⚠ FRET: set R","✔ OK"))))))))</f>
        <v/>
      </c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7" t="str">
        <f aca="false">IF(OR($CW28="",$CW28="No FRET",N($CX28)&lt;=0,N(IF($AI28="",63,$AI28))&lt;=0),"",1/(1+($CX28/IF($AI28="",63,$AI28))^6))</f>
        <v/>
      </c>
      <c r="DB28" s="27" t="str">
        <f aca="false">IF(OR($CW28="",$CW28="No FRET",N($CY28)&lt;=0,N(IF($AJ28="",51,$AJ28))&lt;=0),"",1/(1+($CY28/IF($AJ28="",51,$AJ28))^6))</f>
        <v/>
      </c>
      <c r="DC28" s="27" t="str">
        <f aca="false">IF(OR($CW28="",$CW28="No FRET",N($CZ28)&lt;=0,N(IF($AK28="",68,$AK28))&lt;=0),"",1/(1+($CZ28/IF($AK28="",68,$AK28))^6))</f>
        <v/>
      </c>
      <c r="DD28" s="28" t="str">
        <f aca="false">IF(OR($A28="",N($CP28)&lt;=0),"",IF(IF($I28="",5000,$I28)&gt;0,$CP28/(IF($G28="",5000,$G28)*IF($H28="",5000,$H28)*IF($I28="",5000,$I28))/1E-024/6.022E+023/0.000000001,""))</f>
        <v/>
      </c>
      <c r="DE28" s="29" t="str">
        <f aca="false">IF(Calc!Y28=0,"",IF(Calc!W28&gt;=1,"✖ saturated (B ≥ freq.)",IF(Calc!W28&gt;0.1,"⚠ B &gt; 10% of freq.",IF(Calc!W28=0,"⚠ no brightness",IF(Calc!X28&gt;0.1,"⚠ step &gt; 10% of wr",IF(OR(AND(N($CS28)&gt;0,IF($O28="",1,$O28)&lt;3),AND(N($CR28)&gt;0,IF($O28="",1,$O28)&lt;2)),"⚠ uses a colour above Colours = "&amp;IF($O28="",1,$O28)&amp;" (ignored)",IF(AND($CW28&lt;&gt;"",$CW28&lt;&gt;"No FRET",N(IF($O28="",1,$O28))&lt;2),"⚠ FRET needs ≥ 2 colours",IF(AND($CW28&lt;&gt;"",$CW28&lt;&gt;"No FRET",N($CX28)+N($CY28)+N($CZ28)=0),"⚠ FRET: set R","✔ OK"))))))))</f>
        <v/>
      </c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7" t="str">
        <f aca="false">IF(OR($DO28="",$DO28="No FRET",N($DP28)&lt;=0,N(IF($AI28="",63,$AI28))&lt;=0),"",1/(1+($DP28/IF($AI28="",63,$AI28))^6))</f>
        <v/>
      </c>
      <c r="DT28" s="27" t="str">
        <f aca="false">IF(OR($DO28="",$DO28="No FRET",N($DQ28)&lt;=0,N(IF($AJ28="",51,$AJ28))&lt;=0),"",1/(1+($DQ28/IF($AJ28="",51,$AJ28))^6))</f>
        <v/>
      </c>
      <c r="DU28" s="27" t="str">
        <f aca="false">IF(OR($DO28="",$DO28="No FRET",N($DR28)&lt;=0,N(IF($AK28="",68,$AK28))&lt;=0),"",1/(1+($DR28/IF($AK28="",68,$AK28))^6))</f>
        <v/>
      </c>
      <c r="DV28" s="28" t="str">
        <f aca="false">IF(OR($A28="",N($DH28)&lt;=0),"",IF(IF($I28="",5000,$I28)&gt;0,$DH28/(IF($G28="",5000,$G28)*IF($H28="",5000,$H28)*IF($I28="",5000,$I28))/1E-024/6.022E+023/0.000000001,""))</f>
        <v/>
      </c>
      <c r="DW28" s="29" t="str">
        <f aca="false">IF(Calc!AE28=0,"",IF(Calc!AC28&gt;=1,"✖ saturated (B ≥ freq.)",IF(Calc!AC28&gt;0.1,"⚠ B &gt; 10% of freq.",IF(Calc!AC28=0,"⚠ no brightness",IF(Calc!AD28&gt;0.1,"⚠ step &gt; 10% of wr",IF(OR(AND(N($DK28)&gt;0,IF($O28="",1,$O28)&lt;3),AND(N($DJ28)&gt;0,IF($O28="",1,$O28)&lt;2)),"⚠ uses a colour above Colours = "&amp;IF($O28="",1,$O28)&amp;" (ignored)",IF(AND($DO28&lt;&gt;"",$DO28&lt;&gt;"No FRET",N(IF($O28="",1,$O28))&lt;2),"⚠ FRET needs ≥ 2 colours",IF(AND($DO28&lt;&gt;"",$DO28&lt;&gt;"No FRET",N($DP28)+N($DQ28)+N($DR28)=0),"⚠ FRET: set R","✔ OK"))))))))</f>
        <v/>
      </c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7" t="str">
        <f aca="false">IF(OR($EG28="",$EG28="No FRET",N($EH28)&lt;=0,N(IF($AI28="",63,$AI28))&lt;=0),"",1/(1+($EH28/IF($AI28="",63,$AI28))^6))</f>
        <v/>
      </c>
      <c r="EL28" s="27" t="str">
        <f aca="false">IF(OR($EG28="",$EG28="No FRET",N($EI28)&lt;=0,N(IF($AJ28="",51,$AJ28))&lt;=0),"",1/(1+($EI28/IF($AJ28="",51,$AJ28))^6))</f>
        <v/>
      </c>
      <c r="EM28" s="27" t="str">
        <f aca="false">IF(OR($EG28="",$EG28="No FRET",N($EJ28)&lt;=0,N(IF($AK28="",68,$AK28))&lt;=0),"",1/(1+($EJ28/IF($AK28="",68,$AK28))^6))</f>
        <v/>
      </c>
      <c r="EN28" s="28" t="str">
        <f aca="false">IF(OR($A28="",N($DZ28)&lt;=0),"",IF(IF($I28="",5000,$I28)&gt;0,$DZ28/(IF($G28="",5000,$G28)*IF($H28="",5000,$H28)*IF($I28="",5000,$I28))/1E-024/6.022E+023/0.000000001,""))</f>
        <v/>
      </c>
      <c r="EO28" s="29" t="str">
        <f aca="false">IF(Calc!AK28=0,"",IF(Calc!AI28&gt;=1,"✖ saturated (B ≥ freq.)",IF(Calc!AI28&gt;0.1,"⚠ B &gt; 10% of freq.",IF(Calc!AI28=0,"⚠ no brightness",IF(Calc!AJ28&gt;0.1,"⚠ step &gt; 10% of wr",IF(OR(AND(N($EC28)&gt;0,IF($O28="",1,$O28)&lt;3),AND(N($EB28)&gt;0,IF($O28="",1,$O28)&lt;2)),"⚠ uses a colour above Colours = "&amp;IF($O28="",1,$O28)&amp;" (ignored)",IF(AND($EG28&lt;&gt;"",$EG28&lt;&gt;"No FRET",N(IF($O28="",1,$O28))&lt;2),"⚠ FRET needs ≥ 2 colours",IF(AND($EG28&lt;&gt;"",$EG28&lt;&gt;"No FRET",N($EH28)+N($EI28)+N($EJ28)=0),"⚠ FRET: set R","✔ OK"))))))))</f>
        <v/>
      </c>
      <c r="EP28" s="30" t="str">
        <f aca="false">IF($A28="","",SUM(Calc!G28,Calc!M28,Calc!S28,Calc!Y28,Calc!AE28,Calc!AK28))</f>
        <v/>
      </c>
      <c r="EQ28" s="30" t="str">
        <f aca="false">IF($A28="","",N($AN28)+N($BF28)+N($BX28)+N($CP28)+N($DH28)+N($DZ28))</f>
        <v/>
      </c>
      <c r="ER28" s="31" t="str">
        <f aca="false">IF($A28="","",SUM(Calc!B28,Calc!H28,Calc!N28,Calc!T28,Calc!Z28,Calc!AF28))</f>
        <v/>
      </c>
      <c r="ES28" s="31" t="str">
        <f aca="false">IF($A28="","",SUM(Calc!C28,Calc!I28,Calc!O28,Calc!U28,Calc!AA28,Calc!AG28))</f>
        <v/>
      </c>
      <c r="ET28" s="31" t="str">
        <f aca="false">IF($A28="","",SUM(Calc!D28,Calc!J28,Calc!P28,Calc!V28,Calc!AB28,Calc!AH28))</f>
        <v/>
      </c>
      <c r="EU28" s="27" t="str">
        <f aca="false">IF($A28="","",($ER28+$ES28+$ET28+IF($P28="Yes",N($Q28)*N(IF($O28="",1,$O28)),0))*1000*IF($K28="",10,$K28)/1000000)</f>
        <v/>
      </c>
      <c r="EV28" s="28" t="str">
        <f aca="false">IF($A28="","",$EU28*1000000*12/1000000000)</f>
        <v/>
      </c>
      <c r="EW28" s="32" t="str">
        <f aca="false">IF($A28="","",IF($EP28=0,"⚠ no species entered",IF(((LEFT($BC28,1)="✖")+(LEFT($BU28,1)="✖")+(LEFT($CM28,1)="✖")+(LEFT($DE28,1)="✖")+(LEFT($DW28,1)="✖")+(LEFT($EO28,1)="✖"))&gt;0,"✖ "&amp;((LEFT($BC28,1)="✖")+(LEFT($BU28,1)="✖")+(LEFT($CM28,1)="✖")+(LEFT($DE28,1)="✖")+(LEFT($DW28,1)="✖")+(LEFT($EO28,1)="✖"))&amp;" species saturated - see the species checks",IF(MIN(IF($G28="",5000,$G28),IF($H28="",5000,$H28))&lt;8*MAX(IF($T28="",200,$T28),IF($U28="",200,$U28),IF($V28="",200,$V28)),"⚠ box too small laterally (&lt; 8·wr)",IF(AND(IF($I28="",5000,$I28)&gt;0,IF($I28="",5000,$I28)&lt;3*MAX(IF($W28="",1000,$W28),IF($X28="",1000,$X28),IF($Y28="",1000,$Y28))),"⚠ box too small axially (&lt; 3·wz)",IF($EV28&gt;8,"⚠ &gt; 8 GB per file: shorten the duration and use several files",IF(((LEFT($BC28,1)="⚠")+(LEFT($BU28,1)="⚠")+(LEFT($CM28,1)="⚠")+(LEFT($DE28,1)="⚠")+(LEFT($DW28,1)="⚠")+(LEFT($EO28,1)="⚠"))&gt;0,"⚠ "&amp;((LEFT($BC28,1)="⚠")+(LEFT($BU28,1)="⚠")+(LEFT($CM28,1)="⚠")+(LEFT($DE28,1)="⚠")+(LEFT($DW28,1)="⚠")+(LEFT($EO28,1)="⚠"))&amp;" species with a warning","✔ OK")))))))</f>
        <v/>
      </c>
      <c r="EX28" s="25"/>
      <c r="EY28" s="25"/>
      <c r="EZ28" s="25"/>
      <c r="FA28" s="25"/>
      <c r="FB28" s="25"/>
      <c r="FC28" s="25"/>
      <c r="FD28" s="25"/>
      <c r="FE28" s="26"/>
    </row>
    <row r="29" customFormat="false" ht="15" hidden="false" customHeight="false" outlineLevel="0" collapsed="false">
      <c r="A29" s="25"/>
      <c r="B29" s="25"/>
      <c r="C29" s="26"/>
      <c r="D29" s="26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7" t="str">
        <f aca="false">IF(OR($AU29="",$AU29="No FRET",N($AV29)&lt;=0,N(IF($AI29="",63,$AI29))&lt;=0),"",1/(1+($AV29/IF($AI29="",63,$AI29))^6))</f>
        <v/>
      </c>
      <c r="AZ29" s="27" t="str">
        <f aca="false">IF(OR($AU29="",$AU29="No FRET",N($AW29)&lt;=0,N(IF($AJ29="",51,$AJ29))&lt;=0),"",1/(1+($AW29/IF($AJ29="",51,$AJ29))^6))</f>
        <v/>
      </c>
      <c r="BA29" s="27" t="str">
        <f aca="false">IF(OR($AU29="",$AU29="No FRET",N($AX29)&lt;=0,N(IF($AK29="",68,$AK29))&lt;=0),"",1/(1+($AX29/IF($AK29="",68,$AK29))^6))</f>
        <v/>
      </c>
      <c r="BB29" s="28" t="str">
        <f aca="false">IF(OR($A29="",N($AN29)&lt;=0),"",IF(IF($I29="",5000,$I29)&gt;0,$AN29/(IF($G29="",5000,$G29)*IF($H29="",5000,$H29)*IF($I29="",5000,$I29))/1E-024/6.022E+023/0.000000001,""))</f>
        <v/>
      </c>
      <c r="BC29" s="29" t="str">
        <f aca="false">IF(Calc!G29=0,"",IF(Calc!E29&gt;=1,"✖ saturated (B ≥ freq.)",IF(Calc!E29&gt;0.1,"⚠ B &gt; 10% of freq.",IF(Calc!E29=0,"⚠ no brightness",IF(Calc!F29&gt;0.1,"⚠ step &gt; 10% of wr",IF(OR(AND(N($AQ29)&gt;0,IF($O29="",1,$O29)&lt;3),AND(N($AP29)&gt;0,IF($O29="",1,$O29)&lt;2)),"⚠ uses a colour above Colours = "&amp;IF($O29="",1,$O29)&amp;" (ignored)",IF(AND($AU29&lt;&gt;"",$AU29&lt;&gt;"No FRET",N(IF($O29="",1,$O29))&lt;2),"⚠ FRET needs ≥ 2 colours",IF(AND($AU29&lt;&gt;"",$AU29&lt;&gt;"No FRET",N($AV29)+N($AW29)+N($AX29)=0),"⚠ FRET: set R","✔ OK"))))))))</f>
        <v/>
      </c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7" t="str">
        <f aca="false">IF(OR($BM29="",$BM29="No FRET",N($BN29)&lt;=0,N(IF($AI29="",63,$AI29))&lt;=0),"",1/(1+($BN29/IF($AI29="",63,$AI29))^6))</f>
        <v/>
      </c>
      <c r="BR29" s="27" t="str">
        <f aca="false">IF(OR($BM29="",$BM29="No FRET",N($BO29)&lt;=0,N(IF($AJ29="",51,$AJ29))&lt;=0),"",1/(1+($BO29/IF($AJ29="",51,$AJ29))^6))</f>
        <v/>
      </c>
      <c r="BS29" s="27" t="str">
        <f aca="false">IF(OR($BM29="",$BM29="No FRET",N($BP29)&lt;=0,N(IF($AK29="",68,$AK29))&lt;=0),"",1/(1+($BP29/IF($AK29="",68,$AK29))^6))</f>
        <v/>
      </c>
      <c r="BT29" s="28" t="str">
        <f aca="false">IF(OR($A29="",N($BF29)&lt;=0),"",IF(IF($I29="",5000,$I29)&gt;0,$BF29/(IF($G29="",5000,$G29)*IF($H29="",5000,$H29)*IF($I29="",5000,$I29))/1E-024/6.022E+023/0.000000001,""))</f>
        <v/>
      </c>
      <c r="BU29" s="29" t="str">
        <f aca="false">IF(Calc!M29=0,"",IF(Calc!K29&gt;=1,"✖ saturated (B ≥ freq.)",IF(Calc!K29&gt;0.1,"⚠ B &gt; 10% of freq.",IF(Calc!K29=0,"⚠ no brightness",IF(Calc!L29&gt;0.1,"⚠ step &gt; 10% of wr",IF(OR(AND(N($BI29)&gt;0,IF($O29="",1,$O29)&lt;3),AND(N($BH29)&gt;0,IF($O29="",1,$O29)&lt;2)),"⚠ uses a colour above Colours = "&amp;IF($O29="",1,$O29)&amp;" (ignored)",IF(AND($BM29&lt;&gt;"",$BM29&lt;&gt;"No FRET",N(IF($O29="",1,$O29))&lt;2),"⚠ FRET needs ≥ 2 colours",IF(AND($BM29&lt;&gt;"",$BM29&lt;&gt;"No FRET",N($BN29)+N($BO29)+N($BP29)=0),"⚠ FRET: set R","✔ OK"))))))))</f>
        <v/>
      </c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7" t="str">
        <f aca="false">IF(OR($CE29="",$CE29="No FRET",N($CF29)&lt;=0,N(IF($AI29="",63,$AI29))&lt;=0),"",1/(1+($CF29/IF($AI29="",63,$AI29))^6))</f>
        <v/>
      </c>
      <c r="CJ29" s="27" t="str">
        <f aca="false">IF(OR($CE29="",$CE29="No FRET",N($CG29)&lt;=0,N(IF($AJ29="",51,$AJ29))&lt;=0),"",1/(1+($CG29/IF($AJ29="",51,$AJ29))^6))</f>
        <v/>
      </c>
      <c r="CK29" s="27" t="str">
        <f aca="false">IF(OR($CE29="",$CE29="No FRET",N($CH29)&lt;=0,N(IF($AK29="",68,$AK29))&lt;=0),"",1/(1+($CH29/IF($AK29="",68,$AK29))^6))</f>
        <v/>
      </c>
      <c r="CL29" s="28" t="str">
        <f aca="false">IF(OR($A29="",N($BX29)&lt;=0),"",IF(IF($I29="",5000,$I29)&gt;0,$BX29/(IF($G29="",5000,$G29)*IF($H29="",5000,$H29)*IF($I29="",5000,$I29))/1E-024/6.022E+023/0.000000001,""))</f>
        <v/>
      </c>
      <c r="CM29" s="29" t="str">
        <f aca="false">IF(Calc!S29=0,"",IF(Calc!Q29&gt;=1,"✖ saturated (B ≥ freq.)",IF(Calc!Q29&gt;0.1,"⚠ B &gt; 10% of freq.",IF(Calc!Q29=0,"⚠ no brightness",IF(Calc!R29&gt;0.1,"⚠ step &gt; 10% of wr",IF(OR(AND(N($CA29)&gt;0,IF($O29="",1,$O29)&lt;3),AND(N($BZ29)&gt;0,IF($O29="",1,$O29)&lt;2)),"⚠ uses a colour above Colours = "&amp;IF($O29="",1,$O29)&amp;" (ignored)",IF(AND($CE29&lt;&gt;"",$CE29&lt;&gt;"No FRET",N(IF($O29="",1,$O29))&lt;2),"⚠ FRET needs ≥ 2 colours",IF(AND($CE29&lt;&gt;"",$CE29&lt;&gt;"No FRET",N($CF29)+N($CG29)+N($CH29)=0),"⚠ FRET: set R","✔ OK"))))))))</f>
        <v/>
      </c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7" t="str">
        <f aca="false">IF(OR($CW29="",$CW29="No FRET",N($CX29)&lt;=0,N(IF($AI29="",63,$AI29))&lt;=0),"",1/(1+($CX29/IF($AI29="",63,$AI29))^6))</f>
        <v/>
      </c>
      <c r="DB29" s="27" t="str">
        <f aca="false">IF(OR($CW29="",$CW29="No FRET",N($CY29)&lt;=0,N(IF($AJ29="",51,$AJ29))&lt;=0),"",1/(1+($CY29/IF($AJ29="",51,$AJ29))^6))</f>
        <v/>
      </c>
      <c r="DC29" s="27" t="str">
        <f aca="false">IF(OR($CW29="",$CW29="No FRET",N($CZ29)&lt;=0,N(IF($AK29="",68,$AK29))&lt;=0),"",1/(1+($CZ29/IF($AK29="",68,$AK29))^6))</f>
        <v/>
      </c>
      <c r="DD29" s="28" t="str">
        <f aca="false">IF(OR($A29="",N($CP29)&lt;=0),"",IF(IF($I29="",5000,$I29)&gt;0,$CP29/(IF($G29="",5000,$G29)*IF($H29="",5000,$H29)*IF($I29="",5000,$I29))/1E-024/6.022E+023/0.000000001,""))</f>
        <v/>
      </c>
      <c r="DE29" s="29" t="str">
        <f aca="false">IF(Calc!Y29=0,"",IF(Calc!W29&gt;=1,"✖ saturated (B ≥ freq.)",IF(Calc!W29&gt;0.1,"⚠ B &gt; 10% of freq.",IF(Calc!W29=0,"⚠ no brightness",IF(Calc!X29&gt;0.1,"⚠ step &gt; 10% of wr",IF(OR(AND(N($CS29)&gt;0,IF($O29="",1,$O29)&lt;3),AND(N($CR29)&gt;0,IF($O29="",1,$O29)&lt;2)),"⚠ uses a colour above Colours = "&amp;IF($O29="",1,$O29)&amp;" (ignored)",IF(AND($CW29&lt;&gt;"",$CW29&lt;&gt;"No FRET",N(IF($O29="",1,$O29))&lt;2),"⚠ FRET needs ≥ 2 colours",IF(AND($CW29&lt;&gt;"",$CW29&lt;&gt;"No FRET",N($CX29)+N($CY29)+N($CZ29)=0),"⚠ FRET: set R","✔ OK"))))))))</f>
        <v/>
      </c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7" t="str">
        <f aca="false">IF(OR($DO29="",$DO29="No FRET",N($DP29)&lt;=0,N(IF($AI29="",63,$AI29))&lt;=0),"",1/(1+($DP29/IF($AI29="",63,$AI29))^6))</f>
        <v/>
      </c>
      <c r="DT29" s="27" t="str">
        <f aca="false">IF(OR($DO29="",$DO29="No FRET",N($DQ29)&lt;=0,N(IF($AJ29="",51,$AJ29))&lt;=0),"",1/(1+($DQ29/IF($AJ29="",51,$AJ29))^6))</f>
        <v/>
      </c>
      <c r="DU29" s="27" t="str">
        <f aca="false">IF(OR($DO29="",$DO29="No FRET",N($DR29)&lt;=0,N(IF($AK29="",68,$AK29))&lt;=0),"",1/(1+($DR29/IF($AK29="",68,$AK29))^6))</f>
        <v/>
      </c>
      <c r="DV29" s="28" t="str">
        <f aca="false">IF(OR($A29="",N($DH29)&lt;=0),"",IF(IF($I29="",5000,$I29)&gt;0,$DH29/(IF($G29="",5000,$G29)*IF($H29="",5000,$H29)*IF($I29="",5000,$I29))/1E-024/6.022E+023/0.000000001,""))</f>
        <v/>
      </c>
      <c r="DW29" s="29" t="str">
        <f aca="false">IF(Calc!AE29=0,"",IF(Calc!AC29&gt;=1,"✖ saturated (B ≥ freq.)",IF(Calc!AC29&gt;0.1,"⚠ B &gt; 10% of freq.",IF(Calc!AC29=0,"⚠ no brightness",IF(Calc!AD29&gt;0.1,"⚠ step &gt; 10% of wr",IF(OR(AND(N($DK29)&gt;0,IF($O29="",1,$O29)&lt;3),AND(N($DJ29)&gt;0,IF($O29="",1,$O29)&lt;2)),"⚠ uses a colour above Colours = "&amp;IF($O29="",1,$O29)&amp;" (ignored)",IF(AND($DO29&lt;&gt;"",$DO29&lt;&gt;"No FRET",N(IF($O29="",1,$O29))&lt;2),"⚠ FRET needs ≥ 2 colours",IF(AND($DO29&lt;&gt;"",$DO29&lt;&gt;"No FRET",N($DP29)+N($DQ29)+N($DR29)=0),"⚠ FRET: set R","✔ OK"))))))))</f>
        <v/>
      </c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7" t="str">
        <f aca="false">IF(OR($EG29="",$EG29="No FRET",N($EH29)&lt;=0,N(IF($AI29="",63,$AI29))&lt;=0),"",1/(1+($EH29/IF($AI29="",63,$AI29))^6))</f>
        <v/>
      </c>
      <c r="EL29" s="27" t="str">
        <f aca="false">IF(OR($EG29="",$EG29="No FRET",N($EI29)&lt;=0,N(IF($AJ29="",51,$AJ29))&lt;=0),"",1/(1+($EI29/IF($AJ29="",51,$AJ29))^6))</f>
        <v/>
      </c>
      <c r="EM29" s="27" t="str">
        <f aca="false">IF(OR($EG29="",$EG29="No FRET",N($EJ29)&lt;=0,N(IF($AK29="",68,$AK29))&lt;=0),"",1/(1+($EJ29/IF($AK29="",68,$AK29))^6))</f>
        <v/>
      </c>
      <c r="EN29" s="28" t="str">
        <f aca="false">IF(OR($A29="",N($DZ29)&lt;=0),"",IF(IF($I29="",5000,$I29)&gt;0,$DZ29/(IF($G29="",5000,$G29)*IF($H29="",5000,$H29)*IF($I29="",5000,$I29))/1E-024/6.022E+023/0.000000001,""))</f>
        <v/>
      </c>
      <c r="EO29" s="29" t="str">
        <f aca="false">IF(Calc!AK29=0,"",IF(Calc!AI29&gt;=1,"✖ saturated (B ≥ freq.)",IF(Calc!AI29&gt;0.1,"⚠ B &gt; 10% of freq.",IF(Calc!AI29=0,"⚠ no brightness",IF(Calc!AJ29&gt;0.1,"⚠ step &gt; 10% of wr",IF(OR(AND(N($EC29)&gt;0,IF($O29="",1,$O29)&lt;3),AND(N($EB29)&gt;0,IF($O29="",1,$O29)&lt;2)),"⚠ uses a colour above Colours = "&amp;IF($O29="",1,$O29)&amp;" (ignored)",IF(AND($EG29&lt;&gt;"",$EG29&lt;&gt;"No FRET",N(IF($O29="",1,$O29))&lt;2),"⚠ FRET needs ≥ 2 colours",IF(AND($EG29&lt;&gt;"",$EG29&lt;&gt;"No FRET",N($EH29)+N($EI29)+N($EJ29)=0),"⚠ FRET: set R","✔ OK"))))))))</f>
        <v/>
      </c>
      <c r="EP29" s="30" t="str">
        <f aca="false">IF($A29="","",SUM(Calc!G29,Calc!M29,Calc!S29,Calc!Y29,Calc!AE29,Calc!AK29))</f>
        <v/>
      </c>
      <c r="EQ29" s="30" t="str">
        <f aca="false">IF($A29="","",N($AN29)+N($BF29)+N($BX29)+N($CP29)+N($DH29)+N($DZ29))</f>
        <v/>
      </c>
      <c r="ER29" s="31" t="str">
        <f aca="false">IF($A29="","",SUM(Calc!B29,Calc!H29,Calc!N29,Calc!T29,Calc!Z29,Calc!AF29))</f>
        <v/>
      </c>
      <c r="ES29" s="31" t="str">
        <f aca="false">IF($A29="","",SUM(Calc!C29,Calc!I29,Calc!O29,Calc!U29,Calc!AA29,Calc!AG29))</f>
        <v/>
      </c>
      <c r="ET29" s="31" t="str">
        <f aca="false">IF($A29="","",SUM(Calc!D29,Calc!J29,Calc!P29,Calc!V29,Calc!AB29,Calc!AH29))</f>
        <v/>
      </c>
      <c r="EU29" s="27" t="str">
        <f aca="false">IF($A29="","",($ER29+$ES29+$ET29+IF($P29="Yes",N($Q29)*N(IF($O29="",1,$O29)),0))*1000*IF($K29="",10,$K29)/1000000)</f>
        <v/>
      </c>
      <c r="EV29" s="28" t="str">
        <f aca="false">IF($A29="","",$EU29*1000000*12/1000000000)</f>
        <v/>
      </c>
      <c r="EW29" s="32" t="str">
        <f aca="false">IF($A29="","",IF($EP29=0,"⚠ no species entered",IF(((LEFT($BC29,1)="✖")+(LEFT($BU29,1)="✖")+(LEFT($CM29,1)="✖")+(LEFT($DE29,1)="✖")+(LEFT($DW29,1)="✖")+(LEFT($EO29,1)="✖"))&gt;0,"✖ "&amp;((LEFT($BC29,1)="✖")+(LEFT($BU29,1)="✖")+(LEFT($CM29,1)="✖")+(LEFT($DE29,1)="✖")+(LEFT($DW29,1)="✖")+(LEFT($EO29,1)="✖"))&amp;" species saturated - see the species checks",IF(MIN(IF($G29="",5000,$G29),IF($H29="",5000,$H29))&lt;8*MAX(IF($T29="",200,$T29),IF($U29="",200,$U29),IF($V29="",200,$V29)),"⚠ box too small laterally (&lt; 8·wr)",IF(AND(IF($I29="",5000,$I29)&gt;0,IF($I29="",5000,$I29)&lt;3*MAX(IF($W29="",1000,$W29),IF($X29="",1000,$X29),IF($Y29="",1000,$Y29))),"⚠ box too small axially (&lt; 3·wz)",IF($EV29&gt;8,"⚠ &gt; 8 GB per file: shorten the duration and use several files",IF(((LEFT($BC29,1)="⚠")+(LEFT($BU29,1)="⚠")+(LEFT($CM29,1)="⚠")+(LEFT($DE29,1)="⚠")+(LEFT($DW29,1)="⚠")+(LEFT($EO29,1)="⚠"))&gt;0,"⚠ "&amp;((LEFT($BC29,1)="⚠")+(LEFT($BU29,1)="⚠")+(LEFT($CM29,1)="⚠")+(LEFT($DE29,1)="⚠")+(LEFT($DW29,1)="⚠")+(LEFT($EO29,1)="⚠"))&amp;" species with a warning","✔ OK")))))))</f>
        <v/>
      </c>
      <c r="EX29" s="25"/>
      <c r="EY29" s="25"/>
      <c r="EZ29" s="25"/>
      <c r="FA29" s="25"/>
      <c r="FB29" s="25"/>
      <c r="FC29" s="25"/>
      <c r="FD29" s="25"/>
      <c r="FE29" s="26"/>
    </row>
    <row r="30" customFormat="false" ht="15" hidden="false" customHeight="false" outlineLevel="0" collapsed="false">
      <c r="A30" s="25"/>
      <c r="B30" s="25"/>
      <c r="C30" s="26"/>
      <c r="D30" s="26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7" t="str">
        <f aca="false">IF(OR($AU30="",$AU30="No FRET",N($AV30)&lt;=0,N(IF($AI30="",63,$AI30))&lt;=0),"",1/(1+($AV30/IF($AI30="",63,$AI30))^6))</f>
        <v/>
      </c>
      <c r="AZ30" s="27" t="str">
        <f aca="false">IF(OR($AU30="",$AU30="No FRET",N($AW30)&lt;=0,N(IF($AJ30="",51,$AJ30))&lt;=0),"",1/(1+($AW30/IF($AJ30="",51,$AJ30))^6))</f>
        <v/>
      </c>
      <c r="BA30" s="27" t="str">
        <f aca="false">IF(OR($AU30="",$AU30="No FRET",N($AX30)&lt;=0,N(IF($AK30="",68,$AK30))&lt;=0),"",1/(1+($AX30/IF($AK30="",68,$AK30))^6))</f>
        <v/>
      </c>
      <c r="BB30" s="28" t="str">
        <f aca="false">IF(OR($A30="",N($AN30)&lt;=0),"",IF(IF($I30="",5000,$I30)&gt;0,$AN30/(IF($G30="",5000,$G30)*IF($H30="",5000,$H30)*IF($I30="",5000,$I30))/1E-024/6.022E+023/0.000000001,""))</f>
        <v/>
      </c>
      <c r="BC30" s="29" t="str">
        <f aca="false">IF(Calc!G30=0,"",IF(Calc!E30&gt;=1,"✖ saturated (B ≥ freq.)",IF(Calc!E30&gt;0.1,"⚠ B &gt; 10% of freq.",IF(Calc!E30=0,"⚠ no brightness",IF(Calc!F30&gt;0.1,"⚠ step &gt; 10% of wr",IF(OR(AND(N($AQ30)&gt;0,IF($O30="",1,$O30)&lt;3),AND(N($AP30)&gt;0,IF($O30="",1,$O30)&lt;2)),"⚠ uses a colour above Colours = "&amp;IF($O30="",1,$O30)&amp;" (ignored)",IF(AND($AU30&lt;&gt;"",$AU30&lt;&gt;"No FRET",N(IF($O30="",1,$O30))&lt;2),"⚠ FRET needs ≥ 2 colours",IF(AND($AU30&lt;&gt;"",$AU30&lt;&gt;"No FRET",N($AV30)+N($AW30)+N($AX30)=0),"⚠ FRET: set R","✔ OK"))))))))</f>
        <v/>
      </c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7" t="str">
        <f aca="false">IF(OR($BM30="",$BM30="No FRET",N($BN30)&lt;=0,N(IF($AI30="",63,$AI30))&lt;=0),"",1/(1+($BN30/IF($AI30="",63,$AI30))^6))</f>
        <v/>
      </c>
      <c r="BR30" s="27" t="str">
        <f aca="false">IF(OR($BM30="",$BM30="No FRET",N($BO30)&lt;=0,N(IF($AJ30="",51,$AJ30))&lt;=0),"",1/(1+($BO30/IF($AJ30="",51,$AJ30))^6))</f>
        <v/>
      </c>
      <c r="BS30" s="27" t="str">
        <f aca="false">IF(OR($BM30="",$BM30="No FRET",N($BP30)&lt;=0,N(IF($AK30="",68,$AK30))&lt;=0),"",1/(1+($BP30/IF($AK30="",68,$AK30))^6))</f>
        <v/>
      </c>
      <c r="BT30" s="28" t="str">
        <f aca="false">IF(OR($A30="",N($BF30)&lt;=0),"",IF(IF($I30="",5000,$I30)&gt;0,$BF30/(IF($G30="",5000,$G30)*IF($H30="",5000,$H30)*IF($I30="",5000,$I30))/1E-024/6.022E+023/0.000000001,""))</f>
        <v/>
      </c>
      <c r="BU30" s="29" t="str">
        <f aca="false">IF(Calc!M30=0,"",IF(Calc!K30&gt;=1,"✖ saturated (B ≥ freq.)",IF(Calc!K30&gt;0.1,"⚠ B &gt; 10% of freq.",IF(Calc!K30=0,"⚠ no brightness",IF(Calc!L30&gt;0.1,"⚠ step &gt; 10% of wr",IF(OR(AND(N($BI30)&gt;0,IF($O30="",1,$O30)&lt;3),AND(N($BH30)&gt;0,IF($O30="",1,$O30)&lt;2)),"⚠ uses a colour above Colours = "&amp;IF($O30="",1,$O30)&amp;" (ignored)",IF(AND($BM30&lt;&gt;"",$BM30&lt;&gt;"No FRET",N(IF($O30="",1,$O30))&lt;2),"⚠ FRET needs ≥ 2 colours",IF(AND($BM30&lt;&gt;"",$BM30&lt;&gt;"No FRET",N($BN30)+N($BO30)+N($BP30)=0),"⚠ FRET: set R","✔ OK"))))))))</f>
        <v/>
      </c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7" t="str">
        <f aca="false">IF(OR($CE30="",$CE30="No FRET",N($CF30)&lt;=0,N(IF($AI30="",63,$AI30))&lt;=0),"",1/(1+($CF30/IF($AI30="",63,$AI30))^6))</f>
        <v/>
      </c>
      <c r="CJ30" s="27" t="str">
        <f aca="false">IF(OR($CE30="",$CE30="No FRET",N($CG30)&lt;=0,N(IF($AJ30="",51,$AJ30))&lt;=0),"",1/(1+($CG30/IF($AJ30="",51,$AJ30))^6))</f>
        <v/>
      </c>
      <c r="CK30" s="27" t="str">
        <f aca="false">IF(OR($CE30="",$CE30="No FRET",N($CH30)&lt;=0,N(IF($AK30="",68,$AK30))&lt;=0),"",1/(1+($CH30/IF($AK30="",68,$AK30))^6))</f>
        <v/>
      </c>
      <c r="CL30" s="28" t="str">
        <f aca="false">IF(OR($A30="",N($BX30)&lt;=0),"",IF(IF($I30="",5000,$I30)&gt;0,$BX30/(IF($G30="",5000,$G30)*IF($H30="",5000,$H30)*IF($I30="",5000,$I30))/1E-024/6.022E+023/0.000000001,""))</f>
        <v/>
      </c>
      <c r="CM30" s="29" t="str">
        <f aca="false">IF(Calc!S30=0,"",IF(Calc!Q30&gt;=1,"✖ saturated (B ≥ freq.)",IF(Calc!Q30&gt;0.1,"⚠ B &gt; 10% of freq.",IF(Calc!Q30=0,"⚠ no brightness",IF(Calc!R30&gt;0.1,"⚠ step &gt; 10% of wr",IF(OR(AND(N($CA30)&gt;0,IF($O30="",1,$O30)&lt;3),AND(N($BZ30)&gt;0,IF($O30="",1,$O30)&lt;2)),"⚠ uses a colour above Colours = "&amp;IF($O30="",1,$O30)&amp;" (ignored)",IF(AND($CE30&lt;&gt;"",$CE30&lt;&gt;"No FRET",N(IF($O30="",1,$O30))&lt;2),"⚠ FRET needs ≥ 2 colours",IF(AND($CE30&lt;&gt;"",$CE30&lt;&gt;"No FRET",N($CF30)+N($CG30)+N($CH30)=0),"⚠ FRET: set R","✔ OK"))))))))</f>
        <v/>
      </c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7" t="str">
        <f aca="false">IF(OR($CW30="",$CW30="No FRET",N($CX30)&lt;=0,N(IF($AI30="",63,$AI30))&lt;=0),"",1/(1+($CX30/IF($AI30="",63,$AI30))^6))</f>
        <v/>
      </c>
      <c r="DB30" s="27" t="str">
        <f aca="false">IF(OR($CW30="",$CW30="No FRET",N($CY30)&lt;=0,N(IF($AJ30="",51,$AJ30))&lt;=0),"",1/(1+($CY30/IF($AJ30="",51,$AJ30))^6))</f>
        <v/>
      </c>
      <c r="DC30" s="27" t="str">
        <f aca="false">IF(OR($CW30="",$CW30="No FRET",N($CZ30)&lt;=0,N(IF($AK30="",68,$AK30))&lt;=0),"",1/(1+($CZ30/IF($AK30="",68,$AK30))^6))</f>
        <v/>
      </c>
      <c r="DD30" s="28" t="str">
        <f aca="false">IF(OR($A30="",N($CP30)&lt;=0),"",IF(IF($I30="",5000,$I30)&gt;0,$CP30/(IF($G30="",5000,$G30)*IF($H30="",5000,$H30)*IF($I30="",5000,$I30))/1E-024/6.022E+023/0.000000001,""))</f>
        <v/>
      </c>
      <c r="DE30" s="29" t="str">
        <f aca="false">IF(Calc!Y30=0,"",IF(Calc!W30&gt;=1,"✖ saturated (B ≥ freq.)",IF(Calc!W30&gt;0.1,"⚠ B &gt; 10% of freq.",IF(Calc!W30=0,"⚠ no brightness",IF(Calc!X30&gt;0.1,"⚠ step &gt; 10% of wr",IF(OR(AND(N($CS30)&gt;0,IF($O30="",1,$O30)&lt;3),AND(N($CR30)&gt;0,IF($O30="",1,$O30)&lt;2)),"⚠ uses a colour above Colours = "&amp;IF($O30="",1,$O30)&amp;" (ignored)",IF(AND($CW30&lt;&gt;"",$CW30&lt;&gt;"No FRET",N(IF($O30="",1,$O30))&lt;2),"⚠ FRET needs ≥ 2 colours",IF(AND($CW30&lt;&gt;"",$CW30&lt;&gt;"No FRET",N($CX30)+N($CY30)+N($CZ30)=0),"⚠ FRET: set R","✔ OK"))))))))</f>
        <v/>
      </c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7" t="str">
        <f aca="false">IF(OR($DO30="",$DO30="No FRET",N($DP30)&lt;=0,N(IF($AI30="",63,$AI30))&lt;=0),"",1/(1+($DP30/IF($AI30="",63,$AI30))^6))</f>
        <v/>
      </c>
      <c r="DT30" s="27" t="str">
        <f aca="false">IF(OR($DO30="",$DO30="No FRET",N($DQ30)&lt;=0,N(IF($AJ30="",51,$AJ30))&lt;=0),"",1/(1+($DQ30/IF($AJ30="",51,$AJ30))^6))</f>
        <v/>
      </c>
      <c r="DU30" s="27" t="str">
        <f aca="false">IF(OR($DO30="",$DO30="No FRET",N($DR30)&lt;=0,N(IF($AK30="",68,$AK30))&lt;=0),"",1/(1+($DR30/IF($AK30="",68,$AK30))^6))</f>
        <v/>
      </c>
      <c r="DV30" s="28" t="str">
        <f aca="false">IF(OR($A30="",N($DH30)&lt;=0),"",IF(IF($I30="",5000,$I30)&gt;0,$DH30/(IF($G30="",5000,$G30)*IF($H30="",5000,$H30)*IF($I30="",5000,$I30))/1E-024/6.022E+023/0.000000001,""))</f>
        <v/>
      </c>
      <c r="DW30" s="29" t="str">
        <f aca="false">IF(Calc!AE30=0,"",IF(Calc!AC30&gt;=1,"✖ saturated (B ≥ freq.)",IF(Calc!AC30&gt;0.1,"⚠ B &gt; 10% of freq.",IF(Calc!AC30=0,"⚠ no brightness",IF(Calc!AD30&gt;0.1,"⚠ step &gt; 10% of wr",IF(OR(AND(N($DK30)&gt;0,IF($O30="",1,$O30)&lt;3),AND(N($DJ30)&gt;0,IF($O30="",1,$O30)&lt;2)),"⚠ uses a colour above Colours = "&amp;IF($O30="",1,$O30)&amp;" (ignored)",IF(AND($DO30&lt;&gt;"",$DO30&lt;&gt;"No FRET",N(IF($O30="",1,$O30))&lt;2),"⚠ FRET needs ≥ 2 colours",IF(AND($DO30&lt;&gt;"",$DO30&lt;&gt;"No FRET",N($DP30)+N($DQ30)+N($DR30)=0),"⚠ FRET: set R","✔ OK"))))))))</f>
        <v/>
      </c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7" t="str">
        <f aca="false">IF(OR($EG30="",$EG30="No FRET",N($EH30)&lt;=0,N(IF($AI30="",63,$AI30))&lt;=0),"",1/(1+($EH30/IF($AI30="",63,$AI30))^6))</f>
        <v/>
      </c>
      <c r="EL30" s="27" t="str">
        <f aca="false">IF(OR($EG30="",$EG30="No FRET",N($EI30)&lt;=0,N(IF($AJ30="",51,$AJ30))&lt;=0),"",1/(1+($EI30/IF($AJ30="",51,$AJ30))^6))</f>
        <v/>
      </c>
      <c r="EM30" s="27" t="str">
        <f aca="false">IF(OR($EG30="",$EG30="No FRET",N($EJ30)&lt;=0,N(IF($AK30="",68,$AK30))&lt;=0),"",1/(1+($EJ30/IF($AK30="",68,$AK30))^6))</f>
        <v/>
      </c>
      <c r="EN30" s="28" t="str">
        <f aca="false">IF(OR($A30="",N($DZ30)&lt;=0),"",IF(IF($I30="",5000,$I30)&gt;0,$DZ30/(IF($G30="",5000,$G30)*IF($H30="",5000,$H30)*IF($I30="",5000,$I30))/1E-024/6.022E+023/0.000000001,""))</f>
        <v/>
      </c>
      <c r="EO30" s="29" t="str">
        <f aca="false">IF(Calc!AK30=0,"",IF(Calc!AI30&gt;=1,"✖ saturated (B ≥ freq.)",IF(Calc!AI30&gt;0.1,"⚠ B &gt; 10% of freq.",IF(Calc!AI30=0,"⚠ no brightness",IF(Calc!AJ30&gt;0.1,"⚠ step &gt; 10% of wr",IF(OR(AND(N($EC30)&gt;0,IF($O30="",1,$O30)&lt;3),AND(N($EB30)&gt;0,IF($O30="",1,$O30)&lt;2)),"⚠ uses a colour above Colours = "&amp;IF($O30="",1,$O30)&amp;" (ignored)",IF(AND($EG30&lt;&gt;"",$EG30&lt;&gt;"No FRET",N(IF($O30="",1,$O30))&lt;2),"⚠ FRET needs ≥ 2 colours",IF(AND($EG30&lt;&gt;"",$EG30&lt;&gt;"No FRET",N($EH30)+N($EI30)+N($EJ30)=0),"⚠ FRET: set R","✔ OK"))))))))</f>
        <v/>
      </c>
      <c r="EP30" s="30" t="str">
        <f aca="false">IF($A30="","",SUM(Calc!G30,Calc!M30,Calc!S30,Calc!Y30,Calc!AE30,Calc!AK30))</f>
        <v/>
      </c>
      <c r="EQ30" s="30" t="str">
        <f aca="false">IF($A30="","",N($AN30)+N($BF30)+N($BX30)+N($CP30)+N($DH30)+N($DZ30))</f>
        <v/>
      </c>
      <c r="ER30" s="31" t="str">
        <f aca="false">IF($A30="","",SUM(Calc!B30,Calc!H30,Calc!N30,Calc!T30,Calc!Z30,Calc!AF30))</f>
        <v/>
      </c>
      <c r="ES30" s="31" t="str">
        <f aca="false">IF($A30="","",SUM(Calc!C30,Calc!I30,Calc!O30,Calc!U30,Calc!AA30,Calc!AG30))</f>
        <v/>
      </c>
      <c r="ET30" s="31" t="str">
        <f aca="false">IF($A30="","",SUM(Calc!D30,Calc!J30,Calc!P30,Calc!V30,Calc!AB30,Calc!AH30))</f>
        <v/>
      </c>
      <c r="EU30" s="27" t="str">
        <f aca="false">IF($A30="","",($ER30+$ES30+$ET30+IF($P30="Yes",N($Q30)*N(IF($O30="",1,$O30)),0))*1000*IF($K30="",10,$K30)/1000000)</f>
        <v/>
      </c>
      <c r="EV30" s="28" t="str">
        <f aca="false">IF($A30="","",$EU30*1000000*12/1000000000)</f>
        <v/>
      </c>
      <c r="EW30" s="32" t="str">
        <f aca="false">IF($A30="","",IF($EP30=0,"⚠ no species entered",IF(((LEFT($BC30,1)="✖")+(LEFT($BU30,1)="✖")+(LEFT($CM30,1)="✖")+(LEFT($DE30,1)="✖")+(LEFT($DW30,1)="✖")+(LEFT($EO30,1)="✖"))&gt;0,"✖ "&amp;((LEFT($BC30,1)="✖")+(LEFT($BU30,1)="✖")+(LEFT($CM30,1)="✖")+(LEFT($DE30,1)="✖")+(LEFT($DW30,1)="✖")+(LEFT($EO30,1)="✖"))&amp;" species saturated - see the species checks",IF(MIN(IF($G30="",5000,$G30),IF($H30="",5000,$H30))&lt;8*MAX(IF($T30="",200,$T30),IF($U30="",200,$U30),IF($V30="",200,$V30)),"⚠ box too small laterally (&lt; 8·wr)",IF(AND(IF($I30="",5000,$I30)&gt;0,IF($I30="",5000,$I30)&lt;3*MAX(IF($W30="",1000,$W30),IF($X30="",1000,$X30),IF($Y30="",1000,$Y30))),"⚠ box too small axially (&lt; 3·wz)",IF($EV30&gt;8,"⚠ &gt; 8 GB per file: shorten the duration and use several files",IF(((LEFT($BC30,1)="⚠")+(LEFT($BU30,1)="⚠")+(LEFT($CM30,1)="⚠")+(LEFT($DE30,1)="⚠")+(LEFT($DW30,1)="⚠")+(LEFT($EO30,1)="⚠"))&gt;0,"⚠ "&amp;((LEFT($BC30,1)="⚠")+(LEFT($BU30,1)="⚠")+(LEFT($CM30,1)="⚠")+(LEFT($DE30,1)="⚠")+(LEFT($DW30,1)="⚠")+(LEFT($EO30,1)="⚠"))&amp;" species with a warning","✔ OK")))))))</f>
        <v/>
      </c>
      <c r="EX30" s="25"/>
      <c r="EY30" s="25"/>
      <c r="EZ30" s="25"/>
      <c r="FA30" s="25"/>
      <c r="FB30" s="25"/>
      <c r="FC30" s="25"/>
      <c r="FD30" s="25"/>
      <c r="FE30" s="26"/>
    </row>
    <row r="31" customFormat="false" ht="15" hidden="false" customHeight="false" outlineLevel="0" collapsed="false">
      <c r="A31" s="25"/>
      <c r="B31" s="25"/>
      <c r="C31" s="26"/>
      <c r="D31" s="26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7" t="str">
        <f aca="false">IF(OR($AU31="",$AU31="No FRET",N($AV31)&lt;=0,N(IF($AI31="",63,$AI31))&lt;=0),"",1/(1+($AV31/IF($AI31="",63,$AI31))^6))</f>
        <v/>
      </c>
      <c r="AZ31" s="27" t="str">
        <f aca="false">IF(OR($AU31="",$AU31="No FRET",N($AW31)&lt;=0,N(IF($AJ31="",51,$AJ31))&lt;=0),"",1/(1+($AW31/IF($AJ31="",51,$AJ31))^6))</f>
        <v/>
      </c>
      <c r="BA31" s="27" t="str">
        <f aca="false">IF(OR($AU31="",$AU31="No FRET",N($AX31)&lt;=0,N(IF($AK31="",68,$AK31))&lt;=0),"",1/(1+($AX31/IF($AK31="",68,$AK31))^6))</f>
        <v/>
      </c>
      <c r="BB31" s="28" t="str">
        <f aca="false">IF(OR($A31="",N($AN31)&lt;=0),"",IF(IF($I31="",5000,$I31)&gt;0,$AN31/(IF($G31="",5000,$G31)*IF($H31="",5000,$H31)*IF($I31="",5000,$I31))/1E-024/6.022E+023/0.000000001,""))</f>
        <v/>
      </c>
      <c r="BC31" s="29" t="str">
        <f aca="false">IF(Calc!G31=0,"",IF(Calc!E31&gt;=1,"✖ saturated (B ≥ freq.)",IF(Calc!E31&gt;0.1,"⚠ B &gt; 10% of freq.",IF(Calc!E31=0,"⚠ no brightness",IF(Calc!F31&gt;0.1,"⚠ step &gt; 10% of wr",IF(OR(AND(N($AQ31)&gt;0,IF($O31="",1,$O31)&lt;3),AND(N($AP31)&gt;0,IF($O31="",1,$O31)&lt;2)),"⚠ uses a colour above Colours = "&amp;IF($O31="",1,$O31)&amp;" (ignored)",IF(AND($AU31&lt;&gt;"",$AU31&lt;&gt;"No FRET",N(IF($O31="",1,$O31))&lt;2),"⚠ FRET needs ≥ 2 colours",IF(AND($AU31&lt;&gt;"",$AU31&lt;&gt;"No FRET",N($AV31)+N($AW31)+N($AX31)=0),"⚠ FRET: set R","✔ OK"))))))))</f>
        <v/>
      </c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7" t="str">
        <f aca="false">IF(OR($BM31="",$BM31="No FRET",N($BN31)&lt;=0,N(IF($AI31="",63,$AI31))&lt;=0),"",1/(1+($BN31/IF($AI31="",63,$AI31))^6))</f>
        <v/>
      </c>
      <c r="BR31" s="27" t="str">
        <f aca="false">IF(OR($BM31="",$BM31="No FRET",N($BO31)&lt;=0,N(IF($AJ31="",51,$AJ31))&lt;=0),"",1/(1+($BO31/IF($AJ31="",51,$AJ31))^6))</f>
        <v/>
      </c>
      <c r="BS31" s="27" t="str">
        <f aca="false">IF(OR($BM31="",$BM31="No FRET",N($BP31)&lt;=0,N(IF($AK31="",68,$AK31))&lt;=0),"",1/(1+($BP31/IF($AK31="",68,$AK31))^6))</f>
        <v/>
      </c>
      <c r="BT31" s="28" t="str">
        <f aca="false">IF(OR($A31="",N($BF31)&lt;=0),"",IF(IF($I31="",5000,$I31)&gt;0,$BF31/(IF($G31="",5000,$G31)*IF($H31="",5000,$H31)*IF($I31="",5000,$I31))/1E-024/6.022E+023/0.000000001,""))</f>
        <v/>
      </c>
      <c r="BU31" s="29" t="str">
        <f aca="false">IF(Calc!M31=0,"",IF(Calc!K31&gt;=1,"✖ saturated (B ≥ freq.)",IF(Calc!K31&gt;0.1,"⚠ B &gt; 10% of freq.",IF(Calc!K31=0,"⚠ no brightness",IF(Calc!L31&gt;0.1,"⚠ step &gt; 10% of wr",IF(OR(AND(N($BI31)&gt;0,IF($O31="",1,$O31)&lt;3),AND(N($BH31)&gt;0,IF($O31="",1,$O31)&lt;2)),"⚠ uses a colour above Colours = "&amp;IF($O31="",1,$O31)&amp;" (ignored)",IF(AND($BM31&lt;&gt;"",$BM31&lt;&gt;"No FRET",N(IF($O31="",1,$O31))&lt;2),"⚠ FRET needs ≥ 2 colours",IF(AND($BM31&lt;&gt;"",$BM31&lt;&gt;"No FRET",N($BN31)+N($BO31)+N($BP31)=0),"⚠ FRET: set R","✔ OK"))))))))</f>
        <v/>
      </c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7" t="str">
        <f aca="false">IF(OR($CE31="",$CE31="No FRET",N($CF31)&lt;=0,N(IF($AI31="",63,$AI31))&lt;=0),"",1/(1+($CF31/IF($AI31="",63,$AI31))^6))</f>
        <v/>
      </c>
      <c r="CJ31" s="27" t="str">
        <f aca="false">IF(OR($CE31="",$CE31="No FRET",N($CG31)&lt;=0,N(IF($AJ31="",51,$AJ31))&lt;=0),"",1/(1+($CG31/IF($AJ31="",51,$AJ31))^6))</f>
        <v/>
      </c>
      <c r="CK31" s="27" t="str">
        <f aca="false">IF(OR($CE31="",$CE31="No FRET",N($CH31)&lt;=0,N(IF($AK31="",68,$AK31))&lt;=0),"",1/(1+($CH31/IF($AK31="",68,$AK31))^6))</f>
        <v/>
      </c>
      <c r="CL31" s="28" t="str">
        <f aca="false">IF(OR($A31="",N($BX31)&lt;=0),"",IF(IF($I31="",5000,$I31)&gt;0,$BX31/(IF($G31="",5000,$G31)*IF($H31="",5000,$H31)*IF($I31="",5000,$I31))/1E-024/6.022E+023/0.000000001,""))</f>
        <v/>
      </c>
      <c r="CM31" s="29" t="str">
        <f aca="false">IF(Calc!S31=0,"",IF(Calc!Q31&gt;=1,"✖ saturated (B ≥ freq.)",IF(Calc!Q31&gt;0.1,"⚠ B &gt; 10% of freq.",IF(Calc!Q31=0,"⚠ no brightness",IF(Calc!R31&gt;0.1,"⚠ step &gt; 10% of wr",IF(OR(AND(N($CA31)&gt;0,IF($O31="",1,$O31)&lt;3),AND(N($BZ31)&gt;0,IF($O31="",1,$O31)&lt;2)),"⚠ uses a colour above Colours = "&amp;IF($O31="",1,$O31)&amp;" (ignored)",IF(AND($CE31&lt;&gt;"",$CE31&lt;&gt;"No FRET",N(IF($O31="",1,$O31))&lt;2),"⚠ FRET needs ≥ 2 colours",IF(AND($CE31&lt;&gt;"",$CE31&lt;&gt;"No FRET",N($CF31)+N($CG31)+N($CH31)=0),"⚠ FRET: set R","✔ OK"))))))))</f>
        <v/>
      </c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7" t="str">
        <f aca="false">IF(OR($CW31="",$CW31="No FRET",N($CX31)&lt;=0,N(IF($AI31="",63,$AI31))&lt;=0),"",1/(1+($CX31/IF($AI31="",63,$AI31))^6))</f>
        <v/>
      </c>
      <c r="DB31" s="27" t="str">
        <f aca="false">IF(OR($CW31="",$CW31="No FRET",N($CY31)&lt;=0,N(IF($AJ31="",51,$AJ31))&lt;=0),"",1/(1+($CY31/IF($AJ31="",51,$AJ31))^6))</f>
        <v/>
      </c>
      <c r="DC31" s="27" t="str">
        <f aca="false">IF(OR($CW31="",$CW31="No FRET",N($CZ31)&lt;=0,N(IF($AK31="",68,$AK31))&lt;=0),"",1/(1+($CZ31/IF($AK31="",68,$AK31))^6))</f>
        <v/>
      </c>
      <c r="DD31" s="28" t="str">
        <f aca="false">IF(OR($A31="",N($CP31)&lt;=0),"",IF(IF($I31="",5000,$I31)&gt;0,$CP31/(IF($G31="",5000,$G31)*IF($H31="",5000,$H31)*IF($I31="",5000,$I31))/1E-024/6.022E+023/0.000000001,""))</f>
        <v/>
      </c>
      <c r="DE31" s="29" t="str">
        <f aca="false">IF(Calc!Y31=0,"",IF(Calc!W31&gt;=1,"✖ saturated (B ≥ freq.)",IF(Calc!W31&gt;0.1,"⚠ B &gt; 10% of freq.",IF(Calc!W31=0,"⚠ no brightness",IF(Calc!X31&gt;0.1,"⚠ step &gt; 10% of wr",IF(OR(AND(N($CS31)&gt;0,IF($O31="",1,$O31)&lt;3),AND(N($CR31)&gt;0,IF($O31="",1,$O31)&lt;2)),"⚠ uses a colour above Colours = "&amp;IF($O31="",1,$O31)&amp;" (ignored)",IF(AND($CW31&lt;&gt;"",$CW31&lt;&gt;"No FRET",N(IF($O31="",1,$O31))&lt;2),"⚠ FRET needs ≥ 2 colours",IF(AND($CW31&lt;&gt;"",$CW31&lt;&gt;"No FRET",N($CX31)+N($CY31)+N($CZ31)=0),"⚠ FRET: set R","✔ OK"))))))))</f>
        <v/>
      </c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7" t="str">
        <f aca="false">IF(OR($DO31="",$DO31="No FRET",N($DP31)&lt;=0,N(IF($AI31="",63,$AI31))&lt;=0),"",1/(1+($DP31/IF($AI31="",63,$AI31))^6))</f>
        <v/>
      </c>
      <c r="DT31" s="27" t="str">
        <f aca="false">IF(OR($DO31="",$DO31="No FRET",N($DQ31)&lt;=0,N(IF($AJ31="",51,$AJ31))&lt;=0),"",1/(1+($DQ31/IF($AJ31="",51,$AJ31))^6))</f>
        <v/>
      </c>
      <c r="DU31" s="27" t="str">
        <f aca="false">IF(OR($DO31="",$DO31="No FRET",N($DR31)&lt;=0,N(IF($AK31="",68,$AK31))&lt;=0),"",1/(1+($DR31/IF($AK31="",68,$AK31))^6))</f>
        <v/>
      </c>
      <c r="DV31" s="28" t="str">
        <f aca="false">IF(OR($A31="",N($DH31)&lt;=0),"",IF(IF($I31="",5000,$I31)&gt;0,$DH31/(IF($G31="",5000,$G31)*IF($H31="",5000,$H31)*IF($I31="",5000,$I31))/1E-024/6.022E+023/0.000000001,""))</f>
        <v/>
      </c>
      <c r="DW31" s="29" t="str">
        <f aca="false">IF(Calc!AE31=0,"",IF(Calc!AC31&gt;=1,"✖ saturated (B ≥ freq.)",IF(Calc!AC31&gt;0.1,"⚠ B &gt; 10% of freq.",IF(Calc!AC31=0,"⚠ no brightness",IF(Calc!AD31&gt;0.1,"⚠ step &gt; 10% of wr",IF(OR(AND(N($DK31)&gt;0,IF($O31="",1,$O31)&lt;3),AND(N($DJ31)&gt;0,IF($O31="",1,$O31)&lt;2)),"⚠ uses a colour above Colours = "&amp;IF($O31="",1,$O31)&amp;" (ignored)",IF(AND($DO31&lt;&gt;"",$DO31&lt;&gt;"No FRET",N(IF($O31="",1,$O31))&lt;2),"⚠ FRET needs ≥ 2 colours",IF(AND($DO31&lt;&gt;"",$DO31&lt;&gt;"No FRET",N($DP31)+N($DQ31)+N($DR31)=0),"⚠ FRET: set R","✔ OK"))))))))</f>
        <v/>
      </c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7" t="str">
        <f aca="false">IF(OR($EG31="",$EG31="No FRET",N($EH31)&lt;=0,N(IF($AI31="",63,$AI31))&lt;=0),"",1/(1+($EH31/IF($AI31="",63,$AI31))^6))</f>
        <v/>
      </c>
      <c r="EL31" s="27" t="str">
        <f aca="false">IF(OR($EG31="",$EG31="No FRET",N($EI31)&lt;=0,N(IF($AJ31="",51,$AJ31))&lt;=0),"",1/(1+($EI31/IF($AJ31="",51,$AJ31))^6))</f>
        <v/>
      </c>
      <c r="EM31" s="27" t="str">
        <f aca="false">IF(OR($EG31="",$EG31="No FRET",N($EJ31)&lt;=0,N(IF($AK31="",68,$AK31))&lt;=0),"",1/(1+($EJ31/IF($AK31="",68,$AK31))^6))</f>
        <v/>
      </c>
      <c r="EN31" s="28" t="str">
        <f aca="false">IF(OR($A31="",N($DZ31)&lt;=0),"",IF(IF($I31="",5000,$I31)&gt;0,$DZ31/(IF($G31="",5000,$G31)*IF($H31="",5000,$H31)*IF($I31="",5000,$I31))/1E-024/6.022E+023/0.000000001,""))</f>
        <v/>
      </c>
      <c r="EO31" s="29" t="str">
        <f aca="false">IF(Calc!AK31=0,"",IF(Calc!AI31&gt;=1,"✖ saturated (B ≥ freq.)",IF(Calc!AI31&gt;0.1,"⚠ B &gt; 10% of freq.",IF(Calc!AI31=0,"⚠ no brightness",IF(Calc!AJ31&gt;0.1,"⚠ step &gt; 10% of wr",IF(OR(AND(N($EC31)&gt;0,IF($O31="",1,$O31)&lt;3),AND(N($EB31)&gt;0,IF($O31="",1,$O31)&lt;2)),"⚠ uses a colour above Colours = "&amp;IF($O31="",1,$O31)&amp;" (ignored)",IF(AND($EG31&lt;&gt;"",$EG31&lt;&gt;"No FRET",N(IF($O31="",1,$O31))&lt;2),"⚠ FRET needs ≥ 2 colours",IF(AND($EG31&lt;&gt;"",$EG31&lt;&gt;"No FRET",N($EH31)+N($EI31)+N($EJ31)=0),"⚠ FRET: set R","✔ OK"))))))))</f>
        <v/>
      </c>
      <c r="EP31" s="30" t="str">
        <f aca="false">IF($A31="","",SUM(Calc!G31,Calc!M31,Calc!S31,Calc!Y31,Calc!AE31,Calc!AK31))</f>
        <v/>
      </c>
      <c r="EQ31" s="30" t="str">
        <f aca="false">IF($A31="","",N($AN31)+N($BF31)+N($BX31)+N($CP31)+N($DH31)+N($DZ31))</f>
        <v/>
      </c>
      <c r="ER31" s="31" t="str">
        <f aca="false">IF($A31="","",SUM(Calc!B31,Calc!H31,Calc!N31,Calc!T31,Calc!Z31,Calc!AF31))</f>
        <v/>
      </c>
      <c r="ES31" s="31" t="str">
        <f aca="false">IF($A31="","",SUM(Calc!C31,Calc!I31,Calc!O31,Calc!U31,Calc!AA31,Calc!AG31))</f>
        <v/>
      </c>
      <c r="ET31" s="31" t="str">
        <f aca="false">IF($A31="","",SUM(Calc!D31,Calc!J31,Calc!P31,Calc!V31,Calc!AB31,Calc!AH31))</f>
        <v/>
      </c>
      <c r="EU31" s="27" t="str">
        <f aca="false">IF($A31="","",($ER31+$ES31+$ET31+IF($P31="Yes",N($Q31)*N(IF($O31="",1,$O31)),0))*1000*IF($K31="",10,$K31)/1000000)</f>
        <v/>
      </c>
      <c r="EV31" s="28" t="str">
        <f aca="false">IF($A31="","",$EU31*1000000*12/1000000000)</f>
        <v/>
      </c>
      <c r="EW31" s="32" t="str">
        <f aca="false">IF($A31="","",IF($EP31=0,"⚠ no species entered",IF(((LEFT($BC31,1)="✖")+(LEFT($BU31,1)="✖")+(LEFT($CM31,1)="✖")+(LEFT($DE31,1)="✖")+(LEFT($DW31,1)="✖")+(LEFT($EO31,1)="✖"))&gt;0,"✖ "&amp;((LEFT($BC31,1)="✖")+(LEFT($BU31,1)="✖")+(LEFT($CM31,1)="✖")+(LEFT($DE31,1)="✖")+(LEFT($DW31,1)="✖")+(LEFT($EO31,1)="✖"))&amp;" species saturated - see the species checks",IF(MIN(IF($G31="",5000,$G31),IF($H31="",5000,$H31))&lt;8*MAX(IF($T31="",200,$T31),IF($U31="",200,$U31),IF($V31="",200,$V31)),"⚠ box too small laterally (&lt; 8·wr)",IF(AND(IF($I31="",5000,$I31)&gt;0,IF($I31="",5000,$I31)&lt;3*MAX(IF($W31="",1000,$W31),IF($X31="",1000,$X31),IF($Y31="",1000,$Y31))),"⚠ box too small axially (&lt; 3·wz)",IF($EV31&gt;8,"⚠ &gt; 8 GB per file: shorten the duration and use several files",IF(((LEFT($BC31,1)="⚠")+(LEFT($BU31,1)="⚠")+(LEFT($CM31,1)="⚠")+(LEFT($DE31,1)="⚠")+(LEFT($DW31,1)="⚠")+(LEFT($EO31,1)="⚠"))&gt;0,"⚠ "&amp;((LEFT($BC31,1)="⚠")+(LEFT($BU31,1)="⚠")+(LEFT($CM31,1)="⚠")+(LEFT($DE31,1)="⚠")+(LEFT($DW31,1)="⚠")+(LEFT($EO31,1)="⚠"))&amp;" species with a warning","✔ OK")))))))</f>
        <v/>
      </c>
      <c r="EX31" s="25"/>
      <c r="EY31" s="25"/>
      <c r="EZ31" s="25"/>
      <c r="FA31" s="25"/>
      <c r="FB31" s="25"/>
      <c r="FC31" s="25"/>
      <c r="FD31" s="25"/>
      <c r="FE31" s="26"/>
    </row>
    <row r="32" customFormat="false" ht="15" hidden="false" customHeight="false" outlineLevel="0" collapsed="false">
      <c r="A32" s="25"/>
      <c r="B32" s="25"/>
      <c r="C32" s="26"/>
      <c r="D32" s="26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7" t="str">
        <f aca="false">IF(OR($AU32="",$AU32="No FRET",N($AV32)&lt;=0,N(IF($AI32="",63,$AI32))&lt;=0),"",1/(1+($AV32/IF($AI32="",63,$AI32))^6))</f>
        <v/>
      </c>
      <c r="AZ32" s="27" t="str">
        <f aca="false">IF(OR($AU32="",$AU32="No FRET",N($AW32)&lt;=0,N(IF($AJ32="",51,$AJ32))&lt;=0),"",1/(1+($AW32/IF($AJ32="",51,$AJ32))^6))</f>
        <v/>
      </c>
      <c r="BA32" s="27" t="str">
        <f aca="false">IF(OR($AU32="",$AU32="No FRET",N($AX32)&lt;=0,N(IF($AK32="",68,$AK32))&lt;=0),"",1/(1+($AX32/IF($AK32="",68,$AK32))^6))</f>
        <v/>
      </c>
      <c r="BB32" s="28" t="str">
        <f aca="false">IF(OR($A32="",N($AN32)&lt;=0),"",IF(IF($I32="",5000,$I32)&gt;0,$AN32/(IF($G32="",5000,$G32)*IF($H32="",5000,$H32)*IF($I32="",5000,$I32))/1E-024/6.022E+023/0.000000001,""))</f>
        <v/>
      </c>
      <c r="BC32" s="29" t="str">
        <f aca="false">IF(Calc!G32=0,"",IF(Calc!E32&gt;=1,"✖ saturated (B ≥ freq.)",IF(Calc!E32&gt;0.1,"⚠ B &gt; 10% of freq.",IF(Calc!E32=0,"⚠ no brightness",IF(Calc!F32&gt;0.1,"⚠ step &gt; 10% of wr",IF(OR(AND(N($AQ32)&gt;0,IF($O32="",1,$O32)&lt;3),AND(N($AP32)&gt;0,IF($O32="",1,$O32)&lt;2)),"⚠ uses a colour above Colours = "&amp;IF($O32="",1,$O32)&amp;" (ignored)",IF(AND($AU32&lt;&gt;"",$AU32&lt;&gt;"No FRET",N(IF($O32="",1,$O32))&lt;2),"⚠ FRET needs ≥ 2 colours",IF(AND($AU32&lt;&gt;"",$AU32&lt;&gt;"No FRET",N($AV32)+N($AW32)+N($AX32)=0),"⚠ FRET: set R","✔ OK"))))))))</f>
        <v/>
      </c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7" t="str">
        <f aca="false">IF(OR($BM32="",$BM32="No FRET",N($BN32)&lt;=0,N(IF($AI32="",63,$AI32))&lt;=0),"",1/(1+($BN32/IF($AI32="",63,$AI32))^6))</f>
        <v/>
      </c>
      <c r="BR32" s="27" t="str">
        <f aca="false">IF(OR($BM32="",$BM32="No FRET",N($BO32)&lt;=0,N(IF($AJ32="",51,$AJ32))&lt;=0),"",1/(1+($BO32/IF($AJ32="",51,$AJ32))^6))</f>
        <v/>
      </c>
      <c r="BS32" s="27" t="str">
        <f aca="false">IF(OR($BM32="",$BM32="No FRET",N($BP32)&lt;=0,N(IF($AK32="",68,$AK32))&lt;=0),"",1/(1+($BP32/IF($AK32="",68,$AK32))^6))</f>
        <v/>
      </c>
      <c r="BT32" s="28" t="str">
        <f aca="false">IF(OR($A32="",N($BF32)&lt;=0),"",IF(IF($I32="",5000,$I32)&gt;0,$BF32/(IF($G32="",5000,$G32)*IF($H32="",5000,$H32)*IF($I32="",5000,$I32))/1E-024/6.022E+023/0.000000001,""))</f>
        <v/>
      </c>
      <c r="BU32" s="29" t="str">
        <f aca="false">IF(Calc!M32=0,"",IF(Calc!K32&gt;=1,"✖ saturated (B ≥ freq.)",IF(Calc!K32&gt;0.1,"⚠ B &gt; 10% of freq.",IF(Calc!K32=0,"⚠ no brightness",IF(Calc!L32&gt;0.1,"⚠ step &gt; 10% of wr",IF(OR(AND(N($BI32)&gt;0,IF($O32="",1,$O32)&lt;3),AND(N($BH32)&gt;0,IF($O32="",1,$O32)&lt;2)),"⚠ uses a colour above Colours = "&amp;IF($O32="",1,$O32)&amp;" (ignored)",IF(AND($BM32&lt;&gt;"",$BM32&lt;&gt;"No FRET",N(IF($O32="",1,$O32))&lt;2),"⚠ FRET needs ≥ 2 colours",IF(AND($BM32&lt;&gt;"",$BM32&lt;&gt;"No FRET",N($BN32)+N($BO32)+N($BP32)=0),"⚠ FRET: set R","✔ OK"))))))))</f>
        <v/>
      </c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7" t="str">
        <f aca="false">IF(OR($CE32="",$CE32="No FRET",N($CF32)&lt;=0,N(IF($AI32="",63,$AI32))&lt;=0),"",1/(1+($CF32/IF($AI32="",63,$AI32))^6))</f>
        <v/>
      </c>
      <c r="CJ32" s="27" t="str">
        <f aca="false">IF(OR($CE32="",$CE32="No FRET",N($CG32)&lt;=0,N(IF($AJ32="",51,$AJ32))&lt;=0),"",1/(1+($CG32/IF($AJ32="",51,$AJ32))^6))</f>
        <v/>
      </c>
      <c r="CK32" s="27" t="str">
        <f aca="false">IF(OR($CE32="",$CE32="No FRET",N($CH32)&lt;=0,N(IF($AK32="",68,$AK32))&lt;=0),"",1/(1+($CH32/IF($AK32="",68,$AK32))^6))</f>
        <v/>
      </c>
      <c r="CL32" s="28" t="str">
        <f aca="false">IF(OR($A32="",N($BX32)&lt;=0),"",IF(IF($I32="",5000,$I32)&gt;0,$BX32/(IF($G32="",5000,$G32)*IF($H32="",5000,$H32)*IF($I32="",5000,$I32))/1E-024/6.022E+023/0.000000001,""))</f>
        <v/>
      </c>
      <c r="CM32" s="29" t="str">
        <f aca="false">IF(Calc!S32=0,"",IF(Calc!Q32&gt;=1,"✖ saturated (B ≥ freq.)",IF(Calc!Q32&gt;0.1,"⚠ B &gt; 10% of freq.",IF(Calc!Q32=0,"⚠ no brightness",IF(Calc!R32&gt;0.1,"⚠ step &gt; 10% of wr",IF(OR(AND(N($CA32)&gt;0,IF($O32="",1,$O32)&lt;3),AND(N($BZ32)&gt;0,IF($O32="",1,$O32)&lt;2)),"⚠ uses a colour above Colours = "&amp;IF($O32="",1,$O32)&amp;" (ignored)",IF(AND($CE32&lt;&gt;"",$CE32&lt;&gt;"No FRET",N(IF($O32="",1,$O32))&lt;2),"⚠ FRET needs ≥ 2 colours",IF(AND($CE32&lt;&gt;"",$CE32&lt;&gt;"No FRET",N($CF32)+N($CG32)+N($CH32)=0),"⚠ FRET: set R","✔ OK"))))))))</f>
        <v/>
      </c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7" t="str">
        <f aca="false">IF(OR($CW32="",$CW32="No FRET",N($CX32)&lt;=0,N(IF($AI32="",63,$AI32))&lt;=0),"",1/(1+($CX32/IF($AI32="",63,$AI32))^6))</f>
        <v/>
      </c>
      <c r="DB32" s="27" t="str">
        <f aca="false">IF(OR($CW32="",$CW32="No FRET",N($CY32)&lt;=0,N(IF($AJ32="",51,$AJ32))&lt;=0),"",1/(1+($CY32/IF($AJ32="",51,$AJ32))^6))</f>
        <v/>
      </c>
      <c r="DC32" s="27" t="str">
        <f aca="false">IF(OR($CW32="",$CW32="No FRET",N($CZ32)&lt;=0,N(IF($AK32="",68,$AK32))&lt;=0),"",1/(1+($CZ32/IF($AK32="",68,$AK32))^6))</f>
        <v/>
      </c>
      <c r="DD32" s="28" t="str">
        <f aca="false">IF(OR($A32="",N($CP32)&lt;=0),"",IF(IF($I32="",5000,$I32)&gt;0,$CP32/(IF($G32="",5000,$G32)*IF($H32="",5000,$H32)*IF($I32="",5000,$I32))/1E-024/6.022E+023/0.000000001,""))</f>
        <v/>
      </c>
      <c r="DE32" s="29" t="str">
        <f aca="false">IF(Calc!Y32=0,"",IF(Calc!W32&gt;=1,"✖ saturated (B ≥ freq.)",IF(Calc!W32&gt;0.1,"⚠ B &gt; 10% of freq.",IF(Calc!W32=0,"⚠ no brightness",IF(Calc!X32&gt;0.1,"⚠ step &gt; 10% of wr",IF(OR(AND(N($CS32)&gt;0,IF($O32="",1,$O32)&lt;3),AND(N($CR32)&gt;0,IF($O32="",1,$O32)&lt;2)),"⚠ uses a colour above Colours = "&amp;IF($O32="",1,$O32)&amp;" (ignored)",IF(AND($CW32&lt;&gt;"",$CW32&lt;&gt;"No FRET",N(IF($O32="",1,$O32))&lt;2),"⚠ FRET needs ≥ 2 colours",IF(AND($CW32&lt;&gt;"",$CW32&lt;&gt;"No FRET",N($CX32)+N($CY32)+N($CZ32)=0),"⚠ FRET: set R","✔ OK"))))))))</f>
        <v/>
      </c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7" t="str">
        <f aca="false">IF(OR($DO32="",$DO32="No FRET",N($DP32)&lt;=0,N(IF($AI32="",63,$AI32))&lt;=0),"",1/(1+($DP32/IF($AI32="",63,$AI32))^6))</f>
        <v/>
      </c>
      <c r="DT32" s="27" t="str">
        <f aca="false">IF(OR($DO32="",$DO32="No FRET",N($DQ32)&lt;=0,N(IF($AJ32="",51,$AJ32))&lt;=0),"",1/(1+($DQ32/IF($AJ32="",51,$AJ32))^6))</f>
        <v/>
      </c>
      <c r="DU32" s="27" t="str">
        <f aca="false">IF(OR($DO32="",$DO32="No FRET",N($DR32)&lt;=0,N(IF($AK32="",68,$AK32))&lt;=0),"",1/(1+($DR32/IF($AK32="",68,$AK32))^6))</f>
        <v/>
      </c>
      <c r="DV32" s="28" t="str">
        <f aca="false">IF(OR($A32="",N($DH32)&lt;=0),"",IF(IF($I32="",5000,$I32)&gt;0,$DH32/(IF($G32="",5000,$G32)*IF($H32="",5000,$H32)*IF($I32="",5000,$I32))/1E-024/6.022E+023/0.000000001,""))</f>
        <v/>
      </c>
      <c r="DW32" s="29" t="str">
        <f aca="false">IF(Calc!AE32=0,"",IF(Calc!AC32&gt;=1,"✖ saturated (B ≥ freq.)",IF(Calc!AC32&gt;0.1,"⚠ B &gt; 10% of freq.",IF(Calc!AC32=0,"⚠ no brightness",IF(Calc!AD32&gt;0.1,"⚠ step &gt; 10% of wr",IF(OR(AND(N($DK32)&gt;0,IF($O32="",1,$O32)&lt;3),AND(N($DJ32)&gt;0,IF($O32="",1,$O32)&lt;2)),"⚠ uses a colour above Colours = "&amp;IF($O32="",1,$O32)&amp;" (ignored)",IF(AND($DO32&lt;&gt;"",$DO32&lt;&gt;"No FRET",N(IF($O32="",1,$O32))&lt;2),"⚠ FRET needs ≥ 2 colours",IF(AND($DO32&lt;&gt;"",$DO32&lt;&gt;"No FRET",N($DP32)+N($DQ32)+N($DR32)=0),"⚠ FRET: set R","✔ OK"))))))))</f>
        <v/>
      </c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7" t="str">
        <f aca="false">IF(OR($EG32="",$EG32="No FRET",N($EH32)&lt;=0,N(IF($AI32="",63,$AI32))&lt;=0),"",1/(1+($EH32/IF($AI32="",63,$AI32))^6))</f>
        <v/>
      </c>
      <c r="EL32" s="27" t="str">
        <f aca="false">IF(OR($EG32="",$EG32="No FRET",N($EI32)&lt;=0,N(IF($AJ32="",51,$AJ32))&lt;=0),"",1/(1+($EI32/IF($AJ32="",51,$AJ32))^6))</f>
        <v/>
      </c>
      <c r="EM32" s="27" t="str">
        <f aca="false">IF(OR($EG32="",$EG32="No FRET",N($EJ32)&lt;=0,N(IF($AK32="",68,$AK32))&lt;=0),"",1/(1+($EJ32/IF($AK32="",68,$AK32))^6))</f>
        <v/>
      </c>
      <c r="EN32" s="28" t="str">
        <f aca="false">IF(OR($A32="",N($DZ32)&lt;=0),"",IF(IF($I32="",5000,$I32)&gt;0,$DZ32/(IF($G32="",5000,$G32)*IF($H32="",5000,$H32)*IF($I32="",5000,$I32))/1E-024/6.022E+023/0.000000001,""))</f>
        <v/>
      </c>
      <c r="EO32" s="29" t="str">
        <f aca="false">IF(Calc!AK32=0,"",IF(Calc!AI32&gt;=1,"✖ saturated (B ≥ freq.)",IF(Calc!AI32&gt;0.1,"⚠ B &gt; 10% of freq.",IF(Calc!AI32=0,"⚠ no brightness",IF(Calc!AJ32&gt;0.1,"⚠ step &gt; 10% of wr",IF(OR(AND(N($EC32)&gt;0,IF($O32="",1,$O32)&lt;3),AND(N($EB32)&gt;0,IF($O32="",1,$O32)&lt;2)),"⚠ uses a colour above Colours = "&amp;IF($O32="",1,$O32)&amp;" (ignored)",IF(AND($EG32&lt;&gt;"",$EG32&lt;&gt;"No FRET",N(IF($O32="",1,$O32))&lt;2),"⚠ FRET needs ≥ 2 colours",IF(AND($EG32&lt;&gt;"",$EG32&lt;&gt;"No FRET",N($EH32)+N($EI32)+N($EJ32)=0),"⚠ FRET: set R","✔ OK"))))))))</f>
        <v/>
      </c>
      <c r="EP32" s="30" t="str">
        <f aca="false">IF($A32="","",SUM(Calc!G32,Calc!M32,Calc!S32,Calc!Y32,Calc!AE32,Calc!AK32))</f>
        <v/>
      </c>
      <c r="EQ32" s="30" t="str">
        <f aca="false">IF($A32="","",N($AN32)+N($BF32)+N($BX32)+N($CP32)+N($DH32)+N($DZ32))</f>
        <v/>
      </c>
      <c r="ER32" s="31" t="str">
        <f aca="false">IF($A32="","",SUM(Calc!B32,Calc!H32,Calc!N32,Calc!T32,Calc!Z32,Calc!AF32))</f>
        <v/>
      </c>
      <c r="ES32" s="31" t="str">
        <f aca="false">IF($A32="","",SUM(Calc!C32,Calc!I32,Calc!O32,Calc!U32,Calc!AA32,Calc!AG32))</f>
        <v/>
      </c>
      <c r="ET32" s="31" t="str">
        <f aca="false">IF($A32="","",SUM(Calc!D32,Calc!J32,Calc!P32,Calc!V32,Calc!AB32,Calc!AH32))</f>
        <v/>
      </c>
      <c r="EU32" s="27" t="str">
        <f aca="false">IF($A32="","",($ER32+$ES32+$ET32+IF($P32="Yes",N($Q32)*N(IF($O32="",1,$O32)),0))*1000*IF($K32="",10,$K32)/1000000)</f>
        <v/>
      </c>
      <c r="EV32" s="28" t="str">
        <f aca="false">IF($A32="","",$EU32*1000000*12/1000000000)</f>
        <v/>
      </c>
      <c r="EW32" s="32" t="str">
        <f aca="false">IF($A32="","",IF($EP32=0,"⚠ no species entered",IF(((LEFT($BC32,1)="✖")+(LEFT($BU32,1)="✖")+(LEFT($CM32,1)="✖")+(LEFT($DE32,1)="✖")+(LEFT($DW32,1)="✖")+(LEFT($EO32,1)="✖"))&gt;0,"✖ "&amp;((LEFT($BC32,1)="✖")+(LEFT($BU32,1)="✖")+(LEFT($CM32,1)="✖")+(LEFT($DE32,1)="✖")+(LEFT($DW32,1)="✖")+(LEFT($EO32,1)="✖"))&amp;" species saturated - see the species checks",IF(MIN(IF($G32="",5000,$G32),IF($H32="",5000,$H32))&lt;8*MAX(IF($T32="",200,$T32),IF($U32="",200,$U32),IF($V32="",200,$V32)),"⚠ box too small laterally (&lt; 8·wr)",IF(AND(IF($I32="",5000,$I32)&gt;0,IF($I32="",5000,$I32)&lt;3*MAX(IF($W32="",1000,$W32),IF($X32="",1000,$X32),IF($Y32="",1000,$Y32))),"⚠ box too small axially (&lt; 3·wz)",IF($EV32&gt;8,"⚠ &gt; 8 GB per file: shorten the duration and use several files",IF(((LEFT($BC32,1)="⚠")+(LEFT($BU32,1)="⚠")+(LEFT($CM32,1)="⚠")+(LEFT($DE32,1)="⚠")+(LEFT($DW32,1)="⚠")+(LEFT($EO32,1)="⚠"))&gt;0,"⚠ "&amp;((LEFT($BC32,1)="⚠")+(LEFT($BU32,1)="⚠")+(LEFT($CM32,1)="⚠")+(LEFT($DE32,1)="⚠")+(LEFT($DW32,1)="⚠")+(LEFT($EO32,1)="⚠"))&amp;" species with a warning","✔ OK")))))))</f>
        <v/>
      </c>
      <c r="EX32" s="25"/>
      <c r="EY32" s="25"/>
      <c r="EZ32" s="25"/>
      <c r="FA32" s="25"/>
      <c r="FB32" s="25"/>
      <c r="FC32" s="25"/>
      <c r="FD32" s="25"/>
      <c r="FE32" s="26"/>
    </row>
    <row r="33" customFormat="false" ht="15" hidden="false" customHeight="false" outlineLevel="0" collapsed="false">
      <c r="A33" s="25"/>
      <c r="B33" s="25"/>
      <c r="C33" s="26"/>
      <c r="D33" s="26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7" t="str">
        <f aca="false">IF(OR($AU33="",$AU33="No FRET",N($AV33)&lt;=0,N(IF($AI33="",63,$AI33))&lt;=0),"",1/(1+($AV33/IF($AI33="",63,$AI33))^6))</f>
        <v/>
      </c>
      <c r="AZ33" s="27" t="str">
        <f aca="false">IF(OR($AU33="",$AU33="No FRET",N($AW33)&lt;=0,N(IF($AJ33="",51,$AJ33))&lt;=0),"",1/(1+($AW33/IF($AJ33="",51,$AJ33))^6))</f>
        <v/>
      </c>
      <c r="BA33" s="27" t="str">
        <f aca="false">IF(OR($AU33="",$AU33="No FRET",N($AX33)&lt;=0,N(IF($AK33="",68,$AK33))&lt;=0),"",1/(1+($AX33/IF($AK33="",68,$AK33))^6))</f>
        <v/>
      </c>
      <c r="BB33" s="28" t="str">
        <f aca="false">IF(OR($A33="",N($AN33)&lt;=0),"",IF(IF($I33="",5000,$I33)&gt;0,$AN33/(IF($G33="",5000,$G33)*IF($H33="",5000,$H33)*IF($I33="",5000,$I33))/1E-024/6.022E+023/0.000000001,""))</f>
        <v/>
      </c>
      <c r="BC33" s="29" t="str">
        <f aca="false">IF(Calc!G33=0,"",IF(Calc!E33&gt;=1,"✖ saturated (B ≥ freq.)",IF(Calc!E33&gt;0.1,"⚠ B &gt; 10% of freq.",IF(Calc!E33=0,"⚠ no brightness",IF(Calc!F33&gt;0.1,"⚠ step &gt; 10% of wr",IF(OR(AND(N($AQ33)&gt;0,IF($O33="",1,$O33)&lt;3),AND(N($AP33)&gt;0,IF($O33="",1,$O33)&lt;2)),"⚠ uses a colour above Colours = "&amp;IF($O33="",1,$O33)&amp;" (ignored)",IF(AND($AU33&lt;&gt;"",$AU33&lt;&gt;"No FRET",N(IF($O33="",1,$O33))&lt;2),"⚠ FRET needs ≥ 2 colours",IF(AND($AU33&lt;&gt;"",$AU33&lt;&gt;"No FRET",N($AV33)+N($AW33)+N($AX33)=0),"⚠ FRET: set R","✔ OK"))))))))</f>
        <v/>
      </c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7" t="str">
        <f aca="false">IF(OR($BM33="",$BM33="No FRET",N($BN33)&lt;=0,N(IF($AI33="",63,$AI33))&lt;=0),"",1/(1+($BN33/IF($AI33="",63,$AI33))^6))</f>
        <v/>
      </c>
      <c r="BR33" s="27" t="str">
        <f aca="false">IF(OR($BM33="",$BM33="No FRET",N($BO33)&lt;=0,N(IF($AJ33="",51,$AJ33))&lt;=0),"",1/(1+($BO33/IF($AJ33="",51,$AJ33))^6))</f>
        <v/>
      </c>
      <c r="BS33" s="27" t="str">
        <f aca="false">IF(OR($BM33="",$BM33="No FRET",N($BP33)&lt;=0,N(IF($AK33="",68,$AK33))&lt;=0),"",1/(1+($BP33/IF($AK33="",68,$AK33))^6))</f>
        <v/>
      </c>
      <c r="BT33" s="28" t="str">
        <f aca="false">IF(OR($A33="",N($BF33)&lt;=0),"",IF(IF($I33="",5000,$I33)&gt;0,$BF33/(IF($G33="",5000,$G33)*IF($H33="",5000,$H33)*IF($I33="",5000,$I33))/1E-024/6.022E+023/0.000000001,""))</f>
        <v/>
      </c>
      <c r="BU33" s="29" t="str">
        <f aca="false">IF(Calc!M33=0,"",IF(Calc!K33&gt;=1,"✖ saturated (B ≥ freq.)",IF(Calc!K33&gt;0.1,"⚠ B &gt; 10% of freq.",IF(Calc!K33=0,"⚠ no brightness",IF(Calc!L33&gt;0.1,"⚠ step &gt; 10% of wr",IF(OR(AND(N($BI33)&gt;0,IF($O33="",1,$O33)&lt;3),AND(N($BH33)&gt;0,IF($O33="",1,$O33)&lt;2)),"⚠ uses a colour above Colours = "&amp;IF($O33="",1,$O33)&amp;" (ignored)",IF(AND($BM33&lt;&gt;"",$BM33&lt;&gt;"No FRET",N(IF($O33="",1,$O33))&lt;2),"⚠ FRET needs ≥ 2 colours",IF(AND($BM33&lt;&gt;"",$BM33&lt;&gt;"No FRET",N($BN33)+N($BO33)+N($BP33)=0),"⚠ FRET: set R","✔ OK"))))))))</f>
        <v/>
      </c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7" t="str">
        <f aca="false">IF(OR($CE33="",$CE33="No FRET",N($CF33)&lt;=0,N(IF($AI33="",63,$AI33))&lt;=0),"",1/(1+($CF33/IF($AI33="",63,$AI33))^6))</f>
        <v/>
      </c>
      <c r="CJ33" s="27" t="str">
        <f aca="false">IF(OR($CE33="",$CE33="No FRET",N($CG33)&lt;=0,N(IF($AJ33="",51,$AJ33))&lt;=0),"",1/(1+($CG33/IF($AJ33="",51,$AJ33))^6))</f>
        <v/>
      </c>
      <c r="CK33" s="27" t="str">
        <f aca="false">IF(OR($CE33="",$CE33="No FRET",N($CH33)&lt;=0,N(IF($AK33="",68,$AK33))&lt;=0),"",1/(1+($CH33/IF($AK33="",68,$AK33))^6))</f>
        <v/>
      </c>
      <c r="CL33" s="28" t="str">
        <f aca="false">IF(OR($A33="",N($BX33)&lt;=0),"",IF(IF($I33="",5000,$I33)&gt;0,$BX33/(IF($G33="",5000,$G33)*IF($H33="",5000,$H33)*IF($I33="",5000,$I33))/1E-024/6.022E+023/0.000000001,""))</f>
        <v/>
      </c>
      <c r="CM33" s="29" t="str">
        <f aca="false">IF(Calc!S33=0,"",IF(Calc!Q33&gt;=1,"✖ saturated (B ≥ freq.)",IF(Calc!Q33&gt;0.1,"⚠ B &gt; 10% of freq.",IF(Calc!Q33=0,"⚠ no brightness",IF(Calc!R33&gt;0.1,"⚠ step &gt; 10% of wr",IF(OR(AND(N($CA33)&gt;0,IF($O33="",1,$O33)&lt;3),AND(N($BZ33)&gt;0,IF($O33="",1,$O33)&lt;2)),"⚠ uses a colour above Colours = "&amp;IF($O33="",1,$O33)&amp;" (ignored)",IF(AND($CE33&lt;&gt;"",$CE33&lt;&gt;"No FRET",N(IF($O33="",1,$O33))&lt;2),"⚠ FRET needs ≥ 2 colours",IF(AND($CE33&lt;&gt;"",$CE33&lt;&gt;"No FRET",N($CF33)+N($CG33)+N($CH33)=0),"⚠ FRET: set R","✔ OK"))))))))</f>
        <v/>
      </c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7" t="str">
        <f aca="false">IF(OR($CW33="",$CW33="No FRET",N($CX33)&lt;=0,N(IF($AI33="",63,$AI33))&lt;=0),"",1/(1+($CX33/IF($AI33="",63,$AI33))^6))</f>
        <v/>
      </c>
      <c r="DB33" s="27" t="str">
        <f aca="false">IF(OR($CW33="",$CW33="No FRET",N($CY33)&lt;=0,N(IF($AJ33="",51,$AJ33))&lt;=0),"",1/(1+($CY33/IF($AJ33="",51,$AJ33))^6))</f>
        <v/>
      </c>
      <c r="DC33" s="27" t="str">
        <f aca="false">IF(OR($CW33="",$CW33="No FRET",N($CZ33)&lt;=0,N(IF($AK33="",68,$AK33))&lt;=0),"",1/(1+($CZ33/IF($AK33="",68,$AK33))^6))</f>
        <v/>
      </c>
      <c r="DD33" s="28" t="str">
        <f aca="false">IF(OR($A33="",N($CP33)&lt;=0),"",IF(IF($I33="",5000,$I33)&gt;0,$CP33/(IF($G33="",5000,$G33)*IF($H33="",5000,$H33)*IF($I33="",5000,$I33))/1E-024/6.022E+023/0.000000001,""))</f>
        <v/>
      </c>
      <c r="DE33" s="29" t="str">
        <f aca="false">IF(Calc!Y33=0,"",IF(Calc!W33&gt;=1,"✖ saturated (B ≥ freq.)",IF(Calc!W33&gt;0.1,"⚠ B &gt; 10% of freq.",IF(Calc!W33=0,"⚠ no brightness",IF(Calc!X33&gt;0.1,"⚠ step &gt; 10% of wr",IF(OR(AND(N($CS33)&gt;0,IF($O33="",1,$O33)&lt;3),AND(N($CR33)&gt;0,IF($O33="",1,$O33)&lt;2)),"⚠ uses a colour above Colours = "&amp;IF($O33="",1,$O33)&amp;" (ignored)",IF(AND($CW33&lt;&gt;"",$CW33&lt;&gt;"No FRET",N(IF($O33="",1,$O33))&lt;2),"⚠ FRET needs ≥ 2 colours",IF(AND($CW33&lt;&gt;"",$CW33&lt;&gt;"No FRET",N($CX33)+N($CY33)+N($CZ33)=0),"⚠ FRET: set R","✔ OK"))))))))</f>
        <v/>
      </c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7" t="str">
        <f aca="false">IF(OR($DO33="",$DO33="No FRET",N($DP33)&lt;=0,N(IF($AI33="",63,$AI33))&lt;=0),"",1/(1+($DP33/IF($AI33="",63,$AI33))^6))</f>
        <v/>
      </c>
      <c r="DT33" s="27" t="str">
        <f aca="false">IF(OR($DO33="",$DO33="No FRET",N($DQ33)&lt;=0,N(IF($AJ33="",51,$AJ33))&lt;=0),"",1/(1+($DQ33/IF($AJ33="",51,$AJ33))^6))</f>
        <v/>
      </c>
      <c r="DU33" s="27" t="str">
        <f aca="false">IF(OR($DO33="",$DO33="No FRET",N($DR33)&lt;=0,N(IF($AK33="",68,$AK33))&lt;=0),"",1/(1+($DR33/IF($AK33="",68,$AK33))^6))</f>
        <v/>
      </c>
      <c r="DV33" s="28" t="str">
        <f aca="false">IF(OR($A33="",N($DH33)&lt;=0),"",IF(IF($I33="",5000,$I33)&gt;0,$DH33/(IF($G33="",5000,$G33)*IF($H33="",5000,$H33)*IF($I33="",5000,$I33))/1E-024/6.022E+023/0.000000001,""))</f>
        <v/>
      </c>
      <c r="DW33" s="29" t="str">
        <f aca="false">IF(Calc!AE33=0,"",IF(Calc!AC33&gt;=1,"✖ saturated (B ≥ freq.)",IF(Calc!AC33&gt;0.1,"⚠ B &gt; 10% of freq.",IF(Calc!AC33=0,"⚠ no brightness",IF(Calc!AD33&gt;0.1,"⚠ step &gt; 10% of wr",IF(OR(AND(N($DK33)&gt;0,IF($O33="",1,$O33)&lt;3),AND(N($DJ33)&gt;0,IF($O33="",1,$O33)&lt;2)),"⚠ uses a colour above Colours = "&amp;IF($O33="",1,$O33)&amp;" (ignored)",IF(AND($DO33&lt;&gt;"",$DO33&lt;&gt;"No FRET",N(IF($O33="",1,$O33))&lt;2),"⚠ FRET needs ≥ 2 colours",IF(AND($DO33&lt;&gt;"",$DO33&lt;&gt;"No FRET",N($DP33)+N($DQ33)+N($DR33)=0),"⚠ FRET: set R","✔ OK"))))))))</f>
        <v/>
      </c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7" t="str">
        <f aca="false">IF(OR($EG33="",$EG33="No FRET",N($EH33)&lt;=0,N(IF($AI33="",63,$AI33))&lt;=0),"",1/(1+($EH33/IF($AI33="",63,$AI33))^6))</f>
        <v/>
      </c>
      <c r="EL33" s="27" t="str">
        <f aca="false">IF(OR($EG33="",$EG33="No FRET",N($EI33)&lt;=0,N(IF($AJ33="",51,$AJ33))&lt;=0),"",1/(1+($EI33/IF($AJ33="",51,$AJ33))^6))</f>
        <v/>
      </c>
      <c r="EM33" s="27" t="str">
        <f aca="false">IF(OR($EG33="",$EG33="No FRET",N($EJ33)&lt;=0,N(IF($AK33="",68,$AK33))&lt;=0),"",1/(1+($EJ33/IF($AK33="",68,$AK33))^6))</f>
        <v/>
      </c>
      <c r="EN33" s="28" t="str">
        <f aca="false">IF(OR($A33="",N($DZ33)&lt;=0),"",IF(IF($I33="",5000,$I33)&gt;0,$DZ33/(IF($G33="",5000,$G33)*IF($H33="",5000,$H33)*IF($I33="",5000,$I33))/1E-024/6.022E+023/0.000000001,""))</f>
        <v/>
      </c>
      <c r="EO33" s="29" t="str">
        <f aca="false">IF(Calc!AK33=0,"",IF(Calc!AI33&gt;=1,"✖ saturated (B ≥ freq.)",IF(Calc!AI33&gt;0.1,"⚠ B &gt; 10% of freq.",IF(Calc!AI33=0,"⚠ no brightness",IF(Calc!AJ33&gt;0.1,"⚠ step &gt; 10% of wr",IF(OR(AND(N($EC33)&gt;0,IF($O33="",1,$O33)&lt;3),AND(N($EB33)&gt;0,IF($O33="",1,$O33)&lt;2)),"⚠ uses a colour above Colours = "&amp;IF($O33="",1,$O33)&amp;" (ignored)",IF(AND($EG33&lt;&gt;"",$EG33&lt;&gt;"No FRET",N(IF($O33="",1,$O33))&lt;2),"⚠ FRET needs ≥ 2 colours",IF(AND($EG33&lt;&gt;"",$EG33&lt;&gt;"No FRET",N($EH33)+N($EI33)+N($EJ33)=0),"⚠ FRET: set R","✔ OK"))))))))</f>
        <v/>
      </c>
      <c r="EP33" s="30" t="str">
        <f aca="false">IF($A33="","",SUM(Calc!G33,Calc!M33,Calc!S33,Calc!Y33,Calc!AE33,Calc!AK33))</f>
        <v/>
      </c>
      <c r="EQ33" s="30" t="str">
        <f aca="false">IF($A33="","",N($AN33)+N($BF33)+N($BX33)+N($CP33)+N($DH33)+N($DZ33))</f>
        <v/>
      </c>
      <c r="ER33" s="31" t="str">
        <f aca="false">IF($A33="","",SUM(Calc!B33,Calc!H33,Calc!N33,Calc!T33,Calc!Z33,Calc!AF33))</f>
        <v/>
      </c>
      <c r="ES33" s="31" t="str">
        <f aca="false">IF($A33="","",SUM(Calc!C33,Calc!I33,Calc!O33,Calc!U33,Calc!AA33,Calc!AG33))</f>
        <v/>
      </c>
      <c r="ET33" s="31" t="str">
        <f aca="false">IF($A33="","",SUM(Calc!D33,Calc!J33,Calc!P33,Calc!V33,Calc!AB33,Calc!AH33))</f>
        <v/>
      </c>
      <c r="EU33" s="27" t="str">
        <f aca="false">IF($A33="","",($ER33+$ES33+$ET33+IF($P33="Yes",N($Q33)*N(IF($O33="",1,$O33)),0))*1000*IF($K33="",10,$K33)/1000000)</f>
        <v/>
      </c>
      <c r="EV33" s="28" t="str">
        <f aca="false">IF($A33="","",$EU33*1000000*12/1000000000)</f>
        <v/>
      </c>
      <c r="EW33" s="32" t="str">
        <f aca="false">IF($A33="","",IF($EP33=0,"⚠ no species entered",IF(((LEFT($BC33,1)="✖")+(LEFT($BU33,1)="✖")+(LEFT($CM33,1)="✖")+(LEFT($DE33,1)="✖")+(LEFT($DW33,1)="✖")+(LEFT($EO33,1)="✖"))&gt;0,"✖ "&amp;((LEFT($BC33,1)="✖")+(LEFT($BU33,1)="✖")+(LEFT($CM33,1)="✖")+(LEFT($DE33,1)="✖")+(LEFT($DW33,1)="✖")+(LEFT($EO33,1)="✖"))&amp;" species saturated - see the species checks",IF(MIN(IF($G33="",5000,$G33),IF($H33="",5000,$H33))&lt;8*MAX(IF($T33="",200,$T33),IF($U33="",200,$U33),IF($V33="",200,$V33)),"⚠ box too small laterally (&lt; 8·wr)",IF(AND(IF($I33="",5000,$I33)&gt;0,IF($I33="",5000,$I33)&lt;3*MAX(IF($W33="",1000,$W33),IF($X33="",1000,$X33),IF($Y33="",1000,$Y33))),"⚠ box too small axially (&lt; 3·wz)",IF($EV33&gt;8,"⚠ &gt; 8 GB per file: shorten the duration and use several files",IF(((LEFT($BC33,1)="⚠")+(LEFT($BU33,1)="⚠")+(LEFT($CM33,1)="⚠")+(LEFT($DE33,1)="⚠")+(LEFT($DW33,1)="⚠")+(LEFT($EO33,1)="⚠"))&gt;0,"⚠ "&amp;((LEFT($BC33,1)="⚠")+(LEFT($BU33,1)="⚠")+(LEFT($CM33,1)="⚠")+(LEFT($DE33,1)="⚠")+(LEFT($DW33,1)="⚠")+(LEFT($EO33,1)="⚠"))&amp;" species with a warning","✔ OK")))))))</f>
        <v/>
      </c>
      <c r="EX33" s="25"/>
      <c r="EY33" s="25"/>
      <c r="EZ33" s="25"/>
      <c r="FA33" s="25"/>
      <c r="FB33" s="25"/>
      <c r="FC33" s="25"/>
      <c r="FD33" s="25"/>
      <c r="FE33" s="26"/>
    </row>
    <row r="34" customFormat="false" ht="15" hidden="false" customHeight="false" outlineLevel="0" collapsed="false">
      <c r="A34" s="25"/>
      <c r="B34" s="25"/>
      <c r="C34" s="26"/>
      <c r="D34" s="26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7" t="str">
        <f aca="false">IF(OR($AU34="",$AU34="No FRET",N($AV34)&lt;=0,N(IF($AI34="",63,$AI34))&lt;=0),"",1/(1+($AV34/IF($AI34="",63,$AI34))^6))</f>
        <v/>
      </c>
      <c r="AZ34" s="27" t="str">
        <f aca="false">IF(OR($AU34="",$AU34="No FRET",N($AW34)&lt;=0,N(IF($AJ34="",51,$AJ34))&lt;=0),"",1/(1+($AW34/IF($AJ34="",51,$AJ34))^6))</f>
        <v/>
      </c>
      <c r="BA34" s="27" t="str">
        <f aca="false">IF(OR($AU34="",$AU34="No FRET",N($AX34)&lt;=0,N(IF($AK34="",68,$AK34))&lt;=0),"",1/(1+($AX34/IF($AK34="",68,$AK34))^6))</f>
        <v/>
      </c>
      <c r="BB34" s="28" t="str">
        <f aca="false">IF(OR($A34="",N($AN34)&lt;=0),"",IF(IF($I34="",5000,$I34)&gt;0,$AN34/(IF($G34="",5000,$G34)*IF($H34="",5000,$H34)*IF($I34="",5000,$I34))/1E-024/6.022E+023/0.000000001,""))</f>
        <v/>
      </c>
      <c r="BC34" s="29" t="str">
        <f aca="false">IF(Calc!G34=0,"",IF(Calc!E34&gt;=1,"✖ saturated (B ≥ freq.)",IF(Calc!E34&gt;0.1,"⚠ B &gt; 10% of freq.",IF(Calc!E34=0,"⚠ no brightness",IF(Calc!F34&gt;0.1,"⚠ step &gt; 10% of wr",IF(OR(AND(N($AQ34)&gt;0,IF($O34="",1,$O34)&lt;3),AND(N($AP34)&gt;0,IF($O34="",1,$O34)&lt;2)),"⚠ uses a colour above Colours = "&amp;IF($O34="",1,$O34)&amp;" (ignored)",IF(AND($AU34&lt;&gt;"",$AU34&lt;&gt;"No FRET",N(IF($O34="",1,$O34))&lt;2),"⚠ FRET needs ≥ 2 colours",IF(AND($AU34&lt;&gt;"",$AU34&lt;&gt;"No FRET",N($AV34)+N($AW34)+N($AX34)=0),"⚠ FRET: set R","✔ OK"))))))))</f>
        <v/>
      </c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7" t="str">
        <f aca="false">IF(OR($BM34="",$BM34="No FRET",N($BN34)&lt;=0,N(IF($AI34="",63,$AI34))&lt;=0),"",1/(1+($BN34/IF($AI34="",63,$AI34))^6))</f>
        <v/>
      </c>
      <c r="BR34" s="27" t="str">
        <f aca="false">IF(OR($BM34="",$BM34="No FRET",N($BO34)&lt;=0,N(IF($AJ34="",51,$AJ34))&lt;=0),"",1/(1+($BO34/IF($AJ34="",51,$AJ34))^6))</f>
        <v/>
      </c>
      <c r="BS34" s="27" t="str">
        <f aca="false">IF(OR($BM34="",$BM34="No FRET",N($BP34)&lt;=0,N(IF($AK34="",68,$AK34))&lt;=0),"",1/(1+($BP34/IF($AK34="",68,$AK34))^6))</f>
        <v/>
      </c>
      <c r="BT34" s="28" t="str">
        <f aca="false">IF(OR($A34="",N($BF34)&lt;=0),"",IF(IF($I34="",5000,$I34)&gt;0,$BF34/(IF($G34="",5000,$G34)*IF($H34="",5000,$H34)*IF($I34="",5000,$I34))/1E-024/6.022E+023/0.000000001,""))</f>
        <v/>
      </c>
      <c r="BU34" s="29" t="str">
        <f aca="false">IF(Calc!M34=0,"",IF(Calc!K34&gt;=1,"✖ saturated (B ≥ freq.)",IF(Calc!K34&gt;0.1,"⚠ B &gt; 10% of freq.",IF(Calc!K34=0,"⚠ no brightness",IF(Calc!L34&gt;0.1,"⚠ step &gt; 10% of wr",IF(OR(AND(N($BI34)&gt;0,IF($O34="",1,$O34)&lt;3),AND(N($BH34)&gt;0,IF($O34="",1,$O34)&lt;2)),"⚠ uses a colour above Colours = "&amp;IF($O34="",1,$O34)&amp;" (ignored)",IF(AND($BM34&lt;&gt;"",$BM34&lt;&gt;"No FRET",N(IF($O34="",1,$O34))&lt;2),"⚠ FRET needs ≥ 2 colours",IF(AND($BM34&lt;&gt;"",$BM34&lt;&gt;"No FRET",N($BN34)+N($BO34)+N($BP34)=0),"⚠ FRET: set R","✔ OK"))))))))</f>
        <v/>
      </c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7" t="str">
        <f aca="false">IF(OR($CE34="",$CE34="No FRET",N($CF34)&lt;=0,N(IF($AI34="",63,$AI34))&lt;=0),"",1/(1+($CF34/IF($AI34="",63,$AI34))^6))</f>
        <v/>
      </c>
      <c r="CJ34" s="27" t="str">
        <f aca="false">IF(OR($CE34="",$CE34="No FRET",N($CG34)&lt;=0,N(IF($AJ34="",51,$AJ34))&lt;=0),"",1/(1+($CG34/IF($AJ34="",51,$AJ34))^6))</f>
        <v/>
      </c>
      <c r="CK34" s="27" t="str">
        <f aca="false">IF(OR($CE34="",$CE34="No FRET",N($CH34)&lt;=0,N(IF($AK34="",68,$AK34))&lt;=0),"",1/(1+($CH34/IF($AK34="",68,$AK34))^6))</f>
        <v/>
      </c>
      <c r="CL34" s="28" t="str">
        <f aca="false">IF(OR($A34="",N($BX34)&lt;=0),"",IF(IF($I34="",5000,$I34)&gt;0,$BX34/(IF($G34="",5000,$G34)*IF($H34="",5000,$H34)*IF($I34="",5000,$I34))/1E-024/6.022E+023/0.000000001,""))</f>
        <v/>
      </c>
      <c r="CM34" s="29" t="str">
        <f aca="false">IF(Calc!S34=0,"",IF(Calc!Q34&gt;=1,"✖ saturated (B ≥ freq.)",IF(Calc!Q34&gt;0.1,"⚠ B &gt; 10% of freq.",IF(Calc!Q34=0,"⚠ no brightness",IF(Calc!R34&gt;0.1,"⚠ step &gt; 10% of wr",IF(OR(AND(N($CA34)&gt;0,IF($O34="",1,$O34)&lt;3),AND(N($BZ34)&gt;0,IF($O34="",1,$O34)&lt;2)),"⚠ uses a colour above Colours = "&amp;IF($O34="",1,$O34)&amp;" (ignored)",IF(AND($CE34&lt;&gt;"",$CE34&lt;&gt;"No FRET",N(IF($O34="",1,$O34))&lt;2),"⚠ FRET needs ≥ 2 colours",IF(AND($CE34&lt;&gt;"",$CE34&lt;&gt;"No FRET",N($CF34)+N($CG34)+N($CH34)=0),"⚠ FRET: set R","✔ OK"))))))))</f>
        <v/>
      </c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7" t="str">
        <f aca="false">IF(OR($CW34="",$CW34="No FRET",N($CX34)&lt;=0,N(IF($AI34="",63,$AI34))&lt;=0),"",1/(1+($CX34/IF($AI34="",63,$AI34))^6))</f>
        <v/>
      </c>
      <c r="DB34" s="27" t="str">
        <f aca="false">IF(OR($CW34="",$CW34="No FRET",N($CY34)&lt;=0,N(IF($AJ34="",51,$AJ34))&lt;=0),"",1/(1+($CY34/IF($AJ34="",51,$AJ34))^6))</f>
        <v/>
      </c>
      <c r="DC34" s="27" t="str">
        <f aca="false">IF(OR($CW34="",$CW34="No FRET",N($CZ34)&lt;=0,N(IF($AK34="",68,$AK34))&lt;=0),"",1/(1+($CZ34/IF($AK34="",68,$AK34))^6))</f>
        <v/>
      </c>
      <c r="DD34" s="28" t="str">
        <f aca="false">IF(OR($A34="",N($CP34)&lt;=0),"",IF(IF($I34="",5000,$I34)&gt;0,$CP34/(IF($G34="",5000,$G34)*IF($H34="",5000,$H34)*IF($I34="",5000,$I34))/1E-024/6.022E+023/0.000000001,""))</f>
        <v/>
      </c>
      <c r="DE34" s="29" t="str">
        <f aca="false">IF(Calc!Y34=0,"",IF(Calc!W34&gt;=1,"✖ saturated (B ≥ freq.)",IF(Calc!W34&gt;0.1,"⚠ B &gt; 10% of freq.",IF(Calc!W34=0,"⚠ no brightness",IF(Calc!X34&gt;0.1,"⚠ step &gt; 10% of wr",IF(OR(AND(N($CS34)&gt;0,IF($O34="",1,$O34)&lt;3),AND(N($CR34)&gt;0,IF($O34="",1,$O34)&lt;2)),"⚠ uses a colour above Colours = "&amp;IF($O34="",1,$O34)&amp;" (ignored)",IF(AND($CW34&lt;&gt;"",$CW34&lt;&gt;"No FRET",N(IF($O34="",1,$O34))&lt;2),"⚠ FRET needs ≥ 2 colours",IF(AND($CW34&lt;&gt;"",$CW34&lt;&gt;"No FRET",N($CX34)+N($CY34)+N($CZ34)=0),"⚠ FRET: set R","✔ OK"))))))))</f>
        <v/>
      </c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7" t="str">
        <f aca="false">IF(OR($DO34="",$DO34="No FRET",N($DP34)&lt;=0,N(IF($AI34="",63,$AI34))&lt;=0),"",1/(1+($DP34/IF($AI34="",63,$AI34))^6))</f>
        <v/>
      </c>
      <c r="DT34" s="27" t="str">
        <f aca="false">IF(OR($DO34="",$DO34="No FRET",N($DQ34)&lt;=0,N(IF($AJ34="",51,$AJ34))&lt;=0),"",1/(1+($DQ34/IF($AJ34="",51,$AJ34))^6))</f>
        <v/>
      </c>
      <c r="DU34" s="27" t="str">
        <f aca="false">IF(OR($DO34="",$DO34="No FRET",N($DR34)&lt;=0,N(IF($AK34="",68,$AK34))&lt;=0),"",1/(1+($DR34/IF($AK34="",68,$AK34))^6))</f>
        <v/>
      </c>
      <c r="DV34" s="28" t="str">
        <f aca="false">IF(OR($A34="",N($DH34)&lt;=0),"",IF(IF($I34="",5000,$I34)&gt;0,$DH34/(IF($G34="",5000,$G34)*IF($H34="",5000,$H34)*IF($I34="",5000,$I34))/1E-024/6.022E+023/0.000000001,""))</f>
        <v/>
      </c>
      <c r="DW34" s="29" t="str">
        <f aca="false">IF(Calc!AE34=0,"",IF(Calc!AC34&gt;=1,"✖ saturated (B ≥ freq.)",IF(Calc!AC34&gt;0.1,"⚠ B &gt; 10% of freq.",IF(Calc!AC34=0,"⚠ no brightness",IF(Calc!AD34&gt;0.1,"⚠ step &gt; 10% of wr",IF(OR(AND(N($DK34)&gt;0,IF($O34="",1,$O34)&lt;3),AND(N($DJ34)&gt;0,IF($O34="",1,$O34)&lt;2)),"⚠ uses a colour above Colours = "&amp;IF($O34="",1,$O34)&amp;" (ignored)",IF(AND($DO34&lt;&gt;"",$DO34&lt;&gt;"No FRET",N(IF($O34="",1,$O34))&lt;2),"⚠ FRET needs ≥ 2 colours",IF(AND($DO34&lt;&gt;"",$DO34&lt;&gt;"No FRET",N($DP34)+N($DQ34)+N($DR34)=0),"⚠ FRET: set R","✔ OK"))))))))</f>
        <v/>
      </c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7" t="str">
        <f aca="false">IF(OR($EG34="",$EG34="No FRET",N($EH34)&lt;=0,N(IF($AI34="",63,$AI34))&lt;=0),"",1/(1+($EH34/IF($AI34="",63,$AI34))^6))</f>
        <v/>
      </c>
      <c r="EL34" s="27" t="str">
        <f aca="false">IF(OR($EG34="",$EG34="No FRET",N($EI34)&lt;=0,N(IF($AJ34="",51,$AJ34))&lt;=0),"",1/(1+($EI34/IF($AJ34="",51,$AJ34))^6))</f>
        <v/>
      </c>
      <c r="EM34" s="27" t="str">
        <f aca="false">IF(OR($EG34="",$EG34="No FRET",N($EJ34)&lt;=0,N(IF($AK34="",68,$AK34))&lt;=0),"",1/(1+($EJ34/IF($AK34="",68,$AK34))^6))</f>
        <v/>
      </c>
      <c r="EN34" s="28" t="str">
        <f aca="false">IF(OR($A34="",N($DZ34)&lt;=0),"",IF(IF($I34="",5000,$I34)&gt;0,$DZ34/(IF($G34="",5000,$G34)*IF($H34="",5000,$H34)*IF($I34="",5000,$I34))/1E-024/6.022E+023/0.000000001,""))</f>
        <v/>
      </c>
      <c r="EO34" s="29" t="str">
        <f aca="false">IF(Calc!AK34=0,"",IF(Calc!AI34&gt;=1,"✖ saturated (B ≥ freq.)",IF(Calc!AI34&gt;0.1,"⚠ B &gt; 10% of freq.",IF(Calc!AI34=0,"⚠ no brightness",IF(Calc!AJ34&gt;0.1,"⚠ step &gt; 10% of wr",IF(OR(AND(N($EC34)&gt;0,IF($O34="",1,$O34)&lt;3),AND(N($EB34)&gt;0,IF($O34="",1,$O34)&lt;2)),"⚠ uses a colour above Colours = "&amp;IF($O34="",1,$O34)&amp;" (ignored)",IF(AND($EG34&lt;&gt;"",$EG34&lt;&gt;"No FRET",N(IF($O34="",1,$O34))&lt;2),"⚠ FRET needs ≥ 2 colours",IF(AND($EG34&lt;&gt;"",$EG34&lt;&gt;"No FRET",N($EH34)+N($EI34)+N($EJ34)=0),"⚠ FRET: set R","✔ OK"))))))))</f>
        <v/>
      </c>
      <c r="EP34" s="30" t="str">
        <f aca="false">IF($A34="","",SUM(Calc!G34,Calc!M34,Calc!S34,Calc!Y34,Calc!AE34,Calc!AK34))</f>
        <v/>
      </c>
      <c r="EQ34" s="30" t="str">
        <f aca="false">IF($A34="","",N($AN34)+N($BF34)+N($BX34)+N($CP34)+N($DH34)+N($DZ34))</f>
        <v/>
      </c>
      <c r="ER34" s="31" t="str">
        <f aca="false">IF($A34="","",SUM(Calc!B34,Calc!H34,Calc!N34,Calc!T34,Calc!Z34,Calc!AF34))</f>
        <v/>
      </c>
      <c r="ES34" s="31" t="str">
        <f aca="false">IF($A34="","",SUM(Calc!C34,Calc!I34,Calc!O34,Calc!U34,Calc!AA34,Calc!AG34))</f>
        <v/>
      </c>
      <c r="ET34" s="31" t="str">
        <f aca="false">IF($A34="","",SUM(Calc!D34,Calc!J34,Calc!P34,Calc!V34,Calc!AB34,Calc!AH34))</f>
        <v/>
      </c>
      <c r="EU34" s="27" t="str">
        <f aca="false">IF($A34="","",($ER34+$ES34+$ET34+IF($P34="Yes",N($Q34)*N(IF($O34="",1,$O34)),0))*1000*IF($K34="",10,$K34)/1000000)</f>
        <v/>
      </c>
      <c r="EV34" s="28" t="str">
        <f aca="false">IF($A34="","",$EU34*1000000*12/1000000000)</f>
        <v/>
      </c>
      <c r="EW34" s="32" t="str">
        <f aca="false">IF($A34="","",IF($EP34=0,"⚠ no species entered",IF(((LEFT($BC34,1)="✖")+(LEFT($BU34,1)="✖")+(LEFT($CM34,1)="✖")+(LEFT($DE34,1)="✖")+(LEFT($DW34,1)="✖")+(LEFT($EO34,1)="✖"))&gt;0,"✖ "&amp;((LEFT($BC34,1)="✖")+(LEFT($BU34,1)="✖")+(LEFT($CM34,1)="✖")+(LEFT($DE34,1)="✖")+(LEFT($DW34,1)="✖")+(LEFT($EO34,1)="✖"))&amp;" species saturated - see the species checks",IF(MIN(IF($G34="",5000,$G34),IF($H34="",5000,$H34))&lt;8*MAX(IF($T34="",200,$T34),IF($U34="",200,$U34),IF($V34="",200,$V34)),"⚠ box too small laterally (&lt; 8·wr)",IF(AND(IF($I34="",5000,$I34)&gt;0,IF($I34="",5000,$I34)&lt;3*MAX(IF($W34="",1000,$W34),IF($X34="",1000,$X34),IF($Y34="",1000,$Y34))),"⚠ box too small axially (&lt; 3·wz)",IF($EV34&gt;8,"⚠ &gt; 8 GB per file: shorten the duration and use several files",IF(((LEFT($BC34,1)="⚠")+(LEFT($BU34,1)="⚠")+(LEFT($CM34,1)="⚠")+(LEFT($DE34,1)="⚠")+(LEFT($DW34,1)="⚠")+(LEFT($EO34,1)="⚠"))&gt;0,"⚠ "&amp;((LEFT($BC34,1)="⚠")+(LEFT($BU34,1)="⚠")+(LEFT($CM34,1)="⚠")+(LEFT($DE34,1)="⚠")+(LEFT($DW34,1)="⚠")+(LEFT($EO34,1)="⚠"))&amp;" species with a warning","✔ OK")))))))</f>
        <v/>
      </c>
      <c r="EX34" s="25"/>
      <c r="EY34" s="25"/>
      <c r="EZ34" s="25"/>
      <c r="FA34" s="25"/>
      <c r="FB34" s="25"/>
      <c r="FC34" s="25"/>
      <c r="FD34" s="25"/>
      <c r="FE34" s="26"/>
    </row>
    <row r="35" customFormat="false" ht="15" hidden="false" customHeight="false" outlineLevel="0" collapsed="false">
      <c r="A35" s="25"/>
      <c r="B35" s="25"/>
      <c r="C35" s="26"/>
      <c r="D35" s="26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7" t="str">
        <f aca="false">IF(OR($AU35="",$AU35="No FRET",N($AV35)&lt;=0,N(IF($AI35="",63,$AI35))&lt;=0),"",1/(1+($AV35/IF($AI35="",63,$AI35))^6))</f>
        <v/>
      </c>
      <c r="AZ35" s="27" t="str">
        <f aca="false">IF(OR($AU35="",$AU35="No FRET",N($AW35)&lt;=0,N(IF($AJ35="",51,$AJ35))&lt;=0),"",1/(1+($AW35/IF($AJ35="",51,$AJ35))^6))</f>
        <v/>
      </c>
      <c r="BA35" s="27" t="str">
        <f aca="false">IF(OR($AU35="",$AU35="No FRET",N($AX35)&lt;=0,N(IF($AK35="",68,$AK35))&lt;=0),"",1/(1+($AX35/IF($AK35="",68,$AK35))^6))</f>
        <v/>
      </c>
      <c r="BB35" s="28" t="str">
        <f aca="false">IF(OR($A35="",N($AN35)&lt;=0),"",IF(IF($I35="",5000,$I35)&gt;0,$AN35/(IF($G35="",5000,$G35)*IF($H35="",5000,$H35)*IF($I35="",5000,$I35))/1E-024/6.022E+023/0.000000001,""))</f>
        <v/>
      </c>
      <c r="BC35" s="29" t="str">
        <f aca="false">IF(Calc!G35=0,"",IF(Calc!E35&gt;=1,"✖ saturated (B ≥ freq.)",IF(Calc!E35&gt;0.1,"⚠ B &gt; 10% of freq.",IF(Calc!E35=0,"⚠ no brightness",IF(Calc!F35&gt;0.1,"⚠ step &gt; 10% of wr",IF(OR(AND(N($AQ35)&gt;0,IF($O35="",1,$O35)&lt;3),AND(N($AP35)&gt;0,IF($O35="",1,$O35)&lt;2)),"⚠ uses a colour above Colours = "&amp;IF($O35="",1,$O35)&amp;" (ignored)",IF(AND($AU35&lt;&gt;"",$AU35&lt;&gt;"No FRET",N(IF($O35="",1,$O35))&lt;2),"⚠ FRET needs ≥ 2 colours",IF(AND($AU35&lt;&gt;"",$AU35&lt;&gt;"No FRET",N($AV35)+N($AW35)+N($AX35)=0),"⚠ FRET: set R","✔ OK"))))))))</f>
        <v/>
      </c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7" t="str">
        <f aca="false">IF(OR($BM35="",$BM35="No FRET",N($BN35)&lt;=0,N(IF($AI35="",63,$AI35))&lt;=0),"",1/(1+($BN35/IF($AI35="",63,$AI35))^6))</f>
        <v/>
      </c>
      <c r="BR35" s="27" t="str">
        <f aca="false">IF(OR($BM35="",$BM35="No FRET",N($BO35)&lt;=0,N(IF($AJ35="",51,$AJ35))&lt;=0),"",1/(1+($BO35/IF($AJ35="",51,$AJ35))^6))</f>
        <v/>
      </c>
      <c r="BS35" s="27" t="str">
        <f aca="false">IF(OR($BM35="",$BM35="No FRET",N($BP35)&lt;=0,N(IF($AK35="",68,$AK35))&lt;=0),"",1/(1+($BP35/IF($AK35="",68,$AK35))^6))</f>
        <v/>
      </c>
      <c r="BT35" s="28" t="str">
        <f aca="false">IF(OR($A35="",N($BF35)&lt;=0),"",IF(IF($I35="",5000,$I35)&gt;0,$BF35/(IF($G35="",5000,$G35)*IF($H35="",5000,$H35)*IF($I35="",5000,$I35))/1E-024/6.022E+023/0.000000001,""))</f>
        <v/>
      </c>
      <c r="BU35" s="29" t="str">
        <f aca="false">IF(Calc!M35=0,"",IF(Calc!K35&gt;=1,"✖ saturated (B ≥ freq.)",IF(Calc!K35&gt;0.1,"⚠ B &gt; 10% of freq.",IF(Calc!K35=0,"⚠ no brightness",IF(Calc!L35&gt;0.1,"⚠ step &gt; 10% of wr",IF(OR(AND(N($BI35)&gt;0,IF($O35="",1,$O35)&lt;3),AND(N($BH35)&gt;0,IF($O35="",1,$O35)&lt;2)),"⚠ uses a colour above Colours = "&amp;IF($O35="",1,$O35)&amp;" (ignored)",IF(AND($BM35&lt;&gt;"",$BM35&lt;&gt;"No FRET",N(IF($O35="",1,$O35))&lt;2),"⚠ FRET needs ≥ 2 colours",IF(AND($BM35&lt;&gt;"",$BM35&lt;&gt;"No FRET",N($BN35)+N($BO35)+N($BP35)=0),"⚠ FRET: set R","✔ OK"))))))))</f>
        <v/>
      </c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7" t="str">
        <f aca="false">IF(OR($CE35="",$CE35="No FRET",N($CF35)&lt;=0,N(IF($AI35="",63,$AI35))&lt;=0),"",1/(1+($CF35/IF($AI35="",63,$AI35))^6))</f>
        <v/>
      </c>
      <c r="CJ35" s="27" t="str">
        <f aca="false">IF(OR($CE35="",$CE35="No FRET",N($CG35)&lt;=0,N(IF($AJ35="",51,$AJ35))&lt;=0),"",1/(1+($CG35/IF($AJ35="",51,$AJ35))^6))</f>
        <v/>
      </c>
      <c r="CK35" s="27" t="str">
        <f aca="false">IF(OR($CE35="",$CE35="No FRET",N($CH35)&lt;=0,N(IF($AK35="",68,$AK35))&lt;=0),"",1/(1+($CH35/IF($AK35="",68,$AK35))^6))</f>
        <v/>
      </c>
      <c r="CL35" s="28" t="str">
        <f aca="false">IF(OR($A35="",N($BX35)&lt;=0),"",IF(IF($I35="",5000,$I35)&gt;0,$BX35/(IF($G35="",5000,$G35)*IF($H35="",5000,$H35)*IF($I35="",5000,$I35))/1E-024/6.022E+023/0.000000001,""))</f>
        <v/>
      </c>
      <c r="CM35" s="29" t="str">
        <f aca="false">IF(Calc!S35=0,"",IF(Calc!Q35&gt;=1,"✖ saturated (B ≥ freq.)",IF(Calc!Q35&gt;0.1,"⚠ B &gt; 10% of freq.",IF(Calc!Q35=0,"⚠ no brightness",IF(Calc!R35&gt;0.1,"⚠ step &gt; 10% of wr",IF(OR(AND(N($CA35)&gt;0,IF($O35="",1,$O35)&lt;3),AND(N($BZ35)&gt;0,IF($O35="",1,$O35)&lt;2)),"⚠ uses a colour above Colours = "&amp;IF($O35="",1,$O35)&amp;" (ignored)",IF(AND($CE35&lt;&gt;"",$CE35&lt;&gt;"No FRET",N(IF($O35="",1,$O35))&lt;2),"⚠ FRET needs ≥ 2 colours",IF(AND($CE35&lt;&gt;"",$CE35&lt;&gt;"No FRET",N($CF35)+N($CG35)+N($CH35)=0),"⚠ FRET: set R","✔ OK"))))))))</f>
        <v/>
      </c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7" t="str">
        <f aca="false">IF(OR($CW35="",$CW35="No FRET",N($CX35)&lt;=0,N(IF($AI35="",63,$AI35))&lt;=0),"",1/(1+($CX35/IF($AI35="",63,$AI35))^6))</f>
        <v/>
      </c>
      <c r="DB35" s="27" t="str">
        <f aca="false">IF(OR($CW35="",$CW35="No FRET",N($CY35)&lt;=0,N(IF($AJ35="",51,$AJ35))&lt;=0),"",1/(1+($CY35/IF($AJ35="",51,$AJ35))^6))</f>
        <v/>
      </c>
      <c r="DC35" s="27" t="str">
        <f aca="false">IF(OR($CW35="",$CW35="No FRET",N($CZ35)&lt;=0,N(IF($AK35="",68,$AK35))&lt;=0),"",1/(1+($CZ35/IF($AK35="",68,$AK35))^6))</f>
        <v/>
      </c>
      <c r="DD35" s="28" t="str">
        <f aca="false">IF(OR($A35="",N($CP35)&lt;=0),"",IF(IF($I35="",5000,$I35)&gt;0,$CP35/(IF($G35="",5000,$G35)*IF($H35="",5000,$H35)*IF($I35="",5000,$I35))/1E-024/6.022E+023/0.000000001,""))</f>
        <v/>
      </c>
      <c r="DE35" s="29" t="str">
        <f aca="false">IF(Calc!Y35=0,"",IF(Calc!W35&gt;=1,"✖ saturated (B ≥ freq.)",IF(Calc!W35&gt;0.1,"⚠ B &gt; 10% of freq.",IF(Calc!W35=0,"⚠ no brightness",IF(Calc!X35&gt;0.1,"⚠ step &gt; 10% of wr",IF(OR(AND(N($CS35)&gt;0,IF($O35="",1,$O35)&lt;3),AND(N($CR35)&gt;0,IF($O35="",1,$O35)&lt;2)),"⚠ uses a colour above Colours = "&amp;IF($O35="",1,$O35)&amp;" (ignored)",IF(AND($CW35&lt;&gt;"",$CW35&lt;&gt;"No FRET",N(IF($O35="",1,$O35))&lt;2),"⚠ FRET needs ≥ 2 colours",IF(AND($CW35&lt;&gt;"",$CW35&lt;&gt;"No FRET",N($CX35)+N($CY35)+N($CZ35)=0),"⚠ FRET: set R","✔ OK"))))))))</f>
        <v/>
      </c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7" t="str">
        <f aca="false">IF(OR($DO35="",$DO35="No FRET",N($DP35)&lt;=0,N(IF($AI35="",63,$AI35))&lt;=0),"",1/(1+($DP35/IF($AI35="",63,$AI35))^6))</f>
        <v/>
      </c>
      <c r="DT35" s="27" t="str">
        <f aca="false">IF(OR($DO35="",$DO35="No FRET",N($DQ35)&lt;=0,N(IF($AJ35="",51,$AJ35))&lt;=0),"",1/(1+($DQ35/IF($AJ35="",51,$AJ35))^6))</f>
        <v/>
      </c>
      <c r="DU35" s="27" t="str">
        <f aca="false">IF(OR($DO35="",$DO35="No FRET",N($DR35)&lt;=0,N(IF($AK35="",68,$AK35))&lt;=0),"",1/(1+($DR35/IF($AK35="",68,$AK35))^6))</f>
        <v/>
      </c>
      <c r="DV35" s="28" t="str">
        <f aca="false">IF(OR($A35="",N($DH35)&lt;=0),"",IF(IF($I35="",5000,$I35)&gt;0,$DH35/(IF($G35="",5000,$G35)*IF($H35="",5000,$H35)*IF($I35="",5000,$I35))/1E-024/6.022E+023/0.000000001,""))</f>
        <v/>
      </c>
      <c r="DW35" s="29" t="str">
        <f aca="false">IF(Calc!AE35=0,"",IF(Calc!AC35&gt;=1,"✖ saturated (B ≥ freq.)",IF(Calc!AC35&gt;0.1,"⚠ B &gt; 10% of freq.",IF(Calc!AC35=0,"⚠ no brightness",IF(Calc!AD35&gt;0.1,"⚠ step &gt; 10% of wr",IF(OR(AND(N($DK35)&gt;0,IF($O35="",1,$O35)&lt;3),AND(N($DJ35)&gt;0,IF($O35="",1,$O35)&lt;2)),"⚠ uses a colour above Colours = "&amp;IF($O35="",1,$O35)&amp;" (ignored)",IF(AND($DO35&lt;&gt;"",$DO35&lt;&gt;"No FRET",N(IF($O35="",1,$O35))&lt;2),"⚠ FRET needs ≥ 2 colours",IF(AND($DO35&lt;&gt;"",$DO35&lt;&gt;"No FRET",N($DP35)+N($DQ35)+N($DR35)=0),"⚠ FRET: set R","✔ OK"))))))))</f>
        <v/>
      </c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7" t="str">
        <f aca="false">IF(OR($EG35="",$EG35="No FRET",N($EH35)&lt;=0,N(IF($AI35="",63,$AI35))&lt;=0),"",1/(1+($EH35/IF($AI35="",63,$AI35))^6))</f>
        <v/>
      </c>
      <c r="EL35" s="27" t="str">
        <f aca="false">IF(OR($EG35="",$EG35="No FRET",N($EI35)&lt;=0,N(IF($AJ35="",51,$AJ35))&lt;=0),"",1/(1+($EI35/IF($AJ35="",51,$AJ35))^6))</f>
        <v/>
      </c>
      <c r="EM35" s="27" t="str">
        <f aca="false">IF(OR($EG35="",$EG35="No FRET",N($EJ35)&lt;=0,N(IF($AK35="",68,$AK35))&lt;=0),"",1/(1+($EJ35/IF($AK35="",68,$AK35))^6))</f>
        <v/>
      </c>
      <c r="EN35" s="28" t="str">
        <f aca="false">IF(OR($A35="",N($DZ35)&lt;=0),"",IF(IF($I35="",5000,$I35)&gt;0,$DZ35/(IF($G35="",5000,$G35)*IF($H35="",5000,$H35)*IF($I35="",5000,$I35))/1E-024/6.022E+023/0.000000001,""))</f>
        <v/>
      </c>
      <c r="EO35" s="29" t="str">
        <f aca="false">IF(Calc!AK35=0,"",IF(Calc!AI35&gt;=1,"✖ saturated (B ≥ freq.)",IF(Calc!AI35&gt;0.1,"⚠ B &gt; 10% of freq.",IF(Calc!AI35=0,"⚠ no brightness",IF(Calc!AJ35&gt;0.1,"⚠ step &gt; 10% of wr",IF(OR(AND(N($EC35)&gt;0,IF($O35="",1,$O35)&lt;3),AND(N($EB35)&gt;0,IF($O35="",1,$O35)&lt;2)),"⚠ uses a colour above Colours = "&amp;IF($O35="",1,$O35)&amp;" (ignored)",IF(AND($EG35&lt;&gt;"",$EG35&lt;&gt;"No FRET",N(IF($O35="",1,$O35))&lt;2),"⚠ FRET needs ≥ 2 colours",IF(AND($EG35&lt;&gt;"",$EG35&lt;&gt;"No FRET",N($EH35)+N($EI35)+N($EJ35)=0),"⚠ FRET: set R","✔ OK"))))))))</f>
        <v/>
      </c>
      <c r="EP35" s="30" t="str">
        <f aca="false">IF($A35="","",SUM(Calc!G35,Calc!M35,Calc!S35,Calc!Y35,Calc!AE35,Calc!AK35))</f>
        <v/>
      </c>
      <c r="EQ35" s="30" t="str">
        <f aca="false">IF($A35="","",N($AN35)+N($BF35)+N($BX35)+N($CP35)+N($DH35)+N($DZ35))</f>
        <v/>
      </c>
      <c r="ER35" s="31" t="str">
        <f aca="false">IF($A35="","",SUM(Calc!B35,Calc!H35,Calc!N35,Calc!T35,Calc!Z35,Calc!AF35))</f>
        <v/>
      </c>
      <c r="ES35" s="31" t="str">
        <f aca="false">IF($A35="","",SUM(Calc!C35,Calc!I35,Calc!O35,Calc!U35,Calc!AA35,Calc!AG35))</f>
        <v/>
      </c>
      <c r="ET35" s="31" t="str">
        <f aca="false">IF($A35="","",SUM(Calc!D35,Calc!J35,Calc!P35,Calc!V35,Calc!AB35,Calc!AH35))</f>
        <v/>
      </c>
      <c r="EU35" s="27" t="str">
        <f aca="false">IF($A35="","",($ER35+$ES35+$ET35+IF($P35="Yes",N($Q35)*N(IF($O35="",1,$O35)),0))*1000*IF($K35="",10,$K35)/1000000)</f>
        <v/>
      </c>
      <c r="EV35" s="28" t="str">
        <f aca="false">IF($A35="","",$EU35*1000000*12/1000000000)</f>
        <v/>
      </c>
      <c r="EW35" s="32" t="str">
        <f aca="false">IF($A35="","",IF($EP35=0,"⚠ no species entered",IF(((LEFT($BC35,1)="✖")+(LEFT($BU35,1)="✖")+(LEFT($CM35,1)="✖")+(LEFT($DE35,1)="✖")+(LEFT($DW35,1)="✖")+(LEFT($EO35,1)="✖"))&gt;0,"✖ "&amp;((LEFT($BC35,1)="✖")+(LEFT($BU35,1)="✖")+(LEFT($CM35,1)="✖")+(LEFT($DE35,1)="✖")+(LEFT($DW35,1)="✖")+(LEFT($EO35,1)="✖"))&amp;" species saturated - see the species checks",IF(MIN(IF($G35="",5000,$G35),IF($H35="",5000,$H35))&lt;8*MAX(IF($T35="",200,$T35),IF($U35="",200,$U35),IF($V35="",200,$V35)),"⚠ box too small laterally (&lt; 8·wr)",IF(AND(IF($I35="",5000,$I35)&gt;0,IF($I35="",5000,$I35)&lt;3*MAX(IF($W35="",1000,$W35),IF($X35="",1000,$X35),IF($Y35="",1000,$Y35))),"⚠ box too small axially (&lt; 3·wz)",IF($EV35&gt;8,"⚠ &gt; 8 GB per file: shorten the duration and use several files",IF(((LEFT($BC35,1)="⚠")+(LEFT($BU35,1)="⚠")+(LEFT($CM35,1)="⚠")+(LEFT($DE35,1)="⚠")+(LEFT($DW35,1)="⚠")+(LEFT($EO35,1)="⚠"))&gt;0,"⚠ "&amp;((LEFT($BC35,1)="⚠")+(LEFT($BU35,1)="⚠")+(LEFT($CM35,1)="⚠")+(LEFT($DE35,1)="⚠")+(LEFT($DW35,1)="⚠")+(LEFT($EO35,1)="⚠"))&amp;" species with a warning","✔ OK")))))))</f>
        <v/>
      </c>
      <c r="EX35" s="25"/>
      <c r="EY35" s="25"/>
      <c r="EZ35" s="25"/>
      <c r="FA35" s="25"/>
      <c r="FB35" s="25"/>
      <c r="FC35" s="25"/>
      <c r="FD35" s="25"/>
      <c r="FE35" s="26"/>
    </row>
    <row r="36" customFormat="false" ht="15" hidden="false" customHeight="false" outlineLevel="0" collapsed="false">
      <c r="A36" s="25"/>
      <c r="B36" s="25"/>
      <c r="C36" s="26"/>
      <c r="D36" s="26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7" t="str">
        <f aca="false">IF(OR($AU36="",$AU36="No FRET",N($AV36)&lt;=0,N(IF($AI36="",63,$AI36))&lt;=0),"",1/(1+($AV36/IF($AI36="",63,$AI36))^6))</f>
        <v/>
      </c>
      <c r="AZ36" s="27" t="str">
        <f aca="false">IF(OR($AU36="",$AU36="No FRET",N($AW36)&lt;=0,N(IF($AJ36="",51,$AJ36))&lt;=0),"",1/(1+($AW36/IF($AJ36="",51,$AJ36))^6))</f>
        <v/>
      </c>
      <c r="BA36" s="27" t="str">
        <f aca="false">IF(OR($AU36="",$AU36="No FRET",N($AX36)&lt;=0,N(IF($AK36="",68,$AK36))&lt;=0),"",1/(1+($AX36/IF($AK36="",68,$AK36))^6))</f>
        <v/>
      </c>
      <c r="BB36" s="28" t="str">
        <f aca="false">IF(OR($A36="",N($AN36)&lt;=0),"",IF(IF($I36="",5000,$I36)&gt;0,$AN36/(IF($G36="",5000,$G36)*IF($H36="",5000,$H36)*IF($I36="",5000,$I36))/1E-024/6.022E+023/0.000000001,""))</f>
        <v/>
      </c>
      <c r="BC36" s="29" t="str">
        <f aca="false">IF(Calc!G36=0,"",IF(Calc!E36&gt;=1,"✖ saturated (B ≥ freq.)",IF(Calc!E36&gt;0.1,"⚠ B &gt; 10% of freq.",IF(Calc!E36=0,"⚠ no brightness",IF(Calc!F36&gt;0.1,"⚠ step &gt; 10% of wr",IF(OR(AND(N($AQ36)&gt;0,IF($O36="",1,$O36)&lt;3),AND(N($AP36)&gt;0,IF($O36="",1,$O36)&lt;2)),"⚠ uses a colour above Colours = "&amp;IF($O36="",1,$O36)&amp;" (ignored)",IF(AND($AU36&lt;&gt;"",$AU36&lt;&gt;"No FRET",N(IF($O36="",1,$O36))&lt;2),"⚠ FRET needs ≥ 2 colours",IF(AND($AU36&lt;&gt;"",$AU36&lt;&gt;"No FRET",N($AV36)+N($AW36)+N($AX36)=0),"⚠ FRET: set R","✔ OK"))))))))</f>
        <v/>
      </c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7" t="str">
        <f aca="false">IF(OR($BM36="",$BM36="No FRET",N($BN36)&lt;=0,N(IF($AI36="",63,$AI36))&lt;=0),"",1/(1+($BN36/IF($AI36="",63,$AI36))^6))</f>
        <v/>
      </c>
      <c r="BR36" s="27" t="str">
        <f aca="false">IF(OR($BM36="",$BM36="No FRET",N($BO36)&lt;=0,N(IF($AJ36="",51,$AJ36))&lt;=0),"",1/(1+($BO36/IF($AJ36="",51,$AJ36))^6))</f>
        <v/>
      </c>
      <c r="BS36" s="27" t="str">
        <f aca="false">IF(OR($BM36="",$BM36="No FRET",N($BP36)&lt;=0,N(IF($AK36="",68,$AK36))&lt;=0),"",1/(1+($BP36/IF($AK36="",68,$AK36))^6))</f>
        <v/>
      </c>
      <c r="BT36" s="28" t="str">
        <f aca="false">IF(OR($A36="",N($BF36)&lt;=0),"",IF(IF($I36="",5000,$I36)&gt;0,$BF36/(IF($G36="",5000,$G36)*IF($H36="",5000,$H36)*IF($I36="",5000,$I36))/1E-024/6.022E+023/0.000000001,""))</f>
        <v/>
      </c>
      <c r="BU36" s="29" t="str">
        <f aca="false">IF(Calc!M36=0,"",IF(Calc!K36&gt;=1,"✖ saturated (B ≥ freq.)",IF(Calc!K36&gt;0.1,"⚠ B &gt; 10% of freq.",IF(Calc!K36=0,"⚠ no brightness",IF(Calc!L36&gt;0.1,"⚠ step &gt; 10% of wr",IF(OR(AND(N($BI36)&gt;0,IF($O36="",1,$O36)&lt;3),AND(N($BH36)&gt;0,IF($O36="",1,$O36)&lt;2)),"⚠ uses a colour above Colours = "&amp;IF($O36="",1,$O36)&amp;" (ignored)",IF(AND($BM36&lt;&gt;"",$BM36&lt;&gt;"No FRET",N(IF($O36="",1,$O36))&lt;2),"⚠ FRET needs ≥ 2 colours",IF(AND($BM36&lt;&gt;"",$BM36&lt;&gt;"No FRET",N($BN36)+N($BO36)+N($BP36)=0),"⚠ FRET: set R","✔ OK"))))))))</f>
        <v/>
      </c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7" t="str">
        <f aca="false">IF(OR($CE36="",$CE36="No FRET",N($CF36)&lt;=0,N(IF($AI36="",63,$AI36))&lt;=0),"",1/(1+($CF36/IF($AI36="",63,$AI36))^6))</f>
        <v/>
      </c>
      <c r="CJ36" s="27" t="str">
        <f aca="false">IF(OR($CE36="",$CE36="No FRET",N($CG36)&lt;=0,N(IF($AJ36="",51,$AJ36))&lt;=0),"",1/(1+($CG36/IF($AJ36="",51,$AJ36))^6))</f>
        <v/>
      </c>
      <c r="CK36" s="27" t="str">
        <f aca="false">IF(OR($CE36="",$CE36="No FRET",N($CH36)&lt;=0,N(IF($AK36="",68,$AK36))&lt;=0),"",1/(1+($CH36/IF($AK36="",68,$AK36))^6))</f>
        <v/>
      </c>
      <c r="CL36" s="28" t="str">
        <f aca="false">IF(OR($A36="",N($BX36)&lt;=0),"",IF(IF($I36="",5000,$I36)&gt;0,$BX36/(IF($G36="",5000,$G36)*IF($H36="",5000,$H36)*IF($I36="",5000,$I36))/1E-024/6.022E+023/0.000000001,""))</f>
        <v/>
      </c>
      <c r="CM36" s="29" t="str">
        <f aca="false">IF(Calc!S36=0,"",IF(Calc!Q36&gt;=1,"✖ saturated (B ≥ freq.)",IF(Calc!Q36&gt;0.1,"⚠ B &gt; 10% of freq.",IF(Calc!Q36=0,"⚠ no brightness",IF(Calc!R36&gt;0.1,"⚠ step &gt; 10% of wr",IF(OR(AND(N($CA36)&gt;0,IF($O36="",1,$O36)&lt;3),AND(N($BZ36)&gt;0,IF($O36="",1,$O36)&lt;2)),"⚠ uses a colour above Colours = "&amp;IF($O36="",1,$O36)&amp;" (ignored)",IF(AND($CE36&lt;&gt;"",$CE36&lt;&gt;"No FRET",N(IF($O36="",1,$O36))&lt;2),"⚠ FRET needs ≥ 2 colours",IF(AND($CE36&lt;&gt;"",$CE36&lt;&gt;"No FRET",N($CF36)+N($CG36)+N($CH36)=0),"⚠ FRET: set R","✔ OK"))))))))</f>
        <v/>
      </c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7" t="str">
        <f aca="false">IF(OR($CW36="",$CW36="No FRET",N($CX36)&lt;=0,N(IF($AI36="",63,$AI36))&lt;=0),"",1/(1+($CX36/IF($AI36="",63,$AI36))^6))</f>
        <v/>
      </c>
      <c r="DB36" s="27" t="str">
        <f aca="false">IF(OR($CW36="",$CW36="No FRET",N($CY36)&lt;=0,N(IF($AJ36="",51,$AJ36))&lt;=0),"",1/(1+($CY36/IF($AJ36="",51,$AJ36))^6))</f>
        <v/>
      </c>
      <c r="DC36" s="27" t="str">
        <f aca="false">IF(OR($CW36="",$CW36="No FRET",N($CZ36)&lt;=0,N(IF($AK36="",68,$AK36))&lt;=0),"",1/(1+($CZ36/IF($AK36="",68,$AK36))^6))</f>
        <v/>
      </c>
      <c r="DD36" s="28" t="str">
        <f aca="false">IF(OR($A36="",N($CP36)&lt;=0),"",IF(IF($I36="",5000,$I36)&gt;0,$CP36/(IF($G36="",5000,$G36)*IF($H36="",5000,$H36)*IF($I36="",5000,$I36))/1E-024/6.022E+023/0.000000001,""))</f>
        <v/>
      </c>
      <c r="DE36" s="29" t="str">
        <f aca="false">IF(Calc!Y36=0,"",IF(Calc!W36&gt;=1,"✖ saturated (B ≥ freq.)",IF(Calc!W36&gt;0.1,"⚠ B &gt; 10% of freq.",IF(Calc!W36=0,"⚠ no brightness",IF(Calc!X36&gt;0.1,"⚠ step &gt; 10% of wr",IF(OR(AND(N($CS36)&gt;0,IF($O36="",1,$O36)&lt;3),AND(N($CR36)&gt;0,IF($O36="",1,$O36)&lt;2)),"⚠ uses a colour above Colours = "&amp;IF($O36="",1,$O36)&amp;" (ignored)",IF(AND($CW36&lt;&gt;"",$CW36&lt;&gt;"No FRET",N(IF($O36="",1,$O36))&lt;2),"⚠ FRET needs ≥ 2 colours",IF(AND($CW36&lt;&gt;"",$CW36&lt;&gt;"No FRET",N($CX36)+N($CY36)+N($CZ36)=0),"⚠ FRET: set R","✔ OK"))))))))</f>
        <v/>
      </c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7" t="str">
        <f aca="false">IF(OR($DO36="",$DO36="No FRET",N($DP36)&lt;=0,N(IF($AI36="",63,$AI36))&lt;=0),"",1/(1+($DP36/IF($AI36="",63,$AI36))^6))</f>
        <v/>
      </c>
      <c r="DT36" s="27" t="str">
        <f aca="false">IF(OR($DO36="",$DO36="No FRET",N($DQ36)&lt;=0,N(IF($AJ36="",51,$AJ36))&lt;=0),"",1/(1+($DQ36/IF($AJ36="",51,$AJ36))^6))</f>
        <v/>
      </c>
      <c r="DU36" s="27" t="str">
        <f aca="false">IF(OR($DO36="",$DO36="No FRET",N($DR36)&lt;=0,N(IF($AK36="",68,$AK36))&lt;=0),"",1/(1+($DR36/IF($AK36="",68,$AK36))^6))</f>
        <v/>
      </c>
      <c r="DV36" s="28" t="str">
        <f aca="false">IF(OR($A36="",N($DH36)&lt;=0),"",IF(IF($I36="",5000,$I36)&gt;0,$DH36/(IF($G36="",5000,$G36)*IF($H36="",5000,$H36)*IF($I36="",5000,$I36))/1E-024/6.022E+023/0.000000001,""))</f>
        <v/>
      </c>
      <c r="DW36" s="29" t="str">
        <f aca="false">IF(Calc!AE36=0,"",IF(Calc!AC36&gt;=1,"✖ saturated (B ≥ freq.)",IF(Calc!AC36&gt;0.1,"⚠ B &gt; 10% of freq.",IF(Calc!AC36=0,"⚠ no brightness",IF(Calc!AD36&gt;0.1,"⚠ step &gt; 10% of wr",IF(OR(AND(N($DK36)&gt;0,IF($O36="",1,$O36)&lt;3),AND(N($DJ36)&gt;0,IF($O36="",1,$O36)&lt;2)),"⚠ uses a colour above Colours = "&amp;IF($O36="",1,$O36)&amp;" (ignored)",IF(AND($DO36&lt;&gt;"",$DO36&lt;&gt;"No FRET",N(IF($O36="",1,$O36))&lt;2),"⚠ FRET needs ≥ 2 colours",IF(AND($DO36&lt;&gt;"",$DO36&lt;&gt;"No FRET",N($DP36)+N($DQ36)+N($DR36)=0),"⚠ FRET: set R","✔ OK"))))))))</f>
        <v/>
      </c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7" t="str">
        <f aca="false">IF(OR($EG36="",$EG36="No FRET",N($EH36)&lt;=0,N(IF($AI36="",63,$AI36))&lt;=0),"",1/(1+($EH36/IF($AI36="",63,$AI36))^6))</f>
        <v/>
      </c>
      <c r="EL36" s="27" t="str">
        <f aca="false">IF(OR($EG36="",$EG36="No FRET",N($EI36)&lt;=0,N(IF($AJ36="",51,$AJ36))&lt;=0),"",1/(1+($EI36/IF($AJ36="",51,$AJ36))^6))</f>
        <v/>
      </c>
      <c r="EM36" s="27" t="str">
        <f aca="false">IF(OR($EG36="",$EG36="No FRET",N($EJ36)&lt;=0,N(IF($AK36="",68,$AK36))&lt;=0),"",1/(1+($EJ36/IF($AK36="",68,$AK36))^6))</f>
        <v/>
      </c>
      <c r="EN36" s="28" t="str">
        <f aca="false">IF(OR($A36="",N($DZ36)&lt;=0),"",IF(IF($I36="",5000,$I36)&gt;0,$DZ36/(IF($G36="",5000,$G36)*IF($H36="",5000,$H36)*IF($I36="",5000,$I36))/1E-024/6.022E+023/0.000000001,""))</f>
        <v/>
      </c>
      <c r="EO36" s="29" t="str">
        <f aca="false">IF(Calc!AK36=0,"",IF(Calc!AI36&gt;=1,"✖ saturated (B ≥ freq.)",IF(Calc!AI36&gt;0.1,"⚠ B &gt; 10% of freq.",IF(Calc!AI36=0,"⚠ no brightness",IF(Calc!AJ36&gt;0.1,"⚠ step &gt; 10% of wr",IF(OR(AND(N($EC36)&gt;0,IF($O36="",1,$O36)&lt;3),AND(N($EB36)&gt;0,IF($O36="",1,$O36)&lt;2)),"⚠ uses a colour above Colours = "&amp;IF($O36="",1,$O36)&amp;" (ignored)",IF(AND($EG36&lt;&gt;"",$EG36&lt;&gt;"No FRET",N(IF($O36="",1,$O36))&lt;2),"⚠ FRET needs ≥ 2 colours",IF(AND($EG36&lt;&gt;"",$EG36&lt;&gt;"No FRET",N($EH36)+N($EI36)+N($EJ36)=0),"⚠ FRET: set R","✔ OK"))))))))</f>
        <v/>
      </c>
      <c r="EP36" s="30" t="str">
        <f aca="false">IF($A36="","",SUM(Calc!G36,Calc!M36,Calc!S36,Calc!Y36,Calc!AE36,Calc!AK36))</f>
        <v/>
      </c>
      <c r="EQ36" s="30" t="str">
        <f aca="false">IF($A36="","",N($AN36)+N($BF36)+N($BX36)+N($CP36)+N($DH36)+N($DZ36))</f>
        <v/>
      </c>
      <c r="ER36" s="31" t="str">
        <f aca="false">IF($A36="","",SUM(Calc!B36,Calc!H36,Calc!N36,Calc!T36,Calc!Z36,Calc!AF36))</f>
        <v/>
      </c>
      <c r="ES36" s="31" t="str">
        <f aca="false">IF($A36="","",SUM(Calc!C36,Calc!I36,Calc!O36,Calc!U36,Calc!AA36,Calc!AG36))</f>
        <v/>
      </c>
      <c r="ET36" s="31" t="str">
        <f aca="false">IF($A36="","",SUM(Calc!D36,Calc!J36,Calc!P36,Calc!V36,Calc!AB36,Calc!AH36))</f>
        <v/>
      </c>
      <c r="EU36" s="27" t="str">
        <f aca="false">IF($A36="","",($ER36+$ES36+$ET36+IF($P36="Yes",N($Q36)*N(IF($O36="",1,$O36)),0))*1000*IF($K36="",10,$K36)/1000000)</f>
        <v/>
      </c>
      <c r="EV36" s="28" t="str">
        <f aca="false">IF($A36="","",$EU36*1000000*12/1000000000)</f>
        <v/>
      </c>
      <c r="EW36" s="32" t="str">
        <f aca="false">IF($A36="","",IF($EP36=0,"⚠ no species entered",IF(((LEFT($BC36,1)="✖")+(LEFT($BU36,1)="✖")+(LEFT($CM36,1)="✖")+(LEFT($DE36,1)="✖")+(LEFT($DW36,1)="✖")+(LEFT($EO36,1)="✖"))&gt;0,"✖ "&amp;((LEFT($BC36,1)="✖")+(LEFT($BU36,1)="✖")+(LEFT($CM36,1)="✖")+(LEFT($DE36,1)="✖")+(LEFT($DW36,1)="✖")+(LEFT($EO36,1)="✖"))&amp;" species saturated - see the species checks",IF(MIN(IF($G36="",5000,$G36),IF($H36="",5000,$H36))&lt;8*MAX(IF($T36="",200,$T36),IF($U36="",200,$U36),IF($V36="",200,$V36)),"⚠ box too small laterally (&lt; 8·wr)",IF(AND(IF($I36="",5000,$I36)&gt;0,IF($I36="",5000,$I36)&lt;3*MAX(IF($W36="",1000,$W36),IF($X36="",1000,$X36),IF($Y36="",1000,$Y36))),"⚠ box too small axially (&lt; 3·wz)",IF($EV36&gt;8,"⚠ &gt; 8 GB per file: shorten the duration and use several files",IF(((LEFT($BC36,1)="⚠")+(LEFT($BU36,1)="⚠")+(LEFT($CM36,1)="⚠")+(LEFT($DE36,1)="⚠")+(LEFT($DW36,1)="⚠")+(LEFT($EO36,1)="⚠"))&gt;0,"⚠ "&amp;((LEFT($BC36,1)="⚠")+(LEFT($BU36,1)="⚠")+(LEFT($CM36,1)="⚠")+(LEFT($DE36,1)="⚠")+(LEFT($DW36,1)="⚠")+(LEFT($EO36,1)="⚠"))&amp;" species with a warning","✔ OK")))))))</f>
        <v/>
      </c>
      <c r="EX36" s="25"/>
      <c r="EY36" s="25"/>
      <c r="EZ36" s="25"/>
      <c r="FA36" s="25"/>
      <c r="FB36" s="25"/>
      <c r="FC36" s="25"/>
      <c r="FD36" s="25"/>
      <c r="FE36" s="26"/>
    </row>
    <row r="37" customFormat="false" ht="15" hidden="false" customHeight="false" outlineLevel="0" collapsed="false">
      <c r="A37" s="25"/>
      <c r="B37" s="25"/>
      <c r="C37" s="26"/>
      <c r="D37" s="26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7" t="str">
        <f aca="false">IF(OR($AU37="",$AU37="No FRET",N($AV37)&lt;=0,N(IF($AI37="",63,$AI37))&lt;=0),"",1/(1+($AV37/IF($AI37="",63,$AI37))^6))</f>
        <v/>
      </c>
      <c r="AZ37" s="27" t="str">
        <f aca="false">IF(OR($AU37="",$AU37="No FRET",N($AW37)&lt;=0,N(IF($AJ37="",51,$AJ37))&lt;=0),"",1/(1+($AW37/IF($AJ37="",51,$AJ37))^6))</f>
        <v/>
      </c>
      <c r="BA37" s="27" t="str">
        <f aca="false">IF(OR($AU37="",$AU37="No FRET",N($AX37)&lt;=0,N(IF($AK37="",68,$AK37))&lt;=0),"",1/(1+($AX37/IF($AK37="",68,$AK37))^6))</f>
        <v/>
      </c>
      <c r="BB37" s="28" t="str">
        <f aca="false">IF(OR($A37="",N($AN37)&lt;=0),"",IF(IF($I37="",5000,$I37)&gt;0,$AN37/(IF($G37="",5000,$G37)*IF($H37="",5000,$H37)*IF($I37="",5000,$I37))/1E-024/6.022E+023/0.000000001,""))</f>
        <v/>
      </c>
      <c r="BC37" s="29" t="str">
        <f aca="false">IF(Calc!G37=0,"",IF(Calc!E37&gt;=1,"✖ saturated (B ≥ freq.)",IF(Calc!E37&gt;0.1,"⚠ B &gt; 10% of freq.",IF(Calc!E37=0,"⚠ no brightness",IF(Calc!F37&gt;0.1,"⚠ step &gt; 10% of wr",IF(OR(AND(N($AQ37)&gt;0,IF($O37="",1,$O37)&lt;3),AND(N($AP37)&gt;0,IF($O37="",1,$O37)&lt;2)),"⚠ uses a colour above Colours = "&amp;IF($O37="",1,$O37)&amp;" (ignored)",IF(AND($AU37&lt;&gt;"",$AU37&lt;&gt;"No FRET",N(IF($O37="",1,$O37))&lt;2),"⚠ FRET needs ≥ 2 colours",IF(AND($AU37&lt;&gt;"",$AU37&lt;&gt;"No FRET",N($AV37)+N($AW37)+N($AX37)=0),"⚠ FRET: set R","✔ OK"))))))))</f>
        <v/>
      </c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7" t="str">
        <f aca="false">IF(OR($BM37="",$BM37="No FRET",N($BN37)&lt;=0,N(IF($AI37="",63,$AI37))&lt;=0),"",1/(1+($BN37/IF($AI37="",63,$AI37))^6))</f>
        <v/>
      </c>
      <c r="BR37" s="27" t="str">
        <f aca="false">IF(OR($BM37="",$BM37="No FRET",N($BO37)&lt;=0,N(IF($AJ37="",51,$AJ37))&lt;=0),"",1/(1+($BO37/IF($AJ37="",51,$AJ37))^6))</f>
        <v/>
      </c>
      <c r="BS37" s="27" t="str">
        <f aca="false">IF(OR($BM37="",$BM37="No FRET",N($BP37)&lt;=0,N(IF($AK37="",68,$AK37))&lt;=0),"",1/(1+($BP37/IF($AK37="",68,$AK37))^6))</f>
        <v/>
      </c>
      <c r="BT37" s="28" t="str">
        <f aca="false">IF(OR($A37="",N($BF37)&lt;=0),"",IF(IF($I37="",5000,$I37)&gt;0,$BF37/(IF($G37="",5000,$G37)*IF($H37="",5000,$H37)*IF($I37="",5000,$I37))/1E-024/6.022E+023/0.000000001,""))</f>
        <v/>
      </c>
      <c r="BU37" s="29" t="str">
        <f aca="false">IF(Calc!M37=0,"",IF(Calc!K37&gt;=1,"✖ saturated (B ≥ freq.)",IF(Calc!K37&gt;0.1,"⚠ B &gt; 10% of freq.",IF(Calc!K37=0,"⚠ no brightness",IF(Calc!L37&gt;0.1,"⚠ step &gt; 10% of wr",IF(OR(AND(N($BI37)&gt;0,IF($O37="",1,$O37)&lt;3),AND(N($BH37)&gt;0,IF($O37="",1,$O37)&lt;2)),"⚠ uses a colour above Colours = "&amp;IF($O37="",1,$O37)&amp;" (ignored)",IF(AND($BM37&lt;&gt;"",$BM37&lt;&gt;"No FRET",N(IF($O37="",1,$O37))&lt;2),"⚠ FRET needs ≥ 2 colours",IF(AND($BM37&lt;&gt;"",$BM37&lt;&gt;"No FRET",N($BN37)+N($BO37)+N($BP37)=0),"⚠ FRET: set R","✔ OK"))))))))</f>
        <v/>
      </c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7" t="str">
        <f aca="false">IF(OR($CE37="",$CE37="No FRET",N($CF37)&lt;=0,N(IF($AI37="",63,$AI37))&lt;=0),"",1/(1+($CF37/IF($AI37="",63,$AI37))^6))</f>
        <v/>
      </c>
      <c r="CJ37" s="27" t="str">
        <f aca="false">IF(OR($CE37="",$CE37="No FRET",N($CG37)&lt;=0,N(IF($AJ37="",51,$AJ37))&lt;=0),"",1/(1+($CG37/IF($AJ37="",51,$AJ37))^6))</f>
        <v/>
      </c>
      <c r="CK37" s="27" t="str">
        <f aca="false">IF(OR($CE37="",$CE37="No FRET",N($CH37)&lt;=0,N(IF($AK37="",68,$AK37))&lt;=0),"",1/(1+($CH37/IF($AK37="",68,$AK37))^6))</f>
        <v/>
      </c>
      <c r="CL37" s="28" t="str">
        <f aca="false">IF(OR($A37="",N($BX37)&lt;=0),"",IF(IF($I37="",5000,$I37)&gt;0,$BX37/(IF($G37="",5000,$G37)*IF($H37="",5000,$H37)*IF($I37="",5000,$I37))/1E-024/6.022E+023/0.000000001,""))</f>
        <v/>
      </c>
      <c r="CM37" s="29" t="str">
        <f aca="false">IF(Calc!S37=0,"",IF(Calc!Q37&gt;=1,"✖ saturated (B ≥ freq.)",IF(Calc!Q37&gt;0.1,"⚠ B &gt; 10% of freq.",IF(Calc!Q37=0,"⚠ no brightness",IF(Calc!R37&gt;0.1,"⚠ step &gt; 10% of wr",IF(OR(AND(N($CA37)&gt;0,IF($O37="",1,$O37)&lt;3),AND(N($BZ37)&gt;0,IF($O37="",1,$O37)&lt;2)),"⚠ uses a colour above Colours = "&amp;IF($O37="",1,$O37)&amp;" (ignored)",IF(AND($CE37&lt;&gt;"",$CE37&lt;&gt;"No FRET",N(IF($O37="",1,$O37))&lt;2),"⚠ FRET needs ≥ 2 colours",IF(AND($CE37&lt;&gt;"",$CE37&lt;&gt;"No FRET",N($CF37)+N($CG37)+N($CH37)=0),"⚠ FRET: set R","✔ OK"))))))))</f>
        <v/>
      </c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7" t="str">
        <f aca="false">IF(OR($CW37="",$CW37="No FRET",N($CX37)&lt;=0,N(IF($AI37="",63,$AI37))&lt;=0),"",1/(1+($CX37/IF($AI37="",63,$AI37))^6))</f>
        <v/>
      </c>
      <c r="DB37" s="27" t="str">
        <f aca="false">IF(OR($CW37="",$CW37="No FRET",N($CY37)&lt;=0,N(IF($AJ37="",51,$AJ37))&lt;=0),"",1/(1+($CY37/IF($AJ37="",51,$AJ37))^6))</f>
        <v/>
      </c>
      <c r="DC37" s="27" t="str">
        <f aca="false">IF(OR($CW37="",$CW37="No FRET",N($CZ37)&lt;=0,N(IF($AK37="",68,$AK37))&lt;=0),"",1/(1+($CZ37/IF($AK37="",68,$AK37))^6))</f>
        <v/>
      </c>
      <c r="DD37" s="28" t="str">
        <f aca="false">IF(OR($A37="",N($CP37)&lt;=0),"",IF(IF($I37="",5000,$I37)&gt;0,$CP37/(IF($G37="",5000,$G37)*IF($H37="",5000,$H37)*IF($I37="",5000,$I37))/1E-024/6.022E+023/0.000000001,""))</f>
        <v/>
      </c>
      <c r="DE37" s="29" t="str">
        <f aca="false">IF(Calc!Y37=0,"",IF(Calc!W37&gt;=1,"✖ saturated (B ≥ freq.)",IF(Calc!W37&gt;0.1,"⚠ B &gt; 10% of freq.",IF(Calc!W37=0,"⚠ no brightness",IF(Calc!X37&gt;0.1,"⚠ step &gt; 10% of wr",IF(OR(AND(N($CS37)&gt;0,IF($O37="",1,$O37)&lt;3),AND(N($CR37)&gt;0,IF($O37="",1,$O37)&lt;2)),"⚠ uses a colour above Colours = "&amp;IF($O37="",1,$O37)&amp;" (ignored)",IF(AND($CW37&lt;&gt;"",$CW37&lt;&gt;"No FRET",N(IF($O37="",1,$O37))&lt;2),"⚠ FRET needs ≥ 2 colours",IF(AND($CW37&lt;&gt;"",$CW37&lt;&gt;"No FRET",N($CX37)+N($CY37)+N($CZ37)=0),"⚠ FRET: set R","✔ OK"))))))))</f>
        <v/>
      </c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7" t="str">
        <f aca="false">IF(OR($DO37="",$DO37="No FRET",N($DP37)&lt;=0,N(IF($AI37="",63,$AI37))&lt;=0),"",1/(1+($DP37/IF($AI37="",63,$AI37))^6))</f>
        <v/>
      </c>
      <c r="DT37" s="27" t="str">
        <f aca="false">IF(OR($DO37="",$DO37="No FRET",N($DQ37)&lt;=0,N(IF($AJ37="",51,$AJ37))&lt;=0),"",1/(1+($DQ37/IF($AJ37="",51,$AJ37))^6))</f>
        <v/>
      </c>
      <c r="DU37" s="27" t="str">
        <f aca="false">IF(OR($DO37="",$DO37="No FRET",N($DR37)&lt;=0,N(IF($AK37="",68,$AK37))&lt;=0),"",1/(1+($DR37/IF($AK37="",68,$AK37))^6))</f>
        <v/>
      </c>
      <c r="DV37" s="28" t="str">
        <f aca="false">IF(OR($A37="",N($DH37)&lt;=0),"",IF(IF($I37="",5000,$I37)&gt;0,$DH37/(IF($G37="",5000,$G37)*IF($H37="",5000,$H37)*IF($I37="",5000,$I37))/1E-024/6.022E+023/0.000000001,""))</f>
        <v/>
      </c>
      <c r="DW37" s="29" t="str">
        <f aca="false">IF(Calc!AE37=0,"",IF(Calc!AC37&gt;=1,"✖ saturated (B ≥ freq.)",IF(Calc!AC37&gt;0.1,"⚠ B &gt; 10% of freq.",IF(Calc!AC37=0,"⚠ no brightness",IF(Calc!AD37&gt;0.1,"⚠ step &gt; 10% of wr",IF(OR(AND(N($DK37)&gt;0,IF($O37="",1,$O37)&lt;3),AND(N($DJ37)&gt;0,IF($O37="",1,$O37)&lt;2)),"⚠ uses a colour above Colours = "&amp;IF($O37="",1,$O37)&amp;" (ignored)",IF(AND($DO37&lt;&gt;"",$DO37&lt;&gt;"No FRET",N(IF($O37="",1,$O37))&lt;2),"⚠ FRET needs ≥ 2 colours",IF(AND($DO37&lt;&gt;"",$DO37&lt;&gt;"No FRET",N($DP37)+N($DQ37)+N($DR37)=0),"⚠ FRET: set R","✔ OK"))))))))</f>
        <v/>
      </c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7" t="str">
        <f aca="false">IF(OR($EG37="",$EG37="No FRET",N($EH37)&lt;=0,N(IF($AI37="",63,$AI37))&lt;=0),"",1/(1+($EH37/IF($AI37="",63,$AI37))^6))</f>
        <v/>
      </c>
      <c r="EL37" s="27" t="str">
        <f aca="false">IF(OR($EG37="",$EG37="No FRET",N($EI37)&lt;=0,N(IF($AJ37="",51,$AJ37))&lt;=0),"",1/(1+($EI37/IF($AJ37="",51,$AJ37))^6))</f>
        <v/>
      </c>
      <c r="EM37" s="27" t="str">
        <f aca="false">IF(OR($EG37="",$EG37="No FRET",N($EJ37)&lt;=0,N(IF($AK37="",68,$AK37))&lt;=0),"",1/(1+($EJ37/IF($AK37="",68,$AK37))^6))</f>
        <v/>
      </c>
      <c r="EN37" s="28" t="str">
        <f aca="false">IF(OR($A37="",N($DZ37)&lt;=0),"",IF(IF($I37="",5000,$I37)&gt;0,$DZ37/(IF($G37="",5000,$G37)*IF($H37="",5000,$H37)*IF($I37="",5000,$I37))/1E-024/6.022E+023/0.000000001,""))</f>
        <v/>
      </c>
      <c r="EO37" s="29" t="str">
        <f aca="false">IF(Calc!AK37=0,"",IF(Calc!AI37&gt;=1,"✖ saturated (B ≥ freq.)",IF(Calc!AI37&gt;0.1,"⚠ B &gt; 10% of freq.",IF(Calc!AI37=0,"⚠ no brightness",IF(Calc!AJ37&gt;0.1,"⚠ step &gt; 10% of wr",IF(OR(AND(N($EC37)&gt;0,IF($O37="",1,$O37)&lt;3),AND(N($EB37)&gt;0,IF($O37="",1,$O37)&lt;2)),"⚠ uses a colour above Colours = "&amp;IF($O37="",1,$O37)&amp;" (ignored)",IF(AND($EG37&lt;&gt;"",$EG37&lt;&gt;"No FRET",N(IF($O37="",1,$O37))&lt;2),"⚠ FRET needs ≥ 2 colours",IF(AND($EG37&lt;&gt;"",$EG37&lt;&gt;"No FRET",N($EH37)+N($EI37)+N($EJ37)=0),"⚠ FRET: set R","✔ OK"))))))))</f>
        <v/>
      </c>
      <c r="EP37" s="30" t="str">
        <f aca="false">IF($A37="","",SUM(Calc!G37,Calc!M37,Calc!S37,Calc!Y37,Calc!AE37,Calc!AK37))</f>
        <v/>
      </c>
      <c r="EQ37" s="30" t="str">
        <f aca="false">IF($A37="","",N($AN37)+N($BF37)+N($BX37)+N($CP37)+N($DH37)+N($DZ37))</f>
        <v/>
      </c>
      <c r="ER37" s="31" t="str">
        <f aca="false">IF($A37="","",SUM(Calc!B37,Calc!H37,Calc!N37,Calc!T37,Calc!Z37,Calc!AF37))</f>
        <v/>
      </c>
      <c r="ES37" s="31" t="str">
        <f aca="false">IF($A37="","",SUM(Calc!C37,Calc!I37,Calc!O37,Calc!U37,Calc!AA37,Calc!AG37))</f>
        <v/>
      </c>
      <c r="ET37" s="31" t="str">
        <f aca="false">IF($A37="","",SUM(Calc!D37,Calc!J37,Calc!P37,Calc!V37,Calc!AB37,Calc!AH37))</f>
        <v/>
      </c>
      <c r="EU37" s="27" t="str">
        <f aca="false">IF($A37="","",($ER37+$ES37+$ET37+IF($P37="Yes",N($Q37)*N(IF($O37="",1,$O37)),0))*1000*IF($K37="",10,$K37)/1000000)</f>
        <v/>
      </c>
      <c r="EV37" s="28" t="str">
        <f aca="false">IF($A37="","",$EU37*1000000*12/1000000000)</f>
        <v/>
      </c>
      <c r="EW37" s="32" t="str">
        <f aca="false">IF($A37="","",IF($EP37=0,"⚠ no species entered",IF(((LEFT($BC37,1)="✖")+(LEFT($BU37,1)="✖")+(LEFT($CM37,1)="✖")+(LEFT($DE37,1)="✖")+(LEFT($DW37,1)="✖")+(LEFT($EO37,1)="✖"))&gt;0,"✖ "&amp;((LEFT($BC37,1)="✖")+(LEFT($BU37,1)="✖")+(LEFT($CM37,1)="✖")+(LEFT($DE37,1)="✖")+(LEFT($DW37,1)="✖")+(LEFT($EO37,1)="✖"))&amp;" species saturated - see the species checks",IF(MIN(IF($G37="",5000,$G37),IF($H37="",5000,$H37))&lt;8*MAX(IF($T37="",200,$T37),IF($U37="",200,$U37),IF($V37="",200,$V37)),"⚠ box too small laterally (&lt; 8·wr)",IF(AND(IF($I37="",5000,$I37)&gt;0,IF($I37="",5000,$I37)&lt;3*MAX(IF($W37="",1000,$W37),IF($X37="",1000,$X37),IF($Y37="",1000,$Y37))),"⚠ box too small axially (&lt; 3·wz)",IF($EV37&gt;8,"⚠ &gt; 8 GB per file: shorten the duration and use several files",IF(((LEFT($BC37,1)="⚠")+(LEFT($BU37,1)="⚠")+(LEFT($CM37,1)="⚠")+(LEFT($DE37,1)="⚠")+(LEFT($DW37,1)="⚠")+(LEFT($EO37,1)="⚠"))&gt;0,"⚠ "&amp;((LEFT($BC37,1)="⚠")+(LEFT($BU37,1)="⚠")+(LEFT($CM37,1)="⚠")+(LEFT($DE37,1)="⚠")+(LEFT($DW37,1)="⚠")+(LEFT($EO37,1)="⚠"))&amp;" species with a warning","✔ OK")))))))</f>
        <v/>
      </c>
      <c r="EX37" s="25"/>
      <c r="EY37" s="25"/>
      <c r="EZ37" s="25"/>
      <c r="FA37" s="25"/>
      <c r="FB37" s="25"/>
      <c r="FC37" s="25"/>
      <c r="FD37" s="25"/>
      <c r="FE37" s="26"/>
    </row>
    <row r="38" customFormat="false" ht="15" hidden="false" customHeight="false" outlineLevel="0" collapsed="false">
      <c r="A38" s="25"/>
      <c r="B38" s="25"/>
      <c r="C38" s="26"/>
      <c r="D38" s="26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7" t="str">
        <f aca="false">IF(OR($AU38="",$AU38="No FRET",N($AV38)&lt;=0,N(IF($AI38="",63,$AI38))&lt;=0),"",1/(1+($AV38/IF($AI38="",63,$AI38))^6))</f>
        <v/>
      </c>
      <c r="AZ38" s="27" t="str">
        <f aca="false">IF(OR($AU38="",$AU38="No FRET",N($AW38)&lt;=0,N(IF($AJ38="",51,$AJ38))&lt;=0),"",1/(1+($AW38/IF($AJ38="",51,$AJ38))^6))</f>
        <v/>
      </c>
      <c r="BA38" s="27" t="str">
        <f aca="false">IF(OR($AU38="",$AU38="No FRET",N($AX38)&lt;=0,N(IF($AK38="",68,$AK38))&lt;=0),"",1/(1+($AX38/IF($AK38="",68,$AK38))^6))</f>
        <v/>
      </c>
      <c r="BB38" s="28" t="str">
        <f aca="false">IF(OR($A38="",N($AN38)&lt;=0),"",IF(IF($I38="",5000,$I38)&gt;0,$AN38/(IF($G38="",5000,$G38)*IF($H38="",5000,$H38)*IF($I38="",5000,$I38))/1E-024/6.022E+023/0.000000001,""))</f>
        <v/>
      </c>
      <c r="BC38" s="29" t="str">
        <f aca="false">IF(Calc!G38=0,"",IF(Calc!E38&gt;=1,"✖ saturated (B ≥ freq.)",IF(Calc!E38&gt;0.1,"⚠ B &gt; 10% of freq.",IF(Calc!E38=0,"⚠ no brightness",IF(Calc!F38&gt;0.1,"⚠ step &gt; 10% of wr",IF(OR(AND(N($AQ38)&gt;0,IF($O38="",1,$O38)&lt;3),AND(N($AP38)&gt;0,IF($O38="",1,$O38)&lt;2)),"⚠ uses a colour above Colours = "&amp;IF($O38="",1,$O38)&amp;" (ignored)",IF(AND($AU38&lt;&gt;"",$AU38&lt;&gt;"No FRET",N(IF($O38="",1,$O38))&lt;2),"⚠ FRET needs ≥ 2 colours",IF(AND($AU38&lt;&gt;"",$AU38&lt;&gt;"No FRET",N($AV38)+N($AW38)+N($AX38)=0),"⚠ FRET: set R","✔ OK"))))))))</f>
        <v/>
      </c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7" t="str">
        <f aca="false">IF(OR($BM38="",$BM38="No FRET",N($BN38)&lt;=0,N(IF($AI38="",63,$AI38))&lt;=0),"",1/(1+($BN38/IF($AI38="",63,$AI38))^6))</f>
        <v/>
      </c>
      <c r="BR38" s="27" t="str">
        <f aca="false">IF(OR($BM38="",$BM38="No FRET",N($BO38)&lt;=0,N(IF($AJ38="",51,$AJ38))&lt;=0),"",1/(1+($BO38/IF($AJ38="",51,$AJ38))^6))</f>
        <v/>
      </c>
      <c r="BS38" s="27" t="str">
        <f aca="false">IF(OR($BM38="",$BM38="No FRET",N($BP38)&lt;=0,N(IF($AK38="",68,$AK38))&lt;=0),"",1/(1+($BP38/IF($AK38="",68,$AK38))^6))</f>
        <v/>
      </c>
      <c r="BT38" s="28" t="str">
        <f aca="false">IF(OR($A38="",N($BF38)&lt;=0),"",IF(IF($I38="",5000,$I38)&gt;0,$BF38/(IF($G38="",5000,$G38)*IF($H38="",5000,$H38)*IF($I38="",5000,$I38))/1E-024/6.022E+023/0.000000001,""))</f>
        <v/>
      </c>
      <c r="BU38" s="29" t="str">
        <f aca="false">IF(Calc!M38=0,"",IF(Calc!K38&gt;=1,"✖ saturated (B ≥ freq.)",IF(Calc!K38&gt;0.1,"⚠ B &gt; 10% of freq.",IF(Calc!K38=0,"⚠ no brightness",IF(Calc!L38&gt;0.1,"⚠ step &gt; 10% of wr",IF(OR(AND(N($BI38)&gt;0,IF($O38="",1,$O38)&lt;3),AND(N($BH38)&gt;0,IF($O38="",1,$O38)&lt;2)),"⚠ uses a colour above Colours = "&amp;IF($O38="",1,$O38)&amp;" (ignored)",IF(AND($BM38&lt;&gt;"",$BM38&lt;&gt;"No FRET",N(IF($O38="",1,$O38))&lt;2),"⚠ FRET needs ≥ 2 colours",IF(AND($BM38&lt;&gt;"",$BM38&lt;&gt;"No FRET",N($BN38)+N($BO38)+N($BP38)=0),"⚠ FRET: set R","✔ OK"))))))))</f>
        <v/>
      </c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7" t="str">
        <f aca="false">IF(OR($CE38="",$CE38="No FRET",N($CF38)&lt;=0,N(IF($AI38="",63,$AI38))&lt;=0),"",1/(1+($CF38/IF($AI38="",63,$AI38))^6))</f>
        <v/>
      </c>
      <c r="CJ38" s="27" t="str">
        <f aca="false">IF(OR($CE38="",$CE38="No FRET",N($CG38)&lt;=0,N(IF($AJ38="",51,$AJ38))&lt;=0),"",1/(1+($CG38/IF($AJ38="",51,$AJ38))^6))</f>
        <v/>
      </c>
      <c r="CK38" s="27" t="str">
        <f aca="false">IF(OR($CE38="",$CE38="No FRET",N($CH38)&lt;=0,N(IF($AK38="",68,$AK38))&lt;=0),"",1/(1+($CH38/IF($AK38="",68,$AK38))^6))</f>
        <v/>
      </c>
      <c r="CL38" s="28" t="str">
        <f aca="false">IF(OR($A38="",N($BX38)&lt;=0),"",IF(IF($I38="",5000,$I38)&gt;0,$BX38/(IF($G38="",5000,$G38)*IF($H38="",5000,$H38)*IF($I38="",5000,$I38))/1E-024/6.022E+023/0.000000001,""))</f>
        <v/>
      </c>
      <c r="CM38" s="29" t="str">
        <f aca="false">IF(Calc!S38=0,"",IF(Calc!Q38&gt;=1,"✖ saturated (B ≥ freq.)",IF(Calc!Q38&gt;0.1,"⚠ B &gt; 10% of freq.",IF(Calc!Q38=0,"⚠ no brightness",IF(Calc!R38&gt;0.1,"⚠ step &gt; 10% of wr",IF(OR(AND(N($CA38)&gt;0,IF($O38="",1,$O38)&lt;3),AND(N($BZ38)&gt;0,IF($O38="",1,$O38)&lt;2)),"⚠ uses a colour above Colours = "&amp;IF($O38="",1,$O38)&amp;" (ignored)",IF(AND($CE38&lt;&gt;"",$CE38&lt;&gt;"No FRET",N(IF($O38="",1,$O38))&lt;2),"⚠ FRET needs ≥ 2 colours",IF(AND($CE38&lt;&gt;"",$CE38&lt;&gt;"No FRET",N($CF38)+N($CG38)+N($CH38)=0),"⚠ FRET: set R","✔ OK"))))))))</f>
        <v/>
      </c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7" t="str">
        <f aca="false">IF(OR($CW38="",$CW38="No FRET",N($CX38)&lt;=0,N(IF($AI38="",63,$AI38))&lt;=0),"",1/(1+($CX38/IF($AI38="",63,$AI38))^6))</f>
        <v/>
      </c>
      <c r="DB38" s="27" t="str">
        <f aca="false">IF(OR($CW38="",$CW38="No FRET",N($CY38)&lt;=0,N(IF($AJ38="",51,$AJ38))&lt;=0),"",1/(1+($CY38/IF($AJ38="",51,$AJ38))^6))</f>
        <v/>
      </c>
      <c r="DC38" s="27" t="str">
        <f aca="false">IF(OR($CW38="",$CW38="No FRET",N($CZ38)&lt;=0,N(IF($AK38="",68,$AK38))&lt;=0),"",1/(1+($CZ38/IF($AK38="",68,$AK38))^6))</f>
        <v/>
      </c>
      <c r="DD38" s="28" t="str">
        <f aca="false">IF(OR($A38="",N($CP38)&lt;=0),"",IF(IF($I38="",5000,$I38)&gt;0,$CP38/(IF($G38="",5000,$G38)*IF($H38="",5000,$H38)*IF($I38="",5000,$I38))/1E-024/6.022E+023/0.000000001,""))</f>
        <v/>
      </c>
      <c r="DE38" s="29" t="str">
        <f aca="false">IF(Calc!Y38=0,"",IF(Calc!W38&gt;=1,"✖ saturated (B ≥ freq.)",IF(Calc!W38&gt;0.1,"⚠ B &gt; 10% of freq.",IF(Calc!W38=0,"⚠ no brightness",IF(Calc!X38&gt;0.1,"⚠ step &gt; 10% of wr",IF(OR(AND(N($CS38)&gt;0,IF($O38="",1,$O38)&lt;3),AND(N($CR38)&gt;0,IF($O38="",1,$O38)&lt;2)),"⚠ uses a colour above Colours = "&amp;IF($O38="",1,$O38)&amp;" (ignored)",IF(AND($CW38&lt;&gt;"",$CW38&lt;&gt;"No FRET",N(IF($O38="",1,$O38))&lt;2),"⚠ FRET needs ≥ 2 colours",IF(AND($CW38&lt;&gt;"",$CW38&lt;&gt;"No FRET",N($CX38)+N($CY38)+N($CZ38)=0),"⚠ FRET: set R","✔ OK"))))))))</f>
        <v/>
      </c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7" t="str">
        <f aca="false">IF(OR($DO38="",$DO38="No FRET",N($DP38)&lt;=0,N(IF($AI38="",63,$AI38))&lt;=0),"",1/(1+($DP38/IF($AI38="",63,$AI38))^6))</f>
        <v/>
      </c>
      <c r="DT38" s="27" t="str">
        <f aca="false">IF(OR($DO38="",$DO38="No FRET",N($DQ38)&lt;=0,N(IF($AJ38="",51,$AJ38))&lt;=0),"",1/(1+($DQ38/IF($AJ38="",51,$AJ38))^6))</f>
        <v/>
      </c>
      <c r="DU38" s="27" t="str">
        <f aca="false">IF(OR($DO38="",$DO38="No FRET",N($DR38)&lt;=0,N(IF($AK38="",68,$AK38))&lt;=0),"",1/(1+($DR38/IF($AK38="",68,$AK38))^6))</f>
        <v/>
      </c>
      <c r="DV38" s="28" t="str">
        <f aca="false">IF(OR($A38="",N($DH38)&lt;=0),"",IF(IF($I38="",5000,$I38)&gt;0,$DH38/(IF($G38="",5000,$G38)*IF($H38="",5000,$H38)*IF($I38="",5000,$I38))/1E-024/6.022E+023/0.000000001,""))</f>
        <v/>
      </c>
      <c r="DW38" s="29" t="str">
        <f aca="false">IF(Calc!AE38=0,"",IF(Calc!AC38&gt;=1,"✖ saturated (B ≥ freq.)",IF(Calc!AC38&gt;0.1,"⚠ B &gt; 10% of freq.",IF(Calc!AC38=0,"⚠ no brightness",IF(Calc!AD38&gt;0.1,"⚠ step &gt; 10% of wr",IF(OR(AND(N($DK38)&gt;0,IF($O38="",1,$O38)&lt;3),AND(N($DJ38)&gt;0,IF($O38="",1,$O38)&lt;2)),"⚠ uses a colour above Colours = "&amp;IF($O38="",1,$O38)&amp;" (ignored)",IF(AND($DO38&lt;&gt;"",$DO38&lt;&gt;"No FRET",N(IF($O38="",1,$O38))&lt;2),"⚠ FRET needs ≥ 2 colours",IF(AND($DO38&lt;&gt;"",$DO38&lt;&gt;"No FRET",N($DP38)+N($DQ38)+N($DR38)=0),"⚠ FRET: set R","✔ OK"))))))))</f>
        <v/>
      </c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7" t="str">
        <f aca="false">IF(OR($EG38="",$EG38="No FRET",N($EH38)&lt;=0,N(IF($AI38="",63,$AI38))&lt;=0),"",1/(1+($EH38/IF($AI38="",63,$AI38))^6))</f>
        <v/>
      </c>
      <c r="EL38" s="27" t="str">
        <f aca="false">IF(OR($EG38="",$EG38="No FRET",N($EI38)&lt;=0,N(IF($AJ38="",51,$AJ38))&lt;=0),"",1/(1+($EI38/IF($AJ38="",51,$AJ38))^6))</f>
        <v/>
      </c>
      <c r="EM38" s="27" t="str">
        <f aca="false">IF(OR($EG38="",$EG38="No FRET",N($EJ38)&lt;=0,N(IF($AK38="",68,$AK38))&lt;=0),"",1/(1+($EJ38/IF($AK38="",68,$AK38))^6))</f>
        <v/>
      </c>
      <c r="EN38" s="28" t="str">
        <f aca="false">IF(OR($A38="",N($DZ38)&lt;=0),"",IF(IF($I38="",5000,$I38)&gt;0,$DZ38/(IF($G38="",5000,$G38)*IF($H38="",5000,$H38)*IF($I38="",5000,$I38))/1E-024/6.022E+023/0.000000001,""))</f>
        <v/>
      </c>
      <c r="EO38" s="29" t="str">
        <f aca="false">IF(Calc!AK38=0,"",IF(Calc!AI38&gt;=1,"✖ saturated (B ≥ freq.)",IF(Calc!AI38&gt;0.1,"⚠ B &gt; 10% of freq.",IF(Calc!AI38=0,"⚠ no brightness",IF(Calc!AJ38&gt;0.1,"⚠ step &gt; 10% of wr",IF(OR(AND(N($EC38)&gt;0,IF($O38="",1,$O38)&lt;3),AND(N($EB38)&gt;0,IF($O38="",1,$O38)&lt;2)),"⚠ uses a colour above Colours = "&amp;IF($O38="",1,$O38)&amp;" (ignored)",IF(AND($EG38&lt;&gt;"",$EG38&lt;&gt;"No FRET",N(IF($O38="",1,$O38))&lt;2),"⚠ FRET needs ≥ 2 colours",IF(AND($EG38&lt;&gt;"",$EG38&lt;&gt;"No FRET",N($EH38)+N($EI38)+N($EJ38)=0),"⚠ FRET: set R","✔ OK"))))))))</f>
        <v/>
      </c>
      <c r="EP38" s="30" t="str">
        <f aca="false">IF($A38="","",SUM(Calc!G38,Calc!M38,Calc!S38,Calc!Y38,Calc!AE38,Calc!AK38))</f>
        <v/>
      </c>
      <c r="EQ38" s="30" t="str">
        <f aca="false">IF($A38="","",N($AN38)+N($BF38)+N($BX38)+N($CP38)+N($DH38)+N($DZ38))</f>
        <v/>
      </c>
      <c r="ER38" s="31" t="str">
        <f aca="false">IF($A38="","",SUM(Calc!B38,Calc!H38,Calc!N38,Calc!T38,Calc!Z38,Calc!AF38))</f>
        <v/>
      </c>
      <c r="ES38" s="31" t="str">
        <f aca="false">IF($A38="","",SUM(Calc!C38,Calc!I38,Calc!O38,Calc!U38,Calc!AA38,Calc!AG38))</f>
        <v/>
      </c>
      <c r="ET38" s="31" t="str">
        <f aca="false">IF($A38="","",SUM(Calc!D38,Calc!J38,Calc!P38,Calc!V38,Calc!AB38,Calc!AH38))</f>
        <v/>
      </c>
      <c r="EU38" s="27" t="str">
        <f aca="false">IF($A38="","",($ER38+$ES38+$ET38+IF($P38="Yes",N($Q38)*N(IF($O38="",1,$O38)),0))*1000*IF($K38="",10,$K38)/1000000)</f>
        <v/>
      </c>
      <c r="EV38" s="28" t="str">
        <f aca="false">IF($A38="","",$EU38*1000000*12/1000000000)</f>
        <v/>
      </c>
      <c r="EW38" s="32" t="str">
        <f aca="false">IF($A38="","",IF($EP38=0,"⚠ no species entered",IF(((LEFT($BC38,1)="✖")+(LEFT($BU38,1)="✖")+(LEFT($CM38,1)="✖")+(LEFT($DE38,1)="✖")+(LEFT($DW38,1)="✖")+(LEFT($EO38,1)="✖"))&gt;0,"✖ "&amp;((LEFT($BC38,1)="✖")+(LEFT($BU38,1)="✖")+(LEFT($CM38,1)="✖")+(LEFT($DE38,1)="✖")+(LEFT($DW38,1)="✖")+(LEFT($EO38,1)="✖"))&amp;" species saturated - see the species checks",IF(MIN(IF($G38="",5000,$G38),IF($H38="",5000,$H38))&lt;8*MAX(IF($T38="",200,$T38),IF($U38="",200,$U38),IF($V38="",200,$V38)),"⚠ box too small laterally (&lt; 8·wr)",IF(AND(IF($I38="",5000,$I38)&gt;0,IF($I38="",5000,$I38)&lt;3*MAX(IF($W38="",1000,$W38),IF($X38="",1000,$X38),IF($Y38="",1000,$Y38))),"⚠ box too small axially (&lt; 3·wz)",IF($EV38&gt;8,"⚠ &gt; 8 GB per file: shorten the duration and use several files",IF(((LEFT($BC38,1)="⚠")+(LEFT($BU38,1)="⚠")+(LEFT($CM38,1)="⚠")+(LEFT($DE38,1)="⚠")+(LEFT($DW38,1)="⚠")+(LEFT($EO38,1)="⚠"))&gt;0,"⚠ "&amp;((LEFT($BC38,1)="⚠")+(LEFT($BU38,1)="⚠")+(LEFT($CM38,1)="⚠")+(LEFT($DE38,1)="⚠")+(LEFT($DW38,1)="⚠")+(LEFT($EO38,1)="⚠"))&amp;" species with a warning","✔ OK")))))))</f>
        <v/>
      </c>
      <c r="EX38" s="25"/>
      <c r="EY38" s="25"/>
      <c r="EZ38" s="25"/>
      <c r="FA38" s="25"/>
      <c r="FB38" s="25"/>
      <c r="FC38" s="25"/>
      <c r="FD38" s="25"/>
      <c r="FE38" s="26"/>
    </row>
    <row r="39" customFormat="false" ht="15" hidden="false" customHeight="false" outlineLevel="0" collapsed="false">
      <c r="A39" s="25"/>
      <c r="B39" s="25"/>
      <c r="C39" s="26"/>
      <c r="D39" s="26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7" t="str">
        <f aca="false">IF(OR($AU39="",$AU39="No FRET",N($AV39)&lt;=0,N(IF($AI39="",63,$AI39))&lt;=0),"",1/(1+($AV39/IF($AI39="",63,$AI39))^6))</f>
        <v/>
      </c>
      <c r="AZ39" s="27" t="str">
        <f aca="false">IF(OR($AU39="",$AU39="No FRET",N($AW39)&lt;=0,N(IF($AJ39="",51,$AJ39))&lt;=0),"",1/(1+($AW39/IF($AJ39="",51,$AJ39))^6))</f>
        <v/>
      </c>
      <c r="BA39" s="27" t="str">
        <f aca="false">IF(OR($AU39="",$AU39="No FRET",N($AX39)&lt;=0,N(IF($AK39="",68,$AK39))&lt;=0),"",1/(1+($AX39/IF($AK39="",68,$AK39))^6))</f>
        <v/>
      </c>
      <c r="BB39" s="28" t="str">
        <f aca="false">IF(OR($A39="",N($AN39)&lt;=0),"",IF(IF($I39="",5000,$I39)&gt;0,$AN39/(IF($G39="",5000,$G39)*IF($H39="",5000,$H39)*IF($I39="",5000,$I39))/1E-024/6.022E+023/0.000000001,""))</f>
        <v/>
      </c>
      <c r="BC39" s="29" t="str">
        <f aca="false">IF(Calc!G39=0,"",IF(Calc!E39&gt;=1,"✖ saturated (B ≥ freq.)",IF(Calc!E39&gt;0.1,"⚠ B &gt; 10% of freq.",IF(Calc!E39=0,"⚠ no brightness",IF(Calc!F39&gt;0.1,"⚠ step &gt; 10% of wr",IF(OR(AND(N($AQ39)&gt;0,IF($O39="",1,$O39)&lt;3),AND(N($AP39)&gt;0,IF($O39="",1,$O39)&lt;2)),"⚠ uses a colour above Colours = "&amp;IF($O39="",1,$O39)&amp;" (ignored)",IF(AND($AU39&lt;&gt;"",$AU39&lt;&gt;"No FRET",N(IF($O39="",1,$O39))&lt;2),"⚠ FRET needs ≥ 2 colours",IF(AND($AU39&lt;&gt;"",$AU39&lt;&gt;"No FRET",N($AV39)+N($AW39)+N($AX39)=0),"⚠ FRET: set R","✔ OK"))))))))</f>
        <v/>
      </c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7" t="str">
        <f aca="false">IF(OR($BM39="",$BM39="No FRET",N($BN39)&lt;=0,N(IF($AI39="",63,$AI39))&lt;=0),"",1/(1+($BN39/IF($AI39="",63,$AI39))^6))</f>
        <v/>
      </c>
      <c r="BR39" s="27" t="str">
        <f aca="false">IF(OR($BM39="",$BM39="No FRET",N($BO39)&lt;=0,N(IF($AJ39="",51,$AJ39))&lt;=0),"",1/(1+($BO39/IF($AJ39="",51,$AJ39))^6))</f>
        <v/>
      </c>
      <c r="BS39" s="27" t="str">
        <f aca="false">IF(OR($BM39="",$BM39="No FRET",N($BP39)&lt;=0,N(IF($AK39="",68,$AK39))&lt;=0),"",1/(1+($BP39/IF($AK39="",68,$AK39))^6))</f>
        <v/>
      </c>
      <c r="BT39" s="28" t="str">
        <f aca="false">IF(OR($A39="",N($BF39)&lt;=0),"",IF(IF($I39="",5000,$I39)&gt;0,$BF39/(IF($G39="",5000,$G39)*IF($H39="",5000,$H39)*IF($I39="",5000,$I39))/1E-024/6.022E+023/0.000000001,""))</f>
        <v/>
      </c>
      <c r="BU39" s="29" t="str">
        <f aca="false">IF(Calc!M39=0,"",IF(Calc!K39&gt;=1,"✖ saturated (B ≥ freq.)",IF(Calc!K39&gt;0.1,"⚠ B &gt; 10% of freq.",IF(Calc!K39=0,"⚠ no brightness",IF(Calc!L39&gt;0.1,"⚠ step &gt; 10% of wr",IF(OR(AND(N($BI39)&gt;0,IF($O39="",1,$O39)&lt;3),AND(N($BH39)&gt;0,IF($O39="",1,$O39)&lt;2)),"⚠ uses a colour above Colours = "&amp;IF($O39="",1,$O39)&amp;" (ignored)",IF(AND($BM39&lt;&gt;"",$BM39&lt;&gt;"No FRET",N(IF($O39="",1,$O39))&lt;2),"⚠ FRET needs ≥ 2 colours",IF(AND($BM39&lt;&gt;"",$BM39&lt;&gt;"No FRET",N($BN39)+N($BO39)+N($BP39)=0),"⚠ FRET: set R","✔ OK"))))))))</f>
        <v/>
      </c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7" t="str">
        <f aca="false">IF(OR($CE39="",$CE39="No FRET",N($CF39)&lt;=0,N(IF($AI39="",63,$AI39))&lt;=0),"",1/(1+($CF39/IF($AI39="",63,$AI39))^6))</f>
        <v/>
      </c>
      <c r="CJ39" s="27" t="str">
        <f aca="false">IF(OR($CE39="",$CE39="No FRET",N($CG39)&lt;=0,N(IF($AJ39="",51,$AJ39))&lt;=0),"",1/(1+($CG39/IF($AJ39="",51,$AJ39))^6))</f>
        <v/>
      </c>
      <c r="CK39" s="27" t="str">
        <f aca="false">IF(OR($CE39="",$CE39="No FRET",N($CH39)&lt;=0,N(IF($AK39="",68,$AK39))&lt;=0),"",1/(1+($CH39/IF($AK39="",68,$AK39))^6))</f>
        <v/>
      </c>
      <c r="CL39" s="28" t="str">
        <f aca="false">IF(OR($A39="",N($BX39)&lt;=0),"",IF(IF($I39="",5000,$I39)&gt;0,$BX39/(IF($G39="",5000,$G39)*IF($H39="",5000,$H39)*IF($I39="",5000,$I39))/1E-024/6.022E+023/0.000000001,""))</f>
        <v/>
      </c>
      <c r="CM39" s="29" t="str">
        <f aca="false">IF(Calc!S39=0,"",IF(Calc!Q39&gt;=1,"✖ saturated (B ≥ freq.)",IF(Calc!Q39&gt;0.1,"⚠ B &gt; 10% of freq.",IF(Calc!Q39=0,"⚠ no brightness",IF(Calc!R39&gt;0.1,"⚠ step &gt; 10% of wr",IF(OR(AND(N($CA39)&gt;0,IF($O39="",1,$O39)&lt;3),AND(N($BZ39)&gt;0,IF($O39="",1,$O39)&lt;2)),"⚠ uses a colour above Colours = "&amp;IF($O39="",1,$O39)&amp;" (ignored)",IF(AND($CE39&lt;&gt;"",$CE39&lt;&gt;"No FRET",N(IF($O39="",1,$O39))&lt;2),"⚠ FRET needs ≥ 2 colours",IF(AND($CE39&lt;&gt;"",$CE39&lt;&gt;"No FRET",N($CF39)+N($CG39)+N($CH39)=0),"⚠ FRET: set R","✔ OK"))))))))</f>
        <v/>
      </c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7" t="str">
        <f aca="false">IF(OR($CW39="",$CW39="No FRET",N($CX39)&lt;=0,N(IF($AI39="",63,$AI39))&lt;=0),"",1/(1+($CX39/IF($AI39="",63,$AI39))^6))</f>
        <v/>
      </c>
      <c r="DB39" s="27" t="str">
        <f aca="false">IF(OR($CW39="",$CW39="No FRET",N($CY39)&lt;=0,N(IF($AJ39="",51,$AJ39))&lt;=0),"",1/(1+($CY39/IF($AJ39="",51,$AJ39))^6))</f>
        <v/>
      </c>
      <c r="DC39" s="27" t="str">
        <f aca="false">IF(OR($CW39="",$CW39="No FRET",N($CZ39)&lt;=0,N(IF($AK39="",68,$AK39))&lt;=0),"",1/(1+($CZ39/IF($AK39="",68,$AK39))^6))</f>
        <v/>
      </c>
      <c r="DD39" s="28" t="str">
        <f aca="false">IF(OR($A39="",N($CP39)&lt;=0),"",IF(IF($I39="",5000,$I39)&gt;0,$CP39/(IF($G39="",5000,$G39)*IF($H39="",5000,$H39)*IF($I39="",5000,$I39))/1E-024/6.022E+023/0.000000001,""))</f>
        <v/>
      </c>
      <c r="DE39" s="29" t="str">
        <f aca="false">IF(Calc!Y39=0,"",IF(Calc!W39&gt;=1,"✖ saturated (B ≥ freq.)",IF(Calc!W39&gt;0.1,"⚠ B &gt; 10% of freq.",IF(Calc!W39=0,"⚠ no brightness",IF(Calc!X39&gt;0.1,"⚠ step &gt; 10% of wr",IF(OR(AND(N($CS39)&gt;0,IF($O39="",1,$O39)&lt;3),AND(N($CR39)&gt;0,IF($O39="",1,$O39)&lt;2)),"⚠ uses a colour above Colours = "&amp;IF($O39="",1,$O39)&amp;" (ignored)",IF(AND($CW39&lt;&gt;"",$CW39&lt;&gt;"No FRET",N(IF($O39="",1,$O39))&lt;2),"⚠ FRET needs ≥ 2 colours",IF(AND($CW39&lt;&gt;"",$CW39&lt;&gt;"No FRET",N($CX39)+N($CY39)+N($CZ39)=0),"⚠ FRET: set R","✔ OK"))))))))</f>
        <v/>
      </c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7" t="str">
        <f aca="false">IF(OR($DO39="",$DO39="No FRET",N($DP39)&lt;=0,N(IF($AI39="",63,$AI39))&lt;=0),"",1/(1+($DP39/IF($AI39="",63,$AI39))^6))</f>
        <v/>
      </c>
      <c r="DT39" s="27" t="str">
        <f aca="false">IF(OR($DO39="",$DO39="No FRET",N($DQ39)&lt;=0,N(IF($AJ39="",51,$AJ39))&lt;=0),"",1/(1+($DQ39/IF($AJ39="",51,$AJ39))^6))</f>
        <v/>
      </c>
      <c r="DU39" s="27" t="str">
        <f aca="false">IF(OR($DO39="",$DO39="No FRET",N($DR39)&lt;=0,N(IF($AK39="",68,$AK39))&lt;=0),"",1/(1+($DR39/IF($AK39="",68,$AK39))^6))</f>
        <v/>
      </c>
      <c r="DV39" s="28" t="str">
        <f aca="false">IF(OR($A39="",N($DH39)&lt;=0),"",IF(IF($I39="",5000,$I39)&gt;0,$DH39/(IF($G39="",5000,$G39)*IF($H39="",5000,$H39)*IF($I39="",5000,$I39))/1E-024/6.022E+023/0.000000001,""))</f>
        <v/>
      </c>
      <c r="DW39" s="29" t="str">
        <f aca="false">IF(Calc!AE39=0,"",IF(Calc!AC39&gt;=1,"✖ saturated (B ≥ freq.)",IF(Calc!AC39&gt;0.1,"⚠ B &gt; 10% of freq.",IF(Calc!AC39=0,"⚠ no brightness",IF(Calc!AD39&gt;0.1,"⚠ step &gt; 10% of wr",IF(OR(AND(N($DK39)&gt;0,IF($O39="",1,$O39)&lt;3),AND(N($DJ39)&gt;0,IF($O39="",1,$O39)&lt;2)),"⚠ uses a colour above Colours = "&amp;IF($O39="",1,$O39)&amp;" (ignored)",IF(AND($DO39&lt;&gt;"",$DO39&lt;&gt;"No FRET",N(IF($O39="",1,$O39))&lt;2),"⚠ FRET needs ≥ 2 colours",IF(AND($DO39&lt;&gt;"",$DO39&lt;&gt;"No FRET",N($DP39)+N($DQ39)+N($DR39)=0),"⚠ FRET: set R","✔ OK"))))))))</f>
        <v/>
      </c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7" t="str">
        <f aca="false">IF(OR($EG39="",$EG39="No FRET",N($EH39)&lt;=0,N(IF($AI39="",63,$AI39))&lt;=0),"",1/(1+($EH39/IF($AI39="",63,$AI39))^6))</f>
        <v/>
      </c>
      <c r="EL39" s="27" t="str">
        <f aca="false">IF(OR($EG39="",$EG39="No FRET",N($EI39)&lt;=0,N(IF($AJ39="",51,$AJ39))&lt;=0),"",1/(1+($EI39/IF($AJ39="",51,$AJ39))^6))</f>
        <v/>
      </c>
      <c r="EM39" s="27" t="str">
        <f aca="false">IF(OR($EG39="",$EG39="No FRET",N($EJ39)&lt;=0,N(IF($AK39="",68,$AK39))&lt;=0),"",1/(1+($EJ39/IF($AK39="",68,$AK39))^6))</f>
        <v/>
      </c>
      <c r="EN39" s="28" t="str">
        <f aca="false">IF(OR($A39="",N($DZ39)&lt;=0),"",IF(IF($I39="",5000,$I39)&gt;0,$DZ39/(IF($G39="",5000,$G39)*IF($H39="",5000,$H39)*IF($I39="",5000,$I39))/1E-024/6.022E+023/0.000000001,""))</f>
        <v/>
      </c>
      <c r="EO39" s="29" t="str">
        <f aca="false">IF(Calc!AK39=0,"",IF(Calc!AI39&gt;=1,"✖ saturated (B ≥ freq.)",IF(Calc!AI39&gt;0.1,"⚠ B &gt; 10% of freq.",IF(Calc!AI39=0,"⚠ no brightness",IF(Calc!AJ39&gt;0.1,"⚠ step &gt; 10% of wr",IF(OR(AND(N($EC39)&gt;0,IF($O39="",1,$O39)&lt;3),AND(N($EB39)&gt;0,IF($O39="",1,$O39)&lt;2)),"⚠ uses a colour above Colours = "&amp;IF($O39="",1,$O39)&amp;" (ignored)",IF(AND($EG39&lt;&gt;"",$EG39&lt;&gt;"No FRET",N(IF($O39="",1,$O39))&lt;2),"⚠ FRET needs ≥ 2 colours",IF(AND($EG39&lt;&gt;"",$EG39&lt;&gt;"No FRET",N($EH39)+N($EI39)+N($EJ39)=0),"⚠ FRET: set R","✔ OK"))))))))</f>
        <v/>
      </c>
      <c r="EP39" s="30" t="str">
        <f aca="false">IF($A39="","",SUM(Calc!G39,Calc!M39,Calc!S39,Calc!Y39,Calc!AE39,Calc!AK39))</f>
        <v/>
      </c>
      <c r="EQ39" s="30" t="str">
        <f aca="false">IF($A39="","",N($AN39)+N($BF39)+N($BX39)+N($CP39)+N($DH39)+N($DZ39))</f>
        <v/>
      </c>
      <c r="ER39" s="31" t="str">
        <f aca="false">IF($A39="","",SUM(Calc!B39,Calc!H39,Calc!N39,Calc!T39,Calc!Z39,Calc!AF39))</f>
        <v/>
      </c>
      <c r="ES39" s="31" t="str">
        <f aca="false">IF($A39="","",SUM(Calc!C39,Calc!I39,Calc!O39,Calc!U39,Calc!AA39,Calc!AG39))</f>
        <v/>
      </c>
      <c r="ET39" s="31" t="str">
        <f aca="false">IF($A39="","",SUM(Calc!D39,Calc!J39,Calc!P39,Calc!V39,Calc!AB39,Calc!AH39))</f>
        <v/>
      </c>
      <c r="EU39" s="27" t="str">
        <f aca="false">IF($A39="","",($ER39+$ES39+$ET39+IF($P39="Yes",N($Q39)*N(IF($O39="",1,$O39)),0))*1000*IF($K39="",10,$K39)/1000000)</f>
        <v/>
      </c>
      <c r="EV39" s="28" t="str">
        <f aca="false">IF($A39="","",$EU39*1000000*12/1000000000)</f>
        <v/>
      </c>
      <c r="EW39" s="32" t="str">
        <f aca="false">IF($A39="","",IF($EP39=0,"⚠ no species entered",IF(((LEFT($BC39,1)="✖")+(LEFT($BU39,1)="✖")+(LEFT($CM39,1)="✖")+(LEFT($DE39,1)="✖")+(LEFT($DW39,1)="✖")+(LEFT($EO39,1)="✖"))&gt;0,"✖ "&amp;((LEFT($BC39,1)="✖")+(LEFT($BU39,1)="✖")+(LEFT($CM39,1)="✖")+(LEFT($DE39,1)="✖")+(LEFT($DW39,1)="✖")+(LEFT($EO39,1)="✖"))&amp;" species saturated - see the species checks",IF(MIN(IF($G39="",5000,$G39),IF($H39="",5000,$H39))&lt;8*MAX(IF($T39="",200,$T39),IF($U39="",200,$U39),IF($V39="",200,$V39)),"⚠ box too small laterally (&lt; 8·wr)",IF(AND(IF($I39="",5000,$I39)&gt;0,IF($I39="",5000,$I39)&lt;3*MAX(IF($W39="",1000,$W39),IF($X39="",1000,$X39),IF($Y39="",1000,$Y39))),"⚠ box too small axially (&lt; 3·wz)",IF($EV39&gt;8,"⚠ &gt; 8 GB per file: shorten the duration and use several files",IF(((LEFT($BC39,1)="⚠")+(LEFT($BU39,1)="⚠")+(LEFT($CM39,1)="⚠")+(LEFT($DE39,1)="⚠")+(LEFT($DW39,1)="⚠")+(LEFT($EO39,1)="⚠"))&gt;0,"⚠ "&amp;((LEFT($BC39,1)="⚠")+(LEFT($BU39,1)="⚠")+(LEFT($CM39,1)="⚠")+(LEFT($DE39,1)="⚠")+(LEFT($DW39,1)="⚠")+(LEFT($EO39,1)="⚠"))&amp;" species with a warning","✔ OK")))))))</f>
        <v/>
      </c>
      <c r="EX39" s="25"/>
      <c r="EY39" s="25"/>
      <c r="EZ39" s="25"/>
      <c r="FA39" s="25"/>
      <c r="FB39" s="25"/>
      <c r="FC39" s="25"/>
      <c r="FD39" s="25"/>
      <c r="FE39" s="26"/>
    </row>
    <row r="40" customFormat="false" ht="15" hidden="false" customHeight="false" outlineLevel="0" collapsed="false">
      <c r="A40" s="25"/>
      <c r="B40" s="25"/>
      <c r="C40" s="26"/>
      <c r="D40" s="26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7" t="str">
        <f aca="false">IF(OR($AU40="",$AU40="No FRET",N($AV40)&lt;=0,N(IF($AI40="",63,$AI40))&lt;=0),"",1/(1+($AV40/IF($AI40="",63,$AI40))^6))</f>
        <v/>
      </c>
      <c r="AZ40" s="27" t="str">
        <f aca="false">IF(OR($AU40="",$AU40="No FRET",N($AW40)&lt;=0,N(IF($AJ40="",51,$AJ40))&lt;=0),"",1/(1+($AW40/IF($AJ40="",51,$AJ40))^6))</f>
        <v/>
      </c>
      <c r="BA40" s="27" t="str">
        <f aca="false">IF(OR($AU40="",$AU40="No FRET",N($AX40)&lt;=0,N(IF($AK40="",68,$AK40))&lt;=0),"",1/(1+($AX40/IF($AK40="",68,$AK40))^6))</f>
        <v/>
      </c>
      <c r="BB40" s="28" t="str">
        <f aca="false">IF(OR($A40="",N($AN40)&lt;=0),"",IF(IF($I40="",5000,$I40)&gt;0,$AN40/(IF($G40="",5000,$G40)*IF($H40="",5000,$H40)*IF($I40="",5000,$I40))/1E-024/6.022E+023/0.000000001,""))</f>
        <v/>
      </c>
      <c r="BC40" s="29" t="str">
        <f aca="false">IF(Calc!G40=0,"",IF(Calc!E40&gt;=1,"✖ saturated (B ≥ freq.)",IF(Calc!E40&gt;0.1,"⚠ B &gt; 10% of freq.",IF(Calc!E40=0,"⚠ no brightness",IF(Calc!F40&gt;0.1,"⚠ step &gt; 10% of wr",IF(OR(AND(N($AQ40)&gt;0,IF($O40="",1,$O40)&lt;3),AND(N($AP40)&gt;0,IF($O40="",1,$O40)&lt;2)),"⚠ uses a colour above Colours = "&amp;IF($O40="",1,$O40)&amp;" (ignored)",IF(AND($AU40&lt;&gt;"",$AU40&lt;&gt;"No FRET",N(IF($O40="",1,$O40))&lt;2),"⚠ FRET needs ≥ 2 colours",IF(AND($AU40&lt;&gt;"",$AU40&lt;&gt;"No FRET",N($AV40)+N($AW40)+N($AX40)=0),"⚠ FRET: set R","✔ OK"))))))))</f>
        <v/>
      </c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7" t="str">
        <f aca="false">IF(OR($BM40="",$BM40="No FRET",N($BN40)&lt;=0,N(IF($AI40="",63,$AI40))&lt;=0),"",1/(1+($BN40/IF($AI40="",63,$AI40))^6))</f>
        <v/>
      </c>
      <c r="BR40" s="27" t="str">
        <f aca="false">IF(OR($BM40="",$BM40="No FRET",N($BO40)&lt;=0,N(IF($AJ40="",51,$AJ40))&lt;=0),"",1/(1+($BO40/IF($AJ40="",51,$AJ40))^6))</f>
        <v/>
      </c>
      <c r="BS40" s="27" t="str">
        <f aca="false">IF(OR($BM40="",$BM40="No FRET",N($BP40)&lt;=0,N(IF($AK40="",68,$AK40))&lt;=0),"",1/(1+($BP40/IF($AK40="",68,$AK40))^6))</f>
        <v/>
      </c>
      <c r="BT40" s="28" t="str">
        <f aca="false">IF(OR($A40="",N($BF40)&lt;=0),"",IF(IF($I40="",5000,$I40)&gt;0,$BF40/(IF($G40="",5000,$G40)*IF($H40="",5000,$H40)*IF($I40="",5000,$I40))/1E-024/6.022E+023/0.000000001,""))</f>
        <v/>
      </c>
      <c r="BU40" s="29" t="str">
        <f aca="false">IF(Calc!M40=0,"",IF(Calc!K40&gt;=1,"✖ saturated (B ≥ freq.)",IF(Calc!K40&gt;0.1,"⚠ B &gt; 10% of freq.",IF(Calc!K40=0,"⚠ no brightness",IF(Calc!L40&gt;0.1,"⚠ step &gt; 10% of wr",IF(OR(AND(N($BI40)&gt;0,IF($O40="",1,$O40)&lt;3),AND(N($BH40)&gt;0,IF($O40="",1,$O40)&lt;2)),"⚠ uses a colour above Colours = "&amp;IF($O40="",1,$O40)&amp;" (ignored)",IF(AND($BM40&lt;&gt;"",$BM40&lt;&gt;"No FRET",N(IF($O40="",1,$O40))&lt;2),"⚠ FRET needs ≥ 2 colours",IF(AND($BM40&lt;&gt;"",$BM40&lt;&gt;"No FRET",N($BN40)+N($BO40)+N($BP40)=0),"⚠ FRET: set R","✔ OK"))))))))</f>
        <v/>
      </c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7" t="str">
        <f aca="false">IF(OR($CE40="",$CE40="No FRET",N($CF40)&lt;=0,N(IF($AI40="",63,$AI40))&lt;=0),"",1/(1+($CF40/IF($AI40="",63,$AI40))^6))</f>
        <v/>
      </c>
      <c r="CJ40" s="27" t="str">
        <f aca="false">IF(OR($CE40="",$CE40="No FRET",N($CG40)&lt;=0,N(IF($AJ40="",51,$AJ40))&lt;=0),"",1/(1+($CG40/IF($AJ40="",51,$AJ40))^6))</f>
        <v/>
      </c>
      <c r="CK40" s="27" t="str">
        <f aca="false">IF(OR($CE40="",$CE40="No FRET",N($CH40)&lt;=0,N(IF($AK40="",68,$AK40))&lt;=0),"",1/(1+($CH40/IF($AK40="",68,$AK40))^6))</f>
        <v/>
      </c>
      <c r="CL40" s="28" t="str">
        <f aca="false">IF(OR($A40="",N($BX40)&lt;=0),"",IF(IF($I40="",5000,$I40)&gt;0,$BX40/(IF($G40="",5000,$G40)*IF($H40="",5000,$H40)*IF($I40="",5000,$I40))/1E-024/6.022E+023/0.000000001,""))</f>
        <v/>
      </c>
      <c r="CM40" s="29" t="str">
        <f aca="false">IF(Calc!S40=0,"",IF(Calc!Q40&gt;=1,"✖ saturated (B ≥ freq.)",IF(Calc!Q40&gt;0.1,"⚠ B &gt; 10% of freq.",IF(Calc!Q40=0,"⚠ no brightness",IF(Calc!R40&gt;0.1,"⚠ step &gt; 10% of wr",IF(OR(AND(N($CA40)&gt;0,IF($O40="",1,$O40)&lt;3),AND(N($BZ40)&gt;0,IF($O40="",1,$O40)&lt;2)),"⚠ uses a colour above Colours = "&amp;IF($O40="",1,$O40)&amp;" (ignored)",IF(AND($CE40&lt;&gt;"",$CE40&lt;&gt;"No FRET",N(IF($O40="",1,$O40))&lt;2),"⚠ FRET needs ≥ 2 colours",IF(AND($CE40&lt;&gt;"",$CE40&lt;&gt;"No FRET",N($CF40)+N($CG40)+N($CH40)=0),"⚠ FRET: set R","✔ OK"))))))))</f>
        <v/>
      </c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7" t="str">
        <f aca="false">IF(OR($CW40="",$CW40="No FRET",N($CX40)&lt;=0,N(IF($AI40="",63,$AI40))&lt;=0),"",1/(1+($CX40/IF($AI40="",63,$AI40))^6))</f>
        <v/>
      </c>
      <c r="DB40" s="27" t="str">
        <f aca="false">IF(OR($CW40="",$CW40="No FRET",N($CY40)&lt;=0,N(IF($AJ40="",51,$AJ40))&lt;=0),"",1/(1+($CY40/IF($AJ40="",51,$AJ40))^6))</f>
        <v/>
      </c>
      <c r="DC40" s="27" t="str">
        <f aca="false">IF(OR($CW40="",$CW40="No FRET",N($CZ40)&lt;=0,N(IF($AK40="",68,$AK40))&lt;=0),"",1/(1+($CZ40/IF($AK40="",68,$AK40))^6))</f>
        <v/>
      </c>
      <c r="DD40" s="28" t="str">
        <f aca="false">IF(OR($A40="",N($CP40)&lt;=0),"",IF(IF($I40="",5000,$I40)&gt;0,$CP40/(IF($G40="",5000,$G40)*IF($H40="",5000,$H40)*IF($I40="",5000,$I40))/1E-024/6.022E+023/0.000000001,""))</f>
        <v/>
      </c>
      <c r="DE40" s="29" t="str">
        <f aca="false">IF(Calc!Y40=0,"",IF(Calc!W40&gt;=1,"✖ saturated (B ≥ freq.)",IF(Calc!W40&gt;0.1,"⚠ B &gt; 10% of freq.",IF(Calc!W40=0,"⚠ no brightness",IF(Calc!X40&gt;0.1,"⚠ step &gt; 10% of wr",IF(OR(AND(N($CS40)&gt;0,IF($O40="",1,$O40)&lt;3),AND(N($CR40)&gt;0,IF($O40="",1,$O40)&lt;2)),"⚠ uses a colour above Colours = "&amp;IF($O40="",1,$O40)&amp;" (ignored)",IF(AND($CW40&lt;&gt;"",$CW40&lt;&gt;"No FRET",N(IF($O40="",1,$O40))&lt;2),"⚠ FRET needs ≥ 2 colours",IF(AND($CW40&lt;&gt;"",$CW40&lt;&gt;"No FRET",N($CX40)+N($CY40)+N($CZ40)=0),"⚠ FRET: set R","✔ OK"))))))))</f>
        <v/>
      </c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7" t="str">
        <f aca="false">IF(OR($DO40="",$DO40="No FRET",N($DP40)&lt;=0,N(IF($AI40="",63,$AI40))&lt;=0),"",1/(1+($DP40/IF($AI40="",63,$AI40))^6))</f>
        <v/>
      </c>
      <c r="DT40" s="27" t="str">
        <f aca="false">IF(OR($DO40="",$DO40="No FRET",N($DQ40)&lt;=0,N(IF($AJ40="",51,$AJ40))&lt;=0),"",1/(1+($DQ40/IF($AJ40="",51,$AJ40))^6))</f>
        <v/>
      </c>
      <c r="DU40" s="27" t="str">
        <f aca="false">IF(OR($DO40="",$DO40="No FRET",N($DR40)&lt;=0,N(IF($AK40="",68,$AK40))&lt;=0),"",1/(1+($DR40/IF($AK40="",68,$AK40))^6))</f>
        <v/>
      </c>
      <c r="DV40" s="28" t="str">
        <f aca="false">IF(OR($A40="",N($DH40)&lt;=0),"",IF(IF($I40="",5000,$I40)&gt;0,$DH40/(IF($G40="",5000,$G40)*IF($H40="",5000,$H40)*IF($I40="",5000,$I40))/1E-024/6.022E+023/0.000000001,""))</f>
        <v/>
      </c>
      <c r="DW40" s="29" t="str">
        <f aca="false">IF(Calc!AE40=0,"",IF(Calc!AC40&gt;=1,"✖ saturated (B ≥ freq.)",IF(Calc!AC40&gt;0.1,"⚠ B &gt; 10% of freq.",IF(Calc!AC40=0,"⚠ no brightness",IF(Calc!AD40&gt;0.1,"⚠ step &gt; 10% of wr",IF(OR(AND(N($DK40)&gt;0,IF($O40="",1,$O40)&lt;3),AND(N($DJ40)&gt;0,IF($O40="",1,$O40)&lt;2)),"⚠ uses a colour above Colours = "&amp;IF($O40="",1,$O40)&amp;" (ignored)",IF(AND($DO40&lt;&gt;"",$DO40&lt;&gt;"No FRET",N(IF($O40="",1,$O40))&lt;2),"⚠ FRET needs ≥ 2 colours",IF(AND($DO40&lt;&gt;"",$DO40&lt;&gt;"No FRET",N($DP40)+N($DQ40)+N($DR40)=0),"⚠ FRET: set R","✔ OK"))))))))</f>
        <v/>
      </c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7" t="str">
        <f aca="false">IF(OR($EG40="",$EG40="No FRET",N($EH40)&lt;=0,N(IF($AI40="",63,$AI40))&lt;=0),"",1/(1+($EH40/IF($AI40="",63,$AI40))^6))</f>
        <v/>
      </c>
      <c r="EL40" s="27" t="str">
        <f aca="false">IF(OR($EG40="",$EG40="No FRET",N($EI40)&lt;=0,N(IF($AJ40="",51,$AJ40))&lt;=0),"",1/(1+($EI40/IF($AJ40="",51,$AJ40))^6))</f>
        <v/>
      </c>
      <c r="EM40" s="27" t="str">
        <f aca="false">IF(OR($EG40="",$EG40="No FRET",N($EJ40)&lt;=0,N(IF($AK40="",68,$AK40))&lt;=0),"",1/(1+($EJ40/IF($AK40="",68,$AK40))^6))</f>
        <v/>
      </c>
      <c r="EN40" s="28" t="str">
        <f aca="false">IF(OR($A40="",N($DZ40)&lt;=0),"",IF(IF($I40="",5000,$I40)&gt;0,$DZ40/(IF($G40="",5000,$G40)*IF($H40="",5000,$H40)*IF($I40="",5000,$I40))/1E-024/6.022E+023/0.000000001,""))</f>
        <v/>
      </c>
      <c r="EO40" s="29" t="str">
        <f aca="false">IF(Calc!AK40=0,"",IF(Calc!AI40&gt;=1,"✖ saturated (B ≥ freq.)",IF(Calc!AI40&gt;0.1,"⚠ B &gt; 10% of freq.",IF(Calc!AI40=0,"⚠ no brightness",IF(Calc!AJ40&gt;0.1,"⚠ step &gt; 10% of wr",IF(OR(AND(N($EC40)&gt;0,IF($O40="",1,$O40)&lt;3),AND(N($EB40)&gt;0,IF($O40="",1,$O40)&lt;2)),"⚠ uses a colour above Colours = "&amp;IF($O40="",1,$O40)&amp;" (ignored)",IF(AND($EG40&lt;&gt;"",$EG40&lt;&gt;"No FRET",N(IF($O40="",1,$O40))&lt;2),"⚠ FRET needs ≥ 2 colours",IF(AND($EG40&lt;&gt;"",$EG40&lt;&gt;"No FRET",N($EH40)+N($EI40)+N($EJ40)=0),"⚠ FRET: set R","✔ OK"))))))))</f>
        <v/>
      </c>
      <c r="EP40" s="30" t="str">
        <f aca="false">IF($A40="","",SUM(Calc!G40,Calc!M40,Calc!S40,Calc!Y40,Calc!AE40,Calc!AK40))</f>
        <v/>
      </c>
      <c r="EQ40" s="30" t="str">
        <f aca="false">IF($A40="","",N($AN40)+N($BF40)+N($BX40)+N($CP40)+N($DH40)+N($DZ40))</f>
        <v/>
      </c>
      <c r="ER40" s="31" t="str">
        <f aca="false">IF($A40="","",SUM(Calc!B40,Calc!H40,Calc!N40,Calc!T40,Calc!Z40,Calc!AF40))</f>
        <v/>
      </c>
      <c r="ES40" s="31" t="str">
        <f aca="false">IF($A40="","",SUM(Calc!C40,Calc!I40,Calc!O40,Calc!U40,Calc!AA40,Calc!AG40))</f>
        <v/>
      </c>
      <c r="ET40" s="31" t="str">
        <f aca="false">IF($A40="","",SUM(Calc!D40,Calc!J40,Calc!P40,Calc!V40,Calc!AB40,Calc!AH40))</f>
        <v/>
      </c>
      <c r="EU40" s="27" t="str">
        <f aca="false">IF($A40="","",($ER40+$ES40+$ET40+IF($P40="Yes",N($Q40)*N(IF($O40="",1,$O40)),0))*1000*IF($K40="",10,$K40)/1000000)</f>
        <v/>
      </c>
      <c r="EV40" s="28" t="str">
        <f aca="false">IF($A40="","",$EU40*1000000*12/1000000000)</f>
        <v/>
      </c>
      <c r="EW40" s="32" t="str">
        <f aca="false">IF($A40="","",IF($EP40=0,"⚠ no species entered",IF(((LEFT($BC40,1)="✖")+(LEFT($BU40,1)="✖")+(LEFT($CM40,1)="✖")+(LEFT($DE40,1)="✖")+(LEFT($DW40,1)="✖")+(LEFT($EO40,1)="✖"))&gt;0,"✖ "&amp;((LEFT($BC40,1)="✖")+(LEFT($BU40,1)="✖")+(LEFT($CM40,1)="✖")+(LEFT($DE40,1)="✖")+(LEFT($DW40,1)="✖")+(LEFT($EO40,1)="✖"))&amp;" species saturated - see the species checks",IF(MIN(IF($G40="",5000,$G40),IF($H40="",5000,$H40))&lt;8*MAX(IF($T40="",200,$T40),IF($U40="",200,$U40),IF($V40="",200,$V40)),"⚠ box too small laterally (&lt; 8·wr)",IF(AND(IF($I40="",5000,$I40)&gt;0,IF($I40="",5000,$I40)&lt;3*MAX(IF($W40="",1000,$W40),IF($X40="",1000,$X40),IF($Y40="",1000,$Y40))),"⚠ box too small axially (&lt; 3·wz)",IF($EV40&gt;8,"⚠ &gt; 8 GB per file: shorten the duration and use several files",IF(((LEFT($BC40,1)="⚠")+(LEFT($BU40,1)="⚠")+(LEFT($CM40,1)="⚠")+(LEFT($DE40,1)="⚠")+(LEFT($DW40,1)="⚠")+(LEFT($EO40,1)="⚠"))&gt;0,"⚠ "&amp;((LEFT($BC40,1)="⚠")+(LEFT($BU40,1)="⚠")+(LEFT($CM40,1)="⚠")+(LEFT($DE40,1)="⚠")+(LEFT($DW40,1)="⚠")+(LEFT($EO40,1)="⚠"))&amp;" species with a warning","✔ OK")))))))</f>
        <v/>
      </c>
      <c r="EX40" s="25"/>
      <c r="EY40" s="25"/>
      <c r="EZ40" s="25"/>
      <c r="FA40" s="25"/>
      <c r="FB40" s="25"/>
      <c r="FC40" s="25"/>
      <c r="FD40" s="25"/>
      <c r="FE40" s="26"/>
    </row>
    <row r="41" customFormat="false" ht="15" hidden="false" customHeight="false" outlineLevel="0" collapsed="false">
      <c r="A41" s="25"/>
      <c r="B41" s="25"/>
      <c r="C41" s="26"/>
      <c r="D41" s="26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7" t="str">
        <f aca="false">IF(OR($AU41="",$AU41="No FRET",N($AV41)&lt;=0,N(IF($AI41="",63,$AI41))&lt;=0),"",1/(1+($AV41/IF($AI41="",63,$AI41))^6))</f>
        <v/>
      </c>
      <c r="AZ41" s="27" t="str">
        <f aca="false">IF(OR($AU41="",$AU41="No FRET",N($AW41)&lt;=0,N(IF($AJ41="",51,$AJ41))&lt;=0),"",1/(1+($AW41/IF($AJ41="",51,$AJ41))^6))</f>
        <v/>
      </c>
      <c r="BA41" s="27" t="str">
        <f aca="false">IF(OR($AU41="",$AU41="No FRET",N($AX41)&lt;=0,N(IF($AK41="",68,$AK41))&lt;=0),"",1/(1+($AX41/IF($AK41="",68,$AK41))^6))</f>
        <v/>
      </c>
      <c r="BB41" s="28" t="str">
        <f aca="false">IF(OR($A41="",N($AN41)&lt;=0),"",IF(IF($I41="",5000,$I41)&gt;0,$AN41/(IF($G41="",5000,$G41)*IF($H41="",5000,$H41)*IF($I41="",5000,$I41))/1E-024/6.022E+023/0.000000001,""))</f>
        <v/>
      </c>
      <c r="BC41" s="29" t="str">
        <f aca="false">IF(Calc!G41=0,"",IF(Calc!E41&gt;=1,"✖ saturated (B ≥ freq.)",IF(Calc!E41&gt;0.1,"⚠ B &gt; 10% of freq.",IF(Calc!E41=0,"⚠ no brightness",IF(Calc!F41&gt;0.1,"⚠ step &gt; 10% of wr",IF(OR(AND(N($AQ41)&gt;0,IF($O41="",1,$O41)&lt;3),AND(N($AP41)&gt;0,IF($O41="",1,$O41)&lt;2)),"⚠ uses a colour above Colours = "&amp;IF($O41="",1,$O41)&amp;" (ignored)",IF(AND($AU41&lt;&gt;"",$AU41&lt;&gt;"No FRET",N(IF($O41="",1,$O41))&lt;2),"⚠ FRET needs ≥ 2 colours",IF(AND($AU41&lt;&gt;"",$AU41&lt;&gt;"No FRET",N($AV41)+N($AW41)+N($AX41)=0),"⚠ FRET: set R","✔ OK"))))))))</f>
        <v/>
      </c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7" t="str">
        <f aca="false">IF(OR($BM41="",$BM41="No FRET",N($BN41)&lt;=0,N(IF($AI41="",63,$AI41))&lt;=0),"",1/(1+($BN41/IF($AI41="",63,$AI41))^6))</f>
        <v/>
      </c>
      <c r="BR41" s="27" t="str">
        <f aca="false">IF(OR($BM41="",$BM41="No FRET",N($BO41)&lt;=0,N(IF($AJ41="",51,$AJ41))&lt;=0),"",1/(1+($BO41/IF($AJ41="",51,$AJ41))^6))</f>
        <v/>
      </c>
      <c r="BS41" s="27" t="str">
        <f aca="false">IF(OR($BM41="",$BM41="No FRET",N($BP41)&lt;=0,N(IF($AK41="",68,$AK41))&lt;=0),"",1/(1+($BP41/IF($AK41="",68,$AK41))^6))</f>
        <v/>
      </c>
      <c r="BT41" s="28" t="str">
        <f aca="false">IF(OR($A41="",N($BF41)&lt;=0),"",IF(IF($I41="",5000,$I41)&gt;0,$BF41/(IF($G41="",5000,$G41)*IF($H41="",5000,$H41)*IF($I41="",5000,$I41))/1E-024/6.022E+023/0.000000001,""))</f>
        <v/>
      </c>
      <c r="BU41" s="29" t="str">
        <f aca="false">IF(Calc!M41=0,"",IF(Calc!K41&gt;=1,"✖ saturated (B ≥ freq.)",IF(Calc!K41&gt;0.1,"⚠ B &gt; 10% of freq.",IF(Calc!K41=0,"⚠ no brightness",IF(Calc!L41&gt;0.1,"⚠ step &gt; 10% of wr",IF(OR(AND(N($BI41)&gt;0,IF($O41="",1,$O41)&lt;3),AND(N($BH41)&gt;0,IF($O41="",1,$O41)&lt;2)),"⚠ uses a colour above Colours = "&amp;IF($O41="",1,$O41)&amp;" (ignored)",IF(AND($BM41&lt;&gt;"",$BM41&lt;&gt;"No FRET",N(IF($O41="",1,$O41))&lt;2),"⚠ FRET needs ≥ 2 colours",IF(AND($BM41&lt;&gt;"",$BM41&lt;&gt;"No FRET",N($BN41)+N($BO41)+N($BP41)=0),"⚠ FRET: set R","✔ OK"))))))))</f>
        <v/>
      </c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7" t="str">
        <f aca="false">IF(OR($CE41="",$CE41="No FRET",N($CF41)&lt;=0,N(IF($AI41="",63,$AI41))&lt;=0),"",1/(1+($CF41/IF($AI41="",63,$AI41))^6))</f>
        <v/>
      </c>
      <c r="CJ41" s="27" t="str">
        <f aca="false">IF(OR($CE41="",$CE41="No FRET",N($CG41)&lt;=0,N(IF($AJ41="",51,$AJ41))&lt;=0),"",1/(1+($CG41/IF($AJ41="",51,$AJ41))^6))</f>
        <v/>
      </c>
      <c r="CK41" s="27" t="str">
        <f aca="false">IF(OR($CE41="",$CE41="No FRET",N($CH41)&lt;=0,N(IF($AK41="",68,$AK41))&lt;=0),"",1/(1+($CH41/IF($AK41="",68,$AK41))^6))</f>
        <v/>
      </c>
      <c r="CL41" s="28" t="str">
        <f aca="false">IF(OR($A41="",N($BX41)&lt;=0),"",IF(IF($I41="",5000,$I41)&gt;0,$BX41/(IF($G41="",5000,$G41)*IF($H41="",5000,$H41)*IF($I41="",5000,$I41))/1E-024/6.022E+023/0.000000001,""))</f>
        <v/>
      </c>
      <c r="CM41" s="29" t="str">
        <f aca="false">IF(Calc!S41=0,"",IF(Calc!Q41&gt;=1,"✖ saturated (B ≥ freq.)",IF(Calc!Q41&gt;0.1,"⚠ B &gt; 10% of freq.",IF(Calc!Q41=0,"⚠ no brightness",IF(Calc!R41&gt;0.1,"⚠ step &gt; 10% of wr",IF(OR(AND(N($CA41)&gt;0,IF($O41="",1,$O41)&lt;3),AND(N($BZ41)&gt;0,IF($O41="",1,$O41)&lt;2)),"⚠ uses a colour above Colours = "&amp;IF($O41="",1,$O41)&amp;" (ignored)",IF(AND($CE41&lt;&gt;"",$CE41&lt;&gt;"No FRET",N(IF($O41="",1,$O41))&lt;2),"⚠ FRET needs ≥ 2 colours",IF(AND($CE41&lt;&gt;"",$CE41&lt;&gt;"No FRET",N($CF41)+N($CG41)+N($CH41)=0),"⚠ FRET: set R","✔ OK"))))))))</f>
        <v/>
      </c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7" t="str">
        <f aca="false">IF(OR($CW41="",$CW41="No FRET",N($CX41)&lt;=0,N(IF($AI41="",63,$AI41))&lt;=0),"",1/(1+($CX41/IF($AI41="",63,$AI41))^6))</f>
        <v/>
      </c>
      <c r="DB41" s="27" t="str">
        <f aca="false">IF(OR($CW41="",$CW41="No FRET",N($CY41)&lt;=0,N(IF($AJ41="",51,$AJ41))&lt;=0),"",1/(1+($CY41/IF($AJ41="",51,$AJ41))^6))</f>
        <v/>
      </c>
      <c r="DC41" s="27" t="str">
        <f aca="false">IF(OR($CW41="",$CW41="No FRET",N($CZ41)&lt;=0,N(IF($AK41="",68,$AK41))&lt;=0),"",1/(1+($CZ41/IF($AK41="",68,$AK41))^6))</f>
        <v/>
      </c>
      <c r="DD41" s="28" t="str">
        <f aca="false">IF(OR($A41="",N($CP41)&lt;=0),"",IF(IF($I41="",5000,$I41)&gt;0,$CP41/(IF($G41="",5000,$G41)*IF($H41="",5000,$H41)*IF($I41="",5000,$I41))/1E-024/6.022E+023/0.000000001,""))</f>
        <v/>
      </c>
      <c r="DE41" s="29" t="str">
        <f aca="false">IF(Calc!Y41=0,"",IF(Calc!W41&gt;=1,"✖ saturated (B ≥ freq.)",IF(Calc!W41&gt;0.1,"⚠ B &gt; 10% of freq.",IF(Calc!W41=0,"⚠ no brightness",IF(Calc!X41&gt;0.1,"⚠ step &gt; 10% of wr",IF(OR(AND(N($CS41)&gt;0,IF($O41="",1,$O41)&lt;3),AND(N($CR41)&gt;0,IF($O41="",1,$O41)&lt;2)),"⚠ uses a colour above Colours = "&amp;IF($O41="",1,$O41)&amp;" (ignored)",IF(AND($CW41&lt;&gt;"",$CW41&lt;&gt;"No FRET",N(IF($O41="",1,$O41))&lt;2),"⚠ FRET needs ≥ 2 colours",IF(AND($CW41&lt;&gt;"",$CW41&lt;&gt;"No FRET",N($CX41)+N($CY41)+N($CZ41)=0),"⚠ FRET: set R","✔ OK"))))))))</f>
        <v/>
      </c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7" t="str">
        <f aca="false">IF(OR($DO41="",$DO41="No FRET",N($DP41)&lt;=0,N(IF($AI41="",63,$AI41))&lt;=0),"",1/(1+($DP41/IF($AI41="",63,$AI41))^6))</f>
        <v/>
      </c>
      <c r="DT41" s="27" t="str">
        <f aca="false">IF(OR($DO41="",$DO41="No FRET",N($DQ41)&lt;=0,N(IF($AJ41="",51,$AJ41))&lt;=0),"",1/(1+($DQ41/IF($AJ41="",51,$AJ41))^6))</f>
        <v/>
      </c>
      <c r="DU41" s="27" t="str">
        <f aca="false">IF(OR($DO41="",$DO41="No FRET",N($DR41)&lt;=0,N(IF($AK41="",68,$AK41))&lt;=0),"",1/(1+($DR41/IF($AK41="",68,$AK41))^6))</f>
        <v/>
      </c>
      <c r="DV41" s="28" t="str">
        <f aca="false">IF(OR($A41="",N($DH41)&lt;=0),"",IF(IF($I41="",5000,$I41)&gt;0,$DH41/(IF($G41="",5000,$G41)*IF($H41="",5000,$H41)*IF($I41="",5000,$I41))/1E-024/6.022E+023/0.000000001,""))</f>
        <v/>
      </c>
      <c r="DW41" s="29" t="str">
        <f aca="false">IF(Calc!AE41=0,"",IF(Calc!AC41&gt;=1,"✖ saturated (B ≥ freq.)",IF(Calc!AC41&gt;0.1,"⚠ B &gt; 10% of freq.",IF(Calc!AC41=0,"⚠ no brightness",IF(Calc!AD41&gt;0.1,"⚠ step &gt; 10% of wr",IF(OR(AND(N($DK41)&gt;0,IF($O41="",1,$O41)&lt;3),AND(N($DJ41)&gt;0,IF($O41="",1,$O41)&lt;2)),"⚠ uses a colour above Colours = "&amp;IF($O41="",1,$O41)&amp;" (ignored)",IF(AND($DO41&lt;&gt;"",$DO41&lt;&gt;"No FRET",N(IF($O41="",1,$O41))&lt;2),"⚠ FRET needs ≥ 2 colours",IF(AND($DO41&lt;&gt;"",$DO41&lt;&gt;"No FRET",N($DP41)+N($DQ41)+N($DR41)=0),"⚠ FRET: set R","✔ OK"))))))))</f>
        <v/>
      </c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7" t="str">
        <f aca="false">IF(OR($EG41="",$EG41="No FRET",N($EH41)&lt;=0,N(IF($AI41="",63,$AI41))&lt;=0),"",1/(1+($EH41/IF($AI41="",63,$AI41))^6))</f>
        <v/>
      </c>
      <c r="EL41" s="27" t="str">
        <f aca="false">IF(OR($EG41="",$EG41="No FRET",N($EI41)&lt;=0,N(IF($AJ41="",51,$AJ41))&lt;=0),"",1/(1+($EI41/IF($AJ41="",51,$AJ41))^6))</f>
        <v/>
      </c>
      <c r="EM41" s="27" t="str">
        <f aca="false">IF(OR($EG41="",$EG41="No FRET",N($EJ41)&lt;=0,N(IF($AK41="",68,$AK41))&lt;=0),"",1/(1+($EJ41/IF($AK41="",68,$AK41))^6))</f>
        <v/>
      </c>
      <c r="EN41" s="28" t="str">
        <f aca="false">IF(OR($A41="",N($DZ41)&lt;=0),"",IF(IF($I41="",5000,$I41)&gt;0,$DZ41/(IF($G41="",5000,$G41)*IF($H41="",5000,$H41)*IF($I41="",5000,$I41))/1E-024/6.022E+023/0.000000001,""))</f>
        <v/>
      </c>
      <c r="EO41" s="29" t="str">
        <f aca="false">IF(Calc!AK41=0,"",IF(Calc!AI41&gt;=1,"✖ saturated (B ≥ freq.)",IF(Calc!AI41&gt;0.1,"⚠ B &gt; 10% of freq.",IF(Calc!AI41=0,"⚠ no brightness",IF(Calc!AJ41&gt;0.1,"⚠ step &gt; 10% of wr",IF(OR(AND(N($EC41)&gt;0,IF($O41="",1,$O41)&lt;3),AND(N($EB41)&gt;0,IF($O41="",1,$O41)&lt;2)),"⚠ uses a colour above Colours = "&amp;IF($O41="",1,$O41)&amp;" (ignored)",IF(AND($EG41&lt;&gt;"",$EG41&lt;&gt;"No FRET",N(IF($O41="",1,$O41))&lt;2),"⚠ FRET needs ≥ 2 colours",IF(AND($EG41&lt;&gt;"",$EG41&lt;&gt;"No FRET",N($EH41)+N($EI41)+N($EJ41)=0),"⚠ FRET: set R","✔ OK"))))))))</f>
        <v/>
      </c>
      <c r="EP41" s="30" t="str">
        <f aca="false">IF($A41="","",SUM(Calc!G41,Calc!M41,Calc!S41,Calc!Y41,Calc!AE41,Calc!AK41))</f>
        <v/>
      </c>
      <c r="EQ41" s="30" t="str">
        <f aca="false">IF($A41="","",N($AN41)+N($BF41)+N($BX41)+N($CP41)+N($DH41)+N($DZ41))</f>
        <v/>
      </c>
      <c r="ER41" s="31" t="str">
        <f aca="false">IF($A41="","",SUM(Calc!B41,Calc!H41,Calc!N41,Calc!T41,Calc!Z41,Calc!AF41))</f>
        <v/>
      </c>
      <c r="ES41" s="31" t="str">
        <f aca="false">IF($A41="","",SUM(Calc!C41,Calc!I41,Calc!O41,Calc!U41,Calc!AA41,Calc!AG41))</f>
        <v/>
      </c>
      <c r="ET41" s="31" t="str">
        <f aca="false">IF($A41="","",SUM(Calc!D41,Calc!J41,Calc!P41,Calc!V41,Calc!AB41,Calc!AH41))</f>
        <v/>
      </c>
      <c r="EU41" s="27" t="str">
        <f aca="false">IF($A41="","",($ER41+$ES41+$ET41+IF($P41="Yes",N($Q41)*N(IF($O41="",1,$O41)),0))*1000*IF($K41="",10,$K41)/1000000)</f>
        <v/>
      </c>
      <c r="EV41" s="28" t="str">
        <f aca="false">IF($A41="","",$EU41*1000000*12/1000000000)</f>
        <v/>
      </c>
      <c r="EW41" s="32" t="str">
        <f aca="false">IF($A41="","",IF($EP41=0,"⚠ no species entered",IF(((LEFT($BC41,1)="✖")+(LEFT($BU41,1)="✖")+(LEFT($CM41,1)="✖")+(LEFT($DE41,1)="✖")+(LEFT($DW41,1)="✖")+(LEFT($EO41,1)="✖"))&gt;0,"✖ "&amp;((LEFT($BC41,1)="✖")+(LEFT($BU41,1)="✖")+(LEFT($CM41,1)="✖")+(LEFT($DE41,1)="✖")+(LEFT($DW41,1)="✖")+(LEFT($EO41,1)="✖"))&amp;" species saturated - see the species checks",IF(MIN(IF($G41="",5000,$G41),IF($H41="",5000,$H41))&lt;8*MAX(IF($T41="",200,$T41),IF($U41="",200,$U41),IF($V41="",200,$V41)),"⚠ box too small laterally (&lt; 8·wr)",IF(AND(IF($I41="",5000,$I41)&gt;0,IF($I41="",5000,$I41)&lt;3*MAX(IF($W41="",1000,$W41),IF($X41="",1000,$X41),IF($Y41="",1000,$Y41))),"⚠ box too small axially (&lt; 3·wz)",IF($EV41&gt;8,"⚠ &gt; 8 GB per file: shorten the duration and use several files",IF(((LEFT($BC41,1)="⚠")+(LEFT($BU41,1)="⚠")+(LEFT($CM41,1)="⚠")+(LEFT($DE41,1)="⚠")+(LEFT($DW41,1)="⚠")+(LEFT($EO41,1)="⚠"))&gt;0,"⚠ "&amp;((LEFT($BC41,1)="⚠")+(LEFT($BU41,1)="⚠")+(LEFT($CM41,1)="⚠")+(LEFT($DE41,1)="⚠")+(LEFT($DW41,1)="⚠")+(LEFT($EO41,1)="⚠"))&amp;" species with a warning","✔ OK")))))))</f>
        <v/>
      </c>
      <c r="EX41" s="25"/>
      <c r="EY41" s="25"/>
      <c r="EZ41" s="25"/>
      <c r="FA41" s="25"/>
      <c r="FB41" s="25"/>
      <c r="FC41" s="25"/>
      <c r="FD41" s="25"/>
      <c r="FE41" s="26"/>
    </row>
    <row r="42" customFormat="false" ht="15" hidden="false" customHeight="false" outlineLevel="0" collapsed="false">
      <c r="A42" s="25"/>
      <c r="B42" s="25"/>
      <c r="C42" s="26"/>
      <c r="D42" s="26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7" t="str">
        <f aca="false">IF(OR($AU42="",$AU42="No FRET",N($AV42)&lt;=0,N(IF($AI42="",63,$AI42))&lt;=0),"",1/(1+($AV42/IF($AI42="",63,$AI42))^6))</f>
        <v/>
      </c>
      <c r="AZ42" s="27" t="str">
        <f aca="false">IF(OR($AU42="",$AU42="No FRET",N($AW42)&lt;=0,N(IF($AJ42="",51,$AJ42))&lt;=0),"",1/(1+($AW42/IF($AJ42="",51,$AJ42))^6))</f>
        <v/>
      </c>
      <c r="BA42" s="27" t="str">
        <f aca="false">IF(OR($AU42="",$AU42="No FRET",N($AX42)&lt;=0,N(IF($AK42="",68,$AK42))&lt;=0),"",1/(1+($AX42/IF($AK42="",68,$AK42))^6))</f>
        <v/>
      </c>
      <c r="BB42" s="28" t="str">
        <f aca="false">IF(OR($A42="",N($AN42)&lt;=0),"",IF(IF($I42="",5000,$I42)&gt;0,$AN42/(IF($G42="",5000,$G42)*IF($H42="",5000,$H42)*IF($I42="",5000,$I42))/1E-024/6.022E+023/0.000000001,""))</f>
        <v/>
      </c>
      <c r="BC42" s="29" t="str">
        <f aca="false">IF(Calc!G42=0,"",IF(Calc!E42&gt;=1,"✖ saturated (B ≥ freq.)",IF(Calc!E42&gt;0.1,"⚠ B &gt; 10% of freq.",IF(Calc!E42=0,"⚠ no brightness",IF(Calc!F42&gt;0.1,"⚠ step &gt; 10% of wr",IF(OR(AND(N($AQ42)&gt;0,IF($O42="",1,$O42)&lt;3),AND(N($AP42)&gt;0,IF($O42="",1,$O42)&lt;2)),"⚠ uses a colour above Colours = "&amp;IF($O42="",1,$O42)&amp;" (ignored)",IF(AND($AU42&lt;&gt;"",$AU42&lt;&gt;"No FRET",N(IF($O42="",1,$O42))&lt;2),"⚠ FRET needs ≥ 2 colours",IF(AND($AU42&lt;&gt;"",$AU42&lt;&gt;"No FRET",N($AV42)+N($AW42)+N($AX42)=0),"⚠ FRET: set R","✔ OK"))))))))</f>
        <v/>
      </c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7" t="str">
        <f aca="false">IF(OR($BM42="",$BM42="No FRET",N($BN42)&lt;=0,N(IF($AI42="",63,$AI42))&lt;=0),"",1/(1+($BN42/IF($AI42="",63,$AI42))^6))</f>
        <v/>
      </c>
      <c r="BR42" s="27" t="str">
        <f aca="false">IF(OR($BM42="",$BM42="No FRET",N($BO42)&lt;=0,N(IF($AJ42="",51,$AJ42))&lt;=0),"",1/(1+($BO42/IF($AJ42="",51,$AJ42))^6))</f>
        <v/>
      </c>
      <c r="BS42" s="27" t="str">
        <f aca="false">IF(OR($BM42="",$BM42="No FRET",N($BP42)&lt;=0,N(IF($AK42="",68,$AK42))&lt;=0),"",1/(1+($BP42/IF($AK42="",68,$AK42))^6))</f>
        <v/>
      </c>
      <c r="BT42" s="28" t="str">
        <f aca="false">IF(OR($A42="",N($BF42)&lt;=0),"",IF(IF($I42="",5000,$I42)&gt;0,$BF42/(IF($G42="",5000,$G42)*IF($H42="",5000,$H42)*IF($I42="",5000,$I42))/1E-024/6.022E+023/0.000000001,""))</f>
        <v/>
      </c>
      <c r="BU42" s="29" t="str">
        <f aca="false">IF(Calc!M42=0,"",IF(Calc!K42&gt;=1,"✖ saturated (B ≥ freq.)",IF(Calc!K42&gt;0.1,"⚠ B &gt; 10% of freq.",IF(Calc!K42=0,"⚠ no brightness",IF(Calc!L42&gt;0.1,"⚠ step &gt; 10% of wr",IF(OR(AND(N($BI42)&gt;0,IF($O42="",1,$O42)&lt;3),AND(N($BH42)&gt;0,IF($O42="",1,$O42)&lt;2)),"⚠ uses a colour above Colours = "&amp;IF($O42="",1,$O42)&amp;" (ignored)",IF(AND($BM42&lt;&gt;"",$BM42&lt;&gt;"No FRET",N(IF($O42="",1,$O42))&lt;2),"⚠ FRET needs ≥ 2 colours",IF(AND($BM42&lt;&gt;"",$BM42&lt;&gt;"No FRET",N($BN42)+N($BO42)+N($BP42)=0),"⚠ FRET: set R","✔ OK"))))))))</f>
        <v/>
      </c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7" t="str">
        <f aca="false">IF(OR($CE42="",$CE42="No FRET",N($CF42)&lt;=0,N(IF($AI42="",63,$AI42))&lt;=0),"",1/(1+($CF42/IF($AI42="",63,$AI42))^6))</f>
        <v/>
      </c>
      <c r="CJ42" s="27" t="str">
        <f aca="false">IF(OR($CE42="",$CE42="No FRET",N($CG42)&lt;=0,N(IF($AJ42="",51,$AJ42))&lt;=0),"",1/(1+($CG42/IF($AJ42="",51,$AJ42))^6))</f>
        <v/>
      </c>
      <c r="CK42" s="27" t="str">
        <f aca="false">IF(OR($CE42="",$CE42="No FRET",N($CH42)&lt;=0,N(IF($AK42="",68,$AK42))&lt;=0),"",1/(1+($CH42/IF($AK42="",68,$AK42))^6))</f>
        <v/>
      </c>
      <c r="CL42" s="28" t="str">
        <f aca="false">IF(OR($A42="",N($BX42)&lt;=0),"",IF(IF($I42="",5000,$I42)&gt;0,$BX42/(IF($G42="",5000,$G42)*IF($H42="",5000,$H42)*IF($I42="",5000,$I42))/1E-024/6.022E+023/0.000000001,""))</f>
        <v/>
      </c>
      <c r="CM42" s="29" t="str">
        <f aca="false">IF(Calc!S42=0,"",IF(Calc!Q42&gt;=1,"✖ saturated (B ≥ freq.)",IF(Calc!Q42&gt;0.1,"⚠ B &gt; 10% of freq.",IF(Calc!Q42=0,"⚠ no brightness",IF(Calc!R42&gt;0.1,"⚠ step &gt; 10% of wr",IF(OR(AND(N($CA42)&gt;0,IF($O42="",1,$O42)&lt;3),AND(N($BZ42)&gt;0,IF($O42="",1,$O42)&lt;2)),"⚠ uses a colour above Colours = "&amp;IF($O42="",1,$O42)&amp;" (ignored)",IF(AND($CE42&lt;&gt;"",$CE42&lt;&gt;"No FRET",N(IF($O42="",1,$O42))&lt;2),"⚠ FRET needs ≥ 2 colours",IF(AND($CE42&lt;&gt;"",$CE42&lt;&gt;"No FRET",N($CF42)+N($CG42)+N($CH42)=0),"⚠ FRET: set R","✔ OK"))))))))</f>
        <v/>
      </c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7" t="str">
        <f aca="false">IF(OR($CW42="",$CW42="No FRET",N($CX42)&lt;=0,N(IF($AI42="",63,$AI42))&lt;=0),"",1/(1+($CX42/IF($AI42="",63,$AI42))^6))</f>
        <v/>
      </c>
      <c r="DB42" s="27" t="str">
        <f aca="false">IF(OR($CW42="",$CW42="No FRET",N($CY42)&lt;=0,N(IF($AJ42="",51,$AJ42))&lt;=0),"",1/(1+($CY42/IF($AJ42="",51,$AJ42))^6))</f>
        <v/>
      </c>
      <c r="DC42" s="27" t="str">
        <f aca="false">IF(OR($CW42="",$CW42="No FRET",N($CZ42)&lt;=0,N(IF($AK42="",68,$AK42))&lt;=0),"",1/(1+($CZ42/IF($AK42="",68,$AK42))^6))</f>
        <v/>
      </c>
      <c r="DD42" s="28" t="str">
        <f aca="false">IF(OR($A42="",N($CP42)&lt;=0),"",IF(IF($I42="",5000,$I42)&gt;0,$CP42/(IF($G42="",5000,$G42)*IF($H42="",5000,$H42)*IF($I42="",5000,$I42))/1E-024/6.022E+023/0.000000001,""))</f>
        <v/>
      </c>
      <c r="DE42" s="29" t="str">
        <f aca="false">IF(Calc!Y42=0,"",IF(Calc!W42&gt;=1,"✖ saturated (B ≥ freq.)",IF(Calc!W42&gt;0.1,"⚠ B &gt; 10% of freq.",IF(Calc!W42=0,"⚠ no brightness",IF(Calc!X42&gt;0.1,"⚠ step &gt; 10% of wr",IF(OR(AND(N($CS42)&gt;0,IF($O42="",1,$O42)&lt;3),AND(N($CR42)&gt;0,IF($O42="",1,$O42)&lt;2)),"⚠ uses a colour above Colours = "&amp;IF($O42="",1,$O42)&amp;" (ignored)",IF(AND($CW42&lt;&gt;"",$CW42&lt;&gt;"No FRET",N(IF($O42="",1,$O42))&lt;2),"⚠ FRET needs ≥ 2 colours",IF(AND($CW42&lt;&gt;"",$CW42&lt;&gt;"No FRET",N($CX42)+N($CY42)+N($CZ42)=0),"⚠ FRET: set R","✔ OK"))))))))</f>
        <v/>
      </c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7" t="str">
        <f aca="false">IF(OR($DO42="",$DO42="No FRET",N($DP42)&lt;=0,N(IF($AI42="",63,$AI42))&lt;=0),"",1/(1+($DP42/IF($AI42="",63,$AI42))^6))</f>
        <v/>
      </c>
      <c r="DT42" s="27" t="str">
        <f aca="false">IF(OR($DO42="",$DO42="No FRET",N($DQ42)&lt;=0,N(IF($AJ42="",51,$AJ42))&lt;=0),"",1/(1+($DQ42/IF($AJ42="",51,$AJ42))^6))</f>
        <v/>
      </c>
      <c r="DU42" s="27" t="str">
        <f aca="false">IF(OR($DO42="",$DO42="No FRET",N($DR42)&lt;=0,N(IF($AK42="",68,$AK42))&lt;=0),"",1/(1+($DR42/IF($AK42="",68,$AK42))^6))</f>
        <v/>
      </c>
      <c r="DV42" s="28" t="str">
        <f aca="false">IF(OR($A42="",N($DH42)&lt;=0),"",IF(IF($I42="",5000,$I42)&gt;0,$DH42/(IF($G42="",5000,$G42)*IF($H42="",5000,$H42)*IF($I42="",5000,$I42))/1E-024/6.022E+023/0.000000001,""))</f>
        <v/>
      </c>
      <c r="DW42" s="29" t="str">
        <f aca="false">IF(Calc!AE42=0,"",IF(Calc!AC42&gt;=1,"✖ saturated (B ≥ freq.)",IF(Calc!AC42&gt;0.1,"⚠ B &gt; 10% of freq.",IF(Calc!AC42=0,"⚠ no brightness",IF(Calc!AD42&gt;0.1,"⚠ step &gt; 10% of wr",IF(OR(AND(N($DK42)&gt;0,IF($O42="",1,$O42)&lt;3),AND(N($DJ42)&gt;0,IF($O42="",1,$O42)&lt;2)),"⚠ uses a colour above Colours = "&amp;IF($O42="",1,$O42)&amp;" (ignored)",IF(AND($DO42&lt;&gt;"",$DO42&lt;&gt;"No FRET",N(IF($O42="",1,$O42))&lt;2),"⚠ FRET needs ≥ 2 colours",IF(AND($DO42&lt;&gt;"",$DO42&lt;&gt;"No FRET",N($DP42)+N($DQ42)+N($DR42)=0),"⚠ FRET: set R","✔ OK"))))))))</f>
        <v/>
      </c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7" t="str">
        <f aca="false">IF(OR($EG42="",$EG42="No FRET",N($EH42)&lt;=0,N(IF($AI42="",63,$AI42))&lt;=0),"",1/(1+($EH42/IF($AI42="",63,$AI42))^6))</f>
        <v/>
      </c>
      <c r="EL42" s="27" t="str">
        <f aca="false">IF(OR($EG42="",$EG42="No FRET",N($EI42)&lt;=0,N(IF($AJ42="",51,$AJ42))&lt;=0),"",1/(1+($EI42/IF($AJ42="",51,$AJ42))^6))</f>
        <v/>
      </c>
      <c r="EM42" s="27" t="str">
        <f aca="false">IF(OR($EG42="",$EG42="No FRET",N($EJ42)&lt;=0,N(IF($AK42="",68,$AK42))&lt;=0),"",1/(1+($EJ42/IF($AK42="",68,$AK42))^6))</f>
        <v/>
      </c>
      <c r="EN42" s="28" t="str">
        <f aca="false">IF(OR($A42="",N($DZ42)&lt;=0),"",IF(IF($I42="",5000,$I42)&gt;0,$DZ42/(IF($G42="",5000,$G42)*IF($H42="",5000,$H42)*IF($I42="",5000,$I42))/1E-024/6.022E+023/0.000000001,""))</f>
        <v/>
      </c>
      <c r="EO42" s="29" t="str">
        <f aca="false">IF(Calc!AK42=0,"",IF(Calc!AI42&gt;=1,"✖ saturated (B ≥ freq.)",IF(Calc!AI42&gt;0.1,"⚠ B &gt; 10% of freq.",IF(Calc!AI42=0,"⚠ no brightness",IF(Calc!AJ42&gt;0.1,"⚠ step &gt; 10% of wr",IF(OR(AND(N($EC42)&gt;0,IF($O42="",1,$O42)&lt;3),AND(N($EB42)&gt;0,IF($O42="",1,$O42)&lt;2)),"⚠ uses a colour above Colours = "&amp;IF($O42="",1,$O42)&amp;" (ignored)",IF(AND($EG42&lt;&gt;"",$EG42&lt;&gt;"No FRET",N(IF($O42="",1,$O42))&lt;2),"⚠ FRET needs ≥ 2 colours",IF(AND($EG42&lt;&gt;"",$EG42&lt;&gt;"No FRET",N($EH42)+N($EI42)+N($EJ42)=0),"⚠ FRET: set R","✔ OK"))))))))</f>
        <v/>
      </c>
      <c r="EP42" s="30" t="str">
        <f aca="false">IF($A42="","",SUM(Calc!G42,Calc!M42,Calc!S42,Calc!Y42,Calc!AE42,Calc!AK42))</f>
        <v/>
      </c>
      <c r="EQ42" s="30" t="str">
        <f aca="false">IF($A42="","",N($AN42)+N($BF42)+N($BX42)+N($CP42)+N($DH42)+N($DZ42))</f>
        <v/>
      </c>
      <c r="ER42" s="31" t="str">
        <f aca="false">IF($A42="","",SUM(Calc!B42,Calc!H42,Calc!N42,Calc!T42,Calc!Z42,Calc!AF42))</f>
        <v/>
      </c>
      <c r="ES42" s="31" t="str">
        <f aca="false">IF($A42="","",SUM(Calc!C42,Calc!I42,Calc!O42,Calc!U42,Calc!AA42,Calc!AG42))</f>
        <v/>
      </c>
      <c r="ET42" s="31" t="str">
        <f aca="false">IF($A42="","",SUM(Calc!D42,Calc!J42,Calc!P42,Calc!V42,Calc!AB42,Calc!AH42))</f>
        <v/>
      </c>
      <c r="EU42" s="27" t="str">
        <f aca="false">IF($A42="","",($ER42+$ES42+$ET42+IF($P42="Yes",N($Q42)*N(IF($O42="",1,$O42)),0))*1000*IF($K42="",10,$K42)/1000000)</f>
        <v/>
      </c>
      <c r="EV42" s="28" t="str">
        <f aca="false">IF($A42="","",$EU42*1000000*12/1000000000)</f>
        <v/>
      </c>
      <c r="EW42" s="32" t="str">
        <f aca="false">IF($A42="","",IF($EP42=0,"⚠ no species entered",IF(((LEFT($BC42,1)="✖")+(LEFT($BU42,1)="✖")+(LEFT($CM42,1)="✖")+(LEFT($DE42,1)="✖")+(LEFT($DW42,1)="✖")+(LEFT($EO42,1)="✖"))&gt;0,"✖ "&amp;((LEFT($BC42,1)="✖")+(LEFT($BU42,1)="✖")+(LEFT($CM42,1)="✖")+(LEFT($DE42,1)="✖")+(LEFT($DW42,1)="✖")+(LEFT($EO42,1)="✖"))&amp;" species saturated - see the species checks",IF(MIN(IF($G42="",5000,$G42),IF($H42="",5000,$H42))&lt;8*MAX(IF($T42="",200,$T42),IF($U42="",200,$U42),IF($V42="",200,$V42)),"⚠ box too small laterally (&lt; 8·wr)",IF(AND(IF($I42="",5000,$I42)&gt;0,IF($I42="",5000,$I42)&lt;3*MAX(IF($W42="",1000,$W42),IF($X42="",1000,$X42),IF($Y42="",1000,$Y42))),"⚠ box too small axially (&lt; 3·wz)",IF($EV42&gt;8,"⚠ &gt; 8 GB per file: shorten the duration and use several files",IF(((LEFT($BC42,1)="⚠")+(LEFT($BU42,1)="⚠")+(LEFT($CM42,1)="⚠")+(LEFT($DE42,1)="⚠")+(LEFT($DW42,1)="⚠")+(LEFT($EO42,1)="⚠"))&gt;0,"⚠ "&amp;((LEFT($BC42,1)="⚠")+(LEFT($BU42,1)="⚠")+(LEFT($CM42,1)="⚠")+(LEFT($DE42,1)="⚠")+(LEFT($DW42,1)="⚠")+(LEFT($EO42,1)="⚠"))&amp;" species with a warning","✔ OK")))))))</f>
        <v/>
      </c>
      <c r="EX42" s="25"/>
      <c r="EY42" s="25"/>
      <c r="EZ42" s="25"/>
      <c r="FA42" s="25"/>
      <c r="FB42" s="25"/>
      <c r="FC42" s="25"/>
      <c r="FD42" s="25"/>
      <c r="FE42" s="26"/>
    </row>
    <row r="43" customFormat="false" ht="15" hidden="false" customHeight="false" outlineLevel="0" collapsed="false">
      <c r="A43" s="25"/>
      <c r="B43" s="25"/>
      <c r="C43" s="26"/>
      <c r="D43" s="26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7" t="str">
        <f aca="false">IF(OR($AU43="",$AU43="No FRET",N($AV43)&lt;=0,N(IF($AI43="",63,$AI43))&lt;=0),"",1/(1+($AV43/IF($AI43="",63,$AI43))^6))</f>
        <v/>
      </c>
      <c r="AZ43" s="27" t="str">
        <f aca="false">IF(OR($AU43="",$AU43="No FRET",N($AW43)&lt;=0,N(IF($AJ43="",51,$AJ43))&lt;=0),"",1/(1+($AW43/IF($AJ43="",51,$AJ43))^6))</f>
        <v/>
      </c>
      <c r="BA43" s="27" t="str">
        <f aca="false">IF(OR($AU43="",$AU43="No FRET",N($AX43)&lt;=0,N(IF($AK43="",68,$AK43))&lt;=0),"",1/(1+($AX43/IF($AK43="",68,$AK43))^6))</f>
        <v/>
      </c>
      <c r="BB43" s="28" t="str">
        <f aca="false">IF(OR($A43="",N($AN43)&lt;=0),"",IF(IF($I43="",5000,$I43)&gt;0,$AN43/(IF($G43="",5000,$G43)*IF($H43="",5000,$H43)*IF($I43="",5000,$I43))/1E-024/6.022E+023/0.000000001,""))</f>
        <v/>
      </c>
      <c r="BC43" s="29" t="str">
        <f aca="false">IF(Calc!G43=0,"",IF(Calc!E43&gt;=1,"✖ saturated (B ≥ freq.)",IF(Calc!E43&gt;0.1,"⚠ B &gt; 10% of freq.",IF(Calc!E43=0,"⚠ no brightness",IF(Calc!F43&gt;0.1,"⚠ step &gt; 10% of wr",IF(OR(AND(N($AQ43)&gt;0,IF($O43="",1,$O43)&lt;3),AND(N($AP43)&gt;0,IF($O43="",1,$O43)&lt;2)),"⚠ uses a colour above Colours = "&amp;IF($O43="",1,$O43)&amp;" (ignored)",IF(AND($AU43&lt;&gt;"",$AU43&lt;&gt;"No FRET",N(IF($O43="",1,$O43))&lt;2),"⚠ FRET needs ≥ 2 colours",IF(AND($AU43&lt;&gt;"",$AU43&lt;&gt;"No FRET",N($AV43)+N($AW43)+N($AX43)=0),"⚠ FRET: set R","✔ OK"))))))))</f>
        <v/>
      </c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7" t="str">
        <f aca="false">IF(OR($BM43="",$BM43="No FRET",N($BN43)&lt;=0,N(IF($AI43="",63,$AI43))&lt;=0),"",1/(1+($BN43/IF($AI43="",63,$AI43))^6))</f>
        <v/>
      </c>
      <c r="BR43" s="27" t="str">
        <f aca="false">IF(OR($BM43="",$BM43="No FRET",N($BO43)&lt;=0,N(IF($AJ43="",51,$AJ43))&lt;=0),"",1/(1+($BO43/IF($AJ43="",51,$AJ43))^6))</f>
        <v/>
      </c>
      <c r="BS43" s="27" t="str">
        <f aca="false">IF(OR($BM43="",$BM43="No FRET",N($BP43)&lt;=0,N(IF($AK43="",68,$AK43))&lt;=0),"",1/(1+($BP43/IF($AK43="",68,$AK43))^6))</f>
        <v/>
      </c>
      <c r="BT43" s="28" t="str">
        <f aca="false">IF(OR($A43="",N($BF43)&lt;=0),"",IF(IF($I43="",5000,$I43)&gt;0,$BF43/(IF($G43="",5000,$G43)*IF($H43="",5000,$H43)*IF($I43="",5000,$I43))/1E-024/6.022E+023/0.000000001,""))</f>
        <v/>
      </c>
      <c r="BU43" s="29" t="str">
        <f aca="false">IF(Calc!M43=0,"",IF(Calc!K43&gt;=1,"✖ saturated (B ≥ freq.)",IF(Calc!K43&gt;0.1,"⚠ B &gt; 10% of freq.",IF(Calc!K43=0,"⚠ no brightness",IF(Calc!L43&gt;0.1,"⚠ step &gt; 10% of wr",IF(OR(AND(N($BI43)&gt;0,IF($O43="",1,$O43)&lt;3),AND(N($BH43)&gt;0,IF($O43="",1,$O43)&lt;2)),"⚠ uses a colour above Colours = "&amp;IF($O43="",1,$O43)&amp;" (ignored)",IF(AND($BM43&lt;&gt;"",$BM43&lt;&gt;"No FRET",N(IF($O43="",1,$O43))&lt;2),"⚠ FRET needs ≥ 2 colours",IF(AND($BM43&lt;&gt;"",$BM43&lt;&gt;"No FRET",N($BN43)+N($BO43)+N($BP43)=0),"⚠ FRET: set R","✔ OK"))))))))</f>
        <v/>
      </c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7" t="str">
        <f aca="false">IF(OR($CE43="",$CE43="No FRET",N($CF43)&lt;=0,N(IF($AI43="",63,$AI43))&lt;=0),"",1/(1+($CF43/IF($AI43="",63,$AI43))^6))</f>
        <v/>
      </c>
      <c r="CJ43" s="27" t="str">
        <f aca="false">IF(OR($CE43="",$CE43="No FRET",N($CG43)&lt;=0,N(IF($AJ43="",51,$AJ43))&lt;=0),"",1/(1+($CG43/IF($AJ43="",51,$AJ43))^6))</f>
        <v/>
      </c>
      <c r="CK43" s="27" t="str">
        <f aca="false">IF(OR($CE43="",$CE43="No FRET",N($CH43)&lt;=0,N(IF($AK43="",68,$AK43))&lt;=0),"",1/(1+($CH43/IF($AK43="",68,$AK43))^6))</f>
        <v/>
      </c>
      <c r="CL43" s="28" t="str">
        <f aca="false">IF(OR($A43="",N($BX43)&lt;=0),"",IF(IF($I43="",5000,$I43)&gt;0,$BX43/(IF($G43="",5000,$G43)*IF($H43="",5000,$H43)*IF($I43="",5000,$I43))/1E-024/6.022E+023/0.000000001,""))</f>
        <v/>
      </c>
      <c r="CM43" s="29" t="str">
        <f aca="false">IF(Calc!S43=0,"",IF(Calc!Q43&gt;=1,"✖ saturated (B ≥ freq.)",IF(Calc!Q43&gt;0.1,"⚠ B &gt; 10% of freq.",IF(Calc!Q43=0,"⚠ no brightness",IF(Calc!R43&gt;0.1,"⚠ step &gt; 10% of wr",IF(OR(AND(N($CA43)&gt;0,IF($O43="",1,$O43)&lt;3),AND(N($BZ43)&gt;0,IF($O43="",1,$O43)&lt;2)),"⚠ uses a colour above Colours = "&amp;IF($O43="",1,$O43)&amp;" (ignored)",IF(AND($CE43&lt;&gt;"",$CE43&lt;&gt;"No FRET",N(IF($O43="",1,$O43))&lt;2),"⚠ FRET needs ≥ 2 colours",IF(AND($CE43&lt;&gt;"",$CE43&lt;&gt;"No FRET",N($CF43)+N($CG43)+N($CH43)=0),"⚠ FRET: set R","✔ OK"))))))))</f>
        <v/>
      </c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7" t="str">
        <f aca="false">IF(OR($CW43="",$CW43="No FRET",N($CX43)&lt;=0,N(IF($AI43="",63,$AI43))&lt;=0),"",1/(1+($CX43/IF($AI43="",63,$AI43))^6))</f>
        <v/>
      </c>
      <c r="DB43" s="27" t="str">
        <f aca="false">IF(OR($CW43="",$CW43="No FRET",N($CY43)&lt;=0,N(IF($AJ43="",51,$AJ43))&lt;=0),"",1/(1+($CY43/IF($AJ43="",51,$AJ43))^6))</f>
        <v/>
      </c>
      <c r="DC43" s="27" t="str">
        <f aca="false">IF(OR($CW43="",$CW43="No FRET",N($CZ43)&lt;=0,N(IF($AK43="",68,$AK43))&lt;=0),"",1/(1+($CZ43/IF($AK43="",68,$AK43))^6))</f>
        <v/>
      </c>
      <c r="DD43" s="28" t="str">
        <f aca="false">IF(OR($A43="",N($CP43)&lt;=0),"",IF(IF($I43="",5000,$I43)&gt;0,$CP43/(IF($G43="",5000,$G43)*IF($H43="",5000,$H43)*IF($I43="",5000,$I43))/1E-024/6.022E+023/0.000000001,""))</f>
        <v/>
      </c>
      <c r="DE43" s="29" t="str">
        <f aca="false">IF(Calc!Y43=0,"",IF(Calc!W43&gt;=1,"✖ saturated (B ≥ freq.)",IF(Calc!W43&gt;0.1,"⚠ B &gt; 10% of freq.",IF(Calc!W43=0,"⚠ no brightness",IF(Calc!X43&gt;0.1,"⚠ step &gt; 10% of wr",IF(OR(AND(N($CS43)&gt;0,IF($O43="",1,$O43)&lt;3),AND(N($CR43)&gt;0,IF($O43="",1,$O43)&lt;2)),"⚠ uses a colour above Colours = "&amp;IF($O43="",1,$O43)&amp;" (ignored)",IF(AND($CW43&lt;&gt;"",$CW43&lt;&gt;"No FRET",N(IF($O43="",1,$O43))&lt;2),"⚠ FRET needs ≥ 2 colours",IF(AND($CW43&lt;&gt;"",$CW43&lt;&gt;"No FRET",N($CX43)+N($CY43)+N($CZ43)=0),"⚠ FRET: set R","✔ OK"))))))))</f>
        <v/>
      </c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7" t="str">
        <f aca="false">IF(OR($DO43="",$DO43="No FRET",N($DP43)&lt;=0,N(IF($AI43="",63,$AI43))&lt;=0),"",1/(1+($DP43/IF($AI43="",63,$AI43))^6))</f>
        <v/>
      </c>
      <c r="DT43" s="27" t="str">
        <f aca="false">IF(OR($DO43="",$DO43="No FRET",N($DQ43)&lt;=0,N(IF($AJ43="",51,$AJ43))&lt;=0),"",1/(1+($DQ43/IF($AJ43="",51,$AJ43))^6))</f>
        <v/>
      </c>
      <c r="DU43" s="27" t="str">
        <f aca="false">IF(OR($DO43="",$DO43="No FRET",N($DR43)&lt;=0,N(IF($AK43="",68,$AK43))&lt;=0),"",1/(1+($DR43/IF($AK43="",68,$AK43))^6))</f>
        <v/>
      </c>
      <c r="DV43" s="28" t="str">
        <f aca="false">IF(OR($A43="",N($DH43)&lt;=0),"",IF(IF($I43="",5000,$I43)&gt;0,$DH43/(IF($G43="",5000,$G43)*IF($H43="",5000,$H43)*IF($I43="",5000,$I43))/1E-024/6.022E+023/0.000000001,""))</f>
        <v/>
      </c>
      <c r="DW43" s="29" t="str">
        <f aca="false">IF(Calc!AE43=0,"",IF(Calc!AC43&gt;=1,"✖ saturated (B ≥ freq.)",IF(Calc!AC43&gt;0.1,"⚠ B &gt; 10% of freq.",IF(Calc!AC43=0,"⚠ no brightness",IF(Calc!AD43&gt;0.1,"⚠ step &gt; 10% of wr",IF(OR(AND(N($DK43)&gt;0,IF($O43="",1,$O43)&lt;3),AND(N($DJ43)&gt;0,IF($O43="",1,$O43)&lt;2)),"⚠ uses a colour above Colours = "&amp;IF($O43="",1,$O43)&amp;" (ignored)",IF(AND($DO43&lt;&gt;"",$DO43&lt;&gt;"No FRET",N(IF($O43="",1,$O43))&lt;2),"⚠ FRET needs ≥ 2 colours",IF(AND($DO43&lt;&gt;"",$DO43&lt;&gt;"No FRET",N($DP43)+N($DQ43)+N($DR43)=0),"⚠ FRET: set R","✔ OK"))))))))</f>
        <v/>
      </c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7" t="str">
        <f aca="false">IF(OR($EG43="",$EG43="No FRET",N($EH43)&lt;=0,N(IF($AI43="",63,$AI43))&lt;=0),"",1/(1+($EH43/IF($AI43="",63,$AI43))^6))</f>
        <v/>
      </c>
      <c r="EL43" s="27" t="str">
        <f aca="false">IF(OR($EG43="",$EG43="No FRET",N($EI43)&lt;=0,N(IF($AJ43="",51,$AJ43))&lt;=0),"",1/(1+($EI43/IF($AJ43="",51,$AJ43))^6))</f>
        <v/>
      </c>
      <c r="EM43" s="27" t="str">
        <f aca="false">IF(OR($EG43="",$EG43="No FRET",N($EJ43)&lt;=0,N(IF($AK43="",68,$AK43))&lt;=0),"",1/(1+($EJ43/IF($AK43="",68,$AK43))^6))</f>
        <v/>
      </c>
      <c r="EN43" s="28" t="str">
        <f aca="false">IF(OR($A43="",N($DZ43)&lt;=0),"",IF(IF($I43="",5000,$I43)&gt;0,$DZ43/(IF($G43="",5000,$G43)*IF($H43="",5000,$H43)*IF($I43="",5000,$I43))/1E-024/6.022E+023/0.000000001,""))</f>
        <v/>
      </c>
      <c r="EO43" s="29" t="str">
        <f aca="false">IF(Calc!AK43=0,"",IF(Calc!AI43&gt;=1,"✖ saturated (B ≥ freq.)",IF(Calc!AI43&gt;0.1,"⚠ B &gt; 10% of freq.",IF(Calc!AI43=0,"⚠ no brightness",IF(Calc!AJ43&gt;0.1,"⚠ step &gt; 10% of wr",IF(OR(AND(N($EC43)&gt;0,IF($O43="",1,$O43)&lt;3),AND(N($EB43)&gt;0,IF($O43="",1,$O43)&lt;2)),"⚠ uses a colour above Colours = "&amp;IF($O43="",1,$O43)&amp;" (ignored)",IF(AND($EG43&lt;&gt;"",$EG43&lt;&gt;"No FRET",N(IF($O43="",1,$O43))&lt;2),"⚠ FRET needs ≥ 2 colours",IF(AND($EG43&lt;&gt;"",$EG43&lt;&gt;"No FRET",N($EH43)+N($EI43)+N($EJ43)=0),"⚠ FRET: set R","✔ OK"))))))))</f>
        <v/>
      </c>
      <c r="EP43" s="30" t="str">
        <f aca="false">IF($A43="","",SUM(Calc!G43,Calc!M43,Calc!S43,Calc!Y43,Calc!AE43,Calc!AK43))</f>
        <v/>
      </c>
      <c r="EQ43" s="30" t="str">
        <f aca="false">IF($A43="","",N($AN43)+N($BF43)+N($BX43)+N($CP43)+N($DH43)+N($DZ43))</f>
        <v/>
      </c>
      <c r="ER43" s="31" t="str">
        <f aca="false">IF($A43="","",SUM(Calc!B43,Calc!H43,Calc!N43,Calc!T43,Calc!Z43,Calc!AF43))</f>
        <v/>
      </c>
      <c r="ES43" s="31" t="str">
        <f aca="false">IF($A43="","",SUM(Calc!C43,Calc!I43,Calc!O43,Calc!U43,Calc!AA43,Calc!AG43))</f>
        <v/>
      </c>
      <c r="ET43" s="31" t="str">
        <f aca="false">IF($A43="","",SUM(Calc!D43,Calc!J43,Calc!P43,Calc!V43,Calc!AB43,Calc!AH43))</f>
        <v/>
      </c>
      <c r="EU43" s="27" t="str">
        <f aca="false">IF($A43="","",($ER43+$ES43+$ET43+IF($P43="Yes",N($Q43)*N(IF($O43="",1,$O43)),0))*1000*IF($K43="",10,$K43)/1000000)</f>
        <v/>
      </c>
      <c r="EV43" s="28" t="str">
        <f aca="false">IF($A43="","",$EU43*1000000*12/1000000000)</f>
        <v/>
      </c>
      <c r="EW43" s="32" t="str">
        <f aca="false">IF($A43="","",IF($EP43=0,"⚠ no species entered",IF(((LEFT($BC43,1)="✖")+(LEFT($BU43,1)="✖")+(LEFT($CM43,1)="✖")+(LEFT($DE43,1)="✖")+(LEFT($DW43,1)="✖")+(LEFT($EO43,1)="✖"))&gt;0,"✖ "&amp;((LEFT($BC43,1)="✖")+(LEFT($BU43,1)="✖")+(LEFT($CM43,1)="✖")+(LEFT($DE43,1)="✖")+(LEFT($DW43,1)="✖")+(LEFT($EO43,1)="✖"))&amp;" species saturated - see the species checks",IF(MIN(IF($G43="",5000,$G43),IF($H43="",5000,$H43))&lt;8*MAX(IF($T43="",200,$T43),IF($U43="",200,$U43),IF($V43="",200,$V43)),"⚠ box too small laterally (&lt; 8·wr)",IF(AND(IF($I43="",5000,$I43)&gt;0,IF($I43="",5000,$I43)&lt;3*MAX(IF($W43="",1000,$W43),IF($X43="",1000,$X43),IF($Y43="",1000,$Y43))),"⚠ box too small axially (&lt; 3·wz)",IF($EV43&gt;8,"⚠ &gt; 8 GB per file: shorten the duration and use several files",IF(((LEFT($BC43,1)="⚠")+(LEFT($BU43,1)="⚠")+(LEFT($CM43,1)="⚠")+(LEFT($DE43,1)="⚠")+(LEFT($DW43,1)="⚠")+(LEFT($EO43,1)="⚠"))&gt;0,"⚠ "&amp;((LEFT($BC43,1)="⚠")+(LEFT($BU43,1)="⚠")+(LEFT($CM43,1)="⚠")+(LEFT($DE43,1)="⚠")+(LEFT($DW43,1)="⚠")+(LEFT($EO43,1)="⚠"))&amp;" species with a warning","✔ OK")))))))</f>
        <v/>
      </c>
      <c r="EX43" s="25"/>
      <c r="EY43" s="25"/>
      <c r="EZ43" s="25"/>
      <c r="FA43" s="25"/>
      <c r="FB43" s="25"/>
      <c r="FC43" s="25"/>
      <c r="FD43" s="25"/>
      <c r="FE43" s="26"/>
    </row>
    <row r="44" customFormat="false" ht="15" hidden="false" customHeight="false" outlineLevel="0" collapsed="false">
      <c r="A44" s="25"/>
      <c r="B44" s="25"/>
      <c r="C44" s="26"/>
      <c r="D44" s="26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7" t="str">
        <f aca="false">IF(OR($AU44="",$AU44="No FRET",N($AV44)&lt;=0,N(IF($AI44="",63,$AI44))&lt;=0),"",1/(1+($AV44/IF($AI44="",63,$AI44))^6))</f>
        <v/>
      </c>
      <c r="AZ44" s="27" t="str">
        <f aca="false">IF(OR($AU44="",$AU44="No FRET",N($AW44)&lt;=0,N(IF($AJ44="",51,$AJ44))&lt;=0),"",1/(1+($AW44/IF($AJ44="",51,$AJ44))^6))</f>
        <v/>
      </c>
      <c r="BA44" s="27" t="str">
        <f aca="false">IF(OR($AU44="",$AU44="No FRET",N($AX44)&lt;=0,N(IF($AK44="",68,$AK44))&lt;=0),"",1/(1+($AX44/IF($AK44="",68,$AK44))^6))</f>
        <v/>
      </c>
      <c r="BB44" s="28" t="str">
        <f aca="false">IF(OR($A44="",N($AN44)&lt;=0),"",IF(IF($I44="",5000,$I44)&gt;0,$AN44/(IF($G44="",5000,$G44)*IF($H44="",5000,$H44)*IF($I44="",5000,$I44))/1E-024/6.022E+023/0.000000001,""))</f>
        <v/>
      </c>
      <c r="BC44" s="29" t="str">
        <f aca="false">IF(Calc!G44=0,"",IF(Calc!E44&gt;=1,"✖ saturated (B ≥ freq.)",IF(Calc!E44&gt;0.1,"⚠ B &gt; 10% of freq.",IF(Calc!E44=0,"⚠ no brightness",IF(Calc!F44&gt;0.1,"⚠ step &gt; 10% of wr",IF(OR(AND(N($AQ44)&gt;0,IF($O44="",1,$O44)&lt;3),AND(N($AP44)&gt;0,IF($O44="",1,$O44)&lt;2)),"⚠ uses a colour above Colours = "&amp;IF($O44="",1,$O44)&amp;" (ignored)",IF(AND($AU44&lt;&gt;"",$AU44&lt;&gt;"No FRET",N(IF($O44="",1,$O44))&lt;2),"⚠ FRET needs ≥ 2 colours",IF(AND($AU44&lt;&gt;"",$AU44&lt;&gt;"No FRET",N($AV44)+N($AW44)+N($AX44)=0),"⚠ FRET: set R","✔ OK"))))))))</f>
        <v/>
      </c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7" t="str">
        <f aca="false">IF(OR($BM44="",$BM44="No FRET",N($BN44)&lt;=0,N(IF($AI44="",63,$AI44))&lt;=0),"",1/(1+($BN44/IF($AI44="",63,$AI44))^6))</f>
        <v/>
      </c>
      <c r="BR44" s="27" t="str">
        <f aca="false">IF(OR($BM44="",$BM44="No FRET",N($BO44)&lt;=0,N(IF($AJ44="",51,$AJ44))&lt;=0),"",1/(1+($BO44/IF($AJ44="",51,$AJ44))^6))</f>
        <v/>
      </c>
      <c r="BS44" s="27" t="str">
        <f aca="false">IF(OR($BM44="",$BM44="No FRET",N($BP44)&lt;=0,N(IF($AK44="",68,$AK44))&lt;=0),"",1/(1+($BP44/IF($AK44="",68,$AK44))^6))</f>
        <v/>
      </c>
      <c r="BT44" s="28" t="str">
        <f aca="false">IF(OR($A44="",N($BF44)&lt;=0),"",IF(IF($I44="",5000,$I44)&gt;0,$BF44/(IF($G44="",5000,$G44)*IF($H44="",5000,$H44)*IF($I44="",5000,$I44))/1E-024/6.022E+023/0.000000001,""))</f>
        <v/>
      </c>
      <c r="BU44" s="29" t="str">
        <f aca="false">IF(Calc!M44=0,"",IF(Calc!K44&gt;=1,"✖ saturated (B ≥ freq.)",IF(Calc!K44&gt;0.1,"⚠ B &gt; 10% of freq.",IF(Calc!K44=0,"⚠ no brightness",IF(Calc!L44&gt;0.1,"⚠ step &gt; 10% of wr",IF(OR(AND(N($BI44)&gt;0,IF($O44="",1,$O44)&lt;3),AND(N($BH44)&gt;0,IF($O44="",1,$O44)&lt;2)),"⚠ uses a colour above Colours = "&amp;IF($O44="",1,$O44)&amp;" (ignored)",IF(AND($BM44&lt;&gt;"",$BM44&lt;&gt;"No FRET",N(IF($O44="",1,$O44))&lt;2),"⚠ FRET needs ≥ 2 colours",IF(AND($BM44&lt;&gt;"",$BM44&lt;&gt;"No FRET",N($BN44)+N($BO44)+N($BP44)=0),"⚠ FRET: set R","✔ OK"))))))))</f>
        <v/>
      </c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7" t="str">
        <f aca="false">IF(OR($CE44="",$CE44="No FRET",N($CF44)&lt;=0,N(IF($AI44="",63,$AI44))&lt;=0),"",1/(1+($CF44/IF($AI44="",63,$AI44))^6))</f>
        <v/>
      </c>
      <c r="CJ44" s="27" t="str">
        <f aca="false">IF(OR($CE44="",$CE44="No FRET",N($CG44)&lt;=0,N(IF($AJ44="",51,$AJ44))&lt;=0),"",1/(1+($CG44/IF($AJ44="",51,$AJ44))^6))</f>
        <v/>
      </c>
      <c r="CK44" s="27" t="str">
        <f aca="false">IF(OR($CE44="",$CE44="No FRET",N($CH44)&lt;=0,N(IF($AK44="",68,$AK44))&lt;=0),"",1/(1+($CH44/IF($AK44="",68,$AK44))^6))</f>
        <v/>
      </c>
      <c r="CL44" s="28" t="str">
        <f aca="false">IF(OR($A44="",N($BX44)&lt;=0),"",IF(IF($I44="",5000,$I44)&gt;0,$BX44/(IF($G44="",5000,$G44)*IF($H44="",5000,$H44)*IF($I44="",5000,$I44))/1E-024/6.022E+023/0.000000001,""))</f>
        <v/>
      </c>
      <c r="CM44" s="29" t="str">
        <f aca="false">IF(Calc!S44=0,"",IF(Calc!Q44&gt;=1,"✖ saturated (B ≥ freq.)",IF(Calc!Q44&gt;0.1,"⚠ B &gt; 10% of freq.",IF(Calc!Q44=0,"⚠ no brightness",IF(Calc!R44&gt;0.1,"⚠ step &gt; 10% of wr",IF(OR(AND(N($CA44)&gt;0,IF($O44="",1,$O44)&lt;3),AND(N($BZ44)&gt;0,IF($O44="",1,$O44)&lt;2)),"⚠ uses a colour above Colours = "&amp;IF($O44="",1,$O44)&amp;" (ignored)",IF(AND($CE44&lt;&gt;"",$CE44&lt;&gt;"No FRET",N(IF($O44="",1,$O44))&lt;2),"⚠ FRET needs ≥ 2 colours",IF(AND($CE44&lt;&gt;"",$CE44&lt;&gt;"No FRET",N($CF44)+N($CG44)+N($CH44)=0),"⚠ FRET: set R","✔ OK"))))))))</f>
        <v/>
      </c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7" t="str">
        <f aca="false">IF(OR($CW44="",$CW44="No FRET",N($CX44)&lt;=0,N(IF($AI44="",63,$AI44))&lt;=0),"",1/(1+($CX44/IF($AI44="",63,$AI44))^6))</f>
        <v/>
      </c>
      <c r="DB44" s="27" t="str">
        <f aca="false">IF(OR($CW44="",$CW44="No FRET",N($CY44)&lt;=0,N(IF($AJ44="",51,$AJ44))&lt;=0),"",1/(1+($CY44/IF($AJ44="",51,$AJ44))^6))</f>
        <v/>
      </c>
      <c r="DC44" s="27" t="str">
        <f aca="false">IF(OR($CW44="",$CW44="No FRET",N($CZ44)&lt;=0,N(IF($AK44="",68,$AK44))&lt;=0),"",1/(1+($CZ44/IF($AK44="",68,$AK44))^6))</f>
        <v/>
      </c>
      <c r="DD44" s="28" t="str">
        <f aca="false">IF(OR($A44="",N($CP44)&lt;=0),"",IF(IF($I44="",5000,$I44)&gt;0,$CP44/(IF($G44="",5000,$G44)*IF($H44="",5000,$H44)*IF($I44="",5000,$I44))/1E-024/6.022E+023/0.000000001,""))</f>
        <v/>
      </c>
      <c r="DE44" s="29" t="str">
        <f aca="false">IF(Calc!Y44=0,"",IF(Calc!W44&gt;=1,"✖ saturated (B ≥ freq.)",IF(Calc!W44&gt;0.1,"⚠ B &gt; 10% of freq.",IF(Calc!W44=0,"⚠ no brightness",IF(Calc!X44&gt;0.1,"⚠ step &gt; 10% of wr",IF(OR(AND(N($CS44)&gt;0,IF($O44="",1,$O44)&lt;3),AND(N($CR44)&gt;0,IF($O44="",1,$O44)&lt;2)),"⚠ uses a colour above Colours = "&amp;IF($O44="",1,$O44)&amp;" (ignored)",IF(AND($CW44&lt;&gt;"",$CW44&lt;&gt;"No FRET",N(IF($O44="",1,$O44))&lt;2),"⚠ FRET needs ≥ 2 colours",IF(AND($CW44&lt;&gt;"",$CW44&lt;&gt;"No FRET",N($CX44)+N($CY44)+N($CZ44)=0),"⚠ FRET: set R","✔ OK"))))))))</f>
        <v/>
      </c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7" t="str">
        <f aca="false">IF(OR($DO44="",$DO44="No FRET",N($DP44)&lt;=0,N(IF($AI44="",63,$AI44))&lt;=0),"",1/(1+($DP44/IF($AI44="",63,$AI44))^6))</f>
        <v/>
      </c>
      <c r="DT44" s="27" t="str">
        <f aca="false">IF(OR($DO44="",$DO44="No FRET",N($DQ44)&lt;=0,N(IF($AJ44="",51,$AJ44))&lt;=0),"",1/(1+($DQ44/IF($AJ44="",51,$AJ44))^6))</f>
        <v/>
      </c>
      <c r="DU44" s="27" t="str">
        <f aca="false">IF(OR($DO44="",$DO44="No FRET",N($DR44)&lt;=0,N(IF($AK44="",68,$AK44))&lt;=0),"",1/(1+($DR44/IF($AK44="",68,$AK44))^6))</f>
        <v/>
      </c>
      <c r="DV44" s="28" t="str">
        <f aca="false">IF(OR($A44="",N($DH44)&lt;=0),"",IF(IF($I44="",5000,$I44)&gt;0,$DH44/(IF($G44="",5000,$G44)*IF($H44="",5000,$H44)*IF($I44="",5000,$I44))/1E-024/6.022E+023/0.000000001,""))</f>
        <v/>
      </c>
      <c r="DW44" s="29" t="str">
        <f aca="false">IF(Calc!AE44=0,"",IF(Calc!AC44&gt;=1,"✖ saturated (B ≥ freq.)",IF(Calc!AC44&gt;0.1,"⚠ B &gt; 10% of freq.",IF(Calc!AC44=0,"⚠ no brightness",IF(Calc!AD44&gt;0.1,"⚠ step &gt; 10% of wr",IF(OR(AND(N($DK44)&gt;0,IF($O44="",1,$O44)&lt;3),AND(N($DJ44)&gt;0,IF($O44="",1,$O44)&lt;2)),"⚠ uses a colour above Colours = "&amp;IF($O44="",1,$O44)&amp;" (ignored)",IF(AND($DO44&lt;&gt;"",$DO44&lt;&gt;"No FRET",N(IF($O44="",1,$O44))&lt;2),"⚠ FRET needs ≥ 2 colours",IF(AND($DO44&lt;&gt;"",$DO44&lt;&gt;"No FRET",N($DP44)+N($DQ44)+N($DR44)=0),"⚠ FRET: set R","✔ OK"))))))))</f>
        <v/>
      </c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7" t="str">
        <f aca="false">IF(OR($EG44="",$EG44="No FRET",N($EH44)&lt;=0,N(IF($AI44="",63,$AI44))&lt;=0),"",1/(1+($EH44/IF($AI44="",63,$AI44))^6))</f>
        <v/>
      </c>
      <c r="EL44" s="27" t="str">
        <f aca="false">IF(OR($EG44="",$EG44="No FRET",N($EI44)&lt;=0,N(IF($AJ44="",51,$AJ44))&lt;=0),"",1/(1+($EI44/IF($AJ44="",51,$AJ44))^6))</f>
        <v/>
      </c>
      <c r="EM44" s="27" t="str">
        <f aca="false">IF(OR($EG44="",$EG44="No FRET",N($EJ44)&lt;=0,N(IF($AK44="",68,$AK44))&lt;=0),"",1/(1+($EJ44/IF($AK44="",68,$AK44))^6))</f>
        <v/>
      </c>
      <c r="EN44" s="28" t="str">
        <f aca="false">IF(OR($A44="",N($DZ44)&lt;=0),"",IF(IF($I44="",5000,$I44)&gt;0,$DZ44/(IF($G44="",5000,$G44)*IF($H44="",5000,$H44)*IF($I44="",5000,$I44))/1E-024/6.022E+023/0.000000001,""))</f>
        <v/>
      </c>
      <c r="EO44" s="29" t="str">
        <f aca="false">IF(Calc!AK44=0,"",IF(Calc!AI44&gt;=1,"✖ saturated (B ≥ freq.)",IF(Calc!AI44&gt;0.1,"⚠ B &gt; 10% of freq.",IF(Calc!AI44=0,"⚠ no brightness",IF(Calc!AJ44&gt;0.1,"⚠ step &gt; 10% of wr",IF(OR(AND(N($EC44)&gt;0,IF($O44="",1,$O44)&lt;3),AND(N($EB44)&gt;0,IF($O44="",1,$O44)&lt;2)),"⚠ uses a colour above Colours = "&amp;IF($O44="",1,$O44)&amp;" (ignored)",IF(AND($EG44&lt;&gt;"",$EG44&lt;&gt;"No FRET",N(IF($O44="",1,$O44))&lt;2),"⚠ FRET needs ≥ 2 colours",IF(AND($EG44&lt;&gt;"",$EG44&lt;&gt;"No FRET",N($EH44)+N($EI44)+N($EJ44)=0),"⚠ FRET: set R","✔ OK"))))))))</f>
        <v/>
      </c>
      <c r="EP44" s="30" t="str">
        <f aca="false">IF($A44="","",SUM(Calc!G44,Calc!M44,Calc!S44,Calc!Y44,Calc!AE44,Calc!AK44))</f>
        <v/>
      </c>
      <c r="EQ44" s="30" t="str">
        <f aca="false">IF($A44="","",N($AN44)+N($BF44)+N($BX44)+N($CP44)+N($DH44)+N($DZ44))</f>
        <v/>
      </c>
      <c r="ER44" s="31" t="str">
        <f aca="false">IF($A44="","",SUM(Calc!B44,Calc!H44,Calc!N44,Calc!T44,Calc!Z44,Calc!AF44))</f>
        <v/>
      </c>
      <c r="ES44" s="31" t="str">
        <f aca="false">IF($A44="","",SUM(Calc!C44,Calc!I44,Calc!O44,Calc!U44,Calc!AA44,Calc!AG44))</f>
        <v/>
      </c>
      <c r="ET44" s="31" t="str">
        <f aca="false">IF($A44="","",SUM(Calc!D44,Calc!J44,Calc!P44,Calc!V44,Calc!AB44,Calc!AH44))</f>
        <v/>
      </c>
      <c r="EU44" s="27" t="str">
        <f aca="false">IF($A44="","",($ER44+$ES44+$ET44+IF($P44="Yes",N($Q44)*N(IF($O44="",1,$O44)),0))*1000*IF($K44="",10,$K44)/1000000)</f>
        <v/>
      </c>
      <c r="EV44" s="28" t="str">
        <f aca="false">IF($A44="","",$EU44*1000000*12/1000000000)</f>
        <v/>
      </c>
      <c r="EW44" s="32" t="str">
        <f aca="false">IF($A44="","",IF($EP44=0,"⚠ no species entered",IF(((LEFT($BC44,1)="✖")+(LEFT($BU44,1)="✖")+(LEFT($CM44,1)="✖")+(LEFT($DE44,1)="✖")+(LEFT($DW44,1)="✖")+(LEFT($EO44,1)="✖"))&gt;0,"✖ "&amp;((LEFT($BC44,1)="✖")+(LEFT($BU44,1)="✖")+(LEFT($CM44,1)="✖")+(LEFT($DE44,1)="✖")+(LEFT($DW44,1)="✖")+(LEFT($EO44,1)="✖"))&amp;" species saturated - see the species checks",IF(MIN(IF($G44="",5000,$G44),IF($H44="",5000,$H44))&lt;8*MAX(IF($T44="",200,$T44),IF($U44="",200,$U44),IF($V44="",200,$V44)),"⚠ box too small laterally (&lt; 8·wr)",IF(AND(IF($I44="",5000,$I44)&gt;0,IF($I44="",5000,$I44)&lt;3*MAX(IF($W44="",1000,$W44),IF($X44="",1000,$X44),IF($Y44="",1000,$Y44))),"⚠ box too small axially (&lt; 3·wz)",IF($EV44&gt;8,"⚠ &gt; 8 GB per file: shorten the duration and use several files",IF(((LEFT($BC44,1)="⚠")+(LEFT($BU44,1)="⚠")+(LEFT($CM44,1)="⚠")+(LEFT($DE44,1)="⚠")+(LEFT($DW44,1)="⚠")+(LEFT($EO44,1)="⚠"))&gt;0,"⚠ "&amp;((LEFT($BC44,1)="⚠")+(LEFT($BU44,1)="⚠")+(LEFT($CM44,1)="⚠")+(LEFT($DE44,1)="⚠")+(LEFT($DW44,1)="⚠")+(LEFT($EO44,1)="⚠"))&amp;" species with a warning","✔ OK")))))))</f>
        <v/>
      </c>
      <c r="EX44" s="25"/>
      <c r="EY44" s="25"/>
      <c r="EZ44" s="25"/>
      <c r="FA44" s="25"/>
      <c r="FB44" s="25"/>
      <c r="FC44" s="25"/>
      <c r="FD44" s="25"/>
      <c r="FE44" s="26"/>
    </row>
    <row r="45" customFormat="false" ht="15" hidden="false" customHeight="false" outlineLevel="0" collapsed="false">
      <c r="A45" s="25"/>
      <c r="B45" s="25"/>
      <c r="C45" s="26"/>
      <c r="D45" s="26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7" t="str">
        <f aca="false">IF(OR($AU45="",$AU45="No FRET",N($AV45)&lt;=0,N(IF($AI45="",63,$AI45))&lt;=0),"",1/(1+($AV45/IF($AI45="",63,$AI45))^6))</f>
        <v/>
      </c>
      <c r="AZ45" s="27" t="str">
        <f aca="false">IF(OR($AU45="",$AU45="No FRET",N($AW45)&lt;=0,N(IF($AJ45="",51,$AJ45))&lt;=0),"",1/(1+($AW45/IF($AJ45="",51,$AJ45))^6))</f>
        <v/>
      </c>
      <c r="BA45" s="27" t="str">
        <f aca="false">IF(OR($AU45="",$AU45="No FRET",N($AX45)&lt;=0,N(IF($AK45="",68,$AK45))&lt;=0),"",1/(1+($AX45/IF($AK45="",68,$AK45))^6))</f>
        <v/>
      </c>
      <c r="BB45" s="28" t="str">
        <f aca="false">IF(OR($A45="",N($AN45)&lt;=0),"",IF(IF($I45="",5000,$I45)&gt;0,$AN45/(IF($G45="",5000,$G45)*IF($H45="",5000,$H45)*IF($I45="",5000,$I45))/1E-024/6.022E+023/0.000000001,""))</f>
        <v/>
      </c>
      <c r="BC45" s="29" t="str">
        <f aca="false">IF(Calc!G45=0,"",IF(Calc!E45&gt;=1,"✖ saturated (B ≥ freq.)",IF(Calc!E45&gt;0.1,"⚠ B &gt; 10% of freq.",IF(Calc!E45=0,"⚠ no brightness",IF(Calc!F45&gt;0.1,"⚠ step &gt; 10% of wr",IF(OR(AND(N($AQ45)&gt;0,IF($O45="",1,$O45)&lt;3),AND(N($AP45)&gt;0,IF($O45="",1,$O45)&lt;2)),"⚠ uses a colour above Colours = "&amp;IF($O45="",1,$O45)&amp;" (ignored)",IF(AND($AU45&lt;&gt;"",$AU45&lt;&gt;"No FRET",N(IF($O45="",1,$O45))&lt;2),"⚠ FRET needs ≥ 2 colours",IF(AND($AU45&lt;&gt;"",$AU45&lt;&gt;"No FRET",N($AV45)+N($AW45)+N($AX45)=0),"⚠ FRET: set R","✔ OK"))))))))</f>
        <v/>
      </c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7" t="str">
        <f aca="false">IF(OR($BM45="",$BM45="No FRET",N($BN45)&lt;=0,N(IF($AI45="",63,$AI45))&lt;=0),"",1/(1+($BN45/IF($AI45="",63,$AI45))^6))</f>
        <v/>
      </c>
      <c r="BR45" s="27" t="str">
        <f aca="false">IF(OR($BM45="",$BM45="No FRET",N($BO45)&lt;=0,N(IF($AJ45="",51,$AJ45))&lt;=0),"",1/(1+($BO45/IF($AJ45="",51,$AJ45))^6))</f>
        <v/>
      </c>
      <c r="BS45" s="27" t="str">
        <f aca="false">IF(OR($BM45="",$BM45="No FRET",N($BP45)&lt;=0,N(IF($AK45="",68,$AK45))&lt;=0),"",1/(1+($BP45/IF($AK45="",68,$AK45))^6))</f>
        <v/>
      </c>
      <c r="BT45" s="28" t="str">
        <f aca="false">IF(OR($A45="",N($BF45)&lt;=0),"",IF(IF($I45="",5000,$I45)&gt;0,$BF45/(IF($G45="",5000,$G45)*IF($H45="",5000,$H45)*IF($I45="",5000,$I45))/1E-024/6.022E+023/0.000000001,""))</f>
        <v/>
      </c>
      <c r="BU45" s="29" t="str">
        <f aca="false">IF(Calc!M45=0,"",IF(Calc!K45&gt;=1,"✖ saturated (B ≥ freq.)",IF(Calc!K45&gt;0.1,"⚠ B &gt; 10% of freq.",IF(Calc!K45=0,"⚠ no brightness",IF(Calc!L45&gt;0.1,"⚠ step &gt; 10% of wr",IF(OR(AND(N($BI45)&gt;0,IF($O45="",1,$O45)&lt;3),AND(N($BH45)&gt;0,IF($O45="",1,$O45)&lt;2)),"⚠ uses a colour above Colours = "&amp;IF($O45="",1,$O45)&amp;" (ignored)",IF(AND($BM45&lt;&gt;"",$BM45&lt;&gt;"No FRET",N(IF($O45="",1,$O45))&lt;2),"⚠ FRET needs ≥ 2 colours",IF(AND($BM45&lt;&gt;"",$BM45&lt;&gt;"No FRET",N($BN45)+N($BO45)+N($BP45)=0),"⚠ FRET: set R","✔ OK"))))))))</f>
        <v/>
      </c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7" t="str">
        <f aca="false">IF(OR($CE45="",$CE45="No FRET",N($CF45)&lt;=0,N(IF($AI45="",63,$AI45))&lt;=0),"",1/(1+($CF45/IF($AI45="",63,$AI45))^6))</f>
        <v/>
      </c>
      <c r="CJ45" s="27" t="str">
        <f aca="false">IF(OR($CE45="",$CE45="No FRET",N($CG45)&lt;=0,N(IF($AJ45="",51,$AJ45))&lt;=0),"",1/(1+($CG45/IF($AJ45="",51,$AJ45))^6))</f>
        <v/>
      </c>
      <c r="CK45" s="27" t="str">
        <f aca="false">IF(OR($CE45="",$CE45="No FRET",N($CH45)&lt;=0,N(IF($AK45="",68,$AK45))&lt;=0),"",1/(1+($CH45/IF($AK45="",68,$AK45))^6))</f>
        <v/>
      </c>
      <c r="CL45" s="28" t="str">
        <f aca="false">IF(OR($A45="",N($BX45)&lt;=0),"",IF(IF($I45="",5000,$I45)&gt;0,$BX45/(IF($G45="",5000,$G45)*IF($H45="",5000,$H45)*IF($I45="",5000,$I45))/1E-024/6.022E+023/0.000000001,""))</f>
        <v/>
      </c>
      <c r="CM45" s="29" t="str">
        <f aca="false">IF(Calc!S45=0,"",IF(Calc!Q45&gt;=1,"✖ saturated (B ≥ freq.)",IF(Calc!Q45&gt;0.1,"⚠ B &gt; 10% of freq.",IF(Calc!Q45=0,"⚠ no brightness",IF(Calc!R45&gt;0.1,"⚠ step &gt; 10% of wr",IF(OR(AND(N($CA45)&gt;0,IF($O45="",1,$O45)&lt;3),AND(N($BZ45)&gt;0,IF($O45="",1,$O45)&lt;2)),"⚠ uses a colour above Colours = "&amp;IF($O45="",1,$O45)&amp;" (ignored)",IF(AND($CE45&lt;&gt;"",$CE45&lt;&gt;"No FRET",N(IF($O45="",1,$O45))&lt;2),"⚠ FRET needs ≥ 2 colours",IF(AND($CE45&lt;&gt;"",$CE45&lt;&gt;"No FRET",N($CF45)+N($CG45)+N($CH45)=0),"⚠ FRET: set R","✔ OK"))))))))</f>
        <v/>
      </c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7" t="str">
        <f aca="false">IF(OR($CW45="",$CW45="No FRET",N($CX45)&lt;=0,N(IF($AI45="",63,$AI45))&lt;=0),"",1/(1+($CX45/IF($AI45="",63,$AI45))^6))</f>
        <v/>
      </c>
      <c r="DB45" s="27" t="str">
        <f aca="false">IF(OR($CW45="",$CW45="No FRET",N($CY45)&lt;=0,N(IF($AJ45="",51,$AJ45))&lt;=0),"",1/(1+($CY45/IF($AJ45="",51,$AJ45))^6))</f>
        <v/>
      </c>
      <c r="DC45" s="27" t="str">
        <f aca="false">IF(OR($CW45="",$CW45="No FRET",N($CZ45)&lt;=0,N(IF($AK45="",68,$AK45))&lt;=0),"",1/(1+($CZ45/IF($AK45="",68,$AK45))^6))</f>
        <v/>
      </c>
      <c r="DD45" s="28" t="str">
        <f aca="false">IF(OR($A45="",N($CP45)&lt;=0),"",IF(IF($I45="",5000,$I45)&gt;0,$CP45/(IF($G45="",5000,$G45)*IF($H45="",5000,$H45)*IF($I45="",5000,$I45))/1E-024/6.022E+023/0.000000001,""))</f>
        <v/>
      </c>
      <c r="DE45" s="29" t="str">
        <f aca="false">IF(Calc!Y45=0,"",IF(Calc!W45&gt;=1,"✖ saturated (B ≥ freq.)",IF(Calc!W45&gt;0.1,"⚠ B &gt; 10% of freq.",IF(Calc!W45=0,"⚠ no brightness",IF(Calc!X45&gt;0.1,"⚠ step &gt; 10% of wr",IF(OR(AND(N($CS45)&gt;0,IF($O45="",1,$O45)&lt;3),AND(N($CR45)&gt;0,IF($O45="",1,$O45)&lt;2)),"⚠ uses a colour above Colours = "&amp;IF($O45="",1,$O45)&amp;" (ignored)",IF(AND($CW45&lt;&gt;"",$CW45&lt;&gt;"No FRET",N(IF($O45="",1,$O45))&lt;2),"⚠ FRET needs ≥ 2 colours",IF(AND($CW45&lt;&gt;"",$CW45&lt;&gt;"No FRET",N($CX45)+N($CY45)+N($CZ45)=0),"⚠ FRET: set R","✔ OK"))))))))</f>
        <v/>
      </c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7" t="str">
        <f aca="false">IF(OR($DO45="",$DO45="No FRET",N($DP45)&lt;=0,N(IF($AI45="",63,$AI45))&lt;=0),"",1/(1+($DP45/IF($AI45="",63,$AI45))^6))</f>
        <v/>
      </c>
      <c r="DT45" s="27" t="str">
        <f aca="false">IF(OR($DO45="",$DO45="No FRET",N($DQ45)&lt;=0,N(IF($AJ45="",51,$AJ45))&lt;=0),"",1/(1+($DQ45/IF($AJ45="",51,$AJ45))^6))</f>
        <v/>
      </c>
      <c r="DU45" s="27" t="str">
        <f aca="false">IF(OR($DO45="",$DO45="No FRET",N($DR45)&lt;=0,N(IF($AK45="",68,$AK45))&lt;=0),"",1/(1+($DR45/IF($AK45="",68,$AK45))^6))</f>
        <v/>
      </c>
      <c r="DV45" s="28" t="str">
        <f aca="false">IF(OR($A45="",N($DH45)&lt;=0),"",IF(IF($I45="",5000,$I45)&gt;0,$DH45/(IF($G45="",5000,$G45)*IF($H45="",5000,$H45)*IF($I45="",5000,$I45))/1E-024/6.022E+023/0.000000001,""))</f>
        <v/>
      </c>
      <c r="DW45" s="29" t="str">
        <f aca="false">IF(Calc!AE45=0,"",IF(Calc!AC45&gt;=1,"✖ saturated (B ≥ freq.)",IF(Calc!AC45&gt;0.1,"⚠ B &gt; 10% of freq.",IF(Calc!AC45=0,"⚠ no brightness",IF(Calc!AD45&gt;0.1,"⚠ step &gt; 10% of wr",IF(OR(AND(N($DK45)&gt;0,IF($O45="",1,$O45)&lt;3),AND(N($DJ45)&gt;0,IF($O45="",1,$O45)&lt;2)),"⚠ uses a colour above Colours = "&amp;IF($O45="",1,$O45)&amp;" (ignored)",IF(AND($DO45&lt;&gt;"",$DO45&lt;&gt;"No FRET",N(IF($O45="",1,$O45))&lt;2),"⚠ FRET needs ≥ 2 colours",IF(AND($DO45&lt;&gt;"",$DO45&lt;&gt;"No FRET",N($DP45)+N($DQ45)+N($DR45)=0),"⚠ FRET: set R","✔ OK"))))))))</f>
        <v/>
      </c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7" t="str">
        <f aca="false">IF(OR($EG45="",$EG45="No FRET",N($EH45)&lt;=0,N(IF($AI45="",63,$AI45))&lt;=0),"",1/(1+($EH45/IF($AI45="",63,$AI45))^6))</f>
        <v/>
      </c>
      <c r="EL45" s="27" t="str">
        <f aca="false">IF(OR($EG45="",$EG45="No FRET",N($EI45)&lt;=0,N(IF($AJ45="",51,$AJ45))&lt;=0),"",1/(1+($EI45/IF($AJ45="",51,$AJ45))^6))</f>
        <v/>
      </c>
      <c r="EM45" s="27" t="str">
        <f aca="false">IF(OR($EG45="",$EG45="No FRET",N($EJ45)&lt;=0,N(IF($AK45="",68,$AK45))&lt;=0),"",1/(1+($EJ45/IF($AK45="",68,$AK45))^6))</f>
        <v/>
      </c>
      <c r="EN45" s="28" t="str">
        <f aca="false">IF(OR($A45="",N($DZ45)&lt;=0),"",IF(IF($I45="",5000,$I45)&gt;0,$DZ45/(IF($G45="",5000,$G45)*IF($H45="",5000,$H45)*IF($I45="",5000,$I45))/1E-024/6.022E+023/0.000000001,""))</f>
        <v/>
      </c>
      <c r="EO45" s="29" t="str">
        <f aca="false">IF(Calc!AK45=0,"",IF(Calc!AI45&gt;=1,"✖ saturated (B ≥ freq.)",IF(Calc!AI45&gt;0.1,"⚠ B &gt; 10% of freq.",IF(Calc!AI45=0,"⚠ no brightness",IF(Calc!AJ45&gt;0.1,"⚠ step &gt; 10% of wr",IF(OR(AND(N($EC45)&gt;0,IF($O45="",1,$O45)&lt;3),AND(N($EB45)&gt;0,IF($O45="",1,$O45)&lt;2)),"⚠ uses a colour above Colours = "&amp;IF($O45="",1,$O45)&amp;" (ignored)",IF(AND($EG45&lt;&gt;"",$EG45&lt;&gt;"No FRET",N(IF($O45="",1,$O45))&lt;2),"⚠ FRET needs ≥ 2 colours",IF(AND($EG45&lt;&gt;"",$EG45&lt;&gt;"No FRET",N($EH45)+N($EI45)+N($EJ45)=0),"⚠ FRET: set R","✔ OK"))))))))</f>
        <v/>
      </c>
      <c r="EP45" s="30" t="str">
        <f aca="false">IF($A45="","",SUM(Calc!G45,Calc!M45,Calc!S45,Calc!Y45,Calc!AE45,Calc!AK45))</f>
        <v/>
      </c>
      <c r="EQ45" s="30" t="str">
        <f aca="false">IF($A45="","",N($AN45)+N($BF45)+N($BX45)+N($CP45)+N($DH45)+N($DZ45))</f>
        <v/>
      </c>
      <c r="ER45" s="31" t="str">
        <f aca="false">IF($A45="","",SUM(Calc!B45,Calc!H45,Calc!N45,Calc!T45,Calc!Z45,Calc!AF45))</f>
        <v/>
      </c>
      <c r="ES45" s="31" t="str">
        <f aca="false">IF($A45="","",SUM(Calc!C45,Calc!I45,Calc!O45,Calc!U45,Calc!AA45,Calc!AG45))</f>
        <v/>
      </c>
      <c r="ET45" s="31" t="str">
        <f aca="false">IF($A45="","",SUM(Calc!D45,Calc!J45,Calc!P45,Calc!V45,Calc!AB45,Calc!AH45))</f>
        <v/>
      </c>
      <c r="EU45" s="27" t="str">
        <f aca="false">IF($A45="","",($ER45+$ES45+$ET45+IF($P45="Yes",N($Q45)*N(IF($O45="",1,$O45)),0))*1000*IF($K45="",10,$K45)/1000000)</f>
        <v/>
      </c>
      <c r="EV45" s="28" t="str">
        <f aca="false">IF($A45="","",$EU45*1000000*12/1000000000)</f>
        <v/>
      </c>
      <c r="EW45" s="32" t="str">
        <f aca="false">IF($A45="","",IF($EP45=0,"⚠ no species entered",IF(((LEFT($BC45,1)="✖")+(LEFT($BU45,1)="✖")+(LEFT($CM45,1)="✖")+(LEFT($DE45,1)="✖")+(LEFT($DW45,1)="✖")+(LEFT($EO45,1)="✖"))&gt;0,"✖ "&amp;((LEFT($BC45,1)="✖")+(LEFT($BU45,1)="✖")+(LEFT($CM45,1)="✖")+(LEFT($DE45,1)="✖")+(LEFT($DW45,1)="✖")+(LEFT($EO45,1)="✖"))&amp;" species saturated - see the species checks",IF(MIN(IF($G45="",5000,$G45),IF($H45="",5000,$H45))&lt;8*MAX(IF($T45="",200,$T45),IF($U45="",200,$U45),IF($V45="",200,$V45)),"⚠ box too small laterally (&lt; 8·wr)",IF(AND(IF($I45="",5000,$I45)&gt;0,IF($I45="",5000,$I45)&lt;3*MAX(IF($W45="",1000,$W45),IF($X45="",1000,$X45),IF($Y45="",1000,$Y45))),"⚠ box too small axially (&lt; 3·wz)",IF($EV45&gt;8,"⚠ &gt; 8 GB per file: shorten the duration and use several files",IF(((LEFT($BC45,1)="⚠")+(LEFT($BU45,1)="⚠")+(LEFT($CM45,1)="⚠")+(LEFT($DE45,1)="⚠")+(LEFT($DW45,1)="⚠")+(LEFT($EO45,1)="⚠"))&gt;0,"⚠ "&amp;((LEFT($BC45,1)="⚠")+(LEFT($BU45,1)="⚠")+(LEFT($CM45,1)="⚠")+(LEFT($DE45,1)="⚠")+(LEFT($DW45,1)="⚠")+(LEFT($EO45,1)="⚠"))&amp;" species with a warning","✔ OK")))))))</f>
        <v/>
      </c>
      <c r="EX45" s="25"/>
      <c r="EY45" s="25"/>
      <c r="EZ45" s="25"/>
      <c r="FA45" s="25"/>
      <c r="FB45" s="25"/>
      <c r="FC45" s="25"/>
      <c r="FD45" s="25"/>
      <c r="FE45" s="26"/>
    </row>
    <row r="46" customFormat="false" ht="15" hidden="false" customHeight="false" outlineLevel="0" collapsed="false">
      <c r="A46" s="25"/>
      <c r="B46" s="25"/>
      <c r="C46" s="26"/>
      <c r="D46" s="26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7" t="str">
        <f aca="false">IF(OR($AU46="",$AU46="No FRET",N($AV46)&lt;=0,N(IF($AI46="",63,$AI46))&lt;=0),"",1/(1+($AV46/IF($AI46="",63,$AI46))^6))</f>
        <v/>
      </c>
      <c r="AZ46" s="27" t="str">
        <f aca="false">IF(OR($AU46="",$AU46="No FRET",N($AW46)&lt;=0,N(IF($AJ46="",51,$AJ46))&lt;=0),"",1/(1+($AW46/IF($AJ46="",51,$AJ46))^6))</f>
        <v/>
      </c>
      <c r="BA46" s="27" t="str">
        <f aca="false">IF(OR($AU46="",$AU46="No FRET",N($AX46)&lt;=0,N(IF($AK46="",68,$AK46))&lt;=0),"",1/(1+($AX46/IF($AK46="",68,$AK46))^6))</f>
        <v/>
      </c>
      <c r="BB46" s="28" t="str">
        <f aca="false">IF(OR($A46="",N($AN46)&lt;=0),"",IF(IF($I46="",5000,$I46)&gt;0,$AN46/(IF($G46="",5000,$G46)*IF($H46="",5000,$H46)*IF($I46="",5000,$I46))/1E-024/6.022E+023/0.000000001,""))</f>
        <v/>
      </c>
      <c r="BC46" s="29" t="str">
        <f aca="false">IF(Calc!G46=0,"",IF(Calc!E46&gt;=1,"✖ saturated (B ≥ freq.)",IF(Calc!E46&gt;0.1,"⚠ B &gt; 10% of freq.",IF(Calc!E46=0,"⚠ no brightness",IF(Calc!F46&gt;0.1,"⚠ step &gt; 10% of wr",IF(OR(AND(N($AQ46)&gt;0,IF($O46="",1,$O46)&lt;3),AND(N($AP46)&gt;0,IF($O46="",1,$O46)&lt;2)),"⚠ uses a colour above Colours = "&amp;IF($O46="",1,$O46)&amp;" (ignored)",IF(AND($AU46&lt;&gt;"",$AU46&lt;&gt;"No FRET",N(IF($O46="",1,$O46))&lt;2),"⚠ FRET needs ≥ 2 colours",IF(AND($AU46&lt;&gt;"",$AU46&lt;&gt;"No FRET",N($AV46)+N($AW46)+N($AX46)=0),"⚠ FRET: set R","✔ OK"))))))))</f>
        <v/>
      </c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7" t="str">
        <f aca="false">IF(OR($BM46="",$BM46="No FRET",N($BN46)&lt;=0,N(IF($AI46="",63,$AI46))&lt;=0),"",1/(1+($BN46/IF($AI46="",63,$AI46))^6))</f>
        <v/>
      </c>
      <c r="BR46" s="27" t="str">
        <f aca="false">IF(OR($BM46="",$BM46="No FRET",N($BO46)&lt;=0,N(IF($AJ46="",51,$AJ46))&lt;=0),"",1/(1+($BO46/IF($AJ46="",51,$AJ46))^6))</f>
        <v/>
      </c>
      <c r="BS46" s="27" t="str">
        <f aca="false">IF(OR($BM46="",$BM46="No FRET",N($BP46)&lt;=0,N(IF($AK46="",68,$AK46))&lt;=0),"",1/(1+($BP46/IF($AK46="",68,$AK46))^6))</f>
        <v/>
      </c>
      <c r="BT46" s="28" t="str">
        <f aca="false">IF(OR($A46="",N($BF46)&lt;=0),"",IF(IF($I46="",5000,$I46)&gt;0,$BF46/(IF($G46="",5000,$G46)*IF($H46="",5000,$H46)*IF($I46="",5000,$I46))/1E-024/6.022E+023/0.000000001,""))</f>
        <v/>
      </c>
      <c r="BU46" s="29" t="str">
        <f aca="false">IF(Calc!M46=0,"",IF(Calc!K46&gt;=1,"✖ saturated (B ≥ freq.)",IF(Calc!K46&gt;0.1,"⚠ B &gt; 10% of freq.",IF(Calc!K46=0,"⚠ no brightness",IF(Calc!L46&gt;0.1,"⚠ step &gt; 10% of wr",IF(OR(AND(N($BI46)&gt;0,IF($O46="",1,$O46)&lt;3),AND(N($BH46)&gt;0,IF($O46="",1,$O46)&lt;2)),"⚠ uses a colour above Colours = "&amp;IF($O46="",1,$O46)&amp;" (ignored)",IF(AND($BM46&lt;&gt;"",$BM46&lt;&gt;"No FRET",N(IF($O46="",1,$O46))&lt;2),"⚠ FRET needs ≥ 2 colours",IF(AND($BM46&lt;&gt;"",$BM46&lt;&gt;"No FRET",N($BN46)+N($BO46)+N($BP46)=0),"⚠ FRET: set R","✔ OK"))))))))</f>
        <v/>
      </c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7" t="str">
        <f aca="false">IF(OR($CE46="",$CE46="No FRET",N($CF46)&lt;=0,N(IF($AI46="",63,$AI46))&lt;=0),"",1/(1+($CF46/IF($AI46="",63,$AI46))^6))</f>
        <v/>
      </c>
      <c r="CJ46" s="27" t="str">
        <f aca="false">IF(OR($CE46="",$CE46="No FRET",N($CG46)&lt;=0,N(IF($AJ46="",51,$AJ46))&lt;=0),"",1/(1+($CG46/IF($AJ46="",51,$AJ46))^6))</f>
        <v/>
      </c>
      <c r="CK46" s="27" t="str">
        <f aca="false">IF(OR($CE46="",$CE46="No FRET",N($CH46)&lt;=0,N(IF($AK46="",68,$AK46))&lt;=0),"",1/(1+($CH46/IF($AK46="",68,$AK46))^6))</f>
        <v/>
      </c>
      <c r="CL46" s="28" t="str">
        <f aca="false">IF(OR($A46="",N($BX46)&lt;=0),"",IF(IF($I46="",5000,$I46)&gt;0,$BX46/(IF($G46="",5000,$G46)*IF($H46="",5000,$H46)*IF($I46="",5000,$I46))/1E-024/6.022E+023/0.000000001,""))</f>
        <v/>
      </c>
      <c r="CM46" s="29" t="str">
        <f aca="false">IF(Calc!S46=0,"",IF(Calc!Q46&gt;=1,"✖ saturated (B ≥ freq.)",IF(Calc!Q46&gt;0.1,"⚠ B &gt; 10% of freq.",IF(Calc!Q46=0,"⚠ no brightness",IF(Calc!R46&gt;0.1,"⚠ step &gt; 10% of wr",IF(OR(AND(N($CA46)&gt;0,IF($O46="",1,$O46)&lt;3),AND(N($BZ46)&gt;0,IF($O46="",1,$O46)&lt;2)),"⚠ uses a colour above Colours = "&amp;IF($O46="",1,$O46)&amp;" (ignored)",IF(AND($CE46&lt;&gt;"",$CE46&lt;&gt;"No FRET",N(IF($O46="",1,$O46))&lt;2),"⚠ FRET needs ≥ 2 colours",IF(AND($CE46&lt;&gt;"",$CE46&lt;&gt;"No FRET",N($CF46)+N($CG46)+N($CH46)=0),"⚠ FRET: set R","✔ OK"))))))))</f>
        <v/>
      </c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7" t="str">
        <f aca="false">IF(OR($CW46="",$CW46="No FRET",N($CX46)&lt;=0,N(IF($AI46="",63,$AI46))&lt;=0),"",1/(1+($CX46/IF($AI46="",63,$AI46))^6))</f>
        <v/>
      </c>
      <c r="DB46" s="27" t="str">
        <f aca="false">IF(OR($CW46="",$CW46="No FRET",N($CY46)&lt;=0,N(IF($AJ46="",51,$AJ46))&lt;=0),"",1/(1+($CY46/IF($AJ46="",51,$AJ46))^6))</f>
        <v/>
      </c>
      <c r="DC46" s="27" t="str">
        <f aca="false">IF(OR($CW46="",$CW46="No FRET",N($CZ46)&lt;=0,N(IF($AK46="",68,$AK46))&lt;=0),"",1/(1+($CZ46/IF($AK46="",68,$AK46))^6))</f>
        <v/>
      </c>
      <c r="DD46" s="28" t="str">
        <f aca="false">IF(OR($A46="",N($CP46)&lt;=0),"",IF(IF($I46="",5000,$I46)&gt;0,$CP46/(IF($G46="",5000,$G46)*IF($H46="",5000,$H46)*IF($I46="",5000,$I46))/1E-024/6.022E+023/0.000000001,""))</f>
        <v/>
      </c>
      <c r="DE46" s="29" t="str">
        <f aca="false">IF(Calc!Y46=0,"",IF(Calc!W46&gt;=1,"✖ saturated (B ≥ freq.)",IF(Calc!W46&gt;0.1,"⚠ B &gt; 10% of freq.",IF(Calc!W46=0,"⚠ no brightness",IF(Calc!X46&gt;0.1,"⚠ step &gt; 10% of wr",IF(OR(AND(N($CS46)&gt;0,IF($O46="",1,$O46)&lt;3),AND(N($CR46)&gt;0,IF($O46="",1,$O46)&lt;2)),"⚠ uses a colour above Colours = "&amp;IF($O46="",1,$O46)&amp;" (ignored)",IF(AND($CW46&lt;&gt;"",$CW46&lt;&gt;"No FRET",N(IF($O46="",1,$O46))&lt;2),"⚠ FRET needs ≥ 2 colours",IF(AND($CW46&lt;&gt;"",$CW46&lt;&gt;"No FRET",N($CX46)+N($CY46)+N($CZ46)=0),"⚠ FRET: set R","✔ OK"))))))))</f>
        <v/>
      </c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7" t="str">
        <f aca="false">IF(OR($DO46="",$DO46="No FRET",N($DP46)&lt;=0,N(IF($AI46="",63,$AI46))&lt;=0),"",1/(1+($DP46/IF($AI46="",63,$AI46))^6))</f>
        <v/>
      </c>
      <c r="DT46" s="27" t="str">
        <f aca="false">IF(OR($DO46="",$DO46="No FRET",N($DQ46)&lt;=0,N(IF($AJ46="",51,$AJ46))&lt;=0),"",1/(1+($DQ46/IF($AJ46="",51,$AJ46))^6))</f>
        <v/>
      </c>
      <c r="DU46" s="27" t="str">
        <f aca="false">IF(OR($DO46="",$DO46="No FRET",N($DR46)&lt;=0,N(IF($AK46="",68,$AK46))&lt;=0),"",1/(1+($DR46/IF($AK46="",68,$AK46))^6))</f>
        <v/>
      </c>
      <c r="DV46" s="28" t="str">
        <f aca="false">IF(OR($A46="",N($DH46)&lt;=0),"",IF(IF($I46="",5000,$I46)&gt;0,$DH46/(IF($G46="",5000,$G46)*IF($H46="",5000,$H46)*IF($I46="",5000,$I46))/1E-024/6.022E+023/0.000000001,""))</f>
        <v/>
      </c>
      <c r="DW46" s="29" t="str">
        <f aca="false">IF(Calc!AE46=0,"",IF(Calc!AC46&gt;=1,"✖ saturated (B ≥ freq.)",IF(Calc!AC46&gt;0.1,"⚠ B &gt; 10% of freq.",IF(Calc!AC46=0,"⚠ no brightness",IF(Calc!AD46&gt;0.1,"⚠ step &gt; 10% of wr",IF(OR(AND(N($DK46)&gt;0,IF($O46="",1,$O46)&lt;3),AND(N($DJ46)&gt;0,IF($O46="",1,$O46)&lt;2)),"⚠ uses a colour above Colours = "&amp;IF($O46="",1,$O46)&amp;" (ignored)",IF(AND($DO46&lt;&gt;"",$DO46&lt;&gt;"No FRET",N(IF($O46="",1,$O46))&lt;2),"⚠ FRET needs ≥ 2 colours",IF(AND($DO46&lt;&gt;"",$DO46&lt;&gt;"No FRET",N($DP46)+N($DQ46)+N($DR46)=0),"⚠ FRET: set R","✔ OK"))))))))</f>
        <v/>
      </c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7" t="str">
        <f aca="false">IF(OR($EG46="",$EG46="No FRET",N($EH46)&lt;=0,N(IF($AI46="",63,$AI46))&lt;=0),"",1/(1+($EH46/IF($AI46="",63,$AI46))^6))</f>
        <v/>
      </c>
      <c r="EL46" s="27" t="str">
        <f aca="false">IF(OR($EG46="",$EG46="No FRET",N($EI46)&lt;=0,N(IF($AJ46="",51,$AJ46))&lt;=0),"",1/(1+($EI46/IF($AJ46="",51,$AJ46))^6))</f>
        <v/>
      </c>
      <c r="EM46" s="27" t="str">
        <f aca="false">IF(OR($EG46="",$EG46="No FRET",N($EJ46)&lt;=0,N(IF($AK46="",68,$AK46))&lt;=0),"",1/(1+($EJ46/IF($AK46="",68,$AK46))^6))</f>
        <v/>
      </c>
      <c r="EN46" s="28" t="str">
        <f aca="false">IF(OR($A46="",N($DZ46)&lt;=0),"",IF(IF($I46="",5000,$I46)&gt;0,$DZ46/(IF($G46="",5000,$G46)*IF($H46="",5000,$H46)*IF($I46="",5000,$I46))/1E-024/6.022E+023/0.000000001,""))</f>
        <v/>
      </c>
      <c r="EO46" s="29" t="str">
        <f aca="false">IF(Calc!AK46=0,"",IF(Calc!AI46&gt;=1,"✖ saturated (B ≥ freq.)",IF(Calc!AI46&gt;0.1,"⚠ B &gt; 10% of freq.",IF(Calc!AI46=0,"⚠ no brightness",IF(Calc!AJ46&gt;0.1,"⚠ step &gt; 10% of wr",IF(OR(AND(N($EC46)&gt;0,IF($O46="",1,$O46)&lt;3),AND(N($EB46)&gt;0,IF($O46="",1,$O46)&lt;2)),"⚠ uses a colour above Colours = "&amp;IF($O46="",1,$O46)&amp;" (ignored)",IF(AND($EG46&lt;&gt;"",$EG46&lt;&gt;"No FRET",N(IF($O46="",1,$O46))&lt;2),"⚠ FRET needs ≥ 2 colours",IF(AND($EG46&lt;&gt;"",$EG46&lt;&gt;"No FRET",N($EH46)+N($EI46)+N($EJ46)=0),"⚠ FRET: set R","✔ OK"))))))))</f>
        <v/>
      </c>
      <c r="EP46" s="30" t="str">
        <f aca="false">IF($A46="","",SUM(Calc!G46,Calc!M46,Calc!S46,Calc!Y46,Calc!AE46,Calc!AK46))</f>
        <v/>
      </c>
      <c r="EQ46" s="30" t="str">
        <f aca="false">IF($A46="","",N($AN46)+N($BF46)+N($BX46)+N($CP46)+N($DH46)+N($DZ46))</f>
        <v/>
      </c>
      <c r="ER46" s="31" t="str">
        <f aca="false">IF($A46="","",SUM(Calc!B46,Calc!H46,Calc!N46,Calc!T46,Calc!Z46,Calc!AF46))</f>
        <v/>
      </c>
      <c r="ES46" s="31" t="str">
        <f aca="false">IF($A46="","",SUM(Calc!C46,Calc!I46,Calc!O46,Calc!U46,Calc!AA46,Calc!AG46))</f>
        <v/>
      </c>
      <c r="ET46" s="31" t="str">
        <f aca="false">IF($A46="","",SUM(Calc!D46,Calc!J46,Calc!P46,Calc!V46,Calc!AB46,Calc!AH46))</f>
        <v/>
      </c>
      <c r="EU46" s="27" t="str">
        <f aca="false">IF($A46="","",($ER46+$ES46+$ET46+IF($P46="Yes",N($Q46)*N(IF($O46="",1,$O46)),0))*1000*IF($K46="",10,$K46)/1000000)</f>
        <v/>
      </c>
      <c r="EV46" s="28" t="str">
        <f aca="false">IF($A46="","",$EU46*1000000*12/1000000000)</f>
        <v/>
      </c>
      <c r="EW46" s="32" t="str">
        <f aca="false">IF($A46="","",IF($EP46=0,"⚠ no species entered",IF(((LEFT($BC46,1)="✖")+(LEFT($BU46,1)="✖")+(LEFT($CM46,1)="✖")+(LEFT($DE46,1)="✖")+(LEFT($DW46,1)="✖")+(LEFT($EO46,1)="✖"))&gt;0,"✖ "&amp;((LEFT($BC46,1)="✖")+(LEFT($BU46,1)="✖")+(LEFT($CM46,1)="✖")+(LEFT($DE46,1)="✖")+(LEFT($DW46,1)="✖")+(LEFT($EO46,1)="✖"))&amp;" species saturated - see the species checks",IF(MIN(IF($G46="",5000,$G46),IF($H46="",5000,$H46))&lt;8*MAX(IF($T46="",200,$T46),IF($U46="",200,$U46),IF($V46="",200,$V46)),"⚠ box too small laterally (&lt; 8·wr)",IF(AND(IF($I46="",5000,$I46)&gt;0,IF($I46="",5000,$I46)&lt;3*MAX(IF($W46="",1000,$W46),IF($X46="",1000,$X46),IF($Y46="",1000,$Y46))),"⚠ box too small axially (&lt; 3·wz)",IF($EV46&gt;8,"⚠ &gt; 8 GB per file: shorten the duration and use several files",IF(((LEFT($BC46,1)="⚠")+(LEFT($BU46,1)="⚠")+(LEFT($CM46,1)="⚠")+(LEFT($DE46,1)="⚠")+(LEFT($DW46,1)="⚠")+(LEFT($EO46,1)="⚠"))&gt;0,"⚠ "&amp;((LEFT($BC46,1)="⚠")+(LEFT($BU46,1)="⚠")+(LEFT($CM46,1)="⚠")+(LEFT($DE46,1)="⚠")+(LEFT($DW46,1)="⚠")+(LEFT($EO46,1)="⚠"))&amp;" species with a warning","✔ OK")))))))</f>
        <v/>
      </c>
      <c r="EX46" s="25"/>
      <c r="EY46" s="25"/>
      <c r="EZ46" s="25"/>
      <c r="FA46" s="25"/>
      <c r="FB46" s="25"/>
      <c r="FC46" s="25"/>
      <c r="FD46" s="25"/>
      <c r="FE46" s="26"/>
    </row>
    <row r="47" customFormat="false" ht="15" hidden="false" customHeight="false" outlineLevel="0" collapsed="false">
      <c r="A47" s="25"/>
      <c r="B47" s="25"/>
      <c r="C47" s="26"/>
      <c r="D47" s="26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7" t="str">
        <f aca="false">IF(OR($AU47="",$AU47="No FRET",N($AV47)&lt;=0,N(IF($AI47="",63,$AI47))&lt;=0),"",1/(1+($AV47/IF($AI47="",63,$AI47))^6))</f>
        <v/>
      </c>
      <c r="AZ47" s="27" t="str">
        <f aca="false">IF(OR($AU47="",$AU47="No FRET",N($AW47)&lt;=0,N(IF($AJ47="",51,$AJ47))&lt;=0),"",1/(1+($AW47/IF($AJ47="",51,$AJ47))^6))</f>
        <v/>
      </c>
      <c r="BA47" s="27" t="str">
        <f aca="false">IF(OR($AU47="",$AU47="No FRET",N($AX47)&lt;=0,N(IF($AK47="",68,$AK47))&lt;=0),"",1/(1+($AX47/IF($AK47="",68,$AK47))^6))</f>
        <v/>
      </c>
      <c r="BB47" s="28" t="str">
        <f aca="false">IF(OR($A47="",N($AN47)&lt;=0),"",IF(IF($I47="",5000,$I47)&gt;0,$AN47/(IF($G47="",5000,$G47)*IF($H47="",5000,$H47)*IF($I47="",5000,$I47))/1E-024/6.022E+023/0.000000001,""))</f>
        <v/>
      </c>
      <c r="BC47" s="29" t="str">
        <f aca="false">IF(Calc!G47=0,"",IF(Calc!E47&gt;=1,"✖ saturated (B ≥ freq.)",IF(Calc!E47&gt;0.1,"⚠ B &gt; 10% of freq.",IF(Calc!E47=0,"⚠ no brightness",IF(Calc!F47&gt;0.1,"⚠ step &gt; 10% of wr",IF(OR(AND(N($AQ47)&gt;0,IF($O47="",1,$O47)&lt;3),AND(N($AP47)&gt;0,IF($O47="",1,$O47)&lt;2)),"⚠ uses a colour above Colours = "&amp;IF($O47="",1,$O47)&amp;" (ignored)",IF(AND($AU47&lt;&gt;"",$AU47&lt;&gt;"No FRET",N(IF($O47="",1,$O47))&lt;2),"⚠ FRET needs ≥ 2 colours",IF(AND($AU47&lt;&gt;"",$AU47&lt;&gt;"No FRET",N($AV47)+N($AW47)+N($AX47)=0),"⚠ FRET: set R","✔ OK"))))))))</f>
        <v/>
      </c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7" t="str">
        <f aca="false">IF(OR($BM47="",$BM47="No FRET",N($BN47)&lt;=0,N(IF($AI47="",63,$AI47))&lt;=0),"",1/(1+($BN47/IF($AI47="",63,$AI47))^6))</f>
        <v/>
      </c>
      <c r="BR47" s="27" t="str">
        <f aca="false">IF(OR($BM47="",$BM47="No FRET",N($BO47)&lt;=0,N(IF($AJ47="",51,$AJ47))&lt;=0),"",1/(1+($BO47/IF($AJ47="",51,$AJ47))^6))</f>
        <v/>
      </c>
      <c r="BS47" s="27" t="str">
        <f aca="false">IF(OR($BM47="",$BM47="No FRET",N($BP47)&lt;=0,N(IF($AK47="",68,$AK47))&lt;=0),"",1/(1+($BP47/IF($AK47="",68,$AK47))^6))</f>
        <v/>
      </c>
      <c r="BT47" s="28" t="str">
        <f aca="false">IF(OR($A47="",N($BF47)&lt;=0),"",IF(IF($I47="",5000,$I47)&gt;0,$BF47/(IF($G47="",5000,$G47)*IF($H47="",5000,$H47)*IF($I47="",5000,$I47))/1E-024/6.022E+023/0.000000001,""))</f>
        <v/>
      </c>
      <c r="BU47" s="29" t="str">
        <f aca="false">IF(Calc!M47=0,"",IF(Calc!K47&gt;=1,"✖ saturated (B ≥ freq.)",IF(Calc!K47&gt;0.1,"⚠ B &gt; 10% of freq.",IF(Calc!K47=0,"⚠ no brightness",IF(Calc!L47&gt;0.1,"⚠ step &gt; 10% of wr",IF(OR(AND(N($BI47)&gt;0,IF($O47="",1,$O47)&lt;3),AND(N($BH47)&gt;0,IF($O47="",1,$O47)&lt;2)),"⚠ uses a colour above Colours = "&amp;IF($O47="",1,$O47)&amp;" (ignored)",IF(AND($BM47&lt;&gt;"",$BM47&lt;&gt;"No FRET",N(IF($O47="",1,$O47))&lt;2),"⚠ FRET needs ≥ 2 colours",IF(AND($BM47&lt;&gt;"",$BM47&lt;&gt;"No FRET",N($BN47)+N($BO47)+N($BP47)=0),"⚠ FRET: set R","✔ OK"))))))))</f>
        <v/>
      </c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7" t="str">
        <f aca="false">IF(OR($CE47="",$CE47="No FRET",N($CF47)&lt;=0,N(IF($AI47="",63,$AI47))&lt;=0),"",1/(1+($CF47/IF($AI47="",63,$AI47))^6))</f>
        <v/>
      </c>
      <c r="CJ47" s="27" t="str">
        <f aca="false">IF(OR($CE47="",$CE47="No FRET",N($CG47)&lt;=0,N(IF($AJ47="",51,$AJ47))&lt;=0),"",1/(1+($CG47/IF($AJ47="",51,$AJ47))^6))</f>
        <v/>
      </c>
      <c r="CK47" s="27" t="str">
        <f aca="false">IF(OR($CE47="",$CE47="No FRET",N($CH47)&lt;=0,N(IF($AK47="",68,$AK47))&lt;=0),"",1/(1+($CH47/IF($AK47="",68,$AK47))^6))</f>
        <v/>
      </c>
      <c r="CL47" s="28" t="str">
        <f aca="false">IF(OR($A47="",N($BX47)&lt;=0),"",IF(IF($I47="",5000,$I47)&gt;0,$BX47/(IF($G47="",5000,$G47)*IF($H47="",5000,$H47)*IF($I47="",5000,$I47))/1E-024/6.022E+023/0.000000001,""))</f>
        <v/>
      </c>
      <c r="CM47" s="29" t="str">
        <f aca="false">IF(Calc!S47=0,"",IF(Calc!Q47&gt;=1,"✖ saturated (B ≥ freq.)",IF(Calc!Q47&gt;0.1,"⚠ B &gt; 10% of freq.",IF(Calc!Q47=0,"⚠ no brightness",IF(Calc!R47&gt;0.1,"⚠ step &gt; 10% of wr",IF(OR(AND(N($CA47)&gt;0,IF($O47="",1,$O47)&lt;3),AND(N($BZ47)&gt;0,IF($O47="",1,$O47)&lt;2)),"⚠ uses a colour above Colours = "&amp;IF($O47="",1,$O47)&amp;" (ignored)",IF(AND($CE47&lt;&gt;"",$CE47&lt;&gt;"No FRET",N(IF($O47="",1,$O47))&lt;2),"⚠ FRET needs ≥ 2 colours",IF(AND($CE47&lt;&gt;"",$CE47&lt;&gt;"No FRET",N($CF47)+N($CG47)+N($CH47)=0),"⚠ FRET: set R","✔ OK"))))))))</f>
        <v/>
      </c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7" t="str">
        <f aca="false">IF(OR($CW47="",$CW47="No FRET",N($CX47)&lt;=0,N(IF($AI47="",63,$AI47))&lt;=0),"",1/(1+($CX47/IF($AI47="",63,$AI47))^6))</f>
        <v/>
      </c>
      <c r="DB47" s="27" t="str">
        <f aca="false">IF(OR($CW47="",$CW47="No FRET",N($CY47)&lt;=0,N(IF($AJ47="",51,$AJ47))&lt;=0),"",1/(1+($CY47/IF($AJ47="",51,$AJ47))^6))</f>
        <v/>
      </c>
      <c r="DC47" s="27" t="str">
        <f aca="false">IF(OR($CW47="",$CW47="No FRET",N($CZ47)&lt;=0,N(IF($AK47="",68,$AK47))&lt;=0),"",1/(1+($CZ47/IF($AK47="",68,$AK47))^6))</f>
        <v/>
      </c>
      <c r="DD47" s="28" t="str">
        <f aca="false">IF(OR($A47="",N($CP47)&lt;=0),"",IF(IF($I47="",5000,$I47)&gt;0,$CP47/(IF($G47="",5000,$G47)*IF($H47="",5000,$H47)*IF($I47="",5000,$I47))/1E-024/6.022E+023/0.000000001,""))</f>
        <v/>
      </c>
      <c r="DE47" s="29" t="str">
        <f aca="false">IF(Calc!Y47=0,"",IF(Calc!W47&gt;=1,"✖ saturated (B ≥ freq.)",IF(Calc!W47&gt;0.1,"⚠ B &gt; 10% of freq.",IF(Calc!W47=0,"⚠ no brightness",IF(Calc!X47&gt;0.1,"⚠ step &gt; 10% of wr",IF(OR(AND(N($CS47)&gt;0,IF($O47="",1,$O47)&lt;3),AND(N($CR47)&gt;0,IF($O47="",1,$O47)&lt;2)),"⚠ uses a colour above Colours = "&amp;IF($O47="",1,$O47)&amp;" (ignored)",IF(AND($CW47&lt;&gt;"",$CW47&lt;&gt;"No FRET",N(IF($O47="",1,$O47))&lt;2),"⚠ FRET needs ≥ 2 colours",IF(AND($CW47&lt;&gt;"",$CW47&lt;&gt;"No FRET",N($CX47)+N($CY47)+N($CZ47)=0),"⚠ FRET: set R","✔ OK"))))))))</f>
        <v/>
      </c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7" t="str">
        <f aca="false">IF(OR($DO47="",$DO47="No FRET",N($DP47)&lt;=0,N(IF($AI47="",63,$AI47))&lt;=0),"",1/(1+($DP47/IF($AI47="",63,$AI47))^6))</f>
        <v/>
      </c>
      <c r="DT47" s="27" t="str">
        <f aca="false">IF(OR($DO47="",$DO47="No FRET",N($DQ47)&lt;=0,N(IF($AJ47="",51,$AJ47))&lt;=0),"",1/(1+($DQ47/IF($AJ47="",51,$AJ47))^6))</f>
        <v/>
      </c>
      <c r="DU47" s="27" t="str">
        <f aca="false">IF(OR($DO47="",$DO47="No FRET",N($DR47)&lt;=0,N(IF($AK47="",68,$AK47))&lt;=0),"",1/(1+($DR47/IF($AK47="",68,$AK47))^6))</f>
        <v/>
      </c>
      <c r="DV47" s="28" t="str">
        <f aca="false">IF(OR($A47="",N($DH47)&lt;=0),"",IF(IF($I47="",5000,$I47)&gt;0,$DH47/(IF($G47="",5000,$G47)*IF($H47="",5000,$H47)*IF($I47="",5000,$I47))/1E-024/6.022E+023/0.000000001,""))</f>
        <v/>
      </c>
      <c r="DW47" s="29" t="str">
        <f aca="false">IF(Calc!AE47=0,"",IF(Calc!AC47&gt;=1,"✖ saturated (B ≥ freq.)",IF(Calc!AC47&gt;0.1,"⚠ B &gt; 10% of freq.",IF(Calc!AC47=0,"⚠ no brightness",IF(Calc!AD47&gt;0.1,"⚠ step &gt; 10% of wr",IF(OR(AND(N($DK47)&gt;0,IF($O47="",1,$O47)&lt;3),AND(N($DJ47)&gt;0,IF($O47="",1,$O47)&lt;2)),"⚠ uses a colour above Colours = "&amp;IF($O47="",1,$O47)&amp;" (ignored)",IF(AND($DO47&lt;&gt;"",$DO47&lt;&gt;"No FRET",N(IF($O47="",1,$O47))&lt;2),"⚠ FRET needs ≥ 2 colours",IF(AND($DO47&lt;&gt;"",$DO47&lt;&gt;"No FRET",N($DP47)+N($DQ47)+N($DR47)=0),"⚠ FRET: set R","✔ OK"))))))))</f>
        <v/>
      </c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7" t="str">
        <f aca="false">IF(OR($EG47="",$EG47="No FRET",N($EH47)&lt;=0,N(IF($AI47="",63,$AI47))&lt;=0),"",1/(1+($EH47/IF($AI47="",63,$AI47))^6))</f>
        <v/>
      </c>
      <c r="EL47" s="27" t="str">
        <f aca="false">IF(OR($EG47="",$EG47="No FRET",N($EI47)&lt;=0,N(IF($AJ47="",51,$AJ47))&lt;=0),"",1/(1+($EI47/IF($AJ47="",51,$AJ47))^6))</f>
        <v/>
      </c>
      <c r="EM47" s="27" t="str">
        <f aca="false">IF(OR($EG47="",$EG47="No FRET",N($EJ47)&lt;=0,N(IF($AK47="",68,$AK47))&lt;=0),"",1/(1+($EJ47/IF($AK47="",68,$AK47))^6))</f>
        <v/>
      </c>
      <c r="EN47" s="28" t="str">
        <f aca="false">IF(OR($A47="",N($DZ47)&lt;=0),"",IF(IF($I47="",5000,$I47)&gt;0,$DZ47/(IF($G47="",5000,$G47)*IF($H47="",5000,$H47)*IF($I47="",5000,$I47))/1E-024/6.022E+023/0.000000001,""))</f>
        <v/>
      </c>
      <c r="EO47" s="29" t="str">
        <f aca="false">IF(Calc!AK47=0,"",IF(Calc!AI47&gt;=1,"✖ saturated (B ≥ freq.)",IF(Calc!AI47&gt;0.1,"⚠ B &gt; 10% of freq.",IF(Calc!AI47=0,"⚠ no brightness",IF(Calc!AJ47&gt;0.1,"⚠ step &gt; 10% of wr",IF(OR(AND(N($EC47)&gt;0,IF($O47="",1,$O47)&lt;3),AND(N($EB47)&gt;0,IF($O47="",1,$O47)&lt;2)),"⚠ uses a colour above Colours = "&amp;IF($O47="",1,$O47)&amp;" (ignored)",IF(AND($EG47&lt;&gt;"",$EG47&lt;&gt;"No FRET",N(IF($O47="",1,$O47))&lt;2),"⚠ FRET needs ≥ 2 colours",IF(AND($EG47&lt;&gt;"",$EG47&lt;&gt;"No FRET",N($EH47)+N($EI47)+N($EJ47)=0),"⚠ FRET: set R","✔ OK"))))))))</f>
        <v/>
      </c>
      <c r="EP47" s="30" t="str">
        <f aca="false">IF($A47="","",SUM(Calc!G47,Calc!M47,Calc!S47,Calc!Y47,Calc!AE47,Calc!AK47))</f>
        <v/>
      </c>
      <c r="EQ47" s="30" t="str">
        <f aca="false">IF($A47="","",N($AN47)+N($BF47)+N($BX47)+N($CP47)+N($DH47)+N($DZ47))</f>
        <v/>
      </c>
      <c r="ER47" s="31" t="str">
        <f aca="false">IF($A47="","",SUM(Calc!B47,Calc!H47,Calc!N47,Calc!T47,Calc!Z47,Calc!AF47))</f>
        <v/>
      </c>
      <c r="ES47" s="31" t="str">
        <f aca="false">IF($A47="","",SUM(Calc!C47,Calc!I47,Calc!O47,Calc!U47,Calc!AA47,Calc!AG47))</f>
        <v/>
      </c>
      <c r="ET47" s="31" t="str">
        <f aca="false">IF($A47="","",SUM(Calc!D47,Calc!J47,Calc!P47,Calc!V47,Calc!AB47,Calc!AH47))</f>
        <v/>
      </c>
      <c r="EU47" s="27" t="str">
        <f aca="false">IF($A47="","",($ER47+$ES47+$ET47+IF($P47="Yes",N($Q47)*N(IF($O47="",1,$O47)),0))*1000*IF($K47="",10,$K47)/1000000)</f>
        <v/>
      </c>
      <c r="EV47" s="28" t="str">
        <f aca="false">IF($A47="","",$EU47*1000000*12/1000000000)</f>
        <v/>
      </c>
      <c r="EW47" s="32" t="str">
        <f aca="false">IF($A47="","",IF($EP47=0,"⚠ no species entered",IF(((LEFT($BC47,1)="✖")+(LEFT($BU47,1)="✖")+(LEFT($CM47,1)="✖")+(LEFT($DE47,1)="✖")+(LEFT($DW47,1)="✖")+(LEFT($EO47,1)="✖"))&gt;0,"✖ "&amp;((LEFT($BC47,1)="✖")+(LEFT($BU47,1)="✖")+(LEFT($CM47,1)="✖")+(LEFT($DE47,1)="✖")+(LEFT($DW47,1)="✖")+(LEFT($EO47,1)="✖"))&amp;" species saturated - see the species checks",IF(MIN(IF($G47="",5000,$G47),IF($H47="",5000,$H47))&lt;8*MAX(IF($T47="",200,$T47),IF($U47="",200,$U47),IF($V47="",200,$V47)),"⚠ box too small laterally (&lt; 8·wr)",IF(AND(IF($I47="",5000,$I47)&gt;0,IF($I47="",5000,$I47)&lt;3*MAX(IF($W47="",1000,$W47),IF($X47="",1000,$X47),IF($Y47="",1000,$Y47))),"⚠ box too small axially (&lt; 3·wz)",IF($EV47&gt;8,"⚠ &gt; 8 GB per file: shorten the duration and use several files",IF(((LEFT($BC47,1)="⚠")+(LEFT($BU47,1)="⚠")+(LEFT($CM47,1)="⚠")+(LEFT($DE47,1)="⚠")+(LEFT($DW47,1)="⚠")+(LEFT($EO47,1)="⚠"))&gt;0,"⚠ "&amp;((LEFT($BC47,1)="⚠")+(LEFT($BU47,1)="⚠")+(LEFT($CM47,1)="⚠")+(LEFT($DE47,1)="⚠")+(LEFT($DW47,1)="⚠")+(LEFT($EO47,1)="⚠"))&amp;" species with a warning","✔ OK")))))))</f>
        <v/>
      </c>
      <c r="EX47" s="25"/>
      <c r="EY47" s="25"/>
      <c r="EZ47" s="25"/>
      <c r="FA47" s="25"/>
      <c r="FB47" s="25"/>
      <c r="FC47" s="25"/>
      <c r="FD47" s="25"/>
      <c r="FE47" s="26"/>
    </row>
    <row r="48" customFormat="false" ht="15" hidden="false" customHeight="false" outlineLevel="0" collapsed="false">
      <c r="A48" s="25"/>
      <c r="B48" s="25"/>
      <c r="C48" s="26"/>
      <c r="D48" s="26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7" t="str">
        <f aca="false">IF(OR($AU48="",$AU48="No FRET",N($AV48)&lt;=0,N(IF($AI48="",63,$AI48))&lt;=0),"",1/(1+($AV48/IF($AI48="",63,$AI48))^6))</f>
        <v/>
      </c>
      <c r="AZ48" s="27" t="str">
        <f aca="false">IF(OR($AU48="",$AU48="No FRET",N($AW48)&lt;=0,N(IF($AJ48="",51,$AJ48))&lt;=0),"",1/(1+($AW48/IF($AJ48="",51,$AJ48))^6))</f>
        <v/>
      </c>
      <c r="BA48" s="27" t="str">
        <f aca="false">IF(OR($AU48="",$AU48="No FRET",N($AX48)&lt;=0,N(IF($AK48="",68,$AK48))&lt;=0),"",1/(1+($AX48/IF($AK48="",68,$AK48))^6))</f>
        <v/>
      </c>
      <c r="BB48" s="28" t="str">
        <f aca="false">IF(OR($A48="",N($AN48)&lt;=0),"",IF(IF($I48="",5000,$I48)&gt;0,$AN48/(IF($G48="",5000,$G48)*IF($H48="",5000,$H48)*IF($I48="",5000,$I48))/1E-024/6.022E+023/0.000000001,""))</f>
        <v/>
      </c>
      <c r="BC48" s="29" t="str">
        <f aca="false">IF(Calc!G48=0,"",IF(Calc!E48&gt;=1,"✖ saturated (B ≥ freq.)",IF(Calc!E48&gt;0.1,"⚠ B &gt; 10% of freq.",IF(Calc!E48=0,"⚠ no brightness",IF(Calc!F48&gt;0.1,"⚠ step &gt; 10% of wr",IF(OR(AND(N($AQ48)&gt;0,IF($O48="",1,$O48)&lt;3),AND(N($AP48)&gt;0,IF($O48="",1,$O48)&lt;2)),"⚠ uses a colour above Colours = "&amp;IF($O48="",1,$O48)&amp;" (ignored)",IF(AND($AU48&lt;&gt;"",$AU48&lt;&gt;"No FRET",N(IF($O48="",1,$O48))&lt;2),"⚠ FRET needs ≥ 2 colours",IF(AND($AU48&lt;&gt;"",$AU48&lt;&gt;"No FRET",N($AV48)+N($AW48)+N($AX48)=0),"⚠ FRET: set R","✔ OK"))))))))</f>
        <v/>
      </c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7" t="str">
        <f aca="false">IF(OR($BM48="",$BM48="No FRET",N($BN48)&lt;=0,N(IF($AI48="",63,$AI48))&lt;=0),"",1/(1+($BN48/IF($AI48="",63,$AI48))^6))</f>
        <v/>
      </c>
      <c r="BR48" s="27" t="str">
        <f aca="false">IF(OR($BM48="",$BM48="No FRET",N($BO48)&lt;=0,N(IF($AJ48="",51,$AJ48))&lt;=0),"",1/(1+($BO48/IF($AJ48="",51,$AJ48))^6))</f>
        <v/>
      </c>
      <c r="BS48" s="27" t="str">
        <f aca="false">IF(OR($BM48="",$BM48="No FRET",N($BP48)&lt;=0,N(IF($AK48="",68,$AK48))&lt;=0),"",1/(1+($BP48/IF($AK48="",68,$AK48))^6))</f>
        <v/>
      </c>
      <c r="BT48" s="28" t="str">
        <f aca="false">IF(OR($A48="",N($BF48)&lt;=0),"",IF(IF($I48="",5000,$I48)&gt;0,$BF48/(IF($G48="",5000,$G48)*IF($H48="",5000,$H48)*IF($I48="",5000,$I48))/1E-024/6.022E+023/0.000000001,""))</f>
        <v/>
      </c>
      <c r="BU48" s="29" t="str">
        <f aca="false">IF(Calc!M48=0,"",IF(Calc!K48&gt;=1,"✖ saturated (B ≥ freq.)",IF(Calc!K48&gt;0.1,"⚠ B &gt; 10% of freq.",IF(Calc!K48=0,"⚠ no brightness",IF(Calc!L48&gt;0.1,"⚠ step &gt; 10% of wr",IF(OR(AND(N($BI48)&gt;0,IF($O48="",1,$O48)&lt;3),AND(N($BH48)&gt;0,IF($O48="",1,$O48)&lt;2)),"⚠ uses a colour above Colours = "&amp;IF($O48="",1,$O48)&amp;" (ignored)",IF(AND($BM48&lt;&gt;"",$BM48&lt;&gt;"No FRET",N(IF($O48="",1,$O48))&lt;2),"⚠ FRET needs ≥ 2 colours",IF(AND($BM48&lt;&gt;"",$BM48&lt;&gt;"No FRET",N($BN48)+N($BO48)+N($BP48)=0),"⚠ FRET: set R","✔ OK"))))))))</f>
        <v/>
      </c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7" t="str">
        <f aca="false">IF(OR($CE48="",$CE48="No FRET",N($CF48)&lt;=0,N(IF($AI48="",63,$AI48))&lt;=0),"",1/(1+($CF48/IF($AI48="",63,$AI48))^6))</f>
        <v/>
      </c>
      <c r="CJ48" s="27" t="str">
        <f aca="false">IF(OR($CE48="",$CE48="No FRET",N($CG48)&lt;=0,N(IF($AJ48="",51,$AJ48))&lt;=0),"",1/(1+($CG48/IF($AJ48="",51,$AJ48))^6))</f>
        <v/>
      </c>
      <c r="CK48" s="27" t="str">
        <f aca="false">IF(OR($CE48="",$CE48="No FRET",N($CH48)&lt;=0,N(IF($AK48="",68,$AK48))&lt;=0),"",1/(1+($CH48/IF($AK48="",68,$AK48))^6))</f>
        <v/>
      </c>
      <c r="CL48" s="28" t="str">
        <f aca="false">IF(OR($A48="",N($BX48)&lt;=0),"",IF(IF($I48="",5000,$I48)&gt;0,$BX48/(IF($G48="",5000,$G48)*IF($H48="",5000,$H48)*IF($I48="",5000,$I48))/1E-024/6.022E+023/0.000000001,""))</f>
        <v/>
      </c>
      <c r="CM48" s="29" t="str">
        <f aca="false">IF(Calc!S48=0,"",IF(Calc!Q48&gt;=1,"✖ saturated (B ≥ freq.)",IF(Calc!Q48&gt;0.1,"⚠ B &gt; 10% of freq.",IF(Calc!Q48=0,"⚠ no brightness",IF(Calc!R48&gt;0.1,"⚠ step &gt; 10% of wr",IF(OR(AND(N($CA48)&gt;0,IF($O48="",1,$O48)&lt;3),AND(N($BZ48)&gt;0,IF($O48="",1,$O48)&lt;2)),"⚠ uses a colour above Colours = "&amp;IF($O48="",1,$O48)&amp;" (ignored)",IF(AND($CE48&lt;&gt;"",$CE48&lt;&gt;"No FRET",N(IF($O48="",1,$O48))&lt;2),"⚠ FRET needs ≥ 2 colours",IF(AND($CE48&lt;&gt;"",$CE48&lt;&gt;"No FRET",N($CF48)+N($CG48)+N($CH48)=0),"⚠ FRET: set R","✔ OK"))))))))</f>
        <v/>
      </c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7" t="str">
        <f aca="false">IF(OR($CW48="",$CW48="No FRET",N($CX48)&lt;=0,N(IF($AI48="",63,$AI48))&lt;=0),"",1/(1+($CX48/IF($AI48="",63,$AI48))^6))</f>
        <v/>
      </c>
      <c r="DB48" s="27" t="str">
        <f aca="false">IF(OR($CW48="",$CW48="No FRET",N($CY48)&lt;=0,N(IF($AJ48="",51,$AJ48))&lt;=0),"",1/(1+($CY48/IF($AJ48="",51,$AJ48))^6))</f>
        <v/>
      </c>
      <c r="DC48" s="27" t="str">
        <f aca="false">IF(OR($CW48="",$CW48="No FRET",N($CZ48)&lt;=0,N(IF($AK48="",68,$AK48))&lt;=0),"",1/(1+($CZ48/IF($AK48="",68,$AK48))^6))</f>
        <v/>
      </c>
      <c r="DD48" s="28" t="str">
        <f aca="false">IF(OR($A48="",N($CP48)&lt;=0),"",IF(IF($I48="",5000,$I48)&gt;0,$CP48/(IF($G48="",5000,$G48)*IF($H48="",5000,$H48)*IF($I48="",5000,$I48))/1E-024/6.022E+023/0.000000001,""))</f>
        <v/>
      </c>
      <c r="DE48" s="29" t="str">
        <f aca="false">IF(Calc!Y48=0,"",IF(Calc!W48&gt;=1,"✖ saturated (B ≥ freq.)",IF(Calc!W48&gt;0.1,"⚠ B &gt; 10% of freq.",IF(Calc!W48=0,"⚠ no brightness",IF(Calc!X48&gt;0.1,"⚠ step &gt; 10% of wr",IF(OR(AND(N($CS48)&gt;0,IF($O48="",1,$O48)&lt;3),AND(N($CR48)&gt;0,IF($O48="",1,$O48)&lt;2)),"⚠ uses a colour above Colours = "&amp;IF($O48="",1,$O48)&amp;" (ignored)",IF(AND($CW48&lt;&gt;"",$CW48&lt;&gt;"No FRET",N(IF($O48="",1,$O48))&lt;2),"⚠ FRET needs ≥ 2 colours",IF(AND($CW48&lt;&gt;"",$CW48&lt;&gt;"No FRET",N($CX48)+N($CY48)+N($CZ48)=0),"⚠ FRET: set R","✔ OK"))))))))</f>
        <v/>
      </c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7" t="str">
        <f aca="false">IF(OR($DO48="",$DO48="No FRET",N($DP48)&lt;=0,N(IF($AI48="",63,$AI48))&lt;=0),"",1/(1+($DP48/IF($AI48="",63,$AI48))^6))</f>
        <v/>
      </c>
      <c r="DT48" s="27" t="str">
        <f aca="false">IF(OR($DO48="",$DO48="No FRET",N($DQ48)&lt;=0,N(IF($AJ48="",51,$AJ48))&lt;=0),"",1/(1+($DQ48/IF($AJ48="",51,$AJ48))^6))</f>
        <v/>
      </c>
      <c r="DU48" s="27" t="str">
        <f aca="false">IF(OR($DO48="",$DO48="No FRET",N($DR48)&lt;=0,N(IF($AK48="",68,$AK48))&lt;=0),"",1/(1+($DR48/IF($AK48="",68,$AK48))^6))</f>
        <v/>
      </c>
      <c r="DV48" s="28" t="str">
        <f aca="false">IF(OR($A48="",N($DH48)&lt;=0),"",IF(IF($I48="",5000,$I48)&gt;0,$DH48/(IF($G48="",5000,$G48)*IF($H48="",5000,$H48)*IF($I48="",5000,$I48))/1E-024/6.022E+023/0.000000001,""))</f>
        <v/>
      </c>
      <c r="DW48" s="29" t="str">
        <f aca="false">IF(Calc!AE48=0,"",IF(Calc!AC48&gt;=1,"✖ saturated (B ≥ freq.)",IF(Calc!AC48&gt;0.1,"⚠ B &gt; 10% of freq.",IF(Calc!AC48=0,"⚠ no brightness",IF(Calc!AD48&gt;0.1,"⚠ step &gt; 10% of wr",IF(OR(AND(N($DK48)&gt;0,IF($O48="",1,$O48)&lt;3),AND(N($DJ48)&gt;0,IF($O48="",1,$O48)&lt;2)),"⚠ uses a colour above Colours = "&amp;IF($O48="",1,$O48)&amp;" (ignored)",IF(AND($DO48&lt;&gt;"",$DO48&lt;&gt;"No FRET",N(IF($O48="",1,$O48))&lt;2),"⚠ FRET needs ≥ 2 colours",IF(AND($DO48&lt;&gt;"",$DO48&lt;&gt;"No FRET",N($DP48)+N($DQ48)+N($DR48)=0),"⚠ FRET: set R","✔ OK"))))))))</f>
        <v/>
      </c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7" t="str">
        <f aca="false">IF(OR($EG48="",$EG48="No FRET",N($EH48)&lt;=0,N(IF($AI48="",63,$AI48))&lt;=0),"",1/(1+($EH48/IF($AI48="",63,$AI48))^6))</f>
        <v/>
      </c>
      <c r="EL48" s="27" t="str">
        <f aca="false">IF(OR($EG48="",$EG48="No FRET",N($EI48)&lt;=0,N(IF($AJ48="",51,$AJ48))&lt;=0),"",1/(1+($EI48/IF($AJ48="",51,$AJ48))^6))</f>
        <v/>
      </c>
      <c r="EM48" s="27" t="str">
        <f aca="false">IF(OR($EG48="",$EG48="No FRET",N($EJ48)&lt;=0,N(IF($AK48="",68,$AK48))&lt;=0),"",1/(1+($EJ48/IF($AK48="",68,$AK48))^6))</f>
        <v/>
      </c>
      <c r="EN48" s="28" t="str">
        <f aca="false">IF(OR($A48="",N($DZ48)&lt;=0),"",IF(IF($I48="",5000,$I48)&gt;0,$DZ48/(IF($G48="",5000,$G48)*IF($H48="",5000,$H48)*IF($I48="",5000,$I48))/1E-024/6.022E+023/0.000000001,""))</f>
        <v/>
      </c>
      <c r="EO48" s="29" t="str">
        <f aca="false">IF(Calc!AK48=0,"",IF(Calc!AI48&gt;=1,"✖ saturated (B ≥ freq.)",IF(Calc!AI48&gt;0.1,"⚠ B &gt; 10% of freq.",IF(Calc!AI48=0,"⚠ no brightness",IF(Calc!AJ48&gt;0.1,"⚠ step &gt; 10% of wr",IF(OR(AND(N($EC48)&gt;0,IF($O48="",1,$O48)&lt;3),AND(N($EB48)&gt;0,IF($O48="",1,$O48)&lt;2)),"⚠ uses a colour above Colours = "&amp;IF($O48="",1,$O48)&amp;" (ignored)",IF(AND($EG48&lt;&gt;"",$EG48&lt;&gt;"No FRET",N(IF($O48="",1,$O48))&lt;2),"⚠ FRET needs ≥ 2 colours",IF(AND($EG48&lt;&gt;"",$EG48&lt;&gt;"No FRET",N($EH48)+N($EI48)+N($EJ48)=0),"⚠ FRET: set R","✔ OK"))))))))</f>
        <v/>
      </c>
      <c r="EP48" s="30" t="str">
        <f aca="false">IF($A48="","",SUM(Calc!G48,Calc!M48,Calc!S48,Calc!Y48,Calc!AE48,Calc!AK48))</f>
        <v/>
      </c>
      <c r="EQ48" s="30" t="str">
        <f aca="false">IF($A48="","",N($AN48)+N($BF48)+N($BX48)+N($CP48)+N($DH48)+N($DZ48))</f>
        <v/>
      </c>
      <c r="ER48" s="31" t="str">
        <f aca="false">IF($A48="","",SUM(Calc!B48,Calc!H48,Calc!N48,Calc!T48,Calc!Z48,Calc!AF48))</f>
        <v/>
      </c>
      <c r="ES48" s="31" t="str">
        <f aca="false">IF($A48="","",SUM(Calc!C48,Calc!I48,Calc!O48,Calc!U48,Calc!AA48,Calc!AG48))</f>
        <v/>
      </c>
      <c r="ET48" s="31" t="str">
        <f aca="false">IF($A48="","",SUM(Calc!D48,Calc!J48,Calc!P48,Calc!V48,Calc!AB48,Calc!AH48))</f>
        <v/>
      </c>
      <c r="EU48" s="27" t="str">
        <f aca="false">IF($A48="","",($ER48+$ES48+$ET48+IF($P48="Yes",N($Q48)*N(IF($O48="",1,$O48)),0))*1000*IF($K48="",10,$K48)/1000000)</f>
        <v/>
      </c>
      <c r="EV48" s="28" t="str">
        <f aca="false">IF($A48="","",$EU48*1000000*12/1000000000)</f>
        <v/>
      </c>
      <c r="EW48" s="32" t="str">
        <f aca="false">IF($A48="","",IF($EP48=0,"⚠ no species entered",IF(((LEFT($BC48,1)="✖")+(LEFT($BU48,1)="✖")+(LEFT($CM48,1)="✖")+(LEFT($DE48,1)="✖")+(LEFT($DW48,1)="✖")+(LEFT($EO48,1)="✖"))&gt;0,"✖ "&amp;((LEFT($BC48,1)="✖")+(LEFT($BU48,1)="✖")+(LEFT($CM48,1)="✖")+(LEFT($DE48,1)="✖")+(LEFT($DW48,1)="✖")+(LEFT($EO48,1)="✖"))&amp;" species saturated - see the species checks",IF(MIN(IF($G48="",5000,$G48),IF($H48="",5000,$H48))&lt;8*MAX(IF($T48="",200,$T48),IF($U48="",200,$U48),IF($V48="",200,$V48)),"⚠ box too small laterally (&lt; 8·wr)",IF(AND(IF($I48="",5000,$I48)&gt;0,IF($I48="",5000,$I48)&lt;3*MAX(IF($W48="",1000,$W48),IF($X48="",1000,$X48),IF($Y48="",1000,$Y48))),"⚠ box too small axially (&lt; 3·wz)",IF($EV48&gt;8,"⚠ &gt; 8 GB per file: shorten the duration and use several files",IF(((LEFT($BC48,1)="⚠")+(LEFT($BU48,1)="⚠")+(LEFT($CM48,1)="⚠")+(LEFT($DE48,1)="⚠")+(LEFT($DW48,1)="⚠")+(LEFT($EO48,1)="⚠"))&gt;0,"⚠ "&amp;((LEFT($BC48,1)="⚠")+(LEFT($BU48,1)="⚠")+(LEFT($CM48,1)="⚠")+(LEFT($DE48,1)="⚠")+(LEFT($DW48,1)="⚠")+(LEFT($EO48,1)="⚠"))&amp;" species with a warning","✔ OK")))))))</f>
        <v/>
      </c>
      <c r="EX48" s="25"/>
      <c r="EY48" s="25"/>
      <c r="EZ48" s="25"/>
      <c r="FA48" s="25"/>
      <c r="FB48" s="25"/>
      <c r="FC48" s="25"/>
      <c r="FD48" s="25"/>
      <c r="FE48" s="26"/>
    </row>
    <row r="49" customFormat="false" ht="15" hidden="false" customHeight="false" outlineLevel="0" collapsed="false">
      <c r="A49" s="25"/>
      <c r="B49" s="25"/>
      <c r="C49" s="26"/>
      <c r="D49" s="26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7" t="str">
        <f aca="false">IF(OR($AU49="",$AU49="No FRET",N($AV49)&lt;=0,N(IF($AI49="",63,$AI49))&lt;=0),"",1/(1+($AV49/IF($AI49="",63,$AI49))^6))</f>
        <v/>
      </c>
      <c r="AZ49" s="27" t="str">
        <f aca="false">IF(OR($AU49="",$AU49="No FRET",N($AW49)&lt;=0,N(IF($AJ49="",51,$AJ49))&lt;=0),"",1/(1+($AW49/IF($AJ49="",51,$AJ49))^6))</f>
        <v/>
      </c>
      <c r="BA49" s="27" t="str">
        <f aca="false">IF(OR($AU49="",$AU49="No FRET",N($AX49)&lt;=0,N(IF($AK49="",68,$AK49))&lt;=0),"",1/(1+($AX49/IF($AK49="",68,$AK49))^6))</f>
        <v/>
      </c>
      <c r="BB49" s="28" t="str">
        <f aca="false">IF(OR($A49="",N($AN49)&lt;=0),"",IF(IF($I49="",5000,$I49)&gt;0,$AN49/(IF($G49="",5000,$G49)*IF($H49="",5000,$H49)*IF($I49="",5000,$I49))/1E-024/6.022E+023/0.000000001,""))</f>
        <v/>
      </c>
      <c r="BC49" s="29" t="str">
        <f aca="false">IF(Calc!G49=0,"",IF(Calc!E49&gt;=1,"✖ saturated (B ≥ freq.)",IF(Calc!E49&gt;0.1,"⚠ B &gt; 10% of freq.",IF(Calc!E49=0,"⚠ no brightness",IF(Calc!F49&gt;0.1,"⚠ step &gt; 10% of wr",IF(OR(AND(N($AQ49)&gt;0,IF($O49="",1,$O49)&lt;3),AND(N($AP49)&gt;0,IF($O49="",1,$O49)&lt;2)),"⚠ uses a colour above Colours = "&amp;IF($O49="",1,$O49)&amp;" (ignored)",IF(AND($AU49&lt;&gt;"",$AU49&lt;&gt;"No FRET",N(IF($O49="",1,$O49))&lt;2),"⚠ FRET needs ≥ 2 colours",IF(AND($AU49&lt;&gt;"",$AU49&lt;&gt;"No FRET",N($AV49)+N($AW49)+N($AX49)=0),"⚠ FRET: set R","✔ OK"))))))))</f>
        <v/>
      </c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7" t="str">
        <f aca="false">IF(OR($BM49="",$BM49="No FRET",N($BN49)&lt;=0,N(IF($AI49="",63,$AI49))&lt;=0),"",1/(1+($BN49/IF($AI49="",63,$AI49))^6))</f>
        <v/>
      </c>
      <c r="BR49" s="27" t="str">
        <f aca="false">IF(OR($BM49="",$BM49="No FRET",N($BO49)&lt;=0,N(IF($AJ49="",51,$AJ49))&lt;=0),"",1/(1+($BO49/IF($AJ49="",51,$AJ49))^6))</f>
        <v/>
      </c>
      <c r="BS49" s="27" t="str">
        <f aca="false">IF(OR($BM49="",$BM49="No FRET",N($BP49)&lt;=0,N(IF($AK49="",68,$AK49))&lt;=0),"",1/(1+($BP49/IF($AK49="",68,$AK49))^6))</f>
        <v/>
      </c>
      <c r="BT49" s="28" t="str">
        <f aca="false">IF(OR($A49="",N($BF49)&lt;=0),"",IF(IF($I49="",5000,$I49)&gt;0,$BF49/(IF($G49="",5000,$G49)*IF($H49="",5000,$H49)*IF($I49="",5000,$I49))/1E-024/6.022E+023/0.000000001,""))</f>
        <v/>
      </c>
      <c r="BU49" s="29" t="str">
        <f aca="false">IF(Calc!M49=0,"",IF(Calc!K49&gt;=1,"✖ saturated (B ≥ freq.)",IF(Calc!K49&gt;0.1,"⚠ B &gt; 10% of freq.",IF(Calc!K49=0,"⚠ no brightness",IF(Calc!L49&gt;0.1,"⚠ step &gt; 10% of wr",IF(OR(AND(N($BI49)&gt;0,IF($O49="",1,$O49)&lt;3),AND(N($BH49)&gt;0,IF($O49="",1,$O49)&lt;2)),"⚠ uses a colour above Colours = "&amp;IF($O49="",1,$O49)&amp;" (ignored)",IF(AND($BM49&lt;&gt;"",$BM49&lt;&gt;"No FRET",N(IF($O49="",1,$O49))&lt;2),"⚠ FRET needs ≥ 2 colours",IF(AND($BM49&lt;&gt;"",$BM49&lt;&gt;"No FRET",N($BN49)+N($BO49)+N($BP49)=0),"⚠ FRET: set R","✔ OK"))))))))</f>
        <v/>
      </c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7" t="str">
        <f aca="false">IF(OR($CE49="",$CE49="No FRET",N($CF49)&lt;=0,N(IF($AI49="",63,$AI49))&lt;=0),"",1/(1+($CF49/IF($AI49="",63,$AI49))^6))</f>
        <v/>
      </c>
      <c r="CJ49" s="27" t="str">
        <f aca="false">IF(OR($CE49="",$CE49="No FRET",N($CG49)&lt;=0,N(IF($AJ49="",51,$AJ49))&lt;=0),"",1/(1+($CG49/IF($AJ49="",51,$AJ49))^6))</f>
        <v/>
      </c>
      <c r="CK49" s="27" t="str">
        <f aca="false">IF(OR($CE49="",$CE49="No FRET",N($CH49)&lt;=0,N(IF($AK49="",68,$AK49))&lt;=0),"",1/(1+($CH49/IF($AK49="",68,$AK49))^6))</f>
        <v/>
      </c>
      <c r="CL49" s="28" t="str">
        <f aca="false">IF(OR($A49="",N($BX49)&lt;=0),"",IF(IF($I49="",5000,$I49)&gt;0,$BX49/(IF($G49="",5000,$G49)*IF($H49="",5000,$H49)*IF($I49="",5000,$I49))/1E-024/6.022E+023/0.000000001,""))</f>
        <v/>
      </c>
      <c r="CM49" s="29" t="str">
        <f aca="false">IF(Calc!S49=0,"",IF(Calc!Q49&gt;=1,"✖ saturated (B ≥ freq.)",IF(Calc!Q49&gt;0.1,"⚠ B &gt; 10% of freq.",IF(Calc!Q49=0,"⚠ no brightness",IF(Calc!R49&gt;0.1,"⚠ step &gt; 10% of wr",IF(OR(AND(N($CA49)&gt;0,IF($O49="",1,$O49)&lt;3),AND(N($BZ49)&gt;0,IF($O49="",1,$O49)&lt;2)),"⚠ uses a colour above Colours = "&amp;IF($O49="",1,$O49)&amp;" (ignored)",IF(AND($CE49&lt;&gt;"",$CE49&lt;&gt;"No FRET",N(IF($O49="",1,$O49))&lt;2),"⚠ FRET needs ≥ 2 colours",IF(AND($CE49&lt;&gt;"",$CE49&lt;&gt;"No FRET",N($CF49)+N($CG49)+N($CH49)=0),"⚠ FRET: set R","✔ OK"))))))))</f>
        <v/>
      </c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7" t="str">
        <f aca="false">IF(OR($CW49="",$CW49="No FRET",N($CX49)&lt;=0,N(IF($AI49="",63,$AI49))&lt;=0),"",1/(1+($CX49/IF($AI49="",63,$AI49))^6))</f>
        <v/>
      </c>
      <c r="DB49" s="27" t="str">
        <f aca="false">IF(OR($CW49="",$CW49="No FRET",N($CY49)&lt;=0,N(IF($AJ49="",51,$AJ49))&lt;=0),"",1/(1+($CY49/IF($AJ49="",51,$AJ49))^6))</f>
        <v/>
      </c>
      <c r="DC49" s="27" t="str">
        <f aca="false">IF(OR($CW49="",$CW49="No FRET",N($CZ49)&lt;=0,N(IF($AK49="",68,$AK49))&lt;=0),"",1/(1+($CZ49/IF($AK49="",68,$AK49))^6))</f>
        <v/>
      </c>
      <c r="DD49" s="28" t="str">
        <f aca="false">IF(OR($A49="",N($CP49)&lt;=0),"",IF(IF($I49="",5000,$I49)&gt;0,$CP49/(IF($G49="",5000,$G49)*IF($H49="",5000,$H49)*IF($I49="",5000,$I49))/1E-024/6.022E+023/0.000000001,""))</f>
        <v/>
      </c>
      <c r="DE49" s="29" t="str">
        <f aca="false">IF(Calc!Y49=0,"",IF(Calc!W49&gt;=1,"✖ saturated (B ≥ freq.)",IF(Calc!W49&gt;0.1,"⚠ B &gt; 10% of freq.",IF(Calc!W49=0,"⚠ no brightness",IF(Calc!X49&gt;0.1,"⚠ step &gt; 10% of wr",IF(OR(AND(N($CS49)&gt;0,IF($O49="",1,$O49)&lt;3),AND(N($CR49)&gt;0,IF($O49="",1,$O49)&lt;2)),"⚠ uses a colour above Colours = "&amp;IF($O49="",1,$O49)&amp;" (ignored)",IF(AND($CW49&lt;&gt;"",$CW49&lt;&gt;"No FRET",N(IF($O49="",1,$O49))&lt;2),"⚠ FRET needs ≥ 2 colours",IF(AND($CW49&lt;&gt;"",$CW49&lt;&gt;"No FRET",N($CX49)+N($CY49)+N($CZ49)=0),"⚠ FRET: set R","✔ OK"))))))))</f>
        <v/>
      </c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7" t="str">
        <f aca="false">IF(OR($DO49="",$DO49="No FRET",N($DP49)&lt;=0,N(IF($AI49="",63,$AI49))&lt;=0),"",1/(1+($DP49/IF($AI49="",63,$AI49))^6))</f>
        <v/>
      </c>
      <c r="DT49" s="27" t="str">
        <f aca="false">IF(OR($DO49="",$DO49="No FRET",N($DQ49)&lt;=0,N(IF($AJ49="",51,$AJ49))&lt;=0),"",1/(1+($DQ49/IF($AJ49="",51,$AJ49))^6))</f>
        <v/>
      </c>
      <c r="DU49" s="27" t="str">
        <f aca="false">IF(OR($DO49="",$DO49="No FRET",N($DR49)&lt;=0,N(IF($AK49="",68,$AK49))&lt;=0),"",1/(1+($DR49/IF($AK49="",68,$AK49))^6))</f>
        <v/>
      </c>
      <c r="DV49" s="28" t="str">
        <f aca="false">IF(OR($A49="",N($DH49)&lt;=0),"",IF(IF($I49="",5000,$I49)&gt;0,$DH49/(IF($G49="",5000,$G49)*IF($H49="",5000,$H49)*IF($I49="",5000,$I49))/1E-024/6.022E+023/0.000000001,""))</f>
        <v/>
      </c>
      <c r="DW49" s="29" t="str">
        <f aca="false">IF(Calc!AE49=0,"",IF(Calc!AC49&gt;=1,"✖ saturated (B ≥ freq.)",IF(Calc!AC49&gt;0.1,"⚠ B &gt; 10% of freq.",IF(Calc!AC49=0,"⚠ no brightness",IF(Calc!AD49&gt;0.1,"⚠ step &gt; 10% of wr",IF(OR(AND(N($DK49)&gt;0,IF($O49="",1,$O49)&lt;3),AND(N($DJ49)&gt;0,IF($O49="",1,$O49)&lt;2)),"⚠ uses a colour above Colours = "&amp;IF($O49="",1,$O49)&amp;" (ignored)",IF(AND($DO49&lt;&gt;"",$DO49&lt;&gt;"No FRET",N(IF($O49="",1,$O49))&lt;2),"⚠ FRET needs ≥ 2 colours",IF(AND($DO49&lt;&gt;"",$DO49&lt;&gt;"No FRET",N($DP49)+N($DQ49)+N($DR49)=0),"⚠ FRET: set R","✔ OK"))))))))</f>
        <v/>
      </c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7" t="str">
        <f aca="false">IF(OR($EG49="",$EG49="No FRET",N($EH49)&lt;=0,N(IF($AI49="",63,$AI49))&lt;=0),"",1/(1+($EH49/IF($AI49="",63,$AI49))^6))</f>
        <v/>
      </c>
      <c r="EL49" s="27" t="str">
        <f aca="false">IF(OR($EG49="",$EG49="No FRET",N($EI49)&lt;=0,N(IF($AJ49="",51,$AJ49))&lt;=0),"",1/(1+($EI49/IF($AJ49="",51,$AJ49))^6))</f>
        <v/>
      </c>
      <c r="EM49" s="27" t="str">
        <f aca="false">IF(OR($EG49="",$EG49="No FRET",N($EJ49)&lt;=0,N(IF($AK49="",68,$AK49))&lt;=0),"",1/(1+($EJ49/IF($AK49="",68,$AK49))^6))</f>
        <v/>
      </c>
      <c r="EN49" s="28" t="str">
        <f aca="false">IF(OR($A49="",N($DZ49)&lt;=0),"",IF(IF($I49="",5000,$I49)&gt;0,$DZ49/(IF($G49="",5000,$G49)*IF($H49="",5000,$H49)*IF($I49="",5000,$I49))/1E-024/6.022E+023/0.000000001,""))</f>
        <v/>
      </c>
      <c r="EO49" s="29" t="str">
        <f aca="false">IF(Calc!AK49=0,"",IF(Calc!AI49&gt;=1,"✖ saturated (B ≥ freq.)",IF(Calc!AI49&gt;0.1,"⚠ B &gt; 10% of freq.",IF(Calc!AI49=0,"⚠ no brightness",IF(Calc!AJ49&gt;0.1,"⚠ step &gt; 10% of wr",IF(OR(AND(N($EC49)&gt;0,IF($O49="",1,$O49)&lt;3),AND(N($EB49)&gt;0,IF($O49="",1,$O49)&lt;2)),"⚠ uses a colour above Colours = "&amp;IF($O49="",1,$O49)&amp;" (ignored)",IF(AND($EG49&lt;&gt;"",$EG49&lt;&gt;"No FRET",N(IF($O49="",1,$O49))&lt;2),"⚠ FRET needs ≥ 2 colours",IF(AND($EG49&lt;&gt;"",$EG49&lt;&gt;"No FRET",N($EH49)+N($EI49)+N($EJ49)=0),"⚠ FRET: set R","✔ OK"))))))))</f>
        <v/>
      </c>
      <c r="EP49" s="30" t="str">
        <f aca="false">IF($A49="","",SUM(Calc!G49,Calc!M49,Calc!S49,Calc!Y49,Calc!AE49,Calc!AK49))</f>
        <v/>
      </c>
      <c r="EQ49" s="30" t="str">
        <f aca="false">IF($A49="","",N($AN49)+N($BF49)+N($BX49)+N($CP49)+N($DH49)+N($DZ49))</f>
        <v/>
      </c>
      <c r="ER49" s="31" t="str">
        <f aca="false">IF($A49="","",SUM(Calc!B49,Calc!H49,Calc!N49,Calc!T49,Calc!Z49,Calc!AF49))</f>
        <v/>
      </c>
      <c r="ES49" s="31" t="str">
        <f aca="false">IF($A49="","",SUM(Calc!C49,Calc!I49,Calc!O49,Calc!U49,Calc!AA49,Calc!AG49))</f>
        <v/>
      </c>
      <c r="ET49" s="31" t="str">
        <f aca="false">IF($A49="","",SUM(Calc!D49,Calc!J49,Calc!P49,Calc!V49,Calc!AB49,Calc!AH49))</f>
        <v/>
      </c>
      <c r="EU49" s="27" t="str">
        <f aca="false">IF($A49="","",($ER49+$ES49+$ET49+IF($P49="Yes",N($Q49)*N(IF($O49="",1,$O49)),0))*1000*IF($K49="",10,$K49)/1000000)</f>
        <v/>
      </c>
      <c r="EV49" s="28" t="str">
        <f aca="false">IF($A49="","",$EU49*1000000*12/1000000000)</f>
        <v/>
      </c>
      <c r="EW49" s="32" t="str">
        <f aca="false">IF($A49="","",IF($EP49=0,"⚠ no species entered",IF(((LEFT($BC49,1)="✖")+(LEFT($BU49,1)="✖")+(LEFT($CM49,1)="✖")+(LEFT($DE49,1)="✖")+(LEFT($DW49,1)="✖")+(LEFT($EO49,1)="✖"))&gt;0,"✖ "&amp;((LEFT($BC49,1)="✖")+(LEFT($BU49,1)="✖")+(LEFT($CM49,1)="✖")+(LEFT($DE49,1)="✖")+(LEFT($DW49,1)="✖")+(LEFT($EO49,1)="✖"))&amp;" species saturated - see the species checks",IF(MIN(IF($G49="",5000,$G49),IF($H49="",5000,$H49))&lt;8*MAX(IF($T49="",200,$T49),IF($U49="",200,$U49),IF($V49="",200,$V49)),"⚠ box too small laterally (&lt; 8·wr)",IF(AND(IF($I49="",5000,$I49)&gt;0,IF($I49="",5000,$I49)&lt;3*MAX(IF($W49="",1000,$W49),IF($X49="",1000,$X49),IF($Y49="",1000,$Y49))),"⚠ box too small axially (&lt; 3·wz)",IF($EV49&gt;8,"⚠ &gt; 8 GB per file: shorten the duration and use several files",IF(((LEFT($BC49,1)="⚠")+(LEFT($BU49,1)="⚠")+(LEFT($CM49,1)="⚠")+(LEFT($DE49,1)="⚠")+(LEFT($DW49,1)="⚠")+(LEFT($EO49,1)="⚠"))&gt;0,"⚠ "&amp;((LEFT($BC49,1)="⚠")+(LEFT($BU49,1)="⚠")+(LEFT($CM49,1)="⚠")+(LEFT($DE49,1)="⚠")+(LEFT($DW49,1)="⚠")+(LEFT($EO49,1)="⚠"))&amp;" species with a warning","✔ OK")))))))</f>
        <v/>
      </c>
      <c r="EX49" s="25"/>
      <c r="EY49" s="25"/>
      <c r="EZ49" s="25"/>
      <c r="FA49" s="25"/>
      <c r="FB49" s="25"/>
      <c r="FC49" s="25"/>
      <c r="FD49" s="25"/>
      <c r="FE49" s="26"/>
    </row>
    <row r="50" customFormat="false" ht="15" hidden="false" customHeight="false" outlineLevel="0" collapsed="false">
      <c r="A50" s="25"/>
      <c r="B50" s="25"/>
      <c r="C50" s="26"/>
      <c r="D50" s="26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7" t="str">
        <f aca="false">IF(OR($AU50="",$AU50="No FRET",N($AV50)&lt;=0,N(IF($AI50="",63,$AI50))&lt;=0),"",1/(1+($AV50/IF($AI50="",63,$AI50))^6))</f>
        <v/>
      </c>
      <c r="AZ50" s="27" t="str">
        <f aca="false">IF(OR($AU50="",$AU50="No FRET",N($AW50)&lt;=0,N(IF($AJ50="",51,$AJ50))&lt;=0),"",1/(1+($AW50/IF($AJ50="",51,$AJ50))^6))</f>
        <v/>
      </c>
      <c r="BA50" s="27" t="str">
        <f aca="false">IF(OR($AU50="",$AU50="No FRET",N($AX50)&lt;=0,N(IF($AK50="",68,$AK50))&lt;=0),"",1/(1+($AX50/IF($AK50="",68,$AK50))^6))</f>
        <v/>
      </c>
      <c r="BB50" s="28" t="str">
        <f aca="false">IF(OR($A50="",N($AN50)&lt;=0),"",IF(IF($I50="",5000,$I50)&gt;0,$AN50/(IF($G50="",5000,$G50)*IF($H50="",5000,$H50)*IF($I50="",5000,$I50))/1E-024/6.022E+023/0.000000001,""))</f>
        <v/>
      </c>
      <c r="BC50" s="29" t="str">
        <f aca="false">IF(Calc!G50=0,"",IF(Calc!E50&gt;=1,"✖ saturated (B ≥ freq.)",IF(Calc!E50&gt;0.1,"⚠ B &gt; 10% of freq.",IF(Calc!E50=0,"⚠ no brightness",IF(Calc!F50&gt;0.1,"⚠ step &gt; 10% of wr",IF(OR(AND(N($AQ50)&gt;0,IF($O50="",1,$O50)&lt;3),AND(N($AP50)&gt;0,IF($O50="",1,$O50)&lt;2)),"⚠ uses a colour above Colours = "&amp;IF($O50="",1,$O50)&amp;" (ignored)",IF(AND($AU50&lt;&gt;"",$AU50&lt;&gt;"No FRET",N(IF($O50="",1,$O50))&lt;2),"⚠ FRET needs ≥ 2 colours",IF(AND($AU50&lt;&gt;"",$AU50&lt;&gt;"No FRET",N($AV50)+N($AW50)+N($AX50)=0),"⚠ FRET: set R","✔ OK"))))))))</f>
        <v/>
      </c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7" t="str">
        <f aca="false">IF(OR($BM50="",$BM50="No FRET",N($BN50)&lt;=0,N(IF($AI50="",63,$AI50))&lt;=0),"",1/(1+($BN50/IF($AI50="",63,$AI50))^6))</f>
        <v/>
      </c>
      <c r="BR50" s="27" t="str">
        <f aca="false">IF(OR($BM50="",$BM50="No FRET",N($BO50)&lt;=0,N(IF($AJ50="",51,$AJ50))&lt;=0),"",1/(1+($BO50/IF($AJ50="",51,$AJ50))^6))</f>
        <v/>
      </c>
      <c r="BS50" s="27" t="str">
        <f aca="false">IF(OR($BM50="",$BM50="No FRET",N($BP50)&lt;=0,N(IF($AK50="",68,$AK50))&lt;=0),"",1/(1+($BP50/IF($AK50="",68,$AK50))^6))</f>
        <v/>
      </c>
      <c r="BT50" s="28" t="str">
        <f aca="false">IF(OR($A50="",N($BF50)&lt;=0),"",IF(IF($I50="",5000,$I50)&gt;0,$BF50/(IF($G50="",5000,$G50)*IF($H50="",5000,$H50)*IF($I50="",5000,$I50))/1E-024/6.022E+023/0.000000001,""))</f>
        <v/>
      </c>
      <c r="BU50" s="29" t="str">
        <f aca="false">IF(Calc!M50=0,"",IF(Calc!K50&gt;=1,"✖ saturated (B ≥ freq.)",IF(Calc!K50&gt;0.1,"⚠ B &gt; 10% of freq.",IF(Calc!K50=0,"⚠ no brightness",IF(Calc!L50&gt;0.1,"⚠ step &gt; 10% of wr",IF(OR(AND(N($BI50)&gt;0,IF($O50="",1,$O50)&lt;3),AND(N($BH50)&gt;0,IF($O50="",1,$O50)&lt;2)),"⚠ uses a colour above Colours = "&amp;IF($O50="",1,$O50)&amp;" (ignored)",IF(AND($BM50&lt;&gt;"",$BM50&lt;&gt;"No FRET",N(IF($O50="",1,$O50))&lt;2),"⚠ FRET needs ≥ 2 colours",IF(AND($BM50&lt;&gt;"",$BM50&lt;&gt;"No FRET",N($BN50)+N($BO50)+N($BP50)=0),"⚠ FRET: set R","✔ OK"))))))))</f>
        <v/>
      </c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7" t="str">
        <f aca="false">IF(OR($CE50="",$CE50="No FRET",N($CF50)&lt;=0,N(IF($AI50="",63,$AI50))&lt;=0),"",1/(1+($CF50/IF($AI50="",63,$AI50))^6))</f>
        <v/>
      </c>
      <c r="CJ50" s="27" t="str">
        <f aca="false">IF(OR($CE50="",$CE50="No FRET",N($CG50)&lt;=0,N(IF($AJ50="",51,$AJ50))&lt;=0),"",1/(1+($CG50/IF($AJ50="",51,$AJ50))^6))</f>
        <v/>
      </c>
      <c r="CK50" s="27" t="str">
        <f aca="false">IF(OR($CE50="",$CE50="No FRET",N($CH50)&lt;=0,N(IF($AK50="",68,$AK50))&lt;=0),"",1/(1+($CH50/IF($AK50="",68,$AK50))^6))</f>
        <v/>
      </c>
      <c r="CL50" s="28" t="str">
        <f aca="false">IF(OR($A50="",N($BX50)&lt;=0),"",IF(IF($I50="",5000,$I50)&gt;0,$BX50/(IF($G50="",5000,$G50)*IF($H50="",5000,$H50)*IF($I50="",5000,$I50))/1E-024/6.022E+023/0.000000001,""))</f>
        <v/>
      </c>
      <c r="CM50" s="29" t="str">
        <f aca="false">IF(Calc!S50=0,"",IF(Calc!Q50&gt;=1,"✖ saturated (B ≥ freq.)",IF(Calc!Q50&gt;0.1,"⚠ B &gt; 10% of freq.",IF(Calc!Q50=0,"⚠ no brightness",IF(Calc!R50&gt;0.1,"⚠ step &gt; 10% of wr",IF(OR(AND(N($CA50)&gt;0,IF($O50="",1,$O50)&lt;3),AND(N($BZ50)&gt;0,IF($O50="",1,$O50)&lt;2)),"⚠ uses a colour above Colours = "&amp;IF($O50="",1,$O50)&amp;" (ignored)",IF(AND($CE50&lt;&gt;"",$CE50&lt;&gt;"No FRET",N(IF($O50="",1,$O50))&lt;2),"⚠ FRET needs ≥ 2 colours",IF(AND($CE50&lt;&gt;"",$CE50&lt;&gt;"No FRET",N($CF50)+N($CG50)+N($CH50)=0),"⚠ FRET: set R","✔ OK"))))))))</f>
        <v/>
      </c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7" t="str">
        <f aca="false">IF(OR($CW50="",$CW50="No FRET",N($CX50)&lt;=0,N(IF($AI50="",63,$AI50))&lt;=0),"",1/(1+($CX50/IF($AI50="",63,$AI50))^6))</f>
        <v/>
      </c>
      <c r="DB50" s="27" t="str">
        <f aca="false">IF(OR($CW50="",$CW50="No FRET",N($CY50)&lt;=0,N(IF($AJ50="",51,$AJ50))&lt;=0),"",1/(1+($CY50/IF($AJ50="",51,$AJ50))^6))</f>
        <v/>
      </c>
      <c r="DC50" s="27" t="str">
        <f aca="false">IF(OR($CW50="",$CW50="No FRET",N($CZ50)&lt;=0,N(IF($AK50="",68,$AK50))&lt;=0),"",1/(1+($CZ50/IF($AK50="",68,$AK50))^6))</f>
        <v/>
      </c>
      <c r="DD50" s="28" t="str">
        <f aca="false">IF(OR($A50="",N($CP50)&lt;=0),"",IF(IF($I50="",5000,$I50)&gt;0,$CP50/(IF($G50="",5000,$G50)*IF($H50="",5000,$H50)*IF($I50="",5000,$I50))/1E-024/6.022E+023/0.000000001,""))</f>
        <v/>
      </c>
      <c r="DE50" s="29" t="str">
        <f aca="false">IF(Calc!Y50=0,"",IF(Calc!W50&gt;=1,"✖ saturated (B ≥ freq.)",IF(Calc!W50&gt;0.1,"⚠ B &gt; 10% of freq.",IF(Calc!W50=0,"⚠ no brightness",IF(Calc!X50&gt;0.1,"⚠ step &gt; 10% of wr",IF(OR(AND(N($CS50)&gt;0,IF($O50="",1,$O50)&lt;3),AND(N($CR50)&gt;0,IF($O50="",1,$O50)&lt;2)),"⚠ uses a colour above Colours = "&amp;IF($O50="",1,$O50)&amp;" (ignored)",IF(AND($CW50&lt;&gt;"",$CW50&lt;&gt;"No FRET",N(IF($O50="",1,$O50))&lt;2),"⚠ FRET needs ≥ 2 colours",IF(AND($CW50&lt;&gt;"",$CW50&lt;&gt;"No FRET",N($CX50)+N($CY50)+N($CZ50)=0),"⚠ FRET: set R","✔ OK"))))))))</f>
        <v/>
      </c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7" t="str">
        <f aca="false">IF(OR($DO50="",$DO50="No FRET",N($DP50)&lt;=0,N(IF($AI50="",63,$AI50))&lt;=0),"",1/(1+($DP50/IF($AI50="",63,$AI50))^6))</f>
        <v/>
      </c>
      <c r="DT50" s="27" t="str">
        <f aca="false">IF(OR($DO50="",$DO50="No FRET",N($DQ50)&lt;=0,N(IF($AJ50="",51,$AJ50))&lt;=0),"",1/(1+($DQ50/IF($AJ50="",51,$AJ50))^6))</f>
        <v/>
      </c>
      <c r="DU50" s="27" t="str">
        <f aca="false">IF(OR($DO50="",$DO50="No FRET",N($DR50)&lt;=0,N(IF($AK50="",68,$AK50))&lt;=0),"",1/(1+($DR50/IF($AK50="",68,$AK50))^6))</f>
        <v/>
      </c>
      <c r="DV50" s="28" t="str">
        <f aca="false">IF(OR($A50="",N($DH50)&lt;=0),"",IF(IF($I50="",5000,$I50)&gt;0,$DH50/(IF($G50="",5000,$G50)*IF($H50="",5000,$H50)*IF($I50="",5000,$I50))/1E-024/6.022E+023/0.000000001,""))</f>
        <v/>
      </c>
      <c r="DW50" s="29" t="str">
        <f aca="false">IF(Calc!AE50=0,"",IF(Calc!AC50&gt;=1,"✖ saturated (B ≥ freq.)",IF(Calc!AC50&gt;0.1,"⚠ B &gt; 10% of freq.",IF(Calc!AC50=0,"⚠ no brightness",IF(Calc!AD50&gt;0.1,"⚠ step &gt; 10% of wr",IF(OR(AND(N($DK50)&gt;0,IF($O50="",1,$O50)&lt;3),AND(N($DJ50)&gt;0,IF($O50="",1,$O50)&lt;2)),"⚠ uses a colour above Colours = "&amp;IF($O50="",1,$O50)&amp;" (ignored)",IF(AND($DO50&lt;&gt;"",$DO50&lt;&gt;"No FRET",N(IF($O50="",1,$O50))&lt;2),"⚠ FRET needs ≥ 2 colours",IF(AND($DO50&lt;&gt;"",$DO50&lt;&gt;"No FRET",N($DP50)+N($DQ50)+N($DR50)=0),"⚠ FRET: set R","✔ OK"))))))))</f>
        <v/>
      </c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7" t="str">
        <f aca="false">IF(OR($EG50="",$EG50="No FRET",N($EH50)&lt;=0,N(IF($AI50="",63,$AI50))&lt;=0),"",1/(1+($EH50/IF($AI50="",63,$AI50))^6))</f>
        <v/>
      </c>
      <c r="EL50" s="27" t="str">
        <f aca="false">IF(OR($EG50="",$EG50="No FRET",N($EI50)&lt;=0,N(IF($AJ50="",51,$AJ50))&lt;=0),"",1/(1+($EI50/IF($AJ50="",51,$AJ50))^6))</f>
        <v/>
      </c>
      <c r="EM50" s="27" t="str">
        <f aca="false">IF(OR($EG50="",$EG50="No FRET",N($EJ50)&lt;=0,N(IF($AK50="",68,$AK50))&lt;=0),"",1/(1+($EJ50/IF($AK50="",68,$AK50))^6))</f>
        <v/>
      </c>
      <c r="EN50" s="28" t="str">
        <f aca="false">IF(OR($A50="",N($DZ50)&lt;=0),"",IF(IF($I50="",5000,$I50)&gt;0,$DZ50/(IF($G50="",5000,$G50)*IF($H50="",5000,$H50)*IF($I50="",5000,$I50))/1E-024/6.022E+023/0.000000001,""))</f>
        <v/>
      </c>
      <c r="EO50" s="29" t="str">
        <f aca="false">IF(Calc!AK50=0,"",IF(Calc!AI50&gt;=1,"✖ saturated (B ≥ freq.)",IF(Calc!AI50&gt;0.1,"⚠ B &gt; 10% of freq.",IF(Calc!AI50=0,"⚠ no brightness",IF(Calc!AJ50&gt;0.1,"⚠ step &gt; 10% of wr",IF(OR(AND(N($EC50)&gt;0,IF($O50="",1,$O50)&lt;3),AND(N($EB50)&gt;0,IF($O50="",1,$O50)&lt;2)),"⚠ uses a colour above Colours = "&amp;IF($O50="",1,$O50)&amp;" (ignored)",IF(AND($EG50&lt;&gt;"",$EG50&lt;&gt;"No FRET",N(IF($O50="",1,$O50))&lt;2),"⚠ FRET needs ≥ 2 colours",IF(AND($EG50&lt;&gt;"",$EG50&lt;&gt;"No FRET",N($EH50)+N($EI50)+N($EJ50)=0),"⚠ FRET: set R","✔ OK"))))))))</f>
        <v/>
      </c>
      <c r="EP50" s="30" t="str">
        <f aca="false">IF($A50="","",SUM(Calc!G50,Calc!M50,Calc!S50,Calc!Y50,Calc!AE50,Calc!AK50))</f>
        <v/>
      </c>
      <c r="EQ50" s="30" t="str">
        <f aca="false">IF($A50="","",N($AN50)+N($BF50)+N($BX50)+N($CP50)+N($DH50)+N($DZ50))</f>
        <v/>
      </c>
      <c r="ER50" s="31" t="str">
        <f aca="false">IF($A50="","",SUM(Calc!B50,Calc!H50,Calc!N50,Calc!T50,Calc!Z50,Calc!AF50))</f>
        <v/>
      </c>
      <c r="ES50" s="31" t="str">
        <f aca="false">IF($A50="","",SUM(Calc!C50,Calc!I50,Calc!O50,Calc!U50,Calc!AA50,Calc!AG50))</f>
        <v/>
      </c>
      <c r="ET50" s="31" t="str">
        <f aca="false">IF($A50="","",SUM(Calc!D50,Calc!J50,Calc!P50,Calc!V50,Calc!AB50,Calc!AH50))</f>
        <v/>
      </c>
      <c r="EU50" s="27" t="str">
        <f aca="false">IF($A50="","",($ER50+$ES50+$ET50+IF($P50="Yes",N($Q50)*N(IF($O50="",1,$O50)),0))*1000*IF($K50="",10,$K50)/1000000)</f>
        <v/>
      </c>
      <c r="EV50" s="28" t="str">
        <f aca="false">IF($A50="","",$EU50*1000000*12/1000000000)</f>
        <v/>
      </c>
      <c r="EW50" s="32" t="str">
        <f aca="false">IF($A50="","",IF($EP50=0,"⚠ no species entered",IF(((LEFT($BC50,1)="✖")+(LEFT($BU50,1)="✖")+(LEFT($CM50,1)="✖")+(LEFT($DE50,1)="✖")+(LEFT($DW50,1)="✖")+(LEFT($EO50,1)="✖"))&gt;0,"✖ "&amp;((LEFT($BC50,1)="✖")+(LEFT($BU50,1)="✖")+(LEFT($CM50,1)="✖")+(LEFT($DE50,1)="✖")+(LEFT($DW50,1)="✖")+(LEFT($EO50,1)="✖"))&amp;" species saturated - see the species checks",IF(MIN(IF($G50="",5000,$G50),IF($H50="",5000,$H50))&lt;8*MAX(IF($T50="",200,$T50),IF($U50="",200,$U50),IF($V50="",200,$V50)),"⚠ box too small laterally (&lt; 8·wr)",IF(AND(IF($I50="",5000,$I50)&gt;0,IF($I50="",5000,$I50)&lt;3*MAX(IF($W50="",1000,$W50),IF($X50="",1000,$X50),IF($Y50="",1000,$Y50))),"⚠ box too small axially (&lt; 3·wz)",IF($EV50&gt;8,"⚠ &gt; 8 GB per file: shorten the duration and use several files",IF(((LEFT($BC50,1)="⚠")+(LEFT($BU50,1)="⚠")+(LEFT($CM50,1)="⚠")+(LEFT($DE50,1)="⚠")+(LEFT($DW50,1)="⚠")+(LEFT($EO50,1)="⚠"))&gt;0,"⚠ "&amp;((LEFT($BC50,1)="⚠")+(LEFT($BU50,1)="⚠")+(LEFT($CM50,1)="⚠")+(LEFT($DE50,1)="⚠")+(LEFT($DW50,1)="⚠")+(LEFT($EO50,1)="⚠"))&amp;" species with a warning","✔ OK")))))))</f>
        <v/>
      </c>
      <c r="EX50" s="25"/>
      <c r="EY50" s="25"/>
      <c r="EZ50" s="25"/>
      <c r="FA50" s="25"/>
      <c r="FB50" s="25"/>
      <c r="FC50" s="25"/>
      <c r="FD50" s="25"/>
      <c r="FE50" s="26"/>
    </row>
    <row r="51" customFormat="false" ht="15" hidden="false" customHeight="false" outlineLevel="0" collapsed="false">
      <c r="A51" s="25"/>
      <c r="B51" s="25"/>
      <c r="C51" s="26"/>
      <c r="D51" s="26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7" t="str">
        <f aca="false">IF(OR($AU51="",$AU51="No FRET",N($AV51)&lt;=0,N(IF($AI51="",63,$AI51))&lt;=0),"",1/(1+($AV51/IF($AI51="",63,$AI51))^6))</f>
        <v/>
      </c>
      <c r="AZ51" s="27" t="str">
        <f aca="false">IF(OR($AU51="",$AU51="No FRET",N($AW51)&lt;=0,N(IF($AJ51="",51,$AJ51))&lt;=0),"",1/(1+($AW51/IF($AJ51="",51,$AJ51))^6))</f>
        <v/>
      </c>
      <c r="BA51" s="27" t="str">
        <f aca="false">IF(OR($AU51="",$AU51="No FRET",N($AX51)&lt;=0,N(IF($AK51="",68,$AK51))&lt;=0),"",1/(1+($AX51/IF($AK51="",68,$AK51))^6))</f>
        <v/>
      </c>
      <c r="BB51" s="28" t="str">
        <f aca="false">IF(OR($A51="",N($AN51)&lt;=0),"",IF(IF($I51="",5000,$I51)&gt;0,$AN51/(IF($G51="",5000,$G51)*IF($H51="",5000,$H51)*IF($I51="",5000,$I51))/1E-024/6.022E+023/0.000000001,""))</f>
        <v/>
      </c>
      <c r="BC51" s="29" t="str">
        <f aca="false">IF(Calc!G51=0,"",IF(Calc!E51&gt;=1,"✖ saturated (B ≥ freq.)",IF(Calc!E51&gt;0.1,"⚠ B &gt; 10% of freq.",IF(Calc!E51=0,"⚠ no brightness",IF(Calc!F51&gt;0.1,"⚠ step &gt; 10% of wr",IF(OR(AND(N($AQ51)&gt;0,IF($O51="",1,$O51)&lt;3),AND(N($AP51)&gt;0,IF($O51="",1,$O51)&lt;2)),"⚠ uses a colour above Colours = "&amp;IF($O51="",1,$O51)&amp;" (ignored)",IF(AND($AU51&lt;&gt;"",$AU51&lt;&gt;"No FRET",N(IF($O51="",1,$O51))&lt;2),"⚠ FRET needs ≥ 2 colours",IF(AND($AU51&lt;&gt;"",$AU51&lt;&gt;"No FRET",N($AV51)+N($AW51)+N($AX51)=0),"⚠ FRET: set R","✔ OK"))))))))</f>
        <v/>
      </c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7" t="str">
        <f aca="false">IF(OR($BM51="",$BM51="No FRET",N($BN51)&lt;=0,N(IF($AI51="",63,$AI51))&lt;=0),"",1/(1+($BN51/IF($AI51="",63,$AI51))^6))</f>
        <v/>
      </c>
      <c r="BR51" s="27" t="str">
        <f aca="false">IF(OR($BM51="",$BM51="No FRET",N($BO51)&lt;=0,N(IF($AJ51="",51,$AJ51))&lt;=0),"",1/(1+($BO51/IF($AJ51="",51,$AJ51))^6))</f>
        <v/>
      </c>
      <c r="BS51" s="27" t="str">
        <f aca="false">IF(OR($BM51="",$BM51="No FRET",N($BP51)&lt;=0,N(IF($AK51="",68,$AK51))&lt;=0),"",1/(1+($BP51/IF($AK51="",68,$AK51))^6))</f>
        <v/>
      </c>
      <c r="BT51" s="28" t="str">
        <f aca="false">IF(OR($A51="",N($BF51)&lt;=0),"",IF(IF($I51="",5000,$I51)&gt;0,$BF51/(IF($G51="",5000,$G51)*IF($H51="",5000,$H51)*IF($I51="",5000,$I51))/1E-024/6.022E+023/0.000000001,""))</f>
        <v/>
      </c>
      <c r="BU51" s="29" t="str">
        <f aca="false">IF(Calc!M51=0,"",IF(Calc!K51&gt;=1,"✖ saturated (B ≥ freq.)",IF(Calc!K51&gt;0.1,"⚠ B &gt; 10% of freq.",IF(Calc!K51=0,"⚠ no brightness",IF(Calc!L51&gt;0.1,"⚠ step &gt; 10% of wr",IF(OR(AND(N($BI51)&gt;0,IF($O51="",1,$O51)&lt;3),AND(N($BH51)&gt;0,IF($O51="",1,$O51)&lt;2)),"⚠ uses a colour above Colours = "&amp;IF($O51="",1,$O51)&amp;" (ignored)",IF(AND($BM51&lt;&gt;"",$BM51&lt;&gt;"No FRET",N(IF($O51="",1,$O51))&lt;2),"⚠ FRET needs ≥ 2 colours",IF(AND($BM51&lt;&gt;"",$BM51&lt;&gt;"No FRET",N($BN51)+N($BO51)+N($BP51)=0),"⚠ FRET: set R","✔ OK"))))))))</f>
        <v/>
      </c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7" t="str">
        <f aca="false">IF(OR($CE51="",$CE51="No FRET",N($CF51)&lt;=0,N(IF($AI51="",63,$AI51))&lt;=0),"",1/(1+($CF51/IF($AI51="",63,$AI51))^6))</f>
        <v/>
      </c>
      <c r="CJ51" s="27" t="str">
        <f aca="false">IF(OR($CE51="",$CE51="No FRET",N($CG51)&lt;=0,N(IF($AJ51="",51,$AJ51))&lt;=0),"",1/(1+($CG51/IF($AJ51="",51,$AJ51))^6))</f>
        <v/>
      </c>
      <c r="CK51" s="27" t="str">
        <f aca="false">IF(OR($CE51="",$CE51="No FRET",N($CH51)&lt;=0,N(IF($AK51="",68,$AK51))&lt;=0),"",1/(1+($CH51/IF($AK51="",68,$AK51))^6))</f>
        <v/>
      </c>
      <c r="CL51" s="28" t="str">
        <f aca="false">IF(OR($A51="",N($BX51)&lt;=0),"",IF(IF($I51="",5000,$I51)&gt;0,$BX51/(IF($G51="",5000,$G51)*IF($H51="",5000,$H51)*IF($I51="",5000,$I51))/1E-024/6.022E+023/0.000000001,""))</f>
        <v/>
      </c>
      <c r="CM51" s="29" t="str">
        <f aca="false">IF(Calc!S51=0,"",IF(Calc!Q51&gt;=1,"✖ saturated (B ≥ freq.)",IF(Calc!Q51&gt;0.1,"⚠ B &gt; 10% of freq.",IF(Calc!Q51=0,"⚠ no brightness",IF(Calc!R51&gt;0.1,"⚠ step &gt; 10% of wr",IF(OR(AND(N($CA51)&gt;0,IF($O51="",1,$O51)&lt;3),AND(N($BZ51)&gt;0,IF($O51="",1,$O51)&lt;2)),"⚠ uses a colour above Colours = "&amp;IF($O51="",1,$O51)&amp;" (ignored)",IF(AND($CE51&lt;&gt;"",$CE51&lt;&gt;"No FRET",N(IF($O51="",1,$O51))&lt;2),"⚠ FRET needs ≥ 2 colours",IF(AND($CE51&lt;&gt;"",$CE51&lt;&gt;"No FRET",N($CF51)+N($CG51)+N($CH51)=0),"⚠ FRET: set R","✔ OK"))))))))</f>
        <v/>
      </c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7" t="str">
        <f aca="false">IF(OR($CW51="",$CW51="No FRET",N($CX51)&lt;=0,N(IF($AI51="",63,$AI51))&lt;=0),"",1/(1+($CX51/IF($AI51="",63,$AI51))^6))</f>
        <v/>
      </c>
      <c r="DB51" s="27" t="str">
        <f aca="false">IF(OR($CW51="",$CW51="No FRET",N($CY51)&lt;=0,N(IF($AJ51="",51,$AJ51))&lt;=0),"",1/(1+($CY51/IF($AJ51="",51,$AJ51))^6))</f>
        <v/>
      </c>
      <c r="DC51" s="27" t="str">
        <f aca="false">IF(OR($CW51="",$CW51="No FRET",N($CZ51)&lt;=0,N(IF($AK51="",68,$AK51))&lt;=0),"",1/(1+($CZ51/IF($AK51="",68,$AK51))^6))</f>
        <v/>
      </c>
      <c r="DD51" s="28" t="str">
        <f aca="false">IF(OR($A51="",N($CP51)&lt;=0),"",IF(IF($I51="",5000,$I51)&gt;0,$CP51/(IF($G51="",5000,$G51)*IF($H51="",5000,$H51)*IF($I51="",5000,$I51))/1E-024/6.022E+023/0.000000001,""))</f>
        <v/>
      </c>
      <c r="DE51" s="29" t="str">
        <f aca="false">IF(Calc!Y51=0,"",IF(Calc!W51&gt;=1,"✖ saturated (B ≥ freq.)",IF(Calc!W51&gt;0.1,"⚠ B &gt; 10% of freq.",IF(Calc!W51=0,"⚠ no brightness",IF(Calc!X51&gt;0.1,"⚠ step &gt; 10% of wr",IF(OR(AND(N($CS51)&gt;0,IF($O51="",1,$O51)&lt;3),AND(N($CR51)&gt;0,IF($O51="",1,$O51)&lt;2)),"⚠ uses a colour above Colours = "&amp;IF($O51="",1,$O51)&amp;" (ignored)",IF(AND($CW51&lt;&gt;"",$CW51&lt;&gt;"No FRET",N(IF($O51="",1,$O51))&lt;2),"⚠ FRET needs ≥ 2 colours",IF(AND($CW51&lt;&gt;"",$CW51&lt;&gt;"No FRET",N($CX51)+N($CY51)+N($CZ51)=0),"⚠ FRET: set R","✔ OK"))))))))</f>
        <v/>
      </c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7" t="str">
        <f aca="false">IF(OR($DO51="",$DO51="No FRET",N($DP51)&lt;=0,N(IF($AI51="",63,$AI51))&lt;=0),"",1/(1+($DP51/IF($AI51="",63,$AI51))^6))</f>
        <v/>
      </c>
      <c r="DT51" s="27" t="str">
        <f aca="false">IF(OR($DO51="",$DO51="No FRET",N($DQ51)&lt;=0,N(IF($AJ51="",51,$AJ51))&lt;=0),"",1/(1+($DQ51/IF($AJ51="",51,$AJ51))^6))</f>
        <v/>
      </c>
      <c r="DU51" s="27" t="str">
        <f aca="false">IF(OR($DO51="",$DO51="No FRET",N($DR51)&lt;=0,N(IF($AK51="",68,$AK51))&lt;=0),"",1/(1+($DR51/IF($AK51="",68,$AK51))^6))</f>
        <v/>
      </c>
      <c r="DV51" s="28" t="str">
        <f aca="false">IF(OR($A51="",N($DH51)&lt;=0),"",IF(IF($I51="",5000,$I51)&gt;0,$DH51/(IF($G51="",5000,$G51)*IF($H51="",5000,$H51)*IF($I51="",5000,$I51))/1E-024/6.022E+023/0.000000001,""))</f>
        <v/>
      </c>
      <c r="DW51" s="29" t="str">
        <f aca="false">IF(Calc!AE51=0,"",IF(Calc!AC51&gt;=1,"✖ saturated (B ≥ freq.)",IF(Calc!AC51&gt;0.1,"⚠ B &gt; 10% of freq.",IF(Calc!AC51=0,"⚠ no brightness",IF(Calc!AD51&gt;0.1,"⚠ step &gt; 10% of wr",IF(OR(AND(N($DK51)&gt;0,IF($O51="",1,$O51)&lt;3),AND(N($DJ51)&gt;0,IF($O51="",1,$O51)&lt;2)),"⚠ uses a colour above Colours = "&amp;IF($O51="",1,$O51)&amp;" (ignored)",IF(AND($DO51&lt;&gt;"",$DO51&lt;&gt;"No FRET",N(IF($O51="",1,$O51))&lt;2),"⚠ FRET needs ≥ 2 colours",IF(AND($DO51&lt;&gt;"",$DO51&lt;&gt;"No FRET",N($DP51)+N($DQ51)+N($DR51)=0),"⚠ FRET: set R","✔ OK"))))))))</f>
        <v/>
      </c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7" t="str">
        <f aca="false">IF(OR($EG51="",$EG51="No FRET",N($EH51)&lt;=0,N(IF($AI51="",63,$AI51))&lt;=0),"",1/(1+($EH51/IF($AI51="",63,$AI51))^6))</f>
        <v/>
      </c>
      <c r="EL51" s="27" t="str">
        <f aca="false">IF(OR($EG51="",$EG51="No FRET",N($EI51)&lt;=0,N(IF($AJ51="",51,$AJ51))&lt;=0),"",1/(1+($EI51/IF($AJ51="",51,$AJ51))^6))</f>
        <v/>
      </c>
      <c r="EM51" s="27" t="str">
        <f aca="false">IF(OR($EG51="",$EG51="No FRET",N($EJ51)&lt;=0,N(IF($AK51="",68,$AK51))&lt;=0),"",1/(1+($EJ51/IF($AK51="",68,$AK51))^6))</f>
        <v/>
      </c>
      <c r="EN51" s="28" t="str">
        <f aca="false">IF(OR($A51="",N($DZ51)&lt;=0),"",IF(IF($I51="",5000,$I51)&gt;0,$DZ51/(IF($G51="",5000,$G51)*IF($H51="",5000,$H51)*IF($I51="",5000,$I51))/1E-024/6.022E+023/0.000000001,""))</f>
        <v/>
      </c>
      <c r="EO51" s="29" t="str">
        <f aca="false">IF(Calc!AK51=0,"",IF(Calc!AI51&gt;=1,"✖ saturated (B ≥ freq.)",IF(Calc!AI51&gt;0.1,"⚠ B &gt; 10% of freq.",IF(Calc!AI51=0,"⚠ no brightness",IF(Calc!AJ51&gt;0.1,"⚠ step &gt; 10% of wr",IF(OR(AND(N($EC51)&gt;0,IF($O51="",1,$O51)&lt;3),AND(N($EB51)&gt;0,IF($O51="",1,$O51)&lt;2)),"⚠ uses a colour above Colours = "&amp;IF($O51="",1,$O51)&amp;" (ignored)",IF(AND($EG51&lt;&gt;"",$EG51&lt;&gt;"No FRET",N(IF($O51="",1,$O51))&lt;2),"⚠ FRET needs ≥ 2 colours",IF(AND($EG51&lt;&gt;"",$EG51&lt;&gt;"No FRET",N($EH51)+N($EI51)+N($EJ51)=0),"⚠ FRET: set R","✔ OK"))))))))</f>
        <v/>
      </c>
      <c r="EP51" s="30" t="str">
        <f aca="false">IF($A51="","",SUM(Calc!G51,Calc!M51,Calc!S51,Calc!Y51,Calc!AE51,Calc!AK51))</f>
        <v/>
      </c>
      <c r="EQ51" s="30" t="str">
        <f aca="false">IF($A51="","",N($AN51)+N($BF51)+N($BX51)+N($CP51)+N($DH51)+N($DZ51))</f>
        <v/>
      </c>
      <c r="ER51" s="31" t="str">
        <f aca="false">IF($A51="","",SUM(Calc!B51,Calc!H51,Calc!N51,Calc!T51,Calc!Z51,Calc!AF51))</f>
        <v/>
      </c>
      <c r="ES51" s="31" t="str">
        <f aca="false">IF($A51="","",SUM(Calc!C51,Calc!I51,Calc!O51,Calc!U51,Calc!AA51,Calc!AG51))</f>
        <v/>
      </c>
      <c r="ET51" s="31" t="str">
        <f aca="false">IF($A51="","",SUM(Calc!D51,Calc!J51,Calc!P51,Calc!V51,Calc!AB51,Calc!AH51))</f>
        <v/>
      </c>
      <c r="EU51" s="27" t="str">
        <f aca="false">IF($A51="","",($ER51+$ES51+$ET51+IF($P51="Yes",N($Q51)*N(IF($O51="",1,$O51)),0))*1000*IF($K51="",10,$K51)/1000000)</f>
        <v/>
      </c>
      <c r="EV51" s="28" t="str">
        <f aca="false">IF($A51="","",$EU51*1000000*12/1000000000)</f>
        <v/>
      </c>
      <c r="EW51" s="32" t="str">
        <f aca="false">IF($A51="","",IF($EP51=0,"⚠ no species entered",IF(((LEFT($BC51,1)="✖")+(LEFT($BU51,1)="✖")+(LEFT($CM51,1)="✖")+(LEFT($DE51,1)="✖")+(LEFT($DW51,1)="✖")+(LEFT($EO51,1)="✖"))&gt;0,"✖ "&amp;((LEFT($BC51,1)="✖")+(LEFT($BU51,1)="✖")+(LEFT($CM51,1)="✖")+(LEFT($DE51,1)="✖")+(LEFT($DW51,1)="✖")+(LEFT($EO51,1)="✖"))&amp;" species saturated - see the species checks",IF(MIN(IF($G51="",5000,$G51),IF($H51="",5000,$H51))&lt;8*MAX(IF($T51="",200,$T51),IF($U51="",200,$U51),IF($V51="",200,$V51)),"⚠ box too small laterally (&lt; 8·wr)",IF(AND(IF($I51="",5000,$I51)&gt;0,IF($I51="",5000,$I51)&lt;3*MAX(IF($W51="",1000,$W51),IF($X51="",1000,$X51),IF($Y51="",1000,$Y51))),"⚠ box too small axially (&lt; 3·wz)",IF($EV51&gt;8,"⚠ &gt; 8 GB per file: shorten the duration and use several files",IF(((LEFT($BC51,1)="⚠")+(LEFT($BU51,1)="⚠")+(LEFT($CM51,1)="⚠")+(LEFT($DE51,1)="⚠")+(LEFT($DW51,1)="⚠")+(LEFT($EO51,1)="⚠"))&gt;0,"⚠ "&amp;((LEFT($BC51,1)="⚠")+(LEFT($BU51,1)="⚠")+(LEFT($CM51,1)="⚠")+(LEFT($DE51,1)="⚠")+(LEFT($DW51,1)="⚠")+(LEFT($EO51,1)="⚠"))&amp;" species with a warning","✔ OK")))))))</f>
        <v/>
      </c>
      <c r="EX51" s="25"/>
      <c r="EY51" s="25"/>
      <c r="EZ51" s="25"/>
      <c r="FA51" s="25"/>
      <c r="FB51" s="25"/>
      <c r="FC51" s="25"/>
      <c r="FD51" s="25"/>
      <c r="FE51" s="26"/>
    </row>
    <row r="52" customFormat="false" ht="15" hidden="false" customHeight="false" outlineLevel="0" collapsed="false">
      <c r="A52" s="25"/>
      <c r="B52" s="25"/>
      <c r="C52" s="26"/>
      <c r="D52" s="26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7" t="str">
        <f aca="false">IF(OR($AU52="",$AU52="No FRET",N($AV52)&lt;=0,N(IF($AI52="",63,$AI52))&lt;=0),"",1/(1+($AV52/IF($AI52="",63,$AI52))^6))</f>
        <v/>
      </c>
      <c r="AZ52" s="27" t="str">
        <f aca="false">IF(OR($AU52="",$AU52="No FRET",N($AW52)&lt;=0,N(IF($AJ52="",51,$AJ52))&lt;=0),"",1/(1+($AW52/IF($AJ52="",51,$AJ52))^6))</f>
        <v/>
      </c>
      <c r="BA52" s="27" t="str">
        <f aca="false">IF(OR($AU52="",$AU52="No FRET",N($AX52)&lt;=0,N(IF($AK52="",68,$AK52))&lt;=0),"",1/(1+($AX52/IF($AK52="",68,$AK52))^6))</f>
        <v/>
      </c>
      <c r="BB52" s="28" t="str">
        <f aca="false">IF(OR($A52="",N($AN52)&lt;=0),"",IF(IF($I52="",5000,$I52)&gt;0,$AN52/(IF($G52="",5000,$G52)*IF($H52="",5000,$H52)*IF($I52="",5000,$I52))/1E-024/6.022E+023/0.000000001,""))</f>
        <v/>
      </c>
      <c r="BC52" s="29" t="str">
        <f aca="false">IF(Calc!G52=0,"",IF(Calc!E52&gt;=1,"✖ saturated (B ≥ freq.)",IF(Calc!E52&gt;0.1,"⚠ B &gt; 10% of freq.",IF(Calc!E52=0,"⚠ no brightness",IF(Calc!F52&gt;0.1,"⚠ step &gt; 10% of wr",IF(OR(AND(N($AQ52)&gt;0,IF($O52="",1,$O52)&lt;3),AND(N($AP52)&gt;0,IF($O52="",1,$O52)&lt;2)),"⚠ uses a colour above Colours = "&amp;IF($O52="",1,$O52)&amp;" (ignored)",IF(AND($AU52&lt;&gt;"",$AU52&lt;&gt;"No FRET",N(IF($O52="",1,$O52))&lt;2),"⚠ FRET needs ≥ 2 colours",IF(AND($AU52&lt;&gt;"",$AU52&lt;&gt;"No FRET",N($AV52)+N($AW52)+N($AX52)=0),"⚠ FRET: set R","✔ OK"))))))))</f>
        <v/>
      </c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7" t="str">
        <f aca="false">IF(OR($BM52="",$BM52="No FRET",N($BN52)&lt;=0,N(IF($AI52="",63,$AI52))&lt;=0),"",1/(1+($BN52/IF($AI52="",63,$AI52))^6))</f>
        <v/>
      </c>
      <c r="BR52" s="27" t="str">
        <f aca="false">IF(OR($BM52="",$BM52="No FRET",N($BO52)&lt;=0,N(IF($AJ52="",51,$AJ52))&lt;=0),"",1/(1+($BO52/IF($AJ52="",51,$AJ52))^6))</f>
        <v/>
      </c>
      <c r="BS52" s="27" t="str">
        <f aca="false">IF(OR($BM52="",$BM52="No FRET",N($BP52)&lt;=0,N(IF($AK52="",68,$AK52))&lt;=0),"",1/(1+($BP52/IF($AK52="",68,$AK52))^6))</f>
        <v/>
      </c>
      <c r="BT52" s="28" t="str">
        <f aca="false">IF(OR($A52="",N($BF52)&lt;=0),"",IF(IF($I52="",5000,$I52)&gt;0,$BF52/(IF($G52="",5000,$G52)*IF($H52="",5000,$H52)*IF($I52="",5000,$I52))/1E-024/6.022E+023/0.000000001,""))</f>
        <v/>
      </c>
      <c r="BU52" s="29" t="str">
        <f aca="false">IF(Calc!M52=0,"",IF(Calc!K52&gt;=1,"✖ saturated (B ≥ freq.)",IF(Calc!K52&gt;0.1,"⚠ B &gt; 10% of freq.",IF(Calc!K52=0,"⚠ no brightness",IF(Calc!L52&gt;0.1,"⚠ step &gt; 10% of wr",IF(OR(AND(N($BI52)&gt;0,IF($O52="",1,$O52)&lt;3),AND(N($BH52)&gt;0,IF($O52="",1,$O52)&lt;2)),"⚠ uses a colour above Colours = "&amp;IF($O52="",1,$O52)&amp;" (ignored)",IF(AND($BM52&lt;&gt;"",$BM52&lt;&gt;"No FRET",N(IF($O52="",1,$O52))&lt;2),"⚠ FRET needs ≥ 2 colours",IF(AND($BM52&lt;&gt;"",$BM52&lt;&gt;"No FRET",N($BN52)+N($BO52)+N($BP52)=0),"⚠ FRET: set R","✔ OK"))))))))</f>
        <v/>
      </c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7" t="str">
        <f aca="false">IF(OR($CE52="",$CE52="No FRET",N($CF52)&lt;=0,N(IF($AI52="",63,$AI52))&lt;=0),"",1/(1+($CF52/IF($AI52="",63,$AI52))^6))</f>
        <v/>
      </c>
      <c r="CJ52" s="27" t="str">
        <f aca="false">IF(OR($CE52="",$CE52="No FRET",N($CG52)&lt;=0,N(IF($AJ52="",51,$AJ52))&lt;=0),"",1/(1+($CG52/IF($AJ52="",51,$AJ52))^6))</f>
        <v/>
      </c>
      <c r="CK52" s="27" t="str">
        <f aca="false">IF(OR($CE52="",$CE52="No FRET",N($CH52)&lt;=0,N(IF($AK52="",68,$AK52))&lt;=0),"",1/(1+($CH52/IF($AK52="",68,$AK52))^6))</f>
        <v/>
      </c>
      <c r="CL52" s="28" t="str">
        <f aca="false">IF(OR($A52="",N($BX52)&lt;=0),"",IF(IF($I52="",5000,$I52)&gt;0,$BX52/(IF($G52="",5000,$G52)*IF($H52="",5000,$H52)*IF($I52="",5000,$I52))/1E-024/6.022E+023/0.000000001,""))</f>
        <v/>
      </c>
      <c r="CM52" s="29" t="str">
        <f aca="false">IF(Calc!S52=0,"",IF(Calc!Q52&gt;=1,"✖ saturated (B ≥ freq.)",IF(Calc!Q52&gt;0.1,"⚠ B &gt; 10% of freq.",IF(Calc!Q52=0,"⚠ no brightness",IF(Calc!R52&gt;0.1,"⚠ step &gt; 10% of wr",IF(OR(AND(N($CA52)&gt;0,IF($O52="",1,$O52)&lt;3),AND(N($BZ52)&gt;0,IF($O52="",1,$O52)&lt;2)),"⚠ uses a colour above Colours = "&amp;IF($O52="",1,$O52)&amp;" (ignored)",IF(AND($CE52&lt;&gt;"",$CE52&lt;&gt;"No FRET",N(IF($O52="",1,$O52))&lt;2),"⚠ FRET needs ≥ 2 colours",IF(AND($CE52&lt;&gt;"",$CE52&lt;&gt;"No FRET",N($CF52)+N($CG52)+N($CH52)=0),"⚠ FRET: set R","✔ OK"))))))))</f>
        <v/>
      </c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7" t="str">
        <f aca="false">IF(OR($CW52="",$CW52="No FRET",N($CX52)&lt;=0,N(IF($AI52="",63,$AI52))&lt;=0),"",1/(1+($CX52/IF($AI52="",63,$AI52))^6))</f>
        <v/>
      </c>
      <c r="DB52" s="27" t="str">
        <f aca="false">IF(OR($CW52="",$CW52="No FRET",N($CY52)&lt;=0,N(IF($AJ52="",51,$AJ52))&lt;=0),"",1/(1+($CY52/IF($AJ52="",51,$AJ52))^6))</f>
        <v/>
      </c>
      <c r="DC52" s="27" t="str">
        <f aca="false">IF(OR($CW52="",$CW52="No FRET",N($CZ52)&lt;=0,N(IF($AK52="",68,$AK52))&lt;=0),"",1/(1+($CZ52/IF($AK52="",68,$AK52))^6))</f>
        <v/>
      </c>
      <c r="DD52" s="28" t="str">
        <f aca="false">IF(OR($A52="",N($CP52)&lt;=0),"",IF(IF($I52="",5000,$I52)&gt;0,$CP52/(IF($G52="",5000,$G52)*IF($H52="",5000,$H52)*IF($I52="",5000,$I52))/1E-024/6.022E+023/0.000000001,""))</f>
        <v/>
      </c>
      <c r="DE52" s="29" t="str">
        <f aca="false">IF(Calc!Y52=0,"",IF(Calc!W52&gt;=1,"✖ saturated (B ≥ freq.)",IF(Calc!W52&gt;0.1,"⚠ B &gt; 10% of freq.",IF(Calc!W52=0,"⚠ no brightness",IF(Calc!X52&gt;0.1,"⚠ step &gt; 10% of wr",IF(OR(AND(N($CS52)&gt;0,IF($O52="",1,$O52)&lt;3),AND(N($CR52)&gt;0,IF($O52="",1,$O52)&lt;2)),"⚠ uses a colour above Colours = "&amp;IF($O52="",1,$O52)&amp;" (ignored)",IF(AND($CW52&lt;&gt;"",$CW52&lt;&gt;"No FRET",N(IF($O52="",1,$O52))&lt;2),"⚠ FRET needs ≥ 2 colours",IF(AND($CW52&lt;&gt;"",$CW52&lt;&gt;"No FRET",N($CX52)+N($CY52)+N($CZ52)=0),"⚠ FRET: set R","✔ OK"))))))))</f>
        <v/>
      </c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7" t="str">
        <f aca="false">IF(OR($DO52="",$DO52="No FRET",N($DP52)&lt;=0,N(IF($AI52="",63,$AI52))&lt;=0),"",1/(1+($DP52/IF($AI52="",63,$AI52))^6))</f>
        <v/>
      </c>
      <c r="DT52" s="27" t="str">
        <f aca="false">IF(OR($DO52="",$DO52="No FRET",N($DQ52)&lt;=0,N(IF($AJ52="",51,$AJ52))&lt;=0),"",1/(1+($DQ52/IF($AJ52="",51,$AJ52))^6))</f>
        <v/>
      </c>
      <c r="DU52" s="27" t="str">
        <f aca="false">IF(OR($DO52="",$DO52="No FRET",N($DR52)&lt;=0,N(IF($AK52="",68,$AK52))&lt;=0),"",1/(1+($DR52/IF($AK52="",68,$AK52))^6))</f>
        <v/>
      </c>
      <c r="DV52" s="28" t="str">
        <f aca="false">IF(OR($A52="",N($DH52)&lt;=0),"",IF(IF($I52="",5000,$I52)&gt;0,$DH52/(IF($G52="",5000,$G52)*IF($H52="",5000,$H52)*IF($I52="",5000,$I52))/1E-024/6.022E+023/0.000000001,""))</f>
        <v/>
      </c>
      <c r="DW52" s="29" t="str">
        <f aca="false">IF(Calc!AE52=0,"",IF(Calc!AC52&gt;=1,"✖ saturated (B ≥ freq.)",IF(Calc!AC52&gt;0.1,"⚠ B &gt; 10% of freq.",IF(Calc!AC52=0,"⚠ no brightness",IF(Calc!AD52&gt;0.1,"⚠ step &gt; 10% of wr",IF(OR(AND(N($DK52)&gt;0,IF($O52="",1,$O52)&lt;3),AND(N($DJ52)&gt;0,IF($O52="",1,$O52)&lt;2)),"⚠ uses a colour above Colours = "&amp;IF($O52="",1,$O52)&amp;" (ignored)",IF(AND($DO52&lt;&gt;"",$DO52&lt;&gt;"No FRET",N(IF($O52="",1,$O52))&lt;2),"⚠ FRET needs ≥ 2 colours",IF(AND($DO52&lt;&gt;"",$DO52&lt;&gt;"No FRET",N($DP52)+N($DQ52)+N($DR52)=0),"⚠ FRET: set R","✔ OK"))))))))</f>
        <v/>
      </c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7" t="str">
        <f aca="false">IF(OR($EG52="",$EG52="No FRET",N($EH52)&lt;=0,N(IF($AI52="",63,$AI52))&lt;=0),"",1/(1+($EH52/IF($AI52="",63,$AI52))^6))</f>
        <v/>
      </c>
      <c r="EL52" s="27" t="str">
        <f aca="false">IF(OR($EG52="",$EG52="No FRET",N($EI52)&lt;=0,N(IF($AJ52="",51,$AJ52))&lt;=0),"",1/(1+($EI52/IF($AJ52="",51,$AJ52))^6))</f>
        <v/>
      </c>
      <c r="EM52" s="27" t="str">
        <f aca="false">IF(OR($EG52="",$EG52="No FRET",N($EJ52)&lt;=0,N(IF($AK52="",68,$AK52))&lt;=0),"",1/(1+($EJ52/IF($AK52="",68,$AK52))^6))</f>
        <v/>
      </c>
      <c r="EN52" s="28" t="str">
        <f aca="false">IF(OR($A52="",N($DZ52)&lt;=0),"",IF(IF($I52="",5000,$I52)&gt;0,$DZ52/(IF($G52="",5000,$G52)*IF($H52="",5000,$H52)*IF($I52="",5000,$I52))/1E-024/6.022E+023/0.000000001,""))</f>
        <v/>
      </c>
      <c r="EO52" s="29" t="str">
        <f aca="false">IF(Calc!AK52=0,"",IF(Calc!AI52&gt;=1,"✖ saturated (B ≥ freq.)",IF(Calc!AI52&gt;0.1,"⚠ B &gt; 10% of freq.",IF(Calc!AI52=0,"⚠ no brightness",IF(Calc!AJ52&gt;0.1,"⚠ step &gt; 10% of wr",IF(OR(AND(N($EC52)&gt;0,IF($O52="",1,$O52)&lt;3),AND(N($EB52)&gt;0,IF($O52="",1,$O52)&lt;2)),"⚠ uses a colour above Colours = "&amp;IF($O52="",1,$O52)&amp;" (ignored)",IF(AND($EG52&lt;&gt;"",$EG52&lt;&gt;"No FRET",N(IF($O52="",1,$O52))&lt;2),"⚠ FRET needs ≥ 2 colours",IF(AND($EG52&lt;&gt;"",$EG52&lt;&gt;"No FRET",N($EH52)+N($EI52)+N($EJ52)=0),"⚠ FRET: set R","✔ OK"))))))))</f>
        <v/>
      </c>
      <c r="EP52" s="30" t="str">
        <f aca="false">IF($A52="","",SUM(Calc!G52,Calc!M52,Calc!S52,Calc!Y52,Calc!AE52,Calc!AK52))</f>
        <v/>
      </c>
      <c r="EQ52" s="30" t="str">
        <f aca="false">IF($A52="","",N($AN52)+N($BF52)+N($BX52)+N($CP52)+N($DH52)+N($DZ52))</f>
        <v/>
      </c>
      <c r="ER52" s="31" t="str">
        <f aca="false">IF($A52="","",SUM(Calc!B52,Calc!H52,Calc!N52,Calc!T52,Calc!Z52,Calc!AF52))</f>
        <v/>
      </c>
      <c r="ES52" s="31" t="str">
        <f aca="false">IF($A52="","",SUM(Calc!C52,Calc!I52,Calc!O52,Calc!U52,Calc!AA52,Calc!AG52))</f>
        <v/>
      </c>
      <c r="ET52" s="31" t="str">
        <f aca="false">IF($A52="","",SUM(Calc!D52,Calc!J52,Calc!P52,Calc!V52,Calc!AB52,Calc!AH52))</f>
        <v/>
      </c>
      <c r="EU52" s="27" t="str">
        <f aca="false">IF($A52="","",($ER52+$ES52+$ET52+IF($P52="Yes",N($Q52)*N(IF($O52="",1,$O52)),0))*1000*IF($K52="",10,$K52)/1000000)</f>
        <v/>
      </c>
      <c r="EV52" s="28" t="str">
        <f aca="false">IF($A52="","",$EU52*1000000*12/1000000000)</f>
        <v/>
      </c>
      <c r="EW52" s="32" t="str">
        <f aca="false">IF($A52="","",IF($EP52=0,"⚠ no species entered",IF(((LEFT($BC52,1)="✖")+(LEFT($BU52,1)="✖")+(LEFT($CM52,1)="✖")+(LEFT($DE52,1)="✖")+(LEFT($DW52,1)="✖")+(LEFT($EO52,1)="✖"))&gt;0,"✖ "&amp;((LEFT($BC52,1)="✖")+(LEFT($BU52,1)="✖")+(LEFT($CM52,1)="✖")+(LEFT($DE52,1)="✖")+(LEFT($DW52,1)="✖")+(LEFT($EO52,1)="✖"))&amp;" species saturated - see the species checks",IF(MIN(IF($G52="",5000,$G52),IF($H52="",5000,$H52))&lt;8*MAX(IF($T52="",200,$T52),IF($U52="",200,$U52),IF($V52="",200,$V52)),"⚠ box too small laterally (&lt; 8·wr)",IF(AND(IF($I52="",5000,$I52)&gt;0,IF($I52="",5000,$I52)&lt;3*MAX(IF($W52="",1000,$W52),IF($X52="",1000,$X52),IF($Y52="",1000,$Y52))),"⚠ box too small axially (&lt; 3·wz)",IF($EV52&gt;8,"⚠ &gt; 8 GB per file: shorten the duration and use several files",IF(((LEFT($BC52,1)="⚠")+(LEFT($BU52,1)="⚠")+(LEFT($CM52,1)="⚠")+(LEFT($DE52,1)="⚠")+(LEFT($DW52,1)="⚠")+(LEFT($EO52,1)="⚠"))&gt;0,"⚠ "&amp;((LEFT($BC52,1)="⚠")+(LEFT($BU52,1)="⚠")+(LEFT($CM52,1)="⚠")+(LEFT($DE52,1)="⚠")+(LEFT($DW52,1)="⚠")+(LEFT($EO52,1)="⚠"))&amp;" species with a warning","✔ OK")))))))</f>
        <v/>
      </c>
      <c r="EX52" s="25"/>
      <c r="EY52" s="25"/>
      <c r="EZ52" s="25"/>
      <c r="FA52" s="25"/>
      <c r="FB52" s="25"/>
      <c r="FC52" s="25"/>
      <c r="FD52" s="25"/>
      <c r="FE52" s="26"/>
    </row>
    <row r="53" customFormat="false" ht="15" hidden="false" customHeight="false" outlineLevel="0" collapsed="false">
      <c r="A53" s="25"/>
      <c r="B53" s="25"/>
      <c r="C53" s="26"/>
      <c r="D53" s="26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7" t="str">
        <f aca="false">IF(OR($AU53="",$AU53="No FRET",N($AV53)&lt;=0,N(IF($AI53="",63,$AI53))&lt;=0),"",1/(1+($AV53/IF($AI53="",63,$AI53))^6))</f>
        <v/>
      </c>
      <c r="AZ53" s="27" t="str">
        <f aca="false">IF(OR($AU53="",$AU53="No FRET",N($AW53)&lt;=0,N(IF($AJ53="",51,$AJ53))&lt;=0),"",1/(1+($AW53/IF($AJ53="",51,$AJ53))^6))</f>
        <v/>
      </c>
      <c r="BA53" s="27" t="str">
        <f aca="false">IF(OR($AU53="",$AU53="No FRET",N($AX53)&lt;=0,N(IF($AK53="",68,$AK53))&lt;=0),"",1/(1+($AX53/IF($AK53="",68,$AK53))^6))</f>
        <v/>
      </c>
      <c r="BB53" s="28" t="str">
        <f aca="false">IF(OR($A53="",N($AN53)&lt;=0),"",IF(IF($I53="",5000,$I53)&gt;0,$AN53/(IF($G53="",5000,$G53)*IF($H53="",5000,$H53)*IF($I53="",5000,$I53))/1E-024/6.022E+023/0.000000001,""))</f>
        <v/>
      </c>
      <c r="BC53" s="29" t="str">
        <f aca="false">IF(Calc!G53=0,"",IF(Calc!E53&gt;=1,"✖ saturated (B ≥ freq.)",IF(Calc!E53&gt;0.1,"⚠ B &gt; 10% of freq.",IF(Calc!E53=0,"⚠ no brightness",IF(Calc!F53&gt;0.1,"⚠ step &gt; 10% of wr",IF(OR(AND(N($AQ53)&gt;0,IF($O53="",1,$O53)&lt;3),AND(N($AP53)&gt;0,IF($O53="",1,$O53)&lt;2)),"⚠ uses a colour above Colours = "&amp;IF($O53="",1,$O53)&amp;" (ignored)",IF(AND($AU53&lt;&gt;"",$AU53&lt;&gt;"No FRET",N(IF($O53="",1,$O53))&lt;2),"⚠ FRET needs ≥ 2 colours",IF(AND($AU53&lt;&gt;"",$AU53&lt;&gt;"No FRET",N($AV53)+N($AW53)+N($AX53)=0),"⚠ FRET: set R","✔ OK"))))))))</f>
        <v/>
      </c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7" t="str">
        <f aca="false">IF(OR($BM53="",$BM53="No FRET",N($BN53)&lt;=0,N(IF($AI53="",63,$AI53))&lt;=0),"",1/(1+($BN53/IF($AI53="",63,$AI53))^6))</f>
        <v/>
      </c>
      <c r="BR53" s="27" t="str">
        <f aca="false">IF(OR($BM53="",$BM53="No FRET",N($BO53)&lt;=0,N(IF($AJ53="",51,$AJ53))&lt;=0),"",1/(1+($BO53/IF($AJ53="",51,$AJ53))^6))</f>
        <v/>
      </c>
      <c r="BS53" s="27" t="str">
        <f aca="false">IF(OR($BM53="",$BM53="No FRET",N($BP53)&lt;=0,N(IF($AK53="",68,$AK53))&lt;=0),"",1/(1+($BP53/IF($AK53="",68,$AK53))^6))</f>
        <v/>
      </c>
      <c r="BT53" s="28" t="str">
        <f aca="false">IF(OR($A53="",N($BF53)&lt;=0),"",IF(IF($I53="",5000,$I53)&gt;0,$BF53/(IF($G53="",5000,$G53)*IF($H53="",5000,$H53)*IF($I53="",5000,$I53))/1E-024/6.022E+023/0.000000001,""))</f>
        <v/>
      </c>
      <c r="BU53" s="29" t="str">
        <f aca="false">IF(Calc!M53=0,"",IF(Calc!K53&gt;=1,"✖ saturated (B ≥ freq.)",IF(Calc!K53&gt;0.1,"⚠ B &gt; 10% of freq.",IF(Calc!K53=0,"⚠ no brightness",IF(Calc!L53&gt;0.1,"⚠ step &gt; 10% of wr",IF(OR(AND(N($BI53)&gt;0,IF($O53="",1,$O53)&lt;3),AND(N($BH53)&gt;0,IF($O53="",1,$O53)&lt;2)),"⚠ uses a colour above Colours = "&amp;IF($O53="",1,$O53)&amp;" (ignored)",IF(AND($BM53&lt;&gt;"",$BM53&lt;&gt;"No FRET",N(IF($O53="",1,$O53))&lt;2),"⚠ FRET needs ≥ 2 colours",IF(AND($BM53&lt;&gt;"",$BM53&lt;&gt;"No FRET",N($BN53)+N($BO53)+N($BP53)=0),"⚠ FRET: set R","✔ OK"))))))))</f>
        <v/>
      </c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7" t="str">
        <f aca="false">IF(OR($CE53="",$CE53="No FRET",N($CF53)&lt;=0,N(IF($AI53="",63,$AI53))&lt;=0),"",1/(1+($CF53/IF($AI53="",63,$AI53))^6))</f>
        <v/>
      </c>
      <c r="CJ53" s="27" t="str">
        <f aca="false">IF(OR($CE53="",$CE53="No FRET",N($CG53)&lt;=0,N(IF($AJ53="",51,$AJ53))&lt;=0),"",1/(1+($CG53/IF($AJ53="",51,$AJ53))^6))</f>
        <v/>
      </c>
      <c r="CK53" s="27" t="str">
        <f aca="false">IF(OR($CE53="",$CE53="No FRET",N($CH53)&lt;=0,N(IF($AK53="",68,$AK53))&lt;=0),"",1/(1+($CH53/IF($AK53="",68,$AK53))^6))</f>
        <v/>
      </c>
      <c r="CL53" s="28" t="str">
        <f aca="false">IF(OR($A53="",N($BX53)&lt;=0),"",IF(IF($I53="",5000,$I53)&gt;0,$BX53/(IF($G53="",5000,$G53)*IF($H53="",5000,$H53)*IF($I53="",5000,$I53))/1E-024/6.022E+023/0.000000001,""))</f>
        <v/>
      </c>
      <c r="CM53" s="29" t="str">
        <f aca="false">IF(Calc!S53=0,"",IF(Calc!Q53&gt;=1,"✖ saturated (B ≥ freq.)",IF(Calc!Q53&gt;0.1,"⚠ B &gt; 10% of freq.",IF(Calc!Q53=0,"⚠ no brightness",IF(Calc!R53&gt;0.1,"⚠ step &gt; 10% of wr",IF(OR(AND(N($CA53)&gt;0,IF($O53="",1,$O53)&lt;3),AND(N($BZ53)&gt;0,IF($O53="",1,$O53)&lt;2)),"⚠ uses a colour above Colours = "&amp;IF($O53="",1,$O53)&amp;" (ignored)",IF(AND($CE53&lt;&gt;"",$CE53&lt;&gt;"No FRET",N(IF($O53="",1,$O53))&lt;2),"⚠ FRET needs ≥ 2 colours",IF(AND($CE53&lt;&gt;"",$CE53&lt;&gt;"No FRET",N($CF53)+N($CG53)+N($CH53)=0),"⚠ FRET: set R","✔ OK"))))))))</f>
        <v/>
      </c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7" t="str">
        <f aca="false">IF(OR($CW53="",$CW53="No FRET",N($CX53)&lt;=0,N(IF($AI53="",63,$AI53))&lt;=0),"",1/(1+($CX53/IF($AI53="",63,$AI53))^6))</f>
        <v/>
      </c>
      <c r="DB53" s="27" t="str">
        <f aca="false">IF(OR($CW53="",$CW53="No FRET",N($CY53)&lt;=0,N(IF($AJ53="",51,$AJ53))&lt;=0),"",1/(1+($CY53/IF($AJ53="",51,$AJ53))^6))</f>
        <v/>
      </c>
      <c r="DC53" s="27" t="str">
        <f aca="false">IF(OR($CW53="",$CW53="No FRET",N($CZ53)&lt;=0,N(IF($AK53="",68,$AK53))&lt;=0),"",1/(1+($CZ53/IF($AK53="",68,$AK53))^6))</f>
        <v/>
      </c>
      <c r="DD53" s="28" t="str">
        <f aca="false">IF(OR($A53="",N($CP53)&lt;=0),"",IF(IF($I53="",5000,$I53)&gt;0,$CP53/(IF($G53="",5000,$G53)*IF($H53="",5000,$H53)*IF($I53="",5000,$I53))/1E-024/6.022E+023/0.000000001,""))</f>
        <v/>
      </c>
      <c r="DE53" s="29" t="str">
        <f aca="false">IF(Calc!Y53=0,"",IF(Calc!W53&gt;=1,"✖ saturated (B ≥ freq.)",IF(Calc!W53&gt;0.1,"⚠ B &gt; 10% of freq.",IF(Calc!W53=0,"⚠ no brightness",IF(Calc!X53&gt;0.1,"⚠ step &gt; 10% of wr",IF(OR(AND(N($CS53)&gt;0,IF($O53="",1,$O53)&lt;3),AND(N($CR53)&gt;0,IF($O53="",1,$O53)&lt;2)),"⚠ uses a colour above Colours = "&amp;IF($O53="",1,$O53)&amp;" (ignored)",IF(AND($CW53&lt;&gt;"",$CW53&lt;&gt;"No FRET",N(IF($O53="",1,$O53))&lt;2),"⚠ FRET needs ≥ 2 colours",IF(AND($CW53&lt;&gt;"",$CW53&lt;&gt;"No FRET",N($CX53)+N($CY53)+N($CZ53)=0),"⚠ FRET: set R","✔ OK"))))))))</f>
        <v/>
      </c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7" t="str">
        <f aca="false">IF(OR($DO53="",$DO53="No FRET",N($DP53)&lt;=0,N(IF($AI53="",63,$AI53))&lt;=0),"",1/(1+($DP53/IF($AI53="",63,$AI53))^6))</f>
        <v/>
      </c>
      <c r="DT53" s="27" t="str">
        <f aca="false">IF(OR($DO53="",$DO53="No FRET",N($DQ53)&lt;=0,N(IF($AJ53="",51,$AJ53))&lt;=0),"",1/(1+($DQ53/IF($AJ53="",51,$AJ53))^6))</f>
        <v/>
      </c>
      <c r="DU53" s="27" t="str">
        <f aca="false">IF(OR($DO53="",$DO53="No FRET",N($DR53)&lt;=0,N(IF($AK53="",68,$AK53))&lt;=0),"",1/(1+($DR53/IF($AK53="",68,$AK53))^6))</f>
        <v/>
      </c>
      <c r="DV53" s="28" t="str">
        <f aca="false">IF(OR($A53="",N($DH53)&lt;=0),"",IF(IF($I53="",5000,$I53)&gt;0,$DH53/(IF($G53="",5000,$G53)*IF($H53="",5000,$H53)*IF($I53="",5000,$I53))/1E-024/6.022E+023/0.000000001,""))</f>
        <v/>
      </c>
      <c r="DW53" s="29" t="str">
        <f aca="false">IF(Calc!AE53=0,"",IF(Calc!AC53&gt;=1,"✖ saturated (B ≥ freq.)",IF(Calc!AC53&gt;0.1,"⚠ B &gt; 10% of freq.",IF(Calc!AC53=0,"⚠ no brightness",IF(Calc!AD53&gt;0.1,"⚠ step &gt; 10% of wr",IF(OR(AND(N($DK53)&gt;0,IF($O53="",1,$O53)&lt;3),AND(N($DJ53)&gt;0,IF($O53="",1,$O53)&lt;2)),"⚠ uses a colour above Colours = "&amp;IF($O53="",1,$O53)&amp;" (ignored)",IF(AND($DO53&lt;&gt;"",$DO53&lt;&gt;"No FRET",N(IF($O53="",1,$O53))&lt;2),"⚠ FRET needs ≥ 2 colours",IF(AND($DO53&lt;&gt;"",$DO53&lt;&gt;"No FRET",N($DP53)+N($DQ53)+N($DR53)=0),"⚠ FRET: set R","✔ OK"))))))))</f>
        <v/>
      </c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7" t="str">
        <f aca="false">IF(OR($EG53="",$EG53="No FRET",N($EH53)&lt;=0,N(IF($AI53="",63,$AI53))&lt;=0),"",1/(1+($EH53/IF($AI53="",63,$AI53))^6))</f>
        <v/>
      </c>
      <c r="EL53" s="27" t="str">
        <f aca="false">IF(OR($EG53="",$EG53="No FRET",N($EI53)&lt;=0,N(IF($AJ53="",51,$AJ53))&lt;=0),"",1/(1+($EI53/IF($AJ53="",51,$AJ53))^6))</f>
        <v/>
      </c>
      <c r="EM53" s="27" t="str">
        <f aca="false">IF(OR($EG53="",$EG53="No FRET",N($EJ53)&lt;=0,N(IF($AK53="",68,$AK53))&lt;=0),"",1/(1+($EJ53/IF($AK53="",68,$AK53))^6))</f>
        <v/>
      </c>
      <c r="EN53" s="28" t="str">
        <f aca="false">IF(OR($A53="",N($DZ53)&lt;=0),"",IF(IF($I53="",5000,$I53)&gt;0,$DZ53/(IF($G53="",5000,$G53)*IF($H53="",5000,$H53)*IF($I53="",5000,$I53))/1E-024/6.022E+023/0.000000001,""))</f>
        <v/>
      </c>
      <c r="EO53" s="29" t="str">
        <f aca="false">IF(Calc!AK53=0,"",IF(Calc!AI53&gt;=1,"✖ saturated (B ≥ freq.)",IF(Calc!AI53&gt;0.1,"⚠ B &gt; 10% of freq.",IF(Calc!AI53=0,"⚠ no brightness",IF(Calc!AJ53&gt;0.1,"⚠ step &gt; 10% of wr",IF(OR(AND(N($EC53)&gt;0,IF($O53="",1,$O53)&lt;3),AND(N($EB53)&gt;0,IF($O53="",1,$O53)&lt;2)),"⚠ uses a colour above Colours = "&amp;IF($O53="",1,$O53)&amp;" (ignored)",IF(AND($EG53&lt;&gt;"",$EG53&lt;&gt;"No FRET",N(IF($O53="",1,$O53))&lt;2),"⚠ FRET needs ≥ 2 colours",IF(AND($EG53&lt;&gt;"",$EG53&lt;&gt;"No FRET",N($EH53)+N($EI53)+N($EJ53)=0),"⚠ FRET: set R","✔ OK"))))))))</f>
        <v/>
      </c>
      <c r="EP53" s="30" t="str">
        <f aca="false">IF($A53="","",SUM(Calc!G53,Calc!M53,Calc!S53,Calc!Y53,Calc!AE53,Calc!AK53))</f>
        <v/>
      </c>
      <c r="EQ53" s="30" t="str">
        <f aca="false">IF($A53="","",N($AN53)+N($BF53)+N($BX53)+N($CP53)+N($DH53)+N($DZ53))</f>
        <v/>
      </c>
      <c r="ER53" s="31" t="str">
        <f aca="false">IF($A53="","",SUM(Calc!B53,Calc!H53,Calc!N53,Calc!T53,Calc!Z53,Calc!AF53))</f>
        <v/>
      </c>
      <c r="ES53" s="31" t="str">
        <f aca="false">IF($A53="","",SUM(Calc!C53,Calc!I53,Calc!O53,Calc!U53,Calc!AA53,Calc!AG53))</f>
        <v/>
      </c>
      <c r="ET53" s="31" t="str">
        <f aca="false">IF($A53="","",SUM(Calc!D53,Calc!J53,Calc!P53,Calc!V53,Calc!AB53,Calc!AH53))</f>
        <v/>
      </c>
      <c r="EU53" s="27" t="str">
        <f aca="false">IF($A53="","",($ER53+$ES53+$ET53+IF($P53="Yes",N($Q53)*N(IF($O53="",1,$O53)),0))*1000*IF($K53="",10,$K53)/1000000)</f>
        <v/>
      </c>
      <c r="EV53" s="28" t="str">
        <f aca="false">IF($A53="","",$EU53*1000000*12/1000000000)</f>
        <v/>
      </c>
      <c r="EW53" s="32" t="str">
        <f aca="false">IF($A53="","",IF($EP53=0,"⚠ no species entered",IF(((LEFT($BC53,1)="✖")+(LEFT($BU53,1)="✖")+(LEFT($CM53,1)="✖")+(LEFT($DE53,1)="✖")+(LEFT($DW53,1)="✖")+(LEFT($EO53,1)="✖"))&gt;0,"✖ "&amp;((LEFT($BC53,1)="✖")+(LEFT($BU53,1)="✖")+(LEFT($CM53,1)="✖")+(LEFT($DE53,1)="✖")+(LEFT($DW53,1)="✖")+(LEFT($EO53,1)="✖"))&amp;" species saturated - see the species checks",IF(MIN(IF($G53="",5000,$G53),IF($H53="",5000,$H53))&lt;8*MAX(IF($T53="",200,$T53),IF($U53="",200,$U53),IF($V53="",200,$V53)),"⚠ box too small laterally (&lt; 8·wr)",IF(AND(IF($I53="",5000,$I53)&gt;0,IF($I53="",5000,$I53)&lt;3*MAX(IF($W53="",1000,$W53),IF($X53="",1000,$X53),IF($Y53="",1000,$Y53))),"⚠ box too small axially (&lt; 3·wz)",IF($EV53&gt;8,"⚠ &gt; 8 GB per file: shorten the duration and use several files",IF(((LEFT($BC53,1)="⚠")+(LEFT($BU53,1)="⚠")+(LEFT($CM53,1)="⚠")+(LEFT($DE53,1)="⚠")+(LEFT($DW53,1)="⚠")+(LEFT($EO53,1)="⚠"))&gt;0,"⚠ "&amp;((LEFT($BC53,1)="⚠")+(LEFT($BU53,1)="⚠")+(LEFT($CM53,1)="⚠")+(LEFT($DE53,1)="⚠")+(LEFT($DW53,1)="⚠")+(LEFT($EO53,1)="⚠"))&amp;" species with a warning","✔ OK")))))))</f>
        <v/>
      </c>
      <c r="EX53" s="25"/>
      <c r="EY53" s="25"/>
      <c r="EZ53" s="25"/>
      <c r="FA53" s="25"/>
      <c r="FB53" s="25"/>
      <c r="FC53" s="25"/>
      <c r="FD53" s="25"/>
      <c r="FE53" s="26"/>
    </row>
    <row r="54" customFormat="false" ht="15" hidden="false" customHeight="false" outlineLevel="0" collapsed="false">
      <c r="A54" s="25"/>
      <c r="B54" s="25"/>
      <c r="C54" s="26"/>
      <c r="D54" s="26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7" t="str">
        <f aca="false">IF(OR($AU54="",$AU54="No FRET",N($AV54)&lt;=0,N(IF($AI54="",63,$AI54))&lt;=0),"",1/(1+($AV54/IF($AI54="",63,$AI54))^6))</f>
        <v/>
      </c>
      <c r="AZ54" s="27" t="str">
        <f aca="false">IF(OR($AU54="",$AU54="No FRET",N($AW54)&lt;=0,N(IF($AJ54="",51,$AJ54))&lt;=0),"",1/(1+($AW54/IF($AJ54="",51,$AJ54))^6))</f>
        <v/>
      </c>
      <c r="BA54" s="27" t="str">
        <f aca="false">IF(OR($AU54="",$AU54="No FRET",N($AX54)&lt;=0,N(IF($AK54="",68,$AK54))&lt;=0),"",1/(1+($AX54/IF($AK54="",68,$AK54))^6))</f>
        <v/>
      </c>
      <c r="BB54" s="28" t="str">
        <f aca="false">IF(OR($A54="",N($AN54)&lt;=0),"",IF(IF($I54="",5000,$I54)&gt;0,$AN54/(IF($G54="",5000,$G54)*IF($H54="",5000,$H54)*IF($I54="",5000,$I54))/1E-024/6.022E+023/0.000000001,""))</f>
        <v/>
      </c>
      <c r="BC54" s="29" t="str">
        <f aca="false">IF(Calc!G54=0,"",IF(Calc!E54&gt;=1,"✖ saturated (B ≥ freq.)",IF(Calc!E54&gt;0.1,"⚠ B &gt; 10% of freq.",IF(Calc!E54=0,"⚠ no brightness",IF(Calc!F54&gt;0.1,"⚠ step &gt; 10% of wr",IF(OR(AND(N($AQ54)&gt;0,IF($O54="",1,$O54)&lt;3),AND(N($AP54)&gt;0,IF($O54="",1,$O54)&lt;2)),"⚠ uses a colour above Colours = "&amp;IF($O54="",1,$O54)&amp;" (ignored)",IF(AND($AU54&lt;&gt;"",$AU54&lt;&gt;"No FRET",N(IF($O54="",1,$O54))&lt;2),"⚠ FRET needs ≥ 2 colours",IF(AND($AU54&lt;&gt;"",$AU54&lt;&gt;"No FRET",N($AV54)+N($AW54)+N($AX54)=0),"⚠ FRET: set R","✔ OK"))))))))</f>
        <v/>
      </c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7" t="str">
        <f aca="false">IF(OR($BM54="",$BM54="No FRET",N($BN54)&lt;=0,N(IF($AI54="",63,$AI54))&lt;=0),"",1/(1+($BN54/IF($AI54="",63,$AI54))^6))</f>
        <v/>
      </c>
      <c r="BR54" s="27" t="str">
        <f aca="false">IF(OR($BM54="",$BM54="No FRET",N($BO54)&lt;=0,N(IF($AJ54="",51,$AJ54))&lt;=0),"",1/(1+($BO54/IF($AJ54="",51,$AJ54))^6))</f>
        <v/>
      </c>
      <c r="BS54" s="27" t="str">
        <f aca="false">IF(OR($BM54="",$BM54="No FRET",N($BP54)&lt;=0,N(IF($AK54="",68,$AK54))&lt;=0),"",1/(1+($BP54/IF($AK54="",68,$AK54))^6))</f>
        <v/>
      </c>
      <c r="BT54" s="28" t="str">
        <f aca="false">IF(OR($A54="",N($BF54)&lt;=0),"",IF(IF($I54="",5000,$I54)&gt;0,$BF54/(IF($G54="",5000,$G54)*IF($H54="",5000,$H54)*IF($I54="",5000,$I54))/1E-024/6.022E+023/0.000000001,""))</f>
        <v/>
      </c>
      <c r="BU54" s="29" t="str">
        <f aca="false">IF(Calc!M54=0,"",IF(Calc!K54&gt;=1,"✖ saturated (B ≥ freq.)",IF(Calc!K54&gt;0.1,"⚠ B &gt; 10% of freq.",IF(Calc!K54=0,"⚠ no brightness",IF(Calc!L54&gt;0.1,"⚠ step &gt; 10% of wr",IF(OR(AND(N($BI54)&gt;0,IF($O54="",1,$O54)&lt;3),AND(N($BH54)&gt;0,IF($O54="",1,$O54)&lt;2)),"⚠ uses a colour above Colours = "&amp;IF($O54="",1,$O54)&amp;" (ignored)",IF(AND($BM54&lt;&gt;"",$BM54&lt;&gt;"No FRET",N(IF($O54="",1,$O54))&lt;2),"⚠ FRET needs ≥ 2 colours",IF(AND($BM54&lt;&gt;"",$BM54&lt;&gt;"No FRET",N($BN54)+N($BO54)+N($BP54)=0),"⚠ FRET: set R","✔ OK"))))))))</f>
        <v/>
      </c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7" t="str">
        <f aca="false">IF(OR($CE54="",$CE54="No FRET",N($CF54)&lt;=0,N(IF($AI54="",63,$AI54))&lt;=0),"",1/(1+($CF54/IF($AI54="",63,$AI54))^6))</f>
        <v/>
      </c>
      <c r="CJ54" s="27" t="str">
        <f aca="false">IF(OR($CE54="",$CE54="No FRET",N($CG54)&lt;=0,N(IF($AJ54="",51,$AJ54))&lt;=0),"",1/(1+($CG54/IF($AJ54="",51,$AJ54))^6))</f>
        <v/>
      </c>
      <c r="CK54" s="27" t="str">
        <f aca="false">IF(OR($CE54="",$CE54="No FRET",N($CH54)&lt;=0,N(IF($AK54="",68,$AK54))&lt;=0),"",1/(1+($CH54/IF($AK54="",68,$AK54))^6))</f>
        <v/>
      </c>
      <c r="CL54" s="28" t="str">
        <f aca="false">IF(OR($A54="",N($BX54)&lt;=0),"",IF(IF($I54="",5000,$I54)&gt;0,$BX54/(IF($G54="",5000,$G54)*IF($H54="",5000,$H54)*IF($I54="",5000,$I54))/1E-024/6.022E+023/0.000000001,""))</f>
        <v/>
      </c>
      <c r="CM54" s="29" t="str">
        <f aca="false">IF(Calc!S54=0,"",IF(Calc!Q54&gt;=1,"✖ saturated (B ≥ freq.)",IF(Calc!Q54&gt;0.1,"⚠ B &gt; 10% of freq.",IF(Calc!Q54=0,"⚠ no brightness",IF(Calc!R54&gt;0.1,"⚠ step &gt; 10% of wr",IF(OR(AND(N($CA54)&gt;0,IF($O54="",1,$O54)&lt;3),AND(N($BZ54)&gt;0,IF($O54="",1,$O54)&lt;2)),"⚠ uses a colour above Colours = "&amp;IF($O54="",1,$O54)&amp;" (ignored)",IF(AND($CE54&lt;&gt;"",$CE54&lt;&gt;"No FRET",N(IF($O54="",1,$O54))&lt;2),"⚠ FRET needs ≥ 2 colours",IF(AND($CE54&lt;&gt;"",$CE54&lt;&gt;"No FRET",N($CF54)+N($CG54)+N($CH54)=0),"⚠ FRET: set R","✔ OK"))))))))</f>
        <v/>
      </c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7" t="str">
        <f aca="false">IF(OR($CW54="",$CW54="No FRET",N($CX54)&lt;=0,N(IF($AI54="",63,$AI54))&lt;=0),"",1/(1+($CX54/IF($AI54="",63,$AI54))^6))</f>
        <v/>
      </c>
      <c r="DB54" s="27" t="str">
        <f aca="false">IF(OR($CW54="",$CW54="No FRET",N($CY54)&lt;=0,N(IF($AJ54="",51,$AJ54))&lt;=0),"",1/(1+($CY54/IF($AJ54="",51,$AJ54))^6))</f>
        <v/>
      </c>
      <c r="DC54" s="27" t="str">
        <f aca="false">IF(OR($CW54="",$CW54="No FRET",N($CZ54)&lt;=0,N(IF($AK54="",68,$AK54))&lt;=0),"",1/(1+($CZ54/IF($AK54="",68,$AK54))^6))</f>
        <v/>
      </c>
      <c r="DD54" s="28" t="str">
        <f aca="false">IF(OR($A54="",N($CP54)&lt;=0),"",IF(IF($I54="",5000,$I54)&gt;0,$CP54/(IF($G54="",5000,$G54)*IF($H54="",5000,$H54)*IF($I54="",5000,$I54))/1E-024/6.022E+023/0.000000001,""))</f>
        <v/>
      </c>
      <c r="DE54" s="29" t="str">
        <f aca="false">IF(Calc!Y54=0,"",IF(Calc!W54&gt;=1,"✖ saturated (B ≥ freq.)",IF(Calc!W54&gt;0.1,"⚠ B &gt; 10% of freq.",IF(Calc!W54=0,"⚠ no brightness",IF(Calc!X54&gt;0.1,"⚠ step &gt; 10% of wr",IF(OR(AND(N($CS54)&gt;0,IF($O54="",1,$O54)&lt;3),AND(N($CR54)&gt;0,IF($O54="",1,$O54)&lt;2)),"⚠ uses a colour above Colours = "&amp;IF($O54="",1,$O54)&amp;" (ignored)",IF(AND($CW54&lt;&gt;"",$CW54&lt;&gt;"No FRET",N(IF($O54="",1,$O54))&lt;2),"⚠ FRET needs ≥ 2 colours",IF(AND($CW54&lt;&gt;"",$CW54&lt;&gt;"No FRET",N($CX54)+N($CY54)+N($CZ54)=0),"⚠ FRET: set R","✔ OK"))))))))</f>
        <v/>
      </c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7" t="str">
        <f aca="false">IF(OR($DO54="",$DO54="No FRET",N($DP54)&lt;=0,N(IF($AI54="",63,$AI54))&lt;=0),"",1/(1+($DP54/IF($AI54="",63,$AI54))^6))</f>
        <v/>
      </c>
      <c r="DT54" s="27" t="str">
        <f aca="false">IF(OR($DO54="",$DO54="No FRET",N($DQ54)&lt;=0,N(IF($AJ54="",51,$AJ54))&lt;=0),"",1/(1+($DQ54/IF($AJ54="",51,$AJ54))^6))</f>
        <v/>
      </c>
      <c r="DU54" s="27" t="str">
        <f aca="false">IF(OR($DO54="",$DO54="No FRET",N($DR54)&lt;=0,N(IF($AK54="",68,$AK54))&lt;=0),"",1/(1+($DR54/IF($AK54="",68,$AK54))^6))</f>
        <v/>
      </c>
      <c r="DV54" s="28" t="str">
        <f aca="false">IF(OR($A54="",N($DH54)&lt;=0),"",IF(IF($I54="",5000,$I54)&gt;0,$DH54/(IF($G54="",5000,$G54)*IF($H54="",5000,$H54)*IF($I54="",5000,$I54))/1E-024/6.022E+023/0.000000001,""))</f>
        <v/>
      </c>
      <c r="DW54" s="29" t="str">
        <f aca="false">IF(Calc!AE54=0,"",IF(Calc!AC54&gt;=1,"✖ saturated (B ≥ freq.)",IF(Calc!AC54&gt;0.1,"⚠ B &gt; 10% of freq.",IF(Calc!AC54=0,"⚠ no brightness",IF(Calc!AD54&gt;0.1,"⚠ step &gt; 10% of wr",IF(OR(AND(N($DK54)&gt;0,IF($O54="",1,$O54)&lt;3),AND(N($DJ54)&gt;0,IF($O54="",1,$O54)&lt;2)),"⚠ uses a colour above Colours = "&amp;IF($O54="",1,$O54)&amp;" (ignored)",IF(AND($DO54&lt;&gt;"",$DO54&lt;&gt;"No FRET",N(IF($O54="",1,$O54))&lt;2),"⚠ FRET needs ≥ 2 colours",IF(AND($DO54&lt;&gt;"",$DO54&lt;&gt;"No FRET",N($DP54)+N($DQ54)+N($DR54)=0),"⚠ FRET: set R","✔ OK"))))))))</f>
        <v/>
      </c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7" t="str">
        <f aca="false">IF(OR($EG54="",$EG54="No FRET",N($EH54)&lt;=0,N(IF($AI54="",63,$AI54))&lt;=0),"",1/(1+($EH54/IF($AI54="",63,$AI54))^6))</f>
        <v/>
      </c>
      <c r="EL54" s="27" t="str">
        <f aca="false">IF(OR($EG54="",$EG54="No FRET",N($EI54)&lt;=0,N(IF($AJ54="",51,$AJ54))&lt;=0),"",1/(1+($EI54/IF($AJ54="",51,$AJ54))^6))</f>
        <v/>
      </c>
      <c r="EM54" s="27" t="str">
        <f aca="false">IF(OR($EG54="",$EG54="No FRET",N($EJ54)&lt;=0,N(IF($AK54="",68,$AK54))&lt;=0),"",1/(1+($EJ54/IF($AK54="",68,$AK54))^6))</f>
        <v/>
      </c>
      <c r="EN54" s="28" t="str">
        <f aca="false">IF(OR($A54="",N($DZ54)&lt;=0),"",IF(IF($I54="",5000,$I54)&gt;0,$DZ54/(IF($G54="",5000,$G54)*IF($H54="",5000,$H54)*IF($I54="",5000,$I54))/1E-024/6.022E+023/0.000000001,""))</f>
        <v/>
      </c>
      <c r="EO54" s="29" t="str">
        <f aca="false">IF(Calc!AK54=0,"",IF(Calc!AI54&gt;=1,"✖ saturated (B ≥ freq.)",IF(Calc!AI54&gt;0.1,"⚠ B &gt; 10% of freq.",IF(Calc!AI54=0,"⚠ no brightness",IF(Calc!AJ54&gt;0.1,"⚠ step &gt; 10% of wr",IF(OR(AND(N($EC54)&gt;0,IF($O54="",1,$O54)&lt;3),AND(N($EB54)&gt;0,IF($O54="",1,$O54)&lt;2)),"⚠ uses a colour above Colours = "&amp;IF($O54="",1,$O54)&amp;" (ignored)",IF(AND($EG54&lt;&gt;"",$EG54&lt;&gt;"No FRET",N(IF($O54="",1,$O54))&lt;2),"⚠ FRET needs ≥ 2 colours",IF(AND($EG54&lt;&gt;"",$EG54&lt;&gt;"No FRET",N($EH54)+N($EI54)+N($EJ54)=0),"⚠ FRET: set R","✔ OK"))))))))</f>
        <v/>
      </c>
      <c r="EP54" s="30" t="str">
        <f aca="false">IF($A54="","",SUM(Calc!G54,Calc!M54,Calc!S54,Calc!Y54,Calc!AE54,Calc!AK54))</f>
        <v/>
      </c>
      <c r="EQ54" s="30" t="str">
        <f aca="false">IF($A54="","",N($AN54)+N($BF54)+N($BX54)+N($CP54)+N($DH54)+N($DZ54))</f>
        <v/>
      </c>
      <c r="ER54" s="31" t="str">
        <f aca="false">IF($A54="","",SUM(Calc!B54,Calc!H54,Calc!N54,Calc!T54,Calc!Z54,Calc!AF54))</f>
        <v/>
      </c>
      <c r="ES54" s="31" t="str">
        <f aca="false">IF($A54="","",SUM(Calc!C54,Calc!I54,Calc!O54,Calc!U54,Calc!AA54,Calc!AG54))</f>
        <v/>
      </c>
      <c r="ET54" s="31" t="str">
        <f aca="false">IF($A54="","",SUM(Calc!D54,Calc!J54,Calc!P54,Calc!V54,Calc!AB54,Calc!AH54))</f>
        <v/>
      </c>
      <c r="EU54" s="27" t="str">
        <f aca="false">IF($A54="","",($ER54+$ES54+$ET54+IF($P54="Yes",N($Q54)*N(IF($O54="",1,$O54)),0))*1000*IF($K54="",10,$K54)/1000000)</f>
        <v/>
      </c>
      <c r="EV54" s="28" t="str">
        <f aca="false">IF($A54="","",$EU54*1000000*12/1000000000)</f>
        <v/>
      </c>
      <c r="EW54" s="32" t="str">
        <f aca="false">IF($A54="","",IF($EP54=0,"⚠ no species entered",IF(((LEFT($BC54,1)="✖")+(LEFT($BU54,1)="✖")+(LEFT($CM54,1)="✖")+(LEFT($DE54,1)="✖")+(LEFT($DW54,1)="✖")+(LEFT($EO54,1)="✖"))&gt;0,"✖ "&amp;((LEFT($BC54,1)="✖")+(LEFT($BU54,1)="✖")+(LEFT($CM54,1)="✖")+(LEFT($DE54,1)="✖")+(LEFT($DW54,1)="✖")+(LEFT($EO54,1)="✖"))&amp;" species saturated - see the species checks",IF(MIN(IF($G54="",5000,$G54),IF($H54="",5000,$H54))&lt;8*MAX(IF($T54="",200,$T54),IF($U54="",200,$U54),IF($V54="",200,$V54)),"⚠ box too small laterally (&lt; 8·wr)",IF(AND(IF($I54="",5000,$I54)&gt;0,IF($I54="",5000,$I54)&lt;3*MAX(IF($W54="",1000,$W54),IF($X54="",1000,$X54),IF($Y54="",1000,$Y54))),"⚠ box too small axially (&lt; 3·wz)",IF($EV54&gt;8,"⚠ &gt; 8 GB per file: shorten the duration and use several files",IF(((LEFT($BC54,1)="⚠")+(LEFT($BU54,1)="⚠")+(LEFT($CM54,1)="⚠")+(LEFT($DE54,1)="⚠")+(LEFT($DW54,1)="⚠")+(LEFT($EO54,1)="⚠"))&gt;0,"⚠ "&amp;((LEFT($BC54,1)="⚠")+(LEFT($BU54,1)="⚠")+(LEFT($CM54,1)="⚠")+(LEFT($DE54,1)="⚠")+(LEFT($DW54,1)="⚠")+(LEFT($EO54,1)="⚠"))&amp;" species with a warning","✔ OK")))))))</f>
        <v/>
      </c>
      <c r="EX54" s="25"/>
      <c r="EY54" s="25"/>
      <c r="EZ54" s="25"/>
      <c r="FA54" s="25"/>
      <c r="FB54" s="25"/>
      <c r="FC54" s="25"/>
      <c r="FD54" s="25"/>
      <c r="FE54" s="26"/>
    </row>
    <row r="55" customFormat="false" ht="15" hidden="false" customHeight="false" outlineLevel="0" collapsed="false">
      <c r="A55" s="25"/>
      <c r="B55" s="25"/>
      <c r="C55" s="26"/>
      <c r="D55" s="26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7" t="str">
        <f aca="false">IF(OR($AU55="",$AU55="No FRET",N($AV55)&lt;=0,N(IF($AI55="",63,$AI55))&lt;=0),"",1/(1+($AV55/IF($AI55="",63,$AI55))^6))</f>
        <v/>
      </c>
      <c r="AZ55" s="27" t="str">
        <f aca="false">IF(OR($AU55="",$AU55="No FRET",N($AW55)&lt;=0,N(IF($AJ55="",51,$AJ55))&lt;=0),"",1/(1+($AW55/IF($AJ55="",51,$AJ55))^6))</f>
        <v/>
      </c>
      <c r="BA55" s="27" t="str">
        <f aca="false">IF(OR($AU55="",$AU55="No FRET",N($AX55)&lt;=0,N(IF($AK55="",68,$AK55))&lt;=0),"",1/(1+($AX55/IF($AK55="",68,$AK55))^6))</f>
        <v/>
      </c>
      <c r="BB55" s="28" t="str">
        <f aca="false">IF(OR($A55="",N($AN55)&lt;=0),"",IF(IF($I55="",5000,$I55)&gt;0,$AN55/(IF($G55="",5000,$G55)*IF($H55="",5000,$H55)*IF($I55="",5000,$I55))/1E-024/6.022E+023/0.000000001,""))</f>
        <v/>
      </c>
      <c r="BC55" s="29" t="str">
        <f aca="false">IF(Calc!G55=0,"",IF(Calc!E55&gt;=1,"✖ saturated (B ≥ freq.)",IF(Calc!E55&gt;0.1,"⚠ B &gt; 10% of freq.",IF(Calc!E55=0,"⚠ no brightness",IF(Calc!F55&gt;0.1,"⚠ step &gt; 10% of wr",IF(OR(AND(N($AQ55)&gt;0,IF($O55="",1,$O55)&lt;3),AND(N($AP55)&gt;0,IF($O55="",1,$O55)&lt;2)),"⚠ uses a colour above Colours = "&amp;IF($O55="",1,$O55)&amp;" (ignored)",IF(AND($AU55&lt;&gt;"",$AU55&lt;&gt;"No FRET",N(IF($O55="",1,$O55))&lt;2),"⚠ FRET needs ≥ 2 colours",IF(AND($AU55&lt;&gt;"",$AU55&lt;&gt;"No FRET",N($AV55)+N($AW55)+N($AX55)=0),"⚠ FRET: set R","✔ OK"))))))))</f>
        <v/>
      </c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7" t="str">
        <f aca="false">IF(OR($BM55="",$BM55="No FRET",N($BN55)&lt;=0,N(IF($AI55="",63,$AI55))&lt;=0),"",1/(1+($BN55/IF($AI55="",63,$AI55))^6))</f>
        <v/>
      </c>
      <c r="BR55" s="27" t="str">
        <f aca="false">IF(OR($BM55="",$BM55="No FRET",N($BO55)&lt;=0,N(IF($AJ55="",51,$AJ55))&lt;=0),"",1/(1+($BO55/IF($AJ55="",51,$AJ55))^6))</f>
        <v/>
      </c>
      <c r="BS55" s="27" t="str">
        <f aca="false">IF(OR($BM55="",$BM55="No FRET",N($BP55)&lt;=0,N(IF($AK55="",68,$AK55))&lt;=0),"",1/(1+($BP55/IF($AK55="",68,$AK55))^6))</f>
        <v/>
      </c>
      <c r="BT55" s="28" t="str">
        <f aca="false">IF(OR($A55="",N($BF55)&lt;=0),"",IF(IF($I55="",5000,$I55)&gt;0,$BF55/(IF($G55="",5000,$G55)*IF($H55="",5000,$H55)*IF($I55="",5000,$I55))/1E-024/6.022E+023/0.000000001,""))</f>
        <v/>
      </c>
      <c r="BU55" s="29" t="str">
        <f aca="false">IF(Calc!M55=0,"",IF(Calc!K55&gt;=1,"✖ saturated (B ≥ freq.)",IF(Calc!K55&gt;0.1,"⚠ B &gt; 10% of freq.",IF(Calc!K55=0,"⚠ no brightness",IF(Calc!L55&gt;0.1,"⚠ step &gt; 10% of wr",IF(OR(AND(N($BI55)&gt;0,IF($O55="",1,$O55)&lt;3),AND(N($BH55)&gt;0,IF($O55="",1,$O55)&lt;2)),"⚠ uses a colour above Colours = "&amp;IF($O55="",1,$O55)&amp;" (ignored)",IF(AND($BM55&lt;&gt;"",$BM55&lt;&gt;"No FRET",N(IF($O55="",1,$O55))&lt;2),"⚠ FRET needs ≥ 2 colours",IF(AND($BM55&lt;&gt;"",$BM55&lt;&gt;"No FRET",N($BN55)+N($BO55)+N($BP55)=0),"⚠ FRET: set R","✔ OK"))))))))</f>
        <v/>
      </c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7" t="str">
        <f aca="false">IF(OR($CE55="",$CE55="No FRET",N($CF55)&lt;=0,N(IF($AI55="",63,$AI55))&lt;=0),"",1/(1+($CF55/IF($AI55="",63,$AI55))^6))</f>
        <v/>
      </c>
      <c r="CJ55" s="27" t="str">
        <f aca="false">IF(OR($CE55="",$CE55="No FRET",N($CG55)&lt;=0,N(IF($AJ55="",51,$AJ55))&lt;=0),"",1/(1+($CG55/IF($AJ55="",51,$AJ55))^6))</f>
        <v/>
      </c>
      <c r="CK55" s="27" t="str">
        <f aca="false">IF(OR($CE55="",$CE55="No FRET",N($CH55)&lt;=0,N(IF($AK55="",68,$AK55))&lt;=0),"",1/(1+($CH55/IF($AK55="",68,$AK55))^6))</f>
        <v/>
      </c>
      <c r="CL55" s="28" t="str">
        <f aca="false">IF(OR($A55="",N($BX55)&lt;=0),"",IF(IF($I55="",5000,$I55)&gt;0,$BX55/(IF($G55="",5000,$G55)*IF($H55="",5000,$H55)*IF($I55="",5000,$I55))/1E-024/6.022E+023/0.000000001,""))</f>
        <v/>
      </c>
      <c r="CM55" s="29" t="str">
        <f aca="false">IF(Calc!S55=0,"",IF(Calc!Q55&gt;=1,"✖ saturated (B ≥ freq.)",IF(Calc!Q55&gt;0.1,"⚠ B &gt; 10% of freq.",IF(Calc!Q55=0,"⚠ no brightness",IF(Calc!R55&gt;0.1,"⚠ step &gt; 10% of wr",IF(OR(AND(N($CA55)&gt;0,IF($O55="",1,$O55)&lt;3),AND(N($BZ55)&gt;0,IF($O55="",1,$O55)&lt;2)),"⚠ uses a colour above Colours = "&amp;IF($O55="",1,$O55)&amp;" (ignored)",IF(AND($CE55&lt;&gt;"",$CE55&lt;&gt;"No FRET",N(IF($O55="",1,$O55))&lt;2),"⚠ FRET needs ≥ 2 colours",IF(AND($CE55&lt;&gt;"",$CE55&lt;&gt;"No FRET",N($CF55)+N($CG55)+N($CH55)=0),"⚠ FRET: set R","✔ OK"))))))))</f>
        <v/>
      </c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7" t="str">
        <f aca="false">IF(OR($CW55="",$CW55="No FRET",N($CX55)&lt;=0,N(IF($AI55="",63,$AI55))&lt;=0),"",1/(1+($CX55/IF($AI55="",63,$AI55))^6))</f>
        <v/>
      </c>
      <c r="DB55" s="27" t="str">
        <f aca="false">IF(OR($CW55="",$CW55="No FRET",N($CY55)&lt;=0,N(IF($AJ55="",51,$AJ55))&lt;=0),"",1/(1+($CY55/IF($AJ55="",51,$AJ55))^6))</f>
        <v/>
      </c>
      <c r="DC55" s="27" t="str">
        <f aca="false">IF(OR($CW55="",$CW55="No FRET",N($CZ55)&lt;=0,N(IF($AK55="",68,$AK55))&lt;=0),"",1/(1+($CZ55/IF($AK55="",68,$AK55))^6))</f>
        <v/>
      </c>
      <c r="DD55" s="28" t="str">
        <f aca="false">IF(OR($A55="",N($CP55)&lt;=0),"",IF(IF($I55="",5000,$I55)&gt;0,$CP55/(IF($G55="",5000,$G55)*IF($H55="",5000,$H55)*IF($I55="",5000,$I55))/1E-024/6.022E+023/0.000000001,""))</f>
        <v/>
      </c>
      <c r="DE55" s="29" t="str">
        <f aca="false">IF(Calc!Y55=0,"",IF(Calc!W55&gt;=1,"✖ saturated (B ≥ freq.)",IF(Calc!W55&gt;0.1,"⚠ B &gt; 10% of freq.",IF(Calc!W55=0,"⚠ no brightness",IF(Calc!X55&gt;0.1,"⚠ step &gt; 10% of wr",IF(OR(AND(N($CS55)&gt;0,IF($O55="",1,$O55)&lt;3),AND(N($CR55)&gt;0,IF($O55="",1,$O55)&lt;2)),"⚠ uses a colour above Colours = "&amp;IF($O55="",1,$O55)&amp;" (ignored)",IF(AND($CW55&lt;&gt;"",$CW55&lt;&gt;"No FRET",N(IF($O55="",1,$O55))&lt;2),"⚠ FRET needs ≥ 2 colours",IF(AND($CW55&lt;&gt;"",$CW55&lt;&gt;"No FRET",N($CX55)+N($CY55)+N($CZ55)=0),"⚠ FRET: set R","✔ OK"))))))))</f>
        <v/>
      </c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7" t="str">
        <f aca="false">IF(OR($DO55="",$DO55="No FRET",N($DP55)&lt;=0,N(IF($AI55="",63,$AI55))&lt;=0),"",1/(1+($DP55/IF($AI55="",63,$AI55))^6))</f>
        <v/>
      </c>
      <c r="DT55" s="27" t="str">
        <f aca="false">IF(OR($DO55="",$DO55="No FRET",N($DQ55)&lt;=0,N(IF($AJ55="",51,$AJ55))&lt;=0),"",1/(1+($DQ55/IF($AJ55="",51,$AJ55))^6))</f>
        <v/>
      </c>
      <c r="DU55" s="27" t="str">
        <f aca="false">IF(OR($DO55="",$DO55="No FRET",N($DR55)&lt;=0,N(IF($AK55="",68,$AK55))&lt;=0),"",1/(1+($DR55/IF($AK55="",68,$AK55))^6))</f>
        <v/>
      </c>
      <c r="DV55" s="28" t="str">
        <f aca="false">IF(OR($A55="",N($DH55)&lt;=0),"",IF(IF($I55="",5000,$I55)&gt;0,$DH55/(IF($G55="",5000,$G55)*IF($H55="",5000,$H55)*IF($I55="",5000,$I55))/1E-024/6.022E+023/0.000000001,""))</f>
        <v/>
      </c>
      <c r="DW55" s="29" t="str">
        <f aca="false">IF(Calc!AE55=0,"",IF(Calc!AC55&gt;=1,"✖ saturated (B ≥ freq.)",IF(Calc!AC55&gt;0.1,"⚠ B &gt; 10% of freq.",IF(Calc!AC55=0,"⚠ no brightness",IF(Calc!AD55&gt;0.1,"⚠ step &gt; 10% of wr",IF(OR(AND(N($DK55)&gt;0,IF($O55="",1,$O55)&lt;3),AND(N($DJ55)&gt;0,IF($O55="",1,$O55)&lt;2)),"⚠ uses a colour above Colours = "&amp;IF($O55="",1,$O55)&amp;" (ignored)",IF(AND($DO55&lt;&gt;"",$DO55&lt;&gt;"No FRET",N(IF($O55="",1,$O55))&lt;2),"⚠ FRET needs ≥ 2 colours",IF(AND($DO55&lt;&gt;"",$DO55&lt;&gt;"No FRET",N($DP55)+N($DQ55)+N($DR55)=0),"⚠ FRET: set R","✔ OK"))))))))</f>
        <v/>
      </c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7" t="str">
        <f aca="false">IF(OR($EG55="",$EG55="No FRET",N($EH55)&lt;=0,N(IF($AI55="",63,$AI55))&lt;=0),"",1/(1+($EH55/IF($AI55="",63,$AI55))^6))</f>
        <v/>
      </c>
      <c r="EL55" s="27" t="str">
        <f aca="false">IF(OR($EG55="",$EG55="No FRET",N($EI55)&lt;=0,N(IF($AJ55="",51,$AJ55))&lt;=0),"",1/(1+($EI55/IF($AJ55="",51,$AJ55))^6))</f>
        <v/>
      </c>
      <c r="EM55" s="27" t="str">
        <f aca="false">IF(OR($EG55="",$EG55="No FRET",N($EJ55)&lt;=0,N(IF($AK55="",68,$AK55))&lt;=0),"",1/(1+($EJ55/IF($AK55="",68,$AK55))^6))</f>
        <v/>
      </c>
      <c r="EN55" s="28" t="str">
        <f aca="false">IF(OR($A55="",N($DZ55)&lt;=0),"",IF(IF($I55="",5000,$I55)&gt;0,$DZ55/(IF($G55="",5000,$G55)*IF($H55="",5000,$H55)*IF($I55="",5000,$I55))/1E-024/6.022E+023/0.000000001,""))</f>
        <v/>
      </c>
      <c r="EO55" s="29" t="str">
        <f aca="false">IF(Calc!AK55=0,"",IF(Calc!AI55&gt;=1,"✖ saturated (B ≥ freq.)",IF(Calc!AI55&gt;0.1,"⚠ B &gt; 10% of freq.",IF(Calc!AI55=0,"⚠ no brightness",IF(Calc!AJ55&gt;0.1,"⚠ step &gt; 10% of wr",IF(OR(AND(N($EC55)&gt;0,IF($O55="",1,$O55)&lt;3),AND(N($EB55)&gt;0,IF($O55="",1,$O55)&lt;2)),"⚠ uses a colour above Colours = "&amp;IF($O55="",1,$O55)&amp;" (ignored)",IF(AND($EG55&lt;&gt;"",$EG55&lt;&gt;"No FRET",N(IF($O55="",1,$O55))&lt;2),"⚠ FRET needs ≥ 2 colours",IF(AND($EG55&lt;&gt;"",$EG55&lt;&gt;"No FRET",N($EH55)+N($EI55)+N($EJ55)=0),"⚠ FRET: set R","✔ OK"))))))))</f>
        <v/>
      </c>
      <c r="EP55" s="30" t="str">
        <f aca="false">IF($A55="","",SUM(Calc!G55,Calc!M55,Calc!S55,Calc!Y55,Calc!AE55,Calc!AK55))</f>
        <v/>
      </c>
      <c r="EQ55" s="30" t="str">
        <f aca="false">IF($A55="","",N($AN55)+N($BF55)+N($BX55)+N($CP55)+N($DH55)+N($DZ55))</f>
        <v/>
      </c>
      <c r="ER55" s="31" t="str">
        <f aca="false">IF($A55="","",SUM(Calc!B55,Calc!H55,Calc!N55,Calc!T55,Calc!Z55,Calc!AF55))</f>
        <v/>
      </c>
      <c r="ES55" s="31" t="str">
        <f aca="false">IF($A55="","",SUM(Calc!C55,Calc!I55,Calc!O55,Calc!U55,Calc!AA55,Calc!AG55))</f>
        <v/>
      </c>
      <c r="ET55" s="31" t="str">
        <f aca="false">IF($A55="","",SUM(Calc!D55,Calc!J55,Calc!P55,Calc!V55,Calc!AB55,Calc!AH55))</f>
        <v/>
      </c>
      <c r="EU55" s="27" t="str">
        <f aca="false">IF($A55="","",($ER55+$ES55+$ET55+IF($P55="Yes",N($Q55)*N(IF($O55="",1,$O55)),0))*1000*IF($K55="",10,$K55)/1000000)</f>
        <v/>
      </c>
      <c r="EV55" s="28" t="str">
        <f aca="false">IF($A55="","",$EU55*1000000*12/1000000000)</f>
        <v/>
      </c>
      <c r="EW55" s="32" t="str">
        <f aca="false">IF($A55="","",IF($EP55=0,"⚠ no species entered",IF(((LEFT($BC55,1)="✖")+(LEFT($BU55,1)="✖")+(LEFT($CM55,1)="✖")+(LEFT($DE55,1)="✖")+(LEFT($DW55,1)="✖")+(LEFT($EO55,1)="✖"))&gt;0,"✖ "&amp;((LEFT($BC55,1)="✖")+(LEFT($BU55,1)="✖")+(LEFT($CM55,1)="✖")+(LEFT($DE55,1)="✖")+(LEFT($DW55,1)="✖")+(LEFT($EO55,1)="✖"))&amp;" species saturated - see the species checks",IF(MIN(IF($G55="",5000,$G55),IF($H55="",5000,$H55))&lt;8*MAX(IF($T55="",200,$T55),IF($U55="",200,$U55),IF($V55="",200,$V55)),"⚠ box too small laterally (&lt; 8·wr)",IF(AND(IF($I55="",5000,$I55)&gt;0,IF($I55="",5000,$I55)&lt;3*MAX(IF($W55="",1000,$W55),IF($X55="",1000,$X55),IF($Y55="",1000,$Y55))),"⚠ box too small axially (&lt; 3·wz)",IF($EV55&gt;8,"⚠ &gt; 8 GB per file: shorten the duration and use several files",IF(((LEFT($BC55,1)="⚠")+(LEFT($BU55,1)="⚠")+(LEFT($CM55,1)="⚠")+(LEFT($DE55,1)="⚠")+(LEFT($DW55,1)="⚠")+(LEFT($EO55,1)="⚠"))&gt;0,"⚠ "&amp;((LEFT($BC55,1)="⚠")+(LEFT($BU55,1)="⚠")+(LEFT($CM55,1)="⚠")+(LEFT($DE55,1)="⚠")+(LEFT($DW55,1)="⚠")+(LEFT($EO55,1)="⚠"))&amp;" species with a warning","✔ OK")))))))</f>
        <v/>
      </c>
      <c r="EX55" s="25"/>
      <c r="EY55" s="25"/>
      <c r="EZ55" s="25"/>
      <c r="FA55" s="25"/>
      <c r="FB55" s="25"/>
      <c r="FC55" s="25"/>
      <c r="FD55" s="25"/>
      <c r="FE55" s="26"/>
    </row>
    <row r="56" customFormat="false" ht="15" hidden="false" customHeight="false" outlineLevel="0" collapsed="false">
      <c r="A56" s="25"/>
      <c r="B56" s="25"/>
      <c r="C56" s="26"/>
      <c r="D56" s="26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7" t="str">
        <f aca="false">IF(OR($AU56="",$AU56="No FRET",N($AV56)&lt;=0,N(IF($AI56="",63,$AI56))&lt;=0),"",1/(1+($AV56/IF($AI56="",63,$AI56))^6))</f>
        <v/>
      </c>
      <c r="AZ56" s="27" t="str">
        <f aca="false">IF(OR($AU56="",$AU56="No FRET",N($AW56)&lt;=0,N(IF($AJ56="",51,$AJ56))&lt;=0),"",1/(1+($AW56/IF($AJ56="",51,$AJ56))^6))</f>
        <v/>
      </c>
      <c r="BA56" s="27" t="str">
        <f aca="false">IF(OR($AU56="",$AU56="No FRET",N($AX56)&lt;=0,N(IF($AK56="",68,$AK56))&lt;=0),"",1/(1+($AX56/IF($AK56="",68,$AK56))^6))</f>
        <v/>
      </c>
      <c r="BB56" s="28" t="str">
        <f aca="false">IF(OR($A56="",N($AN56)&lt;=0),"",IF(IF($I56="",5000,$I56)&gt;0,$AN56/(IF($G56="",5000,$G56)*IF($H56="",5000,$H56)*IF($I56="",5000,$I56))/1E-024/6.022E+023/0.000000001,""))</f>
        <v/>
      </c>
      <c r="BC56" s="29" t="str">
        <f aca="false">IF(Calc!G56=0,"",IF(Calc!E56&gt;=1,"✖ saturated (B ≥ freq.)",IF(Calc!E56&gt;0.1,"⚠ B &gt; 10% of freq.",IF(Calc!E56=0,"⚠ no brightness",IF(Calc!F56&gt;0.1,"⚠ step &gt; 10% of wr",IF(OR(AND(N($AQ56)&gt;0,IF($O56="",1,$O56)&lt;3),AND(N($AP56)&gt;0,IF($O56="",1,$O56)&lt;2)),"⚠ uses a colour above Colours = "&amp;IF($O56="",1,$O56)&amp;" (ignored)",IF(AND($AU56&lt;&gt;"",$AU56&lt;&gt;"No FRET",N(IF($O56="",1,$O56))&lt;2),"⚠ FRET needs ≥ 2 colours",IF(AND($AU56&lt;&gt;"",$AU56&lt;&gt;"No FRET",N($AV56)+N($AW56)+N($AX56)=0),"⚠ FRET: set R","✔ OK"))))))))</f>
        <v/>
      </c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7" t="str">
        <f aca="false">IF(OR($BM56="",$BM56="No FRET",N($BN56)&lt;=0,N(IF($AI56="",63,$AI56))&lt;=0),"",1/(1+($BN56/IF($AI56="",63,$AI56))^6))</f>
        <v/>
      </c>
      <c r="BR56" s="27" t="str">
        <f aca="false">IF(OR($BM56="",$BM56="No FRET",N($BO56)&lt;=0,N(IF($AJ56="",51,$AJ56))&lt;=0),"",1/(1+($BO56/IF($AJ56="",51,$AJ56))^6))</f>
        <v/>
      </c>
      <c r="BS56" s="27" t="str">
        <f aca="false">IF(OR($BM56="",$BM56="No FRET",N($BP56)&lt;=0,N(IF($AK56="",68,$AK56))&lt;=0),"",1/(1+($BP56/IF($AK56="",68,$AK56))^6))</f>
        <v/>
      </c>
      <c r="BT56" s="28" t="str">
        <f aca="false">IF(OR($A56="",N($BF56)&lt;=0),"",IF(IF($I56="",5000,$I56)&gt;0,$BF56/(IF($G56="",5000,$G56)*IF($H56="",5000,$H56)*IF($I56="",5000,$I56))/1E-024/6.022E+023/0.000000001,""))</f>
        <v/>
      </c>
      <c r="BU56" s="29" t="str">
        <f aca="false">IF(Calc!M56=0,"",IF(Calc!K56&gt;=1,"✖ saturated (B ≥ freq.)",IF(Calc!K56&gt;0.1,"⚠ B &gt; 10% of freq.",IF(Calc!K56=0,"⚠ no brightness",IF(Calc!L56&gt;0.1,"⚠ step &gt; 10% of wr",IF(OR(AND(N($BI56)&gt;0,IF($O56="",1,$O56)&lt;3),AND(N($BH56)&gt;0,IF($O56="",1,$O56)&lt;2)),"⚠ uses a colour above Colours = "&amp;IF($O56="",1,$O56)&amp;" (ignored)",IF(AND($BM56&lt;&gt;"",$BM56&lt;&gt;"No FRET",N(IF($O56="",1,$O56))&lt;2),"⚠ FRET needs ≥ 2 colours",IF(AND($BM56&lt;&gt;"",$BM56&lt;&gt;"No FRET",N($BN56)+N($BO56)+N($BP56)=0),"⚠ FRET: set R","✔ OK"))))))))</f>
        <v/>
      </c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7" t="str">
        <f aca="false">IF(OR($CE56="",$CE56="No FRET",N($CF56)&lt;=0,N(IF($AI56="",63,$AI56))&lt;=0),"",1/(1+($CF56/IF($AI56="",63,$AI56))^6))</f>
        <v/>
      </c>
      <c r="CJ56" s="27" t="str">
        <f aca="false">IF(OR($CE56="",$CE56="No FRET",N($CG56)&lt;=0,N(IF($AJ56="",51,$AJ56))&lt;=0),"",1/(1+($CG56/IF($AJ56="",51,$AJ56))^6))</f>
        <v/>
      </c>
      <c r="CK56" s="27" t="str">
        <f aca="false">IF(OR($CE56="",$CE56="No FRET",N($CH56)&lt;=0,N(IF($AK56="",68,$AK56))&lt;=0),"",1/(1+($CH56/IF($AK56="",68,$AK56))^6))</f>
        <v/>
      </c>
      <c r="CL56" s="28" t="str">
        <f aca="false">IF(OR($A56="",N($BX56)&lt;=0),"",IF(IF($I56="",5000,$I56)&gt;0,$BX56/(IF($G56="",5000,$G56)*IF($H56="",5000,$H56)*IF($I56="",5000,$I56))/1E-024/6.022E+023/0.000000001,""))</f>
        <v/>
      </c>
      <c r="CM56" s="29" t="str">
        <f aca="false">IF(Calc!S56=0,"",IF(Calc!Q56&gt;=1,"✖ saturated (B ≥ freq.)",IF(Calc!Q56&gt;0.1,"⚠ B &gt; 10% of freq.",IF(Calc!Q56=0,"⚠ no brightness",IF(Calc!R56&gt;0.1,"⚠ step &gt; 10% of wr",IF(OR(AND(N($CA56)&gt;0,IF($O56="",1,$O56)&lt;3),AND(N($BZ56)&gt;0,IF($O56="",1,$O56)&lt;2)),"⚠ uses a colour above Colours = "&amp;IF($O56="",1,$O56)&amp;" (ignored)",IF(AND($CE56&lt;&gt;"",$CE56&lt;&gt;"No FRET",N(IF($O56="",1,$O56))&lt;2),"⚠ FRET needs ≥ 2 colours",IF(AND($CE56&lt;&gt;"",$CE56&lt;&gt;"No FRET",N($CF56)+N($CG56)+N($CH56)=0),"⚠ FRET: set R","✔ OK"))))))))</f>
        <v/>
      </c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7" t="str">
        <f aca="false">IF(OR($CW56="",$CW56="No FRET",N($CX56)&lt;=0,N(IF($AI56="",63,$AI56))&lt;=0),"",1/(1+($CX56/IF($AI56="",63,$AI56))^6))</f>
        <v/>
      </c>
      <c r="DB56" s="27" t="str">
        <f aca="false">IF(OR($CW56="",$CW56="No FRET",N($CY56)&lt;=0,N(IF($AJ56="",51,$AJ56))&lt;=0),"",1/(1+($CY56/IF($AJ56="",51,$AJ56))^6))</f>
        <v/>
      </c>
      <c r="DC56" s="27" t="str">
        <f aca="false">IF(OR($CW56="",$CW56="No FRET",N($CZ56)&lt;=0,N(IF($AK56="",68,$AK56))&lt;=0),"",1/(1+($CZ56/IF($AK56="",68,$AK56))^6))</f>
        <v/>
      </c>
      <c r="DD56" s="28" t="str">
        <f aca="false">IF(OR($A56="",N($CP56)&lt;=0),"",IF(IF($I56="",5000,$I56)&gt;0,$CP56/(IF($G56="",5000,$G56)*IF($H56="",5000,$H56)*IF($I56="",5000,$I56))/1E-024/6.022E+023/0.000000001,""))</f>
        <v/>
      </c>
      <c r="DE56" s="29" t="str">
        <f aca="false">IF(Calc!Y56=0,"",IF(Calc!W56&gt;=1,"✖ saturated (B ≥ freq.)",IF(Calc!W56&gt;0.1,"⚠ B &gt; 10% of freq.",IF(Calc!W56=0,"⚠ no brightness",IF(Calc!X56&gt;0.1,"⚠ step &gt; 10% of wr",IF(OR(AND(N($CS56)&gt;0,IF($O56="",1,$O56)&lt;3),AND(N($CR56)&gt;0,IF($O56="",1,$O56)&lt;2)),"⚠ uses a colour above Colours = "&amp;IF($O56="",1,$O56)&amp;" (ignored)",IF(AND($CW56&lt;&gt;"",$CW56&lt;&gt;"No FRET",N(IF($O56="",1,$O56))&lt;2),"⚠ FRET needs ≥ 2 colours",IF(AND($CW56&lt;&gt;"",$CW56&lt;&gt;"No FRET",N($CX56)+N($CY56)+N($CZ56)=0),"⚠ FRET: set R","✔ OK"))))))))</f>
        <v/>
      </c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7" t="str">
        <f aca="false">IF(OR($DO56="",$DO56="No FRET",N($DP56)&lt;=0,N(IF($AI56="",63,$AI56))&lt;=0),"",1/(1+($DP56/IF($AI56="",63,$AI56))^6))</f>
        <v/>
      </c>
      <c r="DT56" s="27" t="str">
        <f aca="false">IF(OR($DO56="",$DO56="No FRET",N($DQ56)&lt;=0,N(IF($AJ56="",51,$AJ56))&lt;=0),"",1/(1+($DQ56/IF($AJ56="",51,$AJ56))^6))</f>
        <v/>
      </c>
      <c r="DU56" s="27" t="str">
        <f aca="false">IF(OR($DO56="",$DO56="No FRET",N($DR56)&lt;=0,N(IF($AK56="",68,$AK56))&lt;=0),"",1/(1+($DR56/IF($AK56="",68,$AK56))^6))</f>
        <v/>
      </c>
      <c r="DV56" s="28" t="str">
        <f aca="false">IF(OR($A56="",N($DH56)&lt;=0),"",IF(IF($I56="",5000,$I56)&gt;0,$DH56/(IF($G56="",5000,$G56)*IF($H56="",5000,$H56)*IF($I56="",5000,$I56))/1E-024/6.022E+023/0.000000001,""))</f>
        <v/>
      </c>
      <c r="DW56" s="29" t="str">
        <f aca="false">IF(Calc!AE56=0,"",IF(Calc!AC56&gt;=1,"✖ saturated (B ≥ freq.)",IF(Calc!AC56&gt;0.1,"⚠ B &gt; 10% of freq.",IF(Calc!AC56=0,"⚠ no brightness",IF(Calc!AD56&gt;0.1,"⚠ step &gt; 10% of wr",IF(OR(AND(N($DK56)&gt;0,IF($O56="",1,$O56)&lt;3),AND(N($DJ56)&gt;0,IF($O56="",1,$O56)&lt;2)),"⚠ uses a colour above Colours = "&amp;IF($O56="",1,$O56)&amp;" (ignored)",IF(AND($DO56&lt;&gt;"",$DO56&lt;&gt;"No FRET",N(IF($O56="",1,$O56))&lt;2),"⚠ FRET needs ≥ 2 colours",IF(AND($DO56&lt;&gt;"",$DO56&lt;&gt;"No FRET",N($DP56)+N($DQ56)+N($DR56)=0),"⚠ FRET: set R","✔ OK"))))))))</f>
        <v/>
      </c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7" t="str">
        <f aca="false">IF(OR($EG56="",$EG56="No FRET",N($EH56)&lt;=0,N(IF($AI56="",63,$AI56))&lt;=0),"",1/(1+($EH56/IF($AI56="",63,$AI56))^6))</f>
        <v/>
      </c>
      <c r="EL56" s="27" t="str">
        <f aca="false">IF(OR($EG56="",$EG56="No FRET",N($EI56)&lt;=0,N(IF($AJ56="",51,$AJ56))&lt;=0),"",1/(1+($EI56/IF($AJ56="",51,$AJ56))^6))</f>
        <v/>
      </c>
      <c r="EM56" s="27" t="str">
        <f aca="false">IF(OR($EG56="",$EG56="No FRET",N($EJ56)&lt;=0,N(IF($AK56="",68,$AK56))&lt;=0),"",1/(1+($EJ56/IF($AK56="",68,$AK56))^6))</f>
        <v/>
      </c>
      <c r="EN56" s="28" t="str">
        <f aca="false">IF(OR($A56="",N($DZ56)&lt;=0),"",IF(IF($I56="",5000,$I56)&gt;0,$DZ56/(IF($G56="",5000,$G56)*IF($H56="",5000,$H56)*IF($I56="",5000,$I56))/1E-024/6.022E+023/0.000000001,""))</f>
        <v/>
      </c>
      <c r="EO56" s="29" t="str">
        <f aca="false">IF(Calc!AK56=0,"",IF(Calc!AI56&gt;=1,"✖ saturated (B ≥ freq.)",IF(Calc!AI56&gt;0.1,"⚠ B &gt; 10% of freq.",IF(Calc!AI56=0,"⚠ no brightness",IF(Calc!AJ56&gt;0.1,"⚠ step &gt; 10% of wr",IF(OR(AND(N($EC56)&gt;0,IF($O56="",1,$O56)&lt;3),AND(N($EB56)&gt;0,IF($O56="",1,$O56)&lt;2)),"⚠ uses a colour above Colours = "&amp;IF($O56="",1,$O56)&amp;" (ignored)",IF(AND($EG56&lt;&gt;"",$EG56&lt;&gt;"No FRET",N(IF($O56="",1,$O56))&lt;2),"⚠ FRET needs ≥ 2 colours",IF(AND($EG56&lt;&gt;"",$EG56&lt;&gt;"No FRET",N($EH56)+N($EI56)+N($EJ56)=0),"⚠ FRET: set R","✔ OK"))))))))</f>
        <v/>
      </c>
      <c r="EP56" s="30" t="str">
        <f aca="false">IF($A56="","",SUM(Calc!G56,Calc!M56,Calc!S56,Calc!Y56,Calc!AE56,Calc!AK56))</f>
        <v/>
      </c>
      <c r="EQ56" s="30" t="str">
        <f aca="false">IF($A56="","",N($AN56)+N($BF56)+N($BX56)+N($CP56)+N($DH56)+N($DZ56))</f>
        <v/>
      </c>
      <c r="ER56" s="31" t="str">
        <f aca="false">IF($A56="","",SUM(Calc!B56,Calc!H56,Calc!N56,Calc!T56,Calc!Z56,Calc!AF56))</f>
        <v/>
      </c>
      <c r="ES56" s="31" t="str">
        <f aca="false">IF($A56="","",SUM(Calc!C56,Calc!I56,Calc!O56,Calc!U56,Calc!AA56,Calc!AG56))</f>
        <v/>
      </c>
      <c r="ET56" s="31" t="str">
        <f aca="false">IF($A56="","",SUM(Calc!D56,Calc!J56,Calc!P56,Calc!V56,Calc!AB56,Calc!AH56))</f>
        <v/>
      </c>
      <c r="EU56" s="27" t="str">
        <f aca="false">IF($A56="","",($ER56+$ES56+$ET56+IF($P56="Yes",N($Q56)*N(IF($O56="",1,$O56)),0))*1000*IF($K56="",10,$K56)/1000000)</f>
        <v/>
      </c>
      <c r="EV56" s="28" t="str">
        <f aca="false">IF($A56="","",$EU56*1000000*12/1000000000)</f>
        <v/>
      </c>
      <c r="EW56" s="32" t="str">
        <f aca="false">IF($A56="","",IF($EP56=0,"⚠ no species entered",IF(((LEFT($BC56,1)="✖")+(LEFT($BU56,1)="✖")+(LEFT($CM56,1)="✖")+(LEFT($DE56,1)="✖")+(LEFT($DW56,1)="✖")+(LEFT($EO56,1)="✖"))&gt;0,"✖ "&amp;((LEFT($BC56,1)="✖")+(LEFT($BU56,1)="✖")+(LEFT($CM56,1)="✖")+(LEFT($DE56,1)="✖")+(LEFT($DW56,1)="✖")+(LEFT($EO56,1)="✖"))&amp;" species saturated - see the species checks",IF(MIN(IF($G56="",5000,$G56),IF($H56="",5000,$H56))&lt;8*MAX(IF($T56="",200,$T56),IF($U56="",200,$U56),IF($V56="",200,$V56)),"⚠ box too small laterally (&lt; 8·wr)",IF(AND(IF($I56="",5000,$I56)&gt;0,IF($I56="",5000,$I56)&lt;3*MAX(IF($W56="",1000,$W56),IF($X56="",1000,$X56),IF($Y56="",1000,$Y56))),"⚠ box too small axially (&lt; 3·wz)",IF($EV56&gt;8,"⚠ &gt; 8 GB per file: shorten the duration and use several files",IF(((LEFT($BC56,1)="⚠")+(LEFT($BU56,1)="⚠")+(LEFT($CM56,1)="⚠")+(LEFT($DE56,1)="⚠")+(LEFT($DW56,1)="⚠")+(LEFT($EO56,1)="⚠"))&gt;0,"⚠ "&amp;((LEFT($BC56,1)="⚠")+(LEFT($BU56,1)="⚠")+(LEFT($CM56,1)="⚠")+(LEFT($DE56,1)="⚠")+(LEFT($DW56,1)="⚠")+(LEFT($EO56,1)="⚠"))&amp;" species with a warning","✔ OK")))))))</f>
        <v/>
      </c>
      <c r="EX56" s="25"/>
      <c r="EY56" s="25"/>
      <c r="EZ56" s="25"/>
      <c r="FA56" s="25"/>
      <c r="FB56" s="25"/>
      <c r="FC56" s="25"/>
      <c r="FD56" s="25"/>
      <c r="FE56" s="26"/>
    </row>
    <row r="57" customFormat="false" ht="15" hidden="false" customHeight="false" outlineLevel="0" collapsed="false">
      <c r="A57" s="25"/>
      <c r="B57" s="25"/>
      <c r="C57" s="26"/>
      <c r="D57" s="26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7" t="str">
        <f aca="false">IF(OR($AU57="",$AU57="No FRET",N($AV57)&lt;=0,N(IF($AI57="",63,$AI57))&lt;=0),"",1/(1+($AV57/IF($AI57="",63,$AI57))^6))</f>
        <v/>
      </c>
      <c r="AZ57" s="27" t="str">
        <f aca="false">IF(OR($AU57="",$AU57="No FRET",N($AW57)&lt;=0,N(IF($AJ57="",51,$AJ57))&lt;=0),"",1/(1+($AW57/IF($AJ57="",51,$AJ57))^6))</f>
        <v/>
      </c>
      <c r="BA57" s="27" t="str">
        <f aca="false">IF(OR($AU57="",$AU57="No FRET",N($AX57)&lt;=0,N(IF($AK57="",68,$AK57))&lt;=0),"",1/(1+($AX57/IF($AK57="",68,$AK57))^6))</f>
        <v/>
      </c>
      <c r="BB57" s="28" t="str">
        <f aca="false">IF(OR($A57="",N($AN57)&lt;=0),"",IF(IF($I57="",5000,$I57)&gt;0,$AN57/(IF($G57="",5000,$G57)*IF($H57="",5000,$H57)*IF($I57="",5000,$I57))/1E-024/6.022E+023/0.000000001,""))</f>
        <v/>
      </c>
      <c r="BC57" s="29" t="str">
        <f aca="false">IF(Calc!G57=0,"",IF(Calc!E57&gt;=1,"✖ saturated (B ≥ freq.)",IF(Calc!E57&gt;0.1,"⚠ B &gt; 10% of freq.",IF(Calc!E57=0,"⚠ no brightness",IF(Calc!F57&gt;0.1,"⚠ step &gt; 10% of wr",IF(OR(AND(N($AQ57)&gt;0,IF($O57="",1,$O57)&lt;3),AND(N($AP57)&gt;0,IF($O57="",1,$O57)&lt;2)),"⚠ uses a colour above Colours = "&amp;IF($O57="",1,$O57)&amp;" (ignored)",IF(AND($AU57&lt;&gt;"",$AU57&lt;&gt;"No FRET",N(IF($O57="",1,$O57))&lt;2),"⚠ FRET needs ≥ 2 colours",IF(AND($AU57&lt;&gt;"",$AU57&lt;&gt;"No FRET",N($AV57)+N($AW57)+N($AX57)=0),"⚠ FRET: set R","✔ OK"))))))))</f>
        <v/>
      </c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7" t="str">
        <f aca="false">IF(OR($BM57="",$BM57="No FRET",N($BN57)&lt;=0,N(IF($AI57="",63,$AI57))&lt;=0),"",1/(1+($BN57/IF($AI57="",63,$AI57))^6))</f>
        <v/>
      </c>
      <c r="BR57" s="27" t="str">
        <f aca="false">IF(OR($BM57="",$BM57="No FRET",N($BO57)&lt;=0,N(IF($AJ57="",51,$AJ57))&lt;=0),"",1/(1+($BO57/IF($AJ57="",51,$AJ57))^6))</f>
        <v/>
      </c>
      <c r="BS57" s="27" t="str">
        <f aca="false">IF(OR($BM57="",$BM57="No FRET",N($BP57)&lt;=0,N(IF($AK57="",68,$AK57))&lt;=0),"",1/(1+($BP57/IF($AK57="",68,$AK57))^6))</f>
        <v/>
      </c>
      <c r="BT57" s="28" t="str">
        <f aca="false">IF(OR($A57="",N($BF57)&lt;=0),"",IF(IF($I57="",5000,$I57)&gt;0,$BF57/(IF($G57="",5000,$G57)*IF($H57="",5000,$H57)*IF($I57="",5000,$I57))/1E-024/6.022E+023/0.000000001,""))</f>
        <v/>
      </c>
      <c r="BU57" s="29" t="str">
        <f aca="false">IF(Calc!M57=0,"",IF(Calc!K57&gt;=1,"✖ saturated (B ≥ freq.)",IF(Calc!K57&gt;0.1,"⚠ B &gt; 10% of freq.",IF(Calc!K57=0,"⚠ no brightness",IF(Calc!L57&gt;0.1,"⚠ step &gt; 10% of wr",IF(OR(AND(N($BI57)&gt;0,IF($O57="",1,$O57)&lt;3),AND(N($BH57)&gt;0,IF($O57="",1,$O57)&lt;2)),"⚠ uses a colour above Colours = "&amp;IF($O57="",1,$O57)&amp;" (ignored)",IF(AND($BM57&lt;&gt;"",$BM57&lt;&gt;"No FRET",N(IF($O57="",1,$O57))&lt;2),"⚠ FRET needs ≥ 2 colours",IF(AND($BM57&lt;&gt;"",$BM57&lt;&gt;"No FRET",N($BN57)+N($BO57)+N($BP57)=0),"⚠ FRET: set R","✔ OK"))))))))</f>
        <v/>
      </c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7" t="str">
        <f aca="false">IF(OR($CE57="",$CE57="No FRET",N($CF57)&lt;=0,N(IF($AI57="",63,$AI57))&lt;=0),"",1/(1+($CF57/IF($AI57="",63,$AI57))^6))</f>
        <v/>
      </c>
      <c r="CJ57" s="27" t="str">
        <f aca="false">IF(OR($CE57="",$CE57="No FRET",N($CG57)&lt;=0,N(IF($AJ57="",51,$AJ57))&lt;=0),"",1/(1+($CG57/IF($AJ57="",51,$AJ57))^6))</f>
        <v/>
      </c>
      <c r="CK57" s="27" t="str">
        <f aca="false">IF(OR($CE57="",$CE57="No FRET",N($CH57)&lt;=0,N(IF($AK57="",68,$AK57))&lt;=0),"",1/(1+($CH57/IF($AK57="",68,$AK57))^6))</f>
        <v/>
      </c>
      <c r="CL57" s="28" t="str">
        <f aca="false">IF(OR($A57="",N($BX57)&lt;=0),"",IF(IF($I57="",5000,$I57)&gt;0,$BX57/(IF($G57="",5000,$G57)*IF($H57="",5000,$H57)*IF($I57="",5000,$I57))/1E-024/6.022E+023/0.000000001,""))</f>
        <v/>
      </c>
      <c r="CM57" s="29" t="str">
        <f aca="false">IF(Calc!S57=0,"",IF(Calc!Q57&gt;=1,"✖ saturated (B ≥ freq.)",IF(Calc!Q57&gt;0.1,"⚠ B &gt; 10% of freq.",IF(Calc!Q57=0,"⚠ no brightness",IF(Calc!R57&gt;0.1,"⚠ step &gt; 10% of wr",IF(OR(AND(N($CA57)&gt;0,IF($O57="",1,$O57)&lt;3),AND(N($BZ57)&gt;0,IF($O57="",1,$O57)&lt;2)),"⚠ uses a colour above Colours = "&amp;IF($O57="",1,$O57)&amp;" (ignored)",IF(AND($CE57&lt;&gt;"",$CE57&lt;&gt;"No FRET",N(IF($O57="",1,$O57))&lt;2),"⚠ FRET needs ≥ 2 colours",IF(AND($CE57&lt;&gt;"",$CE57&lt;&gt;"No FRET",N($CF57)+N($CG57)+N($CH57)=0),"⚠ FRET: set R","✔ OK"))))))))</f>
        <v/>
      </c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7" t="str">
        <f aca="false">IF(OR($CW57="",$CW57="No FRET",N($CX57)&lt;=0,N(IF($AI57="",63,$AI57))&lt;=0),"",1/(1+($CX57/IF($AI57="",63,$AI57))^6))</f>
        <v/>
      </c>
      <c r="DB57" s="27" t="str">
        <f aca="false">IF(OR($CW57="",$CW57="No FRET",N($CY57)&lt;=0,N(IF($AJ57="",51,$AJ57))&lt;=0),"",1/(1+($CY57/IF($AJ57="",51,$AJ57))^6))</f>
        <v/>
      </c>
      <c r="DC57" s="27" t="str">
        <f aca="false">IF(OR($CW57="",$CW57="No FRET",N($CZ57)&lt;=0,N(IF($AK57="",68,$AK57))&lt;=0),"",1/(1+($CZ57/IF($AK57="",68,$AK57))^6))</f>
        <v/>
      </c>
      <c r="DD57" s="28" t="str">
        <f aca="false">IF(OR($A57="",N($CP57)&lt;=0),"",IF(IF($I57="",5000,$I57)&gt;0,$CP57/(IF($G57="",5000,$G57)*IF($H57="",5000,$H57)*IF($I57="",5000,$I57))/1E-024/6.022E+023/0.000000001,""))</f>
        <v/>
      </c>
      <c r="DE57" s="29" t="str">
        <f aca="false">IF(Calc!Y57=0,"",IF(Calc!W57&gt;=1,"✖ saturated (B ≥ freq.)",IF(Calc!W57&gt;0.1,"⚠ B &gt; 10% of freq.",IF(Calc!W57=0,"⚠ no brightness",IF(Calc!X57&gt;0.1,"⚠ step &gt; 10% of wr",IF(OR(AND(N($CS57)&gt;0,IF($O57="",1,$O57)&lt;3),AND(N($CR57)&gt;0,IF($O57="",1,$O57)&lt;2)),"⚠ uses a colour above Colours = "&amp;IF($O57="",1,$O57)&amp;" (ignored)",IF(AND($CW57&lt;&gt;"",$CW57&lt;&gt;"No FRET",N(IF($O57="",1,$O57))&lt;2),"⚠ FRET needs ≥ 2 colours",IF(AND($CW57&lt;&gt;"",$CW57&lt;&gt;"No FRET",N($CX57)+N($CY57)+N($CZ57)=0),"⚠ FRET: set R","✔ OK"))))))))</f>
        <v/>
      </c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7" t="str">
        <f aca="false">IF(OR($DO57="",$DO57="No FRET",N($DP57)&lt;=0,N(IF($AI57="",63,$AI57))&lt;=0),"",1/(1+($DP57/IF($AI57="",63,$AI57))^6))</f>
        <v/>
      </c>
      <c r="DT57" s="27" t="str">
        <f aca="false">IF(OR($DO57="",$DO57="No FRET",N($DQ57)&lt;=0,N(IF($AJ57="",51,$AJ57))&lt;=0),"",1/(1+($DQ57/IF($AJ57="",51,$AJ57))^6))</f>
        <v/>
      </c>
      <c r="DU57" s="27" t="str">
        <f aca="false">IF(OR($DO57="",$DO57="No FRET",N($DR57)&lt;=0,N(IF($AK57="",68,$AK57))&lt;=0),"",1/(1+($DR57/IF($AK57="",68,$AK57))^6))</f>
        <v/>
      </c>
      <c r="DV57" s="28" t="str">
        <f aca="false">IF(OR($A57="",N($DH57)&lt;=0),"",IF(IF($I57="",5000,$I57)&gt;0,$DH57/(IF($G57="",5000,$G57)*IF($H57="",5000,$H57)*IF($I57="",5000,$I57))/1E-024/6.022E+023/0.000000001,""))</f>
        <v/>
      </c>
      <c r="DW57" s="29" t="str">
        <f aca="false">IF(Calc!AE57=0,"",IF(Calc!AC57&gt;=1,"✖ saturated (B ≥ freq.)",IF(Calc!AC57&gt;0.1,"⚠ B &gt; 10% of freq.",IF(Calc!AC57=0,"⚠ no brightness",IF(Calc!AD57&gt;0.1,"⚠ step &gt; 10% of wr",IF(OR(AND(N($DK57)&gt;0,IF($O57="",1,$O57)&lt;3),AND(N($DJ57)&gt;0,IF($O57="",1,$O57)&lt;2)),"⚠ uses a colour above Colours = "&amp;IF($O57="",1,$O57)&amp;" (ignored)",IF(AND($DO57&lt;&gt;"",$DO57&lt;&gt;"No FRET",N(IF($O57="",1,$O57))&lt;2),"⚠ FRET needs ≥ 2 colours",IF(AND($DO57&lt;&gt;"",$DO57&lt;&gt;"No FRET",N($DP57)+N($DQ57)+N($DR57)=0),"⚠ FRET: set R","✔ OK"))))))))</f>
        <v/>
      </c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7" t="str">
        <f aca="false">IF(OR($EG57="",$EG57="No FRET",N($EH57)&lt;=0,N(IF($AI57="",63,$AI57))&lt;=0),"",1/(1+($EH57/IF($AI57="",63,$AI57))^6))</f>
        <v/>
      </c>
      <c r="EL57" s="27" t="str">
        <f aca="false">IF(OR($EG57="",$EG57="No FRET",N($EI57)&lt;=0,N(IF($AJ57="",51,$AJ57))&lt;=0),"",1/(1+($EI57/IF($AJ57="",51,$AJ57))^6))</f>
        <v/>
      </c>
      <c r="EM57" s="27" t="str">
        <f aca="false">IF(OR($EG57="",$EG57="No FRET",N($EJ57)&lt;=0,N(IF($AK57="",68,$AK57))&lt;=0),"",1/(1+($EJ57/IF($AK57="",68,$AK57))^6))</f>
        <v/>
      </c>
      <c r="EN57" s="28" t="str">
        <f aca="false">IF(OR($A57="",N($DZ57)&lt;=0),"",IF(IF($I57="",5000,$I57)&gt;0,$DZ57/(IF($G57="",5000,$G57)*IF($H57="",5000,$H57)*IF($I57="",5000,$I57))/1E-024/6.022E+023/0.000000001,""))</f>
        <v/>
      </c>
      <c r="EO57" s="29" t="str">
        <f aca="false">IF(Calc!AK57=0,"",IF(Calc!AI57&gt;=1,"✖ saturated (B ≥ freq.)",IF(Calc!AI57&gt;0.1,"⚠ B &gt; 10% of freq.",IF(Calc!AI57=0,"⚠ no brightness",IF(Calc!AJ57&gt;0.1,"⚠ step &gt; 10% of wr",IF(OR(AND(N($EC57)&gt;0,IF($O57="",1,$O57)&lt;3),AND(N($EB57)&gt;0,IF($O57="",1,$O57)&lt;2)),"⚠ uses a colour above Colours = "&amp;IF($O57="",1,$O57)&amp;" (ignored)",IF(AND($EG57&lt;&gt;"",$EG57&lt;&gt;"No FRET",N(IF($O57="",1,$O57))&lt;2),"⚠ FRET needs ≥ 2 colours",IF(AND($EG57&lt;&gt;"",$EG57&lt;&gt;"No FRET",N($EH57)+N($EI57)+N($EJ57)=0),"⚠ FRET: set R","✔ OK"))))))))</f>
        <v/>
      </c>
      <c r="EP57" s="30" t="str">
        <f aca="false">IF($A57="","",SUM(Calc!G57,Calc!M57,Calc!S57,Calc!Y57,Calc!AE57,Calc!AK57))</f>
        <v/>
      </c>
      <c r="EQ57" s="30" t="str">
        <f aca="false">IF($A57="","",N($AN57)+N($BF57)+N($BX57)+N($CP57)+N($DH57)+N($DZ57))</f>
        <v/>
      </c>
      <c r="ER57" s="31" t="str">
        <f aca="false">IF($A57="","",SUM(Calc!B57,Calc!H57,Calc!N57,Calc!T57,Calc!Z57,Calc!AF57))</f>
        <v/>
      </c>
      <c r="ES57" s="31" t="str">
        <f aca="false">IF($A57="","",SUM(Calc!C57,Calc!I57,Calc!O57,Calc!U57,Calc!AA57,Calc!AG57))</f>
        <v/>
      </c>
      <c r="ET57" s="31" t="str">
        <f aca="false">IF($A57="","",SUM(Calc!D57,Calc!J57,Calc!P57,Calc!V57,Calc!AB57,Calc!AH57))</f>
        <v/>
      </c>
      <c r="EU57" s="27" t="str">
        <f aca="false">IF($A57="","",($ER57+$ES57+$ET57+IF($P57="Yes",N($Q57)*N(IF($O57="",1,$O57)),0))*1000*IF($K57="",10,$K57)/1000000)</f>
        <v/>
      </c>
      <c r="EV57" s="28" t="str">
        <f aca="false">IF($A57="","",$EU57*1000000*12/1000000000)</f>
        <v/>
      </c>
      <c r="EW57" s="32" t="str">
        <f aca="false">IF($A57="","",IF($EP57=0,"⚠ no species entered",IF(((LEFT($BC57,1)="✖")+(LEFT($BU57,1)="✖")+(LEFT($CM57,1)="✖")+(LEFT($DE57,1)="✖")+(LEFT($DW57,1)="✖")+(LEFT($EO57,1)="✖"))&gt;0,"✖ "&amp;((LEFT($BC57,1)="✖")+(LEFT($BU57,1)="✖")+(LEFT($CM57,1)="✖")+(LEFT($DE57,1)="✖")+(LEFT($DW57,1)="✖")+(LEFT($EO57,1)="✖"))&amp;" species saturated - see the species checks",IF(MIN(IF($G57="",5000,$G57),IF($H57="",5000,$H57))&lt;8*MAX(IF($T57="",200,$T57),IF($U57="",200,$U57),IF($V57="",200,$V57)),"⚠ box too small laterally (&lt; 8·wr)",IF(AND(IF($I57="",5000,$I57)&gt;0,IF($I57="",5000,$I57)&lt;3*MAX(IF($W57="",1000,$W57),IF($X57="",1000,$X57),IF($Y57="",1000,$Y57))),"⚠ box too small axially (&lt; 3·wz)",IF($EV57&gt;8,"⚠ &gt; 8 GB per file: shorten the duration and use several files",IF(((LEFT($BC57,1)="⚠")+(LEFT($BU57,1)="⚠")+(LEFT($CM57,1)="⚠")+(LEFT($DE57,1)="⚠")+(LEFT($DW57,1)="⚠")+(LEFT($EO57,1)="⚠"))&gt;0,"⚠ "&amp;((LEFT($BC57,1)="⚠")+(LEFT($BU57,1)="⚠")+(LEFT($CM57,1)="⚠")+(LEFT($DE57,1)="⚠")+(LEFT($DW57,1)="⚠")+(LEFT($EO57,1)="⚠"))&amp;" species with a warning","✔ OK")))))))</f>
        <v/>
      </c>
      <c r="EX57" s="25"/>
      <c r="EY57" s="25"/>
      <c r="EZ57" s="25"/>
      <c r="FA57" s="25"/>
      <c r="FB57" s="25"/>
      <c r="FC57" s="25"/>
      <c r="FD57" s="25"/>
      <c r="FE57" s="26"/>
    </row>
    <row r="58" customFormat="false" ht="15" hidden="false" customHeight="false" outlineLevel="0" collapsed="false">
      <c r="A58" s="25"/>
      <c r="B58" s="25"/>
      <c r="C58" s="26"/>
      <c r="D58" s="26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7" t="str">
        <f aca="false">IF(OR($AU58="",$AU58="No FRET",N($AV58)&lt;=0,N(IF($AI58="",63,$AI58))&lt;=0),"",1/(1+($AV58/IF($AI58="",63,$AI58))^6))</f>
        <v/>
      </c>
      <c r="AZ58" s="27" t="str">
        <f aca="false">IF(OR($AU58="",$AU58="No FRET",N($AW58)&lt;=0,N(IF($AJ58="",51,$AJ58))&lt;=0),"",1/(1+($AW58/IF($AJ58="",51,$AJ58))^6))</f>
        <v/>
      </c>
      <c r="BA58" s="27" t="str">
        <f aca="false">IF(OR($AU58="",$AU58="No FRET",N($AX58)&lt;=0,N(IF($AK58="",68,$AK58))&lt;=0),"",1/(1+($AX58/IF($AK58="",68,$AK58))^6))</f>
        <v/>
      </c>
      <c r="BB58" s="28" t="str">
        <f aca="false">IF(OR($A58="",N($AN58)&lt;=0),"",IF(IF($I58="",5000,$I58)&gt;0,$AN58/(IF($G58="",5000,$G58)*IF($H58="",5000,$H58)*IF($I58="",5000,$I58))/1E-024/6.022E+023/0.000000001,""))</f>
        <v/>
      </c>
      <c r="BC58" s="29" t="str">
        <f aca="false">IF(Calc!G58=0,"",IF(Calc!E58&gt;=1,"✖ saturated (B ≥ freq.)",IF(Calc!E58&gt;0.1,"⚠ B &gt; 10% of freq.",IF(Calc!E58=0,"⚠ no brightness",IF(Calc!F58&gt;0.1,"⚠ step &gt; 10% of wr",IF(OR(AND(N($AQ58)&gt;0,IF($O58="",1,$O58)&lt;3),AND(N($AP58)&gt;0,IF($O58="",1,$O58)&lt;2)),"⚠ uses a colour above Colours = "&amp;IF($O58="",1,$O58)&amp;" (ignored)",IF(AND($AU58&lt;&gt;"",$AU58&lt;&gt;"No FRET",N(IF($O58="",1,$O58))&lt;2),"⚠ FRET needs ≥ 2 colours",IF(AND($AU58&lt;&gt;"",$AU58&lt;&gt;"No FRET",N($AV58)+N($AW58)+N($AX58)=0),"⚠ FRET: set R","✔ OK"))))))))</f>
        <v/>
      </c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7" t="str">
        <f aca="false">IF(OR($BM58="",$BM58="No FRET",N($BN58)&lt;=0,N(IF($AI58="",63,$AI58))&lt;=0),"",1/(1+($BN58/IF($AI58="",63,$AI58))^6))</f>
        <v/>
      </c>
      <c r="BR58" s="27" t="str">
        <f aca="false">IF(OR($BM58="",$BM58="No FRET",N($BO58)&lt;=0,N(IF($AJ58="",51,$AJ58))&lt;=0),"",1/(1+($BO58/IF($AJ58="",51,$AJ58))^6))</f>
        <v/>
      </c>
      <c r="BS58" s="27" t="str">
        <f aca="false">IF(OR($BM58="",$BM58="No FRET",N($BP58)&lt;=0,N(IF($AK58="",68,$AK58))&lt;=0),"",1/(1+($BP58/IF($AK58="",68,$AK58))^6))</f>
        <v/>
      </c>
      <c r="BT58" s="28" t="str">
        <f aca="false">IF(OR($A58="",N($BF58)&lt;=0),"",IF(IF($I58="",5000,$I58)&gt;0,$BF58/(IF($G58="",5000,$G58)*IF($H58="",5000,$H58)*IF($I58="",5000,$I58))/1E-024/6.022E+023/0.000000001,""))</f>
        <v/>
      </c>
      <c r="BU58" s="29" t="str">
        <f aca="false">IF(Calc!M58=0,"",IF(Calc!K58&gt;=1,"✖ saturated (B ≥ freq.)",IF(Calc!K58&gt;0.1,"⚠ B &gt; 10% of freq.",IF(Calc!K58=0,"⚠ no brightness",IF(Calc!L58&gt;0.1,"⚠ step &gt; 10% of wr",IF(OR(AND(N($BI58)&gt;0,IF($O58="",1,$O58)&lt;3),AND(N($BH58)&gt;0,IF($O58="",1,$O58)&lt;2)),"⚠ uses a colour above Colours = "&amp;IF($O58="",1,$O58)&amp;" (ignored)",IF(AND($BM58&lt;&gt;"",$BM58&lt;&gt;"No FRET",N(IF($O58="",1,$O58))&lt;2),"⚠ FRET needs ≥ 2 colours",IF(AND($BM58&lt;&gt;"",$BM58&lt;&gt;"No FRET",N($BN58)+N($BO58)+N($BP58)=0),"⚠ FRET: set R","✔ OK"))))))))</f>
        <v/>
      </c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7" t="str">
        <f aca="false">IF(OR($CE58="",$CE58="No FRET",N($CF58)&lt;=0,N(IF($AI58="",63,$AI58))&lt;=0),"",1/(1+($CF58/IF($AI58="",63,$AI58))^6))</f>
        <v/>
      </c>
      <c r="CJ58" s="27" t="str">
        <f aca="false">IF(OR($CE58="",$CE58="No FRET",N($CG58)&lt;=0,N(IF($AJ58="",51,$AJ58))&lt;=0),"",1/(1+($CG58/IF($AJ58="",51,$AJ58))^6))</f>
        <v/>
      </c>
      <c r="CK58" s="27" t="str">
        <f aca="false">IF(OR($CE58="",$CE58="No FRET",N($CH58)&lt;=0,N(IF($AK58="",68,$AK58))&lt;=0),"",1/(1+($CH58/IF($AK58="",68,$AK58))^6))</f>
        <v/>
      </c>
      <c r="CL58" s="28" t="str">
        <f aca="false">IF(OR($A58="",N($BX58)&lt;=0),"",IF(IF($I58="",5000,$I58)&gt;0,$BX58/(IF($G58="",5000,$G58)*IF($H58="",5000,$H58)*IF($I58="",5000,$I58))/1E-024/6.022E+023/0.000000001,""))</f>
        <v/>
      </c>
      <c r="CM58" s="29" t="str">
        <f aca="false">IF(Calc!S58=0,"",IF(Calc!Q58&gt;=1,"✖ saturated (B ≥ freq.)",IF(Calc!Q58&gt;0.1,"⚠ B &gt; 10% of freq.",IF(Calc!Q58=0,"⚠ no brightness",IF(Calc!R58&gt;0.1,"⚠ step &gt; 10% of wr",IF(OR(AND(N($CA58)&gt;0,IF($O58="",1,$O58)&lt;3),AND(N($BZ58)&gt;0,IF($O58="",1,$O58)&lt;2)),"⚠ uses a colour above Colours = "&amp;IF($O58="",1,$O58)&amp;" (ignored)",IF(AND($CE58&lt;&gt;"",$CE58&lt;&gt;"No FRET",N(IF($O58="",1,$O58))&lt;2),"⚠ FRET needs ≥ 2 colours",IF(AND($CE58&lt;&gt;"",$CE58&lt;&gt;"No FRET",N($CF58)+N($CG58)+N($CH58)=0),"⚠ FRET: set R","✔ OK"))))))))</f>
        <v/>
      </c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7" t="str">
        <f aca="false">IF(OR($CW58="",$CW58="No FRET",N($CX58)&lt;=0,N(IF($AI58="",63,$AI58))&lt;=0),"",1/(1+($CX58/IF($AI58="",63,$AI58))^6))</f>
        <v/>
      </c>
      <c r="DB58" s="27" t="str">
        <f aca="false">IF(OR($CW58="",$CW58="No FRET",N($CY58)&lt;=0,N(IF($AJ58="",51,$AJ58))&lt;=0),"",1/(1+($CY58/IF($AJ58="",51,$AJ58))^6))</f>
        <v/>
      </c>
      <c r="DC58" s="27" t="str">
        <f aca="false">IF(OR($CW58="",$CW58="No FRET",N($CZ58)&lt;=0,N(IF($AK58="",68,$AK58))&lt;=0),"",1/(1+($CZ58/IF($AK58="",68,$AK58))^6))</f>
        <v/>
      </c>
      <c r="DD58" s="28" t="str">
        <f aca="false">IF(OR($A58="",N($CP58)&lt;=0),"",IF(IF($I58="",5000,$I58)&gt;0,$CP58/(IF($G58="",5000,$G58)*IF($H58="",5000,$H58)*IF($I58="",5000,$I58))/1E-024/6.022E+023/0.000000001,""))</f>
        <v/>
      </c>
      <c r="DE58" s="29" t="str">
        <f aca="false">IF(Calc!Y58=0,"",IF(Calc!W58&gt;=1,"✖ saturated (B ≥ freq.)",IF(Calc!W58&gt;0.1,"⚠ B &gt; 10% of freq.",IF(Calc!W58=0,"⚠ no brightness",IF(Calc!X58&gt;0.1,"⚠ step &gt; 10% of wr",IF(OR(AND(N($CS58)&gt;0,IF($O58="",1,$O58)&lt;3),AND(N($CR58)&gt;0,IF($O58="",1,$O58)&lt;2)),"⚠ uses a colour above Colours = "&amp;IF($O58="",1,$O58)&amp;" (ignored)",IF(AND($CW58&lt;&gt;"",$CW58&lt;&gt;"No FRET",N(IF($O58="",1,$O58))&lt;2),"⚠ FRET needs ≥ 2 colours",IF(AND($CW58&lt;&gt;"",$CW58&lt;&gt;"No FRET",N($CX58)+N($CY58)+N($CZ58)=0),"⚠ FRET: set R","✔ OK"))))))))</f>
        <v/>
      </c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7" t="str">
        <f aca="false">IF(OR($DO58="",$DO58="No FRET",N($DP58)&lt;=0,N(IF($AI58="",63,$AI58))&lt;=0),"",1/(1+($DP58/IF($AI58="",63,$AI58))^6))</f>
        <v/>
      </c>
      <c r="DT58" s="27" t="str">
        <f aca="false">IF(OR($DO58="",$DO58="No FRET",N($DQ58)&lt;=0,N(IF($AJ58="",51,$AJ58))&lt;=0),"",1/(1+($DQ58/IF($AJ58="",51,$AJ58))^6))</f>
        <v/>
      </c>
      <c r="DU58" s="27" t="str">
        <f aca="false">IF(OR($DO58="",$DO58="No FRET",N($DR58)&lt;=0,N(IF($AK58="",68,$AK58))&lt;=0),"",1/(1+($DR58/IF($AK58="",68,$AK58))^6))</f>
        <v/>
      </c>
      <c r="DV58" s="28" t="str">
        <f aca="false">IF(OR($A58="",N($DH58)&lt;=0),"",IF(IF($I58="",5000,$I58)&gt;0,$DH58/(IF($G58="",5000,$G58)*IF($H58="",5000,$H58)*IF($I58="",5000,$I58))/1E-024/6.022E+023/0.000000001,""))</f>
        <v/>
      </c>
      <c r="DW58" s="29" t="str">
        <f aca="false">IF(Calc!AE58=0,"",IF(Calc!AC58&gt;=1,"✖ saturated (B ≥ freq.)",IF(Calc!AC58&gt;0.1,"⚠ B &gt; 10% of freq.",IF(Calc!AC58=0,"⚠ no brightness",IF(Calc!AD58&gt;0.1,"⚠ step &gt; 10% of wr",IF(OR(AND(N($DK58)&gt;0,IF($O58="",1,$O58)&lt;3),AND(N($DJ58)&gt;0,IF($O58="",1,$O58)&lt;2)),"⚠ uses a colour above Colours = "&amp;IF($O58="",1,$O58)&amp;" (ignored)",IF(AND($DO58&lt;&gt;"",$DO58&lt;&gt;"No FRET",N(IF($O58="",1,$O58))&lt;2),"⚠ FRET needs ≥ 2 colours",IF(AND($DO58&lt;&gt;"",$DO58&lt;&gt;"No FRET",N($DP58)+N($DQ58)+N($DR58)=0),"⚠ FRET: set R","✔ OK"))))))))</f>
        <v/>
      </c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7" t="str">
        <f aca="false">IF(OR($EG58="",$EG58="No FRET",N($EH58)&lt;=0,N(IF($AI58="",63,$AI58))&lt;=0),"",1/(1+($EH58/IF($AI58="",63,$AI58))^6))</f>
        <v/>
      </c>
      <c r="EL58" s="27" t="str">
        <f aca="false">IF(OR($EG58="",$EG58="No FRET",N($EI58)&lt;=0,N(IF($AJ58="",51,$AJ58))&lt;=0),"",1/(1+($EI58/IF($AJ58="",51,$AJ58))^6))</f>
        <v/>
      </c>
      <c r="EM58" s="27" t="str">
        <f aca="false">IF(OR($EG58="",$EG58="No FRET",N($EJ58)&lt;=0,N(IF($AK58="",68,$AK58))&lt;=0),"",1/(1+($EJ58/IF($AK58="",68,$AK58))^6))</f>
        <v/>
      </c>
      <c r="EN58" s="28" t="str">
        <f aca="false">IF(OR($A58="",N($DZ58)&lt;=0),"",IF(IF($I58="",5000,$I58)&gt;0,$DZ58/(IF($G58="",5000,$G58)*IF($H58="",5000,$H58)*IF($I58="",5000,$I58))/1E-024/6.022E+023/0.000000001,""))</f>
        <v/>
      </c>
      <c r="EO58" s="29" t="str">
        <f aca="false">IF(Calc!AK58=0,"",IF(Calc!AI58&gt;=1,"✖ saturated (B ≥ freq.)",IF(Calc!AI58&gt;0.1,"⚠ B &gt; 10% of freq.",IF(Calc!AI58=0,"⚠ no brightness",IF(Calc!AJ58&gt;0.1,"⚠ step &gt; 10% of wr",IF(OR(AND(N($EC58)&gt;0,IF($O58="",1,$O58)&lt;3),AND(N($EB58)&gt;0,IF($O58="",1,$O58)&lt;2)),"⚠ uses a colour above Colours = "&amp;IF($O58="",1,$O58)&amp;" (ignored)",IF(AND($EG58&lt;&gt;"",$EG58&lt;&gt;"No FRET",N(IF($O58="",1,$O58))&lt;2),"⚠ FRET needs ≥ 2 colours",IF(AND($EG58&lt;&gt;"",$EG58&lt;&gt;"No FRET",N($EH58)+N($EI58)+N($EJ58)=0),"⚠ FRET: set R","✔ OK"))))))))</f>
        <v/>
      </c>
      <c r="EP58" s="30" t="str">
        <f aca="false">IF($A58="","",SUM(Calc!G58,Calc!M58,Calc!S58,Calc!Y58,Calc!AE58,Calc!AK58))</f>
        <v/>
      </c>
      <c r="EQ58" s="30" t="str">
        <f aca="false">IF($A58="","",N($AN58)+N($BF58)+N($BX58)+N($CP58)+N($DH58)+N($DZ58))</f>
        <v/>
      </c>
      <c r="ER58" s="31" t="str">
        <f aca="false">IF($A58="","",SUM(Calc!B58,Calc!H58,Calc!N58,Calc!T58,Calc!Z58,Calc!AF58))</f>
        <v/>
      </c>
      <c r="ES58" s="31" t="str">
        <f aca="false">IF($A58="","",SUM(Calc!C58,Calc!I58,Calc!O58,Calc!U58,Calc!AA58,Calc!AG58))</f>
        <v/>
      </c>
      <c r="ET58" s="31" t="str">
        <f aca="false">IF($A58="","",SUM(Calc!D58,Calc!J58,Calc!P58,Calc!V58,Calc!AB58,Calc!AH58))</f>
        <v/>
      </c>
      <c r="EU58" s="27" t="str">
        <f aca="false">IF($A58="","",($ER58+$ES58+$ET58+IF($P58="Yes",N($Q58)*N(IF($O58="",1,$O58)),0))*1000*IF($K58="",10,$K58)/1000000)</f>
        <v/>
      </c>
      <c r="EV58" s="28" t="str">
        <f aca="false">IF($A58="","",$EU58*1000000*12/1000000000)</f>
        <v/>
      </c>
      <c r="EW58" s="32" t="str">
        <f aca="false">IF($A58="","",IF($EP58=0,"⚠ no species entered",IF(((LEFT($BC58,1)="✖")+(LEFT($BU58,1)="✖")+(LEFT($CM58,1)="✖")+(LEFT($DE58,1)="✖")+(LEFT($DW58,1)="✖")+(LEFT($EO58,1)="✖"))&gt;0,"✖ "&amp;((LEFT($BC58,1)="✖")+(LEFT($BU58,1)="✖")+(LEFT($CM58,1)="✖")+(LEFT($DE58,1)="✖")+(LEFT($DW58,1)="✖")+(LEFT($EO58,1)="✖"))&amp;" species saturated - see the species checks",IF(MIN(IF($G58="",5000,$G58),IF($H58="",5000,$H58))&lt;8*MAX(IF($T58="",200,$T58),IF($U58="",200,$U58),IF($V58="",200,$V58)),"⚠ box too small laterally (&lt; 8·wr)",IF(AND(IF($I58="",5000,$I58)&gt;0,IF($I58="",5000,$I58)&lt;3*MAX(IF($W58="",1000,$W58),IF($X58="",1000,$X58),IF($Y58="",1000,$Y58))),"⚠ box too small axially (&lt; 3·wz)",IF($EV58&gt;8,"⚠ &gt; 8 GB per file: shorten the duration and use several files",IF(((LEFT($BC58,1)="⚠")+(LEFT($BU58,1)="⚠")+(LEFT($CM58,1)="⚠")+(LEFT($DE58,1)="⚠")+(LEFT($DW58,1)="⚠")+(LEFT($EO58,1)="⚠"))&gt;0,"⚠ "&amp;((LEFT($BC58,1)="⚠")+(LEFT($BU58,1)="⚠")+(LEFT($CM58,1)="⚠")+(LEFT($DE58,1)="⚠")+(LEFT($DW58,1)="⚠")+(LEFT($EO58,1)="⚠"))&amp;" species with a warning","✔ OK")))))))</f>
        <v/>
      </c>
      <c r="EX58" s="25"/>
      <c r="EY58" s="25"/>
      <c r="EZ58" s="25"/>
      <c r="FA58" s="25"/>
      <c r="FB58" s="25"/>
      <c r="FC58" s="25"/>
      <c r="FD58" s="25"/>
      <c r="FE58" s="26"/>
    </row>
    <row r="59" customFormat="false" ht="15" hidden="false" customHeight="false" outlineLevel="0" collapsed="false">
      <c r="A59" s="25"/>
      <c r="B59" s="25"/>
      <c r="C59" s="26"/>
      <c r="D59" s="26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7" t="str">
        <f aca="false">IF(OR($AU59="",$AU59="No FRET",N($AV59)&lt;=0,N(IF($AI59="",63,$AI59))&lt;=0),"",1/(1+($AV59/IF($AI59="",63,$AI59))^6))</f>
        <v/>
      </c>
      <c r="AZ59" s="27" t="str">
        <f aca="false">IF(OR($AU59="",$AU59="No FRET",N($AW59)&lt;=0,N(IF($AJ59="",51,$AJ59))&lt;=0),"",1/(1+($AW59/IF($AJ59="",51,$AJ59))^6))</f>
        <v/>
      </c>
      <c r="BA59" s="27" t="str">
        <f aca="false">IF(OR($AU59="",$AU59="No FRET",N($AX59)&lt;=0,N(IF($AK59="",68,$AK59))&lt;=0),"",1/(1+($AX59/IF($AK59="",68,$AK59))^6))</f>
        <v/>
      </c>
      <c r="BB59" s="28" t="str">
        <f aca="false">IF(OR($A59="",N($AN59)&lt;=0),"",IF(IF($I59="",5000,$I59)&gt;0,$AN59/(IF($G59="",5000,$G59)*IF($H59="",5000,$H59)*IF($I59="",5000,$I59))/1E-024/6.022E+023/0.000000001,""))</f>
        <v/>
      </c>
      <c r="BC59" s="29" t="str">
        <f aca="false">IF(Calc!G59=0,"",IF(Calc!E59&gt;=1,"✖ saturated (B ≥ freq.)",IF(Calc!E59&gt;0.1,"⚠ B &gt; 10% of freq.",IF(Calc!E59=0,"⚠ no brightness",IF(Calc!F59&gt;0.1,"⚠ step &gt; 10% of wr",IF(OR(AND(N($AQ59)&gt;0,IF($O59="",1,$O59)&lt;3),AND(N($AP59)&gt;0,IF($O59="",1,$O59)&lt;2)),"⚠ uses a colour above Colours = "&amp;IF($O59="",1,$O59)&amp;" (ignored)",IF(AND($AU59&lt;&gt;"",$AU59&lt;&gt;"No FRET",N(IF($O59="",1,$O59))&lt;2),"⚠ FRET needs ≥ 2 colours",IF(AND($AU59&lt;&gt;"",$AU59&lt;&gt;"No FRET",N($AV59)+N($AW59)+N($AX59)=0),"⚠ FRET: set R","✔ OK"))))))))</f>
        <v/>
      </c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7" t="str">
        <f aca="false">IF(OR($BM59="",$BM59="No FRET",N($BN59)&lt;=0,N(IF($AI59="",63,$AI59))&lt;=0),"",1/(1+($BN59/IF($AI59="",63,$AI59))^6))</f>
        <v/>
      </c>
      <c r="BR59" s="27" t="str">
        <f aca="false">IF(OR($BM59="",$BM59="No FRET",N($BO59)&lt;=0,N(IF($AJ59="",51,$AJ59))&lt;=0),"",1/(1+($BO59/IF($AJ59="",51,$AJ59))^6))</f>
        <v/>
      </c>
      <c r="BS59" s="27" t="str">
        <f aca="false">IF(OR($BM59="",$BM59="No FRET",N($BP59)&lt;=0,N(IF($AK59="",68,$AK59))&lt;=0),"",1/(1+($BP59/IF($AK59="",68,$AK59))^6))</f>
        <v/>
      </c>
      <c r="BT59" s="28" t="str">
        <f aca="false">IF(OR($A59="",N($BF59)&lt;=0),"",IF(IF($I59="",5000,$I59)&gt;0,$BF59/(IF($G59="",5000,$G59)*IF($H59="",5000,$H59)*IF($I59="",5000,$I59))/1E-024/6.022E+023/0.000000001,""))</f>
        <v/>
      </c>
      <c r="BU59" s="29" t="str">
        <f aca="false">IF(Calc!M59=0,"",IF(Calc!K59&gt;=1,"✖ saturated (B ≥ freq.)",IF(Calc!K59&gt;0.1,"⚠ B &gt; 10% of freq.",IF(Calc!K59=0,"⚠ no brightness",IF(Calc!L59&gt;0.1,"⚠ step &gt; 10% of wr",IF(OR(AND(N($BI59)&gt;0,IF($O59="",1,$O59)&lt;3),AND(N($BH59)&gt;0,IF($O59="",1,$O59)&lt;2)),"⚠ uses a colour above Colours = "&amp;IF($O59="",1,$O59)&amp;" (ignored)",IF(AND($BM59&lt;&gt;"",$BM59&lt;&gt;"No FRET",N(IF($O59="",1,$O59))&lt;2),"⚠ FRET needs ≥ 2 colours",IF(AND($BM59&lt;&gt;"",$BM59&lt;&gt;"No FRET",N($BN59)+N($BO59)+N($BP59)=0),"⚠ FRET: set R","✔ OK"))))))))</f>
        <v/>
      </c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7" t="str">
        <f aca="false">IF(OR($CE59="",$CE59="No FRET",N($CF59)&lt;=0,N(IF($AI59="",63,$AI59))&lt;=0),"",1/(1+($CF59/IF($AI59="",63,$AI59))^6))</f>
        <v/>
      </c>
      <c r="CJ59" s="27" t="str">
        <f aca="false">IF(OR($CE59="",$CE59="No FRET",N($CG59)&lt;=0,N(IF($AJ59="",51,$AJ59))&lt;=0),"",1/(1+($CG59/IF($AJ59="",51,$AJ59))^6))</f>
        <v/>
      </c>
      <c r="CK59" s="27" t="str">
        <f aca="false">IF(OR($CE59="",$CE59="No FRET",N($CH59)&lt;=0,N(IF($AK59="",68,$AK59))&lt;=0),"",1/(1+($CH59/IF($AK59="",68,$AK59))^6))</f>
        <v/>
      </c>
      <c r="CL59" s="28" t="str">
        <f aca="false">IF(OR($A59="",N($BX59)&lt;=0),"",IF(IF($I59="",5000,$I59)&gt;0,$BX59/(IF($G59="",5000,$G59)*IF($H59="",5000,$H59)*IF($I59="",5000,$I59))/1E-024/6.022E+023/0.000000001,""))</f>
        <v/>
      </c>
      <c r="CM59" s="29" t="str">
        <f aca="false">IF(Calc!S59=0,"",IF(Calc!Q59&gt;=1,"✖ saturated (B ≥ freq.)",IF(Calc!Q59&gt;0.1,"⚠ B &gt; 10% of freq.",IF(Calc!Q59=0,"⚠ no brightness",IF(Calc!R59&gt;0.1,"⚠ step &gt; 10% of wr",IF(OR(AND(N($CA59)&gt;0,IF($O59="",1,$O59)&lt;3),AND(N($BZ59)&gt;0,IF($O59="",1,$O59)&lt;2)),"⚠ uses a colour above Colours = "&amp;IF($O59="",1,$O59)&amp;" (ignored)",IF(AND($CE59&lt;&gt;"",$CE59&lt;&gt;"No FRET",N(IF($O59="",1,$O59))&lt;2),"⚠ FRET needs ≥ 2 colours",IF(AND($CE59&lt;&gt;"",$CE59&lt;&gt;"No FRET",N($CF59)+N($CG59)+N($CH59)=0),"⚠ FRET: set R","✔ OK"))))))))</f>
        <v/>
      </c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7" t="str">
        <f aca="false">IF(OR($CW59="",$CW59="No FRET",N($CX59)&lt;=0,N(IF($AI59="",63,$AI59))&lt;=0),"",1/(1+($CX59/IF($AI59="",63,$AI59))^6))</f>
        <v/>
      </c>
      <c r="DB59" s="27" t="str">
        <f aca="false">IF(OR($CW59="",$CW59="No FRET",N($CY59)&lt;=0,N(IF($AJ59="",51,$AJ59))&lt;=0),"",1/(1+($CY59/IF($AJ59="",51,$AJ59))^6))</f>
        <v/>
      </c>
      <c r="DC59" s="27" t="str">
        <f aca="false">IF(OR($CW59="",$CW59="No FRET",N($CZ59)&lt;=0,N(IF($AK59="",68,$AK59))&lt;=0),"",1/(1+($CZ59/IF($AK59="",68,$AK59))^6))</f>
        <v/>
      </c>
      <c r="DD59" s="28" t="str">
        <f aca="false">IF(OR($A59="",N($CP59)&lt;=0),"",IF(IF($I59="",5000,$I59)&gt;0,$CP59/(IF($G59="",5000,$G59)*IF($H59="",5000,$H59)*IF($I59="",5000,$I59))/1E-024/6.022E+023/0.000000001,""))</f>
        <v/>
      </c>
      <c r="DE59" s="29" t="str">
        <f aca="false">IF(Calc!Y59=0,"",IF(Calc!W59&gt;=1,"✖ saturated (B ≥ freq.)",IF(Calc!W59&gt;0.1,"⚠ B &gt; 10% of freq.",IF(Calc!W59=0,"⚠ no brightness",IF(Calc!X59&gt;0.1,"⚠ step &gt; 10% of wr",IF(OR(AND(N($CS59)&gt;0,IF($O59="",1,$O59)&lt;3),AND(N($CR59)&gt;0,IF($O59="",1,$O59)&lt;2)),"⚠ uses a colour above Colours = "&amp;IF($O59="",1,$O59)&amp;" (ignored)",IF(AND($CW59&lt;&gt;"",$CW59&lt;&gt;"No FRET",N(IF($O59="",1,$O59))&lt;2),"⚠ FRET needs ≥ 2 colours",IF(AND($CW59&lt;&gt;"",$CW59&lt;&gt;"No FRET",N($CX59)+N($CY59)+N($CZ59)=0),"⚠ FRET: set R","✔ OK"))))))))</f>
        <v/>
      </c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7" t="str">
        <f aca="false">IF(OR($DO59="",$DO59="No FRET",N($DP59)&lt;=0,N(IF($AI59="",63,$AI59))&lt;=0),"",1/(1+($DP59/IF($AI59="",63,$AI59))^6))</f>
        <v/>
      </c>
      <c r="DT59" s="27" t="str">
        <f aca="false">IF(OR($DO59="",$DO59="No FRET",N($DQ59)&lt;=0,N(IF($AJ59="",51,$AJ59))&lt;=0),"",1/(1+($DQ59/IF($AJ59="",51,$AJ59))^6))</f>
        <v/>
      </c>
      <c r="DU59" s="27" t="str">
        <f aca="false">IF(OR($DO59="",$DO59="No FRET",N($DR59)&lt;=0,N(IF($AK59="",68,$AK59))&lt;=0),"",1/(1+($DR59/IF($AK59="",68,$AK59))^6))</f>
        <v/>
      </c>
      <c r="DV59" s="28" t="str">
        <f aca="false">IF(OR($A59="",N($DH59)&lt;=0),"",IF(IF($I59="",5000,$I59)&gt;0,$DH59/(IF($G59="",5000,$G59)*IF($H59="",5000,$H59)*IF($I59="",5000,$I59))/1E-024/6.022E+023/0.000000001,""))</f>
        <v/>
      </c>
      <c r="DW59" s="29" t="str">
        <f aca="false">IF(Calc!AE59=0,"",IF(Calc!AC59&gt;=1,"✖ saturated (B ≥ freq.)",IF(Calc!AC59&gt;0.1,"⚠ B &gt; 10% of freq.",IF(Calc!AC59=0,"⚠ no brightness",IF(Calc!AD59&gt;0.1,"⚠ step &gt; 10% of wr",IF(OR(AND(N($DK59)&gt;0,IF($O59="",1,$O59)&lt;3),AND(N($DJ59)&gt;0,IF($O59="",1,$O59)&lt;2)),"⚠ uses a colour above Colours = "&amp;IF($O59="",1,$O59)&amp;" (ignored)",IF(AND($DO59&lt;&gt;"",$DO59&lt;&gt;"No FRET",N(IF($O59="",1,$O59))&lt;2),"⚠ FRET needs ≥ 2 colours",IF(AND($DO59&lt;&gt;"",$DO59&lt;&gt;"No FRET",N($DP59)+N($DQ59)+N($DR59)=0),"⚠ FRET: set R","✔ OK"))))))))</f>
        <v/>
      </c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7" t="str">
        <f aca="false">IF(OR($EG59="",$EG59="No FRET",N($EH59)&lt;=0,N(IF($AI59="",63,$AI59))&lt;=0),"",1/(1+($EH59/IF($AI59="",63,$AI59))^6))</f>
        <v/>
      </c>
      <c r="EL59" s="27" t="str">
        <f aca="false">IF(OR($EG59="",$EG59="No FRET",N($EI59)&lt;=0,N(IF($AJ59="",51,$AJ59))&lt;=0),"",1/(1+($EI59/IF($AJ59="",51,$AJ59))^6))</f>
        <v/>
      </c>
      <c r="EM59" s="27" t="str">
        <f aca="false">IF(OR($EG59="",$EG59="No FRET",N($EJ59)&lt;=0,N(IF($AK59="",68,$AK59))&lt;=0),"",1/(1+($EJ59/IF($AK59="",68,$AK59))^6))</f>
        <v/>
      </c>
      <c r="EN59" s="28" t="str">
        <f aca="false">IF(OR($A59="",N($DZ59)&lt;=0),"",IF(IF($I59="",5000,$I59)&gt;0,$DZ59/(IF($G59="",5000,$G59)*IF($H59="",5000,$H59)*IF($I59="",5000,$I59))/1E-024/6.022E+023/0.000000001,""))</f>
        <v/>
      </c>
      <c r="EO59" s="29" t="str">
        <f aca="false">IF(Calc!AK59=0,"",IF(Calc!AI59&gt;=1,"✖ saturated (B ≥ freq.)",IF(Calc!AI59&gt;0.1,"⚠ B &gt; 10% of freq.",IF(Calc!AI59=0,"⚠ no brightness",IF(Calc!AJ59&gt;0.1,"⚠ step &gt; 10% of wr",IF(OR(AND(N($EC59)&gt;0,IF($O59="",1,$O59)&lt;3),AND(N($EB59)&gt;0,IF($O59="",1,$O59)&lt;2)),"⚠ uses a colour above Colours = "&amp;IF($O59="",1,$O59)&amp;" (ignored)",IF(AND($EG59&lt;&gt;"",$EG59&lt;&gt;"No FRET",N(IF($O59="",1,$O59))&lt;2),"⚠ FRET needs ≥ 2 colours",IF(AND($EG59&lt;&gt;"",$EG59&lt;&gt;"No FRET",N($EH59)+N($EI59)+N($EJ59)=0),"⚠ FRET: set R","✔ OK"))))))))</f>
        <v/>
      </c>
      <c r="EP59" s="30" t="str">
        <f aca="false">IF($A59="","",SUM(Calc!G59,Calc!M59,Calc!S59,Calc!Y59,Calc!AE59,Calc!AK59))</f>
        <v/>
      </c>
      <c r="EQ59" s="30" t="str">
        <f aca="false">IF($A59="","",N($AN59)+N($BF59)+N($BX59)+N($CP59)+N($DH59)+N($DZ59))</f>
        <v/>
      </c>
      <c r="ER59" s="31" t="str">
        <f aca="false">IF($A59="","",SUM(Calc!B59,Calc!H59,Calc!N59,Calc!T59,Calc!Z59,Calc!AF59))</f>
        <v/>
      </c>
      <c r="ES59" s="31" t="str">
        <f aca="false">IF($A59="","",SUM(Calc!C59,Calc!I59,Calc!O59,Calc!U59,Calc!AA59,Calc!AG59))</f>
        <v/>
      </c>
      <c r="ET59" s="31" t="str">
        <f aca="false">IF($A59="","",SUM(Calc!D59,Calc!J59,Calc!P59,Calc!V59,Calc!AB59,Calc!AH59))</f>
        <v/>
      </c>
      <c r="EU59" s="27" t="str">
        <f aca="false">IF($A59="","",($ER59+$ES59+$ET59+IF($P59="Yes",N($Q59)*N(IF($O59="",1,$O59)),0))*1000*IF($K59="",10,$K59)/1000000)</f>
        <v/>
      </c>
      <c r="EV59" s="28" t="str">
        <f aca="false">IF($A59="","",$EU59*1000000*12/1000000000)</f>
        <v/>
      </c>
      <c r="EW59" s="32" t="str">
        <f aca="false">IF($A59="","",IF($EP59=0,"⚠ no species entered",IF(((LEFT($BC59,1)="✖")+(LEFT($BU59,1)="✖")+(LEFT($CM59,1)="✖")+(LEFT($DE59,1)="✖")+(LEFT($DW59,1)="✖")+(LEFT($EO59,1)="✖"))&gt;0,"✖ "&amp;((LEFT($BC59,1)="✖")+(LEFT($BU59,1)="✖")+(LEFT($CM59,1)="✖")+(LEFT($DE59,1)="✖")+(LEFT($DW59,1)="✖")+(LEFT($EO59,1)="✖"))&amp;" species saturated - see the species checks",IF(MIN(IF($G59="",5000,$G59),IF($H59="",5000,$H59))&lt;8*MAX(IF($T59="",200,$T59),IF($U59="",200,$U59),IF($V59="",200,$V59)),"⚠ box too small laterally (&lt; 8·wr)",IF(AND(IF($I59="",5000,$I59)&gt;0,IF($I59="",5000,$I59)&lt;3*MAX(IF($W59="",1000,$W59),IF($X59="",1000,$X59),IF($Y59="",1000,$Y59))),"⚠ box too small axially (&lt; 3·wz)",IF($EV59&gt;8,"⚠ &gt; 8 GB per file: shorten the duration and use several files",IF(((LEFT($BC59,1)="⚠")+(LEFT($BU59,1)="⚠")+(LEFT($CM59,1)="⚠")+(LEFT($DE59,1)="⚠")+(LEFT($DW59,1)="⚠")+(LEFT($EO59,1)="⚠"))&gt;0,"⚠ "&amp;((LEFT($BC59,1)="⚠")+(LEFT($BU59,1)="⚠")+(LEFT($CM59,1)="⚠")+(LEFT($DE59,1)="⚠")+(LEFT($DW59,1)="⚠")+(LEFT($EO59,1)="⚠"))&amp;" species with a warning","✔ OK")))))))</f>
        <v/>
      </c>
      <c r="EX59" s="25"/>
      <c r="EY59" s="25"/>
      <c r="EZ59" s="25"/>
      <c r="FA59" s="25"/>
      <c r="FB59" s="25"/>
      <c r="FC59" s="25"/>
      <c r="FD59" s="25"/>
      <c r="FE59" s="26"/>
    </row>
    <row r="60" customFormat="false" ht="15" hidden="false" customHeight="false" outlineLevel="0" collapsed="false">
      <c r="A60" s="25"/>
      <c r="B60" s="25"/>
      <c r="C60" s="26"/>
      <c r="D60" s="26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7" t="str">
        <f aca="false">IF(OR($AU60="",$AU60="No FRET",N($AV60)&lt;=0,N(IF($AI60="",63,$AI60))&lt;=0),"",1/(1+($AV60/IF($AI60="",63,$AI60))^6))</f>
        <v/>
      </c>
      <c r="AZ60" s="27" t="str">
        <f aca="false">IF(OR($AU60="",$AU60="No FRET",N($AW60)&lt;=0,N(IF($AJ60="",51,$AJ60))&lt;=0),"",1/(1+($AW60/IF($AJ60="",51,$AJ60))^6))</f>
        <v/>
      </c>
      <c r="BA60" s="27" t="str">
        <f aca="false">IF(OR($AU60="",$AU60="No FRET",N($AX60)&lt;=0,N(IF($AK60="",68,$AK60))&lt;=0),"",1/(1+($AX60/IF($AK60="",68,$AK60))^6))</f>
        <v/>
      </c>
      <c r="BB60" s="28" t="str">
        <f aca="false">IF(OR($A60="",N($AN60)&lt;=0),"",IF(IF($I60="",5000,$I60)&gt;0,$AN60/(IF($G60="",5000,$G60)*IF($H60="",5000,$H60)*IF($I60="",5000,$I60))/1E-024/6.022E+023/0.000000001,""))</f>
        <v/>
      </c>
      <c r="BC60" s="29" t="str">
        <f aca="false">IF(Calc!G60=0,"",IF(Calc!E60&gt;=1,"✖ saturated (B ≥ freq.)",IF(Calc!E60&gt;0.1,"⚠ B &gt; 10% of freq.",IF(Calc!E60=0,"⚠ no brightness",IF(Calc!F60&gt;0.1,"⚠ step &gt; 10% of wr",IF(OR(AND(N($AQ60)&gt;0,IF($O60="",1,$O60)&lt;3),AND(N($AP60)&gt;0,IF($O60="",1,$O60)&lt;2)),"⚠ uses a colour above Colours = "&amp;IF($O60="",1,$O60)&amp;" (ignored)",IF(AND($AU60&lt;&gt;"",$AU60&lt;&gt;"No FRET",N(IF($O60="",1,$O60))&lt;2),"⚠ FRET needs ≥ 2 colours",IF(AND($AU60&lt;&gt;"",$AU60&lt;&gt;"No FRET",N($AV60)+N($AW60)+N($AX60)=0),"⚠ FRET: set R","✔ OK"))))))))</f>
        <v/>
      </c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7" t="str">
        <f aca="false">IF(OR($BM60="",$BM60="No FRET",N($BN60)&lt;=0,N(IF($AI60="",63,$AI60))&lt;=0),"",1/(1+($BN60/IF($AI60="",63,$AI60))^6))</f>
        <v/>
      </c>
      <c r="BR60" s="27" t="str">
        <f aca="false">IF(OR($BM60="",$BM60="No FRET",N($BO60)&lt;=0,N(IF($AJ60="",51,$AJ60))&lt;=0),"",1/(1+($BO60/IF($AJ60="",51,$AJ60))^6))</f>
        <v/>
      </c>
      <c r="BS60" s="27" t="str">
        <f aca="false">IF(OR($BM60="",$BM60="No FRET",N($BP60)&lt;=0,N(IF($AK60="",68,$AK60))&lt;=0),"",1/(1+($BP60/IF($AK60="",68,$AK60))^6))</f>
        <v/>
      </c>
      <c r="BT60" s="28" t="str">
        <f aca="false">IF(OR($A60="",N($BF60)&lt;=0),"",IF(IF($I60="",5000,$I60)&gt;0,$BF60/(IF($G60="",5000,$G60)*IF($H60="",5000,$H60)*IF($I60="",5000,$I60))/1E-024/6.022E+023/0.000000001,""))</f>
        <v/>
      </c>
      <c r="BU60" s="29" t="str">
        <f aca="false">IF(Calc!M60=0,"",IF(Calc!K60&gt;=1,"✖ saturated (B ≥ freq.)",IF(Calc!K60&gt;0.1,"⚠ B &gt; 10% of freq.",IF(Calc!K60=0,"⚠ no brightness",IF(Calc!L60&gt;0.1,"⚠ step &gt; 10% of wr",IF(OR(AND(N($BI60)&gt;0,IF($O60="",1,$O60)&lt;3),AND(N($BH60)&gt;0,IF($O60="",1,$O60)&lt;2)),"⚠ uses a colour above Colours = "&amp;IF($O60="",1,$O60)&amp;" (ignored)",IF(AND($BM60&lt;&gt;"",$BM60&lt;&gt;"No FRET",N(IF($O60="",1,$O60))&lt;2),"⚠ FRET needs ≥ 2 colours",IF(AND($BM60&lt;&gt;"",$BM60&lt;&gt;"No FRET",N($BN60)+N($BO60)+N($BP60)=0),"⚠ FRET: set R","✔ OK"))))))))</f>
        <v/>
      </c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7" t="str">
        <f aca="false">IF(OR($CE60="",$CE60="No FRET",N($CF60)&lt;=0,N(IF($AI60="",63,$AI60))&lt;=0),"",1/(1+($CF60/IF($AI60="",63,$AI60))^6))</f>
        <v/>
      </c>
      <c r="CJ60" s="27" t="str">
        <f aca="false">IF(OR($CE60="",$CE60="No FRET",N($CG60)&lt;=0,N(IF($AJ60="",51,$AJ60))&lt;=0),"",1/(1+($CG60/IF($AJ60="",51,$AJ60))^6))</f>
        <v/>
      </c>
      <c r="CK60" s="27" t="str">
        <f aca="false">IF(OR($CE60="",$CE60="No FRET",N($CH60)&lt;=0,N(IF($AK60="",68,$AK60))&lt;=0),"",1/(1+($CH60/IF($AK60="",68,$AK60))^6))</f>
        <v/>
      </c>
      <c r="CL60" s="28" t="str">
        <f aca="false">IF(OR($A60="",N($BX60)&lt;=0),"",IF(IF($I60="",5000,$I60)&gt;0,$BX60/(IF($G60="",5000,$G60)*IF($H60="",5000,$H60)*IF($I60="",5000,$I60))/1E-024/6.022E+023/0.000000001,""))</f>
        <v/>
      </c>
      <c r="CM60" s="29" t="str">
        <f aca="false">IF(Calc!S60=0,"",IF(Calc!Q60&gt;=1,"✖ saturated (B ≥ freq.)",IF(Calc!Q60&gt;0.1,"⚠ B &gt; 10% of freq.",IF(Calc!Q60=0,"⚠ no brightness",IF(Calc!R60&gt;0.1,"⚠ step &gt; 10% of wr",IF(OR(AND(N($CA60)&gt;0,IF($O60="",1,$O60)&lt;3),AND(N($BZ60)&gt;0,IF($O60="",1,$O60)&lt;2)),"⚠ uses a colour above Colours = "&amp;IF($O60="",1,$O60)&amp;" (ignored)",IF(AND($CE60&lt;&gt;"",$CE60&lt;&gt;"No FRET",N(IF($O60="",1,$O60))&lt;2),"⚠ FRET needs ≥ 2 colours",IF(AND($CE60&lt;&gt;"",$CE60&lt;&gt;"No FRET",N($CF60)+N($CG60)+N($CH60)=0),"⚠ FRET: set R","✔ OK"))))))))</f>
        <v/>
      </c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7" t="str">
        <f aca="false">IF(OR($CW60="",$CW60="No FRET",N($CX60)&lt;=0,N(IF($AI60="",63,$AI60))&lt;=0),"",1/(1+($CX60/IF($AI60="",63,$AI60))^6))</f>
        <v/>
      </c>
      <c r="DB60" s="27" t="str">
        <f aca="false">IF(OR($CW60="",$CW60="No FRET",N($CY60)&lt;=0,N(IF($AJ60="",51,$AJ60))&lt;=0),"",1/(1+($CY60/IF($AJ60="",51,$AJ60))^6))</f>
        <v/>
      </c>
      <c r="DC60" s="27" t="str">
        <f aca="false">IF(OR($CW60="",$CW60="No FRET",N($CZ60)&lt;=0,N(IF($AK60="",68,$AK60))&lt;=0),"",1/(1+($CZ60/IF($AK60="",68,$AK60))^6))</f>
        <v/>
      </c>
      <c r="DD60" s="28" t="str">
        <f aca="false">IF(OR($A60="",N($CP60)&lt;=0),"",IF(IF($I60="",5000,$I60)&gt;0,$CP60/(IF($G60="",5000,$G60)*IF($H60="",5000,$H60)*IF($I60="",5000,$I60))/1E-024/6.022E+023/0.000000001,""))</f>
        <v/>
      </c>
      <c r="DE60" s="29" t="str">
        <f aca="false">IF(Calc!Y60=0,"",IF(Calc!W60&gt;=1,"✖ saturated (B ≥ freq.)",IF(Calc!W60&gt;0.1,"⚠ B &gt; 10% of freq.",IF(Calc!W60=0,"⚠ no brightness",IF(Calc!X60&gt;0.1,"⚠ step &gt; 10% of wr",IF(OR(AND(N($CS60)&gt;0,IF($O60="",1,$O60)&lt;3),AND(N($CR60)&gt;0,IF($O60="",1,$O60)&lt;2)),"⚠ uses a colour above Colours = "&amp;IF($O60="",1,$O60)&amp;" (ignored)",IF(AND($CW60&lt;&gt;"",$CW60&lt;&gt;"No FRET",N(IF($O60="",1,$O60))&lt;2),"⚠ FRET needs ≥ 2 colours",IF(AND($CW60&lt;&gt;"",$CW60&lt;&gt;"No FRET",N($CX60)+N($CY60)+N($CZ60)=0),"⚠ FRET: set R","✔ OK"))))))))</f>
        <v/>
      </c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7" t="str">
        <f aca="false">IF(OR($DO60="",$DO60="No FRET",N($DP60)&lt;=0,N(IF($AI60="",63,$AI60))&lt;=0),"",1/(1+($DP60/IF($AI60="",63,$AI60))^6))</f>
        <v/>
      </c>
      <c r="DT60" s="27" t="str">
        <f aca="false">IF(OR($DO60="",$DO60="No FRET",N($DQ60)&lt;=0,N(IF($AJ60="",51,$AJ60))&lt;=0),"",1/(1+($DQ60/IF($AJ60="",51,$AJ60))^6))</f>
        <v/>
      </c>
      <c r="DU60" s="27" t="str">
        <f aca="false">IF(OR($DO60="",$DO60="No FRET",N($DR60)&lt;=0,N(IF($AK60="",68,$AK60))&lt;=0),"",1/(1+($DR60/IF($AK60="",68,$AK60))^6))</f>
        <v/>
      </c>
      <c r="DV60" s="28" t="str">
        <f aca="false">IF(OR($A60="",N($DH60)&lt;=0),"",IF(IF($I60="",5000,$I60)&gt;0,$DH60/(IF($G60="",5000,$G60)*IF($H60="",5000,$H60)*IF($I60="",5000,$I60))/1E-024/6.022E+023/0.000000001,""))</f>
        <v/>
      </c>
      <c r="DW60" s="29" t="str">
        <f aca="false">IF(Calc!AE60=0,"",IF(Calc!AC60&gt;=1,"✖ saturated (B ≥ freq.)",IF(Calc!AC60&gt;0.1,"⚠ B &gt; 10% of freq.",IF(Calc!AC60=0,"⚠ no brightness",IF(Calc!AD60&gt;0.1,"⚠ step &gt; 10% of wr",IF(OR(AND(N($DK60)&gt;0,IF($O60="",1,$O60)&lt;3),AND(N($DJ60)&gt;0,IF($O60="",1,$O60)&lt;2)),"⚠ uses a colour above Colours = "&amp;IF($O60="",1,$O60)&amp;" (ignored)",IF(AND($DO60&lt;&gt;"",$DO60&lt;&gt;"No FRET",N(IF($O60="",1,$O60))&lt;2),"⚠ FRET needs ≥ 2 colours",IF(AND($DO60&lt;&gt;"",$DO60&lt;&gt;"No FRET",N($DP60)+N($DQ60)+N($DR60)=0),"⚠ FRET: set R","✔ OK"))))))))</f>
        <v/>
      </c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7" t="str">
        <f aca="false">IF(OR($EG60="",$EG60="No FRET",N($EH60)&lt;=0,N(IF($AI60="",63,$AI60))&lt;=0),"",1/(1+($EH60/IF($AI60="",63,$AI60))^6))</f>
        <v/>
      </c>
      <c r="EL60" s="27" t="str">
        <f aca="false">IF(OR($EG60="",$EG60="No FRET",N($EI60)&lt;=0,N(IF($AJ60="",51,$AJ60))&lt;=0),"",1/(1+($EI60/IF($AJ60="",51,$AJ60))^6))</f>
        <v/>
      </c>
      <c r="EM60" s="27" t="str">
        <f aca="false">IF(OR($EG60="",$EG60="No FRET",N($EJ60)&lt;=0,N(IF($AK60="",68,$AK60))&lt;=0),"",1/(1+($EJ60/IF($AK60="",68,$AK60))^6))</f>
        <v/>
      </c>
      <c r="EN60" s="28" t="str">
        <f aca="false">IF(OR($A60="",N($DZ60)&lt;=0),"",IF(IF($I60="",5000,$I60)&gt;0,$DZ60/(IF($G60="",5000,$G60)*IF($H60="",5000,$H60)*IF($I60="",5000,$I60))/1E-024/6.022E+023/0.000000001,""))</f>
        <v/>
      </c>
      <c r="EO60" s="29" t="str">
        <f aca="false">IF(Calc!AK60=0,"",IF(Calc!AI60&gt;=1,"✖ saturated (B ≥ freq.)",IF(Calc!AI60&gt;0.1,"⚠ B &gt; 10% of freq.",IF(Calc!AI60=0,"⚠ no brightness",IF(Calc!AJ60&gt;0.1,"⚠ step &gt; 10% of wr",IF(OR(AND(N($EC60)&gt;0,IF($O60="",1,$O60)&lt;3),AND(N($EB60)&gt;0,IF($O60="",1,$O60)&lt;2)),"⚠ uses a colour above Colours = "&amp;IF($O60="",1,$O60)&amp;" (ignored)",IF(AND($EG60&lt;&gt;"",$EG60&lt;&gt;"No FRET",N(IF($O60="",1,$O60))&lt;2),"⚠ FRET needs ≥ 2 colours",IF(AND($EG60&lt;&gt;"",$EG60&lt;&gt;"No FRET",N($EH60)+N($EI60)+N($EJ60)=0),"⚠ FRET: set R","✔ OK"))))))))</f>
        <v/>
      </c>
      <c r="EP60" s="30" t="str">
        <f aca="false">IF($A60="","",SUM(Calc!G60,Calc!M60,Calc!S60,Calc!Y60,Calc!AE60,Calc!AK60))</f>
        <v/>
      </c>
      <c r="EQ60" s="30" t="str">
        <f aca="false">IF($A60="","",N($AN60)+N($BF60)+N($BX60)+N($CP60)+N($DH60)+N($DZ60))</f>
        <v/>
      </c>
      <c r="ER60" s="31" t="str">
        <f aca="false">IF($A60="","",SUM(Calc!B60,Calc!H60,Calc!N60,Calc!T60,Calc!Z60,Calc!AF60))</f>
        <v/>
      </c>
      <c r="ES60" s="31" t="str">
        <f aca="false">IF($A60="","",SUM(Calc!C60,Calc!I60,Calc!O60,Calc!U60,Calc!AA60,Calc!AG60))</f>
        <v/>
      </c>
      <c r="ET60" s="31" t="str">
        <f aca="false">IF($A60="","",SUM(Calc!D60,Calc!J60,Calc!P60,Calc!V60,Calc!AB60,Calc!AH60))</f>
        <v/>
      </c>
      <c r="EU60" s="27" t="str">
        <f aca="false">IF($A60="","",($ER60+$ES60+$ET60+IF($P60="Yes",N($Q60)*N(IF($O60="",1,$O60)),0))*1000*IF($K60="",10,$K60)/1000000)</f>
        <v/>
      </c>
      <c r="EV60" s="28" t="str">
        <f aca="false">IF($A60="","",$EU60*1000000*12/1000000000)</f>
        <v/>
      </c>
      <c r="EW60" s="32" t="str">
        <f aca="false">IF($A60="","",IF($EP60=0,"⚠ no species entered",IF(((LEFT($BC60,1)="✖")+(LEFT($BU60,1)="✖")+(LEFT($CM60,1)="✖")+(LEFT($DE60,1)="✖")+(LEFT($DW60,1)="✖")+(LEFT($EO60,1)="✖"))&gt;0,"✖ "&amp;((LEFT($BC60,1)="✖")+(LEFT($BU60,1)="✖")+(LEFT($CM60,1)="✖")+(LEFT($DE60,1)="✖")+(LEFT($DW60,1)="✖")+(LEFT($EO60,1)="✖"))&amp;" species saturated - see the species checks",IF(MIN(IF($G60="",5000,$G60),IF($H60="",5000,$H60))&lt;8*MAX(IF($T60="",200,$T60),IF($U60="",200,$U60),IF($V60="",200,$V60)),"⚠ box too small laterally (&lt; 8·wr)",IF(AND(IF($I60="",5000,$I60)&gt;0,IF($I60="",5000,$I60)&lt;3*MAX(IF($W60="",1000,$W60),IF($X60="",1000,$X60),IF($Y60="",1000,$Y60))),"⚠ box too small axially (&lt; 3·wz)",IF($EV60&gt;8,"⚠ &gt; 8 GB per file: shorten the duration and use several files",IF(((LEFT($BC60,1)="⚠")+(LEFT($BU60,1)="⚠")+(LEFT($CM60,1)="⚠")+(LEFT($DE60,1)="⚠")+(LEFT($DW60,1)="⚠")+(LEFT($EO60,1)="⚠"))&gt;0,"⚠ "&amp;((LEFT($BC60,1)="⚠")+(LEFT($BU60,1)="⚠")+(LEFT($CM60,1)="⚠")+(LEFT($DE60,1)="⚠")+(LEFT($DW60,1)="⚠")+(LEFT($EO60,1)="⚠"))&amp;" species with a warning","✔ OK")))))))</f>
        <v/>
      </c>
      <c r="EX60" s="25"/>
      <c r="EY60" s="25"/>
      <c r="EZ60" s="25"/>
      <c r="FA60" s="25"/>
      <c r="FB60" s="25"/>
      <c r="FC60" s="25"/>
      <c r="FD60" s="25"/>
      <c r="FE60" s="26"/>
    </row>
    <row r="61" customFormat="false" ht="15" hidden="false" customHeight="false" outlineLevel="0" collapsed="false">
      <c r="A61" s="25"/>
      <c r="B61" s="25"/>
      <c r="C61" s="26"/>
      <c r="D61" s="26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7" t="str">
        <f aca="false">IF(OR($AU61="",$AU61="No FRET",N($AV61)&lt;=0,N(IF($AI61="",63,$AI61))&lt;=0),"",1/(1+($AV61/IF($AI61="",63,$AI61))^6))</f>
        <v/>
      </c>
      <c r="AZ61" s="27" t="str">
        <f aca="false">IF(OR($AU61="",$AU61="No FRET",N($AW61)&lt;=0,N(IF($AJ61="",51,$AJ61))&lt;=0),"",1/(1+($AW61/IF($AJ61="",51,$AJ61))^6))</f>
        <v/>
      </c>
      <c r="BA61" s="27" t="str">
        <f aca="false">IF(OR($AU61="",$AU61="No FRET",N($AX61)&lt;=0,N(IF($AK61="",68,$AK61))&lt;=0),"",1/(1+($AX61/IF($AK61="",68,$AK61))^6))</f>
        <v/>
      </c>
      <c r="BB61" s="28" t="str">
        <f aca="false">IF(OR($A61="",N($AN61)&lt;=0),"",IF(IF($I61="",5000,$I61)&gt;0,$AN61/(IF($G61="",5000,$G61)*IF($H61="",5000,$H61)*IF($I61="",5000,$I61))/1E-024/6.022E+023/0.000000001,""))</f>
        <v/>
      </c>
      <c r="BC61" s="29" t="str">
        <f aca="false">IF(Calc!G61=0,"",IF(Calc!E61&gt;=1,"✖ saturated (B ≥ freq.)",IF(Calc!E61&gt;0.1,"⚠ B &gt; 10% of freq.",IF(Calc!E61=0,"⚠ no brightness",IF(Calc!F61&gt;0.1,"⚠ step &gt; 10% of wr",IF(OR(AND(N($AQ61)&gt;0,IF($O61="",1,$O61)&lt;3),AND(N($AP61)&gt;0,IF($O61="",1,$O61)&lt;2)),"⚠ uses a colour above Colours = "&amp;IF($O61="",1,$O61)&amp;" (ignored)",IF(AND($AU61&lt;&gt;"",$AU61&lt;&gt;"No FRET",N(IF($O61="",1,$O61))&lt;2),"⚠ FRET needs ≥ 2 colours",IF(AND($AU61&lt;&gt;"",$AU61&lt;&gt;"No FRET",N($AV61)+N($AW61)+N($AX61)=0),"⚠ FRET: set R","✔ OK"))))))))</f>
        <v/>
      </c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7" t="str">
        <f aca="false">IF(OR($BM61="",$BM61="No FRET",N($BN61)&lt;=0,N(IF($AI61="",63,$AI61))&lt;=0),"",1/(1+($BN61/IF($AI61="",63,$AI61))^6))</f>
        <v/>
      </c>
      <c r="BR61" s="27" t="str">
        <f aca="false">IF(OR($BM61="",$BM61="No FRET",N($BO61)&lt;=0,N(IF($AJ61="",51,$AJ61))&lt;=0),"",1/(1+($BO61/IF($AJ61="",51,$AJ61))^6))</f>
        <v/>
      </c>
      <c r="BS61" s="27" t="str">
        <f aca="false">IF(OR($BM61="",$BM61="No FRET",N($BP61)&lt;=0,N(IF($AK61="",68,$AK61))&lt;=0),"",1/(1+($BP61/IF($AK61="",68,$AK61))^6))</f>
        <v/>
      </c>
      <c r="BT61" s="28" t="str">
        <f aca="false">IF(OR($A61="",N($BF61)&lt;=0),"",IF(IF($I61="",5000,$I61)&gt;0,$BF61/(IF($G61="",5000,$G61)*IF($H61="",5000,$H61)*IF($I61="",5000,$I61))/1E-024/6.022E+023/0.000000001,""))</f>
        <v/>
      </c>
      <c r="BU61" s="29" t="str">
        <f aca="false">IF(Calc!M61=0,"",IF(Calc!K61&gt;=1,"✖ saturated (B ≥ freq.)",IF(Calc!K61&gt;0.1,"⚠ B &gt; 10% of freq.",IF(Calc!K61=0,"⚠ no brightness",IF(Calc!L61&gt;0.1,"⚠ step &gt; 10% of wr",IF(OR(AND(N($BI61)&gt;0,IF($O61="",1,$O61)&lt;3),AND(N($BH61)&gt;0,IF($O61="",1,$O61)&lt;2)),"⚠ uses a colour above Colours = "&amp;IF($O61="",1,$O61)&amp;" (ignored)",IF(AND($BM61&lt;&gt;"",$BM61&lt;&gt;"No FRET",N(IF($O61="",1,$O61))&lt;2),"⚠ FRET needs ≥ 2 colours",IF(AND($BM61&lt;&gt;"",$BM61&lt;&gt;"No FRET",N($BN61)+N($BO61)+N($BP61)=0),"⚠ FRET: set R","✔ OK"))))))))</f>
        <v/>
      </c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7" t="str">
        <f aca="false">IF(OR($CE61="",$CE61="No FRET",N($CF61)&lt;=0,N(IF($AI61="",63,$AI61))&lt;=0),"",1/(1+($CF61/IF($AI61="",63,$AI61))^6))</f>
        <v/>
      </c>
      <c r="CJ61" s="27" t="str">
        <f aca="false">IF(OR($CE61="",$CE61="No FRET",N($CG61)&lt;=0,N(IF($AJ61="",51,$AJ61))&lt;=0),"",1/(1+($CG61/IF($AJ61="",51,$AJ61))^6))</f>
        <v/>
      </c>
      <c r="CK61" s="27" t="str">
        <f aca="false">IF(OR($CE61="",$CE61="No FRET",N($CH61)&lt;=0,N(IF($AK61="",68,$AK61))&lt;=0),"",1/(1+($CH61/IF($AK61="",68,$AK61))^6))</f>
        <v/>
      </c>
      <c r="CL61" s="28" t="str">
        <f aca="false">IF(OR($A61="",N($BX61)&lt;=0),"",IF(IF($I61="",5000,$I61)&gt;0,$BX61/(IF($G61="",5000,$G61)*IF($H61="",5000,$H61)*IF($I61="",5000,$I61))/1E-024/6.022E+023/0.000000001,""))</f>
        <v/>
      </c>
      <c r="CM61" s="29" t="str">
        <f aca="false">IF(Calc!S61=0,"",IF(Calc!Q61&gt;=1,"✖ saturated (B ≥ freq.)",IF(Calc!Q61&gt;0.1,"⚠ B &gt; 10% of freq.",IF(Calc!Q61=0,"⚠ no brightness",IF(Calc!R61&gt;0.1,"⚠ step &gt; 10% of wr",IF(OR(AND(N($CA61)&gt;0,IF($O61="",1,$O61)&lt;3),AND(N($BZ61)&gt;0,IF($O61="",1,$O61)&lt;2)),"⚠ uses a colour above Colours = "&amp;IF($O61="",1,$O61)&amp;" (ignored)",IF(AND($CE61&lt;&gt;"",$CE61&lt;&gt;"No FRET",N(IF($O61="",1,$O61))&lt;2),"⚠ FRET needs ≥ 2 colours",IF(AND($CE61&lt;&gt;"",$CE61&lt;&gt;"No FRET",N($CF61)+N($CG61)+N($CH61)=0),"⚠ FRET: set R","✔ OK"))))))))</f>
        <v/>
      </c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7" t="str">
        <f aca="false">IF(OR($CW61="",$CW61="No FRET",N($CX61)&lt;=0,N(IF($AI61="",63,$AI61))&lt;=0),"",1/(1+($CX61/IF($AI61="",63,$AI61))^6))</f>
        <v/>
      </c>
      <c r="DB61" s="27" t="str">
        <f aca="false">IF(OR($CW61="",$CW61="No FRET",N($CY61)&lt;=0,N(IF($AJ61="",51,$AJ61))&lt;=0),"",1/(1+($CY61/IF($AJ61="",51,$AJ61))^6))</f>
        <v/>
      </c>
      <c r="DC61" s="27" t="str">
        <f aca="false">IF(OR($CW61="",$CW61="No FRET",N($CZ61)&lt;=0,N(IF($AK61="",68,$AK61))&lt;=0),"",1/(1+($CZ61/IF($AK61="",68,$AK61))^6))</f>
        <v/>
      </c>
      <c r="DD61" s="28" t="str">
        <f aca="false">IF(OR($A61="",N($CP61)&lt;=0),"",IF(IF($I61="",5000,$I61)&gt;0,$CP61/(IF($G61="",5000,$G61)*IF($H61="",5000,$H61)*IF($I61="",5000,$I61))/1E-024/6.022E+023/0.000000001,""))</f>
        <v/>
      </c>
      <c r="DE61" s="29" t="str">
        <f aca="false">IF(Calc!Y61=0,"",IF(Calc!W61&gt;=1,"✖ saturated (B ≥ freq.)",IF(Calc!W61&gt;0.1,"⚠ B &gt; 10% of freq.",IF(Calc!W61=0,"⚠ no brightness",IF(Calc!X61&gt;0.1,"⚠ step &gt; 10% of wr",IF(OR(AND(N($CS61)&gt;0,IF($O61="",1,$O61)&lt;3),AND(N($CR61)&gt;0,IF($O61="",1,$O61)&lt;2)),"⚠ uses a colour above Colours = "&amp;IF($O61="",1,$O61)&amp;" (ignored)",IF(AND($CW61&lt;&gt;"",$CW61&lt;&gt;"No FRET",N(IF($O61="",1,$O61))&lt;2),"⚠ FRET needs ≥ 2 colours",IF(AND($CW61&lt;&gt;"",$CW61&lt;&gt;"No FRET",N($CX61)+N($CY61)+N($CZ61)=0),"⚠ FRET: set R","✔ OK"))))))))</f>
        <v/>
      </c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7" t="str">
        <f aca="false">IF(OR($DO61="",$DO61="No FRET",N($DP61)&lt;=0,N(IF($AI61="",63,$AI61))&lt;=0),"",1/(1+($DP61/IF($AI61="",63,$AI61))^6))</f>
        <v/>
      </c>
      <c r="DT61" s="27" t="str">
        <f aca="false">IF(OR($DO61="",$DO61="No FRET",N($DQ61)&lt;=0,N(IF($AJ61="",51,$AJ61))&lt;=0),"",1/(1+($DQ61/IF($AJ61="",51,$AJ61))^6))</f>
        <v/>
      </c>
      <c r="DU61" s="27" t="str">
        <f aca="false">IF(OR($DO61="",$DO61="No FRET",N($DR61)&lt;=0,N(IF($AK61="",68,$AK61))&lt;=0),"",1/(1+($DR61/IF($AK61="",68,$AK61))^6))</f>
        <v/>
      </c>
      <c r="DV61" s="28" t="str">
        <f aca="false">IF(OR($A61="",N($DH61)&lt;=0),"",IF(IF($I61="",5000,$I61)&gt;0,$DH61/(IF($G61="",5000,$G61)*IF($H61="",5000,$H61)*IF($I61="",5000,$I61))/1E-024/6.022E+023/0.000000001,""))</f>
        <v/>
      </c>
      <c r="DW61" s="29" t="str">
        <f aca="false">IF(Calc!AE61=0,"",IF(Calc!AC61&gt;=1,"✖ saturated (B ≥ freq.)",IF(Calc!AC61&gt;0.1,"⚠ B &gt; 10% of freq.",IF(Calc!AC61=0,"⚠ no brightness",IF(Calc!AD61&gt;0.1,"⚠ step &gt; 10% of wr",IF(OR(AND(N($DK61)&gt;0,IF($O61="",1,$O61)&lt;3),AND(N($DJ61)&gt;0,IF($O61="",1,$O61)&lt;2)),"⚠ uses a colour above Colours = "&amp;IF($O61="",1,$O61)&amp;" (ignored)",IF(AND($DO61&lt;&gt;"",$DO61&lt;&gt;"No FRET",N(IF($O61="",1,$O61))&lt;2),"⚠ FRET needs ≥ 2 colours",IF(AND($DO61&lt;&gt;"",$DO61&lt;&gt;"No FRET",N($DP61)+N($DQ61)+N($DR61)=0),"⚠ FRET: set R","✔ OK"))))))))</f>
        <v/>
      </c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7" t="str">
        <f aca="false">IF(OR($EG61="",$EG61="No FRET",N($EH61)&lt;=0,N(IF($AI61="",63,$AI61))&lt;=0),"",1/(1+($EH61/IF($AI61="",63,$AI61))^6))</f>
        <v/>
      </c>
      <c r="EL61" s="27" t="str">
        <f aca="false">IF(OR($EG61="",$EG61="No FRET",N($EI61)&lt;=0,N(IF($AJ61="",51,$AJ61))&lt;=0),"",1/(1+($EI61/IF($AJ61="",51,$AJ61))^6))</f>
        <v/>
      </c>
      <c r="EM61" s="27" t="str">
        <f aca="false">IF(OR($EG61="",$EG61="No FRET",N($EJ61)&lt;=0,N(IF($AK61="",68,$AK61))&lt;=0),"",1/(1+($EJ61/IF($AK61="",68,$AK61))^6))</f>
        <v/>
      </c>
      <c r="EN61" s="28" t="str">
        <f aca="false">IF(OR($A61="",N($DZ61)&lt;=0),"",IF(IF($I61="",5000,$I61)&gt;0,$DZ61/(IF($G61="",5000,$G61)*IF($H61="",5000,$H61)*IF($I61="",5000,$I61))/1E-024/6.022E+023/0.000000001,""))</f>
        <v/>
      </c>
      <c r="EO61" s="29" t="str">
        <f aca="false">IF(Calc!AK61=0,"",IF(Calc!AI61&gt;=1,"✖ saturated (B ≥ freq.)",IF(Calc!AI61&gt;0.1,"⚠ B &gt; 10% of freq.",IF(Calc!AI61=0,"⚠ no brightness",IF(Calc!AJ61&gt;0.1,"⚠ step &gt; 10% of wr",IF(OR(AND(N($EC61)&gt;0,IF($O61="",1,$O61)&lt;3),AND(N($EB61)&gt;0,IF($O61="",1,$O61)&lt;2)),"⚠ uses a colour above Colours = "&amp;IF($O61="",1,$O61)&amp;" (ignored)",IF(AND($EG61&lt;&gt;"",$EG61&lt;&gt;"No FRET",N(IF($O61="",1,$O61))&lt;2),"⚠ FRET needs ≥ 2 colours",IF(AND($EG61&lt;&gt;"",$EG61&lt;&gt;"No FRET",N($EH61)+N($EI61)+N($EJ61)=0),"⚠ FRET: set R","✔ OK"))))))))</f>
        <v/>
      </c>
      <c r="EP61" s="30" t="str">
        <f aca="false">IF($A61="","",SUM(Calc!G61,Calc!M61,Calc!S61,Calc!Y61,Calc!AE61,Calc!AK61))</f>
        <v/>
      </c>
      <c r="EQ61" s="30" t="str">
        <f aca="false">IF($A61="","",N($AN61)+N($BF61)+N($BX61)+N($CP61)+N($DH61)+N($DZ61))</f>
        <v/>
      </c>
      <c r="ER61" s="31" t="str">
        <f aca="false">IF($A61="","",SUM(Calc!B61,Calc!H61,Calc!N61,Calc!T61,Calc!Z61,Calc!AF61))</f>
        <v/>
      </c>
      <c r="ES61" s="31" t="str">
        <f aca="false">IF($A61="","",SUM(Calc!C61,Calc!I61,Calc!O61,Calc!U61,Calc!AA61,Calc!AG61))</f>
        <v/>
      </c>
      <c r="ET61" s="31" t="str">
        <f aca="false">IF($A61="","",SUM(Calc!D61,Calc!J61,Calc!P61,Calc!V61,Calc!AB61,Calc!AH61))</f>
        <v/>
      </c>
      <c r="EU61" s="27" t="str">
        <f aca="false">IF($A61="","",($ER61+$ES61+$ET61+IF($P61="Yes",N($Q61)*N(IF($O61="",1,$O61)),0))*1000*IF($K61="",10,$K61)/1000000)</f>
        <v/>
      </c>
      <c r="EV61" s="28" t="str">
        <f aca="false">IF($A61="","",$EU61*1000000*12/1000000000)</f>
        <v/>
      </c>
      <c r="EW61" s="32" t="str">
        <f aca="false">IF($A61="","",IF($EP61=0,"⚠ no species entered",IF(((LEFT($BC61,1)="✖")+(LEFT($BU61,1)="✖")+(LEFT($CM61,1)="✖")+(LEFT($DE61,1)="✖")+(LEFT($DW61,1)="✖")+(LEFT($EO61,1)="✖"))&gt;0,"✖ "&amp;((LEFT($BC61,1)="✖")+(LEFT($BU61,1)="✖")+(LEFT($CM61,1)="✖")+(LEFT($DE61,1)="✖")+(LEFT($DW61,1)="✖")+(LEFT($EO61,1)="✖"))&amp;" species saturated - see the species checks",IF(MIN(IF($G61="",5000,$G61),IF($H61="",5000,$H61))&lt;8*MAX(IF($T61="",200,$T61),IF($U61="",200,$U61),IF($V61="",200,$V61)),"⚠ box too small laterally (&lt; 8·wr)",IF(AND(IF($I61="",5000,$I61)&gt;0,IF($I61="",5000,$I61)&lt;3*MAX(IF($W61="",1000,$W61),IF($X61="",1000,$X61),IF($Y61="",1000,$Y61))),"⚠ box too small axially (&lt; 3·wz)",IF($EV61&gt;8,"⚠ &gt; 8 GB per file: shorten the duration and use several files",IF(((LEFT($BC61,1)="⚠")+(LEFT($BU61,1)="⚠")+(LEFT($CM61,1)="⚠")+(LEFT($DE61,1)="⚠")+(LEFT($DW61,1)="⚠")+(LEFT($EO61,1)="⚠"))&gt;0,"⚠ "&amp;((LEFT($BC61,1)="⚠")+(LEFT($BU61,1)="⚠")+(LEFT($CM61,1)="⚠")+(LEFT($DE61,1)="⚠")+(LEFT($DW61,1)="⚠")+(LEFT($EO61,1)="⚠"))&amp;" species with a warning","✔ OK")))))))</f>
        <v/>
      </c>
      <c r="EX61" s="25"/>
      <c r="EY61" s="25"/>
      <c r="EZ61" s="25"/>
      <c r="FA61" s="25"/>
      <c r="FB61" s="25"/>
      <c r="FC61" s="25"/>
      <c r="FD61" s="25"/>
      <c r="FE61" s="26"/>
    </row>
    <row r="62" customFormat="false" ht="15" hidden="false" customHeight="false" outlineLevel="0" collapsed="false">
      <c r="A62" s="25"/>
      <c r="B62" s="25"/>
      <c r="C62" s="26"/>
      <c r="D62" s="26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7" t="str">
        <f aca="false">IF(OR($AU62="",$AU62="No FRET",N($AV62)&lt;=0,N(IF($AI62="",63,$AI62))&lt;=0),"",1/(1+($AV62/IF($AI62="",63,$AI62))^6))</f>
        <v/>
      </c>
      <c r="AZ62" s="27" t="str">
        <f aca="false">IF(OR($AU62="",$AU62="No FRET",N($AW62)&lt;=0,N(IF($AJ62="",51,$AJ62))&lt;=0),"",1/(1+($AW62/IF($AJ62="",51,$AJ62))^6))</f>
        <v/>
      </c>
      <c r="BA62" s="27" t="str">
        <f aca="false">IF(OR($AU62="",$AU62="No FRET",N($AX62)&lt;=0,N(IF($AK62="",68,$AK62))&lt;=0),"",1/(1+($AX62/IF($AK62="",68,$AK62))^6))</f>
        <v/>
      </c>
      <c r="BB62" s="28" t="str">
        <f aca="false">IF(OR($A62="",N($AN62)&lt;=0),"",IF(IF($I62="",5000,$I62)&gt;0,$AN62/(IF($G62="",5000,$G62)*IF($H62="",5000,$H62)*IF($I62="",5000,$I62))/1E-024/6.022E+023/0.000000001,""))</f>
        <v/>
      </c>
      <c r="BC62" s="29" t="str">
        <f aca="false">IF(Calc!G62=0,"",IF(Calc!E62&gt;=1,"✖ saturated (B ≥ freq.)",IF(Calc!E62&gt;0.1,"⚠ B &gt; 10% of freq.",IF(Calc!E62=0,"⚠ no brightness",IF(Calc!F62&gt;0.1,"⚠ step &gt; 10% of wr",IF(OR(AND(N($AQ62)&gt;0,IF($O62="",1,$O62)&lt;3),AND(N($AP62)&gt;0,IF($O62="",1,$O62)&lt;2)),"⚠ uses a colour above Colours = "&amp;IF($O62="",1,$O62)&amp;" (ignored)",IF(AND($AU62&lt;&gt;"",$AU62&lt;&gt;"No FRET",N(IF($O62="",1,$O62))&lt;2),"⚠ FRET needs ≥ 2 colours",IF(AND($AU62&lt;&gt;"",$AU62&lt;&gt;"No FRET",N($AV62)+N($AW62)+N($AX62)=0),"⚠ FRET: set R","✔ OK"))))))))</f>
        <v/>
      </c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7" t="str">
        <f aca="false">IF(OR($BM62="",$BM62="No FRET",N($BN62)&lt;=0,N(IF($AI62="",63,$AI62))&lt;=0),"",1/(1+($BN62/IF($AI62="",63,$AI62))^6))</f>
        <v/>
      </c>
      <c r="BR62" s="27" t="str">
        <f aca="false">IF(OR($BM62="",$BM62="No FRET",N($BO62)&lt;=0,N(IF($AJ62="",51,$AJ62))&lt;=0),"",1/(1+($BO62/IF($AJ62="",51,$AJ62))^6))</f>
        <v/>
      </c>
      <c r="BS62" s="27" t="str">
        <f aca="false">IF(OR($BM62="",$BM62="No FRET",N($BP62)&lt;=0,N(IF($AK62="",68,$AK62))&lt;=0),"",1/(1+($BP62/IF($AK62="",68,$AK62))^6))</f>
        <v/>
      </c>
      <c r="BT62" s="28" t="str">
        <f aca="false">IF(OR($A62="",N($BF62)&lt;=0),"",IF(IF($I62="",5000,$I62)&gt;0,$BF62/(IF($G62="",5000,$G62)*IF($H62="",5000,$H62)*IF($I62="",5000,$I62))/1E-024/6.022E+023/0.000000001,""))</f>
        <v/>
      </c>
      <c r="BU62" s="29" t="str">
        <f aca="false">IF(Calc!M62=0,"",IF(Calc!K62&gt;=1,"✖ saturated (B ≥ freq.)",IF(Calc!K62&gt;0.1,"⚠ B &gt; 10% of freq.",IF(Calc!K62=0,"⚠ no brightness",IF(Calc!L62&gt;0.1,"⚠ step &gt; 10% of wr",IF(OR(AND(N($BI62)&gt;0,IF($O62="",1,$O62)&lt;3),AND(N($BH62)&gt;0,IF($O62="",1,$O62)&lt;2)),"⚠ uses a colour above Colours = "&amp;IF($O62="",1,$O62)&amp;" (ignored)",IF(AND($BM62&lt;&gt;"",$BM62&lt;&gt;"No FRET",N(IF($O62="",1,$O62))&lt;2),"⚠ FRET needs ≥ 2 colours",IF(AND($BM62&lt;&gt;"",$BM62&lt;&gt;"No FRET",N($BN62)+N($BO62)+N($BP62)=0),"⚠ FRET: set R","✔ OK"))))))))</f>
        <v/>
      </c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7" t="str">
        <f aca="false">IF(OR($CE62="",$CE62="No FRET",N($CF62)&lt;=0,N(IF($AI62="",63,$AI62))&lt;=0),"",1/(1+($CF62/IF($AI62="",63,$AI62))^6))</f>
        <v/>
      </c>
      <c r="CJ62" s="27" t="str">
        <f aca="false">IF(OR($CE62="",$CE62="No FRET",N($CG62)&lt;=0,N(IF($AJ62="",51,$AJ62))&lt;=0),"",1/(1+($CG62/IF($AJ62="",51,$AJ62))^6))</f>
        <v/>
      </c>
      <c r="CK62" s="27" t="str">
        <f aca="false">IF(OR($CE62="",$CE62="No FRET",N($CH62)&lt;=0,N(IF($AK62="",68,$AK62))&lt;=0),"",1/(1+($CH62/IF($AK62="",68,$AK62))^6))</f>
        <v/>
      </c>
      <c r="CL62" s="28" t="str">
        <f aca="false">IF(OR($A62="",N($BX62)&lt;=0),"",IF(IF($I62="",5000,$I62)&gt;0,$BX62/(IF($G62="",5000,$G62)*IF($H62="",5000,$H62)*IF($I62="",5000,$I62))/1E-024/6.022E+023/0.000000001,""))</f>
        <v/>
      </c>
      <c r="CM62" s="29" t="str">
        <f aca="false">IF(Calc!S62=0,"",IF(Calc!Q62&gt;=1,"✖ saturated (B ≥ freq.)",IF(Calc!Q62&gt;0.1,"⚠ B &gt; 10% of freq.",IF(Calc!Q62=0,"⚠ no brightness",IF(Calc!R62&gt;0.1,"⚠ step &gt; 10% of wr",IF(OR(AND(N($CA62)&gt;0,IF($O62="",1,$O62)&lt;3),AND(N($BZ62)&gt;0,IF($O62="",1,$O62)&lt;2)),"⚠ uses a colour above Colours = "&amp;IF($O62="",1,$O62)&amp;" (ignored)",IF(AND($CE62&lt;&gt;"",$CE62&lt;&gt;"No FRET",N(IF($O62="",1,$O62))&lt;2),"⚠ FRET needs ≥ 2 colours",IF(AND($CE62&lt;&gt;"",$CE62&lt;&gt;"No FRET",N($CF62)+N($CG62)+N($CH62)=0),"⚠ FRET: set R","✔ OK"))))))))</f>
        <v/>
      </c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7" t="str">
        <f aca="false">IF(OR($CW62="",$CW62="No FRET",N($CX62)&lt;=0,N(IF($AI62="",63,$AI62))&lt;=0),"",1/(1+($CX62/IF($AI62="",63,$AI62))^6))</f>
        <v/>
      </c>
      <c r="DB62" s="27" t="str">
        <f aca="false">IF(OR($CW62="",$CW62="No FRET",N($CY62)&lt;=0,N(IF($AJ62="",51,$AJ62))&lt;=0),"",1/(1+($CY62/IF($AJ62="",51,$AJ62))^6))</f>
        <v/>
      </c>
      <c r="DC62" s="27" t="str">
        <f aca="false">IF(OR($CW62="",$CW62="No FRET",N($CZ62)&lt;=0,N(IF($AK62="",68,$AK62))&lt;=0),"",1/(1+($CZ62/IF($AK62="",68,$AK62))^6))</f>
        <v/>
      </c>
      <c r="DD62" s="28" t="str">
        <f aca="false">IF(OR($A62="",N($CP62)&lt;=0),"",IF(IF($I62="",5000,$I62)&gt;0,$CP62/(IF($G62="",5000,$G62)*IF($H62="",5000,$H62)*IF($I62="",5000,$I62))/1E-024/6.022E+023/0.000000001,""))</f>
        <v/>
      </c>
      <c r="DE62" s="29" t="str">
        <f aca="false">IF(Calc!Y62=0,"",IF(Calc!W62&gt;=1,"✖ saturated (B ≥ freq.)",IF(Calc!W62&gt;0.1,"⚠ B &gt; 10% of freq.",IF(Calc!W62=0,"⚠ no brightness",IF(Calc!X62&gt;0.1,"⚠ step &gt; 10% of wr",IF(OR(AND(N($CS62)&gt;0,IF($O62="",1,$O62)&lt;3),AND(N($CR62)&gt;0,IF($O62="",1,$O62)&lt;2)),"⚠ uses a colour above Colours = "&amp;IF($O62="",1,$O62)&amp;" (ignored)",IF(AND($CW62&lt;&gt;"",$CW62&lt;&gt;"No FRET",N(IF($O62="",1,$O62))&lt;2),"⚠ FRET needs ≥ 2 colours",IF(AND($CW62&lt;&gt;"",$CW62&lt;&gt;"No FRET",N($CX62)+N($CY62)+N($CZ62)=0),"⚠ FRET: set R","✔ OK"))))))))</f>
        <v/>
      </c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7" t="str">
        <f aca="false">IF(OR($DO62="",$DO62="No FRET",N($DP62)&lt;=0,N(IF($AI62="",63,$AI62))&lt;=0),"",1/(1+($DP62/IF($AI62="",63,$AI62))^6))</f>
        <v/>
      </c>
      <c r="DT62" s="27" t="str">
        <f aca="false">IF(OR($DO62="",$DO62="No FRET",N($DQ62)&lt;=0,N(IF($AJ62="",51,$AJ62))&lt;=0),"",1/(1+($DQ62/IF($AJ62="",51,$AJ62))^6))</f>
        <v/>
      </c>
      <c r="DU62" s="27" t="str">
        <f aca="false">IF(OR($DO62="",$DO62="No FRET",N($DR62)&lt;=0,N(IF($AK62="",68,$AK62))&lt;=0),"",1/(1+($DR62/IF($AK62="",68,$AK62))^6))</f>
        <v/>
      </c>
      <c r="DV62" s="28" t="str">
        <f aca="false">IF(OR($A62="",N($DH62)&lt;=0),"",IF(IF($I62="",5000,$I62)&gt;0,$DH62/(IF($G62="",5000,$G62)*IF($H62="",5000,$H62)*IF($I62="",5000,$I62))/1E-024/6.022E+023/0.000000001,""))</f>
        <v/>
      </c>
      <c r="DW62" s="29" t="str">
        <f aca="false">IF(Calc!AE62=0,"",IF(Calc!AC62&gt;=1,"✖ saturated (B ≥ freq.)",IF(Calc!AC62&gt;0.1,"⚠ B &gt; 10% of freq.",IF(Calc!AC62=0,"⚠ no brightness",IF(Calc!AD62&gt;0.1,"⚠ step &gt; 10% of wr",IF(OR(AND(N($DK62)&gt;0,IF($O62="",1,$O62)&lt;3),AND(N($DJ62)&gt;0,IF($O62="",1,$O62)&lt;2)),"⚠ uses a colour above Colours = "&amp;IF($O62="",1,$O62)&amp;" (ignored)",IF(AND($DO62&lt;&gt;"",$DO62&lt;&gt;"No FRET",N(IF($O62="",1,$O62))&lt;2),"⚠ FRET needs ≥ 2 colours",IF(AND($DO62&lt;&gt;"",$DO62&lt;&gt;"No FRET",N($DP62)+N($DQ62)+N($DR62)=0),"⚠ FRET: set R","✔ OK"))))))))</f>
        <v/>
      </c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7" t="str">
        <f aca="false">IF(OR($EG62="",$EG62="No FRET",N($EH62)&lt;=0,N(IF($AI62="",63,$AI62))&lt;=0),"",1/(1+($EH62/IF($AI62="",63,$AI62))^6))</f>
        <v/>
      </c>
      <c r="EL62" s="27" t="str">
        <f aca="false">IF(OR($EG62="",$EG62="No FRET",N($EI62)&lt;=0,N(IF($AJ62="",51,$AJ62))&lt;=0),"",1/(1+($EI62/IF($AJ62="",51,$AJ62))^6))</f>
        <v/>
      </c>
      <c r="EM62" s="27" t="str">
        <f aca="false">IF(OR($EG62="",$EG62="No FRET",N($EJ62)&lt;=0,N(IF($AK62="",68,$AK62))&lt;=0),"",1/(1+($EJ62/IF($AK62="",68,$AK62))^6))</f>
        <v/>
      </c>
      <c r="EN62" s="28" t="str">
        <f aca="false">IF(OR($A62="",N($DZ62)&lt;=0),"",IF(IF($I62="",5000,$I62)&gt;0,$DZ62/(IF($G62="",5000,$G62)*IF($H62="",5000,$H62)*IF($I62="",5000,$I62))/1E-024/6.022E+023/0.000000001,""))</f>
        <v/>
      </c>
      <c r="EO62" s="29" t="str">
        <f aca="false">IF(Calc!AK62=0,"",IF(Calc!AI62&gt;=1,"✖ saturated (B ≥ freq.)",IF(Calc!AI62&gt;0.1,"⚠ B &gt; 10% of freq.",IF(Calc!AI62=0,"⚠ no brightness",IF(Calc!AJ62&gt;0.1,"⚠ step &gt; 10% of wr",IF(OR(AND(N($EC62)&gt;0,IF($O62="",1,$O62)&lt;3),AND(N($EB62)&gt;0,IF($O62="",1,$O62)&lt;2)),"⚠ uses a colour above Colours = "&amp;IF($O62="",1,$O62)&amp;" (ignored)",IF(AND($EG62&lt;&gt;"",$EG62&lt;&gt;"No FRET",N(IF($O62="",1,$O62))&lt;2),"⚠ FRET needs ≥ 2 colours",IF(AND($EG62&lt;&gt;"",$EG62&lt;&gt;"No FRET",N($EH62)+N($EI62)+N($EJ62)=0),"⚠ FRET: set R","✔ OK"))))))))</f>
        <v/>
      </c>
      <c r="EP62" s="30" t="str">
        <f aca="false">IF($A62="","",SUM(Calc!G62,Calc!M62,Calc!S62,Calc!Y62,Calc!AE62,Calc!AK62))</f>
        <v/>
      </c>
      <c r="EQ62" s="30" t="str">
        <f aca="false">IF($A62="","",N($AN62)+N($BF62)+N($BX62)+N($CP62)+N($DH62)+N($DZ62))</f>
        <v/>
      </c>
      <c r="ER62" s="31" t="str">
        <f aca="false">IF($A62="","",SUM(Calc!B62,Calc!H62,Calc!N62,Calc!T62,Calc!Z62,Calc!AF62))</f>
        <v/>
      </c>
      <c r="ES62" s="31" t="str">
        <f aca="false">IF($A62="","",SUM(Calc!C62,Calc!I62,Calc!O62,Calc!U62,Calc!AA62,Calc!AG62))</f>
        <v/>
      </c>
      <c r="ET62" s="31" t="str">
        <f aca="false">IF($A62="","",SUM(Calc!D62,Calc!J62,Calc!P62,Calc!V62,Calc!AB62,Calc!AH62))</f>
        <v/>
      </c>
      <c r="EU62" s="27" t="str">
        <f aca="false">IF($A62="","",($ER62+$ES62+$ET62+IF($P62="Yes",N($Q62)*N(IF($O62="",1,$O62)),0))*1000*IF($K62="",10,$K62)/1000000)</f>
        <v/>
      </c>
      <c r="EV62" s="28" t="str">
        <f aca="false">IF($A62="","",$EU62*1000000*12/1000000000)</f>
        <v/>
      </c>
      <c r="EW62" s="32" t="str">
        <f aca="false">IF($A62="","",IF($EP62=0,"⚠ no species entered",IF(((LEFT($BC62,1)="✖")+(LEFT($BU62,1)="✖")+(LEFT($CM62,1)="✖")+(LEFT($DE62,1)="✖")+(LEFT($DW62,1)="✖")+(LEFT($EO62,1)="✖"))&gt;0,"✖ "&amp;((LEFT($BC62,1)="✖")+(LEFT($BU62,1)="✖")+(LEFT($CM62,1)="✖")+(LEFT($DE62,1)="✖")+(LEFT($DW62,1)="✖")+(LEFT($EO62,1)="✖"))&amp;" species saturated - see the species checks",IF(MIN(IF($G62="",5000,$G62),IF($H62="",5000,$H62))&lt;8*MAX(IF($T62="",200,$T62),IF($U62="",200,$U62),IF($V62="",200,$V62)),"⚠ box too small laterally (&lt; 8·wr)",IF(AND(IF($I62="",5000,$I62)&gt;0,IF($I62="",5000,$I62)&lt;3*MAX(IF($W62="",1000,$W62),IF($X62="",1000,$X62),IF($Y62="",1000,$Y62))),"⚠ box too small axially (&lt; 3·wz)",IF($EV62&gt;8,"⚠ &gt; 8 GB per file: shorten the duration and use several files",IF(((LEFT($BC62,1)="⚠")+(LEFT($BU62,1)="⚠")+(LEFT($CM62,1)="⚠")+(LEFT($DE62,1)="⚠")+(LEFT($DW62,1)="⚠")+(LEFT($EO62,1)="⚠"))&gt;0,"⚠ "&amp;((LEFT($BC62,1)="⚠")+(LEFT($BU62,1)="⚠")+(LEFT($CM62,1)="⚠")+(LEFT($DE62,1)="⚠")+(LEFT($DW62,1)="⚠")+(LEFT($EO62,1)="⚠"))&amp;" species with a warning","✔ OK")))))))</f>
        <v/>
      </c>
      <c r="EX62" s="25"/>
      <c r="EY62" s="25"/>
      <c r="EZ62" s="25"/>
      <c r="FA62" s="25"/>
      <c r="FB62" s="25"/>
      <c r="FC62" s="25"/>
      <c r="FD62" s="25"/>
      <c r="FE62" s="26"/>
    </row>
    <row r="63" customFormat="false" ht="15" hidden="false" customHeight="false" outlineLevel="0" collapsed="false">
      <c r="A63" s="25"/>
      <c r="B63" s="25"/>
      <c r="C63" s="26"/>
      <c r="D63" s="26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7" t="str">
        <f aca="false">IF(OR($AU63="",$AU63="No FRET",N($AV63)&lt;=0,N(IF($AI63="",63,$AI63))&lt;=0),"",1/(1+($AV63/IF($AI63="",63,$AI63))^6))</f>
        <v/>
      </c>
      <c r="AZ63" s="27" t="str">
        <f aca="false">IF(OR($AU63="",$AU63="No FRET",N($AW63)&lt;=0,N(IF($AJ63="",51,$AJ63))&lt;=0),"",1/(1+($AW63/IF($AJ63="",51,$AJ63))^6))</f>
        <v/>
      </c>
      <c r="BA63" s="27" t="str">
        <f aca="false">IF(OR($AU63="",$AU63="No FRET",N($AX63)&lt;=0,N(IF($AK63="",68,$AK63))&lt;=0),"",1/(1+($AX63/IF($AK63="",68,$AK63))^6))</f>
        <v/>
      </c>
      <c r="BB63" s="28" t="str">
        <f aca="false">IF(OR($A63="",N($AN63)&lt;=0),"",IF(IF($I63="",5000,$I63)&gt;0,$AN63/(IF($G63="",5000,$G63)*IF($H63="",5000,$H63)*IF($I63="",5000,$I63))/1E-024/6.022E+023/0.000000001,""))</f>
        <v/>
      </c>
      <c r="BC63" s="29" t="str">
        <f aca="false">IF(Calc!G63=0,"",IF(Calc!E63&gt;=1,"✖ saturated (B ≥ freq.)",IF(Calc!E63&gt;0.1,"⚠ B &gt; 10% of freq.",IF(Calc!E63=0,"⚠ no brightness",IF(Calc!F63&gt;0.1,"⚠ step &gt; 10% of wr",IF(OR(AND(N($AQ63)&gt;0,IF($O63="",1,$O63)&lt;3),AND(N($AP63)&gt;0,IF($O63="",1,$O63)&lt;2)),"⚠ uses a colour above Colours = "&amp;IF($O63="",1,$O63)&amp;" (ignored)",IF(AND($AU63&lt;&gt;"",$AU63&lt;&gt;"No FRET",N(IF($O63="",1,$O63))&lt;2),"⚠ FRET needs ≥ 2 colours",IF(AND($AU63&lt;&gt;"",$AU63&lt;&gt;"No FRET",N($AV63)+N($AW63)+N($AX63)=0),"⚠ FRET: set R","✔ OK"))))))))</f>
        <v/>
      </c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7" t="str">
        <f aca="false">IF(OR($BM63="",$BM63="No FRET",N($BN63)&lt;=0,N(IF($AI63="",63,$AI63))&lt;=0),"",1/(1+($BN63/IF($AI63="",63,$AI63))^6))</f>
        <v/>
      </c>
      <c r="BR63" s="27" t="str">
        <f aca="false">IF(OR($BM63="",$BM63="No FRET",N($BO63)&lt;=0,N(IF($AJ63="",51,$AJ63))&lt;=0),"",1/(1+($BO63/IF($AJ63="",51,$AJ63))^6))</f>
        <v/>
      </c>
      <c r="BS63" s="27" t="str">
        <f aca="false">IF(OR($BM63="",$BM63="No FRET",N($BP63)&lt;=0,N(IF($AK63="",68,$AK63))&lt;=0),"",1/(1+($BP63/IF($AK63="",68,$AK63))^6))</f>
        <v/>
      </c>
      <c r="BT63" s="28" t="str">
        <f aca="false">IF(OR($A63="",N($BF63)&lt;=0),"",IF(IF($I63="",5000,$I63)&gt;0,$BF63/(IF($G63="",5000,$G63)*IF($H63="",5000,$H63)*IF($I63="",5000,$I63))/1E-024/6.022E+023/0.000000001,""))</f>
        <v/>
      </c>
      <c r="BU63" s="29" t="str">
        <f aca="false">IF(Calc!M63=0,"",IF(Calc!K63&gt;=1,"✖ saturated (B ≥ freq.)",IF(Calc!K63&gt;0.1,"⚠ B &gt; 10% of freq.",IF(Calc!K63=0,"⚠ no brightness",IF(Calc!L63&gt;0.1,"⚠ step &gt; 10% of wr",IF(OR(AND(N($BI63)&gt;0,IF($O63="",1,$O63)&lt;3),AND(N($BH63)&gt;0,IF($O63="",1,$O63)&lt;2)),"⚠ uses a colour above Colours = "&amp;IF($O63="",1,$O63)&amp;" (ignored)",IF(AND($BM63&lt;&gt;"",$BM63&lt;&gt;"No FRET",N(IF($O63="",1,$O63))&lt;2),"⚠ FRET needs ≥ 2 colours",IF(AND($BM63&lt;&gt;"",$BM63&lt;&gt;"No FRET",N($BN63)+N($BO63)+N($BP63)=0),"⚠ FRET: set R","✔ OK"))))))))</f>
        <v/>
      </c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7" t="str">
        <f aca="false">IF(OR($CE63="",$CE63="No FRET",N($CF63)&lt;=0,N(IF($AI63="",63,$AI63))&lt;=0),"",1/(1+($CF63/IF($AI63="",63,$AI63))^6))</f>
        <v/>
      </c>
      <c r="CJ63" s="27" t="str">
        <f aca="false">IF(OR($CE63="",$CE63="No FRET",N($CG63)&lt;=0,N(IF($AJ63="",51,$AJ63))&lt;=0),"",1/(1+($CG63/IF($AJ63="",51,$AJ63))^6))</f>
        <v/>
      </c>
      <c r="CK63" s="27" t="str">
        <f aca="false">IF(OR($CE63="",$CE63="No FRET",N($CH63)&lt;=0,N(IF($AK63="",68,$AK63))&lt;=0),"",1/(1+($CH63/IF($AK63="",68,$AK63))^6))</f>
        <v/>
      </c>
      <c r="CL63" s="28" t="str">
        <f aca="false">IF(OR($A63="",N($BX63)&lt;=0),"",IF(IF($I63="",5000,$I63)&gt;0,$BX63/(IF($G63="",5000,$G63)*IF($H63="",5000,$H63)*IF($I63="",5000,$I63))/1E-024/6.022E+023/0.000000001,""))</f>
        <v/>
      </c>
      <c r="CM63" s="29" t="str">
        <f aca="false">IF(Calc!S63=0,"",IF(Calc!Q63&gt;=1,"✖ saturated (B ≥ freq.)",IF(Calc!Q63&gt;0.1,"⚠ B &gt; 10% of freq.",IF(Calc!Q63=0,"⚠ no brightness",IF(Calc!R63&gt;0.1,"⚠ step &gt; 10% of wr",IF(OR(AND(N($CA63)&gt;0,IF($O63="",1,$O63)&lt;3),AND(N($BZ63)&gt;0,IF($O63="",1,$O63)&lt;2)),"⚠ uses a colour above Colours = "&amp;IF($O63="",1,$O63)&amp;" (ignored)",IF(AND($CE63&lt;&gt;"",$CE63&lt;&gt;"No FRET",N(IF($O63="",1,$O63))&lt;2),"⚠ FRET needs ≥ 2 colours",IF(AND($CE63&lt;&gt;"",$CE63&lt;&gt;"No FRET",N($CF63)+N($CG63)+N($CH63)=0),"⚠ FRET: set R","✔ OK"))))))))</f>
        <v/>
      </c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7" t="str">
        <f aca="false">IF(OR($CW63="",$CW63="No FRET",N($CX63)&lt;=0,N(IF($AI63="",63,$AI63))&lt;=0),"",1/(1+($CX63/IF($AI63="",63,$AI63))^6))</f>
        <v/>
      </c>
      <c r="DB63" s="27" t="str">
        <f aca="false">IF(OR($CW63="",$CW63="No FRET",N($CY63)&lt;=0,N(IF($AJ63="",51,$AJ63))&lt;=0),"",1/(1+($CY63/IF($AJ63="",51,$AJ63))^6))</f>
        <v/>
      </c>
      <c r="DC63" s="27" t="str">
        <f aca="false">IF(OR($CW63="",$CW63="No FRET",N($CZ63)&lt;=0,N(IF($AK63="",68,$AK63))&lt;=0),"",1/(1+($CZ63/IF($AK63="",68,$AK63))^6))</f>
        <v/>
      </c>
      <c r="DD63" s="28" t="str">
        <f aca="false">IF(OR($A63="",N($CP63)&lt;=0),"",IF(IF($I63="",5000,$I63)&gt;0,$CP63/(IF($G63="",5000,$G63)*IF($H63="",5000,$H63)*IF($I63="",5000,$I63))/1E-024/6.022E+023/0.000000001,""))</f>
        <v/>
      </c>
      <c r="DE63" s="29" t="str">
        <f aca="false">IF(Calc!Y63=0,"",IF(Calc!W63&gt;=1,"✖ saturated (B ≥ freq.)",IF(Calc!W63&gt;0.1,"⚠ B &gt; 10% of freq.",IF(Calc!W63=0,"⚠ no brightness",IF(Calc!X63&gt;0.1,"⚠ step &gt; 10% of wr",IF(OR(AND(N($CS63)&gt;0,IF($O63="",1,$O63)&lt;3),AND(N($CR63)&gt;0,IF($O63="",1,$O63)&lt;2)),"⚠ uses a colour above Colours = "&amp;IF($O63="",1,$O63)&amp;" (ignored)",IF(AND($CW63&lt;&gt;"",$CW63&lt;&gt;"No FRET",N(IF($O63="",1,$O63))&lt;2),"⚠ FRET needs ≥ 2 colours",IF(AND($CW63&lt;&gt;"",$CW63&lt;&gt;"No FRET",N($CX63)+N($CY63)+N($CZ63)=0),"⚠ FRET: set R","✔ OK"))))))))</f>
        <v/>
      </c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7" t="str">
        <f aca="false">IF(OR($DO63="",$DO63="No FRET",N($DP63)&lt;=0,N(IF($AI63="",63,$AI63))&lt;=0),"",1/(1+($DP63/IF($AI63="",63,$AI63))^6))</f>
        <v/>
      </c>
      <c r="DT63" s="27" t="str">
        <f aca="false">IF(OR($DO63="",$DO63="No FRET",N($DQ63)&lt;=0,N(IF($AJ63="",51,$AJ63))&lt;=0),"",1/(1+($DQ63/IF($AJ63="",51,$AJ63))^6))</f>
        <v/>
      </c>
      <c r="DU63" s="27" t="str">
        <f aca="false">IF(OR($DO63="",$DO63="No FRET",N($DR63)&lt;=0,N(IF($AK63="",68,$AK63))&lt;=0),"",1/(1+($DR63/IF($AK63="",68,$AK63))^6))</f>
        <v/>
      </c>
      <c r="DV63" s="28" t="str">
        <f aca="false">IF(OR($A63="",N($DH63)&lt;=0),"",IF(IF($I63="",5000,$I63)&gt;0,$DH63/(IF($G63="",5000,$G63)*IF($H63="",5000,$H63)*IF($I63="",5000,$I63))/1E-024/6.022E+023/0.000000001,""))</f>
        <v/>
      </c>
      <c r="DW63" s="29" t="str">
        <f aca="false">IF(Calc!AE63=0,"",IF(Calc!AC63&gt;=1,"✖ saturated (B ≥ freq.)",IF(Calc!AC63&gt;0.1,"⚠ B &gt; 10% of freq.",IF(Calc!AC63=0,"⚠ no brightness",IF(Calc!AD63&gt;0.1,"⚠ step &gt; 10% of wr",IF(OR(AND(N($DK63)&gt;0,IF($O63="",1,$O63)&lt;3),AND(N($DJ63)&gt;0,IF($O63="",1,$O63)&lt;2)),"⚠ uses a colour above Colours = "&amp;IF($O63="",1,$O63)&amp;" (ignored)",IF(AND($DO63&lt;&gt;"",$DO63&lt;&gt;"No FRET",N(IF($O63="",1,$O63))&lt;2),"⚠ FRET needs ≥ 2 colours",IF(AND($DO63&lt;&gt;"",$DO63&lt;&gt;"No FRET",N($DP63)+N($DQ63)+N($DR63)=0),"⚠ FRET: set R","✔ OK"))))))))</f>
        <v/>
      </c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7" t="str">
        <f aca="false">IF(OR($EG63="",$EG63="No FRET",N($EH63)&lt;=0,N(IF($AI63="",63,$AI63))&lt;=0),"",1/(1+($EH63/IF($AI63="",63,$AI63))^6))</f>
        <v/>
      </c>
      <c r="EL63" s="27" t="str">
        <f aca="false">IF(OR($EG63="",$EG63="No FRET",N($EI63)&lt;=0,N(IF($AJ63="",51,$AJ63))&lt;=0),"",1/(1+($EI63/IF($AJ63="",51,$AJ63))^6))</f>
        <v/>
      </c>
      <c r="EM63" s="27" t="str">
        <f aca="false">IF(OR($EG63="",$EG63="No FRET",N($EJ63)&lt;=0,N(IF($AK63="",68,$AK63))&lt;=0),"",1/(1+($EJ63/IF($AK63="",68,$AK63))^6))</f>
        <v/>
      </c>
      <c r="EN63" s="28" t="str">
        <f aca="false">IF(OR($A63="",N($DZ63)&lt;=0),"",IF(IF($I63="",5000,$I63)&gt;0,$DZ63/(IF($G63="",5000,$G63)*IF($H63="",5000,$H63)*IF($I63="",5000,$I63))/1E-024/6.022E+023/0.000000001,""))</f>
        <v/>
      </c>
      <c r="EO63" s="29" t="str">
        <f aca="false">IF(Calc!AK63=0,"",IF(Calc!AI63&gt;=1,"✖ saturated (B ≥ freq.)",IF(Calc!AI63&gt;0.1,"⚠ B &gt; 10% of freq.",IF(Calc!AI63=0,"⚠ no brightness",IF(Calc!AJ63&gt;0.1,"⚠ step &gt; 10% of wr",IF(OR(AND(N($EC63)&gt;0,IF($O63="",1,$O63)&lt;3),AND(N($EB63)&gt;0,IF($O63="",1,$O63)&lt;2)),"⚠ uses a colour above Colours = "&amp;IF($O63="",1,$O63)&amp;" (ignored)",IF(AND($EG63&lt;&gt;"",$EG63&lt;&gt;"No FRET",N(IF($O63="",1,$O63))&lt;2),"⚠ FRET needs ≥ 2 colours",IF(AND($EG63&lt;&gt;"",$EG63&lt;&gt;"No FRET",N($EH63)+N($EI63)+N($EJ63)=0),"⚠ FRET: set R","✔ OK"))))))))</f>
        <v/>
      </c>
      <c r="EP63" s="30" t="str">
        <f aca="false">IF($A63="","",SUM(Calc!G63,Calc!M63,Calc!S63,Calc!Y63,Calc!AE63,Calc!AK63))</f>
        <v/>
      </c>
      <c r="EQ63" s="30" t="str">
        <f aca="false">IF($A63="","",N($AN63)+N($BF63)+N($BX63)+N($CP63)+N($DH63)+N($DZ63))</f>
        <v/>
      </c>
      <c r="ER63" s="31" t="str">
        <f aca="false">IF($A63="","",SUM(Calc!B63,Calc!H63,Calc!N63,Calc!T63,Calc!Z63,Calc!AF63))</f>
        <v/>
      </c>
      <c r="ES63" s="31" t="str">
        <f aca="false">IF($A63="","",SUM(Calc!C63,Calc!I63,Calc!O63,Calc!U63,Calc!AA63,Calc!AG63))</f>
        <v/>
      </c>
      <c r="ET63" s="31" t="str">
        <f aca="false">IF($A63="","",SUM(Calc!D63,Calc!J63,Calc!P63,Calc!V63,Calc!AB63,Calc!AH63))</f>
        <v/>
      </c>
      <c r="EU63" s="27" t="str">
        <f aca="false">IF($A63="","",($ER63+$ES63+$ET63+IF($P63="Yes",N($Q63)*N(IF($O63="",1,$O63)),0))*1000*IF($K63="",10,$K63)/1000000)</f>
        <v/>
      </c>
      <c r="EV63" s="28" t="str">
        <f aca="false">IF($A63="","",$EU63*1000000*12/1000000000)</f>
        <v/>
      </c>
      <c r="EW63" s="32" t="str">
        <f aca="false">IF($A63="","",IF($EP63=0,"⚠ no species entered",IF(((LEFT($BC63,1)="✖")+(LEFT($BU63,1)="✖")+(LEFT($CM63,1)="✖")+(LEFT($DE63,1)="✖")+(LEFT($DW63,1)="✖")+(LEFT($EO63,1)="✖"))&gt;0,"✖ "&amp;((LEFT($BC63,1)="✖")+(LEFT($BU63,1)="✖")+(LEFT($CM63,1)="✖")+(LEFT($DE63,1)="✖")+(LEFT($DW63,1)="✖")+(LEFT($EO63,1)="✖"))&amp;" species saturated - see the species checks",IF(MIN(IF($G63="",5000,$G63),IF($H63="",5000,$H63))&lt;8*MAX(IF($T63="",200,$T63),IF($U63="",200,$U63),IF($V63="",200,$V63)),"⚠ box too small laterally (&lt; 8·wr)",IF(AND(IF($I63="",5000,$I63)&gt;0,IF($I63="",5000,$I63)&lt;3*MAX(IF($W63="",1000,$W63),IF($X63="",1000,$X63),IF($Y63="",1000,$Y63))),"⚠ box too small axially (&lt; 3·wz)",IF($EV63&gt;8,"⚠ &gt; 8 GB per file: shorten the duration and use several files",IF(((LEFT($BC63,1)="⚠")+(LEFT($BU63,1)="⚠")+(LEFT($CM63,1)="⚠")+(LEFT($DE63,1)="⚠")+(LEFT($DW63,1)="⚠")+(LEFT($EO63,1)="⚠"))&gt;0,"⚠ "&amp;((LEFT($BC63,1)="⚠")+(LEFT($BU63,1)="⚠")+(LEFT($CM63,1)="⚠")+(LEFT($DE63,1)="⚠")+(LEFT($DW63,1)="⚠")+(LEFT($EO63,1)="⚠"))&amp;" species with a warning","✔ OK")))))))</f>
        <v/>
      </c>
      <c r="EX63" s="25"/>
      <c r="EY63" s="25"/>
      <c r="EZ63" s="25"/>
      <c r="FA63" s="25"/>
      <c r="FB63" s="25"/>
      <c r="FC63" s="25"/>
      <c r="FD63" s="25"/>
      <c r="FE63" s="26"/>
    </row>
  </sheetData>
  <autoFilter ref="A3:FE63"/>
  <mergeCells count="13">
    <mergeCell ref="A1:F2"/>
    <mergeCell ref="G1:S2"/>
    <mergeCell ref="T1:AH2"/>
    <mergeCell ref="AI1:AK2"/>
    <mergeCell ref="AL1:BC2"/>
    <mergeCell ref="BD1:BU2"/>
    <mergeCell ref="BV1:CM2"/>
    <mergeCell ref="CN1:DE2"/>
    <mergeCell ref="DF1:DW2"/>
    <mergeCell ref="DX1:EO2"/>
    <mergeCell ref="EP1:EW2"/>
    <mergeCell ref="EX1:EZ2"/>
    <mergeCell ref="FA1:FE2"/>
  </mergeCells>
  <conditionalFormatting sqref="EW4:EW63">
    <cfRule type="expression" priority="2" aboveAverage="0" equalAverage="0" bottom="0" percent="0" rank="0" text="" dxfId="10">
      <formula>LEFT($EW4,1)="✖"</formula>
    </cfRule>
    <cfRule type="expression" priority="3" aboveAverage="0" equalAverage="0" bottom="0" percent="0" rank="0" text="" dxfId="11">
      <formula>LEFT($EW4,1)="⚠"</formula>
    </cfRule>
    <cfRule type="expression" priority="4" aboveAverage="0" equalAverage="0" bottom="0" percent="0" rank="0" text="" dxfId="12">
      <formula>LEFT($EW4,1)="✔"</formula>
    </cfRule>
  </conditionalFormatting>
  <conditionalFormatting sqref="BC4:BC63">
    <cfRule type="expression" priority="5" aboveAverage="0" equalAverage="0" bottom="0" percent="0" rank="0" text="" dxfId="10">
      <formula>LEFT($BC4,1)="✖"</formula>
    </cfRule>
    <cfRule type="expression" priority="6" aboveAverage="0" equalAverage="0" bottom="0" percent="0" rank="0" text="" dxfId="11">
      <formula>LEFT($BC4,1)="⚠"</formula>
    </cfRule>
    <cfRule type="expression" priority="7" aboveAverage="0" equalAverage="0" bottom="0" percent="0" rank="0" text="" dxfId="12">
      <formula>LEFT($BC4,1)="✔"</formula>
    </cfRule>
  </conditionalFormatting>
  <conditionalFormatting sqref="BU4:BU63">
    <cfRule type="expression" priority="8" aboveAverage="0" equalAverage="0" bottom="0" percent="0" rank="0" text="" dxfId="10">
      <formula>LEFT($BU4,1)="✖"</formula>
    </cfRule>
    <cfRule type="expression" priority="9" aboveAverage="0" equalAverage="0" bottom="0" percent="0" rank="0" text="" dxfId="11">
      <formula>LEFT($BU4,1)="⚠"</formula>
    </cfRule>
    <cfRule type="expression" priority="10" aboveAverage="0" equalAverage="0" bottom="0" percent="0" rank="0" text="" dxfId="12">
      <formula>LEFT($BU4,1)="✔"</formula>
    </cfRule>
  </conditionalFormatting>
  <conditionalFormatting sqref="CM4:CM63">
    <cfRule type="expression" priority="11" aboveAverage="0" equalAverage="0" bottom="0" percent="0" rank="0" text="" dxfId="10">
      <formula>LEFT($CM4,1)="✖"</formula>
    </cfRule>
    <cfRule type="expression" priority="12" aboveAverage="0" equalAverage="0" bottom="0" percent="0" rank="0" text="" dxfId="11">
      <formula>LEFT($CM4,1)="⚠"</formula>
    </cfRule>
    <cfRule type="expression" priority="13" aboveAverage="0" equalAverage="0" bottom="0" percent="0" rank="0" text="" dxfId="12">
      <formula>LEFT($CM4,1)="✔"</formula>
    </cfRule>
  </conditionalFormatting>
  <conditionalFormatting sqref="DE4:DE63">
    <cfRule type="expression" priority="14" aboveAverage="0" equalAverage="0" bottom="0" percent="0" rank="0" text="" dxfId="10">
      <formula>LEFT($DE4,1)="✖"</formula>
    </cfRule>
    <cfRule type="expression" priority="15" aboveAverage="0" equalAverage="0" bottom="0" percent="0" rank="0" text="" dxfId="11">
      <formula>LEFT($DE4,1)="⚠"</formula>
    </cfRule>
    <cfRule type="expression" priority="16" aboveAverage="0" equalAverage="0" bottom="0" percent="0" rank="0" text="" dxfId="12">
      <formula>LEFT($DE4,1)="✔"</formula>
    </cfRule>
  </conditionalFormatting>
  <conditionalFormatting sqref="DW4:DW63">
    <cfRule type="expression" priority="17" aboveAverage="0" equalAverage="0" bottom="0" percent="0" rank="0" text="" dxfId="10">
      <formula>LEFT($DW4,1)="✖"</formula>
    </cfRule>
    <cfRule type="expression" priority="18" aboveAverage="0" equalAverage="0" bottom="0" percent="0" rank="0" text="" dxfId="11">
      <formula>LEFT($DW4,1)="⚠"</formula>
    </cfRule>
    <cfRule type="expression" priority="19" aboveAverage="0" equalAverage="0" bottom="0" percent="0" rank="0" text="" dxfId="12">
      <formula>LEFT($DW4,1)="✔"</formula>
    </cfRule>
  </conditionalFormatting>
  <conditionalFormatting sqref="EO4:EO63">
    <cfRule type="expression" priority="20" aboveAverage="0" equalAverage="0" bottom="0" percent="0" rank="0" text="" dxfId="10">
      <formula>LEFT($EO4,1)="✖"</formula>
    </cfRule>
    <cfRule type="expression" priority="21" aboveAverage="0" equalAverage="0" bottom="0" percent="0" rank="0" text="" dxfId="11">
      <formula>LEFT($EO4,1)="⚠"</formula>
    </cfRule>
    <cfRule type="expression" priority="22" aboveAverage="0" equalAverage="0" bottom="0" percent="0" rank="0" text="" dxfId="12">
      <formula>LEFT($EO4,1)="✔"</formula>
    </cfRule>
  </conditionalFormatting>
  <conditionalFormatting sqref="E4:E63">
    <cfRule type="expression" priority="23" aboveAverage="0" equalAverage="0" bottom="0" percent="0" rank="0" text="" dxfId="13">
      <formula>$E4="Done"</formula>
    </cfRule>
    <cfRule type="expression" priority="24" aboveAverage="0" equalAverage="0" bottom="0" percent="0" rank="0" text="" dxfId="14">
      <formula>$E4="Analysed"</formula>
    </cfRule>
    <cfRule type="expression" priority="25" aboveAverage="0" equalAverage="0" bottom="0" percent="0" rank="0" text="" dxfId="15">
      <formula>$E4="Running"</formula>
    </cfRule>
    <cfRule type="expression" priority="26" aboveAverage="0" equalAverage="0" bottom="0" percent="0" rank="0" text="" dxfId="16">
      <formula>$E4="Discarded"</formula>
    </cfRule>
  </conditionalFormatting>
  <dataValidations count="7">
    <dataValidation allowBlank="true" errorStyle="stop" operator="between" showDropDown="false" showErrorMessage="false" showInputMessage="false" sqref="E4:E63" type="list">
      <formula1>Lists!$A$2:$A$7</formula1>
      <formula2>0</formula2>
    </dataValidation>
    <dataValidation allowBlank="true" errorStyle="stop" operator="between" showDropDown="false" showErrorMessage="false" showInputMessage="false" sqref="N4:N63" type="list">
      <formula1>Lists!$B$2:$B$5</formula1>
      <formula2>0</formula2>
    </dataValidation>
    <dataValidation allowBlank="true" errorStyle="stop" operator="between" showDropDown="false" showErrorMessage="false" showInputMessage="false" sqref="P4:P63 R4:R63" type="list">
      <formula1>Lists!$C$2:$C$3</formula1>
      <formula2>0</formula2>
    </dataValidation>
    <dataValidation allowBlank="true" errorStyle="stop" operator="between" showDropDown="false" showErrorMessage="false" showInputMessage="false" sqref="EZ4:EZ63" type="list">
      <formula1>Lists!$E$2:$E$4</formula1>
      <formula2>0</formula2>
    </dataValidation>
    <dataValidation allowBlank="true" errorStyle="stop" operator="between" showDropDown="false" showErrorMessage="false" showInputMessage="false" sqref="AU4:AU63 BM4:BM63 CE4:CE63 CW4:CW63 DO4:DO63 EG4:EG63" type="list">
      <formula1>Lists!$D$2:$D$4</formula1>
      <formula2>0</formula2>
    </dataValidation>
    <dataValidation allowBlank="true" error="This planner handles 1-3 colours" errorStyle="stop" operator="between" showDropDown="false" showErrorMessage="false" showInputMessage="false" sqref="O4:O63" type="whole">
      <formula1>1</formula1>
      <formula2>3</formula2>
    </dataValidation>
    <dataValidation allowBlank="true" error="Must be &gt;= 0" errorStyle="stop" operator="greaterThanOrEqual" showDropDown="false" showErrorMessage="false" showInputMessage="false" sqref="AM4:AT63 AV4:AX63 BE4:BL63 BN4:BP63 BW4:CD63 CF4:CH63 CO4:CV63 CX4:CZ63 DG4:DN63 DP4:DR63 DY4:EF63 EH4:EJ63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153</v>
      </c>
      <c r="B1" s="0" t="s">
        <v>75</v>
      </c>
      <c r="C1" s="0" t="s">
        <v>255</v>
      </c>
      <c r="D1" s="0" t="s">
        <v>116</v>
      </c>
      <c r="E1" s="0" t="s">
        <v>135</v>
      </c>
    </row>
    <row r="2" customFormat="false" ht="15" hidden="false" customHeight="false" outlineLevel="0" collapsed="false">
      <c r="A2" s="0" t="s">
        <v>214</v>
      </c>
      <c r="B2" s="0" t="s">
        <v>77</v>
      </c>
      <c r="C2" s="0" t="s">
        <v>256</v>
      </c>
      <c r="D2" s="0" t="s">
        <v>118</v>
      </c>
      <c r="E2" s="0" t="s">
        <v>137</v>
      </c>
    </row>
    <row r="3" customFormat="false" ht="15" hidden="false" customHeight="false" outlineLevel="0" collapsed="false">
      <c r="A3" s="0" t="s">
        <v>225</v>
      </c>
      <c r="B3" s="0" t="s">
        <v>257</v>
      </c>
      <c r="C3" s="0" t="s">
        <v>215</v>
      </c>
      <c r="D3" s="0" t="s">
        <v>220</v>
      </c>
      <c r="E3" s="0" t="s">
        <v>258</v>
      </c>
    </row>
    <row r="4" customFormat="false" ht="15" hidden="false" customHeight="false" outlineLevel="0" collapsed="false">
      <c r="A4" s="0" t="s">
        <v>259</v>
      </c>
      <c r="B4" s="0" t="s">
        <v>260</v>
      </c>
      <c r="D4" s="0" t="s">
        <v>261</v>
      </c>
      <c r="E4" s="0" t="s">
        <v>262</v>
      </c>
    </row>
    <row r="5" customFormat="false" ht="15" hidden="false" customHeight="false" outlineLevel="0" collapsed="false">
      <c r="A5" s="0" t="s">
        <v>263</v>
      </c>
      <c r="B5" s="0" t="s">
        <v>264</v>
      </c>
    </row>
    <row r="6" customFormat="false" ht="15" hidden="false" customHeight="false" outlineLevel="0" collapsed="false">
      <c r="A6" s="0" t="s">
        <v>265</v>
      </c>
    </row>
    <row r="7" customFormat="false" ht="15" hidden="false" customHeight="false" outlineLevel="0" collapsed="false">
      <c r="A7" s="0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267</v>
      </c>
    </row>
    <row r="3" customFormat="false" ht="15" hidden="false" customHeight="false" outlineLevel="0" collapsed="false">
      <c r="B3" s="0" t="s">
        <v>268</v>
      </c>
      <c r="C3" s="0" t="s">
        <v>269</v>
      </c>
      <c r="D3" s="0" t="s">
        <v>270</v>
      </c>
      <c r="E3" s="0" t="s">
        <v>271</v>
      </c>
      <c r="F3" s="0" t="s">
        <v>272</v>
      </c>
      <c r="G3" s="0" t="s">
        <v>273</v>
      </c>
      <c r="H3" s="0" t="s">
        <v>274</v>
      </c>
      <c r="I3" s="0" t="s">
        <v>275</v>
      </c>
      <c r="J3" s="0" t="s">
        <v>276</v>
      </c>
      <c r="K3" s="0" t="s">
        <v>277</v>
      </c>
      <c r="L3" s="0" t="s">
        <v>278</v>
      </c>
      <c r="M3" s="0" t="s">
        <v>279</v>
      </c>
      <c r="N3" s="0" t="s">
        <v>280</v>
      </c>
      <c r="O3" s="0" t="s">
        <v>281</v>
      </c>
      <c r="P3" s="0" t="s">
        <v>282</v>
      </c>
      <c r="Q3" s="0" t="s">
        <v>283</v>
      </c>
      <c r="R3" s="0" t="s">
        <v>284</v>
      </c>
      <c r="S3" s="0" t="s">
        <v>285</v>
      </c>
      <c r="T3" s="0" t="s">
        <v>286</v>
      </c>
      <c r="U3" s="0" t="s">
        <v>287</v>
      </c>
      <c r="V3" s="0" t="s">
        <v>288</v>
      </c>
      <c r="W3" s="0" t="s">
        <v>289</v>
      </c>
      <c r="X3" s="0" t="s">
        <v>290</v>
      </c>
      <c r="Y3" s="0" t="s">
        <v>291</v>
      </c>
      <c r="Z3" s="0" t="s">
        <v>292</v>
      </c>
      <c r="AA3" s="0" t="s">
        <v>293</v>
      </c>
      <c r="AB3" s="0" t="s">
        <v>294</v>
      </c>
      <c r="AC3" s="0" t="s">
        <v>295</v>
      </c>
      <c r="AD3" s="0" t="s">
        <v>296</v>
      </c>
      <c r="AE3" s="0" t="s">
        <v>297</v>
      </c>
      <c r="AF3" s="0" t="s">
        <v>298</v>
      </c>
      <c r="AG3" s="0" t="s">
        <v>299</v>
      </c>
      <c r="AH3" s="0" t="s">
        <v>300</v>
      </c>
      <c r="AI3" s="0" t="s">
        <v>301</v>
      </c>
      <c r="AJ3" s="0" t="s">
        <v>302</v>
      </c>
      <c r="AK3" s="0" t="s">
        <v>303</v>
      </c>
    </row>
    <row r="4" customFormat="false" ht="15" hidden="false" customHeight="false" outlineLevel="0" collapsed="false">
      <c r="B4" s="0" t="n">
        <f aca="false">IF(OR(NOT(AND(Simulations!$A4&lt;&gt;"",OR(Simulations!$AL4&lt;&gt;"",N(Simulations!$AN4)&gt;0))),N(Simulations!$AO4)&lt;=0,N(Simulations!$AN4)&lt;=0,1&gt;N(IF(Simulations!$O4="",1,Simulations!$O4))),0,IF(Simulations!$AO4&lt;IF(Simulations!$J4="",1000,Simulations!$J4),Simulations!$AN4/(IF(Simulations!$G4="",5000,Simulations!$G4)*IF(Simulations!$H4="",5000,Simulations!$H4)*IF(IF(Simulations!$I4="",5000,Simulations!$I4)&gt;0,IF(Simulations!$I4="",5000,Simulations!$I4),1))*Simulations!$AO4*(PI()/2*IF(Simulations!$T4="",200,Simulations!$T4)^2*IF(IF(Simulations!$I4="",5000,Simulations!$I4)&gt;0,SQRT(PI()/2)*IF(Simulations!$W4="",1000,Simulations!$W4),1)),Simulations!$AN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T4="",200,Simulations!$T4)^2*IF(Simulations!$W4="",1000,Simulations!$W4)/2^1.5*(2/3*LN(Simulations!$AO4/IF(Simulations!$J4="",1000,Simulations!$J4))^1.5+SQRT(LN(Simulations!$AO4/IF(Simulations!$J4="",1000,Simulations!$J4)))+Simulations!$AO4/IF(Simulations!$J4="",1000,Simulations!$J4)*SQRT(PI())/2*ERFC(SQRT(LN(Simulations!$AO4/IF(Simulations!$J4="",1000,Simulations!$J4))))),PI()*IF(Simulations!$T4="",200,Simulations!$T4)^2/2*(LN(Simulations!$AO4/IF(Simulations!$J4="",1000,Simulations!$J4))+1))))</f>
        <v>13.777758780518</v>
      </c>
      <c r="C4" s="0" t="n">
        <f aca="false">IF(OR(NOT(AND(Simulations!$A4&lt;&gt;"",OR(Simulations!$AL4&lt;&gt;"",N(Simulations!$AN4)&gt;0))),N(Simulations!$AP4)&lt;=0,N(Simulations!$AN4)&lt;=0,2&gt;N(IF(Simulations!$O4="",1,Simulations!$O4))),0,IF(Simulations!$AP4&lt;IF(Simulations!$J4="",1000,Simulations!$J4),Simulations!$AN4/(IF(Simulations!$G4="",5000,Simulations!$G4)*IF(Simulations!$H4="",5000,Simulations!$H4)*IF(IF(Simulations!$I4="",5000,Simulations!$I4)&gt;0,IF(Simulations!$I4="",5000,Simulations!$I4),1))*Simulations!$AP4*(PI()/2*IF(Simulations!$U4="",200,Simulations!$U4)^2*IF(IF(Simulations!$I4="",5000,Simulations!$I4)&gt;0,SQRT(PI()/2)*IF(Simulations!$X4="",1000,Simulations!$X4),1)),Simulations!$AN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U4="",200,Simulations!$U4)^2*IF(Simulations!$X4="",1000,Simulations!$X4)/2^1.5*(2/3*LN(Simulations!$AP4/IF(Simulations!$J4="",1000,Simulations!$J4))^1.5+SQRT(LN(Simulations!$AP4/IF(Simulations!$J4="",1000,Simulations!$J4)))+Simulations!$AP4/IF(Simulations!$J4="",1000,Simulations!$J4)*SQRT(PI())/2*ERFC(SQRT(LN(Simulations!$AP4/IF(Simulations!$J4="",1000,Simulations!$J4))))),PI()*IF(Simulations!$U4="",200,Simulations!$U4)^2/2*(LN(Simulations!$AP4/IF(Simulations!$J4="",1000,Simulations!$J4))+1))))</f>
        <v>15.3149994592702</v>
      </c>
      <c r="D4" s="0" t="n">
        <f aca="false">IF(OR(NOT(AND(Simulations!$A4&lt;&gt;"",OR(Simulations!$AL4&lt;&gt;"",N(Simulations!$AN4)&gt;0))),N(Simulations!$AQ4)&lt;=0,N(Simulations!$AN4)&lt;=0,3&gt;N(IF(Simulations!$O4="",1,Simulations!$O4))),0,IF(Simulations!$AQ4&lt;IF(Simulations!$J4="",1000,Simulations!$J4),Simulations!$AN4/(IF(Simulations!$G4="",5000,Simulations!$G4)*IF(Simulations!$H4="",5000,Simulations!$H4)*IF(IF(Simulations!$I4="",5000,Simulations!$I4)&gt;0,IF(Simulations!$I4="",5000,Simulations!$I4),1))*Simulations!$AQ4*(PI()/2*IF(Simulations!$V4="",200,Simulations!$V4)^2*IF(IF(Simulations!$I4="",5000,Simulations!$I4)&gt;0,SQRT(PI()/2)*IF(Simulations!$Y4="",1000,Simulations!$Y4),1)),Simulations!$AN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V4="",200,Simulations!$V4)^2*IF(Simulations!$Y4="",1000,Simulations!$Y4)/2^1.5*(2/3*LN(Simulations!$AQ4/IF(Simulations!$J4="",1000,Simulations!$J4))^1.5+SQRT(LN(Simulations!$AQ4/IF(Simulations!$J4="",1000,Simulations!$J4)))+Simulations!$AQ4/IF(Simulations!$J4="",1000,Simulations!$J4)*SQRT(PI())/2*ERFC(SQRT(LN(Simulations!$AQ4/IF(Simulations!$J4="",1000,Simulations!$J4))))),PI()*IF(Simulations!$V4="",200,Simulations!$V4)^2/2*(LN(Simulations!$AQ4/IF(Simulations!$J4="",1000,Simulations!$J4))+1))))</f>
        <v>16.329195591725</v>
      </c>
      <c r="E4" s="0" t="n">
        <f aca="false">IF(NOT(AND(Simulations!$A4&lt;&gt;"",OR(Simulations!$AL4&lt;&gt;"",N(Simulations!$AN4)&gt;0))),0,MAX(N(Simulations!$AO4),N(Simulations!$AP4),N(Simulations!$AQ4))/IF(Simulations!$J4="",1000,Simulations!$J4))</f>
        <v>0.1</v>
      </c>
      <c r="F4" s="0" t="n">
        <f aca="false">IF(OR(NOT(AND(Simulations!$A4&lt;&gt;"",OR(Simulations!$AL4&lt;&gt;"",N(Simulations!$AN4)&gt;0))),N(Simulations!$AM4)&lt;=0),0,SQRT(2*Simulations!$AM4*1000000/(IF(Simulations!$J4="",1000,Simulations!$J4)*1000))/MIN(IF(Simulations!$T4="",200,Simulations!$T4),IF(Simulations!$U4="",200,Simulations!$U4),IF(Simulations!$V4="",200,Simulations!$V4)))</f>
        <v>0.0464811125852264</v>
      </c>
      <c r="G4" s="0" t="n">
        <f aca="false">IF(AND(Simulations!$A4&lt;&gt;"",OR(Simulations!$AL4&lt;&gt;"",N(Simulations!$AN4)&gt;0)),1,0)</f>
        <v>1</v>
      </c>
      <c r="H4" s="0" t="n">
        <f aca="false">IF(OR(NOT(AND(Simulations!$A4&lt;&gt;"",OR(Simulations!$BD4&lt;&gt;"",N(Simulations!$BF4)&gt;0))),N(Simulations!$BG4)&lt;=0,N(Simulations!$BF4)&lt;=0,1&gt;N(IF(Simulations!$O4="",1,Simulations!$O4))),0,IF(Simulations!$BG4&lt;IF(Simulations!$J4="",1000,Simulations!$J4),Simulations!$BF4/(IF(Simulations!$G4="",5000,Simulations!$G4)*IF(Simulations!$H4="",5000,Simulations!$H4)*IF(IF(Simulations!$I4="",5000,Simulations!$I4)&gt;0,IF(Simulations!$I4="",5000,Simulations!$I4),1))*Simulations!$BG4*(PI()/2*IF(Simulations!$T4="",200,Simulations!$T4)^2*IF(IF(Simulations!$I4="",5000,Simulations!$I4)&gt;0,SQRT(PI()/2)*IF(Simulations!$W4="",1000,Simulations!$W4),1)),Simulations!$BF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T4="",200,Simulations!$T4)^2*IF(Simulations!$W4="",1000,Simulations!$W4)/2^1.5*(2/3*LN(Simulations!$BG4/IF(Simulations!$J4="",1000,Simulations!$J4))^1.5+SQRT(LN(Simulations!$BG4/IF(Simulations!$J4="",1000,Simulations!$J4)))+Simulations!$BG4/IF(Simulations!$J4="",1000,Simulations!$J4)*SQRT(PI())/2*ERFC(SQRT(LN(Simulations!$BG4/IF(Simulations!$J4="",1000,Simulations!$J4))))),PI()*IF(Simulations!$T4="",200,Simulations!$T4)^2/2*(LN(Simulations!$BG4/IF(Simulations!$J4="",1000,Simulations!$J4))+1))))</f>
        <v>9.18517252034531</v>
      </c>
      <c r="I4" s="0" t="n">
        <f aca="false">IF(OR(NOT(AND(Simulations!$A4&lt;&gt;"",OR(Simulations!$BD4&lt;&gt;"",N(Simulations!$BF4)&gt;0))),N(Simulations!$BH4)&lt;=0,N(Simulations!$BF4)&lt;=0,2&gt;N(IF(Simulations!$O4="",1,Simulations!$O4))),0,IF(Simulations!$BH4&lt;IF(Simulations!$J4="",1000,Simulations!$J4),Simulations!$BF4/(IF(Simulations!$G4="",5000,Simulations!$G4)*IF(Simulations!$H4="",5000,Simulations!$H4)*IF(IF(Simulations!$I4="",5000,Simulations!$I4)&gt;0,IF(Simulations!$I4="",5000,Simulations!$I4),1))*Simulations!$BH4*(PI()/2*IF(Simulations!$U4="",200,Simulations!$U4)^2*IF(IF(Simulations!$I4="",5000,Simulations!$I4)&gt;0,SQRT(PI()/2)*IF(Simulations!$X4="",1000,Simulations!$X4),1)),Simulations!$BF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U4="",200,Simulations!$U4)^2*IF(Simulations!$X4="",1000,Simulations!$X4)/2^1.5*(2/3*LN(Simulations!$BH4/IF(Simulations!$J4="",1000,Simulations!$J4))^1.5+SQRT(LN(Simulations!$BH4/IF(Simulations!$J4="",1000,Simulations!$J4)))+Simulations!$BH4/IF(Simulations!$J4="",1000,Simulations!$J4)*SQRT(PI())/2*ERFC(SQRT(LN(Simulations!$BH4/IF(Simulations!$J4="",1000,Simulations!$J4))))),PI()*IF(Simulations!$U4="",200,Simulations!$U4)^2/2*(LN(Simulations!$BH4/IF(Simulations!$J4="",1000,Simulations!$J4))+1))))</f>
        <v>10.2099996395135</v>
      </c>
      <c r="J4" s="0" t="n">
        <f aca="false">IF(OR(NOT(AND(Simulations!$A4&lt;&gt;"",OR(Simulations!$BD4&lt;&gt;"",N(Simulations!$BF4)&gt;0))),N(Simulations!$BI4)&lt;=0,N(Simulations!$BF4)&lt;=0,3&gt;N(IF(Simulations!$O4="",1,Simulations!$O4))),0,IF(Simulations!$BI4&lt;IF(Simulations!$J4="",1000,Simulations!$J4),Simulations!$BF4/(IF(Simulations!$G4="",5000,Simulations!$G4)*IF(Simulations!$H4="",5000,Simulations!$H4)*IF(IF(Simulations!$I4="",5000,Simulations!$I4)&gt;0,IF(Simulations!$I4="",5000,Simulations!$I4),1))*Simulations!$BI4*(PI()/2*IF(Simulations!$V4="",200,Simulations!$V4)^2*IF(IF(Simulations!$I4="",5000,Simulations!$I4)&gt;0,SQRT(PI()/2)*IF(Simulations!$Y4="",1000,Simulations!$Y4),1)),Simulations!$BF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V4="",200,Simulations!$V4)^2*IF(Simulations!$Y4="",1000,Simulations!$Y4)/2^1.5*(2/3*LN(Simulations!$BI4/IF(Simulations!$J4="",1000,Simulations!$J4))^1.5+SQRT(LN(Simulations!$BI4/IF(Simulations!$J4="",1000,Simulations!$J4)))+Simulations!$BI4/IF(Simulations!$J4="",1000,Simulations!$J4)*SQRT(PI())/2*ERFC(SQRT(LN(Simulations!$BI4/IF(Simulations!$J4="",1000,Simulations!$J4))))),PI()*IF(Simulations!$V4="",200,Simulations!$V4)^2/2*(LN(Simulations!$BI4/IF(Simulations!$J4="",1000,Simulations!$J4))+1))))</f>
        <v>0</v>
      </c>
      <c r="K4" s="0" t="n">
        <f aca="false">IF(NOT(AND(Simulations!$A4&lt;&gt;"",OR(Simulations!$BD4&lt;&gt;"",N(Simulations!$BF4)&gt;0))),0,MAX(N(Simulations!$BG4),N(Simulations!$BH4),N(Simulations!$BI4))/IF(Simulations!$J4="",1000,Simulations!$J4))</f>
        <v>0.1</v>
      </c>
      <c r="L4" s="0" t="n">
        <f aca="false">IF(OR(NOT(AND(Simulations!$A4&lt;&gt;"",OR(Simulations!$BD4&lt;&gt;"",N(Simulations!$BF4)&gt;0))),N(Simulations!$BE4)&lt;=0),0,SQRT(2*Simulations!$BE4*1000000/(IF(Simulations!$J4="",1000,Simulations!$J4)*1000))/MIN(IF(Simulations!$T4="",200,Simulations!$T4),IF(Simulations!$U4="",200,Simulations!$U4),IF(Simulations!$V4="",200,Simulations!$V4)))</f>
        <v>0.0464811125852264</v>
      </c>
      <c r="M4" s="0" t="n">
        <f aca="false">IF(AND(Simulations!$A4&lt;&gt;"",OR(Simulations!$BD4&lt;&gt;"",N(Simulations!$BF4)&gt;0)),1,0)</f>
        <v>1</v>
      </c>
      <c r="N4" s="0" t="n">
        <f aca="false">IF(OR(NOT(AND(Simulations!$A4&lt;&gt;"",OR(Simulations!$BV4&lt;&gt;"",N(Simulations!$BX4)&gt;0))),N(Simulations!$BY4)&lt;=0,N(Simulations!$BX4)&lt;=0,1&gt;N(IF(Simulations!$O4="",1,Simulations!$O4))),0,IF(Simulations!$BY4&lt;IF(Simulations!$J4="",1000,Simulations!$J4),Simulations!$BX4/(IF(Simulations!$G4="",5000,Simulations!$G4)*IF(Simulations!$H4="",5000,Simulations!$H4)*IF(IF(Simulations!$I4="",5000,Simulations!$I4)&gt;0,IF(Simulations!$I4="",5000,Simulations!$I4),1))*Simulations!$BY4*(PI()/2*IF(Simulations!$T4="",200,Simulations!$T4)^2*IF(IF(Simulations!$I4="",5000,Simulations!$I4)&gt;0,SQRT(PI()/2)*IF(Simulations!$W4="",1000,Simulations!$W4),1)),Simulations!$BX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T4="",200,Simulations!$T4)^2*IF(Simulations!$W4="",1000,Simulations!$W4)/2^1.5*(2/3*LN(Simulations!$BY4/IF(Simulations!$J4="",1000,Simulations!$J4))^1.5+SQRT(LN(Simulations!$BY4/IF(Simulations!$J4="",1000,Simulations!$J4)))+Simulations!$BY4/IF(Simulations!$J4="",1000,Simulations!$J4)*SQRT(PI())/2*ERFC(SQRT(LN(Simulations!$BY4/IF(Simulations!$J4="",1000,Simulations!$J4))))),PI()*IF(Simulations!$T4="",200,Simulations!$T4)^2/2*(LN(Simulations!$BY4/IF(Simulations!$J4="",1000,Simulations!$J4))+1))))</f>
        <v>0</v>
      </c>
      <c r="O4" s="0" t="n">
        <f aca="false">IF(OR(NOT(AND(Simulations!$A4&lt;&gt;"",OR(Simulations!$BV4&lt;&gt;"",N(Simulations!$BX4)&gt;0))),N(Simulations!$BZ4)&lt;=0,N(Simulations!$BX4)&lt;=0,2&gt;N(IF(Simulations!$O4="",1,Simulations!$O4))),0,IF(Simulations!$BZ4&lt;IF(Simulations!$J4="",1000,Simulations!$J4),Simulations!$BX4/(IF(Simulations!$G4="",5000,Simulations!$G4)*IF(Simulations!$H4="",5000,Simulations!$H4)*IF(IF(Simulations!$I4="",5000,Simulations!$I4)&gt;0,IF(Simulations!$I4="",5000,Simulations!$I4),1))*Simulations!$BZ4*(PI()/2*IF(Simulations!$U4="",200,Simulations!$U4)^2*IF(IF(Simulations!$I4="",5000,Simulations!$I4)&gt;0,SQRT(PI()/2)*IF(Simulations!$X4="",1000,Simulations!$X4),1)),Simulations!$BX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U4="",200,Simulations!$U4)^2*IF(Simulations!$X4="",1000,Simulations!$X4)/2^1.5*(2/3*LN(Simulations!$BZ4/IF(Simulations!$J4="",1000,Simulations!$J4))^1.5+SQRT(LN(Simulations!$BZ4/IF(Simulations!$J4="",1000,Simulations!$J4)))+Simulations!$BZ4/IF(Simulations!$J4="",1000,Simulations!$J4)*SQRT(PI())/2*ERFC(SQRT(LN(Simulations!$BZ4/IF(Simulations!$J4="",1000,Simulations!$J4))))),PI()*IF(Simulations!$U4="",200,Simulations!$U4)^2/2*(LN(Simulations!$BZ4/IF(Simulations!$J4="",1000,Simulations!$J4))+1))))</f>
        <v>10.2099996395135</v>
      </c>
      <c r="P4" s="0" t="n">
        <f aca="false">IF(OR(NOT(AND(Simulations!$A4&lt;&gt;"",OR(Simulations!$BV4&lt;&gt;"",N(Simulations!$BX4)&gt;0))),N(Simulations!$CA4)&lt;=0,N(Simulations!$BX4)&lt;=0,3&gt;N(IF(Simulations!$O4="",1,Simulations!$O4))),0,IF(Simulations!$CA4&lt;IF(Simulations!$J4="",1000,Simulations!$J4),Simulations!$BX4/(IF(Simulations!$G4="",5000,Simulations!$G4)*IF(Simulations!$H4="",5000,Simulations!$H4)*IF(IF(Simulations!$I4="",5000,Simulations!$I4)&gt;0,IF(Simulations!$I4="",5000,Simulations!$I4),1))*Simulations!$CA4*(PI()/2*IF(Simulations!$V4="",200,Simulations!$V4)^2*IF(IF(Simulations!$I4="",5000,Simulations!$I4)&gt;0,SQRT(PI()/2)*IF(Simulations!$Y4="",1000,Simulations!$Y4),1)),Simulations!$BX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V4="",200,Simulations!$V4)^2*IF(Simulations!$Y4="",1000,Simulations!$Y4)/2^1.5*(2/3*LN(Simulations!$CA4/IF(Simulations!$J4="",1000,Simulations!$J4))^1.5+SQRT(LN(Simulations!$CA4/IF(Simulations!$J4="",1000,Simulations!$J4)))+Simulations!$CA4/IF(Simulations!$J4="",1000,Simulations!$J4)*SQRT(PI())/2*ERFC(SQRT(LN(Simulations!$CA4/IF(Simulations!$J4="",1000,Simulations!$J4))))),PI()*IF(Simulations!$V4="",200,Simulations!$V4)^2/2*(LN(Simulations!$CA4/IF(Simulations!$J4="",1000,Simulations!$J4))+1))))</f>
        <v>10.8861303944833</v>
      </c>
      <c r="Q4" s="0" t="n">
        <f aca="false">IF(NOT(AND(Simulations!$A4&lt;&gt;"",OR(Simulations!$BV4&lt;&gt;"",N(Simulations!$BX4)&gt;0))),0,MAX(N(Simulations!$BY4),N(Simulations!$BZ4),N(Simulations!$CA4))/IF(Simulations!$J4="",1000,Simulations!$J4))</f>
        <v>0.07</v>
      </c>
      <c r="R4" s="0" t="n">
        <f aca="false">IF(OR(NOT(AND(Simulations!$A4&lt;&gt;"",OR(Simulations!$BV4&lt;&gt;"",N(Simulations!$BX4)&gt;0))),N(Simulations!$BW4)&lt;=0),0,SQRT(2*Simulations!$BW4*1000000/(IF(Simulations!$J4="",1000,Simulations!$J4)*1000))/MIN(IF(Simulations!$T4="",200,Simulations!$T4),IF(Simulations!$U4="",200,Simulations!$U4),IF(Simulations!$V4="",200,Simulations!$V4)))</f>
        <v>0.0464811125852264</v>
      </c>
      <c r="S4" s="0" t="n">
        <f aca="false">IF(AND(Simulations!$A4&lt;&gt;"",OR(Simulations!$BV4&lt;&gt;"",N(Simulations!$BX4)&gt;0)),1,0)</f>
        <v>1</v>
      </c>
      <c r="T4" s="0" t="n">
        <f aca="false">IF(OR(NOT(AND(Simulations!$A4&lt;&gt;"",OR(Simulations!$CN4&lt;&gt;"",N(Simulations!$CP4)&gt;0))),N(Simulations!$CQ4)&lt;=0,N(Simulations!$CP4)&lt;=0,1&gt;N(IF(Simulations!$O4="",1,Simulations!$O4))),0,IF(Simulations!$CQ4&lt;IF(Simulations!$J4="",1000,Simulations!$J4),Simulations!$CP4/(IF(Simulations!$G4="",5000,Simulations!$G4)*IF(Simulations!$H4="",5000,Simulations!$H4)*IF(IF(Simulations!$I4="",5000,Simulations!$I4)&gt;0,IF(Simulations!$I4="",5000,Simulations!$I4),1))*Simulations!$CQ4*(PI()/2*IF(Simulations!$T4="",200,Simulations!$T4)^2*IF(IF(Simulations!$I4="",5000,Simulations!$I4)&gt;0,SQRT(PI()/2)*IF(Simulations!$W4="",1000,Simulations!$W4),1)),Simulations!$CP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T4="",200,Simulations!$T4)^2*IF(Simulations!$W4="",1000,Simulations!$W4)/2^1.5*(2/3*LN(Simulations!$CQ4/IF(Simulations!$J4="",1000,Simulations!$J4))^1.5+SQRT(LN(Simulations!$CQ4/IF(Simulations!$J4="",1000,Simulations!$J4)))+Simulations!$CQ4/IF(Simulations!$J4="",1000,Simulations!$J4)*SQRT(PI())/2*ERFC(SQRT(LN(Simulations!$CQ4/IF(Simulations!$J4="",1000,Simulations!$J4))))),PI()*IF(Simulations!$T4="",200,Simulations!$T4)^2/2*(LN(Simulations!$CQ4/IF(Simulations!$J4="",1000,Simulations!$J4))+1))))</f>
        <v>4.59258626017266</v>
      </c>
      <c r="U4" s="0" t="n">
        <f aca="false">IF(OR(NOT(AND(Simulations!$A4&lt;&gt;"",OR(Simulations!$CN4&lt;&gt;"",N(Simulations!$CP4)&gt;0))),N(Simulations!$CR4)&lt;=0,N(Simulations!$CP4)&lt;=0,2&gt;N(IF(Simulations!$O4="",1,Simulations!$O4))),0,IF(Simulations!$CR4&lt;IF(Simulations!$J4="",1000,Simulations!$J4),Simulations!$CP4/(IF(Simulations!$G4="",5000,Simulations!$G4)*IF(Simulations!$H4="",5000,Simulations!$H4)*IF(IF(Simulations!$I4="",5000,Simulations!$I4)&gt;0,IF(Simulations!$I4="",5000,Simulations!$I4),1))*Simulations!$CR4*(PI()/2*IF(Simulations!$U4="",200,Simulations!$U4)^2*IF(IF(Simulations!$I4="",5000,Simulations!$I4)&gt;0,SQRT(PI()/2)*IF(Simulations!$X4="",1000,Simulations!$X4),1)),Simulations!$CP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U4="",200,Simulations!$U4)^2*IF(Simulations!$X4="",1000,Simulations!$X4)/2^1.5*(2/3*LN(Simulations!$CR4/IF(Simulations!$J4="",1000,Simulations!$J4))^1.5+SQRT(LN(Simulations!$CR4/IF(Simulations!$J4="",1000,Simulations!$J4)))+Simulations!$CR4/IF(Simulations!$J4="",1000,Simulations!$J4)*SQRT(PI())/2*ERFC(SQRT(LN(Simulations!$CR4/IF(Simulations!$J4="",1000,Simulations!$J4))))),PI()*IF(Simulations!$U4="",200,Simulations!$U4)^2/2*(LN(Simulations!$CR4/IF(Simulations!$J4="",1000,Simulations!$J4))+1))))</f>
        <v>5.10499981975674</v>
      </c>
      <c r="V4" s="0" t="n">
        <f aca="false">IF(OR(NOT(AND(Simulations!$A4&lt;&gt;"",OR(Simulations!$CN4&lt;&gt;"",N(Simulations!$CP4)&gt;0))),N(Simulations!$CS4)&lt;=0,N(Simulations!$CP4)&lt;=0,3&gt;N(IF(Simulations!$O4="",1,Simulations!$O4))),0,IF(Simulations!$CS4&lt;IF(Simulations!$J4="",1000,Simulations!$J4),Simulations!$CP4/(IF(Simulations!$G4="",5000,Simulations!$G4)*IF(Simulations!$H4="",5000,Simulations!$H4)*IF(IF(Simulations!$I4="",5000,Simulations!$I4)&gt;0,IF(Simulations!$I4="",5000,Simulations!$I4),1))*Simulations!$CS4*(PI()/2*IF(Simulations!$V4="",200,Simulations!$V4)^2*IF(IF(Simulations!$I4="",5000,Simulations!$I4)&gt;0,SQRT(PI()/2)*IF(Simulations!$Y4="",1000,Simulations!$Y4),1)),Simulations!$CP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V4="",200,Simulations!$V4)^2*IF(Simulations!$Y4="",1000,Simulations!$Y4)/2^1.5*(2/3*LN(Simulations!$CS4/IF(Simulations!$J4="",1000,Simulations!$J4))^1.5+SQRT(LN(Simulations!$CS4/IF(Simulations!$J4="",1000,Simulations!$J4)))+Simulations!$CS4/IF(Simulations!$J4="",1000,Simulations!$J4)*SQRT(PI())/2*ERFC(SQRT(LN(Simulations!$CS4/IF(Simulations!$J4="",1000,Simulations!$J4))))),PI()*IF(Simulations!$V4="",200,Simulations!$V4)^2/2*(LN(Simulations!$CS4/IF(Simulations!$J4="",1000,Simulations!$J4))+1))))</f>
        <v>0</v>
      </c>
      <c r="W4" s="0" t="n">
        <f aca="false">IF(NOT(AND(Simulations!$A4&lt;&gt;"",OR(Simulations!$CN4&lt;&gt;"",N(Simulations!$CP4)&gt;0))),0,MAX(N(Simulations!$CQ4),N(Simulations!$CR4),N(Simulations!$CS4))/IF(Simulations!$J4="",1000,Simulations!$J4))</f>
        <v>0.1</v>
      </c>
      <c r="X4" s="0" t="n">
        <f aca="false">IF(OR(NOT(AND(Simulations!$A4&lt;&gt;"",OR(Simulations!$CN4&lt;&gt;"",N(Simulations!$CP4)&gt;0))),N(Simulations!$CO4)&lt;=0),0,SQRT(2*Simulations!$CO4*1000000/(IF(Simulations!$J4="",1000,Simulations!$J4)*1000))/MIN(IF(Simulations!$T4="",200,Simulations!$T4),IF(Simulations!$U4="",200,Simulations!$U4),IF(Simulations!$V4="",200,Simulations!$V4)))</f>
        <v>0.0555555555555556</v>
      </c>
      <c r="Y4" s="0" t="n">
        <f aca="false">IF(AND(Simulations!$A4&lt;&gt;"",OR(Simulations!$CN4&lt;&gt;"",N(Simulations!$CP4)&gt;0)),1,0)</f>
        <v>1</v>
      </c>
      <c r="Z4" s="0" t="n">
        <f aca="false">IF(OR(NOT(AND(Simulations!$A4&lt;&gt;"",OR(Simulations!$DF4&lt;&gt;"",N(Simulations!$DH4)&gt;0))),N(Simulations!$DI4)&lt;=0,N(Simulations!$DH4)&lt;=0,1&gt;N(IF(Simulations!$O4="",1,Simulations!$O4))),0,IF(Simulations!$DI4&lt;IF(Simulations!$J4="",1000,Simulations!$J4),Simulations!$DH4/(IF(Simulations!$G4="",5000,Simulations!$G4)*IF(Simulations!$H4="",5000,Simulations!$H4)*IF(IF(Simulations!$I4="",5000,Simulations!$I4)&gt;0,IF(Simulations!$I4="",5000,Simulations!$I4),1))*Simulations!$DI4*(PI()/2*IF(Simulations!$T4="",200,Simulations!$T4)^2*IF(IF(Simulations!$I4="",5000,Simulations!$I4)&gt;0,SQRT(PI()/2)*IF(Simulations!$W4="",1000,Simulations!$W4),1)),Simulations!$DH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T4="",200,Simulations!$T4)^2*IF(Simulations!$W4="",1000,Simulations!$W4)/2^1.5*(2/3*LN(Simulations!$DI4/IF(Simulations!$J4="",1000,Simulations!$J4))^1.5+SQRT(LN(Simulations!$DI4/IF(Simulations!$J4="",1000,Simulations!$J4)))+Simulations!$DI4/IF(Simulations!$J4="",1000,Simulations!$J4)*SQRT(PI())/2*ERFC(SQRT(LN(Simulations!$DI4/IF(Simulations!$J4="",1000,Simulations!$J4))))),PI()*IF(Simulations!$T4="",200,Simulations!$T4)^2/2*(LN(Simulations!$DI4/IF(Simulations!$J4="",1000,Simulations!$J4))+1))))</f>
        <v>0</v>
      </c>
      <c r="AA4" s="0" t="n">
        <f aca="false">IF(OR(NOT(AND(Simulations!$A4&lt;&gt;"",OR(Simulations!$DF4&lt;&gt;"",N(Simulations!$DH4)&gt;0))),N(Simulations!$DJ4)&lt;=0,N(Simulations!$DH4)&lt;=0,2&gt;N(IF(Simulations!$O4="",1,Simulations!$O4))),0,IF(Simulations!$DJ4&lt;IF(Simulations!$J4="",1000,Simulations!$J4),Simulations!$DH4/(IF(Simulations!$G4="",5000,Simulations!$G4)*IF(Simulations!$H4="",5000,Simulations!$H4)*IF(IF(Simulations!$I4="",5000,Simulations!$I4)&gt;0,IF(Simulations!$I4="",5000,Simulations!$I4),1))*Simulations!$DJ4*(PI()/2*IF(Simulations!$U4="",200,Simulations!$U4)^2*IF(IF(Simulations!$I4="",5000,Simulations!$I4)&gt;0,SQRT(PI()/2)*IF(Simulations!$X4="",1000,Simulations!$X4),1)),Simulations!$DH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U4="",200,Simulations!$U4)^2*IF(Simulations!$X4="",1000,Simulations!$X4)/2^1.5*(2/3*LN(Simulations!$DJ4/IF(Simulations!$J4="",1000,Simulations!$J4))^1.5+SQRT(LN(Simulations!$DJ4/IF(Simulations!$J4="",1000,Simulations!$J4)))+Simulations!$DJ4/IF(Simulations!$J4="",1000,Simulations!$J4)*SQRT(PI())/2*ERFC(SQRT(LN(Simulations!$DJ4/IF(Simulations!$J4="",1000,Simulations!$J4))))),PI()*IF(Simulations!$U4="",200,Simulations!$U4)^2/2*(LN(Simulations!$DJ4/IF(Simulations!$J4="",1000,Simulations!$J4))+1))))</f>
        <v>0</v>
      </c>
      <c r="AB4" s="0" t="n">
        <f aca="false">IF(OR(NOT(AND(Simulations!$A4&lt;&gt;"",OR(Simulations!$DF4&lt;&gt;"",N(Simulations!$DH4)&gt;0))),N(Simulations!$DK4)&lt;=0,N(Simulations!$DH4)&lt;=0,3&gt;N(IF(Simulations!$O4="",1,Simulations!$O4))),0,IF(Simulations!$DK4&lt;IF(Simulations!$J4="",1000,Simulations!$J4),Simulations!$DH4/(IF(Simulations!$G4="",5000,Simulations!$G4)*IF(Simulations!$H4="",5000,Simulations!$H4)*IF(IF(Simulations!$I4="",5000,Simulations!$I4)&gt;0,IF(Simulations!$I4="",5000,Simulations!$I4),1))*Simulations!$DK4*(PI()/2*IF(Simulations!$V4="",200,Simulations!$V4)^2*IF(IF(Simulations!$I4="",5000,Simulations!$I4)&gt;0,SQRT(PI()/2)*IF(Simulations!$Y4="",1000,Simulations!$Y4),1)),Simulations!$DH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V4="",200,Simulations!$V4)^2*IF(Simulations!$Y4="",1000,Simulations!$Y4)/2^1.5*(2/3*LN(Simulations!$DK4/IF(Simulations!$J4="",1000,Simulations!$J4))^1.5+SQRT(LN(Simulations!$DK4/IF(Simulations!$J4="",1000,Simulations!$J4)))+Simulations!$DK4/IF(Simulations!$J4="",1000,Simulations!$J4)*SQRT(PI())/2*ERFC(SQRT(LN(Simulations!$DK4/IF(Simulations!$J4="",1000,Simulations!$J4))))),PI()*IF(Simulations!$V4="",200,Simulations!$V4)^2/2*(LN(Simulations!$DK4/IF(Simulations!$J4="",1000,Simulations!$J4))+1))))</f>
        <v>0</v>
      </c>
      <c r="AC4" s="0" t="n">
        <f aca="false">IF(NOT(AND(Simulations!$A4&lt;&gt;"",OR(Simulations!$DF4&lt;&gt;"",N(Simulations!$DH4)&gt;0))),0,MAX(N(Simulations!$DI4),N(Simulations!$DJ4),N(Simulations!$DK4))/IF(Simulations!$J4="",1000,Simulations!$J4))</f>
        <v>0</v>
      </c>
      <c r="AD4" s="0" t="n">
        <f aca="false">IF(OR(NOT(AND(Simulations!$A4&lt;&gt;"",OR(Simulations!$DF4&lt;&gt;"",N(Simulations!$DH4)&gt;0))),N(Simulations!$DG4)&lt;=0),0,SQRT(2*Simulations!$DG4*1000000/(IF(Simulations!$J4="",1000,Simulations!$J4)*1000))/MIN(IF(Simulations!$T4="",200,Simulations!$T4),IF(Simulations!$U4="",200,Simulations!$U4),IF(Simulations!$V4="",200,Simulations!$V4)))</f>
        <v>0</v>
      </c>
      <c r="AE4" s="0" t="n">
        <f aca="false">IF(AND(Simulations!$A4&lt;&gt;"",OR(Simulations!$DF4&lt;&gt;"",N(Simulations!$DH4)&gt;0)),1,0)</f>
        <v>0</v>
      </c>
      <c r="AF4" s="0" t="n">
        <f aca="false">IF(OR(NOT(AND(Simulations!$A4&lt;&gt;"",OR(Simulations!$DX4&lt;&gt;"",N(Simulations!$DZ4)&gt;0))),N(Simulations!$EA4)&lt;=0,N(Simulations!$DZ4)&lt;=0,1&gt;N(IF(Simulations!$O4="",1,Simulations!$O4))),0,IF(Simulations!$EA4&lt;IF(Simulations!$J4="",1000,Simulations!$J4),Simulations!$DZ4/(IF(Simulations!$G4="",5000,Simulations!$G4)*IF(Simulations!$H4="",5000,Simulations!$H4)*IF(IF(Simulations!$I4="",5000,Simulations!$I4)&gt;0,IF(Simulations!$I4="",5000,Simulations!$I4),1))*Simulations!$EA4*(PI()/2*IF(Simulations!$T4="",200,Simulations!$T4)^2*IF(IF(Simulations!$I4="",5000,Simulations!$I4)&gt;0,SQRT(PI()/2)*IF(Simulations!$W4="",1000,Simulations!$W4),1)),Simulations!$DZ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T4="",200,Simulations!$T4)^2*IF(Simulations!$W4="",1000,Simulations!$W4)/2^1.5*(2/3*LN(Simulations!$EA4/IF(Simulations!$J4="",1000,Simulations!$J4))^1.5+SQRT(LN(Simulations!$EA4/IF(Simulations!$J4="",1000,Simulations!$J4)))+Simulations!$EA4/IF(Simulations!$J4="",1000,Simulations!$J4)*SQRT(PI())/2*ERFC(SQRT(LN(Simulations!$EA4/IF(Simulations!$J4="",1000,Simulations!$J4))))),PI()*IF(Simulations!$T4="",200,Simulations!$T4)^2/2*(LN(Simulations!$EA4/IF(Simulations!$J4="",1000,Simulations!$J4))+1))))</f>
        <v>0</v>
      </c>
      <c r="AG4" s="0" t="n">
        <f aca="false">IF(OR(NOT(AND(Simulations!$A4&lt;&gt;"",OR(Simulations!$DX4&lt;&gt;"",N(Simulations!$DZ4)&gt;0))),N(Simulations!$EB4)&lt;=0,N(Simulations!$DZ4)&lt;=0,2&gt;N(IF(Simulations!$O4="",1,Simulations!$O4))),0,IF(Simulations!$EB4&lt;IF(Simulations!$J4="",1000,Simulations!$J4),Simulations!$DZ4/(IF(Simulations!$G4="",5000,Simulations!$G4)*IF(Simulations!$H4="",5000,Simulations!$H4)*IF(IF(Simulations!$I4="",5000,Simulations!$I4)&gt;0,IF(Simulations!$I4="",5000,Simulations!$I4),1))*Simulations!$EB4*(PI()/2*IF(Simulations!$U4="",200,Simulations!$U4)^2*IF(IF(Simulations!$I4="",5000,Simulations!$I4)&gt;0,SQRT(PI()/2)*IF(Simulations!$X4="",1000,Simulations!$X4),1)),Simulations!$DZ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U4="",200,Simulations!$U4)^2*IF(Simulations!$X4="",1000,Simulations!$X4)/2^1.5*(2/3*LN(Simulations!$EB4/IF(Simulations!$J4="",1000,Simulations!$J4))^1.5+SQRT(LN(Simulations!$EB4/IF(Simulations!$J4="",1000,Simulations!$J4)))+Simulations!$EB4/IF(Simulations!$J4="",1000,Simulations!$J4)*SQRT(PI())/2*ERFC(SQRT(LN(Simulations!$EB4/IF(Simulations!$J4="",1000,Simulations!$J4))))),PI()*IF(Simulations!$U4="",200,Simulations!$U4)^2/2*(LN(Simulations!$EB4/IF(Simulations!$J4="",1000,Simulations!$J4))+1))))</f>
        <v>0</v>
      </c>
      <c r="AH4" s="0" t="n">
        <f aca="false">IF(OR(NOT(AND(Simulations!$A4&lt;&gt;"",OR(Simulations!$DX4&lt;&gt;"",N(Simulations!$DZ4)&gt;0))),N(Simulations!$EC4)&lt;=0,N(Simulations!$DZ4)&lt;=0,3&gt;N(IF(Simulations!$O4="",1,Simulations!$O4))),0,IF(Simulations!$EC4&lt;IF(Simulations!$J4="",1000,Simulations!$J4),Simulations!$DZ4/(IF(Simulations!$G4="",5000,Simulations!$G4)*IF(Simulations!$H4="",5000,Simulations!$H4)*IF(IF(Simulations!$I4="",5000,Simulations!$I4)&gt;0,IF(Simulations!$I4="",5000,Simulations!$I4),1))*Simulations!$EC4*(PI()/2*IF(Simulations!$V4="",200,Simulations!$V4)^2*IF(IF(Simulations!$I4="",5000,Simulations!$I4)&gt;0,SQRT(PI()/2)*IF(Simulations!$Y4="",1000,Simulations!$Y4),1)),Simulations!$DZ4/(IF(Simulations!$G4="",5000,Simulations!$G4)*IF(Simulations!$H4="",5000,Simulations!$H4)*IF(IF(Simulations!$I4="",5000,Simulations!$I4)&gt;0,IF(Simulations!$I4="",5000,Simulations!$I4),1))*IF(Simulations!$J4="",1000,Simulations!$J4)*IF(IF(Simulations!$I4="",5000,Simulations!$I4)&gt;0,2*PI()*IF(Simulations!$V4="",200,Simulations!$V4)^2*IF(Simulations!$Y4="",1000,Simulations!$Y4)/2^1.5*(2/3*LN(Simulations!$EC4/IF(Simulations!$J4="",1000,Simulations!$J4))^1.5+SQRT(LN(Simulations!$EC4/IF(Simulations!$J4="",1000,Simulations!$J4)))+Simulations!$EC4/IF(Simulations!$J4="",1000,Simulations!$J4)*SQRT(PI())/2*ERFC(SQRT(LN(Simulations!$EC4/IF(Simulations!$J4="",1000,Simulations!$J4))))),PI()*IF(Simulations!$V4="",200,Simulations!$V4)^2/2*(LN(Simulations!$EC4/IF(Simulations!$J4="",1000,Simulations!$J4))+1))))</f>
        <v>0</v>
      </c>
      <c r="AI4" s="0" t="n">
        <f aca="false">IF(NOT(AND(Simulations!$A4&lt;&gt;"",OR(Simulations!$DX4&lt;&gt;"",N(Simulations!$DZ4)&gt;0))),0,MAX(N(Simulations!$EA4),N(Simulations!$EB4),N(Simulations!$EC4))/IF(Simulations!$J4="",1000,Simulations!$J4))</f>
        <v>0</v>
      </c>
      <c r="AJ4" s="0" t="n">
        <f aca="false">IF(OR(NOT(AND(Simulations!$A4&lt;&gt;"",OR(Simulations!$DX4&lt;&gt;"",N(Simulations!$DZ4)&gt;0))),N(Simulations!$DY4)&lt;=0),0,SQRT(2*Simulations!$DY4*1000000/(IF(Simulations!$J4="",1000,Simulations!$J4)*1000))/MIN(IF(Simulations!$T4="",200,Simulations!$T4),IF(Simulations!$U4="",200,Simulations!$U4),IF(Simulations!$V4="",200,Simulations!$V4)))</f>
        <v>0</v>
      </c>
      <c r="AK4" s="0" t="n">
        <f aca="false">IF(AND(Simulations!$A4&lt;&gt;"",OR(Simulations!$DX4&lt;&gt;"",N(Simulations!$DZ4)&gt;0)),1,0)</f>
        <v>0</v>
      </c>
    </row>
    <row r="5" customFormat="false" ht="15" hidden="false" customHeight="false" outlineLevel="0" collapsed="false">
      <c r="B5" s="0" t="n">
        <f aca="false">IF(OR(NOT(AND(Simulations!$A5&lt;&gt;"",OR(Simulations!$AL5&lt;&gt;"",N(Simulations!$AN5)&gt;0))),N(Simulations!$AO5)&lt;=0,N(Simulations!$AN5)&lt;=0,1&gt;N(IF(Simulations!$O5="",1,Simulations!$O5))),0,IF(Simulations!$AO5&lt;IF(Simulations!$J5="",1000,Simulations!$J5),Simulations!$AN5/(IF(Simulations!$G5="",5000,Simulations!$G5)*IF(Simulations!$H5="",5000,Simulations!$H5)*IF(IF(Simulations!$I5="",5000,Simulations!$I5)&gt;0,IF(Simulations!$I5="",5000,Simulations!$I5),1))*Simulations!$AO5*(PI()/2*IF(Simulations!$T5="",200,Simulations!$T5)^2*IF(IF(Simulations!$I5="",5000,Simulations!$I5)&gt;0,SQRT(PI()/2)*IF(Simulations!$W5="",1000,Simulations!$W5),1)),Simulations!$AN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T5="",200,Simulations!$T5)^2*IF(Simulations!$W5="",1000,Simulations!$W5)/2^1.5*(2/3*LN(Simulations!$AO5/IF(Simulations!$J5="",1000,Simulations!$J5))^1.5+SQRT(LN(Simulations!$AO5/IF(Simulations!$J5="",1000,Simulations!$J5)))+Simulations!$AO5/IF(Simulations!$J5="",1000,Simulations!$J5)*SQRT(PI())/2*ERFC(SQRT(LN(Simulations!$AO5/IF(Simulations!$J5="",1000,Simulations!$J5))))),PI()*IF(Simulations!$T5="",200,Simulations!$T5)^2/2*(LN(Simulations!$AO5/IF(Simulations!$J5="",1000,Simulations!$J5))+1))))</f>
        <v>25.1993759131559</v>
      </c>
      <c r="C5" s="0" t="n">
        <f aca="false">IF(OR(NOT(AND(Simulations!$A5&lt;&gt;"",OR(Simulations!$AL5&lt;&gt;"",N(Simulations!$AN5)&gt;0))),N(Simulations!$AP5)&lt;=0,N(Simulations!$AN5)&lt;=0,2&gt;N(IF(Simulations!$O5="",1,Simulations!$O5))),0,IF(Simulations!$AP5&lt;IF(Simulations!$J5="",1000,Simulations!$J5),Simulations!$AN5/(IF(Simulations!$G5="",5000,Simulations!$G5)*IF(Simulations!$H5="",5000,Simulations!$H5)*IF(IF(Simulations!$I5="",5000,Simulations!$I5)&gt;0,IF(Simulations!$I5="",5000,Simulations!$I5),1))*Simulations!$AP5*(PI()/2*IF(Simulations!$U5="",200,Simulations!$U5)^2*IF(IF(Simulations!$I5="",5000,Simulations!$I5)&gt;0,SQRT(PI()/2)*IF(Simulations!$X5="",1000,Simulations!$X5),1)),Simulations!$AN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U5="",200,Simulations!$U5)^2*IF(Simulations!$X5="",1000,Simulations!$X5)/2^1.5*(2/3*LN(Simulations!$AP5/IF(Simulations!$J5="",1000,Simulations!$J5))^1.5+SQRT(LN(Simulations!$AP5/IF(Simulations!$J5="",1000,Simulations!$J5)))+Simulations!$AP5/IF(Simulations!$J5="",1000,Simulations!$J5)*SQRT(PI())/2*ERFC(SQRT(LN(Simulations!$AP5/IF(Simulations!$J5="",1000,Simulations!$J5))))),PI()*IF(Simulations!$U5="",200,Simulations!$U5)^2/2*(LN(Simulations!$AP5/IF(Simulations!$J5="",1000,Simulations!$J5))+1))))</f>
        <v>25.1993759131559</v>
      </c>
      <c r="D5" s="0" t="n">
        <f aca="false">IF(OR(NOT(AND(Simulations!$A5&lt;&gt;"",OR(Simulations!$AL5&lt;&gt;"",N(Simulations!$AN5)&gt;0))),N(Simulations!$AQ5)&lt;=0,N(Simulations!$AN5)&lt;=0,3&gt;N(IF(Simulations!$O5="",1,Simulations!$O5))),0,IF(Simulations!$AQ5&lt;IF(Simulations!$J5="",1000,Simulations!$J5),Simulations!$AN5/(IF(Simulations!$G5="",5000,Simulations!$G5)*IF(Simulations!$H5="",5000,Simulations!$H5)*IF(IF(Simulations!$I5="",5000,Simulations!$I5)&gt;0,IF(Simulations!$I5="",5000,Simulations!$I5),1))*Simulations!$AQ5*(PI()/2*IF(Simulations!$V5="",200,Simulations!$V5)^2*IF(IF(Simulations!$I5="",5000,Simulations!$I5)&gt;0,SQRT(PI()/2)*IF(Simulations!$Y5="",1000,Simulations!$Y5),1)),Simulations!$AN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V5="",200,Simulations!$V5)^2*IF(Simulations!$Y5="",1000,Simulations!$Y5)/2^1.5*(2/3*LN(Simulations!$AQ5/IF(Simulations!$J5="",1000,Simulations!$J5))^1.5+SQRT(LN(Simulations!$AQ5/IF(Simulations!$J5="",1000,Simulations!$J5)))+Simulations!$AQ5/IF(Simulations!$J5="",1000,Simulations!$J5)*SQRT(PI())/2*ERFC(SQRT(LN(Simulations!$AQ5/IF(Simulations!$J5="",1000,Simulations!$J5))))),PI()*IF(Simulations!$V5="",200,Simulations!$V5)^2/2*(LN(Simulations!$AQ5/IF(Simulations!$J5="",1000,Simulations!$J5))+1))))</f>
        <v>25.1993759131559</v>
      </c>
      <c r="E5" s="0" t="n">
        <f aca="false">IF(NOT(AND(Simulations!$A5&lt;&gt;"",OR(Simulations!$AL5&lt;&gt;"",N(Simulations!$AN5)&gt;0))),0,MAX(N(Simulations!$AO5),N(Simulations!$AP5),N(Simulations!$AQ5))/IF(Simulations!$J5="",1000,Simulations!$J5))</f>
        <v>0.05</v>
      </c>
      <c r="F5" s="0" t="n">
        <f aca="false">IF(OR(NOT(AND(Simulations!$A5&lt;&gt;"",OR(Simulations!$AL5&lt;&gt;"",N(Simulations!$AN5)&gt;0))),N(Simulations!$AM5)&lt;=0),0,SQRT(2*Simulations!$AM5*1000000/(IF(Simulations!$J5="",1000,Simulations!$J5)*1000))/MIN(IF(Simulations!$T5="",200,Simulations!$T5),IF(Simulations!$U5="",200,Simulations!$U5),IF(Simulations!$V5="",200,Simulations!$V5)))</f>
        <v>0.0273861278752583</v>
      </c>
      <c r="G5" s="0" t="n">
        <f aca="false">IF(AND(Simulations!$A5&lt;&gt;"",OR(Simulations!$AL5&lt;&gt;"",N(Simulations!$AN5)&gt;0)),1,0)</f>
        <v>1</v>
      </c>
      <c r="H5" s="0" t="n">
        <f aca="false">IF(OR(NOT(AND(Simulations!$A5&lt;&gt;"",OR(Simulations!$BD5&lt;&gt;"",N(Simulations!$BF5)&gt;0))),N(Simulations!$BG5)&lt;=0,N(Simulations!$BF5)&lt;=0,1&gt;N(IF(Simulations!$O5="",1,Simulations!$O5))),0,IF(Simulations!$BG5&lt;IF(Simulations!$J5="",1000,Simulations!$J5),Simulations!$BF5/(IF(Simulations!$G5="",5000,Simulations!$G5)*IF(Simulations!$H5="",5000,Simulations!$H5)*IF(IF(Simulations!$I5="",5000,Simulations!$I5)&gt;0,IF(Simulations!$I5="",5000,Simulations!$I5),1))*Simulations!$BG5*(PI()/2*IF(Simulations!$T5="",200,Simulations!$T5)^2*IF(IF(Simulations!$I5="",5000,Simulations!$I5)&gt;0,SQRT(PI()/2)*IF(Simulations!$W5="",1000,Simulations!$W5),1)),Simulations!$BF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T5="",200,Simulations!$T5)^2*IF(Simulations!$W5="",1000,Simulations!$W5)/2^1.5*(2/3*LN(Simulations!$BG5/IF(Simulations!$J5="",1000,Simulations!$J5))^1.5+SQRT(LN(Simulations!$BG5/IF(Simulations!$J5="",1000,Simulations!$J5)))+Simulations!$BG5/IF(Simulations!$J5="",1000,Simulations!$J5)*SQRT(PI())/2*ERFC(SQRT(LN(Simulations!$BG5/IF(Simulations!$J5="",1000,Simulations!$J5))))),PI()*IF(Simulations!$T5="",200,Simulations!$T5)^2/2*(LN(Simulations!$BG5/IF(Simulations!$J5="",1000,Simulations!$J5))+1))))</f>
        <v>0</v>
      </c>
      <c r="I5" s="0" t="n">
        <f aca="false">IF(OR(NOT(AND(Simulations!$A5&lt;&gt;"",OR(Simulations!$BD5&lt;&gt;"",N(Simulations!$BF5)&gt;0))),N(Simulations!$BH5)&lt;=0,N(Simulations!$BF5)&lt;=0,2&gt;N(IF(Simulations!$O5="",1,Simulations!$O5))),0,IF(Simulations!$BH5&lt;IF(Simulations!$J5="",1000,Simulations!$J5),Simulations!$BF5/(IF(Simulations!$G5="",5000,Simulations!$G5)*IF(Simulations!$H5="",5000,Simulations!$H5)*IF(IF(Simulations!$I5="",5000,Simulations!$I5)&gt;0,IF(Simulations!$I5="",5000,Simulations!$I5),1))*Simulations!$BH5*(PI()/2*IF(Simulations!$U5="",200,Simulations!$U5)^2*IF(IF(Simulations!$I5="",5000,Simulations!$I5)&gt;0,SQRT(PI()/2)*IF(Simulations!$X5="",1000,Simulations!$X5),1)),Simulations!$BF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U5="",200,Simulations!$U5)^2*IF(Simulations!$X5="",1000,Simulations!$X5)/2^1.5*(2/3*LN(Simulations!$BH5/IF(Simulations!$J5="",1000,Simulations!$J5))^1.5+SQRT(LN(Simulations!$BH5/IF(Simulations!$J5="",1000,Simulations!$J5)))+Simulations!$BH5/IF(Simulations!$J5="",1000,Simulations!$J5)*SQRT(PI())/2*ERFC(SQRT(LN(Simulations!$BH5/IF(Simulations!$J5="",1000,Simulations!$J5))))),PI()*IF(Simulations!$U5="",200,Simulations!$U5)^2/2*(LN(Simulations!$BH5/IF(Simulations!$J5="",1000,Simulations!$J5))+1))))</f>
        <v>0</v>
      </c>
      <c r="J5" s="0" t="n">
        <f aca="false">IF(OR(NOT(AND(Simulations!$A5&lt;&gt;"",OR(Simulations!$BD5&lt;&gt;"",N(Simulations!$BF5)&gt;0))),N(Simulations!$BI5)&lt;=0,N(Simulations!$BF5)&lt;=0,3&gt;N(IF(Simulations!$O5="",1,Simulations!$O5))),0,IF(Simulations!$BI5&lt;IF(Simulations!$J5="",1000,Simulations!$J5),Simulations!$BF5/(IF(Simulations!$G5="",5000,Simulations!$G5)*IF(Simulations!$H5="",5000,Simulations!$H5)*IF(IF(Simulations!$I5="",5000,Simulations!$I5)&gt;0,IF(Simulations!$I5="",5000,Simulations!$I5),1))*Simulations!$BI5*(PI()/2*IF(Simulations!$V5="",200,Simulations!$V5)^2*IF(IF(Simulations!$I5="",5000,Simulations!$I5)&gt;0,SQRT(PI()/2)*IF(Simulations!$Y5="",1000,Simulations!$Y5),1)),Simulations!$BF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V5="",200,Simulations!$V5)^2*IF(Simulations!$Y5="",1000,Simulations!$Y5)/2^1.5*(2/3*LN(Simulations!$BI5/IF(Simulations!$J5="",1000,Simulations!$J5))^1.5+SQRT(LN(Simulations!$BI5/IF(Simulations!$J5="",1000,Simulations!$J5)))+Simulations!$BI5/IF(Simulations!$J5="",1000,Simulations!$J5)*SQRT(PI())/2*ERFC(SQRT(LN(Simulations!$BI5/IF(Simulations!$J5="",1000,Simulations!$J5))))),PI()*IF(Simulations!$V5="",200,Simulations!$V5)^2/2*(LN(Simulations!$BI5/IF(Simulations!$J5="",1000,Simulations!$J5))+1))))</f>
        <v>0</v>
      </c>
      <c r="K5" s="0" t="n">
        <f aca="false">IF(NOT(AND(Simulations!$A5&lt;&gt;"",OR(Simulations!$BD5&lt;&gt;"",N(Simulations!$BF5)&gt;0))),0,MAX(N(Simulations!$BG5),N(Simulations!$BH5),N(Simulations!$BI5))/IF(Simulations!$J5="",1000,Simulations!$J5))</f>
        <v>0</v>
      </c>
      <c r="L5" s="0" t="n">
        <f aca="false">IF(OR(NOT(AND(Simulations!$A5&lt;&gt;"",OR(Simulations!$BD5&lt;&gt;"",N(Simulations!$BF5)&gt;0))),N(Simulations!$BE5)&lt;=0),0,SQRT(2*Simulations!$BE5*1000000/(IF(Simulations!$J5="",1000,Simulations!$J5)*1000))/MIN(IF(Simulations!$T5="",200,Simulations!$T5),IF(Simulations!$U5="",200,Simulations!$U5),IF(Simulations!$V5="",200,Simulations!$V5)))</f>
        <v>0</v>
      </c>
      <c r="M5" s="0" t="n">
        <f aca="false">IF(AND(Simulations!$A5&lt;&gt;"",OR(Simulations!$BD5&lt;&gt;"",N(Simulations!$BF5)&gt;0)),1,0)</f>
        <v>0</v>
      </c>
      <c r="N5" s="0" t="n">
        <f aca="false">IF(OR(NOT(AND(Simulations!$A5&lt;&gt;"",OR(Simulations!$BV5&lt;&gt;"",N(Simulations!$BX5)&gt;0))),N(Simulations!$BY5)&lt;=0,N(Simulations!$BX5)&lt;=0,1&gt;N(IF(Simulations!$O5="",1,Simulations!$O5))),0,IF(Simulations!$BY5&lt;IF(Simulations!$J5="",1000,Simulations!$J5),Simulations!$BX5/(IF(Simulations!$G5="",5000,Simulations!$G5)*IF(Simulations!$H5="",5000,Simulations!$H5)*IF(IF(Simulations!$I5="",5000,Simulations!$I5)&gt;0,IF(Simulations!$I5="",5000,Simulations!$I5),1))*Simulations!$BY5*(PI()/2*IF(Simulations!$T5="",200,Simulations!$T5)^2*IF(IF(Simulations!$I5="",5000,Simulations!$I5)&gt;0,SQRT(PI()/2)*IF(Simulations!$W5="",1000,Simulations!$W5),1)),Simulations!$BX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T5="",200,Simulations!$T5)^2*IF(Simulations!$W5="",1000,Simulations!$W5)/2^1.5*(2/3*LN(Simulations!$BY5/IF(Simulations!$J5="",1000,Simulations!$J5))^1.5+SQRT(LN(Simulations!$BY5/IF(Simulations!$J5="",1000,Simulations!$J5)))+Simulations!$BY5/IF(Simulations!$J5="",1000,Simulations!$J5)*SQRT(PI())/2*ERFC(SQRT(LN(Simulations!$BY5/IF(Simulations!$J5="",1000,Simulations!$J5))))),PI()*IF(Simulations!$T5="",200,Simulations!$T5)^2/2*(LN(Simulations!$BY5/IF(Simulations!$J5="",1000,Simulations!$J5))+1))))</f>
        <v>0</v>
      </c>
      <c r="O5" s="0" t="n">
        <f aca="false">IF(OR(NOT(AND(Simulations!$A5&lt;&gt;"",OR(Simulations!$BV5&lt;&gt;"",N(Simulations!$BX5)&gt;0))),N(Simulations!$BZ5)&lt;=0,N(Simulations!$BX5)&lt;=0,2&gt;N(IF(Simulations!$O5="",1,Simulations!$O5))),0,IF(Simulations!$BZ5&lt;IF(Simulations!$J5="",1000,Simulations!$J5),Simulations!$BX5/(IF(Simulations!$G5="",5000,Simulations!$G5)*IF(Simulations!$H5="",5000,Simulations!$H5)*IF(IF(Simulations!$I5="",5000,Simulations!$I5)&gt;0,IF(Simulations!$I5="",5000,Simulations!$I5),1))*Simulations!$BZ5*(PI()/2*IF(Simulations!$U5="",200,Simulations!$U5)^2*IF(IF(Simulations!$I5="",5000,Simulations!$I5)&gt;0,SQRT(PI()/2)*IF(Simulations!$X5="",1000,Simulations!$X5),1)),Simulations!$BX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U5="",200,Simulations!$U5)^2*IF(Simulations!$X5="",1000,Simulations!$X5)/2^1.5*(2/3*LN(Simulations!$BZ5/IF(Simulations!$J5="",1000,Simulations!$J5))^1.5+SQRT(LN(Simulations!$BZ5/IF(Simulations!$J5="",1000,Simulations!$J5)))+Simulations!$BZ5/IF(Simulations!$J5="",1000,Simulations!$J5)*SQRT(PI())/2*ERFC(SQRT(LN(Simulations!$BZ5/IF(Simulations!$J5="",1000,Simulations!$J5))))),PI()*IF(Simulations!$U5="",200,Simulations!$U5)^2/2*(LN(Simulations!$BZ5/IF(Simulations!$J5="",1000,Simulations!$J5))+1))))</f>
        <v>0</v>
      </c>
      <c r="P5" s="0" t="n">
        <f aca="false">IF(OR(NOT(AND(Simulations!$A5&lt;&gt;"",OR(Simulations!$BV5&lt;&gt;"",N(Simulations!$BX5)&gt;0))),N(Simulations!$CA5)&lt;=0,N(Simulations!$BX5)&lt;=0,3&gt;N(IF(Simulations!$O5="",1,Simulations!$O5))),0,IF(Simulations!$CA5&lt;IF(Simulations!$J5="",1000,Simulations!$J5),Simulations!$BX5/(IF(Simulations!$G5="",5000,Simulations!$G5)*IF(Simulations!$H5="",5000,Simulations!$H5)*IF(IF(Simulations!$I5="",5000,Simulations!$I5)&gt;0,IF(Simulations!$I5="",5000,Simulations!$I5),1))*Simulations!$CA5*(PI()/2*IF(Simulations!$V5="",200,Simulations!$V5)^2*IF(IF(Simulations!$I5="",5000,Simulations!$I5)&gt;0,SQRT(PI()/2)*IF(Simulations!$Y5="",1000,Simulations!$Y5),1)),Simulations!$BX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V5="",200,Simulations!$V5)^2*IF(Simulations!$Y5="",1000,Simulations!$Y5)/2^1.5*(2/3*LN(Simulations!$CA5/IF(Simulations!$J5="",1000,Simulations!$J5))^1.5+SQRT(LN(Simulations!$CA5/IF(Simulations!$J5="",1000,Simulations!$J5)))+Simulations!$CA5/IF(Simulations!$J5="",1000,Simulations!$J5)*SQRT(PI())/2*ERFC(SQRT(LN(Simulations!$CA5/IF(Simulations!$J5="",1000,Simulations!$J5))))),PI()*IF(Simulations!$V5="",200,Simulations!$V5)^2/2*(LN(Simulations!$CA5/IF(Simulations!$J5="",1000,Simulations!$J5))+1))))</f>
        <v>0</v>
      </c>
      <c r="Q5" s="0" t="n">
        <f aca="false">IF(NOT(AND(Simulations!$A5&lt;&gt;"",OR(Simulations!$BV5&lt;&gt;"",N(Simulations!$BX5)&gt;0))),0,MAX(N(Simulations!$BY5),N(Simulations!$BZ5),N(Simulations!$CA5))/IF(Simulations!$J5="",1000,Simulations!$J5))</f>
        <v>0</v>
      </c>
      <c r="R5" s="0" t="n">
        <f aca="false">IF(OR(NOT(AND(Simulations!$A5&lt;&gt;"",OR(Simulations!$BV5&lt;&gt;"",N(Simulations!$BX5)&gt;0))),N(Simulations!$BW5)&lt;=0),0,SQRT(2*Simulations!$BW5*1000000/(IF(Simulations!$J5="",1000,Simulations!$J5)*1000))/MIN(IF(Simulations!$T5="",200,Simulations!$T5),IF(Simulations!$U5="",200,Simulations!$U5),IF(Simulations!$V5="",200,Simulations!$V5)))</f>
        <v>0</v>
      </c>
      <c r="S5" s="0" t="n">
        <f aca="false">IF(AND(Simulations!$A5&lt;&gt;"",OR(Simulations!$BV5&lt;&gt;"",N(Simulations!$BX5)&gt;0)),1,0)</f>
        <v>0</v>
      </c>
      <c r="T5" s="0" t="n">
        <f aca="false">IF(OR(NOT(AND(Simulations!$A5&lt;&gt;"",OR(Simulations!$CN5&lt;&gt;"",N(Simulations!$CP5)&gt;0))),N(Simulations!$CQ5)&lt;=0,N(Simulations!$CP5)&lt;=0,1&gt;N(IF(Simulations!$O5="",1,Simulations!$O5))),0,IF(Simulations!$CQ5&lt;IF(Simulations!$J5="",1000,Simulations!$J5),Simulations!$CP5/(IF(Simulations!$G5="",5000,Simulations!$G5)*IF(Simulations!$H5="",5000,Simulations!$H5)*IF(IF(Simulations!$I5="",5000,Simulations!$I5)&gt;0,IF(Simulations!$I5="",5000,Simulations!$I5),1))*Simulations!$CQ5*(PI()/2*IF(Simulations!$T5="",200,Simulations!$T5)^2*IF(IF(Simulations!$I5="",5000,Simulations!$I5)&gt;0,SQRT(PI()/2)*IF(Simulations!$W5="",1000,Simulations!$W5),1)),Simulations!$CP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T5="",200,Simulations!$T5)^2*IF(Simulations!$W5="",1000,Simulations!$W5)/2^1.5*(2/3*LN(Simulations!$CQ5/IF(Simulations!$J5="",1000,Simulations!$J5))^1.5+SQRT(LN(Simulations!$CQ5/IF(Simulations!$J5="",1000,Simulations!$J5)))+Simulations!$CQ5/IF(Simulations!$J5="",1000,Simulations!$J5)*SQRT(PI())/2*ERFC(SQRT(LN(Simulations!$CQ5/IF(Simulations!$J5="",1000,Simulations!$J5))))),PI()*IF(Simulations!$T5="",200,Simulations!$T5)^2/2*(LN(Simulations!$CQ5/IF(Simulations!$J5="",1000,Simulations!$J5))+1))))</f>
        <v>0</v>
      </c>
      <c r="U5" s="0" t="n">
        <f aca="false">IF(OR(NOT(AND(Simulations!$A5&lt;&gt;"",OR(Simulations!$CN5&lt;&gt;"",N(Simulations!$CP5)&gt;0))),N(Simulations!$CR5)&lt;=0,N(Simulations!$CP5)&lt;=0,2&gt;N(IF(Simulations!$O5="",1,Simulations!$O5))),0,IF(Simulations!$CR5&lt;IF(Simulations!$J5="",1000,Simulations!$J5),Simulations!$CP5/(IF(Simulations!$G5="",5000,Simulations!$G5)*IF(Simulations!$H5="",5000,Simulations!$H5)*IF(IF(Simulations!$I5="",5000,Simulations!$I5)&gt;0,IF(Simulations!$I5="",5000,Simulations!$I5),1))*Simulations!$CR5*(PI()/2*IF(Simulations!$U5="",200,Simulations!$U5)^2*IF(IF(Simulations!$I5="",5000,Simulations!$I5)&gt;0,SQRT(PI()/2)*IF(Simulations!$X5="",1000,Simulations!$X5),1)),Simulations!$CP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U5="",200,Simulations!$U5)^2*IF(Simulations!$X5="",1000,Simulations!$X5)/2^1.5*(2/3*LN(Simulations!$CR5/IF(Simulations!$J5="",1000,Simulations!$J5))^1.5+SQRT(LN(Simulations!$CR5/IF(Simulations!$J5="",1000,Simulations!$J5)))+Simulations!$CR5/IF(Simulations!$J5="",1000,Simulations!$J5)*SQRT(PI())/2*ERFC(SQRT(LN(Simulations!$CR5/IF(Simulations!$J5="",1000,Simulations!$J5))))),PI()*IF(Simulations!$U5="",200,Simulations!$U5)^2/2*(LN(Simulations!$CR5/IF(Simulations!$J5="",1000,Simulations!$J5))+1))))</f>
        <v>0</v>
      </c>
      <c r="V5" s="0" t="n">
        <f aca="false">IF(OR(NOT(AND(Simulations!$A5&lt;&gt;"",OR(Simulations!$CN5&lt;&gt;"",N(Simulations!$CP5)&gt;0))),N(Simulations!$CS5)&lt;=0,N(Simulations!$CP5)&lt;=0,3&gt;N(IF(Simulations!$O5="",1,Simulations!$O5))),0,IF(Simulations!$CS5&lt;IF(Simulations!$J5="",1000,Simulations!$J5),Simulations!$CP5/(IF(Simulations!$G5="",5000,Simulations!$G5)*IF(Simulations!$H5="",5000,Simulations!$H5)*IF(IF(Simulations!$I5="",5000,Simulations!$I5)&gt;0,IF(Simulations!$I5="",5000,Simulations!$I5),1))*Simulations!$CS5*(PI()/2*IF(Simulations!$V5="",200,Simulations!$V5)^2*IF(IF(Simulations!$I5="",5000,Simulations!$I5)&gt;0,SQRT(PI()/2)*IF(Simulations!$Y5="",1000,Simulations!$Y5),1)),Simulations!$CP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V5="",200,Simulations!$V5)^2*IF(Simulations!$Y5="",1000,Simulations!$Y5)/2^1.5*(2/3*LN(Simulations!$CS5/IF(Simulations!$J5="",1000,Simulations!$J5))^1.5+SQRT(LN(Simulations!$CS5/IF(Simulations!$J5="",1000,Simulations!$J5)))+Simulations!$CS5/IF(Simulations!$J5="",1000,Simulations!$J5)*SQRT(PI())/2*ERFC(SQRT(LN(Simulations!$CS5/IF(Simulations!$J5="",1000,Simulations!$J5))))),PI()*IF(Simulations!$V5="",200,Simulations!$V5)^2/2*(LN(Simulations!$CS5/IF(Simulations!$J5="",1000,Simulations!$J5))+1))))</f>
        <v>0</v>
      </c>
      <c r="W5" s="0" t="n">
        <f aca="false">IF(NOT(AND(Simulations!$A5&lt;&gt;"",OR(Simulations!$CN5&lt;&gt;"",N(Simulations!$CP5)&gt;0))),0,MAX(N(Simulations!$CQ5),N(Simulations!$CR5),N(Simulations!$CS5))/IF(Simulations!$J5="",1000,Simulations!$J5))</f>
        <v>0</v>
      </c>
      <c r="X5" s="0" t="n">
        <f aca="false">IF(OR(NOT(AND(Simulations!$A5&lt;&gt;"",OR(Simulations!$CN5&lt;&gt;"",N(Simulations!$CP5)&gt;0))),N(Simulations!$CO5)&lt;=0),0,SQRT(2*Simulations!$CO5*1000000/(IF(Simulations!$J5="",1000,Simulations!$J5)*1000))/MIN(IF(Simulations!$T5="",200,Simulations!$T5),IF(Simulations!$U5="",200,Simulations!$U5),IF(Simulations!$V5="",200,Simulations!$V5)))</f>
        <v>0</v>
      </c>
      <c r="Y5" s="0" t="n">
        <f aca="false">IF(AND(Simulations!$A5&lt;&gt;"",OR(Simulations!$CN5&lt;&gt;"",N(Simulations!$CP5)&gt;0)),1,0)</f>
        <v>0</v>
      </c>
      <c r="Z5" s="0" t="n">
        <f aca="false">IF(OR(NOT(AND(Simulations!$A5&lt;&gt;"",OR(Simulations!$DF5&lt;&gt;"",N(Simulations!$DH5)&gt;0))),N(Simulations!$DI5)&lt;=0,N(Simulations!$DH5)&lt;=0,1&gt;N(IF(Simulations!$O5="",1,Simulations!$O5))),0,IF(Simulations!$DI5&lt;IF(Simulations!$J5="",1000,Simulations!$J5),Simulations!$DH5/(IF(Simulations!$G5="",5000,Simulations!$G5)*IF(Simulations!$H5="",5000,Simulations!$H5)*IF(IF(Simulations!$I5="",5000,Simulations!$I5)&gt;0,IF(Simulations!$I5="",5000,Simulations!$I5),1))*Simulations!$DI5*(PI()/2*IF(Simulations!$T5="",200,Simulations!$T5)^2*IF(IF(Simulations!$I5="",5000,Simulations!$I5)&gt;0,SQRT(PI()/2)*IF(Simulations!$W5="",1000,Simulations!$W5),1)),Simulations!$DH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T5="",200,Simulations!$T5)^2*IF(Simulations!$W5="",1000,Simulations!$W5)/2^1.5*(2/3*LN(Simulations!$DI5/IF(Simulations!$J5="",1000,Simulations!$J5))^1.5+SQRT(LN(Simulations!$DI5/IF(Simulations!$J5="",1000,Simulations!$J5)))+Simulations!$DI5/IF(Simulations!$J5="",1000,Simulations!$J5)*SQRT(PI())/2*ERFC(SQRT(LN(Simulations!$DI5/IF(Simulations!$J5="",1000,Simulations!$J5))))),PI()*IF(Simulations!$T5="",200,Simulations!$T5)^2/2*(LN(Simulations!$DI5/IF(Simulations!$J5="",1000,Simulations!$J5))+1))))</f>
        <v>0</v>
      </c>
      <c r="AA5" s="0" t="n">
        <f aca="false">IF(OR(NOT(AND(Simulations!$A5&lt;&gt;"",OR(Simulations!$DF5&lt;&gt;"",N(Simulations!$DH5)&gt;0))),N(Simulations!$DJ5)&lt;=0,N(Simulations!$DH5)&lt;=0,2&gt;N(IF(Simulations!$O5="",1,Simulations!$O5))),0,IF(Simulations!$DJ5&lt;IF(Simulations!$J5="",1000,Simulations!$J5),Simulations!$DH5/(IF(Simulations!$G5="",5000,Simulations!$G5)*IF(Simulations!$H5="",5000,Simulations!$H5)*IF(IF(Simulations!$I5="",5000,Simulations!$I5)&gt;0,IF(Simulations!$I5="",5000,Simulations!$I5),1))*Simulations!$DJ5*(PI()/2*IF(Simulations!$U5="",200,Simulations!$U5)^2*IF(IF(Simulations!$I5="",5000,Simulations!$I5)&gt;0,SQRT(PI()/2)*IF(Simulations!$X5="",1000,Simulations!$X5),1)),Simulations!$DH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U5="",200,Simulations!$U5)^2*IF(Simulations!$X5="",1000,Simulations!$X5)/2^1.5*(2/3*LN(Simulations!$DJ5/IF(Simulations!$J5="",1000,Simulations!$J5))^1.5+SQRT(LN(Simulations!$DJ5/IF(Simulations!$J5="",1000,Simulations!$J5)))+Simulations!$DJ5/IF(Simulations!$J5="",1000,Simulations!$J5)*SQRT(PI())/2*ERFC(SQRT(LN(Simulations!$DJ5/IF(Simulations!$J5="",1000,Simulations!$J5))))),PI()*IF(Simulations!$U5="",200,Simulations!$U5)^2/2*(LN(Simulations!$DJ5/IF(Simulations!$J5="",1000,Simulations!$J5))+1))))</f>
        <v>0</v>
      </c>
      <c r="AB5" s="0" t="n">
        <f aca="false">IF(OR(NOT(AND(Simulations!$A5&lt;&gt;"",OR(Simulations!$DF5&lt;&gt;"",N(Simulations!$DH5)&gt;0))),N(Simulations!$DK5)&lt;=0,N(Simulations!$DH5)&lt;=0,3&gt;N(IF(Simulations!$O5="",1,Simulations!$O5))),0,IF(Simulations!$DK5&lt;IF(Simulations!$J5="",1000,Simulations!$J5),Simulations!$DH5/(IF(Simulations!$G5="",5000,Simulations!$G5)*IF(Simulations!$H5="",5000,Simulations!$H5)*IF(IF(Simulations!$I5="",5000,Simulations!$I5)&gt;0,IF(Simulations!$I5="",5000,Simulations!$I5),1))*Simulations!$DK5*(PI()/2*IF(Simulations!$V5="",200,Simulations!$V5)^2*IF(IF(Simulations!$I5="",5000,Simulations!$I5)&gt;0,SQRT(PI()/2)*IF(Simulations!$Y5="",1000,Simulations!$Y5),1)),Simulations!$DH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V5="",200,Simulations!$V5)^2*IF(Simulations!$Y5="",1000,Simulations!$Y5)/2^1.5*(2/3*LN(Simulations!$DK5/IF(Simulations!$J5="",1000,Simulations!$J5))^1.5+SQRT(LN(Simulations!$DK5/IF(Simulations!$J5="",1000,Simulations!$J5)))+Simulations!$DK5/IF(Simulations!$J5="",1000,Simulations!$J5)*SQRT(PI())/2*ERFC(SQRT(LN(Simulations!$DK5/IF(Simulations!$J5="",1000,Simulations!$J5))))),PI()*IF(Simulations!$V5="",200,Simulations!$V5)^2/2*(LN(Simulations!$DK5/IF(Simulations!$J5="",1000,Simulations!$J5))+1))))</f>
        <v>0</v>
      </c>
      <c r="AC5" s="0" t="n">
        <f aca="false">IF(NOT(AND(Simulations!$A5&lt;&gt;"",OR(Simulations!$DF5&lt;&gt;"",N(Simulations!$DH5)&gt;0))),0,MAX(N(Simulations!$DI5),N(Simulations!$DJ5),N(Simulations!$DK5))/IF(Simulations!$J5="",1000,Simulations!$J5))</f>
        <v>0</v>
      </c>
      <c r="AD5" s="0" t="n">
        <f aca="false">IF(OR(NOT(AND(Simulations!$A5&lt;&gt;"",OR(Simulations!$DF5&lt;&gt;"",N(Simulations!$DH5)&gt;0))),N(Simulations!$DG5)&lt;=0),0,SQRT(2*Simulations!$DG5*1000000/(IF(Simulations!$J5="",1000,Simulations!$J5)*1000))/MIN(IF(Simulations!$T5="",200,Simulations!$T5),IF(Simulations!$U5="",200,Simulations!$U5),IF(Simulations!$V5="",200,Simulations!$V5)))</f>
        <v>0</v>
      </c>
      <c r="AE5" s="0" t="n">
        <f aca="false">IF(AND(Simulations!$A5&lt;&gt;"",OR(Simulations!$DF5&lt;&gt;"",N(Simulations!$DH5)&gt;0)),1,0)</f>
        <v>0</v>
      </c>
      <c r="AF5" s="0" t="n">
        <f aca="false">IF(OR(NOT(AND(Simulations!$A5&lt;&gt;"",OR(Simulations!$DX5&lt;&gt;"",N(Simulations!$DZ5)&gt;0))),N(Simulations!$EA5)&lt;=0,N(Simulations!$DZ5)&lt;=0,1&gt;N(IF(Simulations!$O5="",1,Simulations!$O5))),0,IF(Simulations!$EA5&lt;IF(Simulations!$J5="",1000,Simulations!$J5),Simulations!$DZ5/(IF(Simulations!$G5="",5000,Simulations!$G5)*IF(Simulations!$H5="",5000,Simulations!$H5)*IF(IF(Simulations!$I5="",5000,Simulations!$I5)&gt;0,IF(Simulations!$I5="",5000,Simulations!$I5),1))*Simulations!$EA5*(PI()/2*IF(Simulations!$T5="",200,Simulations!$T5)^2*IF(IF(Simulations!$I5="",5000,Simulations!$I5)&gt;0,SQRT(PI()/2)*IF(Simulations!$W5="",1000,Simulations!$W5),1)),Simulations!$DZ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T5="",200,Simulations!$T5)^2*IF(Simulations!$W5="",1000,Simulations!$W5)/2^1.5*(2/3*LN(Simulations!$EA5/IF(Simulations!$J5="",1000,Simulations!$J5))^1.5+SQRT(LN(Simulations!$EA5/IF(Simulations!$J5="",1000,Simulations!$J5)))+Simulations!$EA5/IF(Simulations!$J5="",1000,Simulations!$J5)*SQRT(PI())/2*ERFC(SQRT(LN(Simulations!$EA5/IF(Simulations!$J5="",1000,Simulations!$J5))))),PI()*IF(Simulations!$T5="",200,Simulations!$T5)^2/2*(LN(Simulations!$EA5/IF(Simulations!$J5="",1000,Simulations!$J5))+1))))</f>
        <v>0</v>
      </c>
      <c r="AG5" s="0" t="n">
        <f aca="false">IF(OR(NOT(AND(Simulations!$A5&lt;&gt;"",OR(Simulations!$DX5&lt;&gt;"",N(Simulations!$DZ5)&gt;0))),N(Simulations!$EB5)&lt;=0,N(Simulations!$DZ5)&lt;=0,2&gt;N(IF(Simulations!$O5="",1,Simulations!$O5))),0,IF(Simulations!$EB5&lt;IF(Simulations!$J5="",1000,Simulations!$J5),Simulations!$DZ5/(IF(Simulations!$G5="",5000,Simulations!$G5)*IF(Simulations!$H5="",5000,Simulations!$H5)*IF(IF(Simulations!$I5="",5000,Simulations!$I5)&gt;0,IF(Simulations!$I5="",5000,Simulations!$I5),1))*Simulations!$EB5*(PI()/2*IF(Simulations!$U5="",200,Simulations!$U5)^2*IF(IF(Simulations!$I5="",5000,Simulations!$I5)&gt;0,SQRT(PI()/2)*IF(Simulations!$X5="",1000,Simulations!$X5),1)),Simulations!$DZ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U5="",200,Simulations!$U5)^2*IF(Simulations!$X5="",1000,Simulations!$X5)/2^1.5*(2/3*LN(Simulations!$EB5/IF(Simulations!$J5="",1000,Simulations!$J5))^1.5+SQRT(LN(Simulations!$EB5/IF(Simulations!$J5="",1000,Simulations!$J5)))+Simulations!$EB5/IF(Simulations!$J5="",1000,Simulations!$J5)*SQRT(PI())/2*ERFC(SQRT(LN(Simulations!$EB5/IF(Simulations!$J5="",1000,Simulations!$J5))))),PI()*IF(Simulations!$U5="",200,Simulations!$U5)^2/2*(LN(Simulations!$EB5/IF(Simulations!$J5="",1000,Simulations!$J5))+1))))</f>
        <v>0</v>
      </c>
      <c r="AH5" s="0" t="n">
        <f aca="false">IF(OR(NOT(AND(Simulations!$A5&lt;&gt;"",OR(Simulations!$DX5&lt;&gt;"",N(Simulations!$DZ5)&gt;0))),N(Simulations!$EC5)&lt;=0,N(Simulations!$DZ5)&lt;=0,3&gt;N(IF(Simulations!$O5="",1,Simulations!$O5))),0,IF(Simulations!$EC5&lt;IF(Simulations!$J5="",1000,Simulations!$J5),Simulations!$DZ5/(IF(Simulations!$G5="",5000,Simulations!$G5)*IF(Simulations!$H5="",5000,Simulations!$H5)*IF(IF(Simulations!$I5="",5000,Simulations!$I5)&gt;0,IF(Simulations!$I5="",5000,Simulations!$I5),1))*Simulations!$EC5*(PI()/2*IF(Simulations!$V5="",200,Simulations!$V5)^2*IF(IF(Simulations!$I5="",5000,Simulations!$I5)&gt;0,SQRT(PI()/2)*IF(Simulations!$Y5="",1000,Simulations!$Y5),1)),Simulations!$DZ5/(IF(Simulations!$G5="",5000,Simulations!$G5)*IF(Simulations!$H5="",5000,Simulations!$H5)*IF(IF(Simulations!$I5="",5000,Simulations!$I5)&gt;0,IF(Simulations!$I5="",5000,Simulations!$I5),1))*IF(Simulations!$J5="",1000,Simulations!$J5)*IF(IF(Simulations!$I5="",5000,Simulations!$I5)&gt;0,2*PI()*IF(Simulations!$V5="",200,Simulations!$V5)^2*IF(Simulations!$Y5="",1000,Simulations!$Y5)/2^1.5*(2/3*LN(Simulations!$EC5/IF(Simulations!$J5="",1000,Simulations!$J5))^1.5+SQRT(LN(Simulations!$EC5/IF(Simulations!$J5="",1000,Simulations!$J5)))+Simulations!$EC5/IF(Simulations!$J5="",1000,Simulations!$J5)*SQRT(PI())/2*ERFC(SQRT(LN(Simulations!$EC5/IF(Simulations!$J5="",1000,Simulations!$J5))))),PI()*IF(Simulations!$V5="",200,Simulations!$V5)^2/2*(LN(Simulations!$EC5/IF(Simulations!$J5="",1000,Simulations!$J5))+1))))</f>
        <v>0</v>
      </c>
      <c r="AI5" s="0" t="n">
        <f aca="false">IF(NOT(AND(Simulations!$A5&lt;&gt;"",OR(Simulations!$DX5&lt;&gt;"",N(Simulations!$DZ5)&gt;0))),0,MAX(N(Simulations!$EA5),N(Simulations!$EB5),N(Simulations!$EC5))/IF(Simulations!$J5="",1000,Simulations!$J5))</f>
        <v>0</v>
      </c>
      <c r="AJ5" s="0" t="n">
        <f aca="false">IF(OR(NOT(AND(Simulations!$A5&lt;&gt;"",OR(Simulations!$DX5&lt;&gt;"",N(Simulations!$DZ5)&gt;0))),N(Simulations!$DY5)&lt;=0),0,SQRT(2*Simulations!$DY5*1000000/(IF(Simulations!$J5="",1000,Simulations!$J5)*1000))/MIN(IF(Simulations!$T5="",200,Simulations!$T5),IF(Simulations!$U5="",200,Simulations!$U5),IF(Simulations!$V5="",200,Simulations!$V5)))</f>
        <v>0</v>
      </c>
      <c r="AK5" s="0" t="n">
        <f aca="false">IF(AND(Simulations!$A5&lt;&gt;"",OR(Simulations!$DX5&lt;&gt;"",N(Simulations!$DZ5)&gt;0)),1,0)</f>
        <v>0</v>
      </c>
    </row>
    <row r="6" customFormat="false" ht="15" hidden="false" customHeight="false" outlineLevel="0" collapsed="false">
      <c r="B6" s="0" t="n">
        <f aca="false">IF(OR(NOT(AND(Simulations!$A6&lt;&gt;"",OR(Simulations!$AL6&lt;&gt;"",N(Simulations!$AN6)&gt;0))),N(Simulations!$AO6)&lt;=0,N(Simulations!$AN6)&lt;=0,1&gt;N(IF(Simulations!$O6="",1,Simulations!$O6))),0,IF(Simulations!$AO6&lt;IF(Simulations!$J6="",1000,Simulations!$J6),Simulations!$AN6/(IF(Simulations!$G6="",5000,Simulations!$G6)*IF(Simulations!$H6="",5000,Simulations!$H6)*IF(IF(Simulations!$I6="",5000,Simulations!$I6)&gt;0,IF(Simulations!$I6="",5000,Simulations!$I6),1))*Simulations!$AO6*(PI()/2*IF(Simulations!$T6="",200,Simulations!$T6)^2*IF(IF(Simulations!$I6="",5000,Simulations!$I6)&gt;0,SQRT(PI()/2)*IF(Simulations!$W6="",1000,Simulations!$W6),1)),Simulations!$AN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T6="",200,Simulations!$T6)^2*IF(Simulations!$W6="",1000,Simulations!$W6)/2^1.5*(2/3*LN(Simulations!$AO6/IF(Simulations!$J6="",1000,Simulations!$J6))^1.5+SQRT(LN(Simulations!$AO6/IF(Simulations!$J6="",1000,Simulations!$J6)))+Simulations!$AO6/IF(Simulations!$J6="",1000,Simulations!$J6)*SQRT(PI())/2*ERFC(SQRT(LN(Simulations!$AO6/IF(Simulations!$J6="",1000,Simulations!$J6))))),PI()*IF(Simulations!$T6="",200,Simulations!$T6)^2/2*(LN(Simulations!$AO6/IF(Simulations!$J6="",1000,Simulations!$J6))+1))))</f>
        <v>25.1993759131559</v>
      </c>
      <c r="C6" s="0" t="n">
        <f aca="false">IF(OR(NOT(AND(Simulations!$A6&lt;&gt;"",OR(Simulations!$AL6&lt;&gt;"",N(Simulations!$AN6)&gt;0))),N(Simulations!$AP6)&lt;=0,N(Simulations!$AN6)&lt;=0,2&gt;N(IF(Simulations!$O6="",1,Simulations!$O6))),0,IF(Simulations!$AP6&lt;IF(Simulations!$J6="",1000,Simulations!$J6),Simulations!$AN6/(IF(Simulations!$G6="",5000,Simulations!$G6)*IF(Simulations!$H6="",5000,Simulations!$H6)*IF(IF(Simulations!$I6="",5000,Simulations!$I6)&gt;0,IF(Simulations!$I6="",5000,Simulations!$I6),1))*Simulations!$AP6*(PI()/2*IF(Simulations!$U6="",200,Simulations!$U6)^2*IF(IF(Simulations!$I6="",5000,Simulations!$I6)&gt;0,SQRT(PI()/2)*IF(Simulations!$X6="",1000,Simulations!$X6),1)),Simulations!$AN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U6="",200,Simulations!$U6)^2*IF(Simulations!$X6="",1000,Simulations!$X6)/2^1.5*(2/3*LN(Simulations!$AP6/IF(Simulations!$J6="",1000,Simulations!$J6))^1.5+SQRT(LN(Simulations!$AP6/IF(Simulations!$J6="",1000,Simulations!$J6)))+Simulations!$AP6/IF(Simulations!$J6="",1000,Simulations!$J6)*SQRT(PI())/2*ERFC(SQRT(LN(Simulations!$AP6/IF(Simulations!$J6="",1000,Simulations!$J6))))),PI()*IF(Simulations!$U6="",200,Simulations!$U6)^2/2*(LN(Simulations!$AP6/IF(Simulations!$J6="",1000,Simulations!$J6))+1))))</f>
        <v>25.1993759131559</v>
      </c>
      <c r="D6" s="0" t="n">
        <f aca="false">IF(OR(NOT(AND(Simulations!$A6&lt;&gt;"",OR(Simulations!$AL6&lt;&gt;"",N(Simulations!$AN6)&gt;0))),N(Simulations!$AQ6)&lt;=0,N(Simulations!$AN6)&lt;=0,3&gt;N(IF(Simulations!$O6="",1,Simulations!$O6))),0,IF(Simulations!$AQ6&lt;IF(Simulations!$J6="",1000,Simulations!$J6),Simulations!$AN6/(IF(Simulations!$G6="",5000,Simulations!$G6)*IF(Simulations!$H6="",5000,Simulations!$H6)*IF(IF(Simulations!$I6="",5000,Simulations!$I6)&gt;0,IF(Simulations!$I6="",5000,Simulations!$I6),1))*Simulations!$AQ6*(PI()/2*IF(Simulations!$V6="",200,Simulations!$V6)^2*IF(IF(Simulations!$I6="",5000,Simulations!$I6)&gt;0,SQRT(PI()/2)*IF(Simulations!$Y6="",1000,Simulations!$Y6),1)),Simulations!$AN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V6="",200,Simulations!$V6)^2*IF(Simulations!$Y6="",1000,Simulations!$Y6)/2^1.5*(2/3*LN(Simulations!$AQ6/IF(Simulations!$J6="",1000,Simulations!$J6))^1.5+SQRT(LN(Simulations!$AQ6/IF(Simulations!$J6="",1000,Simulations!$J6)))+Simulations!$AQ6/IF(Simulations!$J6="",1000,Simulations!$J6)*SQRT(PI())/2*ERFC(SQRT(LN(Simulations!$AQ6/IF(Simulations!$J6="",1000,Simulations!$J6))))),PI()*IF(Simulations!$V6="",200,Simulations!$V6)^2/2*(LN(Simulations!$AQ6/IF(Simulations!$J6="",1000,Simulations!$J6))+1))))</f>
        <v>0</v>
      </c>
      <c r="E6" s="0" t="n">
        <f aca="false">IF(NOT(AND(Simulations!$A6&lt;&gt;"",OR(Simulations!$AL6&lt;&gt;"",N(Simulations!$AN6)&gt;0))),0,MAX(N(Simulations!$AO6),N(Simulations!$AP6),N(Simulations!$AQ6))/IF(Simulations!$J6="",1000,Simulations!$J6))</f>
        <v>0.05</v>
      </c>
      <c r="F6" s="0" t="n">
        <f aca="false">IF(OR(NOT(AND(Simulations!$A6&lt;&gt;"",OR(Simulations!$AL6&lt;&gt;"",N(Simulations!$AN6)&gt;0))),N(Simulations!$AM6)&lt;=0),0,SQRT(2*Simulations!$AM6*1000000/(IF(Simulations!$J6="",1000,Simulations!$J6)*1000))/MIN(IF(Simulations!$T6="",200,Simulations!$T6),IF(Simulations!$U6="",200,Simulations!$U6),IF(Simulations!$V6="",200,Simulations!$V6)))</f>
        <v>0.05</v>
      </c>
      <c r="G6" s="0" t="n">
        <f aca="false">IF(AND(Simulations!$A6&lt;&gt;"",OR(Simulations!$AL6&lt;&gt;"",N(Simulations!$AN6)&gt;0)),1,0)</f>
        <v>1</v>
      </c>
      <c r="H6" s="0" t="n">
        <f aca="false">IF(OR(NOT(AND(Simulations!$A6&lt;&gt;"",OR(Simulations!$BD6&lt;&gt;"",N(Simulations!$BF6)&gt;0))),N(Simulations!$BG6)&lt;=0,N(Simulations!$BF6)&lt;=0,1&gt;N(IF(Simulations!$O6="",1,Simulations!$O6))),0,IF(Simulations!$BG6&lt;IF(Simulations!$J6="",1000,Simulations!$J6),Simulations!$BF6/(IF(Simulations!$G6="",5000,Simulations!$G6)*IF(Simulations!$H6="",5000,Simulations!$H6)*IF(IF(Simulations!$I6="",5000,Simulations!$I6)&gt;0,IF(Simulations!$I6="",5000,Simulations!$I6),1))*Simulations!$BG6*(PI()/2*IF(Simulations!$T6="",200,Simulations!$T6)^2*IF(IF(Simulations!$I6="",5000,Simulations!$I6)&gt;0,SQRT(PI()/2)*IF(Simulations!$W6="",1000,Simulations!$W6),1)),Simulations!$BF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T6="",200,Simulations!$T6)^2*IF(Simulations!$W6="",1000,Simulations!$W6)/2^1.5*(2/3*LN(Simulations!$BG6/IF(Simulations!$J6="",1000,Simulations!$J6))^1.5+SQRT(LN(Simulations!$BG6/IF(Simulations!$J6="",1000,Simulations!$J6)))+Simulations!$BG6/IF(Simulations!$J6="",1000,Simulations!$J6)*SQRT(PI())/2*ERFC(SQRT(LN(Simulations!$BG6/IF(Simulations!$J6="",1000,Simulations!$J6))))),PI()*IF(Simulations!$T6="",200,Simulations!$T6)^2/2*(LN(Simulations!$BG6/IF(Simulations!$J6="",1000,Simulations!$J6))+1))))</f>
        <v>3.14992198914448</v>
      </c>
      <c r="I6" s="0" t="n">
        <f aca="false">IF(OR(NOT(AND(Simulations!$A6&lt;&gt;"",OR(Simulations!$BD6&lt;&gt;"",N(Simulations!$BF6)&gt;0))),N(Simulations!$BH6)&lt;=0,N(Simulations!$BF6)&lt;=0,2&gt;N(IF(Simulations!$O6="",1,Simulations!$O6))),0,IF(Simulations!$BH6&lt;IF(Simulations!$J6="",1000,Simulations!$J6),Simulations!$BF6/(IF(Simulations!$G6="",5000,Simulations!$G6)*IF(Simulations!$H6="",5000,Simulations!$H6)*IF(IF(Simulations!$I6="",5000,Simulations!$I6)&gt;0,IF(Simulations!$I6="",5000,Simulations!$I6),1))*Simulations!$BH6*(PI()/2*IF(Simulations!$U6="",200,Simulations!$U6)^2*IF(IF(Simulations!$I6="",5000,Simulations!$I6)&gt;0,SQRT(PI()/2)*IF(Simulations!$X6="",1000,Simulations!$X6),1)),Simulations!$BF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U6="",200,Simulations!$U6)^2*IF(Simulations!$X6="",1000,Simulations!$X6)/2^1.5*(2/3*LN(Simulations!$BH6/IF(Simulations!$J6="",1000,Simulations!$J6))^1.5+SQRT(LN(Simulations!$BH6/IF(Simulations!$J6="",1000,Simulations!$J6)))+Simulations!$BH6/IF(Simulations!$J6="",1000,Simulations!$J6)*SQRT(PI())/2*ERFC(SQRT(LN(Simulations!$BH6/IF(Simulations!$J6="",1000,Simulations!$J6))))),PI()*IF(Simulations!$U6="",200,Simulations!$U6)^2/2*(LN(Simulations!$BH6/IF(Simulations!$J6="",1000,Simulations!$J6))+1))))</f>
        <v>0</v>
      </c>
      <c r="J6" s="0" t="n">
        <f aca="false">IF(OR(NOT(AND(Simulations!$A6&lt;&gt;"",OR(Simulations!$BD6&lt;&gt;"",N(Simulations!$BF6)&gt;0))),N(Simulations!$BI6)&lt;=0,N(Simulations!$BF6)&lt;=0,3&gt;N(IF(Simulations!$O6="",1,Simulations!$O6))),0,IF(Simulations!$BI6&lt;IF(Simulations!$J6="",1000,Simulations!$J6),Simulations!$BF6/(IF(Simulations!$G6="",5000,Simulations!$G6)*IF(Simulations!$H6="",5000,Simulations!$H6)*IF(IF(Simulations!$I6="",5000,Simulations!$I6)&gt;0,IF(Simulations!$I6="",5000,Simulations!$I6),1))*Simulations!$BI6*(PI()/2*IF(Simulations!$V6="",200,Simulations!$V6)^2*IF(IF(Simulations!$I6="",5000,Simulations!$I6)&gt;0,SQRT(PI()/2)*IF(Simulations!$Y6="",1000,Simulations!$Y6),1)),Simulations!$BF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V6="",200,Simulations!$V6)^2*IF(Simulations!$Y6="",1000,Simulations!$Y6)/2^1.5*(2/3*LN(Simulations!$BI6/IF(Simulations!$J6="",1000,Simulations!$J6))^1.5+SQRT(LN(Simulations!$BI6/IF(Simulations!$J6="",1000,Simulations!$J6)))+Simulations!$BI6/IF(Simulations!$J6="",1000,Simulations!$J6)*SQRT(PI())/2*ERFC(SQRT(LN(Simulations!$BI6/IF(Simulations!$J6="",1000,Simulations!$J6))))),PI()*IF(Simulations!$V6="",200,Simulations!$V6)^2/2*(LN(Simulations!$BI6/IF(Simulations!$J6="",1000,Simulations!$J6))+1))))</f>
        <v>3.14992198914448</v>
      </c>
      <c r="K6" s="0" t="n">
        <f aca="false">IF(NOT(AND(Simulations!$A6&lt;&gt;"",OR(Simulations!$BD6&lt;&gt;"",N(Simulations!$BF6)&gt;0))),0,MAX(N(Simulations!$BG6),N(Simulations!$BH6),N(Simulations!$BI6))/IF(Simulations!$J6="",1000,Simulations!$J6))</f>
        <v>0.05</v>
      </c>
      <c r="L6" s="0" t="n">
        <f aca="false">IF(OR(NOT(AND(Simulations!$A6&lt;&gt;"",OR(Simulations!$BD6&lt;&gt;"",N(Simulations!$BF6)&gt;0))),N(Simulations!$BE6)&lt;=0),0,SQRT(2*Simulations!$BE6*1000000/(IF(Simulations!$J6="",1000,Simulations!$J6)*1000))/MIN(IF(Simulations!$T6="",200,Simulations!$T6),IF(Simulations!$U6="",200,Simulations!$U6),IF(Simulations!$V6="",200,Simulations!$V6)))</f>
        <v>0.05</v>
      </c>
      <c r="M6" s="0" t="n">
        <f aca="false">IF(AND(Simulations!$A6&lt;&gt;"",OR(Simulations!$BD6&lt;&gt;"",N(Simulations!$BF6)&gt;0)),1,0)</f>
        <v>1</v>
      </c>
      <c r="N6" s="0" t="n">
        <f aca="false">IF(OR(NOT(AND(Simulations!$A6&lt;&gt;"",OR(Simulations!$BV6&lt;&gt;"",N(Simulations!$BX6)&gt;0))),N(Simulations!$BY6)&lt;=0,N(Simulations!$BX6)&lt;=0,1&gt;N(IF(Simulations!$O6="",1,Simulations!$O6))),0,IF(Simulations!$BY6&lt;IF(Simulations!$J6="",1000,Simulations!$J6),Simulations!$BX6/(IF(Simulations!$G6="",5000,Simulations!$G6)*IF(Simulations!$H6="",5000,Simulations!$H6)*IF(IF(Simulations!$I6="",5000,Simulations!$I6)&gt;0,IF(Simulations!$I6="",5000,Simulations!$I6),1))*Simulations!$BY6*(PI()/2*IF(Simulations!$T6="",200,Simulations!$T6)^2*IF(IF(Simulations!$I6="",5000,Simulations!$I6)&gt;0,SQRT(PI()/2)*IF(Simulations!$W6="",1000,Simulations!$W6),1)),Simulations!$BX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T6="",200,Simulations!$T6)^2*IF(Simulations!$W6="",1000,Simulations!$W6)/2^1.5*(2/3*LN(Simulations!$BY6/IF(Simulations!$J6="",1000,Simulations!$J6))^1.5+SQRT(LN(Simulations!$BY6/IF(Simulations!$J6="",1000,Simulations!$J6)))+Simulations!$BY6/IF(Simulations!$J6="",1000,Simulations!$J6)*SQRT(PI())/2*ERFC(SQRT(LN(Simulations!$BY6/IF(Simulations!$J6="",1000,Simulations!$J6))))),PI()*IF(Simulations!$T6="",200,Simulations!$T6)^2/2*(LN(Simulations!$BY6/IF(Simulations!$J6="",1000,Simulations!$J6))+1))))</f>
        <v>0</v>
      </c>
      <c r="O6" s="0" t="n">
        <f aca="false">IF(OR(NOT(AND(Simulations!$A6&lt;&gt;"",OR(Simulations!$BV6&lt;&gt;"",N(Simulations!$BX6)&gt;0))),N(Simulations!$BZ6)&lt;=0,N(Simulations!$BX6)&lt;=0,2&gt;N(IF(Simulations!$O6="",1,Simulations!$O6))),0,IF(Simulations!$BZ6&lt;IF(Simulations!$J6="",1000,Simulations!$J6),Simulations!$BX6/(IF(Simulations!$G6="",5000,Simulations!$G6)*IF(Simulations!$H6="",5000,Simulations!$H6)*IF(IF(Simulations!$I6="",5000,Simulations!$I6)&gt;0,IF(Simulations!$I6="",5000,Simulations!$I6),1))*Simulations!$BZ6*(PI()/2*IF(Simulations!$U6="",200,Simulations!$U6)^2*IF(IF(Simulations!$I6="",5000,Simulations!$I6)&gt;0,SQRT(PI()/2)*IF(Simulations!$X6="",1000,Simulations!$X6),1)),Simulations!$BX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U6="",200,Simulations!$U6)^2*IF(Simulations!$X6="",1000,Simulations!$X6)/2^1.5*(2/3*LN(Simulations!$BZ6/IF(Simulations!$J6="",1000,Simulations!$J6))^1.5+SQRT(LN(Simulations!$BZ6/IF(Simulations!$J6="",1000,Simulations!$J6)))+Simulations!$BZ6/IF(Simulations!$J6="",1000,Simulations!$J6)*SQRT(PI())/2*ERFC(SQRT(LN(Simulations!$BZ6/IF(Simulations!$J6="",1000,Simulations!$J6))))),PI()*IF(Simulations!$U6="",200,Simulations!$U6)^2/2*(LN(Simulations!$BZ6/IF(Simulations!$J6="",1000,Simulations!$J6))+1))))</f>
        <v>3.14992198914448</v>
      </c>
      <c r="P6" s="0" t="n">
        <f aca="false">IF(OR(NOT(AND(Simulations!$A6&lt;&gt;"",OR(Simulations!$BV6&lt;&gt;"",N(Simulations!$BX6)&gt;0))),N(Simulations!$CA6)&lt;=0,N(Simulations!$BX6)&lt;=0,3&gt;N(IF(Simulations!$O6="",1,Simulations!$O6))),0,IF(Simulations!$CA6&lt;IF(Simulations!$J6="",1000,Simulations!$J6),Simulations!$BX6/(IF(Simulations!$G6="",5000,Simulations!$G6)*IF(Simulations!$H6="",5000,Simulations!$H6)*IF(IF(Simulations!$I6="",5000,Simulations!$I6)&gt;0,IF(Simulations!$I6="",5000,Simulations!$I6),1))*Simulations!$CA6*(PI()/2*IF(Simulations!$V6="",200,Simulations!$V6)^2*IF(IF(Simulations!$I6="",5000,Simulations!$I6)&gt;0,SQRT(PI()/2)*IF(Simulations!$Y6="",1000,Simulations!$Y6),1)),Simulations!$BX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V6="",200,Simulations!$V6)^2*IF(Simulations!$Y6="",1000,Simulations!$Y6)/2^1.5*(2/3*LN(Simulations!$CA6/IF(Simulations!$J6="",1000,Simulations!$J6))^1.5+SQRT(LN(Simulations!$CA6/IF(Simulations!$J6="",1000,Simulations!$J6)))+Simulations!$CA6/IF(Simulations!$J6="",1000,Simulations!$J6)*SQRT(PI())/2*ERFC(SQRT(LN(Simulations!$CA6/IF(Simulations!$J6="",1000,Simulations!$J6))))),PI()*IF(Simulations!$V6="",200,Simulations!$V6)^2/2*(LN(Simulations!$CA6/IF(Simulations!$J6="",1000,Simulations!$J6))+1))))</f>
        <v>3.14992198914448</v>
      </c>
      <c r="Q6" s="0" t="n">
        <f aca="false">IF(NOT(AND(Simulations!$A6&lt;&gt;"",OR(Simulations!$BV6&lt;&gt;"",N(Simulations!$BX6)&gt;0))),0,MAX(N(Simulations!$BY6),N(Simulations!$BZ6),N(Simulations!$CA6))/IF(Simulations!$J6="",1000,Simulations!$J6))</f>
        <v>0.05</v>
      </c>
      <c r="R6" s="0" t="n">
        <f aca="false">IF(OR(NOT(AND(Simulations!$A6&lt;&gt;"",OR(Simulations!$BV6&lt;&gt;"",N(Simulations!$BX6)&gt;0))),N(Simulations!$BW6)&lt;=0),0,SQRT(2*Simulations!$BW6*1000000/(IF(Simulations!$J6="",1000,Simulations!$J6)*1000))/MIN(IF(Simulations!$T6="",200,Simulations!$T6),IF(Simulations!$U6="",200,Simulations!$U6),IF(Simulations!$V6="",200,Simulations!$V6)))</f>
        <v>0.05</v>
      </c>
      <c r="S6" s="0" t="n">
        <f aca="false">IF(AND(Simulations!$A6&lt;&gt;"",OR(Simulations!$BV6&lt;&gt;"",N(Simulations!$BX6)&gt;0)),1,0)</f>
        <v>1</v>
      </c>
      <c r="T6" s="0" t="n">
        <f aca="false">IF(OR(NOT(AND(Simulations!$A6&lt;&gt;"",OR(Simulations!$CN6&lt;&gt;"",N(Simulations!$CP6)&gt;0))),N(Simulations!$CQ6)&lt;=0,N(Simulations!$CP6)&lt;=0,1&gt;N(IF(Simulations!$O6="",1,Simulations!$O6))),0,IF(Simulations!$CQ6&lt;IF(Simulations!$J6="",1000,Simulations!$J6),Simulations!$CP6/(IF(Simulations!$G6="",5000,Simulations!$G6)*IF(Simulations!$H6="",5000,Simulations!$H6)*IF(IF(Simulations!$I6="",5000,Simulations!$I6)&gt;0,IF(Simulations!$I6="",5000,Simulations!$I6),1))*Simulations!$CQ6*(PI()/2*IF(Simulations!$T6="",200,Simulations!$T6)^2*IF(IF(Simulations!$I6="",5000,Simulations!$I6)&gt;0,SQRT(PI()/2)*IF(Simulations!$W6="",1000,Simulations!$W6),1)),Simulations!$CP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T6="",200,Simulations!$T6)^2*IF(Simulations!$W6="",1000,Simulations!$W6)/2^1.5*(2/3*LN(Simulations!$CQ6/IF(Simulations!$J6="",1000,Simulations!$J6))^1.5+SQRT(LN(Simulations!$CQ6/IF(Simulations!$J6="",1000,Simulations!$J6)))+Simulations!$CQ6/IF(Simulations!$J6="",1000,Simulations!$J6)*SQRT(PI())/2*ERFC(SQRT(LN(Simulations!$CQ6/IF(Simulations!$J6="",1000,Simulations!$J6))))),PI()*IF(Simulations!$T6="",200,Simulations!$T6)^2/2*(LN(Simulations!$CQ6/IF(Simulations!$J6="",1000,Simulations!$J6))+1))))</f>
        <v>0</v>
      </c>
      <c r="U6" s="0" t="n">
        <f aca="false">IF(OR(NOT(AND(Simulations!$A6&lt;&gt;"",OR(Simulations!$CN6&lt;&gt;"",N(Simulations!$CP6)&gt;0))),N(Simulations!$CR6)&lt;=0,N(Simulations!$CP6)&lt;=0,2&gt;N(IF(Simulations!$O6="",1,Simulations!$O6))),0,IF(Simulations!$CR6&lt;IF(Simulations!$J6="",1000,Simulations!$J6),Simulations!$CP6/(IF(Simulations!$G6="",5000,Simulations!$G6)*IF(Simulations!$H6="",5000,Simulations!$H6)*IF(IF(Simulations!$I6="",5000,Simulations!$I6)&gt;0,IF(Simulations!$I6="",5000,Simulations!$I6),1))*Simulations!$CR6*(PI()/2*IF(Simulations!$U6="",200,Simulations!$U6)^2*IF(IF(Simulations!$I6="",5000,Simulations!$I6)&gt;0,SQRT(PI()/2)*IF(Simulations!$X6="",1000,Simulations!$X6),1)),Simulations!$CP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U6="",200,Simulations!$U6)^2*IF(Simulations!$X6="",1000,Simulations!$X6)/2^1.5*(2/3*LN(Simulations!$CR6/IF(Simulations!$J6="",1000,Simulations!$J6))^1.5+SQRT(LN(Simulations!$CR6/IF(Simulations!$J6="",1000,Simulations!$J6)))+Simulations!$CR6/IF(Simulations!$J6="",1000,Simulations!$J6)*SQRT(PI())/2*ERFC(SQRT(LN(Simulations!$CR6/IF(Simulations!$J6="",1000,Simulations!$J6))))),PI()*IF(Simulations!$U6="",200,Simulations!$U6)^2/2*(LN(Simulations!$CR6/IF(Simulations!$J6="",1000,Simulations!$J6))+1))))</f>
        <v>0</v>
      </c>
      <c r="V6" s="0" t="n">
        <f aca="false">IF(OR(NOT(AND(Simulations!$A6&lt;&gt;"",OR(Simulations!$CN6&lt;&gt;"",N(Simulations!$CP6)&gt;0))),N(Simulations!$CS6)&lt;=0,N(Simulations!$CP6)&lt;=0,3&gt;N(IF(Simulations!$O6="",1,Simulations!$O6))),0,IF(Simulations!$CS6&lt;IF(Simulations!$J6="",1000,Simulations!$J6),Simulations!$CP6/(IF(Simulations!$G6="",5000,Simulations!$G6)*IF(Simulations!$H6="",5000,Simulations!$H6)*IF(IF(Simulations!$I6="",5000,Simulations!$I6)&gt;0,IF(Simulations!$I6="",5000,Simulations!$I6),1))*Simulations!$CS6*(PI()/2*IF(Simulations!$V6="",200,Simulations!$V6)^2*IF(IF(Simulations!$I6="",5000,Simulations!$I6)&gt;0,SQRT(PI()/2)*IF(Simulations!$Y6="",1000,Simulations!$Y6),1)),Simulations!$CP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V6="",200,Simulations!$V6)^2*IF(Simulations!$Y6="",1000,Simulations!$Y6)/2^1.5*(2/3*LN(Simulations!$CS6/IF(Simulations!$J6="",1000,Simulations!$J6))^1.5+SQRT(LN(Simulations!$CS6/IF(Simulations!$J6="",1000,Simulations!$J6)))+Simulations!$CS6/IF(Simulations!$J6="",1000,Simulations!$J6)*SQRT(PI())/2*ERFC(SQRT(LN(Simulations!$CS6/IF(Simulations!$J6="",1000,Simulations!$J6))))),PI()*IF(Simulations!$V6="",200,Simulations!$V6)^2/2*(LN(Simulations!$CS6/IF(Simulations!$J6="",1000,Simulations!$J6))+1))))</f>
        <v>0</v>
      </c>
      <c r="W6" s="0" t="n">
        <f aca="false">IF(NOT(AND(Simulations!$A6&lt;&gt;"",OR(Simulations!$CN6&lt;&gt;"",N(Simulations!$CP6)&gt;0))),0,MAX(N(Simulations!$CQ6),N(Simulations!$CR6),N(Simulations!$CS6))/IF(Simulations!$J6="",1000,Simulations!$J6))</f>
        <v>0</v>
      </c>
      <c r="X6" s="0" t="n">
        <f aca="false">IF(OR(NOT(AND(Simulations!$A6&lt;&gt;"",OR(Simulations!$CN6&lt;&gt;"",N(Simulations!$CP6)&gt;0))),N(Simulations!$CO6)&lt;=0),0,SQRT(2*Simulations!$CO6*1000000/(IF(Simulations!$J6="",1000,Simulations!$J6)*1000))/MIN(IF(Simulations!$T6="",200,Simulations!$T6),IF(Simulations!$U6="",200,Simulations!$U6),IF(Simulations!$V6="",200,Simulations!$V6)))</f>
        <v>0</v>
      </c>
      <c r="Y6" s="0" t="n">
        <f aca="false">IF(AND(Simulations!$A6&lt;&gt;"",OR(Simulations!$CN6&lt;&gt;"",N(Simulations!$CP6)&gt;0)),1,0)</f>
        <v>0</v>
      </c>
      <c r="Z6" s="0" t="n">
        <f aca="false">IF(OR(NOT(AND(Simulations!$A6&lt;&gt;"",OR(Simulations!$DF6&lt;&gt;"",N(Simulations!$DH6)&gt;0))),N(Simulations!$DI6)&lt;=0,N(Simulations!$DH6)&lt;=0,1&gt;N(IF(Simulations!$O6="",1,Simulations!$O6))),0,IF(Simulations!$DI6&lt;IF(Simulations!$J6="",1000,Simulations!$J6),Simulations!$DH6/(IF(Simulations!$G6="",5000,Simulations!$G6)*IF(Simulations!$H6="",5000,Simulations!$H6)*IF(IF(Simulations!$I6="",5000,Simulations!$I6)&gt;0,IF(Simulations!$I6="",5000,Simulations!$I6),1))*Simulations!$DI6*(PI()/2*IF(Simulations!$T6="",200,Simulations!$T6)^2*IF(IF(Simulations!$I6="",5000,Simulations!$I6)&gt;0,SQRT(PI()/2)*IF(Simulations!$W6="",1000,Simulations!$W6),1)),Simulations!$DH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T6="",200,Simulations!$T6)^2*IF(Simulations!$W6="",1000,Simulations!$W6)/2^1.5*(2/3*LN(Simulations!$DI6/IF(Simulations!$J6="",1000,Simulations!$J6))^1.5+SQRT(LN(Simulations!$DI6/IF(Simulations!$J6="",1000,Simulations!$J6)))+Simulations!$DI6/IF(Simulations!$J6="",1000,Simulations!$J6)*SQRT(PI())/2*ERFC(SQRT(LN(Simulations!$DI6/IF(Simulations!$J6="",1000,Simulations!$J6))))),PI()*IF(Simulations!$T6="",200,Simulations!$T6)^2/2*(LN(Simulations!$DI6/IF(Simulations!$J6="",1000,Simulations!$J6))+1))))</f>
        <v>0</v>
      </c>
      <c r="AA6" s="0" t="n">
        <f aca="false">IF(OR(NOT(AND(Simulations!$A6&lt;&gt;"",OR(Simulations!$DF6&lt;&gt;"",N(Simulations!$DH6)&gt;0))),N(Simulations!$DJ6)&lt;=0,N(Simulations!$DH6)&lt;=0,2&gt;N(IF(Simulations!$O6="",1,Simulations!$O6))),0,IF(Simulations!$DJ6&lt;IF(Simulations!$J6="",1000,Simulations!$J6),Simulations!$DH6/(IF(Simulations!$G6="",5000,Simulations!$G6)*IF(Simulations!$H6="",5000,Simulations!$H6)*IF(IF(Simulations!$I6="",5000,Simulations!$I6)&gt;0,IF(Simulations!$I6="",5000,Simulations!$I6),1))*Simulations!$DJ6*(PI()/2*IF(Simulations!$U6="",200,Simulations!$U6)^2*IF(IF(Simulations!$I6="",5000,Simulations!$I6)&gt;0,SQRT(PI()/2)*IF(Simulations!$X6="",1000,Simulations!$X6),1)),Simulations!$DH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U6="",200,Simulations!$U6)^2*IF(Simulations!$X6="",1000,Simulations!$X6)/2^1.5*(2/3*LN(Simulations!$DJ6/IF(Simulations!$J6="",1000,Simulations!$J6))^1.5+SQRT(LN(Simulations!$DJ6/IF(Simulations!$J6="",1000,Simulations!$J6)))+Simulations!$DJ6/IF(Simulations!$J6="",1000,Simulations!$J6)*SQRT(PI())/2*ERFC(SQRT(LN(Simulations!$DJ6/IF(Simulations!$J6="",1000,Simulations!$J6))))),PI()*IF(Simulations!$U6="",200,Simulations!$U6)^2/2*(LN(Simulations!$DJ6/IF(Simulations!$J6="",1000,Simulations!$J6))+1))))</f>
        <v>0</v>
      </c>
      <c r="AB6" s="0" t="n">
        <f aca="false">IF(OR(NOT(AND(Simulations!$A6&lt;&gt;"",OR(Simulations!$DF6&lt;&gt;"",N(Simulations!$DH6)&gt;0))),N(Simulations!$DK6)&lt;=0,N(Simulations!$DH6)&lt;=0,3&gt;N(IF(Simulations!$O6="",1,Simulations!$O6))),0,IF(Simulations!$DK6&lt;IF(Simulations!$J6="",1000,Simulations!$J6),Simulations!$DH6/(IF(Simulations!$G6="",5000,Simulations!$G6)*IF(Simulations!$H6="",5000,Simulations!$H6)*IF(IF(Simulations!$I6="",5000,Simulations!$I6)&gt;0,IF(Simulations!$I6="",5000,Simulations!$I6),1))*Simulations!$DK6*(PI()/2*IF(Simulations!$V6="",200,Simulations!$V6)^2*IF(IF(Simulations!$I6="",5000,Simulations!$I6)&gt;0,SQRT(PI()/2)*IF(Simulations!$Y6="",1000,Simulations!$Y6),1)),Simulations!$DH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V6="",200,Simulations!$V6)^2*IF(Simulations!$Y6="",1000,Simulations!$Y6)/2^1.5*(2/3*LN(Simulations!$DK6/IF(Simulations!$J6="",1000,Simulations!$J6))^1.5+SQRT(LN(Simulations!$DK6/IF(Simulations!$J6="",1000,Simulations!$J6)))+Simulations!$DK6/IF(Simulations!$J6="",1000,Simulations!$J6)*SQRT(PI())/2*ERFC(SQRT(LN(Simulations!$DK6/IF(Simulations!$J6="",1000,Simulations!$J6))))),PI()*IF(Simulations!$V6="",200,Simulations!$V6)^2/2*(LN(Simulations!$DK6/IF(Simulations!$J6="",1000,Simulations!$J6))+1))))</f>
        <v>0</v>
      </c>
      <c r="AC6" s="0" t="n">
        <f aca="false">IF(NOT(AND(Simulations!$A6&lt;&gt;"",OR(Simulations!$DF6&lt;&gt;"",N(Simulations!$DH6)&gt;0))),0,MAX(N(Simulations!$DI6),N(Simulations!$DJ6),N(Simulations!$DK6))/IF(Simulations!$J6="",1000,Simulations!$J6))</f>
        <v>0</v>
      </c>
      <c r="AD6" s="0" t="n">
        <f aca="false">IF(OR(NOT(AND(Simulations!$A6&lt;&gt;"",OR(Simulations!$DF6&lt;&gt;"",N(Simulations!$DH6)&gt;0))),N(Simulations!$DG6)&lt;=0),0,SQRT(2*Simulations!$DG6*1000000/(IF(Simulations!$J6="",1000,Simulations!$J6)*1000))/MIN(IF(Simulations!$T6="",200,Simulations!$T6),IF(Simulations!$U6="",200,Simulations!$U6),IF(Simulations!$V6="",200,Simulations!$V6)))</f>
        <v>0</v>
      </c>
      <c r="AE6" s="0" t="n">
        <f aca="false">IF(AND(Simulations!$A6&lt;&gt;"",OR(Simulations!$DF6&lt;&gt;"",N(Simulations!$DH6)&gt;0)),1,0)</f>
        <v>0</v>
      </c>
      <c r="AF6" s="0" t="n">
        <f aca="false">IF(OR(NOT(AND(Simulations!$A6&lt;&gt;"",OR(Simulations!$DX6&lt;&gt;"",N(Simulations!$DZ6)&gt;0))),N(Simulations!$EA6)&lt;=0,N(Simulations!$DZ6)&lt;=0,1&gt;N(IF(Simulations!$O6="",1,Simulations!$O6))),0,IF(Simulations!$EA6&lt;IF(Simulations!$J6="",1000,Simulations!$J6),Simulations!$DZ6/(IF(Simulations!$G6="",5000,Simulations!$G6)*IF(Simulations!$H6="",5000,Simulations!$H6)*IF(IF(Simulations!$I6="",5000,Simulations!$I6)&gt;0,IF(Simulations!$I6="",5000,Simulations!$I6),1))*Simulations!$EA6*(PI()/2*IF(Simulations!$T6="",200,Simulations!$T6)^2*IF(IF(Simulations!$I6="",5000,Simulations!$I6)&gt;0,SQRT(PI()/2)*IF(Simulations!$W6="",1000,Simulations!$W6),1)),Simulations!$DZ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T6="",200,Simulations!$T6)^2*IF(Simulations!$W6="",1000,Simulations!$W6)/2^1.5*(2/3*LN(Simulations!$EA6/IF(Simulations!$J6="",1000,Simulations!$J6))^1.5+SQRT(LN(Simulations!$EA6/IF(Simulations!$J6="",1000,Simulations!$J6)))+Simulations!$EA6/IF(Simulations!$J6="",1000,Simulations!$J6)*SQRT(PI())/2*ERFC(SQRT(LN(Simulations!$EA6/IF(Simulations!$J6="",1000,Simulations!$J6))))),PI()*IF(Simulations!$T6="",200,Simulations!$T6)^2/2*(LN(Simulations!$EA6/IF(Simulations!$J6="",1000,Simulations!$J6))+1))))</f>
        <v>0</v>
      </c>
      <c r="AG6" s="0" t="n">
        <f aca="false">IF(OR(NOT(AND(Simulations!$A6&lt;&gt;"",OR(Simulations!$DX6&lt;&gt;"",N(Simulations!$DZ6)&gt;0))),N(Simulations!$EB6)&lt;=0,N(Simulations!$DZ6)&lt;=0,2&gt;N(IF(Simulations!$O6="",1,Simulations!$O6))),0,IF(Simulations!$EB6&lt;IF(Simulations!$J6="",1000,Simulations!$J6),Simulations!$DZ6/(IF(Simulations!$G6="",5000,Simulations!$G6)*IF(Simulations!$H6="",5000,Simulations!$H6)*IF(IF(Simulations!$I6="",5000,Simulations!$I6)&gt;0,IF(Simulations!$I6="",5000,Simulations!$I6),1))*Simulations!$EB6*(PI()/2*IF(Simulations!$U6="",200,Simulations!$U6)^2*IF(IF(Simulations!$I6="",5000,Simulations!$I6)&gt;0,SQRT(PI()/2)*IF(Simulations!$X6="",1000,Simulations!$X6),1)),Simulations!$DZ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U6="",200,Simulations!$U6)^2*IF(Simulations!$X6="",1000,Simulations!$X6)/2^1.5*(2/3*LN(Simulations!$EB6/IF(Simulations!$J6="",1000,Simulations!$J6))^1.5+SQRT(LN(Simulations!$EB6/IF(Simulations!$J6="",1000,Simulations!$J6)))+Simulations!$EB6/IF(Simulations!$J6="",1000,Simulations!$J6)*SQRT(PI())/2*ERFC(SQRT(LN(Simulations!$EB6/IF(Simulations!$J6="",1000,Simulations!$J6))))),PI()*IF(Simulations!$U6="",200,Simulations!$U6)^2/2*(LN(Simulations!$EB6/IF(Simulations!$J6="",1000,Simulations!$J6))+1))))</f>
        <v>0</v>
      </c>
      <c r="AH6" s="0" t="n">
        <f aca="false">IF(OR(NOT(AND(Simulations!$A6&lt;&gt;"",OR(Simulations!$DX6&lt;&gt;"",N(Simulations!$DZ6)&gt;0))),N(Simulations!$EC6)&lt;=0,N(Simulations!$DZ6)&lt;=0,3&gt;N(IF(Simulations!$O6="",1,Simulations!$O6))),0,IF(Simulations!$EC6&lt;IF(Simulations!$J6="",1000,Simulations!$J6),Simulations!$DZ6/(IF(Simulations!$G6="",5000,Simulations!$G6)*IF(Simulations!$H6="",5000,Simulations!$H6)*IF(IF(Simulations!$I6="",5000,Simulations!$I6)&gt;0,IF(Simulations!$I6="",5000,Simulations!$I6),1))*Simulations!$EC6*(PI()/2*IF(Simulations!$V6="",200,Simulations!$V6)^2*IF(IF(Simulations!$I6="",5000,Simulations!$I6)&gt;0,SQRT(PI()/2)*IF(Simulations!$Y6="",1000,Simulations!$Y6),1)),Simulations!$DZ6/(IF(Simulations!$G6="",5000,Simulations!$G6)*IF(Simulations!$H6="",5000,Simulations!$H6)*IF(IF(Simulations!$I6="",5000,Simulations!$I6)&gt;0,IF(Simulations!$I6="",5000,Simulations!$I6),1))*IF(Simulations!$J6="",1000,Simulations!$J6)*IF(IF(Simulations!$I6="",5000,Simulations!$I6)&gt;0,2*PI()*IF(Simulations!$V6="",200,Simulations!$V6)^2*IF(Simulations!$Y6="",1000,Simulations!$Y6)/2^1.5*(2/3*LN(Simulations!$EC6/IF(Simulations!$J6="",1000,Simulations!$J6))^1.5+SQRT(LN(Simulations!$EC6/IF(Simulations!$J6="",1000,Simulations!$J6)))+Simulations!$EC6/IF(Simulations!$J6="",1000,Simulations!$J6)*SQRT(PI())/2*ERFC(SQRT(LN(Simulations!$EC6/IF(Simulations!$J6="",1000,Simulations!$J6))))),PI()*IF(Simulations!$V6="",200,Simulations!$V6)^2/2*(LN(Simulations!$EC6/IF(Simulations!$J6="",1000,Simulations!$J6))+1))))</f>
        <v>0</v>
      </c>
      <c r="AI6" s="0" t="n">
        <f aca="false">IF(NOT(AND(Simulations!$A6&lt;&gt;"",OR(Simulations!$DX6&lt;&gt;"",N(Simulations!$DZ6)&gt;0))),0,MAX(N(Simulations!$EA6),N(Simulations!$EB6),N(Simulations!$EC6))/IF(Simulations!$J6="",1000,Simulations!$J6))</f>
        <v>0</v>
      </c>
      <c r="AJ6" s="0" t="n">
        <f aca="false">IF(OR(NOT(AND(Simulations!$A6&lt;&gt;"",OR(Simulations!$DX6&lt;&gt;"",N(Simulations!$DZ6)&gt;0))),N(Simulations!$DY6)&lt;=0),0,SQRT(2*Simulations!$DY6*1000000/(IF(Simulations!$J6="",1000,Simulations!$J6)*1000))/MIN(IF(Simulations!$T6="",200,Simulations!$T6),IF(Simulations!$U6="",200,Simulations!$U6),IF(Simulations!$V6="",200,Simulations!$V6)))</f>
        <v>0</v>
      </c>
      <c r="AK6" s="0" t="n">
        <f aca="false">IF(AND(Simulations!$A6&lt;&gt;"",OR(Simulations!$DX6&lt;&gt;"",N(Simulations!$DZ6)&gt;0)),1,0)</f>
        <v>0</v>
      </c>
    </row>
    <row r="7" customFormat="false" ht="15" hidden="false" customHeight="false" outlineLevel="0" collapsed="false">
      <c r="B7" s="0" t="n">
        <f aca="false">IF(OR(NOT(AND(Simulations!$A7&lt;&gt;"",OR(Simulations!$AL7&lt;&gt;"",N(Simulations!$AN7)&gt;0))),N(Simulations!$AO7)&lt;=0,N(Simulations!$AN7)&lt;=0,1&gt;N(IF(Simulations!$O7="",1,Simulations!$O7))),0,IF(Simulations!$AO7&lt;IF(Simulations!$J7="",1000,Simulations!$J7),Simulations!$AN7/(IF(Simulations!$G7="",5000,Simulations!$G7)*IF(Simulations!$H7="",5000,Simulations!$H7)*IF(IF(Simulations!$I7="",5000,Simulations!$I7)&gt;0,IF(Simulations!$I7="",5000,Simulations!$I7),1))*Simulations!$AO7*(PI()/2*IF(Simulations!$T7="",200,Simulations!$T7)^2*IF(IF(Simulations!$I7="",5000,Simulations!$I7)&gt;0,SQRT(PI()/2)*IF(Simulations!$W7="",1000,Simulations!$W7),1)),Simulations!$AN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T7="",200,Simulations!$T7)^2*IF(Simulations!$W7="",1000,Simulations!$W7)/2^1.5*(2/3*LN(Simulations!$AO7/IF(Simulations!$J7="",1000,Simulations!$J7))^1.5+SQRT(LN(Simulations!$AO7/IF(Simulations!$J7="",1000,Simulations!$J7)))+Simulations!$AO7/IF(Simulations!$J7="",1000,Simulations!$J7)*SQRT(PI())/2*ERFC(SQRT(LN(Simulations!$AO7/IF(Simulations!$J7="",1000,Simulations!$J7))))),PI()*IF(Simulations!$T7="",200,Simulations!$T7)^2/2*(LN(Simulations!$AO7/IF(Simulations!$J7="",1000,Simulations!$J7))+1))))</f>
        <v>29.3532730881177</v>
      </c>
      <c r="C7" s="0" t="n">
        <f aca="false">IF(OR(NOT(AND(Simulations!$A7&lt;&gt;"",OR(Simulations!$AL7&lt;&gt;"",N(Simulations!$AN7)&gt;0))),N(Simulations!$AP7)&lt;=0,N(Simulations!$AN7)&lt;=0,2&gt;N(IF(Simulations!$O7="",1,Simulations!$O7))),0,IF(Simulations!$AP7&lt;IF(Simulations!$J7="",1000,Simulations!$J7),Simulations!$AN7/(IF(Simulations!$G7="",5000,Simulations!$G7)*IF(Simulations!$H7="",5000,Simulations!$H7)*IF(IF(Simulations!$I7="",5000,Simulations!$I7)&gt;0,IF(Simulations!$I7="",5000,Simulations!$I7),1))*Simulations!$AP7*(PI()/2*IF(Simulations!$U7="",200,Simulations!$U7)^2*IF(IF(Simulations!$I7="",5000,Simulations!$I7)&gt;0,SQRT(PI()/2)*IF(Simulations!$X7="",1000,Simulations!$X7),1)),Simulations!$AN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U7="",200,Simulations!$U7)^2*IF(Simulations!$X7="",1000,Simulations!$X7)/2^1.5*(2/3*LN(Simulations!$AP7/IF(Simulations!$J7="",1000,Simulations!$J7))^1.5+SQRT(LN(Simulations!$AP7/IF(Simulations!$J7="",1000,Simulations!$J7)))+Simulations!$AP7/IF(Simulations!$J7="",1000,Simulations!$J7)*SQRT(PI())/2*ERFC(SQRT(LN(Simulations!$AP7/IF(Simulations!$J7="",1000,Simulations!$J7))))),PI()*IF(Simulations!$U7="",200,Simulations!$U7)^2/2*(LN(Simulations!$AP7/IF(Simulations!$J7="",1000,Simulations!$J7))+1))))</f>
        <v>0</v>
      </c>
      <c r="D7" s="0" t="n">
        <f aca="false">IF(OR(NOT(AND(Simulations!$A7&lt;&gt;"",OR(Simulations!$AL7&lt;&gt;"",N(Simulations!$AN7)&gt;0))),N(Simulations!$AQ7)&lt;=0,N(Simulations!$AN7)&lt;=0,3&gt;N(IF(Simulations!$O7="",1,Simulations!$O7))),0,IF(Simulations!$AQ7&lt;IF(Simulations!$J7="",1000,Simulations!$J7),Simulations!$AN7/(IF(Simulations!$G7="",5000,Simulations!$G7)*IF(Simulations!$H7="",5000,Simulations!$H7)*IF(IF(Simulations!$I7="",5000,Simulations!$I7)&gt;0,IF(Simulations!$I7="",5000,Simulations!$I7),1))*Simulations!$AQ7*(PI()/2*IF(Simulations!$V7="",200,Simulations!$V7)^2*IF(IF(Simulations!$I7="",5000,Simulations!$I7)&gt;0,SQRT(PI()/2)*IF(Simulations!$Y7="",1000,Simulations!$Y7),1)),Simulations!$AN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V7="",200,Simulations!$V7)^2*IF(Simulations!$Y7="",1000,Simulations!$Y7)/2^1.5*(2/3*LN(Simulations!$AQ7/IF(Simulations!$J7="",1000,Simulations!$J7))^1.5+SQRT(LN(Simulations!$AQ7/IF(Simulations!$J7="",1000,Simulations!$J7)))+Simulations!$AQ7/IF(Simulations!$J7="",1000,Simulations!$J7)*SQRT(PI())/2*ERFC(SQRT(LN(Simulations!$AQ7/IF(Simulations!$J7="",1000,Simulations!$J7))))),PI()*IF(Simulations!$V7="",200,Simulations!$V7)^2/2*(LN(Simulations!$AQ7/IF(Simulations!$J7="",1000,Simulations!$J7))+1))))</f>
        <v>0</v>
      </c>
      <c r="E7" s="0" t="n">
        <f aca="false">IF(NOT(AND(Simulations!$A7&lt;&gt;"",OR(Simulations!$AL7&lt;&gt;"",N(Simulations!$AN7)&gt;0))),0,MAX(N(Simulations!$AO7),N(Simulations!$AP7),N(Simulations!$AQ7))/IF(Simulations!$J7="",1000,Simulations!$J7))</f>
        <v>10</v>
      </c>
      <c r="F7" s="0" t="n">
        <f aca="false">IF(OR(NOT(AND(Simulations!$A7&lt;&gt;"",OR(Simulations!$AL7&lt;&gt;"",N(Simulations!$AN7)&gt;0))),N(Simulations!$AM7)&lt;=0),0,SQRT(2*Simulations!$AM7*1000000/(IF(Simulations!$J7="",1000,Simulations!$J7)*1000))/MIN(IF(Simulations!$T7="",200,Simulations!$T7),IF(Simulations!$U7="",200,Simulations!$U7),IF(Simulations!$V7="",200,Simulations!$V7)))</f>
        <v>0.14142135623731</v>
      </c>
      <c r="G7" s="0" t="n">
        <f aca="false">IF(AND(Simulations!$A7&lt;&gt;"",OR(Simulations!$AL7&lt;&gt;"",N(Simulations!$AN7)&gt;0)),1,0)</f>
        <v>1</v>
      </c>
      <c r="H7" s="0" t="n">
        <f aca="false">IF(OR(NOT(AND(Simulations!$A7&lt;&gt;"",OR(Simulations!$BD7&lt;&gt;"",N(Simulations!$BF7)&gt;0))),N(Simulations!$BG7)&lt;=0,N(Simulations!$BF7)&lt;=0,1&gt;N(IF(Simulations!$O7="",1,Simulations!$O7))),0,IF(Simulations!$BG7&lt;IF(Simulations!$J7="",1000,Simulations!$J7),Simulations!$BF7/(IF(Simulations!$G7="",5000,Simulations!$G7)*IF(Simulations!$H7="",5000,Simulations!$H7)*IF(IF(Simulations!$I7="",5000,Simulations!$I7)&gt;0,IF(Simulations!$I7="",5000,Simulations!$I7),1))*Simulations!$BG7*(PI()/2*IF(Simulations!$T7="",200,Simulations!$T7)^2*IF(IF(Simulations!$I7="",5000,Simulations!$I7)&gt;0,SQRT(PI()/2)*IF(Simulations!$W7="",1000,Simulations!$W7),1)),Simulations!$BF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T7="",200,Simulations!$T7)^2*IF(Simulations!$W7="",1000,Simulations!$W7)/2^1.5*(2/3*LN(Simulations!$BG7/IF(Simulations!$J7="",1000,Simulations!$J7))^1.5+SQRT(LN(Simulations!$BG7/IF(Simulations!$J7="",1000,Simulations!$J7)))+Simulations!$BG7/IF(Simulations!$J7="",1000,Simulations!$J7)*SQRT(PI())/2*ERFC(SQRT(LN(Simulations!$BG7/IF(Simulations!$J7="",1000,Simulations!$J7))))),PI()*IF(Simulations!$T7="",200,Simulations!$T7)^2/2*(LN(Simulations!$BG7/IF(Simulations!$J7="",1000,Simulations!$J7))+1))))</f>
        <v>0</v>
      </c>
      <c r="I7" s="0" t="n">
        <f aca="false">IF(OR(NOT(AND(Simulations!$A7&lt;&gt;"",OR(Simulations!$BD7&lt;&gt;"",N(Simulations!$BF7)&gt;0))),N(Simulations!$BH7)&lt;=0,N(Simulations!$BF7)&lt;=0,2&gt;N(IF(Simulations!$O7="",1,Simulations!$O7))),0,IF(Simulations!$BH7&lt;IF(Simulations!$J7="",1000,Simulations!$J7),Simulations!$BF7/(IF(Simulations!$G7="",5000,Simulations!$G7)*IF(Simulations!$H7="",5000,Simulations!$H7)*IF(IF(Simulations!$I7="",5000,Simulations!$I7)&gt;0,IF(Simulations!$I7="",5000,Simulations!$I7),1))*Simulations!$BH7*(PI()/2*IF(Simulations!$U7="",200,Simulations!$U7)^2*IF(IF(Simulations!$I7="",5000,Simulations!$I7)&gt;0,SQRT(PI()/2)*IF(Simulations!$X7="",1000,Simulations!$X7),1)),Simulations!$BF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U7="",200,Simulations!$U7)^2*IF(Simulations!$X7="",1000,Simulations!$X7)/2^1.5*(2/3*LN(Simulations!$BH7/IF(Simulations!$J7="",1000,Simulations!$J7))^1.5+SQRT(LN(Simulations!$BH7/IF(Simulations!$J7="",1000,Simulations!$J7)))+Simulations!$BH7/IF(Simulations!$J7="",1000,Simulations!$J7)*SQRT(PI())/2*ERFC(SQRT(LN(Simulations!$BH7/IF(Simulations!$J7="",1000,Simulations!$J7))))),PI()*IF(Simulations!$U7="",200,Simulations!$U7)^2/2*(LN(Simulations!$BH7/IF(Simulations!$J7="",1000,Simulations!$J7))+1))))</f>
        <v>29.3532730881177</v>
      </c>
      <c r="J7" s="0" t="n">
        <f aca="false">IF(OR(NOT(AND(Simulations!$A7&lt;&gt;"",OR(Simulations!$BD7&lt;&gt;"",N(Simulations!$BF7)&gt;0))),N(Simulations!$BI7)&lt;=0,N(Simulations!$BF7)&lt;=0,3&gt;N(IF(Simulations!$O7="",1,Simulations!$O7))),0,IF(Simulations!$BI7&lt;IF(Simulations!$J7="",1000,Simulations!$J7),Simulations!$BF7/(IF(Simulations!$G7="",5000,Simulations!$G7)*IF(Simulations!$H7="",5000,Simulations!$H7)*IF(IF(Simulations!$I7="",5000,Simulations!$I7)&gt;0,IF(Simulations!$I7="",5000,Simulations!$I7),1))*Simulations!$BI7*(PI()/2*IF(Simulations!$V7="",200,Simulations!$V7)^2*IF(IF(Simulations!$I7="",5000,Simulations!$I7)&gt;0,SQRT(PI()/2)*IF(Simulations!$Y7="",1000,Simulations!$Y7),1)),Simulations!$BF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V7="",200,Simulations!$V7)^2*IF(Simulations!$Y7="",1000,Simulations!$Y7)/2^1.5*(2/3*LN(Simulations!$BI7/IF(Simulations!$J7="",1000,Simulations!$J7))^1.5+SQRT(LN(Simulations!$BI7/IF(Simulations!$J7="",1000,Simulations!$J7)))+Simulations!$BI7/IF(Simulations!$J7="",1000,Simulations!$J7)*SQRT(PI())/2*ERFC(SQRT(LN(Simulations!$BI7/IF(Simulations!$J7="",1000,Simulations!$J7))))),PI()*IF(Simulations!$V7="",200,Simulations!$V7)^2/2*(LN(Simulations!$BI7/IF(Simulations!$J7="",1000,Simulations!$J7))+1))))</f>
        <v>0</v>
      </c>
      <c r="K7" s="0" t="n">
        <f aca="false">IF(NOT(AND(Simulations!$A7&lt;&gt;"",OR(Simulations!$BD7&lt;&gt;"",N(Simulations!$BF7)&gt;0))),0,MAX(N(Simulations!$BG7),N(Simulations!$BH7),N(Simulations!$BI7))/IF(Simulations!$J7="",1000,Simulations!$J7))</f>
        <v>10</v>
      </c>
      <c r="L7" s="0" t="n">
        <f aca="false">IF(OR(NOT(AND(Simulations!$A7&lt;&gt;"",OR(Simulations!$BD7&lt;&gt;"",N(Simulations!$BF7)&gt;0))),N(Simulations!$BE7)&lt;=0),0,SQRT(2*Simulations!$BE7*1000000/(IF(Simulations!$J7="",1000,Simulations!$J7)*1000))/MIN(IF(Simulations!$T7="",200,Simulations!$T7),IF(Simulations!$U7="",200,Simulations!$U7),IF(Simulations!$V7="",200,Simulations!$V7)))</f>
        <v>0.14142135623731</v>
      </c>
      <c r="M7" s="0" t="n">
        <f aca="false">IF(AND(Simulations!$A7&lt;&gt;"",OR(Simulations!$BD7&lt;&gt;"",N(Simulations!$BF7)&gt;0)),1,0)</f>
        <v>1</v>
      </c>
      <c r="N7" s="0" t="n">
        <f aca="false">IF(OR(NOT(AND(Simulations!$A7&lt;&gt;"",OR(Simulations!$BV7&lt;&gt;"",N(Simulations!$BX7)&gt;0))),N(Simulations!$BY7)&lt;=0,N(Simulations!$BX7)&lt;=0,1&gt;N(IF(Simulations!$O7="",1,Simulations!$O7))),0,IF(Simulations!$BY7&lt;IF(Simulations!$J7="",1000,Simulations!$J7),Simulations!$BX7/(IF(Simulations!$G7="",5000,Simulations!$G7)*IF(Simulations!$H7="",5000,Simulations!$H7)*IF(IF(Simulations!$I7="",5000,Simulations!$I7)&gt;0,IF(Simulations!$I7="",5000,Simulations!$I7),1))*Simulations!$BY7*(PI()/2*IF(Simulations!$T7="",200,Simulations!$T7)^2*IF(IF(Simulations!$I7="",5000,Simulations!$I7)&gt;0,SQRT(PI()/2)*IF(Simulations!$W7="",1000,Simulations!$W7),1)),Simulations!$BX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T7="",200,Simulations!$T7)^2*IF(Simulations!$W7="",1000,Simulations!$W7)/2^1.5*(2/3*LN(Simulations!$BY7/IF(Simulations!$J7="",1000,Simulations!$J7))^1.5+SQRT(LN(Simulations!$BY7/IF(Simulations!$J7="",1000,Simulations!$J7)))+Simulations!$BY7/IF(Simulations!$J7="",1000,Simulations!$J7)*SQRT(PI())/2*ERFC(SQRT(LN(Simulations!$BY7/IF(Simulations!$J7="",1000,Simulations!$J7))))),PI()*IF(Simulations!$T7="",200,Simulations!$T7)^2/2*(LN(Simulations!$BY7/IF(Simulations!$J7="",1000,Simulations!$J7))+1))))</f>
        <v>0</v>
      </c>
      <c r="O7" s="0" t="n">
        <f aca="false">IF(OR(NOT(AND(Simulations!$A7&lt;&gt;"",OR(Simulations!$BV7&lt;&gt;"",N(Simulations!$BX7)&gt;0))),N(Simulations!$BZ7)&lt;=0,N(Simulations!$BX7)&lt;=0,2&gt;N(IF(Simulations!$O7="",1,Simulations!$O7))),0,IF(Simulations!$BZ7&lt;IF(Simulations!$J7="",1000,Simulations!$J7),Simulations!$BX7/(IF(Simulations!$G7="",5000,Simulations!$G7)*IF(Simulations!$H7="",5000,Simulations!$H7)*IF(IF(Simulations!$I7="",5000,Simulations!$I7)&gt;0,IF(Simulations!$I7="",5000,Simulations!$I7),1))*Simulations!$BZ7*(PI()/2*IF(Simulations!$U7="",200,Simulations!$U7)^2*IF(IF(Simulations!$I7="",5000,Simulations!$I7)&gt;0,SQRT(PI()/2)*IF(Simulations!$X7="",1000,Simulations!$X7),1)),Simulations!$BX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U7="",200,Simulations!$U7)^2*IF(Simulations!$X7="",1000,Simulations!$X7)/2^1.5*(2/3*LN(Simulations!$BZ7/IF(Simulations!$J7="",1000,Simulations!$J7))^1.5+SQRT(LN(Simulations!$BZ7/IF(Simulations!$J7="",1000,Simulations!$J7)))+Simulations!$BZ7/IF(Simulations!$J7="",1000,Simulations!$J7)*SQRT(PI())/2*ERFC(SQRT(LN(Simulations!$BZ7/IF(Simulations!$J7="",1000,Simulations!$J7))))),PI()*IF(Simulations!$U7="",200,Simulations!$U7)^2/2*(LN(Simulations!$BZ7/IF(Simulations!$J7="",1000,Simulations!$J7))+1))))</f>
        <v>0</v>
      </c>
      <c r="P7" s="0" t="n">
        <f aca="false">IF(OR(NOT(AND(Simulations!$A7&lt;&gt;"",OR(Simulations!$BV7&lt;&gt;"",N(Simulations!$BX7)&gt;0))),N(Simulations!$CA7)&lt;=0,N(Simulations!$BX7)&lt;=0,3&gt;N(IF(Simulations!$O7="",1,Simulations!$O7))),0,IF(Simulations!$CA7&lt;IF(Simulations!$J7="",1000,Simulations!$J7),Simulations!$BX7/(IF(Simulations!$G7="",5000,Simulations!$G7)*IF(Simulations!$H7="",5000,Simulations!$H7)*IF(IF(Simulations!$I7="",5000,Simulations!$I7)&gt;0,IF(Simulations!$I7="",5000,Simulations!$I7),1))*Simulations!$CA7*(PI()/2*IF(Simulations!$V7="",200,Simulations!$V7)^2*IF(IF(Simulations!$I7="",5000,Simulations!$I7)&gt;0,SQRT(PI()/2)*IF(Simulations!$Y7="",1000,Simulations!$Y7),1)),Simulations!$BX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V7="",200,Simulations!$V7)^2*IF(Simulations!$Y7="",1000,Simulations!$Y7)/2^1.5*(2/3*LN(Simulations!$CA7/IF(Simulations!$J7="",1000,Simulations!$J7))^1.5+SQRT(LN(Simulations!$CA7/IF(Simulations!$J7="",1000,Simulations!$J7)))+Simulations!$CA7/IF(Simulations!$J7="",1000,Simulations!$J7)*SQRT(PI())/2*ERFC(SQRT(LN(Simulations!$CA7/IF(Simulations!$J7="",1000,Simulations!$J7))))),PI()*IF(Simulations!$V7="",200,Simulations!$V7)^2/2*(LN(Simulations!$CA7/IF(Simulations!$J7="",1000,Simulations!$J7))+1))))</f>
        <v>29.3532730881177</v>
      </c>
      <c r="Q7" s="0" t="n">
        <f aca="false">IF(NOT(AND(Simulations!$A7&lt;&gt;"",OR(Simulations!$BV7&lt;&gt;"",N(Simulations!$BX7)&gt;0))),0,MAX(N(Simulations!$BY7),N(Simulations!$BZ7),N(Simulations!$CA7))/IF(Simulations!$J7="",1000,Simulations!$J7))</f>
        <v>10</v>
      </c>
      <c r="R7" s="0" t="n">
        <f aca="false">IF(OR(NOT(AND(Simulations!$A7&lt;&gt;"",OR(Simulations!$BV7&lt;&gt;"",N(Simulations!$BX7)&gt;0))),N(Simulations!$BW7)&lt;=0),0,SQRT(2*Simulations!$BW7*1000000/(IF(Simulations!$J7="",1000,Simulations!$J7)*1000))/MIN(IF(Simulations!$T7="",200,Simulations!$T7),IF(Simulations!$U7="",200,Simulations!$U7),IF(Simulations!$V7="",200,Simulations!$V7)))</f>
        <v>0.14142135623731</v>
      </c>
      <c r="S7" s="0" t="n">
        <f aca="false">IF(AND(Simulations!$A7&lt;&gt;"",OR(Simulations!$BV7&lt;&gt;"",N(Simulations!$BX7)&gt;0)),1,0)</f>
        <v>1</v>
      </c>
      <c r="T7" s="0" t="n">
        <f aca="false">IF(OR(NOT(AND(Simulations!$A7&lt;&gt;"",OR(Simulations!$CN7&lt;&gt;"",N(Simulations!$CP7)&gt;0))),N(Simulations!$CQ7)&lt;=0,N(Simulations!$CP7)&lt;=0,1&gt;N(IF(Simulations!$O7="",1,Simulations!$O7))),0,IF(Simulations!$CQ7&lt;IF(Simulations!$J7="",1000,Simulations!$J7),Simulations!$CP7/(IF(Simulations!$G7="",5000,Simulations!$G7)*IF(Simulations!$H7="",5000,Simulations!$H7)*IF(IF(Simulations!$I7="",5000,Simulations!$I7)&gt;0,IF(Simulations!$I7="",5000,Simulations!$I7),1))*Simulations!$CQ7*(PI()/2*IF(Simulations!$T7="",200,Simulations!$T7)^2*IF(IF(Simulations!$I7="",5000,Simulations!$I7)&gt;0,SQRT(PI()/2)*IF(Simulations!$W7="",1000,Simulations!$W7),1)),Simulations!$CP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T7="",200,Simulations!$T7)^2*IF(Simulations!$W7="",1000,Simulations!$W7)/2^1.5*(2/3*LN(Simulations!$CQ7/IF(Simulations!$J7="",1000,Simulations!$J7))^1.5+SQRT(LN(Simulations!$CQ7/IF(Simulations!$J7="",1000,Simulations!$J7)))+Simulations!$CQ7/IF(Simulations!$J7="",1000,Simulations!$J7)*SQRT(PI())/2*ERFC(SQRT(LN(Simulations!$CQ7/IF(Simulations!$J7="",1000,Simulations!$J7))))),PI()*IF(Simulations!$T7="",200,Simulations!$T7)^2/2*(LN(Simulations!$CQ7/IF(Simulations!$J7="",1000,Simulations!$J7))+1))))</f>
        <v>29.3532730881177</v>
      </c>
      <c r="U7" s="0" t="n">
        <f aca="false">IF(OR(NOT(AND(Simulations!$A7&lt;&gt;"",OR(Simulations!$CN7&lt;&gt;"",N(Simulations!$CP7)&gt;0))),N(Simulations!$CR7)&lt;=0,N(Simulations!$CP7)&lt;=0,2&gt;N(IF(Simulations!$O7="",1,Simulations!$O7))),0,IF(Simulations!$CR7&lt;IF(Simulations!$J7="",1000,Simulations!$J7),Simulations!$CP7/(IF(Simulations!$G7="",5000,Simulations!$G7)*IF(Simulations!$H7="",5000,Simulations!$H7)*IF(IF(Simulations!$I7="",5000,Simulations!$I7)&gt;0,IF(Simulations!$I7="",5000,Simulations!$I7),1))*Simulations!$CR7*(PI()/2*IF(Simulations!$U7="",200,Simulations!$U7)^2*IF(IF(Simulations!$I7="",5000,Simulations!$I7)&gt;0,SQRT(PI()/2)*IF(Simulations!$X7="",1000,Simulations!$X7),1)),Simulations!$CP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U7="",200,Simulations!$U7)^2*IF(Simulations!$X7="",1000,Simulations!$X7)/2^1.5*(2/3*LN(Simulations!$CR7/IF(Simulations!$J7="",1000,Simulations!$J7))^1.5+SQRT(LN(Simulations!$CR7/IF(Simulations!$J7="",1000,Simulations!$J7)))+Simulations!$CR7/IF(Simulations!$J7="",1000,Simulations!$J7)*SQRT(PI())/2*ERFC(SQRT(LN(Simulations!$CR7/IF(Simulations!$J7="",1000,Simulations!$J7))))),PI()*IF(Simulations!$U7="",200,Simulations!$U7)^2/2*(LN(Simulations!$CR7/IF(Simulations!$J7="",1000,Simulations!$J7))+1))))</f>
        <v>29.3532730881177</v>
      </c>
      <c r="V7" s="0" t="n">
        <f aca="false">IF(OR(NOT(AND(Simulations!$A7&lt;&gt;"",OR(Simulations!$CN7&lt;&gt;"",N(Simulations!$CP7)&gt;0))),N(Simulations!$CS7)&lt;=0,N(Simulations!$CP7)&lt;=0,3&gt;N(IF(Simulations!$O7="",1,Simulations!$O7))),0,IF(Simulations!$CS7&lt;IF(Simulations!$J7="",1000,Simulations!$J7),Simulations!$CP7/(IF(Simulations!$G7="",5000,Simulations!$G7)*IF(Simulations!$H7="",5000,Simulations!$H7)*IF(IF(Simulations!$I7="",5000,Simulations!$I7)&gt;0,IF(Simulations!$I7="",5000,Simulations!$I7),1))*Simulations!$CS7*(PI()/2*IF(Simulations!$V7="",200,Simulations!$V7)^2*IF(IF(Simulations!$I7="",5000,Simulations!$I7)&gt;0,SQRT(PI()/2)*IF(Simulations!$Y7="",1000,Simulations!$Y7),1)),Simulations!$CP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V7="",200,Simulations!$V7)^2*IF(Simulations!$Y7="",1000,Simulations!$Y7)/2^1.5*(2/3*LN(Simulations!$CS7/IF(Simulations!$J7="",1000,Simulations!$J7))^1.5+SQRT(LN(Simulations!$CS7/IF(Simulations!$J7="",1000,Simulations!$J7)))+Simulations!$CS7/IF(Simulations!$J7="",1000,Simulations!$J7)*SQRT(PI())/2*ERFC(SQRT(LN(Simulations!$CS7/IF(Simulations!$J7="",1000,Simulations!$J7))))),PI()*IF(Simulations!$V7="",200,Simulations!$V7)^2/2*(LN(Simulations!$CS7/IF(Simulations!$J7="",1000,Simulations!$J7))+1))))</f>
        <v>29.3532730881177</v>
      </c>
      <c r="W7" s="0" t="n">
        <f aca="false">IF(NOT(AND(Simulations!$A7&lt;&gt;"",OR(Simulations!$CN7&lt;&gt;"",N(Simulations!$CP7)&gt;0))),0,MAX(N(Simulations!$CQ7),N(Simulations!$CR7),N(Simulations!$CS7))/IF(Simulations!$J7="",1000,Simulations!$J7))</f>
        <v>10</v>
      </c>
      <c r="X7" s="0" t="n">
        <f aca="false">IF(OR(NOT(AND(Simulations!$A7&lt;&gt;"",OR(Simulations!$CN7&lt;&gt;"",N(Simulations!$CP7)&gt;0))),N(Simulations!$CO7)&lt;=0),0,SQRT(2*Simulations!$CO7*1000000/(IF(Simulations!$J7="",1000,Simulations!$J7)*1000))/MIN(IF(Simulations!$T7="",200,Simulations!$T7),IF(Simulations!$U7="",200,Simulations!$U7),IF(Simulations!$V7="",200,Simulations!$V7)))</f>
        <v>0.0406201920231798</v>
      </c>
      <c r="Y7" s="0" t="n">
        <f aca="false">IF(AND(Simulations!$A7&lt;&gt;"",OR(Simulations!$CN7&lt;&gt;"",N(Simulations!$CP7)&gt;0)),1,0)</f>
        <v>1</v>
      </c>
      <c r="Z7" s="0" t="n">
        <f aca="false">IF(OR(NOT(AND(Simulations!$A7&lt;&gt;"",OR(Simulations!$DF7&lt;&gt;"",N(Simulations!$DH7)&gt;0))),N(Simulations!$DI7)&lt;=0,N(Simulations!$DH7)&lt;=0,1&gt;N(IF(Simulations!$O7="",1,Simulations!$O7))),0,IF(Simulations!$DI7&lt;IF(Simulations!$J7="",1000,Simulations!$J7),Simulations!$DH7/(IF(Simulations!$G7="",5000,Simulations!$G7)*IF(Simulations!$H7="",5000,Simulations!$H7)*IF(IF(Simulations!$I7="",5000,Simulations!$I7)&gt;0,IF(Simulations!$I7="",5000,Simulations!$I7),1))*Simulations!$DI7*(PI()/2*IF(Simulations!$T7="",200,Simulations!$T7)^2*IF(IF(Simulations!$I7="",5000,Simulations!$I7)&gt;0,SQRT(PI()/2)*IF(Simulations!$W7="",1000,Simulations!$W7),1)),Simulations!$DH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T7="",200,Simulations!$T7)^2*IF(Simulations!$W7="",1000,Simulations!$W7)/2^1.5*(2/3*LN(Simulations!$DI7/IF(Simulations!$J7="",1000,Simulations!$J7))^1.5+SQRT(LN(Simulations!$DI7/IF(Simulations!$J7="",1000,Simulations!$J7)))+Simulations!$DI7/IF(Simulations!$J7="",1000,Simulations!$J7)*SQRT(PI())/2*ERFC(SQRT(LN(Simulations!$DI7/IF(Simulations!$J7="",1000,Simulations!$J7))))),PI()*IF(Simulations!$T7="",200,Simulations!$T7)^2/2*(LN(Simulations!$DI7/IF(Simulations!$J7="",1000,Simulations!$J7))+1))))</f>
        <v>29.3532730881177</v>
      </c>
      <c r="AA7" s="0" t="n">
        <f aca="false">IF(OR(NOT(AND(Simulations!$A7&lt;&gt;"",OR(Simulations!$DF7&lt;&gt;"",N(Simulations!$DH7)&gt;0))),N(Simulations!$DJ7)&lt;=0,N(Simulations!$DH7)&lt;=0,2&gt;N(IF(Simulations!$O7="",1,Simulations!$O7))),0,IF(Simulations!$DJ7&lt;IF(Simulations!$J7="",1000,Simulations!$J7),Simulations!$DH7/(IF(Simulations!$G7="",5000,Simulations!$G7)*IF(Simulations!$H7="",5000,Simulations!$H7)*IF(IF(Simulations!$I7="",5000,Simulations!$I7)&gt;0,IF(Simulations!$I7="",5000,Simulations!$I7),1))*Simulations!$DJ7*(PI()/2*IF(Simulations!$U7="",200,Simulations!$U7)^2*IF(IF(Simulations!$I7="",5000,Simulations!$I7)&gt;0,SQRT(PI()/2)*IF(Simulations!$X7="",1000,Simulations!$X7),1)),Simulations!$DH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U7="",200,Simulations!$U7)^2*IF(Simulations!$X7="",1000,Simulations!$X7)/2^1.5*(2/3*LN(Simulations!$DJ7/IF(Simulations!$J7="",1000,Simulations!$J7))^1.5+SQRT(LN(Simulations!$DJ7/IF(Simulations!$J7="",1000,Simulations!$J7)))+Simulations!$DJ7/IF(Simulations!$J7="",1000,Simulations!$J7)*SQRT(PI())/2*ERFC(SQRT(LN(Simulations!$DJ7/IF(Simulations!$J7="",1000,Simulations!$J7))))),PI()*IF(Simulations!$U7="",200,Simulations!$U7)^2/2*(LN(Simulations!$DJ7/IF(Simulations!$J7="",1000,Simulations!$J7))+1))))</f>
        <v>29.3532730881177</v>
      </c>
      <c r="AB7" s="0" t="n">
        <f aca="false">IF(OR(NOT(AND(Simulations!$A7&lt;&gt;"",OR(Simulations!$DF7&lt;&gt;"",N(Simulations!$DH7)&gt;0))),N(Simulations!$DK7)&lt;=0,N(Simulations!$DH7)&lt;=0,3&gt;N(IF(Simulations!$O7="",1,Simulations!$O7))),0,IF(Simulations!$DK7&lt;IF(Simulations!$J7="",1000,Simulations!$J7),Simulations!$DH7/(IF(Simulations!$G7="",5000,Simulations!$G7)*IF(Simulations!$H7="",5000,Simulations!$H7)*IF(IF(Simulations!$I7="",5000,Simulations!$I7)&gt;0,IF(Simulations!$I7="",5000,Simulations!$I7),1))*Simulations!$DK7*(PI()/2*IF(Simulations!$V7="",200,Simulations!$V7)^2*IF(IF(Simulations!$I7="",5000,Simulations!$I7)&gt;0,SQRT(PI()/2)*IF(Simulations!$Y7="",1000,Simulations!$Y7),1)),Simulations!$DH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V7="",200,Simulations!$V7)^2*IF(Simulations!$Y7="",1000,Simulations!$Y7)/2^1.5*(2/3*LN(Simulations!$DK7/IF(Simulations!$J7="",1000,Simulations!$J7))^1.5+SQRT(LN(Simulations!$DK7/IF(Simulations!$J7="",1000,Simulations!$J7)))+Simulations!$DK7/IF(Simulations!$J7="",1000,Simulations!$J7)*SQRT(PI())/2*ERFC(SQRT(LN(Simulations!$DK7/IF(Simulations!$J7="",1000,Simulations!$J7))))),PI()*IF(Simulations!$V7="",200,Simulations!$V7)^2/2*(LN(Simulations!$DK7/IF(Simulations!$J7="",1000,Simulations!$J7))+1))))</f>
        <v>0</v>
      </c>
      <c r="AC7" s="0" t="n">
        <f aca="false">IF(NOT(AND(Simulations!$A7&lt;&gt;"",OR(Simulations!$DF7&lt;&gt;"",N(Simulations!$DH7)&gt;0))),0,MAX(N(Simulations!$DI7),N(Simulations!$DJ7),N(Simulations!$DK7))/IF(Simulations!$J7="",1000,Simulations!$J7))</f>
        <v>10</v>
      </c>
      <c r="AD7" s="0" t="n">
        <f aca="false">IF(OR(NOT(AND(Simulations!$A7&lt;&gt;"",OR(Simulations!$DF7&lt;&gt;"",N(Simulations!$DH7)&gt;0))),N(Simulations!$DG7)&lt;=0),0,SQRT(2*Simulations!$DG7*1000000/(IF(Simulations!$J7="",1000,Simulations!$J7)*1000))/MIN(IF(Simulations!$T7="",200,Simulations!$T7),IF(Simulations!$U7="",200,Simulations!$U7),IF(Simulations!$V7="",200,Simulations!$V7)))</f>
        <v>0.0418330013267038</v>
      </c>
      <c r="AE7" s="0" t="n">
        <f aca="false">IF(AND(Simulations!$A7&lt;&gt;"",OR(Simulations!$DF7&lt;&gt;"",N(Simulations!$DH7)&gt;0)),1,0)</f>
        <v>1</v>
      </c>
      <c r="AF7" s="0" t="n">
        <f aca="false">IF(OR(NOT(AND(Simulations!$A7&lt;&gt;"",OR(Simulations!$DX7&lt;&gt;"",N(Simulations!$DZ7)&gt;0))),N(Simulations!$EA7)&lt;=0,N(Simulations!$DZ7)&lt;=0,1&gt;N(IF(Simulations!$O7="",1,Simulations!$O7))),0,IF(Simulations!$EA7&lt;IF(Simulations!$J7="",1000,Simulations!$J7),Simulations!$DZ7/(IF(Simulations!$G7="",5000,Simulations!$G7)*IF(Simulations!$H7="",5000,Simulations!$H7)*IF(IF(Simulations!$I7="",5000,Simulations!$I7)&gt;0,IF(Simulations!$I7="",5000,Simulations!$I7),1))*Simulations!$EA7*(PI()/2*IF(Simulations!$T7="",200,Simulations!$T7)^2*IF(IF(Simulations!$I7="",5000,Simulations!$I7)&gt;0,SQRT(PI()/2)*IF(Simulations!$W7="",1000,Simulations!$W7),1)),Simulations!$DZ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T7="",200,Simulations!$T7)^2*IF(Simulations!$W7="",1000,Simulations!$W7)/2^1.5*(2/3*LN(Simulations!$EA7/IF(Simulations!$J7="",1000,Simulations!$J7))^1.5+SQRT(LN(Simulations!$EA7/IF(Simulations!$J7="",1000,Simulations!$J7)))+Simulations!$EA7/IF(Simulations!$J7="",1000,Simulations!$J7)*SQRT(PI())/2*ERFC(SQRT(LN(Simulations!$EA7/IF(Simulations!$J7="",1000,Simulations!$J7))))),PI()*IF(Simulations!$T7="",200,Simulations!$T7)^2/2*(LN(Simulations!$EA7/IF(Simulations!$J7="",1000,Simulations!$J7))+1))))</f>
        <v>38.6873848879807</v>
      </c>
      <c r="AG7" s="0" t="n">
        <f aca="false">IF(OR(NOT(AND(Simulations!$A7&lt;&gt;"",OR(Simulations!$DX7&lt;&gt;"",N(Simulations!$DZ7)&gt;0))),N(Simulations!$EB7)&lt;=0,N(Simulations!$DZ7)&lt;=0,2&gt;N(IF(Simulations!$O7="",1,Simulations!$O7))),0,IF(Simulations!$EB7&lt;IF(Simulations!$J7="",1000,Simulations!$J7),Simulations!$DZ7/(IF(Simulations!$G7="",5000,Simulations!$G7)*IF(Simulations!$H7="",5000,Simulations!$H7)*IF(IF(Simulations!$I7="",5000,Simulations!$I7)&gt;0,IF(Simulations!$I7="",5000,Simulations!$I7),1))*Simulations!$EB7*(PI()/2*IF(Simulations!$U7="",200,Simulations!$U7)^2*IF(IF(Simulations!$I7="",5000,Simulations!$I7)&gt;0,SQRT(PI()/2)*IF(Simulations!$X7="",1000,Simulations!$X7),1)),Simulations!$DZ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U7="",200,Simulations!$U7)^2*IF(Simulations!$X7="",1000,Simulations!$X7)/2^1.5*(2/3*LN(Simulations!$EB7/IF(Simulations!$J7="",1000,Simulations!$J7))^1.5+SQRT(LN(Simulations!$EB7/IF(Simulations!$J7="",1000,Simulations!$J7)))+Simulations!$EB7/IF(Simulations!$J7="",1000,Simulations!$J7)*SQRT(PI())/2*ERFC(SQRT(LN(Simulations!$EB7/IF(Simulations!$J7="",1000,Simulations!$J7))))),PI()*IF(Simulations!$U7="",200,Simulations!$U7)^2/2*(LN(Simulations!$EB7/IF(Simulations!$J7="",1000,Simulations!$J7))+1))))</f>
        <v>29.3532730881177</v>
      </c>
      <c r="AH7" s="0" t="n">
        <f aca="false">IF(OR(NOT(AND(Simulations!$A7&lt;&gt;"",OR(Simulations!$DX7&lt;&gt;"",N(Simulations!$DZ7)&gt;0))),N(Simulations!$EC7)&lt;=0,N(Simulations!$DZ7)&lt;=0,3&gt;N(IF(Simulations!$O7="",1,Simulations!$O7))),0,IF(Simulations!$EC7&lt;IF(Simulations!$J7="",1000,Simulations!$J7),Simulations!$DZ7/(IF(Simulations!$G7="",5000,Simulations!$G7)*IF(Simulations!$H7="",5000,Simulations!$H7)*IF(IF(Simulations!$I7="",5000,Simulations!$I7)&gt;0,IF(Simulations!$I7="",5000,Simulations!$I7),1))*Simulations!$EC7*(PI()/2*IF(Simulations!$V7="",200,Simulations!$V7)^2*IF(IF(Simulations!$I7="",5000,Simulations!$I7)&gt;0,SQRT(PI()/2)*IF(Simulations!$Y7="",1000,Simulations!$Y7),1)),Simulations!$DZ7/(IF(Simulations!$G7="",5000,Simulations!$G7)*IF(Simulations!$H7="",5000,Simulations!$H7)*IF(IF(Simulations!$I7="",5000,Simulations!$I7)&gt;0,IF(Simulations!$I7="",5000,Simulations!$I7),1))*IF(Simulations!$J7="",1000,Simulations!$J7)*IF(IF(Simulations!$I7="",5000,Simulations!$I7)&gt;0,2*PI()*IF(Simulations!$V7="",200,Simulations!$V7)^2*IF(Simulations!$Y7="",1000,Simulations!$Y7)/2^1.5*(2/3*LN(Simulations!$EC7/IF(Simulations!$J7="",1000,Simulations!$J7))^1.5+SQRT(LN(Simulations!$EC7/IF(Simulations!$J7="",1000,Simulations!$J7)))+Simulations!$EC7/IF(Simulations!$J7="",1000,Simulations!$J7)*SQRT(PI())/2*ERFC(SQRT(LN(Simulations!$EC7/IF(Simulations!$J7="",1000,Simulations!$J7))))),PI()*IF(Simulations!$V7="",200,Simulations!$V7)^2/2*(LN(Simulations!$EC7/IF(Simulations!$J7="",1000,Simulations!$J7))+1))))</f>
        <v>0</v>
      </c>
      <c r="AI7" s="0" t="n">
        <f aca="false">IF(NOT(AND(Simulations!$A7&lt;&gt;"",OR(Simulations!$DX7&lt;&gt;"",N(Simulations!$DZ7)&gt;0))),0,MAX(N(Simulations!$EA7),N(Simulations!$EB7),N(Simulations!$EC7))/IF(Simulations!$J7="",1000,Simulations!$J7))</f>
        <v>20</v>
      </c>
      <c r="AJ7" s="0" t="n">
        <f aca="false">IF(OR(NOT(AND(Simulations!$A7&lt;&gt;"",OR(Simulations!$DX7&lt;&gt;"",N(Simulations!$DZ7)&gt;0))),N(Simulations!$DY7)&lt;=0),0,SQRT(2*Simulations!$DY7*1000000/(IF(Simulations!$J7="",1000,Simulations!$J7)*1000))/MIN(IF(Simulations!$T7="",200,Simulations!$T7),IF(Simulations!$U7="",200,Simulations!$U7),IF(Simulations!$V7="",200,Simulations!$V7)))</f>
        <v>0.0406201920231798</v>
      </c>
      <c r="AK7" s="0" t="n">
        <f aca="false">IF(AND(Simulations!$A7&lt;&gt;"",OR(Simulations!$DX7&lt;&gt;"",N(Simulations!$DZ7)&gt;0)),1,0)</f>
        <v>1</v>
      </c>
    </row>
    <row r="8" customFormat="false" ht="15" hidden="false" customHeight="false" outlineLevel="0" collapsed="false">
      <c r="B8" s="0" t="n">
        <f aca="false">IF(OR(NOT(AND(Simulations!$A8&lt;&gt;"",OR(Simulations!$AL8&lt;&gt;"",N(Simulations!$AN8)&gt;0))),N(Simulations!$AO8)&lt;=0,N(Simulations!$AN8)&lt;=0,1&gt;N(IF(Simulations!$O8="",1,Simulations!$O8))),0,IF(Simulations!$AO8&lt;IF(Simulations!$J8="",1000,Simulations!$J8),Simulations!$AN8/(IF(Simulations!$G8="",5000,Simulations!$G8)*IF(Simulations!$H8="",5000,Simulations!$H8)*IF(IF(Simulations!$I8="",5000,Simulations!$I8)&gt;0,IF(Simulations!$I8="",5000,Simulations!$I8),1))*Simulations!$AO8*(PI()/2*IF(Simulations!$T8="",200,Simulations!$T8)^2*IF(IF(Simulations!$I8="",5000,Simulations!$I8)&gt;0,SQRT(PI()/2)*IF(Simulations!$W8="",1000,Simulations!$W8),1)),Simulations!$AN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T8="",200,Simulations!$T8)^2*IF(Simulations!$W8="",1000,Simulations!$W8)/2^1.5*(2/3*LN(Simulations!$AO8/IF(Simulations!$J8="",1000,Simulations!$J8))^1.5+SQRT(LN(Simulations!$AO8/IF(Simulations!$J8="",1000,Simulations!$J8)))+Simulations!$AO8/IF(Simulations!$J8="",1000,Simulations!$J8)*SQRT(PI())/2*ERFC(SQRT(LN(Simulations!$AO8/IF(Simulations!$J8="",1000,Simulations!$J8))))),PI()*IF(Simulations!$T8="",200,Simulations!$T8)^2/2*(LN(Simulations!$AO8/IF(Simulations!$J8="",1000,Simulations!$J8))+1))))</f>
        <v>29.3532730881177</v>
      </c>
      <c r="C8" s="0" t="n">
        <f aca="false">IF(OR(NOT(AND(Simulations!$A8&lt;&gt;"",OR(Simulations!$AL8&lt;&gt;"",N(Simulations!$AN8)&gt;0))),N(Simulations!$AP8)&lt;=0,N(Simulations!$AN8)&lt;=0,2&gt;N(IF(Simulations!$O8="",1,Simulations!$O8))),0,IF(Simulations!$AP8&lt;IF(Simulations!$J8="",1000,Simulations!$J8),Simulations!$AN8/(IF(Simulations!$G8="",5000,Simulations!$G8)*IF(Simulations!$H8="",5000,Simulations!$H8)*IF(IF(Simulations!$I8="",5000,Simulations!$I8)&gt;0,IF(Simulations!$I8="",5000,Simulations!$I8),1))*Simulations!$AP8*(PI()/2*IF(Simulations!$U8="",200,Simulations!$U8)^2*IF(IF(Simulations!$I8="",5000,Simulations!$I8)&gt;0,SQRT(PI()/2)*IF(Simulations!$X8="",1000,Simulations!$X8),1)),Simulations!$AN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U8="",200,Simulations!$U8)^2*IF(Simulations!$X8="",1000,Simulations!$X8)/2^1.5*(2/3*LN(Simulations!$AP8/IF(Simulations!$J8="",1000,Simulations!$J8))^1.5+SQRT(LN(Simulations!$AP8/IF(Simulations!$J8="",1000,Simulations!$J8)))+Simulations!$AP8/IF(Simulations!$J8="",1000,Simulations!$J8)*SQRT(PI())/2*ERFC(SQRT(LN(Simulations!$AP8/IF(Simulations!$J8="",1000,Simulations!$J8))))),PI()*IF(Simulations!$U8="",200,Simulations!$U8)^2/2*(LN(Simulations!$AP8/IF(Simulations!$J8="",1000,Simulations!$J8))+1))))</f>
        <v>0</v>
      </c>
      <c r="D8" s="0" t="n">
        <f aca="false">IF(OR(NOT(AND(Simulations!$A8&lt;&gt;"",OR(Simulations!$AL8&lt;&gt;"",N(Simulations!$AN8)&gt;0))),N(Simulations!$AQ8)&lt;=0,N(Simulations!$AN8)&lt;=0,3&gt;N(IF(Simulations!$O8="",1,Simulations!$O8))),0,IF(Simulations!$AQ8&lt;IF(Simulations!$J8="",1000,Simulations!$J8),Simulations!$AN8/(IF(Simulations!$G8="",5000,Simulations!$G8)*IF(Simulations!$H8="",5000,Simulations!$H8)*IF(IF(Simulations!$I8="",5000,Simulations!$I8)&gt;0,IF(Simulations!$I8="",5000,Simulations!$I8),1))*Simulations!$AQ8*(PI()/2*IF(Simulations!$V8="",200,Simulations!$V8)^2*IF(IF(Simulations!$I8="",5000,Simulations!$I8)&gt;0,SQRT(PI()/2)*IF(Simulations!$Y8="",1000,Simulations!$Y8),1)),Simulations!$AN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V8="",200,Simulations!$V8)^2*IF(Simulations!$Y8="",1000,Simulations!$Y8)/2^1.5*(2/3*LN(Simulations!$AQ8/IF(Simulations!$J8="",1000,Simulations!$J8))^1.5+SQRT(LN(Simulations!$AQ8/IF(Simulations!$J8="",1000,Simulations!$J8)))+Simulations!$AQ8/IF(Simulations!$J8="",1000,Simulations!$J8)*SQRT(PI())/2*ERFC(SQRT(LN(Simulations!$AQ8/IF(Simulations!$J8="",1000,Simulations!$J8))))),PI()*IF(Simulations!$V8="",200,Simulations!$V8)^2/2*(LN(Simulations!$AQ8/IF(Simulations!$J8="",1000,Simulations!$J8))+1))))</f>
        <v>0</v>
      </c>
      <c r="E8" s="0" t="n">
        <f aca="false">IF(NOT(AND(Simulations!$A8&lt;&gt;"",OR(Simulations!$AL8&lt;&gt;"",N(Simulations!$AN8)&gt;0))),0,MAX(N(Simulations!$AO8),N(Simulations!$AP8),N(Simulations!$AQ8))/IF(Simulations!$J8="",1000,Simulations!$J8))</f>
        <v>10</v>
      </c>
      <c r="F8" s="0" t="n">
        <f aca="false">IF(OR(NOT(AND(Simulations!$A8&lt;&gt;"",OR(Simulations!$AL8&lt;&gt;"",N(Simulations!$AN8)&gt;0))),N(Simulations!$AM8)&lt;=0),0,SQRT(2*Simulations!$AM8*1000000/(IF(Simulations!$J8="",1000,Simulations!$J8)*1000))/MIN(IF(Simulations!$T8="",200,Simulations!$T8),IF(Simulations!$U8="",200,Simulations!$U8),IF(Simulations!$V8="",200,Simulations!$V8)))</f>
        <v>0.14142135623731</v>
      </c>
      <c r="G8" s="0" t="n">
        <f aca="false">IF(AND(Simulations!$A8&lt;&gt;"",OR(Simulations!$AL8&lt;&gt;"",N(Simulations!$AN8)&gt;0)),1,0)</f>
        <v>1</v>
      </c>
      <c r="H8" s="0" t="n">
        <f aca="false">IF(OR(NOT(AND(Simulations!$A8&lt;&gt;"",OR(Simulations!$BD8&lt;&gt;"",N(Simulations!$BF8)&gt;0))),N(Simulations!$BG8)&lt;=0,N(Simulations!$BF8)&lt;=0,1&gt;N(IF(Simulations!$O8="",1,Simulations!$O8))),0,IF(Simulations!$BG8&lt;IF(Simulations!$J8="",1000,Simulations!$J8),Simulations!$BF8/(IF(Simulations!$G8="",5000,Simulations!$G8)*IF(Simulations!$H8="",5000,Simulations!$H8)*IF(IF(Simulations!$I8="",5000,Simulations!$I8)&gt;0,IF(Simulations!$I8="",5000,Simulations!$I8),1))*Simulations!$BG8*(PI()/2*IF(Simulations!$T8="",200,Simulations!$T8)^2*IF(IF(Simulations!$I8="",5000,Simulations!$I8)&gt;0,SQRT(PI()/2)*IF(Simulations!$W8="",1000,Simulations!$W8),1)),Simulations!$BF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T8="",200,Simulations!$T8)^2*IF(Simulations!$W8="",1000,Simulations!$W8)/2^1.5*(2/3*LN(Simulations!$BG8/IF(Simulations!$J8="",1000,Simulations!$J8))^1.5+SQRT(LN(Simulations!$BG8/IF(Simulations!$J8="",1000,Simulations!$J8)))+Simulations!$BG8/IF(Simulations!$J8="",1000,Simulations!$J8)*SQRT(PI())/2*ERFC(SQRT(LN(Simulations!$BG8/IF(Simulations!$J8="",1000,Simulations!$J8))))),PI()*IF(Simulations!$T8="",200,Simulations!$T8)^2/2*(LN(Simulations!$BG8/IF(Simulations!$J8="",1000,Simulations!$J8))+1))))</f>
        <v>0</v>
      </c>
      <c r="I8" s="0" t="n">
        <f aca="false">IF(OR(NOT(AND(Simulations!$A8&lt;&gt;"",OR(Simulations!$BD8&lt;&gt;"",N(Simulations!$BF8)&gt;0))),N(Simulations!$BH8)&lt;=0,N(Simulations!$BF8)&lt;=0,2&gt;N(IF(Simulations!$O8="",1,Simulations!$O8))),0,IF(Simulations!$BH8&lt;IF(Simulations!$J8="",1000,Simulations!$J8),Simulations!$BF8/(IF(Simulations!$G8="",5000,Simulations!$G8)*IF(Simulations!$H8="",5000,Simulations!$H8)*IF(IF(Simulations!$I8="",5000,Simulations!$I8)&gt;0,IF(Simulations!$I8="",5000,Simulations!$I8),1))*Simulations!$BH8*(PI()/2*IF(Simulations!$U8="",200,Simulations!$U8)^2*IF(IF(Simulations!$I8="",5000,Simulations!$I8)&gt;0,SQRT(PI()/2)*IF(Simulations!$X8="",1000,Simulations!$X8),1)),Simulations!$BF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U8="",200,Simulations!$U8)^2*IF(Simulations!$X8="",1000,Simulations!$X8)/2^1.5*(2/3*LN(Simulations!$BH8/IF(Simulations!$J8="",1000,Simulations!$J8))^1.5+SQRT(LN(Simulations!$BH8/IF(Simulations!$J8="",1000,Simulations!$J8)))+Simulations!$BH8/IF(Simulations!$J8="",1000,Simulations!$J8)*SQRT(PI())/2*ERFC(SQRT(LN(Simulations!$BH8/IF(Simulations!$J8="",1000,Simulations!$J8))))),PI()*IF(Simulations!$U8="",200,Simulations!$U8)^2/2*(LN(Simulations!$BH8/IF(Simulations!$J8="",1000,Simulations!$J8))+1))))</f>
        <v>24.9200322255786</v>
      </c>
      <c r="J8" s="0" t="n">
        <f aca="false">IF(OR(NOT(AND(Simulations!$A8&lt;&gt;"",OR(Simulations!$BD8&lt;&gt;"",N(Simulations!$BF8)&gt;0))),N(Simulations!$BI8)&lt;=0,N(Simulations!$BF8)&lt;=0,3&gt;N(IF(Simulations!$O8="",1,Simulations!$O8))),0,IF(Simulations!$BI8&lt;IF(Simulations!$J8="",1000,Simulations!$J8),Simulations!$BF8/(IF(Simulations!$G8="",5000,Simulations!$G8)*IF(Simulations!$H8="",5000,Simulations!$H8)*IF(IF(Simulations!$I8="",5000,Simulations!$I8)&gt;0,IF(Simulations!$I8="",5000,Simulations!$I8),1))*Simulations!$BI8*(PI()/2*IF(Simulations!$V8="",200,Simulations!$V8)^2*IF(IF(Simulations!$I8="",5000,Simulations!$I8)&gt;0,SQRT(PI()/2)*IF(Simulations!$Y8="",1000,Simulations!$Y8),1)),Simulations!$BF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V8="",200,Simulations!$V8)^2*IF(Simulations!$Y8="",1000,Simulations!$Y8)/2^1.5*(2/3*LN(Simulations!$BI8/IF(Simulations!$J8="",1000,Simulations!$J8))^1.5+SQRT(LN(Simulations!$BI8/IF(Simulations!$J8="",1000,Simulations!$J8)))+Simulations!$BI8/IF(Simulations!$J8="",1000,Simulations!$J8)*SQRT(PI())/2*ERFC(SQRT(LN(Simulations!$BI8/IF(Simulations!$J8="",1000,Simulations!$J8))))),PI()*IF(Simulations!$V8="",200,Simulations!$V8)^2/2*(LN(Simulations!$BI8/IF(Simulations!$J8="",1000,Simulations!$J8))+1))))</f>
        <v>0</v>
      </c>
      <c r="K8" s="0" t="n">
        <f aca="false">IF(NOT(AND(Simulations!$A8&lt;&gt;"",OR(Simulations!$BD8&lt;&gt;"",N(Simulations!$BF8)&gt;0))),0,MAX(N(Simulations!$BG8),N(Simulations!$BH8),N(Simulations!$BI8))/IF(Simulations!$J8="",1000,Simulations!$J8))</f>
        <v>7</v>
      </c>
      <c r="L8" s="0" t="n">
        <f aca="false">IF(OR(NOT(AND(Simulations!$A8&lt;&gt;"",OR(Simulations!$BD8&lt;&gt;"",N(Simulations!$BF8)&gt;0))),N(Simulations!$BE8)&lt;=0),0,SQRT(2*Simulations!$BE8*1000000/(IF(Simulations!$J8="",1000,Simulations!$J8)*1000))/MIN(IF(Simulations!$T8="",200,Simulations!$T8),IF(Simulations!$U8="",200,Simulations!$U8),IF(Simulations!$V8="",200,Simulations!$V8)))</f>
        <v>0.14142135623731</v>
      </c>
      <c r="M8" s="0" t="n">
        <f aca="false">IF(AND(Simulations!$A8&lt;&gt;"",OR(Simulations!$BD8&lt;&gt;"",N(Simulations!$BF8)&gt;0)),1,0)</f>
        <v>1</v>
      </c>
      <c r="N8" s="0" t="n">
        <f aca="false">IF(OR(NOT(AND(Simulations!$A8&lt;&gt;"",OR(Simulations!$BV8&lt;&gt;"",N(Simulations!$BX8)&gt;0))),N(Simulations!$BY8)&lt;=0,N(Simulations!$BX8)&lt;=0,1&gt;N(IF(Simulations!$O8="",1,Simulations!$O8))),0,IF(Simulations!$BY8&lt;IF(Simulations!$J8="",1000,Simulations!$J8),Simulations!$BX8/(IF(Simulations!$G8="",5000,Simulations!$G8)*IF(Simulations!$H8="",5000,Simulations!$H8)*IF(IF(Simulations!$I8="",5000,Simulations!$I8)&gt;0,IF(Simulations!$I8="",5000,Simulations!$I8),1))*Simulations!$BY8*(PI()/2*IF(Simulations!$T8="",200,Simulations!$T8)^2*IF(IF(Simulations!$I8="",5000,Simulations!$I8)&gt;0,SQRT(PI()/2)*IF(Simulations!$W8="",1000,Simulations!$W8),1)),Simulations!$BX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T8="",200,Simulations!$T8)^2*IF(Simulations!$W8="",1000,Simulations!$W8)/2^1.5*(2/3*LN(Simulations!$BY8/IF(Simulations!$J8="",1000,Simulations!$J8))^1.5+SQRT(LN(Simulations!$BY8/IF(Simulations!$J8="",1000,Simulations!$J8)))+Simulations!$BY8/IF(Simulations!$J8="",1000,Simulations!$J8)*SQRT(PI())/2*ERFC(SQRT(LN(Simulations!$BY8/IF(Simulations!$J8="",1000,Simulations!$J8))))),PI()*IF(Simulations!$T8="",200,Simulations!$T8)^2/2*(LN(Simulations!$BY8/IF(Simulations!$J8="",1000,Simulations!$J8))+1))))</f>
        <v>0</v>
      </c>
      <c r="O8" s="0" t="n">
        <f aca="false">IF(OR(NOT(AND(Simulations!$A8&lt;&gt;"",OR(Simulations!$BV8&lt;&gt;"",N(Simulations!$BX8)&gt;0))),N(Simulations!$BZ8)&lt;=0,N(Simulations!$BX8)&lt;=0,2&gt;N(IF(Simulations!$O8="",1,Simulations!$O8))),0,IF(Simulations!$BZ8&lt;IF(Simulations!$J8="",1000,Simulations!$J8),Simulations!$BX8/(IF(Simulations!$G8="",5000,Simulations!$G8)*IF(Simulations!$H8="",5000,Simulations!$H8)*IF(IF(Simulations!$I8="",5000,Simulations!$I8)&gt;0,IF(Simulations!$I8="",5000,Simulations!$I8),1))*Simulations!$BZ8*(PI()/2*IF(Simulations!$U8="",200,Simulations!$U8)^2*IF(IF(Simulations!$I8="",5000,Simulations!$I8)&gt;0,SQRT(PI()/2)*IF(Simulations!$X8="",1000,Simulations!$X8),1)),Simulations!$BX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U8="",200,Simulations!$U8)^2*IF(Simulations!$X8="",1000,Simulations!$X8)/2^1.5*(2/3*LN(Simulations!$BZ8/IF(Simulations!$J8="",1000,Simulations!$J8))^1.5+SQRT(LN(Simulations!$BZ8/IF(Simulations!$J8="",1000,Simulations!$J8)))+Simulations!$BZ8/IF(Simulations!$J8="",1000,Simulations!$J8)*SQRT(PI())/2*ERFC(SQRT(LN(Simulations!$BZ8/IF(Simulations!$J8="",1000,Simulations!$J8))))),PI()*IF(Simulations!$U8="",200,Simulations!$U8)^2/2*(LN(Simulations!$BZ8/IF(Simulations!$J8="",1000,Simulations!$J8))+1))))</f>
        <v>0</v>
      </c>
      <c r="P8" s="0" t="n">
        <f aca="false">IF(OR(NOT(AND(Simulations!$A8&lt;&gt;"",OR(Simulations!$BV8&lt;&gt;"",N(Simulations!$BX8)&gt;0))),N(Simulations!$CA8)&lt;=0,N(Simulations!$BX8)&lt;=0,3&gt;N(IF(Simulations!$O8="",1,Simulations!$O8))),0,IF(Simulations!$CA8&lt;IF(Simulations!$J8="",1000,Simulations!$J8),Simulations!$BX8/(IF(Simulations!$G8="",5000,Simulations!$G8)*IF(Simulations!$H8="",5000,Simulations!$H8)*IF(IF(Simulations!$I8="",5000,Simulations!$I8)&gt;0,IF(Simulations!$I8="",5000,Simulations!$I8),1))*Simulations!$CA8*(PI()/2*IF(Simulations!$V8="",200,Simulations!$V8)^2*IF(IF(Simulations!$I8="",5000,Simulations!$I8)&gt;0,SQRT(PI()/2)*IF(Simulations!$Y8="",1000,Simulations!$Y8),1)),Simulations!$BX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V8="",200,Simulations!$V8)^2*IF(Simulations!$Y8="",1000,Simulations!$Y8)/2^1.5*(2/3*LN(Simulations!$CA8/IF(Simulations!$J8="",1000,Simulations!$J8))^1.5+SQRT(LN(Simulations!$CA8/IF(Simulations!$J8="",1000,Simulations!$J8)))+Simulations!$CA8/IF(Simulations!$J8="",1000,Simulations!$J8)*SQRT(PI())/2*ERFC(SQRT(LN(Simulations!$CA8/IF(Simulations!$J8="",1000,Simulations!$J8))))),PI()*IF(Simulations!$V8="",200,Simulations!$V8)^2/2*(LN(Simulations!$CA8/IF(Simulations!$J8="",1000,Simulations!$J8))+1))))</f>
        <v>20.9873877075729</v>
      </c>
      <c r="Q8" s="0" t="n">
        <f aca="false">IF(NOT(AND(Simulations!$A8&lt;&gt;"",OR(Simulations!$BV8&lt;&gt;"",N(Simulations!$BX8)&gt;0))),0,MAX(N(Simulations!$BY8),N(Simulations!$BZ8),N(Simulations!$CA8))/IF(Simulations!$J8="",1000,Simulations!$J8))</f>
        <v>5</v>
      </c>
      <c r="R8" s="0" t="n">
        <f aca="false">IF(OR(NOT(AND(Simulations!$A8&lt;&gt;"",OR(Simulations!$BV8&lt;&gt;"",N(Simulations!$BX8)&gt;0))),N(Simulations!$BW8)&lt;=0),0,SQRT(2*Simulations!$BW8*1000000/(IF(Simulations!$J8="",1000,Simulations!$J8)*1000))/MIN(IF(Simulations!$T8="",200,Simulations!$T8),IF(Simulations!$U8="",200,Simulations!$U8),IF(Simulations!$V8="",200,Simulations!$V8)))</f>
        <v>0.14142135623731</v>
      </c>
      <c r="S8" s="0" t="n">
        <f aca="false">IF(AND(Simulations!$A8&lt;&gt;"",OR(Simulations!$BV8&lt;&gt;"",N(Simulations!$BX8)&gt;0)),1,0)</f>
        <v>1</v>
      </c>
      <c r="T8" s="0" t="n">
        <f aca="false">IF(OR(NOT(AND(Simulations!$A8&lt;&gt;"",OR(Simulations!$CN8&lt;&gt;"",N(Simulations!$CP8)&gt;0))),N(Simulations!$CQ8)&lt;=0,N(Simulations!$CP8)&lt;=0,1&gt;N(IF(Simulations!$O8="",1,Simulations!$O8))),0,IF(Simulations!$CQ8&lt;IF(Simulations!$J8="",1000,Simulations!$J8),Simulations!$CP8/(IF(Simulations!$G8="",5000,Simulations!$G8)*IF(Simulations!$H8="",5000,Simulations!$H8)*IF(IF(Simulations!$I8="",5000,Simulations!$I8)&gt;0,IF(Simulations!$I8="",5000,Simulations!$I8),1))*Simulations!$CQ8*(PI()/2*IF(Simulations!$T8="",200,Simulations!$T8)^2*IF(IF(Simulations!$I8="",5000,Simulations!$I8)&gt;0,SQRT(PI()/2)*IF(Simulations!$W8="",1000,Simulations!$W8),1)),Simulations!$CP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T8="",200,Simulations!$T8)^2*IF(Simulations!$W8="",1000,Simulations!$W8)/2^1.5*(2/3*LN(Simulations!$CQ8/IF(Simulations!$J8="",1000,Simulations!$J8))^1.5+SQRT(LN(Simulations!$CQ8/IF(Simulations!$J8="",1000,Simulations!$J8)))+Simulations!$CQ8/IF(Simulations!$J8="",1000,Simulations!$J8)*SQRT(PI())/2*ERFC(SQRT(LN(Simulations!$CQ8/IF(Simulations!$J8="",1000,Simulations!$J8))))),PI()*IF(Simulations!$T8="",200,Simulations!$T8)^2/2*(LN(Simulations!$CQ8/IF(Simulations!$J8="",1000,Simulations!$J8))+1))))</f>
        <v>29.3532730881177</v>
      </c>
      <c r="U8" s="0" t="n">
        <f aca="false">IF(OR(NOT(AND(Simulations!$A8&lt;&gt;"",OR(Simulations!$CN8&lt;&gt;"",N(Simulations!$CP8)&gt;0))),N(Simulations!$CR8)&lt;=0,N(Simulations!$CP8)&lt;=0,2&gt;N(IF(Simulations!$O8="",1,Simulations!$O8))),0,IF(Simulations!$CR8&lt;IF(Simulations!$J8="",1000,Simulations!$J8),Simulations!$CP8/(IF(Simulations!$G8="",5000,Simulations!$G8)*IF(Simulations!$H8="",5000,Simulations!$H8)*IF(IF(Simulations!$I8="",5000,Simulations!$I8)&gt;0,IF(Simulations!$I8="",5000,Simulations!$I8),1))*Simulations!$CR8*(PI()/2*IF(Simulations!$U8="",200,Simulations!$U8)^2*IF(IF(Simulations!$I8="",5000,Simulations!$I8)&gt;0,SQRT(PI()/2)*IF(Simulations!$X8="",1000,Simulations!$X8),1)),Simulations!$CP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U8="",200,Simulations!$U8)^2*IF(Simulations!$X8="",1000,Simulations!$X8)/2^1.5*(2/3*LN(Simulations!$CR8/IF(Simulations!$J8="",1000,Simulations!$J8))^1.5+SQRT(LN(Simulations!$CR8/IF(Simulations!$J8="",1000,Simulations!$J8)))+Simulations!$CR8/IF(Simulations!$J8="",1000,Simulations!$J8)*SQRT(PI())/2*ERFC(SQRT(LN(Simulations!$CR8/IF(Simulations!$J8="",1000,Simulations!$J8))))),PI()*IF(Simulations!$U8="",200,Simulations!$U8)^2/2*(LN(Simulations!$CR8/IF(Simulations!$J8="",1000,Simulations!$J8))+1))))</f>
        <v>24.9200322255786</v>
      </c>
      <c r="V8" s="0" t="n">
        <f aca="false">IF(OR(NOT(AND(Simulations!$A8&lt;&gt;"",OR(Simulations!$CN8&lt;&gt;"",N(Simulations!$CP8)&gt;0))),N(Simulations!$CS8)&lt;=0,N(Simulations!$CP8)&lt;=0,3&gt;N(IF(Simulations!$O8="",1,Simulations!$O8))),0,IF(Simulations!$CS8&lt;IF(Simulations!$J8="",1000,Simulations!$J8),Simulations!$CP8/(IF(Simulations!$G8="",5000,Simulations!$G8)*IF(Simulations!$H8="",5000,Simulations!$H8)*IF(IF(Simulations!$I8="",5000,Simulations!$I8)&gt;0,IF(Simulations!$I8="",5000,Simulations!$I8),1))*Simulations!$CS8*(PI()/2*IF(Simulations!$V8="",200,Simulations!$V8)^2*IF(IF(Simulations!$I8="",5000,Simulations!$I8)&gt;0,SQRT(PI()/2)*IF(Simulations!$Y8="",1000,Simulations!$Y8),1)),Simulations!$CP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V8="",200,Simulations!$V8)^2*IF(Simulations!$Y8="",1000,Simulations!$Y8)/2^1.5*(2/3*LN(Simulations!$CS8/IF(Simulations!$J8="",1000,Simulations!$J8))^1.5+SQRT(LN(Simulations!$CS8/IF(Simulations!$J8="",1000,Simulations!$J8)))+Simulations!$CS8/IF(Simulations!$J8="",1000,Simulations!$J8)*SQRT(PI())/2*ERFC(SQRT(LN(Simulations!$CS8/IF(Simulations!$J8="",1000,Simulations!$J8))))),PI()*IF(Simulations!$V8="",200,Simulations!$V8)^2/2*(LN(Simulations!$CS8/IF(Simulations!$J8="",1000,Simulations!$J8))+1))))</f>
        <v>20.9873877075729</v>
      </c>
      <c r="W8" s="0" t="n">
        <f aca="false">IF(NOT(AND(Simulations!$A8&lt;&gt;"",OR(Simulations!$CN8&lt;&gt;"",N(Simulations!$CP8)&gt;0))),0,MAX(N(Simulations!$CQ8),N(Simulations!$CR8),N(Simulations!$CS8))/IF(Simulations!$J8="",1000,Simulations!$J8))</f>
        <v>10</v>
      </c>
      <c r="X8" s="0" t="n">
        <f aca="false">IF(OR(NOT(AND(Simulations!$A8&lt;&gt;"",OR(Simulations!$CN8&lt;&gt;"",N(Simulations!$CP8)&gt;0))),N(Simulations!$CO8)&lt;=0),0,SQRT(2*Simulations!$CO8*1000000/(IF(Simulations!$J8="",1000,Simulations!$J8)*1000))/MIN(IF(Simulations!$T8="",200,Simulations!$T8),IF(Simulations!$U8="",200,Simulations!$U8),IF(Simulations!$V8="",200,Simulations!$V8)))</f>
        <v>0.0406201920231798</v>
      </c>
      <c r="Y8" s="0" t="n">
        <f aca="false">IF(AND(Simulations!$A8&lt;&gt;"",OR(Simulations!$CN8&lt;&gt;"",N(Simulations!$CP8)&gt;0)),1,0)</f>
        <v>1</v>
      </c>
      <c r="Z8" s="0" t="n">
        <f aca="false">IF(OR(NOT(AND(Simulations!$A8&lt;&gt;"",OR(Simulations!$DF8&lt;&gt;"",N(Simulations!$DH8)&gt;0))),N(Simulations!$DI8)&lt;=0,N(Simulations!$DH8)&lt;=0,1&gt;N(IF(Simulations!$O8="",1,Simulations!$O8))),0,IF(Simulations!$DI8&lt;IF(Simulations!$J8="",1000,Simulations!$J8),Simulations!$DH8/(IF(Simulations!$G8="",5000,Simulations!$G8)*IF(Simulations!$H8="",5000,Simulations!$H8)*IF(IF(Simulations!$I8="",5000,Simulations!$I8)&gt;0,IF(Simulations!$I8="",5000,Simulations!$I8),1))*Simulations!$DI8*(PI()/2*IF(Simulations!$T8="",200,Simulations!$T8)^2*IF(IF(Simulations!$I8="",5000,Simulations!$I8)&gt;0,SQRT(PI()/2)*IF(Simulations!$W8="",1000,Simulations!$W8),1)),Simulations!$DH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T8="",200,Simulations!$T8)^2*IF(Simulations!$W8="",1000,Simulations!$W8)/2^1.5*(2/3*LN(Simulations!$DI8/IF(Simulations!$J8="",1000,Simulations!$J8))^1.5+SQRT(LN(Simulations!$DI8/IF(Simulations!$J8="",1000,Simulations!$J8)))+Simulations!$DI8/IF(Simulations!$J8="",1000,Simulations!$J8)*SQRT(PI())/2*ERFC(SQRT(LN(Simulations!$DI8/IF(Simulations!$J8="",1000,Simulations!$J8))))),PI()*IF(Simulations!$T8="",200,Simulations!$T8)^2/2*(LN(Simulations!$DI8/IF(Simulations!$J8="",1000,Simulations!$J8))+1))))</f>
        <v>38.6873848879807</v>
      </c>
      <c r="AA8" s="0" t="n">
        <f aca="false">IF(OR(NOT(AND(Simulations!$A8&lt;&gt;"",OR(Simulations!$DF8&lt;&gt;"",N(Simulations!$DH8)&gt;0))),N(Simulations!$DJ8)&lt;=0,N(Simulations!$DH8)&lt;=0,2&gt;N(IF(Simulations!$O8="",1,Simulations!$O8))),0,IF(Simulations!$DJ8&lt;IF(Simulations!$J8="",1000,Simulations!$J8),Simulations!$DH8/(IF(Simulations!$G8="",5000,Simulations!$G8)*IF(Simulations!$H8="",5000,Simulations!$H8)*IF(IF(Simulations!$I8="",5000,Simulations!$I8)&gt;0,IF(Simulations!$I8="",5000,Simulations!$I8),1))*Simulations!$DJ8*(PI()/2*IF(Simulations!$U8="",200,Simulations!$U8)^2*IF(IF(Simulations!$I8="",5000,Simulations!$I8)&gt;0,SQRT(PI()/2)*IF(Simulations!$X8="",1000,Simulations!$X8),1)),Simulations!$DH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U8="",200,Simulations!$U8)^2*IF(Simulations!$X8="",1000,Simulations!$X8)/2^1.5*(2/3*LN(Simulations!$DJ8/IF(Simulations!$J8="",1000,Simulations!$J8))^1.5+SQRT(LN(Simulations!$DJ8/IF(Simulations!$J8="",1000,Simulations!$J8)))+Simulations!$DJ8/IF(Simulations!$J8="",1000,Simulations!$J8)*SQRT(PI())/2*ERFC(SQRT(LN(Simulations!$DJ8/IF(Simulations!$J8="",1000,Simulations!$J8))))),PI()*IF(Simulations!$U8="",200,Simulations!$U8)^2/2*(LN(Simulations!$DJ8/IF(Simulations!$J8="",1000,Simulations!$J8))+1))))</f>
        <v>24.9200322255786</v>
      </c>
      <c r="AB8" s="0" t="n">
        <f aca="false">IF(OR(NOT(AND(Simulations!$A8&lt;&gt;"",OR(Simulations!$DF8&lt;&gt;"",N(Simulations!$DH8)&gt;0))),N(Simulations!$DK8)&lt;=0,N(Simulations!$DH8)&lt;=0,3&gt;N(IF(Simulations!$O8="",1,Simulations!$O8))),0,IF(Simulations!$DK8&lt;IF(Simulations!$J8="",1000,Simulations!$J8),Simulations!$DH8/(IF(Simulations!$G8="",5000,Simulations!$G8)*IF(Simulations!$H8="",5000,Simulations!$H8)*IF(IF(Simulations!$I8="",5000,Simulations!$I8)&gt;0,IF(Simulations!$I8="",5000,Simulations!$I8),1))*Simulations!$DK8*(PI()/2*IF(Simulations!$V8="",200,Simulations!$V8)^2*IF(IF(Simulations!$I8="",5000,Simulations!$I8)&gt;0,SQRT(PI()/2)*IF(Simulations!$Y8="",1000,Simulations!$Y8),1)),Simulations!$DH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V8="",200,Simulations!$V8)^2*IF(Simulations!$Y8="",1000,Simulations!$Y8)/2^1.5*(2/3*LN(Simulations!$DK8/IF(Simulations!$J8="",1000,Simulations!$J8))^1.5+SQRT(LN(Simulations!$DK8/IF(Simulations!$J8="",1000,Simulations!$J8)))+Simulations!$DK8/IF(Simulations!$J8="",1000,Simulations!$J8)*SQRT(PI())/2*ERFC(SQRT(LN(Simulations!$DK8/IF(Simulations!$J8="",1000,Simulations!$J8))))),PI()*IF(Simulations!$V8="",200,Simulations!$V8)^2/2*(LN(Simulations!$DK8/IF(Simulations!$J8="",1000,Simulations!$J8))+1))))</f>
        <v>0</v>
      </c>
      <c r="AC8" s="0" t="n">
        <f aca="false">IF(NOT(AND(Simulations!$A8&lt;&gt;"",OR(Simulations!$DF8&lt;&gt;"",N(Simulations!$DH8)&gt;0))),0,MAX(N(Simulations!$DI8),N(Simulations!$DJ8),N(Simulations!$DK8))/IF(Simulations!$J8="",1000,Simulations!$J8))</f>
        <v>20</v>
      </c>
      <c r="AD8" s="0" t="n">
        <f aca="false">IF(OR(NOT(AND(Simulations!$A8&lt;&gt;"",OR(Simulations!$DF8&lt;&gt;"",N(Simulations!$DH8)&gt;0))),N(Simulations!$DG8)&lt;=0),0,SQRT(2*Simulations!$DG8*1000000/(IF(Simulations!$J8="",1000,Simulations!$J8)*1000))/MIN(IF(Simulations!$T8="",200,Simulations!$T8),IF(Simulations!$U8="",200,Simulations!$U8),IF(Simulations!$V8="",200,Simulations!$V8)))</f>
        <v>0.0406201920231798</v>
      </c>
      <c r="AE8" s="0" t="n">
        <f aca="false">IF(AND(Simulations!$A8&lt;&gt;"",OR(Simulations!$DF8&lt;&gt;"",N(Simulations!$DH8)&gt;0)),1,0)</f>
        <v>1</v>
      </c>
      <c r="AF8" s="0" t="n">
        <f aca="false">IF(OR(NOT(AND(Simulations!$A8&lt;&gt;"",OR(Simulations!$DX8&lt;&gt;"",N(Simulations!$DZ8)&gt;0))),N(Simulations!$EA8)&lt;=0,N(Simulations!$DZ8)&lt;=0,1&gt;N(IF(Simulations!$O8="",1,Simulations!$O8))),0,IF(Simulations!$EA8&lt;IF(Simulations!$J8="",1000,Simulations!$J8),Simulations!$DZ8/(IF(Simulations!$G8="",5000,Simulations!$G8)*IF(Simulations!$H8="",5000,Simulations!$H8)*IF(IF(Simulations!$I8="",5000,Simulations!$I8)&gt;0,IF(Simulations!$I8="",5000,Simulations!$I8),1))*Simulations!$EA8*(PI()/2*IF(Simulations!$T8="",200,Simulations!$T8)^2*IF(IF(Simulations!$I8="",5000,Simulations!$I8)&gt;0,SQRT(PI()/2)*IF(Simulations!$W8="",1000,Simulations!$W8),1)),Simulations!$DZ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T8="",200,Simulations!$T8)^2*IF(Simulations!$W8="",1000,Simulations!$W8)/2^1.5*(2/3*LN(Simulations!$EA8/IF(Simulations!$J8="",1000,Simulations!$J8))^1.5+SQRT(LN(Simulations!$EA8/IF(Simulations!$J8="",1000,Simulations!$J8)))+Simulations!$EA8/IF(Simulations!$J8="",1000,Simulations!$J8)*SQRT(PI())/2*ERFC(SQRT(LN(Simulations!$EA8/IF(Simulations!$J8="",1000,Simulations!$J8))))),PI()*IF(Simulations!$T8="",200,Simulations!$T8)^2/2*(LN(Simulations!$EA8/IF(Simulations!$J8="",1000,Simulations!$J8))+1))))</f>
        <v>0</v>
      </c>
      <c r="AG8" s="0" t="n">
        <f aca="false">IF(OR(NOT(AND(Simulations!$A8&lt;&gt;"",OR(Simulations!$DX8&lt;&gt;"",N(Simulations!$DZ8)&gt;0))),N(Simulations!$EB8)&lt;=0,N(Simulations!$DZ8)&lt;=0,2&gt;N(IF(Simulations!$O8="",1,Simulations!$O8))),0,IF(Simulations!$EB8&lt;IF(Simulations!$J8="",1000,Simulations!$J8),Simulations!$DZ8/(IF(Simulations!$G8="",5000,Simulations!$G8)*IF(Simulations!$H8="",5000,Simulations!$H8)*IF(IF(Simulations!$I8="",5000,Simulations!$I8)&gt;0,IF(Simulations!$I8="",5000,Simulations!$I8),1))*Simulations!$EB8*(PI()/2*IF(Simulations!$U8="",200,Simulations!$U8)^2*IF(IF(Simulations!$I8="",5000,Simulations!$I8)&gt;0,SQRT(PI()/2)*IF(Simulations!$X8="",1000,Simulations!$X8),1)),Simulations!$DZ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U8="",200,Simulations!$U8)^2*IF(Simulations!$X8="",1000,Simulations!$X8)/2^1.5*(2/3*LN(Simulations!$EB8/IF(Simulations!$J8="",1000,Simulations!$J8))^1.5+SQRT(LN(Simulations!$EB8/IF(Simulations!$J8="",1000,Simulations!$J8)))+Simulations!$EB8/IF(Simulations!$J8="",1000,Simulations!$J8)*SQRT(PI())/2*ERFC(SQRT(LN(Simulations!$EB8/IF(Simulations!$J8="",1000,Simulations!$J8))))),PI()*IF(Simulations!$U8="",200,Simulations!$U8)^2/2*(LN(Simulations!$EB8/IF(Simulations!$J8="",1000,Simulations!$J8))+1))))</f>
        <v>0</v>
      </c>
      <c r="AH8" s="0" t="n">
        <f aca="false">IF(OR(NOT(AND(Simulations!$A8&lt;&gt;"",OR(Simulations!$DX8&lt;&gt;"",N(Simulations!$DZ8)&gt;0))),N(Simulations!$EC8)&lt;=0,N(Simulations!$DZ8)&lt;=0,3&gt;N(IF(Simulations!$O8="",1,Simulations!$O8))),0,IF(Simulations!$EC8&lt;IF(Simulations!$J8="",1000,Simulations!$J8),Simulations!$DZ8/(IF(Simulations!$G8="",5000,Simulations!$G8)*IF(Simulations!$H8="",5000,Simulations!$H8)*IF(IF(Simulations!$I8="",5000,Simulations!$I8)&gt;0,IF(Simulations!$I8="",5000,Simulations!$I8),1))*Simulations!$EC8*(PI()/2*IF(Simulations!$V8="",200,Simulations!$V8)^2*IF(IF(Simulations!$I8="",5000,Simulations!$I8)&gt;0,SQRT(PI()/2)*IF(Simulations!$Y8="",1000,Simulations!$Y8),1)),Simulations!$DZ8/(IF(Simulations!$G8="",5000,Simulations!$G8)*IF(Simulations!$H8="",5000,Simulations!$H8)*IF(IF(Simulations!$I8="",5000,Simulations!$I8)&gt;0,IF(Simulations!$I8="",5000,Simulations!$I8),1))*IF(Simulations!$J8="",1000,Simulations!$J8)*IF(IF(Simulations!$I8="",5000,Simulations!$I8)&gt;0,2*PI()*IF(Simulations!$V8="",200,Simulations!$V8)^2*IF(Simulations!$Y8="",1000,Simulations!$Y8)/2^1.5*(2/3*LN(Simulations!$EC8/IF(Simulations!$J8="",1000,Simulations!$J8))^1.5+SQRT(LN(Simulations!$EC8/IF(Simulations!$J8="",1000,Simulations!$J8)))+Simulations!$EC8/IF(Simulations!$J8="",1000,Simulations!$J8)*SQRT(PI())/2*ERFC(SQRT(LN(Simulations!$EC8/IF(Simulations!$J8="",1000,Simulations!$J8))))),PI()*IF(Simulations!$V8="",200,Simulations!$V8)^2/2*(LN(Simulations!$EC8/IF(Simulations!$J8="",1000,Simulations!$J8))+1))))</f>
        <v>0</v>
      </c>
      <c r="AI8" s="0" t="n">
        <f aca="false">IF(NOT(AND(Simulations!$A8&lt;&gt;"",OR(Simulations!$DX8&lt;&gt;"",N(Simulations!$DZ8)&gt;0))),0,MAX(N(Simulations!$EA8),N(Simulations!$EB8),N(Simulations!$EC8))/IF(Simulations!$J8="",1000,Simulations!$J8))</f>
        <v>0</v>
      </c>
      <c r="AJ8" s="0" t="n">
        <f aca="false">IF(OR(NOT(AND(Simulations!$A8&lt;&gt;"",OR(Simulations!$DX8&lt;&gt;"",N(Simulations!$DZ8)&gt;0))),N(Simulations!$DY8)&lt;=0),0,SQRT(2*Simulations!$DY8*1000000/(IF(Simulations!$J8="",1000,Simulations!$J8)*1000))/MIN(IF(Simulations!$T8="",200,Simulations!$T8),IF(Simulations!$U8="",200,Simulations!$U8),IF(Simulations!$V8="",200,Simulations!$V8)))</f>
        <v>0</v>
      </c>
      <c r="AK8" s="0" t="n">
        <f aca="false">IF(AND(Simulations!$A8&lt;&gt;"",OR(Simulations!$DX8&lt;&gt;"",N(Simulations!$DZ8)&gt;0)),1,0)</f>
        <v>0</v>
      </c>
    </row>
    <row r="9" customFormat="false" ht="15" hidden="false" customHeight="false" outlineLevel="0" collapsed="false">
      <c r="B9" s="0" t="n">
        <f aca="false">IF(OR(NOT(AND(Simulations!$A9&lt;&gt;"",OR(Simulations!$AL9&lt;&gt;"",N(Simulations!$AN9)&gt;0))),N(Simulations!$AO9)&lt;=0,N(Simulations!$AN9)&lt;=0,1&gt;N(IF(Simulations!$O9="",1,Simulations!$O9))),0,IF(Simulations!$AO9&lt;IF(Simulations!$J9="",1000,Simulations!$J9),Simulations!$AN9/(IF(Simulations!$G9="",5000,Simulations!$G9)*IF(Simulations!$H9="",5000,Simulations!$H9)*IF(IF(Simulations!$I9="",5000,Simulations!$I9)&gt;0,IF(Simulations!$I9="",5000,Simulations!$I9),1))*Simulations!$AO9*(PI()/2*IF(Simulations!$T9="",200,Simulations!$T9)^2*IF(IF(Simulations!$I9="",5000,Simulations!$I9)&gt;0,SQRT(PI()/2)*IF(Simulations!$W9="",1000,Simulations!$W9),1)),Simulations!$AN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T9="",200,Simulations!$T9)^2*IF(Simulations!$W9="",1000,Simulations!$W9)/2^1.5*(2/3*LN(Simulations!$AO9/IF(Simulations!$J9="",1000,Simulations!$J9))^1.5+SQRT(LN(Simulations!$AO9/IF(Simulations!$J9="",1000,Simulations!$J9)))+Simulations!$AO9/IF(Simulations!$J9="",1000,Simulations!$J9)*SQRT(PI())/2*ERFC(SQRT(LN(Simulations!$AO9/IF(Simulations!$J9="",1000,Simulations!$J9))))),PI()*IF(Simulations!$T9="",200,Simulations!$T9)^2/2*(LN(Simulations!$AO9/IF(Simulations!$J9="",1000,Simulations!$J9))+1))))</f>
        <v>29.3532730881177</v>
      </c>
      <c r="C9" s="0" t="n">
        <f aca="false">IF(OR(NOT(AND(Simulations!$A9&lt;&gt;"",OR(Simulations!$AL9&lt;&gt;"",N(Simulations!$AN9)&gt;0))),N(Simulations!$AP9)&lt;=0,N(Simulations!$AN9)&lt;=0,2&gt;N(IF(Simulations!$O9="",1,Simulations!$O9))),0,IF(Simulations!$AP9&lt;IF(Simulations!$J9="",1000,Simulations!$J9),Simulations!$AN9/(IF(Simulations!$G9="",5000,Simulations!$G9)*IF(Simulations!$H9="",5000,Simulations!$H9)*IF(IF(Simulations!$I9="",5000,Simulations!$I9)&gt;0,IF(Simulations!$I9="",5000,Simulations!$I9),1))*Simulations!$AP9*(PI()/2*IF(Simulations!$U9="",200,Simulations!$U9)^2*IF(IF(Simulations!$I9="",5000,Simulations!$I9)&gt;0,SQRT(PI()/2)*IF(Simulations!$X9="",1000,Simulations!$X9),1)),Simulations!$AN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U9="",200,Simulations!$U9)^2*IF(Simulations!$X9="",1000,Simulations!$X9)/2^1.5*(2/3*LN(Simulations!$AP9/IF(Simulations!$J9="",1000,Simulations!$J9))^1.5+SQRT(LN(Simulations!$AP9/IF(Simulations!$J9="",1000,Simulations!$J9)))+Simulations!$AP9/IF(Simulations!$J9="",1000,Simulations!$J9)*SQRT(PI())/2*ERFC(SQRT(LN(Simulations!$AP9/IF(Simulations!$J9="",1000,Simulations!$J9))))),PI()*IF(Simulations!$U9="",200,Simulations!$U9)^2/2*(LN(Simulations!$AP9/IF(Simulations!$J9="",1000,Simulations!$J9))+1))))</f>
        <v>0</v>
      </c>
      <c r="D9" s="0" t="n">
        <f aca="false">IF(OR(NOT(AND(Simulations!$A9&lt;&gt;"",OR(Simulations!$AL9&lt;&gt;"",N(Simulations!$AN9)&gt;0))),N(Simulations!$AQ9)&lt;=0,N(Simulations!$AN9)&lt;=0,3&gt;N(IF(Simulations!$O9="",1,Simulations!$O9))),0,IF(Simulations!$AQ9&lt;IF(Simulations!$J9="",1000,Simulations!$J9),Simulations!$AN9/(IF(Simulations!$G9="",5000,Simulations!$G9)*IF(Simulations!$H9="",5000,Simulations!$H9)*IF(IF(Simulations!$I9="",5000,Simulations!$I9)&gt;0,IF(Simulations!$I9="",5000,Simulations!$I9),1))*Simulations!$AQ9*(PI()/2*IF(Simulations!$V9="",200,Simulations!$V9)^2*IF(IF(Simulations!$I9="",5000,Simulations!$I9)&gt;0,SQRT(PI()/2)*IF(Simulations!$Y9="",1000,Simulations!$Y9),1)),Simulations!$AN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V9="",200,Simulations!$V9)^2*IF(Simulations!$Y9="",1000,Simulations!$Y9)/2^1.5*(2/3*LN(Simulations!$AQ9/IF(Simulations!$J9="",1000,Simulations!$J9))^1.5+SQRT(LN(Simulations!$AQ9/IF(Simulations!$J9="",1000,Simulations!$J9)))+Simulations!$AQ9/IF(Simulations!$J9="",1000,Simulations!$J9)*SQRT(PI())/2*ERFC(SQRT(LN(Simulations!$AQ9/IF(Simulations!$J9="",1000,Simulations!$J9))))),PI()*IF(Simulations!$V9="",200,Simulations!$V9)^2/2*(LN(Simulations!$AQ9/IF(Simulations!$J9="",1000,Simulations!$J9))+1))))</f>
        <v>0</v>
      </c>
      <c r="E9" s="0" t="n">
        <f aca="false">IF(NOT(AND(Simulations!$A9&lt;&gt;"",OR(Simulations!$AL9&lt;&gt;"",N(Simulations!$AN9)&gt;0))),0,MAX(N(Simulations!$AO9),N(Simulations!$AP9),N(Simulations!$AQ9))/IF(Simulations!$J9="",1000,Simulations!$J9))</f>
        <v>10</v>
      </c>
      <c r="F9" s="0" t="n">
        <f aca="false">IF(OR(NOT(AND(Simulations!$A9&lt;&gt;"",OR(Simulations!$AL9&lt;&gt;"",N(Simulations!$AN9)&gt;0))),N(Simulations!$AM9)&lt;=0),0,SQRT(2*Simulations!$AM9*1000000/(IF(Simulations!$J9="",1000,Simulations!$J9)*1000))/MIN(IF(Simulations!$T9="",200,Simulations!$T9),IF(Simulations!$U9="",200,Simulations!$U9),IF(Simulations!$V9="",200,Simulations!$V9)))</f>
        <v>0.14142135623731</v>
      </c>
      <c r="G9" s="0" t="n">
        <f aca="false">IF(AND(Simulations!$A9&lt;&gt;"",OR(Simulations!$AL9&lt;&gt;"",N(Simulations!$AN9)&gt;0)),1,0)</f>
        <v>1</v>
      </c>
      <c r="H9" s="0" t="n">
        <f aca="false">IF(OR(NOT(AND(Simulations!$A9&lt;&gt;"",OR(Simulations!$BD9&lt;&gt;"",N(Simulations!$BF9)&gt;0))),N(Simulations!$BG9)&lt;=0,N(Simulations!$BF9)&lt;=0,1&gt;N(IF(Simulations!$O9="",1,Simulations!$O9))),0,IF(Simulations!$BG9&lt;IF(Simulations!$J9="",1000,Simulations!$J9),Simulations!$BF9/(IF(Simulations!$G9="",5000,Simulations!$G9)*IF(Simulations!$H9="",5000,Simulations!$H9)*IF(IF(Simulations!$I9="",5000,Simulations!$I9)&gt;0,IF(Simulations!$I9="",5000,Simulations!$I9),1))*Simulations!$BG9*(PI()/2*IF(Simulations!$T9="",200,Simulations!$T9)^2*IF(IF(Simulations!$I9="",5000,Simulations!$I9)&gt;0,SQRT(PI()/2)*IF(Simulations!$W9="",1000,Simulations!$W9),1)),Simulations!$BF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T9="",200,Simulations!$T9)^2*IF(Simulations!$W9="",1000,Simulations!$W9)/2^1.5*(2/3*LN(Simulations!$BG9/IF(Simulations!$J9="",1000,Simulations!$J9))^1.5+SQRT(LN(Simulations!$BG9/IF(Simulations!$J9="",1000,Simulations!$J9)))+Simulations!$BG9/IF(Simulations!$J9="",1000,Simulations!$J9)*SQRT(PI())/2*ERFC(SQRT(LN(Simulations!$BG9/IF(Simulations!$J9="",1000,Simulations!$J9))))),PI()*IF(Simulations!$T9="",200,Simulations!$T9)^2/2*(LN(Simulations!$BG9/IF(Simulations!$J9="",1000,Simulations!$J9))+1))))</f>
        <v>0</v>
      </c>
      <c r="I9" s="0" t="n">
        <f aca="false">IF(OR(NOT(AND(Simulations!$A9&lt;&gt;"",OR(Simulations!$BD9&lt;&gt;"",N(Simulations!$BF9)&gt;0))),N(Simulations!$BH9)&lt;=0,N(Simulations!$BF9)&lt;=0,2&gt;N(IF(Simulations!$O9="",1,Simulations!$O9))),0,IF(Simulations!$BH9&lt;IF(Simulations!$J9="",1000,Simulations!$J9),Simulations!$BF9/(IF(Simulations!$G9="",5000,Simulations!$G9)*IF(Simulations!$H9="",5000,Simulations!$H9)*IF(IF(Simulations!$I9="",5000,Simulations!$I9)&gt;0,IF(Simulations!$I9="",5000,Simulations!$I9),1))*Simulations!$BH9*(PI()/2*IF(Simulations!$U9="",200,Simulations!$U9)^2*IF(IF(Simulations!$I9="",5000,Simulations!$I9)&gt;0,SQRT(PI()/2)*IF(Simulations!$X9="",1000,Simulations!$X9),1)),Simulations!$BF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U9="",200,Simulations!$U9)^2*IF(Simulations!$X9="",1000,Simulations!$X9)/2^1.5*(2/3*LN(Simulations!$BH9/IF(Simulations!$J9="",1000,Simulations!$J9))^1.5+SQRT(LN(Simulations!$BH9/IF(Simulations!$J9="",1000,Simulations!$J9)))+Simulations!$BH9/IF(Simulations!$J9="",1000,Simulations!$J9)*SQRT(PI())/2*ERFC(SQRT(LN(Simulations!$BH9/IF(Simulations!$J9="",1000,Simulations!$J9))))),PI()*IF(Simulations!$U9="",200,Simulations!$U9)^2/2*(LN(Simulations!$BH9/IF(Simulations!$J9="",1000,Simulations!$J9))+1))))</f>
        <v>24.9200322255786</v>
      </c>
      <c r="J9" s="0" t="n">
        <f aca="false">IF(OR(NOT(AND(Simulations!$A9&lt;&gt;"",OR(Simulations!$BD9&lt;&gt;"",N(Simulations!$BF9)&gt;0))),N(Simulations!$BI9)&lt;=0,N(Simulations!$BF9)&lt;=0,3&gt;N(IF(Simulations!$O9="",1,Simulations!$O9))),0,IF(Simulations!$BI9&lt;IF(Simulations!$J9="",1000,Simulations!$J9),Simulations!$BF9/(IF(Simulations!$G9="",5000,Simulations!$G9)*IF(Simulations!$H9="",5000,Simulations!$H9)*IF(IF(Simulations!$I9="",5000,Simulations!$I9)&gt;0,IF(Simulations!$I9="",5000,Simulations!$I9),1))*Simulations!$BI9*(PI()/2*IF(Simulations!$V9="",200,Simulations!$V9)^2*IF(IF(Simulations!$I9="",5000,Simulations!$I9)&gt;0,SQRT(PI()/2)*IF(Simulations!$Y9="",1000,Simulations!$Y9),1)),Simulations!$BF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V9="",200,Simulations!$V9)^2*IF(Simulations!$Y9="",1000,Simulations!$Y9)/2^1.5*(2/3*LN(Simulations!$BI9/IF(Simulations!$J9="",1000,Simulations!$J9))^1.5+SQRT(LN(Simulations!$BI9/IF(Simulations!$J9="",1000,Simulations!$J9)))+Simulations!$BI9/IF(Simulations!$J9="",1000,Simulations!$J9)*SQRT(PI())/2*ERFC(SQRT(LN(Simulations!$BI9/IF(Simulations!$J9="",1000,Simulations!$J9))))),PI()*IF(Simulations!$V9="",200,Simulations!$V9)^2/2*(LN(Simulations!$BI9/IF(Simulations!$J9="",1000,Simulations!$J9))+1))))</f>
        <v>0</v>
      </c>
      <c r="K9" s="0" t="n">
        <f aca="false">IF(NOT(AND(Simulations!$A9&lt;&gt;"",OR(Simulations!$BD9&lt;&gt;"",N(Simulations!$BF9)&gt;0))),0,MAX(N(Simulations!$BG9),N(Simulations!$BH9),N(Simulations!$BI9))/IF(Simulations!$J9="",1000,Simulations!$J9))</f>
        <v>7</v>
      </c>
      <c r="L9" s="0" t="n">
        <f aca="false">IF(OR(NOT(AND(Simulations!$A9&lt;&gt;"",OR(Simulations!$BD9&lt;&gt;"",N(Simulations!$BF9)&gt;0))),N(Simulations!$BE9)&lt;=0),0,SQRT(2*Simulations!$BE9*1000000/(IF(Simulations!$J9="",1000,Simulations!$J9)*1000))/MIN(IF(Simulations!$T9="",200,Simulations!$T9),IF(Simulations!$U9="",200,Simulations!$U9),IF(Simulations!$V9="",200,Simulations!$V9)))</f>
        <v>0.14142135623731</v>
      </c>
      <c r="M9" s="0" t="n">
        <f aca="false">IF(AND(Simulations!$A9&lt;&gt;"",OR(Simulations!$BD9&lt;&gt;"",N(Simulations!$BF9)&gt;0)),1,0)</f>
        <v>1</v>
      </c>
      <c r="N9" s="0" t="n">
        <f aca="false">IF(OR(NOT(AND(Simulations!$A9&lt;&gt;"",OR(Simulations!$BV9&lt;&gt;"",N(Simulations!$BX9)&gt;0))),N(Simulations!$BY9)&lt;=0,N(Simulations!$BX9)&lt;=0,1&gt;N(IF(Simulations!$O9="",1,Simulations!$O9))),0,IF(Simulations!$BY9&lt;IF(Simulations!$J9="",1000,Simulations!$J9),Simulations!$BX9/(IF(Simulations!$G9="",5000,Simulations!$G9)*IF(Simulations!$H9="",5000,Simulations!$H9)*IF(IF(Simulations!$I9="",5000,Simulations!$I9)&gt;0,IF(Simulations!$I9="",5000,Simulations!$I9),1))*Simulations!$BY9*(PI()/2*IF(Simulations!$T9="",200,Simulations!$T9)^2*IF(IF(Simulations!$I9="",5000,Simulations!$I9)&gt;0,SQRT(PI()/2)*IF(Simulations!$W9="",1000,Simulations!$W9),1)),Simulations!$BX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T9="",200,Simulations!$T9)^2*IF(Simulations!$W9="",1000,Simulations!$W9)/2^1.5*(2/3*LN(Simulations!$BY9/IF(Simulations!$J9="",1000,Simulations!$J9))^1.5+SQRT(LN(Simulations!$BY9/IF(Simulations!$J9="",1000,Simulations!$J9)))+Simulations!$BY9/IF(Simulations!$J9="",1000,Simulations!$J9)*SQRT(PI())/2*ERFC(SQRT(LN(Simulations!$BY9/IF(Simulations!$J9="",1000,Simulations!$J9))))),PI()*IF(Simulations!$T9="",200,Simulations!$T9)^2/2*(LN(Simulations!$BY9/IF(Simulations!$J9="",1000,Simulations!$J9))+1))))</f>
        <v>0</v>
      </c>
      <c r="O9" s="0" t="n">
        <f aca="false">IF(OR(NOT(AND(Simulations!$A9&lt;&gt;"",OR(Simulations!$BV9&lt;&gt;"",N(Simulations!$BX9)&gt;0))),N(Simulations!$BZ9)&lt;=0,N(Simulations!$BX9)&lt;=0,2&gt;N(IF(Simulations!$O9="",1,Simulations!$O9))),0,IF(Simulations!$BZ9&lt;IF(Simulations!$J9="",1000,Simulations!$J9),Simulations!$BX9/(IF(Simulations!$G9="",5000,Simulations!$G9)*IF(Simulations!$H9="",5000,Simulations!$H9)*IF(IF(Simulations!$I9="",5000,Simulations!$I9)&gt;0,IF(Simulations!$I9="",5000,Simulations!$I9),1))*Simulations!$BZ9*(PI()/2*IF(Simulations!$U9="",200,Simulations!$U9)^2*IF(IF(Simulations!$I9="",5000,Simulations!$I9)&gt;0,SQRT(PI()/2)*IF(Simulations!$X9="",1000,Simulations!$X9),1)),Simulations!$BX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U9="",200,Simulations!$U9)^2*IF(Simulations!$X9="",1000,Simulations!$X9)/2^1.5*(2/3*LN(Simulations!$BZ9/IF(Simulations!$J9="",1000,Simulations!$J9))^1.5+SQRT(LN(Simulations!$BZ9/IF(Simulations!$J9="",1000,Simulations!$J9)))+Simulations!$BZ9/IF(Simulations!$J9="",1000,Simulations!$J9)*SQRT(PI())/2*ERFC(SQRT(LN(Simulations!$BZ9/IF(Simulations!$J9="",1000,Simulations!$J9))))),PI()*IF(Simulations!$U9="",200,Simulations!$U9)^2/2*(LN(Simulations!$BZ9/IF(Simulations!$J9="",1000,Simulations!$J9))+1))))</f>
        <v>0</v>
      </c>
      <c r="P9" s="0" t="n">
        <f aca="false">IF(OR(NOT(AND(Simulations!$A9&lt;&gt;"",OR(Simulations!$BV9&lt;&gt;"",N(Simulations!$BX9)&gt;0))),N(Simulations!$CA9)&lt;=0,N(Simulations!$BX9)&lt;=0,3&gt;N(IF(Simulations!$O9="",1,Simulations!$O9))),0,IF(Simulations!$CA9&lt;IF(Simulations!$J9="",1000,Simulations!$J9),Simulations!$BX9/(IF(Simulations!$G9="",5000,Simulations!$G9)*IF(Simulations!$H9="",5000,Simulations!$H9)*IF(IF(Simulations!$I9="",5000,Simulations!$I9)&gt;0,IF(Simulations!$I9="",5000,Simulations!$I9),1))*Simulations!$CA9*(PI()/2*IF(Simulations!$V9="",200,Simulations!$V9)^2*IF(IF(Simulations!$I9="",5000,Simulations!$I9)&gt;0,SQRT(PI()/2)*IF(Simulations!$Y9="",1000,Simulations!$Y9),1)),Simulations!$BX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V9="",200,Simulations!$V9)^2*IF(Simulations!$Y9="",1000,Simulations!$Y9)/2^1.5*(2/3*LN(Simulations!$CA9/IF(Simulations!$J9="",1000,Simulations!$J9))^1.5+SQRT(LN(Simulations!$CA9/IF(Simulations!$J9="",1000,Simulations!$J9)))+Simulations!$CA9/IF(Simulations!$J9="",1000,Simulations!$J9)*SQRT(PI())/2*ERFC(SQRT(LN(Simulations!$CA9/IF(Simulations!$J9="",1000,Simulations!$J9))))),PI()*IF(Simulations!$V9="",200,Simulations!$V9)^2/2*(LN(Simulations!$CA9/IF(Simulations!$J9="",1000,Simulations!$J9))+1))))</f>
        <v>20.9873877075729</v>
      </c>
      <c r="Q9" s="0" t="n">
        <f aca="false">IF(NOT(AND(Simulations!$A9&lt;&gt;"",OR(Simulations!$BV9&lt;&gt;"",N(Simulations!$BX9)&gt;0))),0,MAX(N(Simulations!$BY9),N(Simulations!$BZ9),N(Simulations!$CA9))/IF(Simulations!$J9="",1000,Simulations!$J9))</f>
        <v>5</v>
      </c>
      <c r="R9" s="0" t="n">
        <f aca="false">IF(OR(NOT(AND(Simulations!$A9&lt;&gt;"",OR(Simulations!$BV9&lt;&gt;"",N(Simulations!$BX9)&gt;0))),N(Simulations!$BW9)&lt;=0),0,SQRT(2*Simulations!$BW9*1000000/(IF(Simulations!$J9="",1000,Simulations!$J9)*1000))/MIN(IF(Simulations!$T9="",200,Simulations!$T9),IF(Simulations!$U9="",200,Simulations!$U9),IF(Simulations!$V9="",200,Simulations!$V9)))</f>
        <v>0.14142135623731</v>
      </c>
      <c r="S9" s="0" t="n">
        <f aca="false">IF(AND(Simulations!$A9&lt;&gt;"",OR(Simulations!$BV9&lt;&gt;"",N(Simulations!$BX9)&gt;0)),1,0)</f>
        <v>1</v>
      </c>
      <c r="T9" s="0" t="n">
        <f aca="false">IF(OR(NOT(AND(Simulations!$A9&lt;&gt;"",OR(Simulations!$CN9&lt;&gt;"",N(Simulations!$CP9)&gt;0))),N(Simulations!$CQ9)&lt;=0,N(Simulations!$CP9)&lt;=0,1&gt;N(IF(Simulations!$O9="",1,Simulations!$O9))),0,IF(Simulations!$CQ9&lt;IF(Simulations!$J9="",1000,Simulations!$J9),Simulations!$CP9/(IF(Simulations!$G9="",5000,Simulations!$G9)*IF(Simulations!$H9="",5000,Simulations!$H9)*IF(IF(Simulations!$I9="",5000,Simulations!$I9)&gt;0,IF(Simulations!$I9="",5000,Simulations!$I9),1))*Simulations!$CQ9*(PI()/2*IF(Simulations!$T9="",200,Simulations!$T9)^2*IF(IF(Simulations!$I9="",5000,Simulations!$I9)&gt;0,SQRT(PI()/2)*IF(Simulations!$W9="",1000,Simulations!$W9),1)),Simulations!$CP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T9="",200,Simulations!$T9)^2*IF(Simulations!$W9="",1000,Simulations!$W9)/2^1.5*(2/3*LN(Simulations!$CQ9/IF(Simulations!$J9="",1000,Simulations!$J9))^1.5+SQRT(LN(Simulations!$CQ9/IF(Simulations!$J9="",1000,Simulations!$J9)))+Simulations!$CQ9/IF(Simulations!$J9="",1000,Simulations!$J9)*SQRT(PI())/2*ERFC(SQRT(LN(Simulations!$CQ9/IF(Simulations!$J9="",1000,Simulations!$J9))))),PI()*IF(Simulations!$T9="",200,Simulations!$T9)^2/2*(LN(Simulations!$CQ9/IF(Simulations!$J9="",1000,Simulations!$J9))+1))))</f>
        <v>38.6873848879807</v>
      </c>
      <c r="U9" s="0" t="n">
        <f aca="false">IF(OR(NOT(AND(Simulations!$A9&lt;&gt;"",OR(Simulations!$CN9&lt;&gt;"",N(Simulations!$CP9)&gt;0))),N(Simulations!$CR9)&lt;=0,N(Simulations!$CP9)&lt;=0,2&gt;N(IF(Simulations!$O9="",1,Simulations!$O9))),0,IF(Simulations!$CR9&lt;IF(Simulations!$J9="",1000,Simulations!$J9),Simulations!$CP9/(IF(Simulations!$G9="",5000,Simulations!$G9)*IF(Simulations!$H9="",5000,Simulations!$H9)*IF(IF(Simulations!$I9="",5000,Simulations!$I9)&gt;0,IF(Simulations!$I9="",5000,Simulations!$I9),1))*Simulations!$CR9*(PI()/2*IF(Simulations!$U9="",200,Simulations!$U9)^2*IF(IF(Simulations!$I9="",5000,Simulations!$I9)&gt;0,SQRT(PI()/2)*IF(Simulations!$X9="",1000,Simulations!$X9),1)),Simulations!$CP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U9="",200,Simulations!$U9)^2*IF(Simulations!$X9="",1000,Simulations!$X9)/2^1.5*(2/3*LN(Simulations!$CR9/IF(Simulations!$J9="",1000,Simulations!$J9))^1.5+SQRT(LN(Simulations!$CR9/IF(Simulations!$J9="",1000,Simulations!$J9)))+Simulations!$CR9/IF(Simulations!$J9="",1000,Simulations!$J9)*SQRT(PI())/2*ERFC(SQRT(LN(Simulations!$CR9/IF(Simulations!$J9="",1000,Simulations!$J9))))),PI()*IF(Simulations!$U9="",200,Simulations!$U9)^2/2*(LN(Simulations!$CR9/IF(Simulations!$J9="",1000,Simulations!$J9))+1))))</f>
        <v>24.9200322255786</v>
      </c>
      <c r="V9" s="0" t="n">
        <f aca="false">IF(OR(NOT(AND(Simulations!$A9&lt;&gt;"",OR(Simulations!$CN9&lt;&gt;"",N(Simulations!$CP9)&gt;0))),N(Simulations!$CS9)&lt;=0,N(Simulations!$CP9)&lt;=0,3&gt;N(IF(Simulations!$O9="",1,Simulations!$O9))),0,IF(Simulations!$CS9&lt;IF(Simulations!$J9="",1000,Simulations!$J9),Simulations!$CP9/(IF(Simulations!$G9="",5000,Simulations!$G9)*IF(Simulations!$H9="",5000,Simulations!$H9)*IF(IF(Simulations!$I9="",5000,Simulations!$I9)&gt;0,IF(Simulations!$I9="",5000,Simulations!$I9),1))*Simulations!$CS9*(PI()/2*IF(Simulations!$V9="",200,Simulations!$V9)^2*IF(IF(Simulations!$I9="",5000,Simulations!$I9)&gt;0,SQRT(PI()/2)*IF(Simulations!$Y9="",1000,Simulations!$Y9),1)),Simulations!$CP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V9="",200,Simulations!$V9)^2*IF(Simulations!$Y9="",1000,Simulations!$Y9)/2^1.5*(2/3*LN(Simulations!$CS9/IF(Simulations!$J9="",1000,Simulations!$J9))^1.5+SQRT(LN(Simulations!$CS9/IF(Simulations!$J9="",1000,Simulations!$J9)))+Simulations!$CS9/IF(Simulations!$J9="",1000,Simulations!$J9)*SQRT(PI())/2*ERFC(SQRT(LN(Simulations!$CS9/IF(Simulations!$J9="",1000,Simulations!$J9))))),PI()*IF(Simulations!$V9="",200,Simulations!$V9)^2/2*(LN(Simulations!$CS9/IF(Simulations!$J9="",1000,Simulations!$J9))+1))))</f>
        <v>0</v>
      </c>
      <c r="W9" s="0" t="n">
        <f aca="false">IF(NOT(AND(Simulations!$A9&lt;&gt;"",OR(Simulations!$CN9&lt;&gt;"",N(Simulations!$CP9)&gt;0))),0,MAX(N(Simulations!$CQ9),N(Simulations!$CR9),N(Simulations!$CS9))/IF(Simulations!$J9="",1000,Simulations!$J9))</f>
        <v>20</v>
      </c>
      <c r="X9" s="0" t="n">
        <f aca="false">IF(OR(NOT(AND(Simulations!$A9&lt;&gt;"",OR(Simulations!$CN9&lt;&gt;"",N(Simulations!$CP9)&gt;0))),N(Simulations!$CO9)&lt;=0),0,SQRT(2*Simulations!$CO9*1000000/(IF(Simulations!$J9="",1000,Simulations!$J9)*1000))/MIN(IF(Simulations!$T9="",200,Simulations!$T9),IF(Simulations!$U9="",200,Simulations!$U9),IF(Simulations!$V9="",200,Simulations!$V9)))</f>
        <v>0.0406201920231798</v>
      </c>
      <c r="Y9" s="0" t="n">
        <f aca="false">IF(AND(Simulations!$A9&lt;&gt;"",OR(Simulations!$CN9&lt;&gt;"",N(Simulations!$CP9)&gt;0)),1,0)</f>
        <v>1</v>
      </c>
      <c r="Z9" s="0" t="n">
        <f aca="false">IF(OR(NOT(AND(Simulations!$A9&lt;&gt;"",OR(Simulations!$DF9&lt;&gt;"",N(Simulations!$DH9)&gt;0))),N(Simulations!$DI9)&lt;=0,N(Simulations!$DH9)&lt;=0,1&gt;N(IF(Simulations!$O9="",1,Simulations!$O9))),0,IF(Simulations!$DI9&lt;IF(Simulations!$J9="",1000,Simulations!$J9),Simulations!$DH9/(IF(Simulations!$G9="",5000,Simulations!$G9)*IF(Simulations!$H9="",5000,Simulations!$H9)*IF(IF(Simulations!$I9="",5000,Simulations!$I9)&gt;0,IF(Simulations!$I9="",5000,Simulations!$I9),1))*Simulations!$DI9*(PI()/2*IF(Simulations!$T9="",200,Simulations!$T9)^2*IF(IF(Simulations!$I9="",5000,Simulations!$I9)&gt;0,SQRT(PI()/2)*IF(Simulations!$W9="",1000,Simulations!$W9),1)),Simulations!$DH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T9="",200,Simulations!$T9)^2*IF(Simulations!$W9="",1000,Simulations!$W9)/2^1.5*(2/3*LN(Simulations!$DI9/IF(Simulations!$J9="",1000,Simulations!$J9))^1.5+SQRT(LN(Simulations!$DI9/IF(Simulations!$J9="",1000,Simulations!$J9)))+Simulations!$DI9/IF(Simulations!$J9="",1000,Simulations!$J9)*SQRT(PI())/2*ERFC(SQRT(LN(Simulations!$DI9/IF(Simulations!$J9="",1000,Simulations!$J9))))),PI()*IF(Simulations!$T9="",200,Simulations!$T9)^2/2*(LN(Simulations!$DI9/IF(Simulations!$J9="",1000,Simulations!$J9))+1))))</f>
        <v>29.3532730881177</v>
      </c>
      <c r="AA9" s="0" t="n">
        <f aca="false">IF(OR(NOT(AND(Simulations!$A9&lt;&gt;"",OR(Simulations!$DF9&lt;&gt;"",N(Simulations!$DH9)&gt;0))),N(Simulations!$DJ9)&lt;=0,N(Simulations!$DH9)&lt;=0,2&gt;N(IF(Simulations!$O9="",1,Simulations!$O9))),0,IF(Simulations!$DJ9&lt;IF(Simulations!$J9="",1000,Simulations!$J9),Simulations!$DH9/(IF(Simulations!$G9="",5000,Simulations!$G9)*IF(Simulations!$H9="",5000,Simulations!$H9)*IF(IF(Simulations!$I9="",5000,Simulations!$I9)&gt;0,IF(Simulations!$I9="",5000,Simulations!$I9),1))*Simulations!$DJ9*(PI()/2*IF(Simulations!$U9="",200,Simulations!$U9)^2*IF(IF(Simulations!$I9="",5000,Simulations!$I9)&gt;0,SQRT(PI()/2)*IF(Simulations!$X9="",1000,Simulations!$X9),1)),Simulations!$DH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U9="",200,Simulations!$U9)^2*IF(Simulations!$X9="",1000,Simulations!$X9)/2^1.5*(2/3*LN(Simulations!$DJ9/IF(Simulations!$J9="",1000,Simulations!$J9))^1.5+SQRT(LN(Simulations!$DJ9/IF(Simulations!$J9="",1000,Simulations!$J9)))+Simulations!$DJ9/IF(Simulations!$J9="",1000,Simulations!$J9)*SQRT(PI())/2*ERFC(SQRT(LN(Simulations!$DJ9/IF(Simulations!$J9="",1000,Simulations!$J9))))),PI()*IF(Simulations!$U9="",200,Simulations!$U9)^2/2*(LN(Simulations!$DJ9/IF(Simulations!$J9="",1000,Simulations!$J9))+1))))</f>
        <v>24.9200322255786</v>
      </c>
      <c r="AB9" s="0" t="n">
        <f aca="false">IF(OR(NOT(AND(Simulations!$A9&lt;&gt;"",OR(Simulations!$DF9&lt;&gt;"",N(Simulations!$DH9)&gt;0))),N(Simulations!$DK9)&lt;=0,N(Simulations!$DH9)&lt;=0,3&gt;N(IF(Simulations!$O9="",1,Simulations!$O9))),0,IF(Simulations!$DK9&lt;IF(Simulations!$J9="",1000,Simulations!$J9),Simulations!$DH9/(IF(Simulations!$G9="",5000,Simulations!$G9)*IF(Simulations!$H9="",5000,Simulations!$H9)*IF(IF(Simulations!$I9="",5000,Simulations!$I9)&gt;0,IF(Simulations!$I9="",5000,Simulations!$I9),1))*Simulations!$DK9*(PI()/2*IF(Simulations!$V9="",200,Simulations!$V9)^2*IF(IF(Simulations!$I9="",5000,Simulations!$I9)&gt;0,SQRT(PI()/2)*IF(Simulations!$Y9="",1000,Simulations!$Y9),1)),Simulations!$DH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V9="",200,Simulations!$V9)^2*IF(Simulations!$Y9="",1000,Simulations!$Y9)/2^1.5*(2/3*LN(Simulations!$DK9/IF(Simulations!$J9="",1000,Simulations!$J9))^1.5+SQRT(LN(Simulations!$DK9/IF(Simulations!$J9="",1000,Simulations!$J9)))+Simulations!$DK9/IF(Simulations!$J9="",1000,Simulations!$J9)*SQRT(PI())/2*ERFC(SQRT(LN(Simulations!$DK9/IF(Simulations!$J9="",1000,Simulations!$J9))))),PI()*IF(Simulations!$V9="",200,Simulations!$V9)^2/2*(LN(Simulations!$DK9/IF(Simulations!$J9="",1000,Simulations!$J9))+1))))</f>
        <v>20.9873877075729</v>
      </c>
      <c r="AC9" s="0" t="n">
        <f aca="false">IF(NOT(AND(Simulations!$A9&lt;&gt;"",OR(Simulations!$DF9&lt;&gt;"",N(Simulations!$DH9)&gt;0))),0,MAX(N(Simulations!$DI9),N(Simulations!$DJ9),N(Simulations!$DK9))/IF(Simulations!$J9="",1000,Simulations!$J9))</f>
        <v>10</v>
      </c>
      <c r="AD9" s="0" t="n">
        <f aca="false">IF(OR(NOT(AND(Simulations!$A9&lt;&gt;"",OR(Simulations!$DF9&lt;&gt;"",N(Simulations!$DH9)&gt;0))),N(Simulations!$DG9)&lt;=0),0,SQRT(2*Simulations!$DG9*1000000/(IF(Simulations!$J9="",1000,Simulations!$J9)*1000))/MIN(IF(Simulations!$T9="",200,Simulations!$T9),IF(Simulations!$U9="",200,Simulations!$U9),IF(Simulations!$V9="",200,Simulations!$V9)))</f>
        <v>0.0406201920231798</v>
      </c>
      <c r="AE9" s="0" t="n">
        <f aca="false">IF(AND(Simulations!$A9&lt;&gt;"",OR(Simulations!$DF9&lt;&gt;"",N(Simulations!$DH9)&gt;0)),1,0)</f>
        <v>1</v>
      </c>
      <c r="AF9" s="0" t="n">
        <f aca="false">IF(OR(NOT(AND(Simulations!$A9&lt;&gt;"",OR(Simulations!$DX9&lt;&gt;"",N(Simulations!$DZ9)&gt;0))),N(Simulations!$EA9)&lt;=0,N(Simulations!$DZ9)&lt;=0,1&gt;N(IF(Simulations!$O9="",1,Simulations!$O9))),0,IF(Simulations!$EA9&lt;IF(Simulations!$J9="",1000,Simulations!$J9),Simulations!$DZ9/(IF(Simulations!$G9="",5000,Simulations!$G9)*IF(Simulations!$H9="",5000,Simulations!$H9)*IF(IF(Simulations!$I9="",5000,Simulations!$I9)&gt;0,IF(Simulations!$I9="",5000,Simulations!$I9),1))*Simulations!$EA9*(PI()/2*IF(Simulations!$T9="",200,Simulations!$T9)^2*IF(IF(Simulations!$I9="",5000,Simulations!$I9)&gt;0,SQRT(PI()/2)*IF(Simulations!$W9="",1000,Simulations!$W9),1)),Simulations!$DZ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T9="",200,Simulations!$T9)^2*IF(Simulations!$W9="",1000,Simulations!$W9)/2^1.5*(2/3*LN(Simulations!$EA9/IF(Simulations!$J9="",1000,Simulations!$J9))^1.5+SQRT(LN(Simulations!$EA9/IF(Simulations!$J9="",1000,Simulations!$J9)))+Simulations!$EA9/IF(Simulations!$J9="",1000,Simulations!$J9)*SQRT(PI())/2*ERFC(SQRT(LN(Simulations!$EA9/IF(Simulations!$J9="",1000,Simulations!$J9))))),PI()*IF(Simulations!$T9="",200,Simulations!$T9)^2/2*(LN(Simulations!$EA9/IF(Simulations!$J9="",1000,Simulations!$J9))+1))))</f>
        <v>0</v>
      </c>
      <c r="AG9" s="0" t="n">
        <f aca="false">IF(OR(NOT(AND(Simulations!$A9&lt;&gt;"",OR(Simulations!$DX9&lt;&gt;"",N(Simulations!$DZ9)&gt;0))),N(Simulations!$EB9)&lt;=0,N(Simulations!$DZ9)&lt;=0,2&gt;N(IF(Simulations!$O9="",1,Simulations!$O9))),0,IF(Simulations!$EB9&lt;IF(Simulations!$J9="",1000,Simulations!$J9),Simulations!$DZ9/(IF(Simulations!$G9="",5000,Simulations!$G9)*IF(Simulations!$H9="",5000,Simulations!$H9)*IF(IF(Simulations!$I9="",5000,Simulations!$I9)&gt;0,IF(Simulations!$I9="",5000,Simulations!$I9),1))*Simulations!$EB9*(PI()/2*IF(Simulations!$U9="",200,Simulations!$U9)^2*IF(IF(Simulations!$I9="",5000,Simulations!$I9)&gt;0,SQRT(PI()/2)*IF(Simulations!$X9="",1000,Simulations!$X9),1)),Simulations!$DZ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U9="",200,Simulations!$U9)^2*IF(Simulations!$X9="",1000,Simulations!$X9)/2^1.5*(2/3*LN(Simulations!$EB9/IF(Simulations!$J9="",1000,Simulations!$J9))^1.5+SQRT(LN(Simulations!$EB9/IF(Simulations!$J9="",1000,Simulations!$J9)))+Simulations!$EB9/IF(Simulations!$J9="",1000,Simulations!$J9)*SQRT(PI())/2*ERFC(SQRT(LN(Simulations!$EB9/IF(Simulations!$J9="",1000,Simulations!$J9))))),PI()*IF(Simulations!$U9="",200,Simulations!$U9)^2/2*(LN(Simulations!$EB9/IF(Simulations!$J9="",1000,Simulations!$J9))+1))))</f>
        <v>0</v>
      </c>
      <c r="AH9" s="0" t="n">
        <f aca="false">IF(OR(NOT(AND(Simulations!$A9&lt;&gt;"",OR(Simulations!$DX9&lt;&gt;"",N(Simulations!$DZ9)&gt;0))),N(Simulations!$EC9)&lt;=0,N(Simulations!$DZ9)&lt;=0,3&gt;N(IF(Simulations!$O9="",1,Simulations!$O9))),0,IF(Simulations!$EC9&lt;IF(Simulations!$J9="",1000,Simulations!$J9),Simulations!$DZ9/(IF(Simulations!$G9="",5000,Simulations!$G9)*IF(Simulations!$H9="",5000,Simulations!$H9)*IF(IF(Simulations!$I9="",5000,Simulations!$I9)&gt;0,IF(Simulations!$I9="",5000,Simulations!$I9),1))*Simulations!$EC9*(PI()/2*IF(Simulations!$V9="",200,Simulations!$V9)^2*IF(IF(Simulations!$I9="",5000,Simulations!$I9)&gt;0,SQRT(PI()/2)*IF(Simulations!$Y9="",1000,Simulations!$Y9),1)),Simulations!$DZ9/(IF(Simulations!$G9="",5000,Simulations!$G9)*IF(Simulations!$H9="",5000,Simulations!$H9)*IF(IF(Simulations!$I9="",5000,Simulations!$I9)&gt;0,IF(Simulations!$I9="",5000,Simulations!$I9),1))*IF(Simulations!$J9="",1000,Simulations!$J9)*IF(IF(Simulations!$I9="",5000,Simulations!$I9)&gt;0,2*PI()*IF(Simulations!$V9="",200,Simulations!$V9)^2*IF(Simulations!$Y9="",1000,Simulations!$Y9)/2^1.5*(2/3*LN(Simulations!$EC9/IF(Simulations!$J9="",1000,Simulations!$J9))^1.5+SQRT(LN(Simulations!$EC9/IF(Simulations!$J9="",1000,Simulations!$J9)))+Simulations!$EC9/IF(Simulations!$J9="",1000,Simulations!$J9)*SQRT(PI())/2*ERFC(SQRT(LN(Simulations!$EC9/IF(Simulations!$J9="",1000,Simulations!$J9))))),PI()*IF(Simulations!$V9="",200,Simulations!$V9)^2/2*(LN(Simulations!$EC9/IF(Simulations!$J9="",1000,Simulations!$J9))+1))))</f>
        <v>0</v>
      </c>
      <c r="AI9" s="0" t="n">
        <f aca="false">IF(NOT(AND(Simulations!$A9&lt;&gt;"",OR(Simulations!$DX9&lt;&gt;"",N(Simulations!$DZ9)&gt;0))),0,MAX(N(Simulations!$EA9),N(Simulations!$EB9),N(Simulations!$EC9))/IF(Simulations!$J9="",1000,Simulations!$J9))</f>
        <v>0</v>
      </c>
      <c r="AJ9" s="0" t="n">
        <f aca="false">IF(OR(NOT(AND(Simulations!$A9&lt;&gt;"",OR(Simulations!$DX9&lt;&gt;"",N(Simulations!$DZ9)&gt;0))),N(Simulations!$DY9)&lt;=0),0,SQRT(2*Simulations!$DY9*1000000/(IF(Simulations!$J9="",1000,Simulations!$J9)*1000))/MIN(IF(Simulations!$T9="",200,Simulations!$T9),IF(Simulations!$U9="",200,Simulations!$U9),IF(Simulations!$V9="",200,Simulations!$V9)))</f>
        <v>0</v>
      </c>
      <c r="AK9" s="0" t="n">
        <f aca="false">IF(AND(Simulations!$A9&lt;&gt;"",OR(Simulations!$DX9&lt;&gt;"",N(Simulations!$DZ9)&gt;0)),1,0)</f>
        <v>0</v>
      </c>
    </row>
    <row r="10" customFormat="false" ht="15" hidden="false" customHeight="false" outlineLevel="0" collapsed="false">
      <c r="B10" s="0" t="n">
        <f aca="false">IF(OR(NOT(AND(Simulations!$A10&lt;&gt;"",OR(Simulations!$AL10&lt;&gt;"",N(Simulations!$AN10)&gt;0))),N(Simulations!$AO10)&lt;=0,N(Simulations!$AN10)&lt;=0,1&gt;N(IF(Simulations!$O10="",1,Simulations!$O10))),0,IF(Simulations!$AO10&lt;IF(Simulations!$J10="",1000,Simulations!$J10),Simulations!$AN10/(IF(Simulations!$G10="",5000,Simulations!$G10)*IF(Simulations!$H10="",5000,Simulations!$H10)*IF(IF(Simulations!$I10="",5000,Simulations!$I10)&gt;0,IF(Simulations!$I10="",5000,Simulations!$I10),1))*Simulations!$AO10*(PI()/2*IF(Simulations!$T10="",200,Simulations!$T10)^2*IF(IF(Simulations!$I10="",5000,Simulations!$I10)&gt;0,SQRT(PI()/2)*IF(Simulations!$W10="",1000,Simulations!$W10),1)),Simulations!$AN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T10="",200,Simulations!$T10)^2*IF(Simulations!$W10="",1000,Simulations!$W10)/2^1.5*(2/3*LN(Simulations!$AO10/IF(Simulations!$J10="",1000,Simulations!$J10))^1.5+SQRT(LN(Simulations!$AO10/IF(Simulations!$J10="",1000,Simulations!$J10)))+Simulations!$AO10/IF(Simulations!$J10="",1000,Simulations!$J10)*SQRT(PI())/2*ERFC(SQRT(LN(Simulations!$AO10/IF(Simulations!$J10="",1000,Simulations!$J10))))),PI()*IF(Simulations!$T10="",200,Simulations!$T10)^2/2*(LN(Simulations!$AO10/IF(Simulations!$J10="",1000,Simulations!$J10))+1))))</f>
        <v>29.3532730881177</v>
      </c>
      <c r="C10" s="0" t="n">
        <f aca="false">IF(OR(NOT(AND(Simulations!$A10&lt;&gt;"",OR(Simulations!$AL10&lt;&gt;"",N(Simulations!$AN10)&gt;0))),N(Simulations!$AP10)&lt;=0,N(Simulations!$AN10)&lt;=0,2&gt;N(IF(Simulations!$O10="",1,Simulations!$O10))),0,IF(Simulations!$AP10&lt;IF(Simulations!$J10="",1000,Simulations!$J10),Simulations!$AN10/(IF(Simulations!$G10="",5000,Simulations!$G10)*IF(Simulations!$H10="",5000,Simulations!$H10)*IF(IF(Simulations!$I10="",5000,Simulations!$I10)&gt;0,IF(Simulations!$I10="",5000,Simulations!$I10),1))*Simulations!$AP10*(PI()/2*IF(Simulations!$U10="",200,Simulations!$U10)^2*IF(IF(Simulations!$I10="",5000,Simulations!$I10)&gt;0,SQRT(PI()/2)*IF(Simulations!$X10="",1000,Simulations!$X10),1)),Simulations!$AN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U10="",200,Simulations!$U10)^2*IF(Simulations!$X10="",1000,Simulations!$X10)/2^1.5*(2/3*LN(Simulations!$AP10/IF(Simulations!$J10="",1000,Simulations!$J10))^1.5+SQRT(LN(Simulations!$AP10/IF(Simulations!$J10="",1000,Simulations!$J10)))+Simulations!$AP10/IF(Simulations!$J10="",1000,Simulations!$J10)*SQRT(PI())/2*ERFC(SQRT(LN(Simulations!$AP10/IF(Simulations!$J10="",1000,Simulations!$J10))))),PI()*IF(Simulations!$U10="",200,Simulations!$U10)^2/2*(LN(Simulations!$AP10/IF(Simulations!$J10="",1000,Simulations!$J10))+1))))</f>
        <v>0</v>
      </c>
      <c r="D10" s="0" t="n">
        <f aca="false">IF(OR(NOT(AND(Simulations!$A10&lt;&gt;"",OR(Simulations!$AL10&lt;&gt;"",N(Simulations!$AN10)&gt;0))),N(Simulations!$AQ10)&lt;=0,N(Simulations!$AN10)&lt;=0,3&gt;N(IF(Simulations!$O10="",1,Simulations!$O10))),0,IF(Simulations!$AQ10&lt;IF(Simulations!$J10="",1000,Simulations!$J10),Simulations!$AN10/(IF(Simulations!$G10="",5000,Simulations!$G10)*IF(Simulations!$H10="",5000,Simulations!$H10)*IF(IF(Simulations!$I10="",5000,Simulations!$I10)&gt;0,IF(Simulations!$I10="",5000,Simulations!$I10),1))*Simulations!$AQ10*(PI()/2*IF(Simulations!$V10="",200,Simulations!$V10)^2*IF(IF(Simulations!$I10="",5000,Simulations!$I10)&gt;0,SQRT(PI()/2)*IF(Simulations!$Y10="",1000,Simulations!$Y10),1)),Simulations!$AN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V10="",200,Simulations!$V10)^2*IF(Simulations!$Y10="",1000,Simulations!$Y10)/2^1.5*(2/3*LN(Simulations!$AQ10/IF(Simulations!$J10="",1000,Simulations!$J10))^1.5+SQRT(LN(Simulations!$AQ10/IF(Simulations!$J10="",1000,Simulations!$J10)))+Simulations!$AQ10/IF(Simulations!$J10="",1000,Simulations!$J10)*SQRT(PI())/2*ERFC(SQRT(LN(Simulations!$AQ10/IF(Simulations!$J10="",1000,Simulations!$J10))))),PI()*IF(Simulations!$V10="",200,Simulations!$V10)^2/2*(LN(Simulations!$AQ10/IF(Simulations!$J10="",1000,Simulations!$J10))+1))))</f>
        <v>0</v>
      </c>
      <c r="E10" s="0" t="n">
        <f aca="false">IF(NOT(AND(Simulations!$A10&lt;&gt;"",OR(Simulations!$AL10&lt;&gt;"",N(Simulations!$AN10)&gt;0))),0,MAX(N(Simulations!$AO10),N(Simulations!$AP10),N(Simulations!$AQ10))/IF(Simulations!$J10="",1000,Simulations!$J10))</f>
        <v>10</v>
      </c>
      <c r="F10" s="0" t="n">
        <f aca="false">IF(OR(NOT(AND(Simulations!$A10&lt;&gt;"",OR(Simulations!$AL10&lt;&gt;"",N(Simulations!$AN10)&gt;0))),N(Simulations!$AM10)&lt;=0),0,SQRT(2*Simulations!$AM10*1000000/(IF(Simulations!$J10="",1000,Simulations!$J10)*1000))/MIN(IF(Simulations!$T10="",200,Simulations!$T10),IF(Simulations!$U10="",200,Simulations!$U10),IF(Simulations!$V10="",200,Simulations!$V10)))</f>
        <v>0.14142135623731</v>
      </c>
      <c r="G10" s="0" t="n">
        <f aca="false">IF(AND(Simulations!$A10&lt;&gt;"",OR(Simulations!$AL10&lt;&gt;"",N(Simulations!$AN10)&gt;0)),1,0)</f>
        <v>1</v>
      </c>
      <c r="H10" s="0" t="n">
        <f aca="false">IF(OR(NOT(AND(Simulations!$A10&lt;&gt;"",OR(Simulations!$BD10&lt;&gt;"",N(Simulations!$BF10)&gt;0))),N(Simulations!$BG10)&lt;=0,N(Simulations!$BF10)&lt;=0,1&gt;N(IF(Simulations!$O10="",1,Simulations!$O10))),0,IF(Simulations!$BG10&lt;IF(Simulations!$J10="",1000,Simulations!$J10),Simulations!$BF10/(IF(Simulations!$G10="",5000,Simulations!$G10)*IF(Simulations!$H10="",5000,Simulations!$H10)*IF(IF(Simulations!$I10="",5000,Simulations!$I10)&gt;0,IF(Simulations!$I10="",5000,Simulations!$I10),1))*Simulations!$BG10*(PI()/2*IF(Simulations!$T10="",200,Simulations!$T10)^2*IF(IF(Simulations!$I10="",5000,Simulations!$I10)&gt;0,SQRT(PI()/2)*IF(Simulations!$W10="",1000,Simulations!$W10),1)),Simulations!$BF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T10="",200,Simulations!$T10)^2*IF(Simulations!$W10="",1000,Simulations!$W10)/2^1.5*(2/3*LN(Simulations!$BG10/IF(Simulations!$J10="",1000,Simulations!$J10))^1.5+SQRT(LN(Simulations!$BG10/IF(Simulations!$J10="",1000,Simulations!$J10)))+Simulations!$BG10/IF(Simulations!$J10="",1000,Simulations!$J10)*SQRT(PI())/2*ERFC(SQRT(LN(Simulations!$BG10/IF(Simulations!$J10="",1000,Simulations!$J10))))),PI()*IF(Simulations!$T10="",200,Simulations!$T10)^2/2*(LN(Simulations!$BG10/IF(Simulations!$J10="",1000,Simulations!$J10))+1))))</f>
        <v>0</v>
      </c>
      <c r="I10" s="0" t="n">
        <f aca="false">IF(OR(NOT(AND(Simulations!$A10&lt;&gt;"",OR(Simulations!$BD10&lt;&gt;"",N(Simulations!$BF10)&gt;0))),N(Simulations!$BH10)&lt;=0,N(Simulations!$BF10)&lt;=0,2&gt;N(IF(Simulations!$O10="",1,Simulations!$O10))),0,IF(Simulations!$BH10&lt;IF(Simulations!$J10="",1000,Simulations!$J10),Simulations!$BF10/(IF(Simulations!$G10="",5000,Simulations!$G10)*IF(Simulations!$H10="",5000,Simulations!$H10)*IF(IF(Simulations!$I10="",5000,Simulations!$I10)&gt;0,IF(Simulations!$I10="",5000,Simulations!$I10),1))*Simulations!$BH10*(PI()/2*IF(Simulations!$U10="",200,Simulations!$U10)^2*IF(IF(Simulations!$I10="",5000,Simulations!$I10)&gt;0,SQRT(PI()/2)*IF(Simulations!$X10="",1000,Simulations!$X10),1)),Simulations!$BF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U10="",200,Simulations!$U10)^2*IF(Simulations!$X10="",1000,Simulations!$X10)/2^1.5*(2/3*LN(Simulations!$BH10/IF(Simulations!$J10="",1000,Simulations!$J10))^1.5+SQRT(LN(Simulations!$BH10/IF(Simulations!$J10="",1000,Simulations!$J10)))+Simulations!$BH10/IF(Simulations!$J10="",1000,Simulations!$J10)*SQRT(PI())/2*ERFC(SQRT(LN(Simulations!$BH10/IF(Simulations!$J10="",1000,Simulations!$J10))))),PI()*IF(Simulations!$U10="",200,Simulations!$U10)^2/2*(LN(Simulations!$BH10/IF(Simulations!$J10="",1000,Simulations!$J10))+1))))</f>
        <v>24.9200322255786</v>
      </c>
      <c r="J10" s="0" t="n">
        <f aca="false">IF(OR(NOT(AND(Simulations!$A10&lt;&gt;"",OR(Simulations!$BD10&lt;&gt;"",N(Simulations!$BF10)&gt;0))),N(Simulations!$BI10)&lt;=0,N(Simulations!$BF10)&lt;=0,3&gt;N(IF(Simulations!$O10="",1,Simulations!$O10))),0,IF(Simulations!$BI10&lt;IF(Simulations!$J10="",1000,Simulations!$J10),Simulations!$BF10/(IF(Simulations!$G10="",5000,Simulations!$G10)*IF(Simulations!$H10="",5000,Simulations!$H10)*IF(IF(Simulations!$I10="",5000,Simulations!$I10)&gt;0,IF(Simulations!$I10="",5000,Simulations!$I10),1))*Simulations!$BI10*(PI()/2*IF(Simulations!$V10="",200,Simulations!$V10)^2*IF(IF(Simulations!$I10="",5000,Simulations!$I10)&gt;0,SQRT(PI()/2)*IF(Simulations!$Y10="",1000,Simulations!$Y10),1)),Simulations!$BF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V10="",200,Simulations!$V10)^2*IF(Simulations!$Y10="",1000,Simulations!$Y10)/2^1.5*(2/3*LN(Simulations!$BI10/IF(Simulations!$J10="",1000,Simulations!$J10))^1.5+SQRT(LN(Simulations!$BI10/IF(Simulations!$J10="",1000,Simulations!$J10)))+Simulations!$BI10/IF(Simulations!$J10="",1000,Simulations!$J10)*SQRT(PI())/2*ERFC(SQRT(LN(Simulations!$BI10/IF(Simulations!$J10="",1000,Simulations!$J10))))),PI()*IF(Simulations!$V10="",200,Simulations!$V10)^2/2*(LN(Simulations!$BI10/IF(Simulations!$J10="",1000,Simulations!$J10))+1))))</f>
        <v>0</v>
      </c>
      <c r="K10" s="0" t="n">
        <f aca="false">IF(NOT(AND(Simulations!$A10&lt;&gt;"",OR(Simulations!$BD10&lt;&gt;"",N(Simulations!$BF10)&gt;0))),0,MAX(N(Simulations!$BG10),N(Simulations!$BH10),N(Simulations!$BI10))/IF(Simulations!$J10="",1000,Simulations!$J10))</f>
        <v>7</v>
      </c>
      <c r="L10" s="0" t="n">
        <f aca="false">IF(OR(NOT(AND(Simulations!$A10&lt;&gt;"",OR(Simulations!$BD10&lt;&gt;"",N(Simulations!$BF10)&gt;0))),N(Simulations!$BE10)&lt;=0),0,SQRT(2*Simulations!$BE10*1000000/(IF(Simulations!$J10="",1000,Simulations!$J10)*1000))/MIN(IF(Simulations!$T10="",200,Simulations!$T10),IF(Simulations!$U10="",200,Simulations!$U10),IF(Simulations!$V10="",200,Simulations!$V10)))</f>
        <v>0.14142135623731</v>
      </c>
      <c r="M10" s="0" t="n">
        <f aca="false">IF(AND(Simulations!$A10&lt;&gt;"",OR(Simulations!$BD10&lt;&gt;"",N(Simulations!$BF10)&gt;0)),1,0)</f>
        <v>1</v>
      </c>
      <c r="N10" s="0" t="n">
        <f aca="false">IF(OR(NOT(AND(Simulations!$A10&lt;&gt;"",OR(Simulations!$BV10&lt;&gt;"",N(Simulations!$BX10)&gt;0))),N(Simulations!$BY10)&lt;=0,N(Simulations!$BX10)&lt;=0,1&gt;N(IF(Simulations!$O10="",1,Simulations!$O10))),0,IF(Simulations!$BY10&lt;IF(Simulations!$J10="",1000,Simulations!$J10),Simulations!$BX10/(IF(Simulations!$G10="",5000,Simulations!$G10)*IF(Simulations!$H10="",5000,Simulations!$H10)*IF(IF(Simulations!$I10="",5000,Simulations!$I10)&gt;0,IF(Simulations!$I10="",5000,Simulations!$I10),1))*Simulations!$BY10*(PI()/2*IF(Simulations!$T10="",200,Simulations!$T10)^2*IF(IF(Simulations!$I10="",5000,Simulations!$I10)&gt;0,SQRT(PI()/2)*IF(Simulations!$W10="",1000,Simulations!$W10),1)),Simulations!$BX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T10="",200,Simulations!$T10)^2*IF(Simulations!$W10="",1000,Simulations!$W10)/2^1.5*(2/3*LN(Simulations!$BY10/IF(Simulations!$J10="",1000,Simulations!$J10))^1.5+SQRT(LN(Simulations!$BY10/IF(Simulations!$J10="",1000,Simulations!$J10)))+Simulations!$BY10/IF(Simulations!$J10="",1000,Simulations!$J10)*SQRT(PI())/2*ERFC(SQRT(LN(Simulations!$BY10/IF(Simulations!$J10="",1000,Simulations!$J10))))),PI()*IF(Simulations!$T10="",200,Simulations!$T10)^2/2*(LN(Simulations!$BY10/IF(Simulations!$J10="",1000,Simulations!$J10))+1))))</f>
        <v>0</v>
      </c>
      <c r="O10" s="0" t="n">
        <f aca="false">IF(OR(NOT(AND(Simulations!$A10&lt;&gt;"",OR(Simulations!$BV10&lt;&gt;"",N(Simulations!$BX10)&gt;0))),N(Simulations!$BZ10)&lt;=0,N(Simulations!$BX10)&lt;=0,2&gt;N(IF(Simulations!$O10="",1,Simulations!$O10))),0,IF(Simulations!$BZ10&lt;IF(Simulations!$J10="",1000,Simulations!$J10),Simulations!$BX10/(IF(Simulations!$G10="",5000,Simulations!$G10)*IF(Simulations!$H10="",5000,Simulations!$H10)*IF(IF(Simulations!$I10="",5000,Simulations!$I10)&gt;0,IF(Simulations!$I10="",5000,Simulations!$I10),1))*Simulations!$BZ10*(PI()/2*IF(Simulations!$U10="",200,Simulations!$U10)^2*IF(IF(Simulations!$I10="",5000,Simulations!$I10)&gt;0,SQRT(PI()/2)*IF(Simulations!$X10="",1000,Simulations!$X10),1)),Simulations!$BX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U10="",200,Simulations!$U10)^2*IF(Simulations!$X10="",1000,Simulations!$X10)/2^1.5*(2/3*LN(Simulations!$BZ10/IF(Simulations!$J10="",1000,Simulations!$J10))^1.5+SQRT(LN(Simulations!$BZ10/IF(Simulations!$J10="",1000,Simulations!$J10)))+Simulations!$BZ10/IF(Simulations!$J10="",1000,Simulations!$J10)*SQRT(PI())/2*ERFC(SQRT(LN(Simulations!$BZ10/IF(Simulations!$J10="",1000,Simulations!$J10))))),PI()*IF(Simulations!$U10="",200,Simulations!$U10)^2/2*(LN(Simulations!$BZ10/IF(Simulations!$J10="",1000,Simulations!$J10))+1))))</f>
        <v>0</v>
      </c>
      <c r="P10" s="0" t="n">
        <f aca="false">IF(OR(NOT(AND(Simulations!$A10&lt;&gt;"",OR(Simulations!$BV10&lt;&gt;"",N(Simulations!$BX10)&gt;0))),N(Simulations!$CA10)&lt;=0,N(Simulations!$BX10)&lt;=0,3&gt;N(IF(Simulations!$O10="",1,Simulations!$O10))),0,IF(Simulations!$CA10&lt;IF(Simulations!$J10="",1000,Simulations!$J10),Simulations!$BX10/(IF(Simulations!$G10="",5000,Simulations!$G10)*IF(Simulations!$H10="",5000,Simulations!$H10)*IF(IF(Simulations!$I10="",5000,Simulations!$I10)&gt;0,IF(Simulations!$I10="",5000,Simulations!$I10),1))*Simulations!$CA10*(PI()/2*IF(Simulations!$V10="",200,Simulations!$V10)^2*IF(IF(Simulations!$I10="",5000,Simulations!$I10)&gt;0,SQRT(PI()/2)*IF(Simulations!$Y10="",1000,Simulations!$Y10),1)),Simulations!$BX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V10="",200,Simulations!$V10)^2*IF(Simulations!$Y10="",1000,Simulations!$Y10)/2^1.5*(2/3*LN(Simulations!$CA10/IF(Simulations!$J10="",1000,Simulations!$J10))^1.5+SQRT(LN(Simulations!$CA10/IF(Simulations!$J10="",1000,Simulations!$J10)))+Simulations!$CA10/IF(Simulations!$J10="",1000,Simulations!$J10)*SQRT(PI())/2*ERFC(SQRT(LN(Simulations!$CA10/IF(Simulations!$J10="",1000,Simulations!$J10))))),PI()*IF(Simulations!$V10="",200,Simulations!$V10)^2/2*(LN(Simulations!$CA10/IF(Simulations!$J10="",1000,Simulations!$J10))+1))))</f>
        <v>20.9873877075729</v>
      </c>
      <c r="Q10" s="0" t="n">
        <f aca="false">IF(NOT(AND(Simulations!$A10&lt;&gt;"",OR(Simulations!$BV10&lt;&gt;"",N(Simulations!$BX10)&gt;0))),0,MAX(N(Simulations!$BY10),N(Simulations!$BZ10),N(Simulations!$CA10))/IF(Simulations!$J10="",1000,Simulations!$J10))</f>
        <v>5</v>
      </c>
      <c r="R10" s="0" t="n">
        <f aca="false">IF(OR(NOT(AND(Simulations!$A10&lt;&gt;"",OR(Simulations!$BV10&lt;&gt;"",N(Simulations!$BX10)&gt;0))),N(Simulations!$BW10)&lt;=0),0,SQRT(2*Simulations!$BW10*1000000/(IF(Simulations!$J10="",1000,Simulations!$J10)*1000))/MIN(IF(Simulations!$T10="",200,Simulations!$T10),IF(Simulations!$U10="",200,Simulations!$U10),IF(Simulations!$V10="",200,Simulations!$V10)))</f>
        <v>0.14142135623731</v>
      </c>
      <c r="S10" s="0" t="n">
        <f aca="false">IF(AND(Simulations!$A10&lt;&gt;"",OR(Simulations!$BV10&lt;&gt;"",N(Simulations!$BX10)&gt;0)),1,0)</f>
        <v>1</v>
      </c>
      <c r="T10" s="0" t="n">
        <f aca="false">IF(OR(NOT(AND(Simulations!$A10&lt;&gt;"",OR(Simulations!$CN10&lt;&gt;"",N(Simulations!$CP10)&gt;0))),N(Simulations!$CQ10)&lt;=0,N(Simulations!$CP10)&lt;=0,1&gt;N(IF(Simulations!$O10="",1,Simulations!$O10))),0,IF(Simulations!$CQ10&lt;IF(Simulations!$J10="",1000,Simulations!$J10),Simulations!$CP10/(IF(Simulations!$G10="",5000,Simulations!$G10)*IF(Simulations!$H10="",5000,Simulations!$H10)*IF(IF(Simulations!$I10="",5000,Simulations!$I10)&gt;0,IF(Simulations!$I10="",5000,Simulations!$I10),1))*Simulations!$CQ10*(PI()/2*IF(Simulations!$T10="",200,Simulations!$T10)^2*IF(IF(Simulations!$I10="",5000,Simulations!$I10)&gt;0,SQRT(PI()/2)*IF(Simulations!$W10="",1000,Simulations!$W10),1)),Simulations!$CP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T10="",200,Simulations!$T10)^2*IF(Simulations!$W10="",1000,Simulations!$W10)/2^1.5*(2/3*LN(Simulations!$CQ10/IF(Simulations!$J10="",1000,Simulations!$J10))^1.5+SQRT(LN(Simulations!$CQ10/IF(Simulations!$J10="",1000,Simulations!$J10)))+Simulations!$CQ10/IF(Simulations!$J10="",1000,Simulations!$J10)*SQRT(PI())/2*ERFC(SQRT(LN(Simulations!$CQ10/IF(Simulations!$J10="",1000,Simulations!$J10))))),PI()*IF(Simulations!$T10="",200,Simulations!$T10)^2/2*(LN(Simulations!$CQ10/IF(Simulations!$J10="",1000,Simulations!$J10))+1))))</f>
        <v>38.6873848879807</v>
      </c>
      <c r="U10" s="0" t="n">
        <f aca="false">IF(OR(NOT(AND(Simulations!$A10&lt;&gt;"",OR(Simulations!$CN10&lt;&gt;"",N(Simulations!$CP10)&gt;0))),N(Simulations!$CR10)&lt;=0,N(Simulations!$CP10)&lt;=0,2&gt;N(IF(Simulations!$O10="",1,Simulations!$O10))),0,IF(Simulations!$CR10&lt;IF(Simulations!$J10="",1000,Simulations!$J10),Simulations!$CP10/(IF(Simulations!$G10="",5000,Simulations!$G10)*IF(Simulations!$H10="",5000,Simulations!$H10)*IF(IF(Simulations!$I10="",5000,Simulations!$I10)&gt;0,IF(Simulations!$I10="",5000,Simulations!$I10),1))*Simulations!$CR10*(PI()/2*IF(Simulations!$U10="",200,Simulations!$U10)^2*IF(IF(Simulations!$I10="",5000,Simulations!$I10)&gt;0,SQRT(PI()/2)*IF(Simulations!$X10="",1000,Simulations!$X10),1)),Simulations!$CP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U10="",200,Simulations!$U10)^2*IF(Simulations!$X10="",1000,Simulations!$X10)/2^1.5*(2/3*LN(Simulations!$CR10/IF(Simulations!$J10="",1000,Simulations!$J10))^1.5+SQRT(LN(Simulations!$CR10/IF(Simulations!$J10="",1000,Simulations!$J10)))+Simulations!$CR10/IF(Simulations!$J10="",1000,Simulations!$J10)*SQRT(PI())/2*ERFC(SQRT(LN(Simulations!$CR10/IF(Simulations!$J10="",1000,Simulations!$J10))))),PI()*IF(Simulations!$U10="",200,Simulations!$U10)^2/2*(LN(Simulations!$CR10/IF(Simulations!$J10="",1000,Simulations!$J10))+1))))</f>
        <v>24.9200322255786</v>
      </c>
      <c r="V10" s="0" t="n">
        <f aca="false">IF(OR(NOT(AND(Simulations!$A10&lt;&gt;"",OR(Simulations!$CN10&lt;&gt;"",N(Simulations!$CP10)&gt;0))),N(Simulations!$CS10)&lt;=0,N(Simulations!$CP10)&lt;=0,3&gt;N(IF(Simulations!$O10="",1,Simulations!$O10))),0,IF(Simulations!$CS10&lt;IF(Simulations!$J10="",1000,Simulations!$J10),Simulations!$CP10/(IF(Simulations!$G10="",5000,Simulations!$G10)*IF(Simulations!$H10="",5000,Simulations!$H10)*IF(IF(Simulations!$I10="",5000,Simulations!$I10)&gt;0,IF(Simulations!$I10="",5000,Simulations!$I10),1))*Simulations!$CS10*(PI()/2*IF(Simulations!$V10="",200,Simulations!$V10)^2*IF(IF(Simulations!$I10="",5000,Simulations!$I10)&gt;0,SQRT(PI()/2)*IF(Simulations!$Y10="",1000,Simulations!$Y10),1)),Simulations!$CP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V10="",200,Simulations!$V10)^2*IF(Simulations!$Y10="",1000,Simulations!$Y10)/2^1.5*(2/3*LN(Simulations!$CS10/IF(Simulations!$J10="",1000,Simulations!$J10))^1.5+SQRT(LN(Simulations!$CS10/IF(Simulations!$J10="",1000,Simulations!$J10)))+Simulations!$CS10/IF(Simulations!$J10="",1000,Simulations!$J10)*SQRT(PI())/2*ERFC(SQRT(LN(Simulations!$CS10/IF(Simulations!$J10="",1000,Simulations!$J10))))),PI()*IF(Simulations!$V10="",200,Simulations!$V10)^2/2*(LN(Simulations!$CS10/IF(Simulations!$J10="",1000,Simulations!$J10))+1))))</f>
        <v>0</v>
      </c>
      <c r="W10" s="0" t="n">
        <f aca="false">IF(NOT(AND(Simulations!$A10&lt;&gt;"",OR(Simulations!$CN10&lt;&gt;"",N(Simulations!$CP10)&gt;0))),0,MAX(N(Simulations!$CQ10),N(Simulations!$CR10),N(Simulations!$CS10))/IF(Simulations!$J10="",1000,Simulations!$J10))</f>
        <v>20</v>
      </c>
      <c r="X10" s="0" t="n">
        <f aca="false">IF(OR(NOT(AND(Simulations!$A10&lt;&gt;"",OR(Simulations!$CN10&lt;&gt;"",N(Simulations!$CP10)&gt;0))),N(Simulations!$CO10)&lt;=0),0,SQRT(2*Simulations!$CO10*1000000/(IF(Simulations!$J10="",1000,Simulations!$J10)*1000))/MIN(IF(Simulations!$T10="",200,Simulations!$T10),IF(Simulations!$U10="",200,Simulations!$U10),IF(Simulations!$V10="",200,Simulations!$V10)))</f>
        <v>0.0406201920231798</v>
      </c>
      <c r="Y10" s="0" t="n">
        <f aca="false">IF(AND(Simulations!$A10&lt;&gt;"",OR(Simulations!$CN10&lt;&gt;"",N(Simulations!$CP10)&gt;0)),1,0)</f>
        <v>1</v>
      </c>
      <c r="Z10" s="0" t="n">
        <f aca="false">IF(OR(NOT(AND(Simulations!$A10&lt;&gt;"",OR(Simulations!$DF10&lt;&gt;"",N(Simulations!$DH10)&gt;0))),N(Simulations!$DI10)&lt;=0,N(Simulations!$DH10)&lt;=0,1&gt;N(IF(Simulations!$O10="",1,Simulations!$O10))),0,IF(Simulations!$DI10&lt;IF(Simulations!$J10="",1000,Simulations!$J10),Simulations!$DH10/(IF(Simulations!$G10="",5000,Simulations!$G10)*IF(Simulations!$H10="",5000,Simulations!$H10)*IF(IF(Simulations!$I10="",5000,Simulations!$I10)&gt;0,IF(Simulations!$I10="",5000,Simulations!$I10),1))*Simulations!$DI10*(PI()/2*IF(Simulations!$T10="",200,Simulations!$T10)^2*IF(IF(Simulations!$I10="",5000,Simulations!$I10)&gt;0,SQRT(PI()/2)*IF(Simulations!$W10="",1000,Simulations!$W10),1)),Simulations!$DH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T10="",200,Simulations!$T10)^2*IF(Simulations!$W10="",1000,Simulations!$W10)/2^1.5*(2/3*LN(Simulations!$DI10/IF(Simulations!$J10="",1000,Simulations!$J10))^1.5+SQRT(LN(Simulations!$DI10/IF(Simulations!$J10="",1000,Simulations!$J10)))+Simulations!$DI10/IF(Simulations!$J10="",1000,Simulations!$J10)*SQRT(PI())/2*ERFC(SQRT(LN(Simulations!$DI10/IF(Simulations!$J10="",1000,Simulations!$J10))))),PI()*IF(Simulations!$T10="",200,Simulations!$T10)^2/2*(LN(Simulations!$DI10/IF(Simulations!$J10="",1000,Simulations!$J10))+1))))</f>
        <v>29.3532730881177</v>
      </c>
      <c r="AA10" s="0" t="n">
        <f aca="false">IF(OR(NOT(AND(Simulations!$A10&lt;&gt;"",OR(Simulations!$DF10&lt;&gt;"",N(Simulations!$DH10)&gt;0))),N(Simulations!$DJ10)&lt;=0,N(Simulations!$DH10)&lt;=0,2&gt;N(IF(Simulations!$O10="",1,Simulations!$O10))),0,IF(Simulations!$DJ10&lt;IF(Simulations!$J10="",1000,Simulations!$J10),Simulations!$DH10/(IF(Simulations!$G10="",5000,Simulations!$G10)*IF(Simulations!$H10="",5000,Simulations!$H10)*IF(IF(Simulations!$I10="",5000,Simulations!$I10)&gt;0,IF(Simulations!$I10="",5000,Simulations!$I10),1))*Simulations!$DJ10*(PI()/2*IF(Simulations!$U10="",200,Simulations!$U10)^2*IF(IF(Simulations!$I10="",5000,Simulations!$I10)&gt;0,SQRT(PI()/2)*IF(Simulations!$X10="",1000,Simulations!$X10),1)),Simulations!$DH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U10="",200,Simulations!$U10)^2*IF(Simulations!$X10="",1000,Simulations!$X10)/2^1.5*(2/3*LN(Simulations!$DJ10/IF(Simulations!$J10="",1000,Simulations!$J10))^1.5+SQRT(LN(Simulations!$DJ10/IF(Simulations!$J10="",1000,Simulations!$J10)))+Simulations!$DJ10/IF(Simulations!$J10="",1000,Simulations!$J10)*SQRT(PI())/2*ERFC(SQRT(LN(Simulations!$DJ10/IF(Simulations!$J10="",1000,Simulations!$J10))))),PI()*IF(Simulations!$U10="",200,Simulations!$U10)^2/2*(LN(Simulations!$DJ10/IF(Simulations!$J10="",1000,Simulations!$J10))+1))))</f>
        <v>0</v>
      </c>
      <c r="AB10" s="0" t="n">
        <f aca="false">IF(OR(NOT(AND(Simulations!$A10&lt;&gt;"",OR(Simulations!$DF10&lt;&gt;"",N(Simulations!$DH10)&gt;0))),N(Simulations!$DK10)&lt;=0,N(Simulations!$DH10)&lt;=0,3&gt;N(IF(Simulations!$O10="",1,Simulations!$O10))),0,IF(Simulations!$DK10&lt;IF(Simulations!$J10="",1000,Simulations!$J10),Simulations!$DH10/(IF(Simulations!$G10="",5000,Simulations!$G10)*IF(Simulations!$H10="",5000,Simulations!$H10)*IF(IF(Simulations!$I10="",5000,Simulations!$I10)&gt;0,IF(Simulations!$I10="",5000,Simulations!$I10),1))*Simulations!$DK10*(PI()/2*IF(Simulations!$V10="",200,Simulations!$V10)^2*IF(IF(Simulations!$I10="",5000,Simulations!$I10)&gt;0,SQRT(PI()/2)*IF(Simulations!$Y10="",1000,Simulations!$Y10),1)),Simulations!$DH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V10="",200,Simulations!$V10)^2*IF(Simulations!$Y10="",1000,Simulations!$Y10)/2^1.5*(2/3*LN(Simulations!$DK10/IF(Simulations!$J10="",1000,Simulations!$J10))^1.5+SQRT(LN(Simulations!$DK10/IF(Simulations!$J10="",1000,Simulations!$J10)))+Simulations!$DK10/IF(Simulations!$J10="",1000,Simulations!$J10)*SQRT(PI())/2*ERFC(SQRT(LN(Simulations!$DK10/IF(Simulations!$J10="",1000,Simulations!$J10))))),PI()*IF(Simulations!$V10="",200,Simulations!$V10)^2/2*(LN(Simulations!$DK10/IF(Simulations!$J10="",1000,Simulations!$J10))+1))))</f>
        <v>20.9873877075729</v>
      </c>
      <c r="AC10" s="0" t="n">
        <f aca="false">IF(NOT(AND(Simulations!$A10&lt;&gt;"",OR(Simulations!$DF10&lt;&gt;"",N(Simulations!$DH10)&gt;0))),0,MAX(N(Simulations!$DI10),N(Simulations!$DJ10),N(Simulations!$DK10))/IF(Simulations!$J10="",1000,Simulations!$J10))</f>
        <v>10</v>
      </c>
      <c r="AD10" s="0" t="n">
        <f aca="false">IF(OR(NOT(AND(Simulations!$A10&lt;&gt;"",OR(Simulations!$DF10&lt;&gt;"",N(Simulations!$DH10)&gt;0))),N(Simulations!$DG10)&lt;=0),0,SQRT(2*Simulations!$DG10*1000000/(IF(Simulations!$J10="",1000,Simulations!$J10)*1000))/MIN(IF(Simulations!$T10="",200,Simulations!$T10),IF(Simulations!$U10="",200,Simulations!$U10),IF(Simulations!$V10="",200,Simulations!$V10)))</f>
        <v>0.0406201920231798</v>
      </c>
      <c r="AE10" s="0" t="n">
        <f aca="false">IF(AND(Simulations!$A10&lt;&gt;"",OR(Simulations!$DF10&lt;&gt;"",N(Simulations!$DH10)&gt;0)),1,0)</f>
        <v>1</v>
      </c>
      <c r="AF10" s="0" t="n">
        <f aca="false">IF(OR(NOT(AND(Simulations!$A10&lt;&gt;"",OR(Simulations!$DX10&lt;&gt;"",N(Simulations!$DZ10)&gt;0))),N(Simulations!$EA10)&lt;=0,N(Simulations!$DZ10)&lt;=0,1&gt;N(IF(Simulations!$O10="",1,Simulations!$O10))),0,IF(Simulations!$EA10&lt;IF(Simulations!$J10="",1000,Simulations!$J10),Simulations!$DZ10/(IF(Simulations!$G10="",5000,Simulations!$G10)*IF(Simulations!$H10="",5000,Simulations!$H10)*IF(IF(Simulations!$I10="",5000,Simulations!$I10)&gt;0,IF(Simulations!$I10="",5000,Simulations!$I10),1))*Simulations!$EA10*(PI()/2*IF(Simulations!$T10="",200,Simulations!$T10)^2*IF(IF(Simulations!$I10="",5000,Simulations!$I10)&gt;0,SQRT(PI()/2)*IF(Simulations!$W10="",1000,Simulations!$W10),1)),Simulations!$DZ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T10="",200,Simulations!$T10)^2*IF(Simulations!$W10="",1000,Simulations!$W10)/2^1.5*(2/3*LN(Simulations!$EA10/IF(Simulations!$J10="",1000,Simulations!$J10))^1.5+SQRT(LN(Simulations!$EA10/IF(Simulations!$J10="",1000,Simulations!$J10)))+Simulations!$EA10/IF(Simulations!$J10="",1000,Simulations!$J10)*SQRT(PI())/2*ERFC(SQRT(LN(Simulations!$EA10/IF(Simulations!$J10="",1000,Simulations!$J10))))),PI()*IF(Simulations!$T10="",200,Simulations!$T10)^2/2*(LN(Simulations!$EA10/IF(Simulations!$J10="",1000,Simulations!$J10))+1))))</f>
        <v>0</v>
      </c>
      <c r="AG10" s="0" t="n">
        <f aca="false">IF(OR(NOT(AND(Simulations!$A10&lt;&gt;"",OR(Simulations!$DX10&lt;&gt;"",N(Simulations!$DZ10)&gt;0))),N(Simulations!$EB10)&lt;=0,N(Simulations!$DZ10)&lt;=0,2&gt;N(IF(Simulations!$O10="",1,Simulations!$O10))),0,IF(Simulations!$EB10&lt;IF(Simulations!$J10="",1000,Simulations!$J10),Simulations!$DZ10/(IF(Simulations!$G10="",5000,Simulations!$G10)*IF(Simulations!$H10="",5000,Simulations!$H10)*IF(IF(Simulations!$I10="",5000,Simulations!$I10)&gt;0,IF(Simulations!$I10="",5000,Simulations!$I10),1))*Simulations!$EB10*(PI()/2*IF(Simulations!$U10="",200,Simulations!$U10)^2*IF(IF(Simulations!$I10="",5000,Simulations!$I10)&gt;0,SQRT(PI()/2)*IF(Simulations!$X10="",1000,Simulations!$X10),1)),Simulations!$DZ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U10="",200,Simulations!$U10)^2*IF(Simulations!$X10="",1000,Simulations!$X10)/2^1.5*(2/3*LN(Simulations!$EB10/IF(Simulations!$J10="",1000,Simulations!$J10))^1.5+SQRT(LN(Simulations!$EB10/IF(Simulations!$J10="",1000,Simulations!$J10)))+Simulations!$EB10/IF(Simulations!$J10="",1000,Simulations!$J10)*SQRT(PI())/2*ERFC(SQRT(LN(Simulations!$EB10/IF(Simulations!$J10="",1000,Simulations!$J10))))),PI()*IF(Simulations!$U10="",200,Simulations!$U10)^2/2*(LN(Simulations!$EB10/IF(Simulations!$J10="",1000,Simulations!$J10))+1))))</f>
        <v>24.9200322255786</v>
      </c>
      <c r="AH10" s="0" t="n">
        <f aca="false">IF(OR(NOT(AND(Simulations!$A10&lt;&gt;"",OR(Simulations!$DX10&lt;&gt;"",N(Simulations!$DZ10)&gt;0))),N(Simulations!$EC10)&lt;=0,N(Simulations!$DZ10)&lt;=0,3&gt;N(IF(Simulations!$O10="",1,Simulations!$O10))),0,IF(Simulations!$EC10&lt;IF(Simulations!$J10="",1000,Simulations!$J10),Simulations!$DZ10/(IF(Simulations!$G10="",5000,Simulations!$G10)*IF(Simulations!$H10="",5000,Simulations!$H10)*IF(IF(Simulations!$I10="",5000,Simulations!$I10)&gt;0,IF(Simulations!$I10="",5000,Simulations!$I10),1))*Simulations!$EC10*(PI()/2*IF(Simulations!$V10="",200,Simulations!$V10)^2*IF(IF(Simulations!$I10="",5000,Simulations!$I10)&gt;0,SQRT(PI()/2)*IF(Simulations!$Y10="",1000,Simulations!$Y10),1)),Simulations!$DZ10/(IF(Simulations!$G10="",5000,Simulations!$G10)*IF(Simulations!$H10="",5000,Simulations!$H10)*IF(IF(Simulations!$I10="",5000,Simulations!$I10)&gt;0,IF(Simulations!$I10="",5000,Simulations!$I10),1))*IF(Simulations!$J10="",1000,Simulations!$J10)*IF(IF(Simulations!$I10="",5000,Simulations!$I10)&gt;0,2*PI()*IF(Simulations!$V10="",200,Simulations!$V10)^2*IF(Simulations!$Y10="",1000,Simulations!$Y10)/2^1.5*(2/3*LN(Simulations!$EC10/IF(Simulations!$J10="",1000,Simulations!$J10))^1.5+SQRT(LN(Simulations!$EC10/IF(Simulations!$J10="",1000,Simulations!$J10)))+Simulations!$EC10/IF(Simulations!$J10="",1000,Simulations!$J10)*SQRT(PI())/2*ERFC(SQRT(LN(Simulations!$EC10/IF(Simulations!$J10="",1000,Simulations!$J10))))),PI()*IF(Simulations!$V10="",200,Simulations!$V10)^2/2*(LN(Simulations!$EC10/IF(Simulations!$J10="",1000,Simulations!$J10))+1))))</f>
        <v>29.3532730881177</v>
      </c>
      <c r="AI10" s="0" t="n">
        <f aca="false">IF(NOT(AND(Simulations!$A10&lt;&gt;"",OR(Simulations!$DX10&lt;&gt;"",N(Simulations!$DZ10)&gt;0))),0,MAX(N(Simulations!$EA10),N(Simulations!$EB10),N(Simulations!$EC10))/IF(Simulations!$J10="",1000,Simulations!$J10))</f>
        <v>10</v>
      </c>
      <c r="AJ10" s="0" t="n">
        <f aca="false">IF(OR(NOT(AND(Simulations!$A10&lt;&gt;"",OR(Simulations!$DX10&lt;&gt;"",N(Simulations!$DZ10)&gt;0))),N(Simulations!$DY10)&lt;=0),0,SQRT(2*Simulations!$DY10*1000000/(IF(Simulations!$J10="",1000,Simulations!$J10)*1000))/MIN(IF(Simulations!$T10="",200,Simulations!$T10),IF(Simulations!$U10="",200,Simulations!$U10),IF(Simulations!$V10="",200,Simulations!$V10)))</f>
        <v>0.0406201920231798</v>
      </c>
      <c r="AK10" s="0" t="n">
        <f aca="false">IF(AND(Simulations!$A10&lt;&gt;"",OR(Simulations!$DX10&lt;&gt;"",N(Simulations!$DZ10)&gt;0)),1,0)</f>
        <v>1</v>
      </c>
    </row>
    <row r="11" customFormat="false" ht="15" hidden="false" customHeight="false" outlineLevel="0" collapsed="false">
      <c r="B11" s="0" t="n">
        <f aca="false">IF(OR(NOT(AND(Simulations!$A11&lt;&gt;"",OR(Simulations!$AL11&lt;&gt;"",N(Simulations!$AN11)&gt;0))),N(Simulations!$AO11)&lt;=0,N(Simulations!$AN11)&lt;=0,1&gt;N(IF(Simulations!$O11="",1,Simulations!$O11))),0,IF(Simulations!$AO11&lt;IF(Simulations!$J11="",1000,Simulations!$J11),Simulations!$AN11/(IF(Simulations!$G11="",5000,Simulations!$G11)*IF(Simulations!$H11="",5000,Simulations!$H11)*IF(IF(Simulations!$I11="",5000,Simulations!$I11)&gt;0,IF(Simulations!$I11="",5000,Simulations!$I11),1))*Simulations!$AO11*(PI()/2*IF(Simulations!$T11="",200,Simulations!$T11)^2*IF(IF(Simulations!$I11="",5000,Simulations!$I11)&gt;0,SQRT(PI()/2)*IF(Simulations!$W11="",1000,Simulations!$W11),1)),Simulations!$AN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T11="",200,Simulations!$T11)^2*IF(Simulations!$W11="",1000,Simulations!$W11)/2^1.5*(2/3*LN(Simulations!$AO11/IF(Simulations!$J11="",1000,Simulations!$J11))^1.5+SQRT(LN(Simulations!$AO11/IF(Simulations!$J11="",1000,Simulations!$J11)))+Simulations!$AO11/IF(Simulations!$J11="",1000,Simulations!$J11)*SQRT(PI())/2*ERFC(SQRT(LN(Simulations!$AO11/IF(Simulations!$J11="",1000,Simulations!$J11))))),PI()*IF(Simulations!$T11="",200,Simulations!$T11)^2/2*(LN(Simulations!$AO11/IF(Simulations!$J11="",1000,Simulations!$J11))+1))))</f>
        <v>62.9984397828897</v>
      </c>
      <c r="C11" s="0" t="n">
        <f aca="false">IF(OR(NOT(AND(Simulations!$A11&lt;&gt;"",OR(Simulations!$AL11&lt;&gt;"",N(Simulations!$AN11)&gt;0))),N(Simulations!$AP11)&lt;=0,N(Simulations!$AN11)&lt;=0,2&gt;N(IF(Simulations!$O11="",1,Simulations!$O11))),0,IF(Simulations!$AP11&lt;IF(Simulations!$J11="",1000,Simulations!$J11),Simulations!$AN11/(IF(Simulations!$G11="",5000,Simulations!$G11)*IF(Simulations!$H11="",5000,Simulations!$H11)*IF(IF(Simulations!$I11="",5000,Simulations!$I11)&gt;0,IF(Simulations!$I11="",5000,Simulations!$I11),1))*Simulations!$AP11*(PI()/2*IF(Simulations!$U11="",200,Simulations!$U11)^2*IF(IF(Simulations!$I11="",5000,Simulations!$I11)&gt;0,SQRT(PI()/2)*IF(Simulations!$X11="",1000,Simulations!$X11),1)),Simulations!$AN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U11="",200,Simulations!$U11)^2*IF(Simulations!$X11="",1000,Simulations!$X11)/2^1.5*(2/3*LN(Simulations!$AP11/IF(Simulations!$J11="",1000,Simulations!$J11))^1.5+SQRT(LN(Simulations!$AP11/IF(Simulations!$J11="",1000,Simulations!$J11)))+Simulations!$AP11/IF(Simulations!$J11="",1000,Simulations!$J11)*SQRT(PI())/2*ERFC(SQRT(LN(Simulations!$AP11/IF(Simulations!$J11="",1000,Simulations!$J11))))),PI()*IF(Simulations!$U11="",200,Simulations!$U11)^2/2*(LN(Simulations!$AP11/IF(Simulations!$J11="",1000,Simulations!$J11))+1))))</f>
        <v>44.0989078480228</v>
      </c>
      <c r="D11" s="0" t="n">
        <f aca="false">IF(OR(NOT(AND(Simulations!$A11&lt;&gt;"",OR(Simulations!$AL11&lt;&gt;"",N(Simulations!$AN11)&gt;0))),N(Simulations!$AQ11)&lt;=0,N(Simulations!$AN11)&lt;=0,3&gt;N(IF(Simulations!$O11="",1,Simulations!$O11))),0,IF(Simulations!$AQ11&lt;IF(Simulations!$J11="",1000,Simulations!$J11),Simulations!$AN11/(IF(Simulations!$G11="",5000,Simulations!$G11)*IF(Simulations!$H11="",5000,Simulations!$H11)*IF(IF(Simulations!$I11="",5000,Simulations!$I11)&gt;0,IF(Simulations!$I11="",5000,Simulations!$I11),1))*Simulations!$AQ11*(PI()/2*IF(Simulations!$V11="",200,Simulations!$V11)^2*IF(IF(Simulations!$I11="",5000,Simulations!$I11)&gt;0,SQRT(PI()/2)*IF(Simulations!$Y11="",1000,Simulations!$Y11),1)),Simulations!$AN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V11="",200,Simulations!$V11)^2*IF(Simulations!$Y11="",1000,Simulations!$Y11)/2^1.5*(2/3*LN(Simulations!$AQ11/IF(Simulations!$J11="",1000,Simulations!$J11))^1.5+SQRT(LN(Simulations!$AQ11/IF(Simulations!$J11="",1000,Simulations!$J11)))+Simulations!$AQ11/IF(Simulations!$J11="",1000,Simulations!$J11)*SQRT(PI())/2*ERFC(SQRT(LN(Simulations!$AQ11/IF(Simulations!$J11="",1000,Simulations!$J11))))),PI()*IF(Simulations!$V11="",200,Simulations!$V11)^2/2*(LN(Simulations!$AQ11/IF(Simulations!$J11="",1000,Simulations!$J11))+1))))</f>
        <v>31.4992198914448</v>
      </c>
      <c r="E11" s="0" t="n">
        <f aca="false">IF(NOT(AND(Simulations!$A11&lt;&gt;"",OR(Simulations!$AL11&lt;&gt;"",N(Simulations!$AN11)&gt;0))),0,MAX(N(Simulations!$AO11),N(Simulations!$AP11),N(Simulations!$AQ11))/IF(Simulations!$J11="",1000,Simulations!$J11))</f>
        <v>1</v>
      </c>
      <c r="F11" s="0" t="n">
        <f aca="false">IF(OR(NOT(AND(Simulations!$A11&lt;&gt;"",OR(Simulations!$AL11&lt;&gt;"",N(Simulations!$AN11)&gt;0))),N(Simulations!$AM11)&lt;=0),0,SQRT(2*Simulations!$AM11*1000000/(IF(Simulations!$J11="",1000,Simulations!$J11)*1000))/MIN(IF(Simulations!$T11="",200,Simulations!$T11),IF(Simulations!$U11="",200,Simulations!$U11),IF(Simulations!$V11="",200,Simulations!$V11)))</f>
        <v>0.0418330013267038</v>
      </c>
      <c r="G11" s="0" t="n">
        <f aca="false">IF(AND(Simulations!$A11&lt;&gt;"",OR(Simulations!$AL11&lt;&gt;"",N(Simulations!$AN11)&gt;0)),1,0)</f>
        <v>1</v>
      </c>
      <c r="H11" s="0" t="n">
        <f aca="false">IF(OR(NOT(AND(Simulations!$A11&lt;&gt;"",OR(Simulations!$BD11&lt;&gt;"",N(Simulations!$BF11)&gt;0))),N(Simulations!$BG11)&lt;=0,N(Simulations!$BF11)&lt;=0,1&gt;N(IF(Simulations!$O11="",1,Simulations!$O11))),0,IF(Simulations!$BG11&lt;IF(Simulations!$J11="",1000,Simulations!$J11),Simulations!$BF11/(IF(Simulations!$G11="",5000,Simulations!$G11)*IF(Simulations!$H11="",5000,Simulations!$H11)*IF(IF(Simulations!$I11="",5000,Simulations!$I11)&gt;0,IF(Simulations!$I11="",5000,Simulations!$I11),1))*Simulations!$BG11*(PI()/2*IF(Simulations!$T11="",200,Simulations!$T11)^2*IF(IF(Simulations!$I11="",5000,Simulations!$I11)&gt;0,SQRT(PI()/2)*IF(Simulations!$W11="",1000,Simulations!$W11),1)),Simulations!$BF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T11="",200,Simulations!$T11)^2*IF(Simulations!$W11="",1000,Simulations!$W11)/2^1.5*(2/3*LN(Simulations!$BG11/IF(Simulations!$J11="",1000,Simulations!$J11))^1.5+SQRT(LN(Simulations!$BG11/IF(Simulations!$J11="",1000,Simulations!$J11)))+Simulations!$BG11/IF(Simulations!$J11="",1000,Simulations!$J11)*SQRT(PI())/2*ERFC(SQRT(LN(Simulations!$BG11/IF(Simulations!$J11="",1000,Simulations!$J11))))),PI()*IF(Simulations!$T11="",200,Simulations!$T11)^2/2*(LN(Simulations!$BG11/IF(Simulations!$J11="",1000,Simulations!$J11))+1))))</f>
        <v>629.984397828897</v>
      </c>
      <c r="I11" s="0" t="n">
        <f aca="false">IF(OR(NOT(AND(Simulations!$A11&lt;&gt;"",OR(Simulations!$BD11&lt;&gt;"",N(Simulations!$BF11)&gt;0))),N(Simulations!$BH11)&lt;=0,N(Simulations!$BF11)&lt;=0,2&gt;N(IF(Simulations!$O11="",1,Simulations!$O11))),0,IF(Simulations!$BH11&lt;IF(Simulations!$J11="",1000,Simulations!$J11),Simulations!$BF11/(IF(Simulations!$G11="",5000,Simulations!$G11)*IF(Simulations!$H11="",5000,Simulations!$H11)*IF(IF(Simulations!$I11="",5000,Simulations!$I11)&gt;0,IF(Simulations!$I11="",5000,Simulations!$I11),1))*Simulations!$BH11*(PI()/2*IF(Simulations!$U11="",200,Simulations!$U11)^2*IF(IF(Simulations!$I11="",5000,Simulations!$I11)&gt;0,SQRT(PI()/2)*IF(Simulations!$X11="",1000,Simulations!$X11),1)),Simulations!$BF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U11="",200,Simulations!$U11)^2*IF(Simulations!$X11="",1000,Simulations!$X11)/2^1.5*(2/3*LN(Simulations!$BH11/IF(Simulations!$J11="",1000,Simulations!$J11))^1.5+SQRT(LN(Simulations!$BH11/IF(Simulations!$J11="",1000,Simulations!$J11)))+Simulations!$BH11/IF(Simulations!$J11="",1000,Simulations!$J11)*SQRT(PI())/2*ERFC(SQRT(LN(Simulations!$BH11/IF(Simulations!$J11="",1000,Simulations!$J11))))),PI()*IF(Simulations!$U11="",200,Simulations!$U11)^2/2*(LN(Simulations!$BH11/IF(Simulations!$J11="",1000,Simulations!$J11))+1))))</f>
        <v>0</v>
      </c>
      <c r="J11" s="0" t="n">
        <f aca="false">IF(OR(NOT(AND(Simulations!$A11&lt;&gt;"",OR(Simulations!$BD11&lt;&gt;"",N(Simulations!$BF11)&gt;0))),N(Simulations!$BI11)&lt;=0,N(Simulations!$BF11)&lt;=0,3&gt;N(IF(Simulations!$O11="",1,Simulations!$O11))),0,IF(Simulations!$BI11&lt;IF(Simulations!$J11="",1000,Simulations!$J11),Simulations!$BF11/(IF(Simulations!$G11="",5000,Simulations!$G11)*IF(Simulations!$H11="",5000,Simulations!$H11)*IF(IF(Simulations!$I11="",5000,Simulations!$I11)&gt;0,IF(Simulations!$I11="",5000,Simulations!$I11),1))*Simulations!$BI11*(PI()/2*IF(Simulations!$V11="",200,Simulations!$V11)^2*IF(IF(Simulations!$I11="",5000,Simulations!$I11)&gt;0,SQRT(PI()/2)*IF(Simulations!$Y11="",1000,Simulations!$Y11),1)),Simulations!$BF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V11="",200,Simulations!$V11)^2*IF(Simulations!$Y11="",1000,Simulations!$Y11)/2^1.5*(2/3*LN(Simulations!$BI11/IF(Simulations!$J11="",1000,Simulations!$J11))^1.5+SQRT(LN(Simulations!$BI11/IF(Simulations!$J11="",1000,Simulations!$J11)))+Simulations!$BI11/IF(Simulations!$J11="",1000,Simulations!$J11)*SQRT(PI())/2*ERFC(SQRT(LN(Simulations!$BI11/IF(Simulations!$J11="",1000,Simulations!$J11))))),PI()*IF(Simulations!$V11="",200,Simulations!$V11)^2/2*(LN(Simulations!$BI11/IF(Simulations!$J11="",1000,Simulations!$J11))+1))))</f>
        <v>314.992198914448</v>
      </c>
      <c r="K11" s="0" t="n">
        <f aca="false">IF(NOT(AND(Simulations!$A11&lt;&gt;"",OR(Simulations!$BD11&lt;&gt;"",N(Simulations!$BF11)&gt;0))),0,MAX(N(Simulations!$BG11),N(Simulations!$BH11),N(Simulations!$BI11))/IF(Simulations!$J11="",1000,Simulations!$J11))</f>
        <v>1</v>
      </c>
      <c r="L11" s="0" t="n">
        <f aca="false">IF(OR(NOT(AND(Simulations!$A11&lt;&gt;"",OR(Simulations!$BD11&lt;&gt;"",N(Simulations!$BF11)&gt;0))),N(Simulations!$BE11)&lt;=0),0,SQRT(2*Simulations!$BE11*1000000/(IF(Simulations!$J11="",1000,Simulations!$J11)*1000))/MIN(IF(Simulations!$T11="",200,Simulations!$T11),IF(Simulations!$U11="",200,Simulations!$U11),IF(Simulations!$V11="",200,Simulations!$V11)))</f>
        <v>0.0418330013267038</v>
      </c>
      <c r="M11" s="0" t="n">
        <f aca="false">IF(AND(Simulations!$A11&lt;&gt;"",OR(Simulations!$BD11&lt;&gt;"",N(Simulations!$BF11)&gt;0)),1,0)</f>
        <v>1</v>
      </c>
      <c r="N11" s="0" t="n">
        <f aca="false">IF(OR(NOT(AND(Simulations!$A11&lt;&gt;"",OR(Simulations!$BV11&lt;&gt;"",N(Simulations!$BX11)&gt;0))),N(Simulations!$BY11)&lt;=0,N(Simulations!$BX11)&lt;=0,1&gt;N(IF(Simulations!$O11="",1,Simulations!$O11))),0,IF(Simulations!$BY11&lt;IF(Simulations!$J11="",1000,Simulations!$J11),Simulations!$BX11/(IF(Simulations!$G11="",5000,Simulations!$G11)*IF(Simulations!$H11="",5000,Simulations!$H11)*IF(IF(Simulations!$I11="",5000,Simulations!$I11)&gt;0,IF(Simulations!$I11="",5000,Simulations!$I11),1))*Simulations!$BY11*(PI()/2*IF(Simulations!$T11="",200,Simulations!$T11)^2*IF(IF(Simulations!$I11="",5000,Simulations!$I11)&gt;0,SQRT(PI()/2)*IF(Simulations!$W11="",1000,Simulations!$W11),1)),Simulations!$BX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T11="",200,Simulations!$T11)^2*IF(Simulations!$W11="",1000,Simulations!$W11)/2^1.5*(2/3*LN(Simulations!$BY11/IF(Simulations!$J11="",1000,Simulations!$J11))^1.5+SQRT(LN(Simulations!$BY11/IF(Simulations!$J11="",1000,Simulations!$J11)))+Simulations!$BY11/IF(Simulations!$J11="",1000,Simulations!$J11)*SQRT(PI())/2*ERFC(SQRT(LN(Simulations!$BY11/IF(Simulations!$J11="",1000,Simulations!$J11))))),PI()*IF(Simulations!$T11="",200,Simulations!$T11)^2/2*(LN(Simulations!$BY11/IF(Simulations!$J11="",1000,Simulations!$J11))+1))))</f>
        <v>314.992198914448</v>
      </c>
      <c r="O11" s="0" t="n">
        <f aca="false">IF(OR(NOT(AND(Simulations!$A11&lt;&gt;"",OR(Simulations!$BV11&lt;&gt;"",N(Simulations!$BX11)&gt;0))),N(Simulations!$BZ11)&lt;=0,N(Simulations!$BX11)&lt;=0,2&gt;N(IF(Simulations!$O11="",1,Simulations!$O11))),0,IF(Simulations!$BZ11&lt;IF(Simulations!$J11="",1000,Simulations!$J11),Simulations!$BX11/(IF(Simulations!$G11="",5000,Simulations!$G11)*IF(Simulations!$H11="",5000,Simulations!$H11)*IF(IF(Simulations!$I11="",5000,Simulations!$I11)&gt;0,IF(Simulations!$I11="",5000,Simulations!$I11),1))*Simulations!$BZ11*(PI()/2*IF(Simulations!$U11="",200,Simulations!$U11)^2*IF(IF(Simulations!$I11="",5000,Simulations!$I11)&gt;0,SQRT(PI()/2)*IF(Simulations!$X11="",1000,Simulations!$X11),1)),Simulations!$BX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U11="",200,Simulations!$U11)^2*IF(Simulations!$X11="",1000,Simulations!$X11)/2^1.5*(2/3*LN(Simulations!$BZ11/IF(Simulations!$J11="",1000,Simulations!$J11))^1.5+SQRT(LN(Simulations!$BZ11/IF(Simulations!$J11="",1000,Simulations!$J11)))+Simulations!$BZ11/IF(Simulations!$J11="",1000,Simulations!$J11)*SQRT(PI())/2*ERFC(SQRT(LN(Simulations!$BZ11/IF(Simulations!$J11="",1000,Simulations!$J11))))),PI()*IF(Simulations!$U11="",200,Simulations!$U11)^2/2*(LN(Simulations!$BZ11/IF(Simulations!$J11="",1000,Simulations!$J11))+1))))</f>
        <v>220.494539240114</v>
      </c>
      <c r="P11" s="0" t="n">
        <f aca="false">IF(OR(NOT(AND(Simulations!$A11&lt;&gt;"",OR(Simulations!$BV11&lt;&gt;"",N(Simulations!$BX11)&gt;0))),N(Simulations!$CA11)&lt;=0,N(Simulations!$BX11)&lt;=0,3&gt;N(IF(Simulations!$O11="",1,Simulations!$O11))),0,IF(Simulations!$CA11&lt;IF(Simulations!$J11="",1000,Simulations!$J11),Simulations!$BX11/(IF(Simulations!$G11="",5000,Simulations!$G11)*IF(Simulations!$H11="",5000,Simulations!$H11)*IF(IF(Simulations!$I11="",5000,Simulations!$I11)&gt;0,IF(Simulations!$I11="",5000,Simulations!$I11),1))*Simulations!$CA11*(PI()/2*IF(Simulations!$V11="",200,Simulations!$V11)^2*IF(IF(Simulations!$I11="",5000,Simulations!$I11)&gt;0,SQRT(PI()/2)*IF(Simulations!$Y11="",1000,Simulations!$Y11),1)),Simulations!$BX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V11="",200,Simulations!$V11)^2*IF(Simulations!$Y11="",1000,Simulations!$Y11)/2^1.5*(2/3*LN(Simulations!$CA11/IF(Simulations!$J11="",1000,Simulations!$J11))^1.5+SQRT(LN(Simulations!$CA11/IF(Simulations!$J11="",1000,Simulations!$J11)))+Simulations!$CA11/IF(Simulations!$J11="",1000,Simulations!$J11)*SQRT(PI())/2*ERFC(SQRT(LN(Simulations!$CA11/IF(Simulations!$J11="",1000,Simulations!$J11))))),PI()*IF(Simulations!$V11="",200,Simulations!$V11)^2/2*(LN(Simulations!$CA11/IF(Simulations!$J11="",1000,Simulations!$J11))+1))))</f>
        <v>0</v>
      </c>
      <c r="Q11" s="0" t="n">
        <f aca="false">IF(NOT(AND(Simulations!$A11&lt;&gt;"",OR(Simulations!$BV11&lt;&gt;"",N(Simulations!$BX11)&gt;0))),0,MAX(N(Simulations!$BY11),N(Simulations!$BZ11),N(Simulations!$CA11))/IF(Simulations!$J11="",1000,Simulations!$J11))</f>
        <v>1</v>
      </c>
      <c r="R11" s="0" t="n">
        <f aca="false">IF(OR(NOT(AND(Simulations!$A11&lt;&gt;"",OR(Simulations!$BV11&lt;&gt;"",N(Simulations!$BX11)&gt;0))),N(Simulations!$BW11)&lt;=0),0,SQRT(2*Simulations!$BW11*1000000/(IF(Simulations!$J11="",1000,Simulations!$J11)*1000))/MIN(IF(Simulations!$T11="",200,Simulations!$T11),IF(Simulations!$U11="",200,Simulations!$U11),IF(Simulations!$V11="",200,Simulations!$V11)))</f>
        <v>0.0418330013267038</v>
      </c>
      <c r="S11" s="0" t="n">
        <f aca="false">IF(AND(Simulations!$A11&lt;&gt;"",OR(Simulations!$BV11&lt;&gt;"",N(Simulations!$BX11)&gt;0)),1,0)</f>
        <v>1</v>
      </c>
      <c r="T11" s="0" t="n">
        <f aca="false">IF(OR(NOT(AND(Simulations!$A11&lt;&gt;"",OR(Simulations!$CN11&lt;&gt;"",N(Simulations!$CP11)&gt;0))),N(Simulations!$CQ11)&lt;=0,N(Simulations!$CP11)&lt;=0,1&gt;N(IF(Simulations!$O11="",1,Simulations!$O11))),0,IF(Simulations!$CQ11&lt;IF(Simulations!$J11="",1000,Simulations!$J11),Simulations!$CP11/(IF(Simulations!$G11="",5000,Simulations!$G11)*IF(Simulations!$H11="",5000,Simulations!$H11)*IF(IF(Simulations!$I11="",5000,Simulations!$I11)&gt;0,IF(Simulations!$I11="",5000,Simulations!$I11),1))*Simulations!$CQ11*(PI()/2*IF(Simulations!$T11="",200,Simulations!$T11)^2*IF(IF(Simulations!$I11="",5000,Simulations!$I11)&gt;0,SQRT(PI()/2)*IF(Simulations!$W11="",1000,Simulations!$W11),1)),Simulations!$CP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T11="",200,Simulations!$T11)^2*IF(Simulations!$W11="",1000,Simulations!$W11)/2^1.5*(2/3*LN(Simulations!$CQ11/IF(Simulations!$J11="",1000,Simulations!$J11))^1.5+SQRT(LN(Simulations!$CQ11/IF(Simulations!$J11="",1000,Simulations!$J11)))+Simulations!$CQ11/IF(Simulations!$J11="",1000,Simulations!$J11)*SQRT(PI())/2*ERFC(SQRT(LN(Simulations!$CQ11/IF(Simulations!$J11="",1000,Simulations!$J11))))),PI()*IF(Simulations!$T11="",200,Simulations!$T11)^2/2*(LN(Simulations!$CQ11/IF(Simulations!$J11="",1000,Simulations!$J11))+1))))</f>
        <v>0</v>
      </c>
      <c r="U11" s="0" t="n">
        <f aca="false">IF(OR(NOT(AND(Simulations!$A11&lt;&gt;"",OR(Simulations!$CN11&lt;&gt;"",N(Simulations!$CP11)&gt;0))),N(Simulations!$CR11)&lt;=0,N(Simulations!$CP11)&lt;=0,2&gt;N(IF(Simulations!$O11="",1,Simulations!$O11))),0,IF(Simulations!$CR11&lt;IF(Simulations!$J11="",1000,Simulations!$J11),Simulations!$CP11/(IF(Simulations!$G11="",5000,Simulations!$G11)*IF(Simulations!$H11="",5000,Simulations!$H11)*IF(IF(Simulations!$I11="",5000,Simulations!$I11)&gt;0,IF(Simulations!$I11="",5000,Simulations!$I11),1))*Simulations!$CR11*(PI()/2*IF(Simulations!$U11="",200,Simulations!$U11)^2*IF(IF(Simulations!$I11="",5000,Simulations!$I11)&gt;0,SQRT(PI()/2)*IF(Simulations!$X11="",1000,Simulations!$X11),1)),Simulations!$CP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U11="",200,Simulations!$U11)^2*IF(Simulations!$X11="",1000,Simulations!$X11)/2^1.5*(2/3*LN(Simulations!$CR11/IF(Simulations!$J11="",1000,Simulations!$J11))^1.5+SQRT(LN(Simulations!$CR11/IF(Simulations!$J11="",1000,Simulations!$J11)))+Simulations!$CR11/IF(Simulations!$J11="",1000,Simulations!$J11)*SQRT(PI())/2*ERFC(SQRT(LN(Simulations!$CR11/IF(Simulations!$J11="",1000,Simulations!$J11))))),PI()*IF(Simulations!$U11="",200,Simulations!$U11)^2/2*(LN(Simulations!$CR11/IF(Simulations!$J11="",1000,Simulations!$J11))+1))))</f>
        <v>0</v>
      </c>
      <c r="V11" s="0" t="n">
        <f aca="false">IF(OR(NOT(AND(Simulations!$A11&lt;&gt;"",OR(Simulations!$CN11&lt;&gt;"",N(Simulations!$CP11)&gt;0))),N(Simulations!$CS11)&lt;=0,N(Simulations!$CP11)&lt;=0,3&gt;N(IF(Simulations!$O11="",1,Simulations!$O11))),0,IF(Simulations!$CS11&lt;IF(Simulations!$J11="",1000,Simulations!$J11),Simulations!$CP11/(IF(Simulations!$G11="",5000,Simulations!$G11)*IF(Simulations!$H11="",5000,Simulations!$H11)*IF(IF(Simulations!$I11="",5000,Simulations!$I11)&gt;0,IF(Simulations!$I11="",5000,Simulations!$I11),1))*Simulations!$CS11*(PI()/2*IF(Simulations!$V11="",200,Simulations!$V11)^2*IF(IF(Simulations!$I11="",5000,Simulations!$I11)&gt;0,SQRT(PI()/2)*IF(Simulations!$Y11="",1000,Simulations!$Y11),1)),Simulations!$CP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V11="",200,Simulations!$V11)^2*IF(Simulations!$Y11="",1000,Simulations!$Y11)/2^1.5*(2/3*LN(Simulations!$CS11/IF(Simulations!$J11="",1000,Simulations!$J11))^1.5+SQRT(LN(Simulations!$CS11/IF(Simulations!$J11="",1000,Simulations!$J11)))+Simulations!$CS11/IF(Simulations!$J11="",1000,Simulations!$J11)*SQRT(PI())/2*ERFC(SQRT(LN(Simulations!$CS11/IF(Simulations!$J11="",1000,Simulations!$J11))))),PI()*IF(Simulations!$V11="",200,Simulations!$V11)^2/2*(LN(Simulations!$CS11/IF(Simulations!$J11="",1000,Simulations!$J11))+1))))</f>
        <v>0</v>
      </c>
      <c r="W11" s="0" t="n">
        <f aca="false">IF(NOT(AND(Simulations!$A11&lt;&gt;"",OR(Simulations!$CN11&lt;&gt;"",N(Simulations!$CP11)&gt;0))),0,MAX(N(Simulations!$CQ11),N(Simulations!$CR11),N(Simulations!$CS11))/IF(Simulations!$J11="",1000,Simulations!$J11))</f>
        <v>0</v>
      </c>
      <c r="X11" s="0" t="n">
        <f aca="false">IF(OR(NOT(AND(Simulations!$A11&lt;&gt;"",OR(Simulations!$CN11&lt;&gt;"",N(Simulations!$CP11)&gt;0))),N(Simulations!$CO11)&lt;=0),0,SQRT(2*Simulations!$CO11*1000000/(IF(Simulations!$J11="",1000,Simulations!$J11)*1000))/MIN(IF(Simulations!$T11="",200,Simulations!$T11),IF(Simulations!$U11="",200,Simulations!$U11),IF(Simulations!$V11="",200,Simulations!$V11)))</f>
        <v>0</v>
      </c>
      <c r="Y11" s="0" t="n">
        <f aca="false">IF(AND(Simulations!$A11&lt;&gt;"",OR(Simulations!$CN11&lt;&gt;"",N(Simulations!$CP11)&gt;0)),1,0)</f>
        <v>0</v>
      </c>
      <c r="Z11" s="0" t="n">
        <f aca="false">IF(OR(NOT(AND(Simulations!$A11&lt;&gt;"",OR(Simulations!$DF11&lt;&gt;"",N(Simulations!$DH11)&gt;0))),N(Simulations!$DI11)&lt;=0,N(Simulations!$DH11)&lt;=0,1&gt;N(IF(Simulations!$O11="",1,Simulations!$O11))),0,IF(Simulations!$DI11&lt;IF(Simulations!$J11="",1000,Simulations!$J11),Simulations!$DH11/(IF(Simulations!$G11="",5000,Simulations!$G11)*IF(Simulations!$H11="",5000,Simulations!$H11)*IF(IF(Simulations!$I11="",5000,Simulations!$I11)&gt;0,IF(Simulations!$I11="",5000,Simulations!$I11),1))*Simulations!$DI11*(PI()/2*IF(Simulations!$T11="",200,Simulations!$T11)^2*IF(IF(Simulations!$I11="",5000,Simulations!$I11)&gt;0,SQRT(PI()/2)*IF(Simulations!$W11="",1000,Simulations!$W11),1)),Simulations!$DH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T11="",200,Simulations!$T11)^2*IF(Simulations!$W11="",1000,Simulations!$W11)/2^1.5*(2/3*LN(Simulations!$DI11/IF(Simulations!$J11="",1000,Simulations!$J11))^1.5+SQRT(LN(Simulations!$DI11/IF(Simulations!$J11="",1000,Simulations!$J11)))+Simulations!$DI11/IF(Simulations!$J11="",1000,Simulations!$J11)*SQRT(PI())/2*ERFC(SQRT(LN(Simulations!$DI11/IF(Simulations!$J11="",1000,Simulations!$J11))))),PI()*IF(Simulations!$T11="",200,Simulations!$T11)^2/2*(LN(Simulations!$DI11/IF(Simulations!$J11="",1000,Simulations!$J11))+1))))</f>
        <v>0</v>
      </c>
      <c r="AA11" s="0" t="n">
        <f aca="false">IF(OR(NOT(AND(Simulations!$A11&lt;&gt;"",OR(Simulations!$DF11&lt;&gt;"",N(Simulations!$DH11)&gt;0))),N(Simulations!$DJ11)&lt;=0,N(Simulations!$DH11)&lt;=0,2&gt;N(IF(Simulations!$O11="",1,Simulations!$O11))),0,IF(Simulations!$DJ11&lt;IF(Simulations!$J11="",1000,Simulations!$J11),Simulations!$DH11/(IF(Simulations!$G11="",5000,Simulations!$G11)*IF(Simulations!$H11="",5000,Simulations!$H11)*IF(IF(Simulations!$I11="",5000,Simulations!$I11)&gt;0,IF(Simulations!$I11="",5000,Simulations!$I11),1))*Simulations!$DJ11*(PI()/2*IF(Simulations!$U11="",200,Simulations!$U11)^2*IF(IF(Simulations!$I11="",5000,Simulations!$I11)&gt;0,SQRT(PI()/2)*IF(Simulations!$X11="",1000,Simulations!$X11),1)),Simulations!$DH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U11="",200,Simulations!$U11)^2*IF(Simulations!$X11="",1000,Simulations!$X11)/2^1.5*(2/3*LN(Simulations!$DJ11/IF(Simulations!$J11="",1000,Simulations!$J11))^1.5+SQRT(LN(Simulations!$DJ11/IF(Simulations!$J11="",1000,Simulations!$J11)))+Simulations!$DJ11/IF(Simulations!$J11="",1000,Simulations!$J11)*SQRT(PI())/2*ERFC(SQRT(LN(Simulations!$DJ11/IF(Simulations!$J11="",1000,Simulations!$J11))))),PI()*IF(Simulations!$U11="",200,Simulations!$U11)^2/2*(LN(Simulations!$DJ11/IF(Simulations!$J11="",1000,Simulations!$J11))+1))))</f>
        <v>0</v>
      </c>
      <c r="AB11" s="0" t="n">
        <f aca="false">IF(OR(NOT(AND(Simulations!$A11&lt;&gt;"",OR(Simulations!$DF11&lt;&gt;"",N(Simulations!$DH11)&gt;0))),N(Simulations!$DK11)&lt;=0,N(Simulations!$DH11)&lt;=0,3&gt;N(IF(Simulations!$O11="",1,Simulations!$O11))),0,IF(Simulations!$DK11&lt;IF(Simulations!$J11="",1000,Simulations!$J11),Simulations!$DH11/(IF(Simulations!$G11="",5000,Simulations!$G11)*IF(Simulations!$H11="",5000,Simulations!$H11)*IF(IF(Simulations!$I11="",5000,Simulations!$I11)&gt;0,IF(Simulations!$I11="",5000,Simulations!$I11),1))*Simulations!$DK11*(PI()/2*IF(Simulations!$V11="",200,Simulations!$V11)^2*IF(IF(Simulations!$I11="",5000,Simulations!$I11)&gt;0,SQRT(PI()/2)*IF(Simulations!$Y11="",1000,Simulations!$Y11),1)),Simulations!$DH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V11="",200,Simulations!$V11)^2*IF(Simulations!$Y11="",1000,Simulations!$Y11)/2^1.5*(2/3*LN(Simulations!$DK11/IF(Simulations!$J11="",1000,Simulations!$J11))^1.5+SQRT(LN(Simulations!$DK11/IF(Simulations!$J11="",1000,Simulations!$J11)))+Simulations!$DK11/IF(Simulations!$J11="",1000,Simulations!$J11)*SQRT(PI())/2*ERFC(SQRT(LN(Simulations!$DK11/IF(Simulations!$J11="",1000,Simulations!$J11))))),PI()*IF(Simulations!$V11="",200,Simulations!$V11)^2/2*(LN(Simulations!$DK11/IF(Simulations!$J11="",1000,Simulations!$J11))+1))))</f>
        <v>0</v>
      </c>
      <c r="AC11" s="0" t="n">
        <f aca="false">IF(NOT(AND(Simulations!$A11&lt;&gt;"",OR(Simulations!$DF11&lt;&gt;"",N(Simulations!$DH11)&gt;0))),0,MAX(N(Simulations!$DI11),N(Simulations!$DJ11),N(Simulations!$DK11))/IF(Simulations!$J11="",1000,Simulations!$J11))</f>
        <v>0</v>
      </c>
      <c r="AD11" s="0" t="n">
        <f aca="false">IF(OR(NOT(AND(Simulations!$A11&lt;&gt;"",OR(Simulations!$DF11&lt;&gt;"",N(Simulations!$DH11)&gt;0))),N(Simulations!$DG11)&lt;=0),0,SQRT(2*Simulations!$DG11*1000000/(IF(Simulations!$J11="",1000,Simulations!$J11)*1000))/MIN(IF(Simulations!$T11="",200,Simulations!$T11),IF(Simulations!$U11="",200,Simulations!$U11),IF(Simulations!$V11="",200,Simulations!$V11)))</f>
        <v>0</v>
      </c>
      <c r="AE11" s="0" t="n">
        <f aca="false">IF(AND(Simulations!$A11&lt;&gt;"",OR(Simulations!$DF11&lt;&gt;"",N(Simulations!$DH11)&gt;0)),1,0)</f>
        <v>0</v>
      </c>
      <c r="AF11" s="0" t="n">
        <f aca="false">IF(OR(NOT(AND(Simulations!$A11&lt;&gt;"",OR(Simulations!$DX11&lt;&gt;"",N(Simulations!$DZ11)&gt;0))),N(Simulations!$EA11)&lt;=0,N(Simulations!$DZ11)&lt;=0,1&gt;N(IF(Simulations!$O11="",1,Simulations!$O11))),0,IF(Simulations!$EA11&lt;IF(Simulations!$J11="",1000,Simulations!$J11),Simulations!$DZ11/(IF(Simulations!$G11="",5000,Simulations!$G11)*IF(Simulations!$H11="",5000,Simulations!$H11)*IF(IF(Simulations!$I11="",5000,Simulations!$I11)&gt;0,IF(Simulations!$I11="",5000,Simulations!$I11),1))*Simulations!$EA11*(PI()/2*IF(Simulations!$T11="",200,Simulations!$T11)^2*IF(IF(Simulations!$I11="",5000,Simulations!$I11)&gt;0,SQRT(PI()/2)*IF(Simulations!$W11="",1000,Simulations!$W11),1)),Simulations!$DZ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T11="",200,Simulations!$T11)^2*IF(Simulations!$W11="",1000,Simulations!$W11)/2^1.5*(2/3*LN(Simulations!$EA11/IF(Simulations!$J11="",1000,Simulations!$J11))^1.5+SQRT(LN(Simulations!$EA11/IF(Simulations!$J11="",1000,Simulations!$J11)))+Simulations!$EA11/IF(Simulations!$J11="",1000,Simulations!$J11)*SQRT(PI())/2*ERFC(SQRT(LN(Simulations!$EA11/IF(Simulations!$J11="",1000,Simulations!$J11))))),PI()*IF(Simulations!$T11="",200,Simulations!$T11)^2/2*(LN(Simulations!$EA11/IF(Simulations!$J11="",1000,Simulations!$J11))+1))))</f>
        <v>0</v>
      </c>
      <c r="AG11" s="0" t="n">
        <f aca="false">IF(OR(NOT(AND(Simulations!$A11&lt;&gt;"",OR(Simulations!$DX11&lt;&gt;"",N(Simulations!$DZ11)&gt;0))),N(Simulations!$EB11)&lt;=0,N(Simulations!$DZ11)&lt;=0,2&gt;N(IF(Simulations!$O11="",1,Simulations!$O11))),0,IF(Simulations!$EB11&lt;IF(Simulations!$J11="",1000,Simulations!$J11),Simulations!$DZ11/(IF(Simulations!$G11="",5000,Simulations!$G11)*IF(Simulations!$H11="",5000,Simulations!$H11)*IF(IF(Simulations!$I11="",5000,Simulations!$I11)&gt;0,IF(Simulations!$I11="",5000,Simulations!$I11),1))*Simulations!$EB11*(PI()/2*IF(Simulations!$U11="",200,Simulations!$U11)^2*IF(IF(Simulations!$I11="",5000,Simulations!$I11)&gt;0,SQRT(PI()/2)*IF(Simulations!$X11="",1000,Simulations!$X11),1)),Simulations!$DZ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U11="",200,Simulations!$U11)^2*IF(Simulations!$X11="",1000,Simulations!$X11)/2^1.5*(2/3*LN(Simulations!$EB11/IF(Simulations!$J11="",1000,Simulations!$J11))^1.5+SQRT(LN(Simulations!$EB11/IF(Simulations!$J11="",1000,Simulations!$J11)))+Simulations!$EB11/IF(Simulations!$J11="",1000,Simulations!$J11)*SQRT(PI())/2*ERFC(SQRT(LN(Simulations!$EB11/IF(Simulations!$J11="",1000,Simulations!$J11))))),PI()*IF(Simulations!$U11="",200,Simulations!$U11)^2/2*(LN(Simulations!$EB11/IF(Simulations!$J11="",1000,Simulations!$J11))+1))))</f>
        <v>0</v>
      </c>
      <c r="AH11" s="0" t="n">
        <f aca="false">IF(OR(NOT(AND(Simulations!$A11&lt;&gt;"",OR(Simulations!$DX11&lt;&gt;"",N(Simulations!$DZ11)&gt;0))),N(Simulations!$EC11)&lt;=0,N(Simulations!$DZ11)&lt;=0,3&gt;N(IF(Simulations!$O11="",1,Simulations!$O11))),0,IF(Simulations!$EC11&lt;IF(Simulations!$J11="",1000,Simulations!$J11),Simulations!$DZ11/(IF(Simulations!$G11="",5000,Simulations!$G11)*IF(Simulations!$H11="",5000,Simulations!$H11)*IF(IF(Simulations!$I11="",5000,Simulations!$I11)&gt;0,IF(Simulations!$I11="",5000,Simulations!$I11),1))*Simulations!$EC11*(PI()/2*IF(Simulations!$V11="",200,Simulations!$V11)^2*IF(IF(Simulations!$I11="",5000,Simulations!$I11)&gt;0,SQRT(PI()/2)*IF(Simulations!$Y11="",1000,Simulations!$Y11),1)),Simulations!$DZ11/(IF(Simulations!$G11="",5000,Simulations!$G11)*IF(Simulations!$H11="",5000,Simulations!$H11)*IF(IF(Simulations!$I11="",5000,Simulations!$I11)&gt;0,IF(Simulations!$I11="",5000,Simulations!$I11),1))*IF(Simulations!$J11="",1000,Simulations!$J11)*IF(IF(Simulations!$I11="",5000,Simulations!$I11)&gt;0,2*PI()*IF(Simulations!$V11="",200,Simulations!$V11)^2*IF(Simulations!$Y11="",1000,Simulations!$Y11)/2^1.5*(2/3*LN(Simulations!$EC11/IF(Simulations!$J11="",1000,Simulations!$J11))^1.5+SQRT(LN(Simulations!$EC11/IF(Simulations!$J11="",1000,Simulations!$J11)))+Simulations!$EC11/IF(Simulations!$J11="",1000,Simulations!$J11)*SQRT(PI())/2*ERFC(SQRT(LN(Simulations!$EC11/IF(Simulations!$J11="",1000,Simulations!$J11))))),PI()*IF(Simulations!$V11="",200,Simulations!$V11)^2/2*(LN(Simulations!$EC11/IF(Simulations!$J11="",1000,Simulations!$J11))+1))))</f>
        <v>0</v>
      </c>
      <c r="AI11" s="0" t="n">
        <f aca="false">IF(NOT(AND(Simulations!$A11&lt;&gt;"",OR(Simulations!$DX11&lt;&gt;"",N(Simulations!$DZ11)&gt;0))),0,MAX(N(Simulations!$EA11),N(Simulations!$EB11),N(Simulations!$EC11))/IF(Simulations!$J11="",1000,Simulations!$J11))</f>
        <v>0</v>
      </c>
      <c r="AJ11" s="0" t="n">
        <f aca="false">IF(OR(NOT(AND(Simulations!$A11&lt;&gt;"",OR(Simulations!$DX11&lt;&gt;"",N(Simulations!$DZ11)&gt;0))),N(Simulations!$DY11)&lt;=0),0,SQRT(2*Simulations!$DY11*1000000/(IF(Simulations!$J11="",1000,Simulations!$J11)*1000))/MIN(IF(Simulations!$T11="",200,Simulations!$T11),IF(Simulations!$U11="",200,Simulations!$U11),IF(Simulations!$V11="",200,Simulations!$V11)))</f>
        <v>0</v>
      </c>
      <c r="AK11" s="0" t="n">
        <f aca="false">IF(AND(Simulations!$A11&lt;&gt;"",OR(Simulations!$DX11&lt;&gt;"",N(Simulations!$DZ11)&gt;0)),1,0)</f>
        <v>0</v>
      </c>
    </row>
    <row r="12" customFormat="false" ht="15" hidden="false" customHeight="false" outlineLevel="0" collapsed="false">
      <c r="B12" s="0" t="n">
        <f aca="false">IF(OR(NOT(AND(Simulations!$A12&lt;&gt;"",OR(Simulations!$AL12&lt;&gt;"",N(Simulations!$AN12)&gt;0))),N(Simulations!$AO12)&lt;=0,N(Simulations!$AN12)&lt;=0,1&gt;N(IF(Simulations!$O12="",1,Simulations!$O12))),0,IF(Simulations!$AO12&lt;IF(Simulations!$J12="",1000,Simulations!$J12),Simulations!$AN12/(IF(Simulations!$G12="",5000,Simulations!$G12)*IF(Simulations!$H12="",5000,Simulations!$H12)*IF(IF(Simulations!$I12="",5000,Simulations!$I12)&gt;0,IF(Simulations!$I12="",5000,Simulations!$I12),1))*Simulations!$AO12*(PI()/2*IF(Simulations!$T12="",200,Simulations!$T12)^2*IF(IF(Simulations!$I12="",5000,Simulations!$I12)&gt;0,SQRT(PI()/2)*IF(Simulations!$W12="",1000,Simulations!$W12),1)),Simulations!$AN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T12="",200,Simulations!$T12)^2*IF(Simulations!$W12="",1000,Simulations!$W12)/2^1.5*(2/3*LN(Simulations!$AO12/IF(Simulations!$J12="",1000,Simulations!$J12))^1.5+SQRT(LN(Simulations!$AO12/IF(Simulations!$J12="",1000,Simulations!$J12)))+Simulations!$AO12/IF(Simulations!$J12="",1000,Simulations!$J12)*SQRT(PI())/2*ERFC(SQRT(LN(Simulations!$AO12/IF(Simulations!$J12="",1000,Simulations!$J12))))),PI()*IF(Simulations!$T12="",200,Simulations!$T12)^2/2*(LN(Simulations!$AO12/IF(Simulations!$J12="",1000,Simulations!$J12))+1))))</f>
        <v>62.9984397828897</v>
      </c>
      <c r="C12" s="0" t="n">
        <f aca="false">IF(OR(NOT(AND(Simulations!$A12&lt;&gt;"",OR(Simulations!$AL12&lt;&gt;"",N(Simulations!$AN12)&gt;0))),N(Simulations!$AP12)&lt;=0,N(Simulations!$AN12)&lt;=0,2&gt;N(IF(Simulations!$O12="",1,Simulations!$O12))),0,IF(Simulations!$AP12&lt;IF(Simulations!$J12="",1000,Simulations!$J12),Simulations!$AN12/(IF(Simulations!$G12="",5000,Simulations!$G12)*IF(Simulations!$H12="",5000,Simulations!$H12)*IF(IF(Simulations!$I12="",5000,Simulations!$I12)&gt;0,IF(Simulations!$I12="",5000,Simulations!$I12),1))*Simulations!$AP12*(PI()/2*IF(Simulations!$U12="",200,Simulations!$U12)^2*IF(IF(Simulations!$I12="",5000,Simulations!$I12)&gt;0,SQRT(PI()/2)*IF(Simulations!$X12="",1000,Simulations!$X12),1)),Simulations!$AN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U12="",200,Simulations!$U12)^2*IF(Simulations!$X12="",1000,Simulations!$X12)/2^1.5*(2/3*LN(Simulations!$AP12/IF(Simulations!$J12="",1000,Simulations!$J12))^1.5+SQRT(LN(Simulations!$AP12/IF(Simulations!$J12="",1000,Simulations!$J12)))+Simulations!$AP12/IF(Simulations!$J12="",1000,Simulations!$J12)*SQRT(PI())/2*ERFC(SQRT(LN(Simulations!$AP12/IF(Simulations!$J12="",1000,Simulations!$J12))))),PI()*IF(Simulations!$U12="",200,Simulations!$U12)^2/2*(LN(Simulations!$AP12/IF(Simulations!$J12="",1000,Simulations!$J12))+1))))</f>
        <v>44.0989078480228</v>
      </c>
      <c r="D12" s="0" t="n">
        <f aca="false">IF(OR(NOT(AND(Simulations!$A12&lt;&gt;"",OR(Simulations!$AL12&lt;&gt;"",N(Simulations!$AN12)&gt;0))),N(Simulations!$AQ12)&lt;=0,N(Simulations!$AN12)&lt;=0,3&gt;N(IF(Simulations!$O12="",1,Simulations!$O12))),0,IF(Simulations!$AQ12&lt;IF(Simulations!$J12="",1000,Simulations!$J12),Simulations!$AN12/(IF(Simulations!$G12="",5000,Simulations!$G12)*IF(Simulations!$H12="",5000,Simulations!$H12)*IF(IF(Simulations!$I12="",5000,Simulations!$I12)&gt;0,IF(Simulations!$I12="",5000,Simulations!$I12),1))*Simulations!$AQ12*(PI()/2*IF(Simulations!$V12="",200,Simulations!$V12)^2*IF(IF(Simulations!$I12="",5000,Simulations!$I12)&gt;0,SQRT(PI()/2)*IF(Simulations!$Y12="",1000,Simulations!$Y12),1)),Simulations!$AN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V12="",200,Simulations!$V12)^2*IF(Simulations!$Y12="",1000,Simulations!$Y12)/2^1.5*(2/3*LN(Simulations!$AQ12/IF(Simulations!$J12="",1000,Simulations!$J12))^1.5+SQRT(LN(Simulations!$AQ12/IF(Simulations!$J12="",1000,Simulations!$J12)))+Simulations!$AQ12/IF(Simulations!$J12="",1000,Simulations!$J12)*SQRT(PI())/2*ERFC(SQRT(LN(Simulations!$AQ12/IF(Simulations!$J12="",1000,Simulations!$J12))))),PI()*IF(Simulations!$V12="",200,Simulations!$V12)^2/2*(LN(Simulations!$AQ12/IF(Simulations!$J12="",1000,Simulations!$J12))+1))))</f>
        <v>31.4992198914448</v>
      </c>
      <c r="E12" s="0" t="n">
        <f aca="false">IF(NOT(AND(Simulations!$A12&lt;&gt;"",OR(Simulations!$AL12&lt;&gt;"",N(Simulations!$AN12)&gt;0))),0,MAX(N(Simulations!$AO12),N(Simulations!$AP12),N(Simulations!$AQ12))/IF(Simulations!$J12="",1000,Simulations!$J12))</f>
        <v>1</v>
      </c>
      <c r="F12" s="0" t="n">
        <f aca="false">IF(OR(NOT(AND(Simulations!$A12&lt;&gt;"",OR(Simulations!$AL12&lt;&gt;"",N(Simulations!$AN12)&gt;0))),N(Simulations!$AM12)&lt;=0),0,SQRT(2*Simulations!$AM12*1000000/(IF(Simulations!$J12="",1000,Simulations!$J12)*1000))/MIN(IF(Simulations!$T12="",200,Simulations!$T12),IF(Simulations!$U12="",200,Simulations!$U12),IF(Simulations!$V12="",200,Simulations!$V12)))</f>
        <v>0.0418330013267038</v>
      </c>
      <c r="G12" s="0" t="n">
        <f aca="false">IF(AND(Simulations!$A12&lt;&gt;"",OR(Simulations!$AL12&lt;&gt;"",N(Simulations!$AN12)&gt;0)),1,0)</f>
        <v>1</v>
      </c>
      <c r="H12" s="0" t="n">
        <f aca="false">IF(OR(NOT(AND(Simulations!$A12&lt;&gt;"",OR(Simulations!$BD12&lt;&gt;"",N(Simulations!$BF12)&gt;0))),N(Simulations!$BG12)&lt;=0,N(Simulations!$BF12)&lt;=0,1&gt;N(IF(Simulations!$O12="",1,Simulations!$O12))),0,IF(Simulations!$BG12&lt;IF(Simulations!$J12="",1000,Simulations!$J12),Simulations!$BF12/(IF(Simulations!$G12="",5000,Simulations!$G12)*IF(Simulations!$H12="",5000,Simulations!$H12)*IF(IF(Simulations!$I12="",5000,Simulations!$I12)&gt;0,IF(Simulations!$I12="",5000,Simulations!$I12),1))*Simulations!$BG12*(PI()/2*IF(Simulations!$T12="",200,Simulations!$T12)^2*IF(IF(Simulations!$I12="",5000,Simulations!$I12)&gt;0,SQRT(PI()/2)*IF(Simulations!$W12="",1000,Simulations!$W12),1)),Simulations!$BF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T12="",200,Simulations!$T12)^2*IF(Simulations!$W12="",1000,Simulations!$W12)/2^1.5*(2/3*LN(Simulations!$BG12/IF(Simulations!$J12="",1000,Simulations!$J12))^1.5+SQRT(LN(Simulations!$BG12/IF(Simulations!$J12="",1000,Simulations!$J12)))+Simulations!$BG12/IF(Simulations!$J12="",1000,Simulations!$J12)*SQRT(PI())/2*ERFC(SQRT(LN(Simulations!$BG12/IF(Simulations!$J12="",1000,Simulations!$J12))))),PI()*IF(Simulations!$T12="",200,Simulations!$T12)^2/2*(LN(Simulations!$BG12/IF(Simulations!$J12="",1000,Simulations!$J12))+1))))</f>
        <v>629.984397828897</v>
      </c>
      <c r="I12" s="0" t="n">
        <f aca="false">IF(OR(NOT(AND(Simulations!$A12&lt;&gt;"",OR(Simulations!$BD12&lt;&gt;"",N(Simulations!$BF12)&gt;0))),N(Simulations!$BH12)&lt;=0,N(Simulations!$BF12)&lt;=0,2&gt;N(IF(Simulations!$O12="",1,Simulations!$O12))),0,IF(Simulations!$BH12&lt;IF(Simulations!$J12="",1000,Simulations!$J12),Simulations!$BF12/(IF(Simulations!$G12="",5000,Simulations!$G12)*IF(Simulations!$H12="",5000,Simulations!$H12)*IF(IF(Simulations!$I12="",5000,Simulations!$I12)&gt;0,IF(Simulations!$I12="",5000,Simulations!$I12),1))*Simulations!$BH12*(PI()/2*IF(Simulations!$U12="",200,Simulations!$U12)^2*IF(IF(Simulations!$I12="",5000,Simulations!$I12)&gt;0,SQRT(PI()/2)*IF(Simulations!$X12="",1000,Simulations!$X12),1)),Simulations!$BF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U12="",200,Simulations!$U12)^2*IF(Simulations!$X12="",1000,Simulations!$X12)/2^1.5*(2/3*LN(Simulations!$BH12/IF(Simulations!$J12="",1000,Simulations!$J12))^1.5+SQRT(LN(Simulations!$BH12/IF(Simulations!$J12="",1000,Simulations!$J12)))+Simulations!$BH12/IF(Simulations!$J12="",1000,Simulations!$J12)*SQRT(PI())/2*ERFC(SQRT(LN(Simulations!$BH12/IF(Simulations!$J12="",1000,Simulations!$J12))))),PI()*IF(Simulations!$U12="",200,Simulations!$U12)^2/2*(LN(Simulations!$BH12/IF(Simulations!$J12="",1000,Simulations!$J12))+1))))</f>
        <v>0</v>
      </c>
      <c r="J12" s="0" t="n">
        <f aca="false">IF(OR(NOT(AND(Simulations!$A12&lt;&gt;"",OR(Simulations!$BD12&lt;&gt;"",N(Simulations!$BF12)&gt;0))),N(Simulations!$BI12)&lt;=0,N(Simulations!$BF12)&lt;=0,3&gt;N(IF(Simulations!$O12="",1,Simulations!$O12))),0,IF(Simulations!$BI12&lt;IF(Simulations!$J12="",1000,Simulations!$J12),Simulations!$BF12/(IF(Simulations!$G12="",5000,Simulations!$G12)*IF(Simulations!$H12="",5000,Simulations!$H12)*IF(IF(Simulations!$I12="",5000,Simulations!$I12)&gt;0,IF(Simulations!$I12="",5000,Simulations!$I12),1))*Simulations!$BI12*(PI()/2*IF(Simulations!$V12="",200,Simulations!$V12)^2*IF(IF(Simulations!$I12="",5000,Simulations!$I12)&gt;0,SQRT(PI()/2)*IF(Simulations!$Y12="",1000,Simulations!$Y12),1)),Simulations!$BF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V12="",200,Simulations!$V12)^2*IF(Simulations!$Y12="",1000,Simulations!$Y12)/2^1.5*(2/3*LN(Simulations!$BI12/IF(Simulations!$J12="",1000,Simulations!$J12))^1.5+SQRT(LN(Simulations!$BI12/IF(Simulations!$J12="",1000,Simulations!$J12)))+Simulations!$BI12/IF(Simulations!$J12="",1000,Simulations!$J12)*SQRT(PI())/2*ERFC(SQRT(LN(Simulations!$BI12/IF(Simulations!$J12="",1000,Simulations!$J12))))),PI()*IF(Simulations!$V12="",200,Simulations!$V12)^2/2*(LN(Simulations!$BI12/IF(Simulations!$J12="",1000,Simulations!$J12))+1))))</f>
        <v>314.992198914448</v>
      </c>
      <c r="K12" s="0" t="n">
        <f aca="false">IF(NOT(AND(Simulations!$A12&lt;&gt;"",OR(Simulations!$BD12&lt;&gt;"",N(Simulations!$BF12)&gt;0))),0,MAX(N(Simulations!$BG12),N(Simulations!$BH12),N(Simulations!$BI12))/IF(Simulations!$J12="",1000,Simulations!$J12))</f>
        <v>1</v>
      </c>
      <c r="L12" s="0" t="n">
        <f aca="false">IF(OR(NOT(AND(Simulations!$A12&lt;&gt;"",OR(Simulations!$BD12&lt;&gt;"",N(Simulations!$BF12)&gt;0))),N(Simulations!$BE12)&lt;=0),0,SQRT(2*Simulations!$BE12*1000000/(IF(Simulations!$J12="",1000,Simulations!$J12)*1000))/MIN(IF(Simulations!$T12="",200,Simulations!$T12),IF(Simulations!$U12="",200,Simulations!$U12),IF(Simulations!$V12="",200,Simulations!$V12)))</f>
        <v>0.0418330013267038</v>
      </c>
      <c r="M12" s="0" t="n">
        <f aca="false">IF(AND(Simulations!$A12&lt;&gt;"",OR(Simulations!$BD12&lt;&gt;"",N(Simulations!$BF12)&gt;0)),1,0)</f>
        <v>1</v>
      </c>
      <c r="N12" s="0" t="n">
        <f aca="false">IF(OR(NOT(AND(Simulations!$A12&lt;&gt;"",OR(Simulations!$BV12&lt;&gt;"",N(Simulations!$BX12)&gt;0))),N(Simulations!$BY12)&lt;=0,N(Simulations!$BX12)&lt;=0,1&gt;N(IF(Simulations!$O12="",1,Simulations!$O12))),0,IF(Simulations!$BY12&lt;IF(Simulations!$J12="",1000,Simulations!$J12),Simulations!$BX12/(IF(Simulations!$G12="",5000,Simulations!$G12)*IF(Simulations!$H12="",5000,Simulations!$H12)*IF(IF(Simulations!$I12="",5000,Simulations!$I12)&gt;0,IF(Simulations!$I12="",5000,Simulations!$I12),1))*Simulations!$BY12*(PI()/2*IF(Simulations!$T12="",200,Simulations!$T12)^2*IF(IF(Simulations!$I12="",5000,Simulations!$I12)&gt;0,SQRT(PI()/2)*IF(Simulations!$W12="",1000,Simulations!$W12),1)),Simulations!$BX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T12="",200,Simulations!$T12)^2*IF(Simulations!$W12="",1000,Simulations!$W12)/2^1.5*(2/3*LN(Simulations!$BY12/IF(Simulations!$J12="",1000,Simulations!$J12))^1.5+SQRT(LN(Simulations!$BY12/IF(Simulations!$J12="",1000,Simulations!$J12)))+Simulations!$BY12/IF(Simulations!$J12="",1000,Simulations!$J12)*SQRT(PI())/2*ERFC(SQRT(LN(Simulations!$BY12/IF(Simulations!$J12="",1000,Simulations!$J12))))),PI()*IF(Simulations!$T12="",200,Simulations!$T12)^2/2*(LN(Simulations!$BY12/IF(Simulations!$J12="",1000,Simulations!$J12))+1))))</f>
        <v>2332.97493211706</v>
      </c>
      <c r="O12" s="0" t="n">
        <f aca="false">IF(OR(NOT(AND(Simulations!$A12&lt;&gt;"",OR(Simulations!$BV12&lt;&gt;"",N(Simulations!$BX12)&gt;0))),N(Simulations!$BZ12)&lt;=0,N(Simulations!$BX12)&lt;=0,2&gt;N(IF(Simulations!$O12="",1,Simulations!$O12))),0,IF(Simulations!$BZ12&lt;IF(Simulations!$J12="",1000,Simulations!$J12),Simulations!$BX12/(IF(Simulations!$G12="",5000,Simulations!$G12)*IF(Simulations!$H12="",5000,Simulations!$H12)*IF(IF(Simulations!$I12="",5000,Simulations!$I12)&gt;0,IF(Simulations!$I12="",5000,Simulations!$I12),1))*Simulations!$BZ12*(PI()/2*IF(Simulations!$U12="",200,Simulations!$U12)^2*IF(IF(Simulations!$I12="",5000,Simulations!$I12)&gt;0,SQRT(PI()/2)*IF(Simulations!$X12="",1000,Simulations!$X12),1)),Simulations!$BX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U12="",200,Simulations!$U12)^2*IF(Simulations!$X12="",1000,Simulations!$X12)/2^1.5*(2/3*LN(Simulations!$BZ12/IF(Simulations!$J12="",1000,Simulations!$J12))^1.5+SQRT(LN(Simulations!$BZ12/IF(Simulations!$J12="",1000,Simulations!$J12)))+Simulations!$BZ12/IF(Simulations!$J12="",1000,Simulations!$J12)*SQRT(PI())/2*ERFC(SQRT(LN(Simulations!$BZ12/IF(Simulations!$J12="",1000,Simulations!$J12))))),PI()*IF(Simulations!$U12="",200,Simulations!$U12)^2/2*(LN(Simulations!$BZ12/IF(Simulations!$J12="",1000,Simulations!$J12))+1))))</f>
        <v>881.978156960456</v>
      </c>
      <c r="P12" s="0" t="n">
        <f aca="false">IF(OR(NOT(AND(Simulations!$A12&lt;&gt;"",OR(Simulations!$BV12&lt;&gt;"",N(Simulations!$BX12)&gt;0))),N(Simulations!$CA12)&lt;=0,N(Simulations!$BX12)&lt;=0,3&gt;N(IF(Simulations!$O12="",1,Simulations!$O12))),0,IF(Simulations!$CA12&lt;IF(Simulations!$J12="",1000,Simulations!$J12),Simulations!$BX12/(IF(Simulations!$G12="",5000,Simulations!$G12)*IF(Simulations!$H12="",5000,Simulations!$H12)*IF(IF(Simulations!$I12="",5000,Simulations!$I12)&gt;0,IF(Simulations!$I12="",5000,Simulations!$I12),1))*Simulations!$CA12*(PI()/2*IF(Simulations!$V12="",200,Simulations!$V12)^2*IF(IF(Simulations!$I12="",5000,Simulations!$I12)&gt;0,SQRT(PI()/2)*IF(Simulations!$Y12="",1000,Simulations!$Y12),1)),Simulations!$BX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V12="",200,Simulations!$V12)^2*IF(Simulations!$Y12="",1000,Simulations!$Y12)/2^1.5*(2/3*LN(Simulations!$CA12/IF(Simulations!$J12="",1000,Simulations!$J12))^1.5+SQRT(LN(Simulations!$CA12/IF(Simulations!$J12="",1000,Simulations!$J12)))+Simulations!$CA12/IF(Simulations!$J12="",1000,Simulations!$J12)*SQRT(PI())/2*ERFC(SQRT(LN(Simulations!$CA12/IF(Simulations!$J12="",1000,Simulations!$J12))))),PI()*IF(Simulations!$V12="",200,Simulations!$V12)^2/2*(LN(Simulations!$CA12/IF(Simulations!$J12="",1000,Simulations!$J12))+1))))</f>
        <v>0</v>
      </c>
      <c r="Q12" s="0" t="n">
        <f aca="false">IF(NOT(AND(Simulations!$A12&lt;&gt;"",OR(Simulations!$BV12&lt;&gt;"",N(Simulations!$BX12)&gt;0))),0,MAX(N(Simulations!$BY12),N(Simulations!$BZ12),N(Simulations!$CA12))/IF(Simulations!$J12="",1000,Simulations!$J12))</f>
        <v>2</v>
      </c>
      <c r="R12" s="0" t="n">
        <f aca="false">IF(OR(NOT(AND(Simulations!$A12&lt;&gt;"",OR(Simulations!$BV12&lt;&gt;"",N(Simulations!$BX12)&gt;0))),N(Simulations!$BW12)&lt;=0),0,SQRT(2*Simulations!$BW12*1000000/(IF(Simulations!$J12="",1000,Simulations!$J12)*1000))/MIN(IF(Simulations!$T12="",200,Simulations!$T12),IF(Simulations!$U12="",200,Simulations!$U12),IF(Simulations!$V12="",200,Simulations!$V12)))</f>
        <v>0.0418330013267038</v>
      </c>
      <c r="S12" s="0" t="n">
        <f aca="false">IF(AND(Simulations!$A12&lt;&gt;"",OR(Simulations!$BV12&lt;&gt;"",N(Simulations!$BX12)&gt;0)),1,0)</f>
        <v>1</v>
      </c>
      <c r="T12" s="0" t="n">
        <f aca="false">IF(OR(NOT(AND(Simulations!$A12&lt;&gt;"",OR(Simulations!$CN12&lt;&gt;"",N(Simulations!$CP12)&gt;0))),N(Simulations!$CQ12)&lt;=0,N(Simulations!$CP12)&lt;=0,1&gt;N(IF(Simulations!$O12="",1,Simulations!$O12))),0,IF(Simulations!$CQ12&lt;IF(Simulations!$J12="",1000,Simulations!$J12),Simulations!$CP12/(IF(Simulations!$G12="",5000,Simulations!$G12)*IF(Simulations!$H12="",5000,Simulations!$H12)*IF(IF(Simulations!$I12="",5000,Simulations!$I12)&gt;0,IF(Simulations!$I12="",5000,Simulations!$I12),1))*Simulations!$CQ12*(PI()/2*IF(Simulations!$T12="",200,Simulations!$T12)^2*IF(IF(Simulations!$I12="",5000,Simulations!$I12)&gt;0,SQRT(PI()/2)*IF(Simulations!$W12="",1000,Simulations!$W12),1)),Simulations!$CP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T12="",200,Simulations!$T12)^2*IF(Simulations!$W12="",1000,Simulations!$W12)/2^1.5*(2/3*LN(Simulations!$CQ12/IF(Simulations!$J12="",1000,Simulations!$J12))^1.5+SQRT(LN(Simulations!$CQ12/IF(Simulations!$J12="",1000,Simulations!$J12)))+Simulations!$CQ12/IF(Simulations!$J12="",1000,Simulations!$J12)*SQRT(PI())/2*ERFC(SQRT(LN(Simulations!$CQ12/IF(Simulations!$J12="",1000,Simulations!$J12))))),PI()*IF(Simulations!$T12="",200,Simulations!$T12)^2/2*(LN(Simulations!$CQ12/IF(Simulations!$J12="",1000,Simulations!$J12))+1))))</f>
        <v>0</v>
      </c>
      <c r="U12" s="0" t="n">
        <f aca="false">IF(OR(NOT(AND(Simulations!$A12&lt;&gt;"",OR(Simulations!$CN12&lt;&gt;"",N(Simulations!$CP12)&gt;0))),N(Simulations!$CR12)&lt;=0,N(Simulations!$CP12)&lt;=0,2&gt;N(IF(Simulations!$O12="",1,Simulations!$O12))),0,IF(Simulations!$CR12&lt;IF(Simulations!$J12="",1000,Simulations!$J12),Simulations!$CP12/(IF(Simulations!$G12="",5000,Simulations!$G12)*IF(Simulations!$H12="",5000,Simulations!$H12)*IF(IF(Simulations!$I12="",5000,Simulations!$I12)&gt;0,IF(Simulations!$I12="",5000,Simulations!$I12),1))*Simulations!$CR12*(PI()/2*IF(Simulations!$U12="",200,Simulations!$U12)^2*IF(IF(Simulations!$I12="",5000,Simulations!$I12)&gt;0,SQRT(PI()/2)*IF(Simulations!$X12="",1000,Simulations!$X12),1)),Simulations!$CP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U12="",200,Simulations!$U12)^2*IF(Simulations!$X12="",1000,Simulations!$X12)/2^1.5*(2/3*LN(Simulations!$CR12/IF(Simulations!$J12="",1000,Simulations!$J12))^1.5+SQRT(LN(Simulations!$CR12/IF(Simulations!$J12="",1000,Simulations!$J12)))+Simulations!$CR12/IF(Simulations!$J12="",1000,Simulations!$J12)*SQRT(PI())/2*ERFC(SQRT(LN(Simulations!$CR12/IF(Simulations!$J12="",1000,Simulations!$J12))))),PI()*IF(Simulations!$U12="",200,Simulations!$U12)^2/2*(LN(Simulations!$CR12/IF(Simulations!$J12="",1000,Simulations!$J12))+1))))</f>
        <v>0</v>
      </c>
      <c r="V12" s="0" t="n">
        <f aca="false">IF(OR(NOT(AND(Simulations!$A12&lt;&gt;"",OR(Simulations!$CN12&lt;&gt;"",N(Simulations!$CP12)&gt;0))),N(Simulations!$CS12)&lt;=0,N(Simulations!$CP12)&lt;=0,3&gt;N(IF(Simulations!$O12="",1,Simulations!$O12))),0,IF(Simulations!$CS12&lt;IF(Simulations!$J12="",1000,Simulations!$J12),Simulations!$CP12/(IF(Simulations!$G12="",5000,Simulations!$G12)*IF(Simulations!$H12="",5000,Simulations!$H12)*IF(IF(Simulations!$I12="",5000,Simulations!$I12)&gt;0,IF(Simulations!$I12="",5000,Simulations!$I12),1))*Simulations!$CS12*(PI()/2*IF(Simulations!$V12="",200,Simulations!$V12)^2*IF(IF(Simulations!$I12="",5000,Simulations!$I12)&gt;0,SQRT(PI()/2)*IF(Simulations!$Y12="",1000,Simulations!$Y12),1)),Simulations!$CP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V12="",200,Simulations!$V12)^2*IF(Simulations!$Y12="",1000,Simulations!$Y12)/2^1.5*(2/3*LN(Simulations!$CS12/IF(Simulations!$J12="",1000,Simulations!$J12))^1.5+SQRT(LN(Simulations!$CS12/IF(Simulations!$J12="",1000,Simulations!$J12)))+Simulations!$CS12/IF(Simulations!$J12="",1000,Simulations!$J12)*SQRT(PI())/2*ERFC(SQRT(LN(Simulations!$CS12/IF(Simulations!$J12="",1000,Simulations!$J12))))),PI()*IF(Simulations!$V12="",200,Simulations!$V12)^2/2*(LN(Simulations!$CS12/IF(Simulations!$J12="",1000,Simulations!$J12))+1))))</f>
        <v>0</v>
      </c>
      <c r="W12" s="0" t="n">
        <f aca="false">IF(NOT(AND(Simulations!$A12&lt;&gt;"",OR(Simulations!$CN12&lt;&gt;"",N(Simulations!$CP12)&gt;0))),0,MAX(N(Simulations!$CQ12),N(Simulations!$CR12),N(Simulations!$CS12))/IF(Simulations!$J12="",1000,Simulations!$J12))</f>
        <v>0</v>
      </c>
      <c r="X12" s="0" t="n">
        <f aca="false">IF(OR(NOT(AND(Simulations!$A12&lt;&gt;"",OR(Simulations!$CN12&lt;&gt;"",N(Simulations!$CP12)&gt;0))),N(Simulations!$CO12)&lt;=0),0,SQRT(2*Simulations!$CO12*1000000/(IF(Simulations!$J12="",1000,Simulations!$J12)*1000))/MIN(IF(Simulations!$T12="",200,Simulations!$T12),IF(Simulations!$U12="",200,Simulations!$U12),IF(Simulations!$V12="",200,Simulations!$V12)))</f>
        <v>0</v>
      </c>
      <c r="Y12" s="0" t="n">
        <f aca="false">IF(AND(Simulations!$A12&lt;&gt;"",OR(Simulations!$CN12&lt;&gt;"",N(Simulations!$CP12)&gt;0)),1,0)</f>
        <v>0</v>
      </c>
      <c r="Z12" s="0" t="n">
        <f aca="false">IF(OR(NOT(AND(Simulations!$A12&lt;&gt;"",OR(Simulations!$DF12&lt;&gt;"",N(Simulations!$DH12)&gt;0))),N(Simulations!$DI12)&lt;=0,N(Simulations!$DH12)&lt;=0,1&gt;N(IF(Simulations!$O12="",1,Simulations!$O12))),0,IF(Simulations!$DI12&lt;IF(Simulations!$J12="",1000,Simulations!$J12),Simulations!$DH12/(IF(Simulations!$G12="",5000,Simulations!$G12)*IF(Simulations!$H12="",5000,Simulations!$H12)*IF(IF(Simulations!$I12="",5000,Simulations!$I12)&gt;0,IF(Simulations!$I12="",5000,Simulations!$I12),1))*Simulations!$DI12*(PI()/2*IF(Simulations!$T12="",200,Simulations!$T12)^2*IF(IF(Simulations!$I12="",5000,Simulations!$I12)&gt;0,SQRT(PI()/2)*IF(Simulations!$W12="",1000,Simulations!$W12),1)),Simulations!$DH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T12="",200,Simulations!$T12)^2*IF(Simulations!$W12="",1000,Simulations!$W12)/2^1.5*(2/3*LN(Simulations!$DI12/IF(Simulations!$J12="",1000,Simulations!$J12))^1.5+SQRT(LN(Simulations!$DI12/IF(Simulations!$J12="",1000,Simulations!$J12)))+Simulations!$DI12/IF(Simulations!$J12="",1000,Simulations!$J12)*SQRT(PI())/2*ERFC(SQRT(LN(Simulations!$DI12/IF(Simulations!$J12="",1000,Simulations!$J12))))),PI()*IF(Simulations!$T12="",200,Simulations!$T12)^2/2*(LN(Simulations!$DI12/IF(Simulations!$J12="",1000,Simulations!$J12))+1))))</f>
        <v>0</v>
      </c>
      <c r="AA12" s="0" t="n">
        <f aca="false">IF(OR(NOT(AND(Simulations!$A12&lt;&gt;"",OR(Simulations!$DF12&lt;&gt;"",N(Simulations!$DH12)&gt;0))),N(Simulations!$DJ12)&lt;=0,N(Simulations!$DH12)&lt;=0,2&gt;N(IF(Simulations!$O12="",1,Simulations!$O12))),0,IF(Simulations!$DJ12&lt;IF(Simulations!$J12="",1000,Simulations!$J12),Simulations!$DH12/(IF(Simulations!$G12="",5000,Simulations!$G12)*IF(Simulations!$H12="",5000,Simulations!$H12)*IF(IF(Simulations!$I12="",5000,Simulations!$I12)&gt;0,IF(Simulations!$I12="",5000,Simulations!$I12),1))*Simulations!$DJ12*(PI()/2*IF(Simulations!$U12="",200,Simulations!$U12)^2*IF(IF(Simulations!$I12="",5000,Simulations!$I12)&gt;0,SQRT(PI()/2)*IF(Simulations!$X12="",1000,Simulations!$X12),1)),Simulations!$DH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U12="",200,Simulations!$U12)^2*IF(Simulations!$X12="",1000,Simulations!$X12)/2^1.5*(2/3*LN(Simulations!$DJ12/IF(Simulations!$J12="",1000,Simulations!$J12))^1.5+SQRT(LN(Simulations!$DJ12/IF(Simulations!$J12="",1000,Simulations!$J12)))+Simulations!$DJ12/IF(Simulations!$J12="",1000,Simulations!$J12)*SQRT(PI())/2*ERFC(SQRT(LN(Simulations!$DJ12/IF(Simulations!$J12="",1000,Simulations!$J12))))),PI()*IF(Simulations!$U12="",200,Simulations!$U12)^2/2*(LN(Simulations!$DJ12/IF(Simulations!$J12="",1000,Simulations!$J12))+1))))</f>
        <v>0</v>
      </c>
      <c r="AB12" s="0" t="n">
        <f aca="false">IF(OR(NOT(AND(Simulations!$A12&lt;&gt;"",OR(Simulations!$DF12&lt;&gt;"",N(Simulations!$DH12)&gt;0))),N(Simulations!$DK12)&lt;=0,N(Simulations!$DH12)&lt;=0,3&gt;N(IF(Simulations!$O12="",1,Simulations!$O12))),0,IF(Simulations!$DK12&lt;IF(Simulations!$J12="",1000,Simulations!$J12),Simulations!$DH12/(IF(Simulations!$G12="",5000,Simulations!$G12)*IF(Simulations!$H12="",5000,Simulations!$H12)*IF(IF(Simulations!$I12="",5000,Simulations!$I12)&gt;0,IF(Simulations!$I12="",5000,Simulations!$I12),1))*Simulations!$DK12*(PI()/2*IF(Simulations!$V12="",200,Simulations!$V12)^2*IF(IF(Simulations!$I12="",5000,Simulations!$I12)&gt;0,SQRT(PI()/2)*IF(Simulations!$Y12="",1000,Simulations!$Y12),1)),Simulations!$DH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V12="",200,Simulations!$V12)^2*IF(Simulations!$Y12="",1000,Simulations!$Y12)/2^1.5*(2/3*LN(Simulations!$DK12/IF(Simulations!$J12="",1000,Simulations!$J12))^1.5+SQRT(LN(Simulations!$DK12/IF(Simulations!$J12="",1000,Simulations!$J12)))+Simulations!$DK12/IF(Simulations!$J12="",1000,Simulations!$J12)*SQRT(PI())/2*ERFC(SQRT(LN(Simulations!$DK12/IF(Simulations!$J12="",1000,Simulations!$J12))))),PI()*IF(Simulations!$V12="",200,Simulations!$V12)^2/2*(LN(Simulations!$DK12/IF(Simulations!$J12="",1000,Simulations!$J12))+1))))</f>
        <v>0</v>
      </c>
      <c r="AC12" s="0" t="n">
        <f aca="false">IF(NOT(AND(Simulations!$A12&lt;&gt;"",OR(Simulations!$DF12&lt;&gt;"",N(Simulations!$DH12)&gt;0))),0,MAX(N(Simulations!$DI12),N(Simulations!$DJ12),N(Simulations!$DK12))/IF(Simulations!$J12="",1000,Simulations!$J12))</f>
        <v>0</v>
      </c>
      <c r="AD12" s="0" t="n">
        <f aca="false">IF(OR(NOT(AND(Simulations!$A12&lt;&gt;"",OR(Simulations!$DF12&lt;&gt;"",N(Simulations!$DH12)&gt;0))),N(Simulations!$DG12)&lt;=0),0,SQRT(2*Simulations!$DG12*1000000/(IF(Simulations!$J12="",1000,Simulations!$J12)*1000))/MIN(IF(Simulations!$T12="",200,Simulations!$T12),IF(Simulations!$U12="",200,Simulations!$U12),IF(Simulations!$V12="",200,Simulations!$V12)))</f>
        <v>0</v>
      </c>
      <c r="AE12" s="0" t="n">
        <f aca="false">IF(AND(Simulations!$A12&lt;&gt;"",OR(Simulations!$DF12&lt;&gt;"",N(Simulations!$DH12)&gt;0)),1,0)</f>
        <v>0</v>
      </c>
      <c r="AF12" s="0" t="n">
        <f aca="false">IF(OR(NOT(AND(Simulations!$A12&lt;&gt;"",OR(Simulations!$DX12&lt;&gt;"",N(Simulations!$DZ12)&gt;0))),N(Simulations!$EA12)&lt;=0,N(Simulations!$DZ12)&lt;=0,1&gt;N(IF(Simulations!$O12="",1,Simulations!$O12))),0,IF(Simulations!$EA12&lt;IF(Simulations!$J12="",1000,Simulations!$J12),Simulations!$DZ12/(IF(Simulations!$G12="",5000,Simulations!$G12)*IF(Simulations!$H12="",5000,Simulations!$H12)*IF(IF(Simulations!$I12="",5000,Simulations!$I12)&gt;0,IF(Simulations!$I12="",5000,Simulations!$I12),1))*Simulations!$EA12*(PI()/2*IF(Simulations!$T12="",200,Simulations!$T12)^2*IF(IF(Simulations!$I12="",5000,Simulations!$I12)&gt;0,SQRT(PI()/2)*IF(Simulations!$W12="",1000,Simulations!$W12),1)),Simulations!$DZ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T12="",200,Simulations!$T12)^2*IF(Simulations!$W12="",1000,Simulations!$W12)/2^1.5*(2/3*LN(Simulations!$EA12/IF(Simulations!$J12="",1000,Simulations!$J12))^1.5+SQRT(LN(Simulations!$EA12/IF(Simulations!$J12="",1000,Simulations!$J12)))+Simulations!$EA12/IF(Simulations!$J12="",1000,Simulations!$J12)*SQRT(PI())/2*ERFC(SQRT(LN(Simulations!$EA12/IF(Simulations!$J12="",1000,Simulations!$J12))))),PI()*IF(Simulations!$T12="",200,Simulations!$T12)^2/2*(LN(Simulations!$EA12/IF(Simulations!$J12="",1000,Simulations!$J12))+1))))</f>
        <v>0</v>
      </c>
      <c r="AG12" s="0" t="n">
        <f aca="false">IF(OR(NOT(AND(Simulations!$A12&lt;&gt;"",OR(Simulations!$DX12&lt;&gt;"",N(Simulations!$DZ12)&gt;0))),N(Simulations!$EB12)&lt;=0,N(Simulations!$DZ12)&lt;=0,2&gt;N(IF(Simulations!$O12="",1,Simulations!$O12))),0,IF(Simulations!$EB12&lt;IF(Simulations!$J12="",1000,Simulations!$J12),Simulations!$DZ12/(IF(Simulations!$G12="",5000,Simulations!$G12)*IF(Simulations!$H12="",5000,Simulations!$H12)*IF(IF(Simulations!$I12="",5000,Simulations!$I12)&gt;0,IF(Simulations!$I12="",5000,Simulations!$I12),1))*Simulations!$EB12*(PI()/2*IF(Simulations!$U12="",200,Simulations!$U12)^2*IF(IF(Simulations!$I12="",5000,Simulations!$I12)&gt;0,SQRT(PI()/2)*IF(Simulations!$X12="",1000,Simulations!$X12),1)),Simulations!$DZ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U12="",200,Simulations!$U12)^2*IF(Simulations!$X12="",1000,Simulations!$X12)/2^1.5*(2/3*LN(Simulations!$EB12/IF(Simulations!$J12="",1000,Simulations!$J12))^1.5+SQRT(LN(Simulations!$EB12/IF(Simulations!$J12="",1000,Simulations!$J12)))+Simulations!$EB12/IF(Simulations!$J12="",1000,Simulations!$J12)*SQRT(PI())/2*ERFC(SQRT(LN(Simulations!$EB12/IF(Simulations!$J12="",1000,Simulations!$J12))))),PI()*IF(Simulations!$U12="",200,Simulations!$U12)^2/2*(LN(Simulations!$EB12/IF(Simulations!$J12="",1000,Simulations!$J12))+1))))</f>
        <v>0</v>
      </c>
      <c r="AH12" s="0" t="n">
        <f aca="false">IF(OR(NOT(AND(Simulations!$A12&lt;&gt;"",OR(Simulations!$DX12&lt;&gt;"",N(Simulations!$DZ12)&gt;0))),N(Simulations!$EC12)&lt;=0,N(Simulations!$DZ12)&lt;=0,3&gt;N(IF(Simulations!$O12="",1,Simulations!$O12))),0,IF(Simulations!$EC12&lt;IF(Simulations!$J12="",1000,Simulations!$J12),Simulations!$DZ12/(IF(Simulations!$G12="",5000,Simulations!$G12)*IF(Simulations!$H12="",5000,Simulations!$H12)*IF(IF(Simulations!$I12="",5000,Simulations!$I12)&gt;0,IF(Simulations!$I12="",5000,Simulations!$I12),1))*Simulations!$EC12*(PI()/2*IF(Simulations!$V12="",200,Simulations!$V12)^2*IF(IF(Simulations!$I12="",5000,Simulations!$I12)&gt;0,SQRT(PI()/2)*IF(Simulations!$Y12="",1000,Simulations!$Y12),1)),Simulations!$DZ12/(IF(Simulations!$G12="",5000,Simulations!$G12)*IF(Simulations!$H12="",5000,Simulations!$H12)*IF(IF(Simulations!$I12="",5000,Simulations!$I12)&gt;0,IF(Simulations!$I12="",5000,Simulations!$I12),1))*IF(Simulations!$J12="",1000,Simulations!$J12)*IF(IF(Simulations!$I12="",5000,Simulations!$I12)&gt;0,2*PI()*IF(Simulations!$V12="",200,Simulations!$V12)^2*IF(Simulations!$Y12="",1000,Simulations!$Y12)/2^1.5*(2/3*LN(Simulations!$EC12/IF(Simulations!$J12="",1000,Simulations!$J12))^1.5+SQRT(LN(Simulations!$EC12/IF(Simulations!$J12="",1000,Simulations!$J12)))+Simulations!$EC12/IF(Simulations!$J12="",1000,Simulations!$J12)*SQRT(PI())/2*ERFC(SQRT(LN(Simulations!$EC12/IF(Simulations!$J12="",1000,Simulations!$J12))))),PI()*IF(Simulations!$V12="",200,Simulations!$V12)^2/2*(LN(Simulations!$EC12/IF(Simulations!$J12="",1000,Simulations!$J12))+1))))</f>
        <v>0</v>
      </c>
      <c r="AI12" s="0" t="n">
        <f aca="false">IF(NOT(AND(Simulations!$A12&lt;&gt;"",OR(Simulations!$DX12&lt;&gt;"",N(Simulations!$DZ12)&gt;0))),0,MAX(N(Simulations!$EA12),N(Simulations!$EB12),N(Simulations!$EC12))/IF(Simulations!$J12="",1000,Simulations!$J12))</f>
        <v>0</v>
      </c>
      <c r="AJ12" s="0" t="n">
        <f aca="false">IF(OR(NOT(AND(Simulations!$A12&lt;&gt;"",OR(Simulations!$DX12&lt;&gt;"",N(Simulations!$DZ12)&gt;0))),N(Simulations!$DY12)&lt;=0),0,SQRT(2*Simulations!$DY12*1000000/(IF(Simulations!$J12="",1000,Simulations!$J12)*1000))/MIN(IF(Simulations!$T12="",200,Simulations!$T12),IF(Simulations!$U12="",200,Simulations!$U12),IF(Simulations!$V12="",200,Simulations!$V12)))</f>
        <v>0</v>
      </c>
      <c r="AK12" s="0" t="n">
        <f aca="false">IF(AND(Simulations!$A12&lt;&gt;"",OR(Simulations!$DX12&lt;&gt;"",N(Simulations!$DZ12)&gt;0)),1,0)</f>
        <v>0</v>
      </c>
    </row>
    <row r="13" customFormat="false" ht="15" hidden="false" customHeight="false" outlineLevel="0" collapsed="false">
      <c r="B13" s="0" t="n">
        <f aca="false">IF(OR(NOT(AND(Simulations!$A13&lt;&gt;"",OR(Simulations!$AL13&lt;&gt;"",N(Simulations!$AN13)&gt;0))),N(Simulations!$AO13)&lt;=0,N(Simulations!$AN13)&lt;=0,1&gt;N(IF(Simulations!$O13="",1,Simulations!$O13))),0,IF(Simulations!$AO13&lt;IF(Simulations!$J13="",1000,Simulations!$J13),Simulations!$AN13/(IF(Simulations!$G13="",5000,Simulations!$G13)*IF(Simulations!$H13="",5000,Simulations!$H13)*IF(IF(Simulations!$I13="",5000,Simulations!$I13)&gt;0,IF(Simulations!$I13="",5000,Simulations!$I13),1))*Simulations!$AO13*(PI()/2*IF(Simulations!$T13="",200,Simulations!$T13)^2*IF(IF(Simulations!$I13="",5000,Simulations!$I13)&gt;0,SQRT(PI()/2)*IF(Simulations!$W13="",1000,Simulations!$W13),1)),Simulations!$AN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T13="",200,Simulations!$T13)^2*IF(Simulations!$W13="",1000,Simulations!$W13)/2^1.5*(2/3*LN(Simulations!$AO13/IF(Simulations!$J13="",1000,Simulations!$J13))^1.5+SQRT(LN(Simulations!$AO13/IF(Simulations!$J13="",1000,Simulations!$J13)))+Simulations!$AO13/IF(Simulations!$J13="",1000,Simulations!$J13)*SQRT(PI())/2*ERFC(SQRT(LN(Simulations!$AO13/IF(Simulations!$J13="",1000,Simulations!$J13))))),PI()*IF(Simulations!$T13="",200,Simulations!$T13)^2/2*(LN(Simulations!$AO13/IF(Simulations!$J13="",1000,Simulations!$J13))+1))))</f>
        <v>6.29984397828897</v>
      </c>
      <c r="C13" s="0" t="n">
        <f aca="false">IF(OR(NOT(AND(Simulations!$A13&lt;&gt;"",OR(Simulations!$AL13&lt;&gt;"",N(Simulations!$AN13)&gt;0))),N(Simulations!$AP13)&lt;=0,N(Simulations!$AN13)&lt;=0,2&gt;N(IF(Simulations!$O13="",1,Simulations!$O13))),0,IF(Simulations!$AP13&lt;IF(Simulations!$J13="",1000,Simulations!$J13),Simulations!$AN13/(IF(Simulations!$G13="",5000,Simulations!$G13)*IF(Simulations!$H13="",5000,Simulations!$H13)*IF(IF(Simulations!$I13="",5000,Simulations!$I13)&gt;0,IF(Simulations!$I13="",5000,Simulations!$I13),1))*Simulations!$AP13*(PI()/2*IF(Simulations!$U13="",200,Simulations!$U13)^2*IF(IF(Simulations!$I13="",5000,Simulations!$I13)&gt;0,SQRT(PI()/2)*IF(Simulations!$X13="",1000,Simulations!$X13),1)),Simulations!$AN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U13="",200,Simulations!$U13)^2*IF(Simulations!$X13="",1000,Simulations!$X13)/2^1.5*(2/3*LN(Simulations!$AP13/IF(Simulations!$J13="",1000,Simulations!$J13))^1.5+SQRT(LN(Simulations!$AP13/IF(Simulations!$J13="",1000,Simulations!$J13)))+Simulations!$AP13/IF(Simulations!$J13="",1000,Simulations!$J13)*SQRT(PI())/2*ERFC(SQRT(LN(Simulations!$AP13/IF(Simulations!$J13="",1000,Simulations!$J13))))),PI()*IF(Simulations!$U13="",200,Simulations!$U13)^2/2*(LN(Simulations!$AP13/IF(Simulations!$J13="",1000,Simulations!$J13))+1))))</f>
        <v>4.40989078480228</v>
      </c>
      <c r="D13" s="0" t="n">
        <f aca="false">IF(OR(NOT(AND(Simulations!$A13&lt;&gt;"",OR(Simulations!$AL13&lt;&gt;"",N(Simulations!$AN13)&gt;0))),N(Simulations!$AQ13)&lt;=0,N(Simulations!$AN13)&lt;=0,3&gt;N(IF(Simulations!$O13="",1,Simulations!$O13))),0,IF(Simulations!$AQ13&lt;IF(Simulations!$J13="",1000,Simulations!$J13),Simulations!$AN13/(IF(Simulations!$G13="",5000,Simulations!$G13)*IF(Simulations!$H13="",5000,Simulations!$H13)*IF(IF(Simulations!$I13="",5000,Simulations!$I13)&gt;0,IF(Simulations!$I13="",5000,Simulations!$I13),1))*Simulations!$AQ13*(PI()/2*IF(Simulations!$V13="",200,Simulations!$V13)^2*IF(IF(Simulations!$I13="",5000,Simulations!$I13)&gt;0,SQRT(PI()/2)*IF(Simulations!$Y13="",1000,Simulations!$Y13),1)),Simulations!$AN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V13="",200,Simulations!$V13)^2*IF(Simulations!$Y13="",1000,Simulations!$Y13)/2^1.5*(2/3*LN(Simulations!$AQ13/IF(Simulations!$J13="",1000,Simulations!$J13))^1.5+SQRT(LN(Simulations!$AQ13/IF(Simulations!$J13="",1000,Simulations!$J13)))+Simulations!$AQ13/IF(Simulations!$J13="",1000,Simulations!$J13)*SQRT(PI())/2*ERFC(SQRT(LN(Simulations!$AQ13/IF(Simulations!$J13="",1000,Simulations!$J13))))),PI()*IF(Simulations!$V13="",200,Simulations!$V13)^2/2*(LN(Simulations!$AQ13/IF(Simulations!$J13="",1000,Simulations!$J13))+1))))</f>
        <v>3.14992198914448</v>
      </c>
      <c r="E13" s="0" t="n">
        <f aca="false">IF(NOT(AND(Simulations!$A13&lt;&gt;"",OR(Simulations!$AL13&lt;&gt;"",N(Simulations!$AN13)&gt;0))),0,MAX(N(Simulations!$AO13),N(Simulations!$AP13),N(Simulations!$AQ13))/IF(Simulations!$J13="",1000,Simulations!$J13))</f>
        <v>1</v>
      </c>
      <c r="F13" s="0" t="n">
        <f aca="false">IF(OR(NOT(AND(Simulations!$A13&lt;&gt;"",OR(Simulations!$AL13&lt;&gt;"",N(Simulations!$AN13)&gt;0))),N(Simulations!$AM13)&lt;=0),0,SQRT(2*Simulations!$AM13*1000000/(IF(Simulations!$J13="",1000,Simulations!$J13)*1000))/MIN(IF(Simulations!$T13="",200,Simulations!$T13),IF(Simulations!$U13="",200,Simulations!$U13),IF(Simulations!$V13="",200,Simulations!$V13)))</f>
        <v>0.0418330013267038</v>
      </c>
      <c r="G13" s="0" t="n">
        <f aca="false">IF(AND(Simulations!$A13&lt;&gt;"",OR(Simulations!$AL13&lt;&gt;"",N(Simulations!$AN13)&gt;0)),1,0)</f>
        <v>1</v>
      </c>
      <c r="H13" s="0" t="n">
        <f aca="false">IF(OR(NOT(AND(Simulations!$A13&lt;&gt;"",OR(Simulations!$BD13&lt;&gt;"",N(Simulations!$BF13)&gt;0))),N(Simulations!$BG13)&lt;=0,N(Simulations!$BF13)&lt;=0,1&gt;N(IF(Simulations!$O13="",1,Simulations!$O13))),0,IF(Simulations!$BG13&lt;IF(Simulations!$J13="",1000,Simulations!$J13),Simulations!$BF13/(IF(Simulations!$G13="",5000,Simulations!$G13)*IF(Simulations!$H13="",5000,Simulations!$H13)*IF(IF(Simulations!$I13="",5000,Simulations!$I13)&gt;0,IF(Simulations!$I13="",5000,Simulations!$I13),1))*Simulations!$BG13*(PI()/2*IF(Simulations!$T13="",200,Simulations!$T13)^2*IF(IF(Simulations!$I13="",5000,Simulations!$I13)&gt;0,SQRT(PI()/2)*IF(Simulations!$W13="",1000,Simulations!$W13),1)),Simulations!$BF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T13="",200,Simulations!$T13)^2*IF(Simulations!$W13="",1000,Simulations!$W13)/2^1.5*(2/3*LN(Simulations!$BG13/IF(Simulations!$J13="",1000,Simulations!$J13))^1.5+SQRT(LN(Simulations!$BG13/IF(Simulations!$J13="",1000,Simulations!$J13)))+Simulations!$BG13/IF(Simulations!$J13="",1000,Simulations!$J13)*SQRT(PI())/2*ERFC(SQRT(LN(Simulations!$BG13/IF(Simulations!$J13="",1000,Simulations!$J13))))),PI()*IF(Simulations!$T13="",200,Simulations!$T13)^2/2*(LN(Simulations!$BG13/IF(Simulations!$J13="",1000,Simulations!$J13))+1))))</f>
        <v>6.29984397828897</v>
      </c>
      <c r="I13" s="0" t="n">
        <f aca="false">IF(OR(NOT(AND(Simulations!$A13&lt;&gt;"",OR(Simulations!$BD13&lt;&gt;"",N(Simulations!$BF13)&gt;0))),N(Simulations!$BH13)&lt;=0,N(Simulations!$BF13)&lt;=0,2&gt;N(IF(Simulations!$O13="",1,Simulations!$O13))),0,IF(Simulations!$BH13&lt;IF(Simulations!$J13="",1000,Simulations!$J13),Simulations!$BF13/(IF(Simulations!$G13="",5000,Simulations!$G13)*IF(Simulations!$H13="",5000,Simulations!$H13)*IF(IF(Simulations!$I13="",5000,Simulations!$I13)&gt;0,IF(Simulations!$I13="",5000,Simulations!$I13),1))*Simulations!$BH13*(PI()/2*IF(Simulations!$U13="",200,Simulations!$U13)^2*IF(IF(Simulations!$I13="",5000,Simulations!$I13)&gt;0,SQRT(PI()/2)*IF(Simulations!$X13="",1000,Simulations!$X13),1)),Simulations!$BF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U13="",200,Simulations!$U13)^2*IF(Simulations!$X13="",1000,Simulations!$X13)/2^1.5*(2/3*LN(Simulations!$BH13/IF(Simulations!$J13="",1000,Simulations!$J13))^1.5+SQRT(LN(Simulations!$BH13/IF(Simulations!$J13="",1000,Simulations!$J13)))+Simulations!$BH13/IF(Simulations!$J13="",1000,Simulations!$J13)*SQRT(PI())/2*ERFC(SQRT(LN(Simulations!$BH13/IF(Simulations!$J13="",1000,Simulations!$J13))))),PI()*IF(Simulations!$U13="",200,Simulations!$U13)^2/2*(LN(Simulations!$BH13/IF(Simulations!$J13="",1000,Simulations!$J13))+1))))</f>
        <v>0</v>
      </c>
      <c r="J13" s="0" t="n">
        <f aca="false">IF(OR(NOT(AND(Simulations!$A13&lt;&gt;"",OR(Simulations!$BD13&lt;&gt;"",N(Simulations!$BF13)&gt;0))),N(Simulations!$BI13)&lt;=0,N(Simulations!$BF13)&lt;=0,3&gt;N(IF(Simulations!$O13="",1,Simulations!$O13))),0,IF(Simulations!$BI13&lt;IF(Simulations!$J13="",1000,Simulations!$J13),Simulations!$BF13/(IF(Simulations!$G13="",5000,Simulations!$G13)*IF(Simulations!$H13="",5000,Simulations!$H13)*IF(IF(Simulations!$I13="",5000,Simulations!$I13)&gt;0,IF(Simulations!$I13="",5000,Simulations!$I13),1))*Simulations!$BI13*(PI()/2*IF(Simulations!$V13="",200,Simulations!$V13)^2*IF(IF(Simulations!$I13="",5000,Simulations!$I13)&gt;0,SQRT(PI()/2)*IF(Simulations!$Y13="",1000,Simulations!$Y13),1)),Simulations!$BF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V13="",200,Simulations!$V13)^2*IF(Simulations!$Y13="",1000,Simulations!$Y13)/2^1.5*(2/3*LN(Simulations!$BI13/IF(Simulations!$J13="",1000,Simulations!$J13))^1.5+SQRT(LN(Simulations!$BI13/IF(Simulations!$J13="",1000,Simulations!$J13)))+Simulations!$BI13/IF(Simulations!$J13="",1000,Simulations!$J13)*SQRT(PI())/2*ERFC(SQRT(LN(Simulations!$BI13/IF(Simulations!$J13="",1000,Simulations!$J13))))),PI()*IF(Simulations!$V13="",200,Simulations!$V13)^2/2*(LN(Simulations!$BI13/IF(Simulations!$J13="",1000,Simulations!$J13))+1))))</f>
        <v>3.14992198914448</v>
      </c>
      <c r="K13" s="0" t="n">
        <f aca="false">IF(NOT(AND(Simulations!$A13&lt;&gt;"",OR(Simulations!$BD13&lt;&gt;"",N(Simulations!$BF13)&gt;0))),0,MAX(N(Simulations!$BG13),N(Simulations!$BH13),N(Simulations!$BI13))/IF(Simulations!$J13="",1000,Simulations!$J13))</f>
        <v>1</v>
      </c>
      <c r="L13" s="0" t="n">
        <f aca="false">IF(OR(NOT(AND(Simulations!$A13&lt;&gt;"",OR(Simulations!$BD13&lt;&gt;"",N(Simulations!$BF13)&gt;0))),N(Simulations!$BE13)&lt;=0),0,SQRT(2*Simulations!$BE13*1000000/(IF(Simulations!$J13="",1000,Simulations!$J13)*1000))/MIN(IF(Simulations!$T13="",200,Simulations!$T13),IF(Simulations!$U13="",200,Simulations!$U13),IF(Simulations!$V13="",200,Simulations!$V13)))</f>
        <v>0.0418330013267038</v>
      </c>
      <c r="M13" s="0" t="n">
        <f aca="false">IF(AND(Simulations!$A13&lt;&gt;"",OR(Simulations!$BD13&lt;&gt;"",N(Simulations!$BF13)&gt;0)),1,0)</f>
        <v>1</v>
      </c>
      <c r="N13" s="0" t="n">
        <f aca="false">IF(OR(NOT(AND(Simulations!$A13&lt;&gt;"",OR(Simulations!$BV13&lt;&gt;"",N(Simulations!$BX13)&gt;0))),N(Simulations!$BY13)&lt;=0,N(Simulations!$BX13)&lt;=0,1&gt;N(IF(Simulations!$O13="",1,Simulations!$O13))),0,IF(Simulations!$BY13&lt;IF(Simulations!$J13="",1000,Simulations!$J13),Simulations!$BX13/(IF(Simulations!$G13="",5000,Simulations!$G13)*IF(Simulations!$H13="",5000,Simulations!$H13)*IF(IF(Simulations!$I13="",5000,Simulations!$I13)&gt;0,IF(Simulations!$I13="",5000,Simulations!$I13),1))*Simulations!$BY13*(PI()/2*IF(Simulations!$T13="",200,Simulations!$T13)^2*IF(IF(Simulations!$I13="",5000,Simulations!$I13)&gt;0,SQRT(PI()/2)*IF(Simulations!$W13="",1000,Simulations!$W13),1)),Simulations!$BX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T13="",200,Simulations!$T13)^2*IF(Simulations!$W13="",1000,Simulations!$W13)/2^1.5*(2/3*LN(Simulations!$BY13/IF(Simulations!$J13="",1000,Simulations!$J13))^1.5+SQRT(LN(Simulations!$BY13/IF(Simulations!$J13="",1000,Simulations!$J13)))+Simulations!$BY13/IF(Simulations!$J13="",1000,Simulations!$J13)*SQRT(PI())/2*ERFC(SQRT(LN(Simulations!$BY13/IF(Simulations!$J13="",1000,Simulations!$J13))))),PI()*IF(Simulations!$T13="",200,Simulations!$T13)^2/2*(LN(Simulations!$BY13/IF(Simulations!$J13="",1000,Simulations!$J13))+1))))</f>
        <v>11.6648746605853</v>
      </c>
      <c r="O13" s="0" t="n">
        <f aca="false">IF(OR(NOT(AND(Simulations!$A13&lt;&gt;"",OR(Simulations!$BV13&lt;&gt;"",N(Simulations!$BX13)&gt;0))),N(Simulations!$BZ13)&lt;=0,N(Simulations!$BX13)&lt;=0,2&gt;N(IF(Simulations!$O13="",1,Simulations!$O13))),0,IF(Simulations!$BZ13&lt;IF(Simulations!$J13="",1000,Simulations!$J13),Simulations!$BX13/(IF(Simulations!$G13="",5000,Simulations!$G13)*IF(Simulations!$H13="",5000,Simulations!$H13)*IF(IF(Simulations!$I13="",5000,Simulations!$I13)&gt;0,IF(Simulations!$I13="",5000,Simulations!$I13),1))*Simulations!$BZ13*(PI()/2*IF(Simulations!$U13="",200,Simulations!$U13)^2*IF(IF(Simulations!$I13="",5000,Simulations!$I13)&gt;0,SQRT(PI()/2)*IF(Simulations!$X13="",1000,Simulations!$X13),1)),Simulations!$BX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U13="",200,Simulations!$U13)^2*IF(Simulations!$X13="",1000,Simulations!$X13)/2^1.5*(2/3*LN(Simulations!$BZ13/IF(Simulations!$J13="",1000,Simulations!$J13))^1.5+SQRT(LN(Simulations!$BZ13/IF(Simulations!$J13="",1000,Simulations!$J13)))+Simulations!$BZ13/IF(Simulations!$J13="",1000,Simulations!$J13)*SQRT(PI())/2*ERFC(SQRT(LN(Simulations!$BZ13/IF(Simulations!$J13="",1000,Simulations!$J13))))),PI()*IF(Simulations!$U13="",200,Simulations!$U13)^2/2*(LN(Simulations!$BZ13/IF(Simulations!$J13="",1000,Simulations!$J13))+1))))</f>
        <v>4.40989078480228</v>
      </c>
      <c r="P13" s="0" t="n">
        <f aca="false">IF(OR(NOT(AND(Simulations!$A13&lt;&gt;"",OR(Simulations!$BV13&lt;&gt;"",N(Simulations!$BX13)&gt;0))),N(Simulations!$CA13)&lt;=0,N(Simulations!$BX13)&lt;=0,3&gt;N(IF(Simulations!$O13="",1,Simulations!$O13))),0,IF(Simulations!$CA13&lt;IF(Simulations!$J13="",1000,Simulations!$J13),Simulations!$BX13/(IF(Simulations!$G13="",5000,Simulations!$G13)*IF(Simulations!$H13="",5000,Simulations!$H13)*IF(IF(Simulations!$I13="",5000,Simulations!$I13)&gt;0,IF(Simulations!$I13="",5000,Simulations!$I13),1))*Simulations!$CA13*(PI()/2*IF(Simulations!$V13="",200,Simulations!$V13)^2*IF(IF(Simulations!$I13="",5000,Simulations!$I13)&gt;0,SQRT(PI()/2)*IF(Simulations!$Y13="",1000,Simulations!$Y13),1)),Simulations!$BX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V13="",200,Simulations!$V13)^2*IF(Simulations!$Y13="",1000,Simulations!$Y13)/2^1.5*(2/3*LN(Simulations!$CA13/IF(Simulations!$J13="",1000,Simulations!$J13))^1.5+SQRT(LN(Simulations!$CA13/IF(Simulations!$J13="",1000,Simulations!$J13)))+Simulations!$CA13/IF(Simulations!$J13="",1000,Simulations!$J13)*SQRT(PI())/2*ERFC(SQRT(LN(Simulations!$CA13/IF(Simulations!$J13="",1000,Simulations!$J13))))),PI()*IF(Simulations!$V13="",200,Simulations!$V13)^2/2*(LN(Simulations!$CA13/IF(Simulations!$J13="",1000,Simulations!$J13))+1))))</f>
        <v>0</v>
      </c>
      <c r="Q13" s="0" t="n">
        <f aca="false">IF(NOT(AND(Simulations!$A13&lt;&gt;"",OR(Simulations!$BV13&lt;&gt;"",N(Simulations!$BX13)&gt;0))),0,MAX(N(Simulations!$BY13),N(Simulations!$BZ13),N(Simulations!$CA13))/IF(Simulations!$J13="",1000,Simulations!$J13))</f>
        <v>2</v>
      </c>
      <c r="R13" s="0" t="n">
        <f aca="false">IF(OR(NOT(AND(Simulations!$A13&lt;&gt;"",OR(Simulations!$BV13&lt;&gt;"",N(Simulations!$BX13)&gt;0))),N(Simulations!$BW13)&lt;=0),0,SQRT(2*Simulations!$BW13*1000000/(IF(Simulations!$J13="",1000,Simulations!$J13)*1000))/MIN(IF(Simulations!$T13="",200,Simulations!$T13),IF(Simulations!$U13="",200,Simulations!$U13),IF(Simulations!$V13="",200,Simulations!$V13)))</f>
        <v>0.0418330013267038</v>
      </c>
      <c r="S13" s="0" t="n">
        <f aca="false">IF(AND(Simulations!$A13&lt;&gt;"",OR(Simulations!$BV13&lt;&gt;"",N(Simulations!$BX13)&gt;0)),1,0)</f>
        <v>1</v>
      </c>
      <c r="T13" s="0" t="n">
        <f aca="false">IF(OR(NOT(AND(Simulations!$A13&lt;&gt;"",OR(Simulations!$CN13&lt;&gt;"",N(Simulations!$CP13)&gt;0))),N(Simulations!$CQ13)&lt;=0,N(Simulations!$CP13)&lt;=0,1&gt;N(IF(Simulations!$O13="",1,Simulations!$O13))),0,IF(Simulations!$CQ13&lt;IF(Simulations!$J13="",1000,Simulations!$J13),Simulations!$CP13/(IF(Simulations!$G13="",5000,Simulations!$G13)*IF(Simulations!$H13="",5000,Simulations!$H13)*IF(IF(Simulations!$I13="",5000,Simulations!$I13)&gt;0,IF(Simulations!$I13="",5000,Simulations!$I13),1))*Simulations!$CQ13*(PI()/2*IF(Simulations!$T13="",200,Simulations!$T13)^2*IF(IF(Simulations!$I13="",5000,Simulations!$I13)&gt;0,SQRT(PI()/2)*IF(Simulations!$W13="",1000,Simulations!$W13),1)),Simulations!$CP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T13="",200,Simulations!$T13)^2*IF(Simulations!$W13="",1000,Simulations!$W13)/2^1.5*(2/3*LN(Simulations!$CQ13/IF(Simulations!$J13="",1000,Simulations!$J13))^1.5+SQRT(LN(Simulations!$CQ13/IF(Simulations!$J13="",1000,Simulations!$J13)))+Simulations!$CQ13/IF(Simulations!$J13="",1000,Simulations!$J13)*SQRT(PI())/2*ERFC(SQRT(LN(Simulations!$CQ13/IF(Simulations!$J13="",1000,Simulations!$J13))))),PI()*IF(Simulations!$T13="",200,Simulations!$T13)^2/2*(LN(Simulations!$CQ13/IF(Simulations!$J13="",1000,Simulations!$J13))+1))))</f>
        <v>0</v>
      </c>
      <c r="U13" s="0" t="n">
        <f aca="false">IF(OR(NOT(AND(Simulations!$A13&lt;&gt;"",OR(Simulations!$CN13&lt;&gt;"",N(Simulations!$CP13)&gt;0))),N(Simulations!$CR13)&lt;=0,N(Simulations!$CP13)&lt;=0,2&gt;N(IF(Simulations!$O13="",1,Simulations!$O13))),0,IF(Simulations!$CR13&lt;IF(Simulations!$J13="",1000,Simulations!$J13),Simulations!$CP13/(IF(Simulations!$G13="",5000,Simulations!$G13)*IF(Simulations!$H13="",5000,Simulations!$H13)*IF(IF(Simulations!$I13="",5000,Simulations!$I13)&gt;0,IF(Simulations!$I13="",5000,Simulations!$I13),1))*Simulations!$CR13*(PI()/2*IF(Simulations!$U13="",200,Simulations!$U13)^2*IF(IF(Simulations!$I13="",5000,Simulations!$I13)&gt;0,SQRT(PI()/2)*IF(Simulations!$X13="",1000,Simulations!$X13),1)),Simulations!$CP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U13="",200,Simulations!$U13)^2*IF(Simulations!$X13="",1000,Simulations!$X13)/2^1.5*(2/3*LN(Simulations!$CR13/IF(Simulations!$J13="",1000,Simulations!$J13))^1.5+SQRT(LN(Simulations!$CR13/IF(Simulations!$J13="",1000,Simulations!$J13)))+Simulations!$CR13/IF(Simulations!$J13="",1000,Simulations!$J13)*SQRT(PI())/2*ERFC(SQRT(LN(Simulations!$CR13/IF(Simulations!$J13="",1000,Simulations!$J13))))),PI()*IF(Simulations!$U13="",200,Simulations!$U13)^2/2*(LN(Simulations!$CR13/IF(Simulations!$J13="",1000,Simulations!$J13))+1))))</f>
        <v>0</v>
      </c>
      <c r="V13" s="0" t="n">
        <f aca="false">IF(OR(NOT(AND(Simulations!$A13&lt;&gt;"",OR(Simulations!$CN13&lt;&gt;"",N(Simulations!$CP13)&gt;0))),N(Simulations!$CS13)&lt;=0,N(Simulations!$CP13)&lt;=0,3&gt;N(IF(Simulations!$O13="",1,Simulations!$O13))),0,IF(Simulations!$CS13&lt;IF(Simulations!$J13="",1000,Simulations!$J13),Simulations!$CP13/(IF(Simulations!$G13="",5000,Simulations!$G13)*IF(Simulations!$H13="",5000,Simulations!$H13)*IF(IF(Simulations!$I13="",5000,Simulations!$I13)&gt;0,IF(Simulations!$I13="",5000,Simulations!$I13),1))*Simulations!$CS13*(PI()/2*IF(Simulations!$V13="",200,Simulations!$V13)^2*IF(IF(Simulations!$I13="",5000,Simulations!$I13)&gt;0,SQRT(PI()/2)*IF(Simulations!$Y13="",1000,Simulations!$Y13),1)),Simulations!$CP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V13="",200,Simulations!$V13)^2*IF(Simulations!$Y13="",1000,Simulations!$Y13)/2^1.5*(2/3*LN(Simulations!$CS13/IF(Simulations!$J13="",1000,Simulations!$J13))^1.5+SQRT(LN(Simulations!$CS13/IF(Simulations!$J13="",1000,Simulations!$J13)))+Simulations!$CS13/IF(Simulations!$J13="",1000,Simulations!$J13)*SQRT(PI())/2*ERFC(SQRT(LN(Simulations!$CS13/IF(Simulations!$J13="",1000,Simulations!$J13))))),PI()*IF(Simulations!$V13="",200,Simulations!$V13)^2/2*(LN(Simulations!$CS13/IF(Simulations!$J13="",1000,Simulations!$J13))+1))))</f>
        <v>0</v>
      </c>
      <c r="W13" s="0" t="n">
        <f aca="false">IF(NOT(AND(Simulations!$A13&lt;&gt;"",OR(Simulations!$CN13&lt;&gt;"",N(Simulations!$CP13)&gt;0))),0,MAX(N(Simulations!$CQ13),N(Simulations!$CR13),N(Simulations!$CS13))/IF(Simulations!$J13="",1000,Simulations!$J13))</f>
        <v>0</v>
      </c>
      <c r="X13" s="0" t="n">
        <f aca="false">IF(OR(NOT(AND(Simulations!$A13&lt;&gt;"",OR(Simulations!$CN13&lt;&gt;"",N(Simulations!$CP13)&gt;0))),N(Simulations!$CO13)&lt;=0),0,SQRT(2*Simulations!$CO13*1000000/(IF(Simulations!$J13="",1000,Simulations!$J13)*1000))/MIN(IF(Simulations!$T13="",200,Simulations!$T13),IF(Simulations!$U13="",200,Simulations!$U13),IF(Simulations!$V13="",200,Simulations!$V13)))</f>
        <v>0</v>
      </c>
      <c r="Y13" s="0" t="n">
        <f aca="false">IF(AND(Simulations!$A13&lt;&gt;"",OR(Simulations!$CN13&lt;&gt;"",N(Simulations!$CP13)&gt;0)),1,0)</f>
        <v>0</v>
      </c>
      <c r="Z13" s="0" t="n">
        <f aca="false">IF(OR(NOT(AND(Simulations!$A13&lt;&gt;"",OR(Simulations!$DF13&lt;&gt;"",N(Simulations!$DH13)&gt;0))),N(Simulations!$DI13)&lt;=0,N(Simulations!$DH13)&lt;=0,1&gt;N(IF(Simulations!$O13="",1,Simulations!$O13))),0,IF(Simulations!$DI13&lt;IF(Simulations!$J13="",1000,Simulations!$J13),Simulations!$DH13/(IF(Simulations!$G13="",5000,Simulations!$G13)*IF(Simulations!$H13="",5000,Simulations!$H13)*IF(IF(Simulations!$I13="",5000,Simulations!$I13)&gt;0,IF(Simulations!$I13="",5000,Simulations!$I13),1))*Simulations!$DI13*(PI()/2*IF(Simulations!$T13="",200,Simulations!$T13)^2*IF(IF(Simulations!$I13="",5000,Simulations!$I13)&gt;0,SQRT(PI()/2)*IF(Simulations!$W13="",1000,Simulations!$W13),1)),Simulations!$DH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T13="",200,Simulations!$T13)^2*IF(Simulations!$W13="",1000,Simulations!$W13)/2^1.5*(2/3*LN(Simulations!$DI13/IF(Simulations!$J13="",1000,Simulations!$J13))^1.5+SQRT(LN(Simulations!$DI13/IF(Simulations!$J13="",1000,Simulations!$J13)))+Simulations!$DI13/IF(Simulations!$J13="",1000,Simulations!$J13)*SQRT(PI())/2*ERFC(SQRT(LN(Simulations!$DI13/IF(Simulations!$J13="",1000,Simulations!$J13))))),PI()*IF(Simulations!$T13="",200,Simulations!$T13)^2/2*(LN(Simulations!$DI13/IF(Simulations!$J13="",1000,Simulations!$J13))+1))))</f>
        <v>0</v>
      </c>
      <c r="AA13" s="0" t="n">
        <f aca="false">IF(OR(NOT(AND(Simulations!$A13&lt;&gt;"",OR(Simulations!$DF13&lt;&gt;"",N(Simulations!$DH13)&gt;0))),N(Simulations!$DJ13)&lt;=0,N(Simulations!$DH13)&lt;=0,2&gt;N(IF(Simulations!$O13="",1,Simulations!$O13))),0,IF(Simulations!$DJ13&lt;IF(Simulations!$J13="",1000,Simulations!$J13),Simulations!$DH13/(IF(Simulations!$G13="",5000,Simulations!$G13)*IF(Simulations!$H13="",5000,Simulations!$H13)*IF(IF(Simulations!$I13="",5000,Simulations!$I13)&gt;0,IF(Simulations!$I13="",5000,Simulations!$I13),1))*Simulations!$DJ13*(PI()/2*IF(Simulations!$U13="",200,Simulations!$U13)^2*IF(IF(Simulations!$I13="",5000,Simulations!$I13)&gt;0,SQRT(PI()/2)*IF(Simulations!$X13="",1000,Simulations!$X13),1)),Simulations!$DH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U13="",200,Simulations!$U13)^2*IF(Simulations!$X13="",1000,Simulations!$X13)/2^1.5*(2/3*LN(Simulations!$DJ13/IF(Simulations!$J13="",1000,Simulations!$J13))^1.5+SQRT(LN(Simulations!$DJ13/IF(Simulations!$J13="",1000,Simulations!$J13)))+Simulations!$DJ13/IF(Simulations!$J13="",1000,Simulations!$J13)*SQRT(PI())/2*ERFC(SQRT(LN(Simulations!$DJ13/IF(Simulations!$J13="",1000,Simulations!$J13))))),PI()*IF(Simulations!$U13="",200,Simulations!$U13)^2/2*(LN(Simulations!$DJ13/IF(Simulations!$J13="",1000,Simulations!$J13))+1))))</f>
        <v>0</v>
      </c>
      <c r="AB13" s="0" t="n">
        <f aca="false">IF(OR(NOT(AND(Simulations!$A13&lt;&gt;"",OR(Simulations!$DF13&lt;&gt;"",N(Simulations!$DH13)&gt;0))),N(Simulations!$DK13)&lt;=0,N(Simulations!$DH13)&lt;=0,3&gt;N(IF(Simulations!$O13="",1,Simulations!$O13))),0,IF(Simulations!$DK13&lt;IF(Simulations!$J13="",1000,Simulations!$J13),Simulations!$DH13/(IF(Simulations!$G13="",5000,Simulations!$G13)*IF(Simulations!$H13="",5000,Simulations!$H13)*IF(IF(Simulations!$I13="",5000,Simulations!$I13)&gt;0,IF(Simulations!$I13="",5000,Simulations!$I13),1))*Simulations!$DK13*(PI()/2*IF(Simulations!$V13="",200,Simulations!$V13)^2*IF(IF(Simulations!$I13="",5000,Simulations!$I13)&gt;0,SQRT(PI()/2)*IF(Simulations!$Y13="",1000,Simulations!$Y13),1)),Simulations!$DH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V13="",200,Simulations!$V13)^2*IF(Simulations!$Y13="",1000,Simulations!$Y13)/2^1.5*(2/3*LN(Simulations!$DK13/IF(Simulations!$J13="",1000,Simulations!$J13))^1.5+SQRT(LN(Simulations!$DK13/IF(Simulations!$J13="",1000,Simulations!$J13)))+Simulations!$DK13/IF(Simulations!$J13="",1000,Simulations!$J13)*SQRT(PI())/2*ERFC(SQRT(LN(Simulations!$DK13/IF(Simulations!$J13="",1000,Simulations!$J13))))),PI()*IF(Simulations!$V13="",200,Simulations!$V13)^2/2*(LN(Simulations!$DK13/IF(Simulations!$J13="",1000,Simulations!$J13))+1))))</f>
        <v>0</v>
      </c>
      <c r="AC13" s="0" t="n">
        <f aca="false">IF(NOT(AND(Simulations!$A13&lt;&gt;"",OR(Simulations!$DF13&lt;&gt;"",N(Simulations!$DH13)&gt;0))),0,MAX(N(Simulations!$DI13),N(Simulations!$DJ13),N(Simulations!$DK13))/IF(Simulations!$J13="",1000,Simulations!$J13))</f>
        <v>0</v>
      </c>
      <c r="AD13" s="0" t="n">
        <f aca="false">IF(OR(NOT(AND(Simulations!$A13&lt;&gt;"",OR(Simulations!$DF13&lt;&gt;"",N(Simulations!$DH13)&gt;0))),N(Simulations!$DG13)&lt;=0),0,SQRT(2*Simulations!$DG13*1000000/(IF(Simulations!$J13="",1000,Simulations!$J13)*1000))/MIN(IF(Simulations!$T13="",200,Simulations!$T13),IF(Simulations!$U13="",200,Simulations!$U13),IF(Simulations!$V13="",200,Simulations!$V13)))</f>
        <v>0</v>
      </c>
      <c r="AE13" s="0" t="n">
        <f aca="false">IF(AND(Simulations!$A13&lt;&gt;"",OR(Simulations!$DF13&lt;&gt;"",N(Simulations!$DH13)&gt;0)),1,0)</f>
        <v>0</v>
      </c>
      <c r="AF13" s="0" t="n">
        <f aca="false">IF(OR(NOT(AND(Simulations!$A13&lt;&gt;"",OR(Simulations!$DX13&lt;&gt;"",N(Simulations!$DZ13)&gt;0))),N(Simulations!$EA13)&lt;=0,N(Simulations!$DZ13)&lt;=0,1&gt;N(IF(Simulations!$O13="",1,Simulations!$O13))),0,IF(Simulations!$EA13&lt;IF(Simulations!$J13="",1000,Simulations!$J13),Simulations!$DZ13/(IF(Simulations!$G13="",5000,Simulations!$G13)*IF(Simulations!$H13="",5000,Simulations!$H13)*IF(IF(Simulations!$I13="",5000,Simulations!$I13)&gt;0,IF(Simulations!$I13="",5000,Simulations!$I13),1))*Simulations!$EA13*(PI()/2*IF(Simulations!$T13="",200,Simulations!$T13)^2*IF(IF(Simulations!$I13="",5000,Simulations!$I13)&gt;0,SQRT(PI()/2)*IF(Simulations!$W13="",1000,Simulations!$W13),1)),Simulations!$DZ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T13="",200,Simulations!$T13)^2*IF(Simulations!$W13="",1000,Simulations!$W13)/2^1.5*(2/3*LN(Simulations!$EA13/IF(Simulations!$J13="",1000,Simulations!$J13))^1.5+SQRT(LN(Simulations!$EA13/IF(Simulations!$J13="",1000,Simulations!$J13)))+Simulations!$EA13/IF(Simulations!$J13="",1000,Simulations!$J13)*SQRT(PI())/2*ERFC(SQRT(LN(Simulations!$EA13/IF(Simulations!$J13="",1000,Simulations!$J13))))),PI()*IF(Simulations!$T13="",200,Simulations!$T13)^2/2*(LN(Simulations!$EA13/IF(Simulations!$J13="",1000,Simulations!$J13))+1))))</f>
        <v>0</v>
      </c>
      <c r="AG13" s="0" t="n">
        <f aca="false">IF(OR(NOT(AND(Simulations!$A13&lt;&gt;"",OR(Simulations!$DX13&lt;&gt;"",N(Simulations!$DZ13)&gt;0))),N(Simulations!$EB13)&lt;=0,N(Simulations!$DZ13)&lt;=0,2&gt;N(IF(Simulations!$O13="",1,Simulations!$O13))),0,IF(Simulations!$EB13&lt;IF(Simulations!$J13="",1000,Simulations!$J13),Simulations!$DZ13/(IF(Simulations!$G13="",5000,Simulations!$G13)*IF(Simulations!$H13="",5000,Simulations!$H13)*IF(IF(Simulations!$I13="",5000,Simulations!$I13)&gt;0,IF(Simulations!$I13="",5000,Simulations!$I13),1))*Simulations!$EB13*(PI()/2*IF(Simulations!$U13="",200,Simulations!$U13)^2*IF(IF(Simulations!$I13="",5000,Simulations!$I13)&gt;0,SQRT(PI()/2)*IF(Simulations!$X13="",1000,Simulations!$X13),1)),Simulations!$DZ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U13="",200,Simulations!$U13)^2*IF(Simulations!$X13="",1000,Simulations!$X13)/2^1.5*(2/3*LN(Simulations!$EB13/IF(Simulations!$J13="",1000,Simulations!$J13))^1.5+SQRT(LN(Simulations!$EB13/IF(Simulations!$J13="",1000,Simulations!$J13)))+Simulations!$EB13/IF(Simulations!$J13="",1000,Simulations!$J13)*SQRT(PI())/2*ERFC(SQRT(LN(Simulations!$EB13/IF(Simulations!$J13="",1000,Simulations!$J13))))),PI()*IF(Simulations!$U13="",200,Simulations!$U13)^2/2*(LN(Simulations!$EB13/IF(Simulations!$J13="",1000,Simulations!$J13))+1))))</f>
        <v>0</v>
      </c>
      <c r="AH13" s="0" t="n">
        <f aca="false">IF(OR(NOT(AND(Simulations!$A13&lt;&gt;"",OR(Simulations!$DX13&lt;&gt;"",N(Simulations!$DZ13)&gt;0))),N(Simulations!$EC13)&lt;=0,N(Simulations!$DZ13)&lt;=0,3&gt;N(IF(Simulations!$O13="",1,Simulations!$O13))),0,IF(Simulations!$EC13&lt;IF(Simulations!$J13="",1000,Simulations!$J13),Simulations!$DZ13/(IF(Simulations!$G13="",5000,Simulations!$G13)*IF(Simulations!$H13="",5000,Simulations!$H13)*IF(IF(Simulations!$I13="",5000,Simulations!$I13)&gt;0,IF(Simulations!$I13="",5000,Simulations!$I13),1))*Simulations!$EC13*(PI()/2*IF(Simulations!$V13="",200,Simulations!$V13)^2*IF(IF(Simulations!$I13="",5000,Simulations!$I13)&gt;0,SQRT(PI()/2)*IF(Simulations!$Y13="",1000,Simulations!$Y13),1)),Simulations!$DZ13/(IF(Simulations!$G13="",5000,Simulations!$G13)*IF(Simulations!$H13="",5000,Simulations!$H13)*IF(IF(Simulations!$I13="",5000,Simulations!$I13)&gt;0,IF(Simulations!$I13="",5000,Simulations!$I13),1))*IF(Simulations!$J13="",1000,Simulations!$J13)*IF(IF(Simulations!$I13="",5000,Simulations!$I13)&gt;0,2*PI()*IF(Simulations!$V13="",200,Simulations!$V13)^2*IF(Simulations!$Y13="",1000,Simulations!$Y13)/2^1.5*(2/3*LN(Simulations!$EC13/IF(Simulations!$J13="",1000,Simulations!$J13))^1.5+SQRT(LN(Simulations!$EC13/IF(Simulations!$J13="",1000,Simulations!$J13)))+Simulations!$EC13/IF(Simulations!$J13="",1000,Simulations!$J13)*SQRT(PI())/2*ERFC(SQRT(LN(Simulations!$EC13/IF(Simulations!$J13="",1000,Simulations!$J13))))),PI()*IF(Simulations!$V13="",200,Simulations!$V13)^2/2*(LN(Simulations!$EC13/IF(Simulations!$J13="",1000,Simulations!$J13))+1))))</f>
        <v>0</v>
      </c>
      <c r="AI13" s="0" t="n">
        <f aca="false">IF(NOT(AND(Simulations!$A13&lt;&gt;"",OR(Simulations!$DX13&lt;&gt;"",N(Simulations!$DZ13)&gt;0))),0,MAX(N(Simulations!$EA13),N(Simulations!$EB13),N(Simulations!$EC13))/IF(Simulations!$J13="",1000,Simulations!$J13))</f>
        <v>0</v>
      </c>
      <c r="AJ13" s="0" t="n">
        <f aca="false">IF(OR(NOT(AND(Simulations!$A13&lt;&gt;"",OR(Simulations!$DX13&lt;&gt;"",N(Simulations!$DZ13)&gt;0))),N(Simulations!$DY13)&lt;=0),0,SQRT(2*Simulations!$DY13*1000000/(IF(Simulations!$J13="",1000,Simulations!$J13)*1000))/MIN(IF(Simulations!$T13="",200,Simulations!$T13),IF(Simulations!$U13="",200,Simulations!$U13),IF(Simulations!$V13="",200,Simulations!$V13)))</f>
        <v>0</v>
      </c>
      <c r="AK13" s="0" t="n">
        <f aca="false">IF(AND(Simulations!$A13&lt;&gt;"",OR(Simulations!$DX13&lt;&gt;"",N(Simulations!$DZ13)&gt;0)),1,0)</f>
        <v>0</v>
      </c>
    </row>
    <row r="14" customFormat="false" ht="15" hidden="false" customHeight="false" outlineLevel="0" collapsed="false">
      <c r="B14" s="0" t="n">
        <f aca="false">IF(OR(NOT(AND(Simulations!$A14&lt;&gt;"",OR(Simulations!$AL14&lt;&gt;"",N(Simulations!$AN14)&gt;0))),N(Simulations!$AO14)&lt;=0,N(Simulations!$AN14)&lt;=0,1&gt;N(IF(Simulations!$O14="",1,Simulations!$O14))),0,IF(Simulations!$AO14&lt;IF(Simulations!$J14="",1000,Simulations!$J14),Simulations!$AN14/(IF(Simulations!$G14="",5000,Simulations!$G14)*IF(Simulations!$H14="",5000,Simulations!$H14)*IF(IF(Simulations!$I14="",5000,Simulations!$I14)&gt;0,IF(Simulations!$I14="",5000,Simulations!$I14),1))*Simulations!$AO14*(PI()/2*IF(Simulations!$T14="",200,Simulations!$T14)^2*IF(IF(Simulations!$I14="",5000,Simulations!$I14)&gt;0,SQRT(PI()/2)*IF(Simulations!$W14="",1000,Simulations!$W14),1)),Simulations!$AN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T14="",200,Simulations!$T14)^2*IF(Simulations!$W14="",1000,Simulations!$W14)/2^1.5*(2/3*LN(Simulations!$AO14/IF(Simulations!$J14="",1000,Simulations!$J14))^1.5+SQRT(LN(Simulations!$AO14/IF(Simulations!$J14="",1000,Simulations!$J14)))+Simulations!$AO14/IF(Simulations!$J14="",1000,Simulations!$J14)*SQRT(PI())/2*ERFC(SQRT(LN(Simulations!$AO14/IF(Simulations!$J14="",1000,Simulations!$J14))))),PI()*IF(Simulations!$T14="",200,Simulations!$T14)^2/2*(LN(Simulations!$AO14/IF(Simulations!$J14="",1000,Simulations!$J14))+1))))</f>
        <v>629.984397828897</v>
      </c>
      <c r="C14" s="0" t="n">
        <f aca="false">IF(OR(NOT(AND(Simulations!$A14&lt;&gt;"",OR(Simulations!$AL14&lt;&gt;"",N(Simulations!$AN14)&gt;0))),N(Simulations!$AP14)&lt;=0,N(Simulations!$AN14)&lt;=0,2&gt;N(IF(Simulations!$O14="",1,Simulations!$O14))),0,IF(Simulations!$AP14&lt;IF(Simulations!$J14="",1000,Simulations!$J14),Simulations!$AN14/(IF(Simulations!$G14="",5000,Simulations!$G14)*IF(Simulations!$H14="",5000,Simulations!$H14)*IF(IF(Simulations!$I14="",5000,Simulations!$I14)&gt;0,IF(Simulations!$I14="",5000,Simulations!$I14),1))*Simulations!$AP14*(PI()/2*IF(Simulations!$U14="",200,Simulations!$U14)^2*IF(IF(Simulations!$I14="",5000,Simulations!$I14)&gt;0,SQRT(PI()/2)*IF(Simulations!$X14="",1000,Simulations!$X14),1)),Simulations!$AN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U14="",200,Simulations!$U14)^2*IF(Simulations!$X14="",1000,Simulations!$X14)/2^1.5*(2/3*LN(Simulations!$AP14/IF(Simulations!$J14="",1000,Simulations!$J14))^1.5+SQRT(LN(Simulations!$AP14/IF(Simulations!$J14="",1000,Simulations!$J14)))+Simulations!$AP14/IF(Simulations!$J14="",1000,Simulations!$J14)*SQRT(PI())/2*ERFC(SQRT(LN(Simulations!$AP14/IF(Simulations!$J14="",1000,Simulations!$J14))))),PI()*IF(Simulations!$U14="",200,Simulations!$U14)^2/2*(LN(Simulations!$AP14/IF(Simulations!$J14="",1000,Simulations!$J14))+1))))</f>
        <v>440.989078480228</v>
      </c>
      <c r="D14" s="0" t="n">
        <f aca="false">IF(OR(NOT(AND(Simulations!$A14&lt;&gt;"",OR(Simulations!$AL14&lt;&gt;"",N(Simulations!$AN14)&gt;0))),N(Simulations!$AQ14)&lt;=0,N(Simulations!$AN14)&lt;=0,3&gt;N(IF(Simulations!$O14="",1,Simulations!$O14))),0,IF(Simulations!$AQ14&lt;IF(Simulations!$J14="",1000,Simulations!$J14),Simulations!$AN14/(IF(Simulations!$G14="",5000,Simulations!$G14)*IF(Simulations!$H14="",5000,Simulations!$H14)*IF(IF(Simulations!$I14="",5000,Simulations!$I14)&gt;0,IF(Simulations!$I14="",5000,Simulations!$I14),1))*Simulations!$AQ14*(PI()/2*IF(Simulations!$V14="",200,Simulations!$V14)^2*IF(IF(Simulations!$I14="",5000,Simulations!$I14)&gt;0,SQRT(PI()/2)*IF(Simulations!$Y14="",1000,Simulations!$Y14),1)),Simulations!$AN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V14="",200,Simulations!$V14)^2*IF(Simulations!$Y14="",1000,Simulations!$Y14)/2^1.5*(2/3*LN(Simulations!$AQ14/IF(Simulations!$J14="",1000,Simulations!$J14))^1.5+SQRT(LN(Simulations!$AQ14/IF(Simulations!$J14="",1000,Simulations!$J14)))+Simulations!$AQ14/IF(Simulations!$J14="",1000,Simulations!$J14)*SQRT(PI())/2*ERFC(SQRT(LN(Simulations!$AQ14/IF(Simulations!$J14="",1000,Simulations!$J14))))),PI()*IF(Simulations!$V14="",200,Simulations!$V14)^2/2*(LN(Simulations!$AQ14/IF(Simulations!$J14="",1000,Simulations!$J14))+1))))</f>
        <v>314.992198914448</v>
      </c>
      <c r="E14" s="0" t="n">
        <f aca="false">IF(NOT(AND(Simulations!$A14&lt;&gt;"",OR(Simulations!$AL14&lt;&gt;"",N(Simulations!$AN14)&gt;0))),0,MAX(N(Simulations!$AO14),N(Simulations!$AP14),N(Simulations!$AQ14))/IF(Simulations!$J14="",1000,Simulations!$J14))</f>
        <v>1</v>
      </c>
      <c r="F14" s="0" t="n">
        <f aca="false">IF(OR(NOT(AND(Simulations!$A14&lt;&gt;"",OR(Simulations!$AL14&lt;&gt;"",N(Simulations!$AN14)&gt;0))),N(Simulations!$AM14)&lt;=0),0,SQRT(2*Simulations!$AM14*1000000/(IF(Simulations!$J14="",1000,Simulations!$J14)*1000))/MIN(IF(Simulations!$T14="",200,Simulations!$T14),IF(Simulations!$U14="",200,Simulations!$U14),IF(Simulations!$V14="",200,Simulations!$V14)))</f>
        <v>0.0418330013267038</v>
      </c>
      <c r="G14" s="0" t="n">
        <f aca="false">IF(AND(Simulations!$A14&lt;&gt;"",OR(Simulations!$AL14&lt;&gt;"",N(Simulations!$AN14)&gt;0)),1,0)</f>
        <v>1</v>
      </c>
      <c r="H14" s="0" t="n">
        <f aca="false">IF(OR(NOT(AND(Simulations!$A14&lt;&gt;"",OR(Simulations!$BD14&lt;&gt;"",N(Simulations!$BF14)&gt;0))),N(Simulations!$BG14)&lt;=0,N(Simulations!$BF14)&lt;=0,1&gt;N(IF(Simulations!$O14="",1,Simulations!$O14))),0,IF(Simulations!$BG14&lt;IF(Simulations!$J14="",1000,Simulations!$J14),Simulations!$BF14/(IF(Simulations!$G14="",5000,Simulations!$G14)*IF(Simulations!$H14="",5000,Simulations!$H14)*IF(IF(Simulations!$I14="",5000,Simulations!$I14)&gt;0,IF(Simulations!$I14="",5000,Simulations!$I14),1))*Simulations!$BG14*(PI()/2*IF(Simulations!$T14="",200,Simulations!$T14)^2*IF(IF(Simulations!$I14="",5000,Simulations!$I14)&gt;0,SQRT(PI()/2)*IF(Simulations!$W14="",1000,Simulations!$W14),1)),Simulations!$BF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T14="",200,Simulations!$T14)^2*IF(Simulations!$W14="",1000,Simulations!$W14)/2^1.5*(2/3*LN(Simulations!$BG14/IF(Simulations!$J14="",1000,Simulations!$J14))^1.5+SQRT(LN(Simulations!$BG14/IF(Simulations!$J14="",1000,Simulations!$J14)))+Simulations!$BG14/IF(Simulations!$J14="",1000,Simulations!$J14)*SQRT(PI())/2*ERFC(SQRT(LN(Simulations!$BG14/IF(Simulations!$J14="",1000,Simulations!$J14))))),PI()*IF(Simulations!$T14="",200,Simulations!$T14)^2/2*(LN(Simulations!$BG14/IF(Simulations!$J14="",1000,Simulations!$J14))+1))))</f>
        <v>629.984397828897</v>
      </c>
      <c r="I14" s="0" t="n">
        <f aca="false">IF(OR(NOT(AND(Simulations!$A14&lt;&gt;"",OR(Simulations!$BD14&lt;&gt;"",N(Simulations!$BF14)&gt;0))),N(Simulations!$BH14)&lt;=0,N(Simulations!$BF14)&lt;=0,2&gt;N(IF(Simulations!$O14="",1,Simulations!$O14))),0,IF(Simulations!$BH14&lt;IF(Simulations!$J14="",1000,Simulations!$J14),Simulations!$BF14/(IF(Simulations!$G14="",5000,Simulations!$G14)*IF(Simulations!$H14="",5000,Simulations!$H14)*IF(IF(Simulations!$I14="",5000,Simulations!$I14)&gt;0,IF(Simulations!$I14="",5000,Simulations!$I14),1))*Simulations!$BH14*(PI()/2*IF(Simulations!$U14="",200,Simulations!$U14)^2*IF(IF(Simulations!$I14="",5000,Simulations!$I14)&gt;0,SQRT(PI()/2)*IF(Simulations!$X14="",1000,Simulations!$X14),1)),Simulations!$BF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U14="",200,Simulations!$U14)^2*IF(Simulations!$X14="",1000,Simulations!$X14)/2^1.5*(2/3*LN(Simulations!$BH14/IF(Simulations!$J14="",1000,Simulations!$J14))^1.5+SQRT(LN(Simulations!$BH14/IF(Simulations!$J14="",1000,Simulations!$J14)))+Simulations!$BH14/IF(Simulations!$J14="",1000,Simulations!$J14)*SQRT(PI())/2*ERFC(SQRT(LN(Simulations!$BH14/IF(Simulations!$J14="",1000,Simulations!$J14))))),PI()*IF(Simulations!$U14="",200,Simulations!$U14)^2/2*(LN(Simulations!$BH14/IF(Simulations!$J14="",1000,Simulations!$J14))+1))))</f>
        <v>0</v>
      </c>
      <c r="J14" s="0" t="n">
        <f aca="false">IF(OR(NOT(AND(Simulations!$A14&lt;&gt;"",OR(Simulations!$BD14&lt;&gt;"",N(Simulations!$BF14)&gt;0))),N(Simulations!$BI14)&lt;=0,N(Simulations!$BF14)&lt;=0,3&gt;N(IF(Simulations!$O14="",1,Simulations!$O14))),0,IF(Simulations!$BI14&lt;IF(Simulations!$J14="",1000,Simulations!$J14),Simulations!$BF14/(IF(Simulations!$G14="",5000,Simulations!$G14)*IF(Simulations!$H14="",5000,Simulations!$H14)*IF(IF(Simulations!$I14="",5000,Simulations!$I14)&gt;0,IF(Simulations!$I14="",5000,Simulations!$I14),1))*Simulations!$BI14*(PI()/2*IF(Simulations!$V14="",200,Simulations!$V14)^2*IF(IF(Simulations!$I14="",5000,Simulations!$I14)&gt;0,SQRT(PI()/2)*IF(Simulations!$Y14="",1000,Simulations!$Y14),1)),Simulations!$BF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V14="",200,Simulations!$V14)^2*IF(Simulations!$Y14="",1000,Simulations!$Y14)/2^1.5*(2/3*LN(Simulations!$BI14/IF(Simulations!$J14="",1000,Simulations!$J14))^1.5+SQRT(LN(Simulations!$BI14/IF(Simulations!$J14="",1000,Simulations!$J14)))+Simulations!$BI14/IF(Simulations!$J14="",1000,Simulations!$J14)*SQRT(PI())/2*ERFC(SQRT(LN(Simulations!$BI14/IF(Simulations!$J14="",1000,Simulations!$J14))))),PI()*IF(Simulations!$V14="",200,Simulations!$V14)^2/2*(LN(Simulations!$BI14/IF(Simulations!$J14="",1000,Simulations!$J14))+1))))</f>
        <v>314.992198914448</v>
      </c>
      <c r="K14" s="0" t="n">
        <f aca="false">IF(NOT(AND(Simulations!$A14&lt;&gt;"",OR(Simulations!$BD14&lt;&gt;"",N(Simulations!$BF14)&gt;0))),0,MAX(N(Simulations!$BG14),N(Simulations!$BH14),N(Simulations!$BI14))/IF(Simulations!$J14="",1000,Simulations!$J14))</f>
        <v>1</v>
      </c>
      <c r="L14" s="0" t="n">
        <f aca="false">IF(OR(NOT(AND(Simulations!$A14&lt;&gt;"",OR(Simulations!$BD14&lt;&gt;"",N(Simulations!$BF14)&gt;0))),N(Simulations!$BE14)&lt;=0),0,SQRT(2*Simulations!$BE14*1000000/(IF(Simulations!$J14="",1000,Simulations!$J14)*1000))/MIN(IF(Simulations!$T14="",200,Simulations!$T14),IF(Simulations!$U14="",200,Simulations!$U14),IF(Simulations!$V14="",200,Simulations!$V14)))</f>
        <v>0.0418330013267038</v>
      </c>
      <c r="M14" s="0" t="n">
        <f aca="false">IF(AND(Simulations!$A14&lt;&gt;"",OR(Simulations!$BD14&lt;&gt;"",N(Simulations!$BF14)&gt;0)),1,0)</f>
        <v>1</v>
      </c>
      <c r="N14" s="0" t="n">
        <f aca="false">IF(OR(NOT(AND(Simulations!$A14&lt;&gt;"",OR(Simulations!$BV14&lt;&gt;"",N(Simulations!$BX14)&gt;0))),N(Simulations!$BY14)&lt;=0,N(Simulations!$BX14)&lt;=0,1&gt;N(IF(Simulations!$O14="",1,Simulations!$O14))),0,IF(Simulations!$BY14&lt;IF(Simulations!$J14="",1000,Simulations!$J14),Simulations!$BX14/(IF(Simulations!$G14="",5000,Simulations!$G14)*IF(Simulations!$H14="",5000,Simulations!$H14)*IF(IF(Simulations!$I14="",5000,Simulations!$I14)&gt;0,IF(Simulations!$I14="",5000,Simulations!$I14),1))*Simulations!$BY14*(PI()/2*IF(Simulations!$T14="",200,Simulations!$T14)^2*IF(IF(Simulations!$I14="",5000,Simulations!$I14)&gt;0,SQRT(PI()/2)*IF(Simulations!$W14="",1000,Simulations!$W14),1)),Simulations!$BX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T14="",200,Simulations!$T14)^2*IF(Simulations!$W14="",1000,Simulations!$W14)/2^1.5*(2/3*LN(Simulations!$BY14/IF(Simulations!$J14="",1000,Simulations!$J14))^1.5+SQRT(LN(Simulations!$BY14/IF(Simulations!$J14="",1000,Simulations!$J14)))+Simulations!$BY14/IF(Simulations!$J14="",1000,Simulations!$J14)*SQRT(PI())/2*ERFC(SQRT(LN(Simulations!$BY14/IF(Simulations!$J14="",1000,Simulations!$J14))))),PI()*IF(Simulations!$T14="",200,Simulations!$T14)^2/2*(LN(Simulations!$BY14/IF(Simulations!$J14="",1000,Simulations!$J14))+1))))</f>
        <v>1166.48746605853</v>
      </c>
      <c r="O14" s="0" t="n">
        <f aca="false">IF(OR(NOT(AND(Simulations!$A14&lt;&gt;"",OR(Simulations!$BV14&lt;&gt;"",N(Simulations!$BX14)&gt;0))),N(Simulations!$BZ14)&lt;=0,N(Simulations!$BX14)&lt;=0,2&gt;N(IF(Simulations!$O14="",1,Simulations!$O14))),0,IF(Simulations!$BZ14&lt;IF(Simulations!$J14="",1000,Simulations!$J14),Simulations!$BX14/(IF(Simulations!$G14="",5000,Simulations!$G14)*IF(Simulations!$H14="",5000,Simulations!$H14)*IF(IF(Simulations!$I14="",5000,Simulations!$I14)&gt;0,IF(Simulations!$I14="",5000,Simulations!$I14),1))*Simulations!$BZ14*(PI()/2*IF(Simulations!$U14="",200,Simulations!$U14)^2*IF(IF(Simulations!$I14="",5000,Simulations!$I14)&gt;0,SQRT(PI()/2)*IF(Simulations!$X14="",1000,Simulations!$X14),1)),Simulations!$BX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U14="",200,Simulations!$U14)^2*IF(Simulations!$X14="",1000,Simulations!$X14)/2^1.5*(2/3*LN(Simulations!$BZ14/IF(Simulations!$J14="",1000,Simulations!$J14))^1.5+SQRT(LN(Simulations!$BZ14/IF(Simulations!$J14="",1000,Simulations!$J14)))+Simulations!$BZ14/IF(Simulations!$J14="",1000,Simulations!$J14)*SQRT(PI())/2*ERFC(SQRT(LN(Simulations!$BZ14/IF(Simulations!$J14="",1000,Simulations!$J14))))),PI()*IF(Simulations!$U14="",200,Simulations!$U14)^2/2*(LN(Simulations!$BZ14/IF(Simulations!$J14="",1000,Simulations!$J14))+1))))</f>
        <v>440.989078480228</v>
      </c>
      <c r="P14" s="0" t="n">
        <f aca="false">IF(OR(NOT(AND(Simulations!$A14&lt;&gt;"",OR(Simulations!$BV14&lt;&gt;"",N(Simulations!$BX14)&gt;0))),N(Simulations!$CA14)&lt;=0,N(Simulations!$BX14)&lt;=0,3&gt;N(IF(Simulations!$O14="",1,Simulations!$O14))),0,IF(Simulations!$CA14&lt;IF(Simulations!$J14="",1000,Simulations!$J14),Simulations!$BX14/(IF(Simulations!$G14="",5000,Simulations!$G14)*IF(Simulations!$H14="",5000,Simulations!$H14)*IF(IF(Simulations!$I14="",5000,Simulations!$I14)&gt;0,IF(Simulations!$I14="",5000,Simulations!$I14),1))*Simulations!$CA14*(PI()/2*IF(Simulations!$V14="",200,Simulations!$V14)^2*IF(IF(Simulations!$I14="",5000,Simulations!$I14)&gt;0,SQRT(PI()/2)*IF(Simulations!$Y14="",1000,Simulations!$Y14),1)),Simulations!$BX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V14="",200,Simulations!$V14)^2*IF(Simulations!$Y14="",1000,Simulations!$Y14)/2^1.5*(2/3*LN(Simulations!$CA14/IF(Simulations!$J14="",1000,Simulations!$J14))^1.5+SQRT(LN(Simulations!$CA14/IF(Simulations!$J14="",1000,Simulations!$J14)))+Simulations!$CA14/IF(Simulations!$J14="",1000,Simulations!$J14)*SQRT(PI())/2*ERFC(SQRT(LN(Simulations!$CA14/IF(Simulations!$J14="",1000,Simulations!$J14))))),PI()*IF(Simulations!$V14="",200,Simulations!$V14)^2/2*(LN(Simulations!$CA14/IF(Simulations!$J14="",1000,Simulations!$J14))+1))))</f>
        <v>0</v>
      </c>
      <c r="Q14" s="0" t="n">
        <f aca="false">IF(NOT(AND(Simulations!$A14&lt;&gt;"",OR(Simulations!$BV14&lt;&gt;"",N(Simulations!$BX14)&gt;0))),0,MAX(N(Simulations!$BY14),N(Simulations!$BZ14),N(Simulations!$CA14))/IF(Simulations!$J14="",1000,Simulations!$J14))</f>
        <v>2</v>
      </c>
      <c r="R14" s="0" t="n">
        <f aca="false">IF(OR(NOT(AND(Simulations!$A14&lt;&gt;"",OR(Simulations!$BV14&lt;&gt;"",N(Simulations!$BX14)&gt;0))),N(Simulations!$BW14)&lt;=0),0,SQRT(2*Simulations!$BW14*1000000/(IF(Simulations!$J14="",1000,Simulations!$J14)*1000))/MIN(IF(Simulations!$T14="",200,Simulations!$T14),IF(Simulations!$U14="",200,Simulations!$U14),IF(Simulations!$V14="",200,Simulations!$V14)))</f>
        <v>0.0418330013267038</v>
      </c>
      <c r="S14" s="0" t="n">
        <f aca="false">IF(AND(Simulations!$A14&lt;&gt;"",OR(Simulations!$BV14&lt;&gt;"",N(Simulations!$BX14)&gt;0)),1,0)</f>
        <v>1</v>
      </c>
      <c r="T14" s="0" t="n">
        <f aca="false">IF(OR(NOT(AND(Simulations!$A14&lt;&gt;"",OR(Simulations!$CN14&lt;&gt;"",N(Simulations!$CP14)&gt;0))),N(Simulations!$CQ14)&lt;=0,N(Simulations!$CP14)&lt;=0,1&gt;N(IF(Simulations!$O14="",1,Simulations!$O14))),0,IF(Simulations!$CQ14&lt;IF(Simulations!$J14="",1000,Simulations!$J14),Simulations!$CP14/(IF(Simulations!$G14="",5000,Simulations!$G14)*IF(Simulations!$H14="",5000,Simulations!$H14)*IF(IF(Simulations!$I14="",5000,Simulations!$I14)&gt;0,IF(Simulations!$I14="",5000,Simulations!$I14),1))*Simulations!$CQ14*(PI()/2*IF(Simulations!$T14="",200,Simulations!$T14)^2*IF(IF(Simulations!$I14="",5000,Simulations!$I14)&gt;0,SQRT(PI()/2)*IF(Simulations!$W14="",1000,Simulations!$W14),1)),Simulations!$CP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T14="",200,Simulations!$T14)^2*IF(Simulations!$W14="",1000,Simulations!$W14)/2^1.5*(2/3*LN(Simulations!$CQ14/IF(Simulations!$J14="",1000,Simulations!$J14))^1.5+SQRT(LN(Simulations!$CQ14/IF(Simulations!$J14="",1000,Simulations!$J14)))+Simulations!$CQ14/IF(Simulations!$J14="",1000,Simulations!$J14)*SQRT(PI())/2*ERFC(SQRT(LN(Simulations!$CQ14/IF(Simulations!$J14="",1000,Simulations!$J14))))),PI()*IF(Simulations!$T14="",200,Simulations!$T14)^2/2*(LN(Simulations!$CQ14/IF(Simulations!$J14="",1000,Simulations!$J14))+1))))</f>
        <v>0</v>
      </c>
      <c r="U14" s="0" t="n">
        <f aca="false">IF(OR(NOT(AND(Simulations!$A14&lt;&gt;"",OR(Simulations!$CN14&lt;&gt;"",N(Simulations!$CP14)&gt;0))),N(Simulations!$CR14)&lt;=0,N(Simulations!$CP14)&lt;=0,2&gt;N(IF(Simulations!$O14="",1,Simulations!$O14))),0,IF(Simulations!$CR14&lt;IF(Simulations!$J14="",1000,Simulations!$J14),Simulations!$CP14/(IF(Simulations!$G14="",5000,Simulations!$G14)*IF(Simulations!$H14="",5000,Simulations!$H14)*IF(IF(Simulations!$I14="",5000,Simulations!$I14)&gt;0,IF(Simulations!$I14="",5000,Simulations!$I14),1))*Simulations!$CR14*(PI()/2*IF(Simulations!$U14="",200,Simulations!$U14)^2*IF(IF(Simulations!$I14="",5000,Simulations!$I14)&gt;0,SQRT(PI()/2)*IF(Simulations!$X14="",1000,Simulations!$X14),1)),Simulations!$CP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U14="",200,Simulations!$U14)^2*IF(Simulations!$X14="",1000,Simulations!$X14)/2^1.5*(2/3*LN(Simulations!$CR14/IF(Simulations!$J14="",1000,Simulations!$J14))^1.5+SQRT(LN(Simulations!$CR14/IF(Simulations!$J14="",1000,Simulations!$J14)))+Simulations!$CR14/IF(Simulations!$J14="",1000,Simulations!$J14)*SQRT(PI())/2*ERFC(SQRT(LN(Simulations!$CR14/IF(Simulations!$J14="",1000,Simulations!$J14))))),PI()*IF(Simulations!$U14="",200,Simulations!$U14)^2/2*(LN(Simulations!$CR14/IF(Simulations!$J14="",1000,Simulations!$J14))+1))))</f>
        <v>0</v>
      </c>
      <c r="V14" s="0" t="n">
        <f aca="false">IF(OR(NOT(AND(Simulations!$A14&lt;&gt;"",OR(Simulations!$CN14&lt;&gt;"",N(Simulations!$CP14)&gt;0))),N(Simulations!$CS14)&lt;=0,N(Simulations!$CP14)&lt;=0,3&gt;N(IF(Simulations!$O14="",1,Simulations!$O14))),0,IF(Simulations!$CS14&lt;IF(Simulations!$J14="",1000,Simulations!$J14),Simulations!$CP14/(IF(Simulations!$G14="",5000,Simulations!$G14)*IF(Simulations!$H14="",5000,Simulations!$H14)*IF(IF(Simulations!$I14="",5000,Simulations!$I14)&gt;0,IF(Simulations!$I14="",5000,Simulations!$I14),1))*Simulations!$CS14*(PI()/2*IF(Simulations!$V14="",200,Simulations!$V14)^2*IF(IF(Simulations!$I14="",5000,Simulations!$I14)&gt;0,SQRT(PI()/2)*IF(Simulations!$Y14="",1000,Simulations!$Y14),1)),Simulations!$CP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V14="",200,Simulations!$V14)^2*IF(Simulations!$Y14="",1000,Simulations!$Y14)/2^1.5*(2/3*LN(Simulations!$CS14/IF(Simulations!$J14="",1000,Simulations!$J14))^1.5+SQRT(LN(Simulations!$CS14/IF(Simulations!$J14="",1000,Simulations!$J14)))+Simulations!$CS14/IF(Simulations!$J14="",1000,Simulations!$J14)*SQRT(PI())/2*ERFC(SQRT(LN(Simulations!$CS14/IF(Simulations!$J14="",1000,Simulations!$J14))))),PI()*IF(Simulations!$V14="",200,Simulations!$V14)^2/2*(LN(Simulations!$CS14/IF(Simulations!$J14="",1000,Simulations!$J14))+1))))</f>
        <v>0</v>
      </c>
      <c r="W14" s="0" t="n">
        <f aca="false">IF(NOT(AND(Simulations!$A14&lt;&gt;"",OR(Simulations!$CN14&lt;&gt;"",N(Simulations!$CP14)&gt;0))),0,MAX(N(Simulations!$CQ14),N(Simulations!$CR14),N(Simulations!$CS14))/IF(Simulations!$J14="",1000,Simulations!$J14))</f>
        <v>0</v>
      </c>
      <c r="X14" s="0" t="n">
        <f aca="false">IF(OR(NOT(AND(Simulations!$A14&lt;&gt;"",OR(Simulations!$CN14&lt;&gt;"",N(Simulations!$CP14)&gt;0))),N(Simulations!$CO14)&lt;=0),0,SQRT(2*Simulations!$CO14*1000000/(IF(Simulations!$J14="",1000,Simulations!$J14)*1000))/MIN(IF(Simulations!$T14="",200,Simulations!$T14),IF(Simulations!$U14="",200,Simulations!$U14),IF(Simulations!$V14="",200,Simulations!$V14)))</f>
        <v>0</v>
      </c>
      <c r="Y14" s="0" t="n">
        <f aca="false">IF(AND(Simulations!$A14&lt;&gt;"",OR(Simulations!$CN14&lt;&gt;"",N(Simulations!$CP14)&gt;0)),1,0)</f>
        <v>0</v>
      </c>
      <c r="Z14" s="0" t="n">
        <f aca="false">IF(OR(NOT(AND(Simulations!$A14&lt;&gt;"",OR(Simulations!$DF14&lt;&gt;"",N(Simulations!$DH14)&gt;0))),N(Simulations!$DI14)&lt;=0,N(Simulations!$DH14)&lt;=0,1&gt;N(IF(Simulations!$O14="",1,Simulations!$O14))),0,IF(Simulations!$DI14&lt;IF(Simulations!$J14="",1000,Simulations!$J14),Simulations!$DH14/(IF(Simulations!$G14="",5000,Simulations!$G14)*IF(Simulations!$H14="",5000,Simulations!$H14)*IF(IF(Simulations!$I14="",5000,Simulations!$I14)&gt;0,IF(Simulations!$I14="",5000,Simulations!$I14),1))*Simulations!$DI14*(PI()/2*IF(Simulations!$T14="",200,Simulations!$T14)^2*IF(IF(Simulations!$I14="",5000,Simulations!$I14)&gt;0,SQRT(PI()/2)*IF(Simulations!$W14="",1000,Simulations!$W14),1)),Simulations!$DH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T14="",200,Simulations!$T14)^2*IF(Simulations!$W14="",1000,Simulations!$W14)/2^1.5*(2/3*LN(Simulations!$DI14/IF(Simulations!$J14="",1000,Simulations!$J14))^1.5+SQRT(LN(Simulations!$DI14/IF(Simulations!$J14="",1000,Simulations!$J14)))+Simulations!$DI14/IF(Simulations!$J14="",1000,Simulations!$J14)*SQRT(PI())/2*ERFC(SQRT(LN(Simulations!$DI14/IF(Simulations!$J14="",1000,Simulations!$J14))))),PI()*IF(Simulations!$T14="",200,Simulations!$T14)^2/2*(LN(Simulations!$DI14/IF(Simulations!$J14="",1000,Simulations!$J14))+1))))</f>
        <v>0</v>
      </c>
      <c r="AA14" s="0" t="n">
        <f aca="false">IF(OR(NOT(AND(Simulations!$A14&lt;&gt;"",OR(Simulations!$DF14&lt;&gt;"",N(Simulations!$DH14)&gt;0))),N(Simulations!$DJ14)&lt;=0,N(Simulations!$DH14)&lt;=0,2&gt;N(IF(Simulations!$O14="",1,Simulations!$O14))),0,IF(Simulations!$DJ14&lt;IF(Simulations!$J14="",1000,Simulations!$J14),Simulations!$DH14/(IF(Simulations!$G14="",5000,Simulations!$G14)*IF(Simulations!$H14="",5000,Simulations!$H14)*IF(IF(Simulations!$I14="",5000,Simulations!$I14)&gt;0,IF(Simulations!$I14="",5000,Simulations!$I14),1))*Simulations!$DJ14*(PI()/2*IF(Simulations!$U14="",200,Simulations!$U14)^2*IF(IF(Simulations!$I14="",5000,Simulations!$I14)&gt;0,SQRT(PI()/2)*IF(Simulations!$X14="",1000,Simulations!$X14),1)),Simulations!$DH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U14="",200,Simulations!$U14)^2*IF(Simulations!$X14="",1000,Simulations!$X14)/2^1.5*(2/3*LN(Simulations!$DJ14/IF(Simulations!$J14="",1000,Simulations!$J14))^1.5+SQRT(LN(Simulations!$DJ14/IF(Simulations!$J14="",1000,Simulations!$J14)))+Simulations!$DJ14/IF(Simulations!$J14="",1000,Simulations!$J14)*SQRT(PI())/2*ERFC(SQRT(LN(Simulations!$DJ14/IF(Simulations!$J14="",1000,Simulations!$J14))))),PI()*IF(Simulations!$U14="",200,Simulations!$U14)^2/2*(LN(Simulations!$DJ14/IF(Simulations!$J14="",1000,Simulations!$J14))+1))))</f>
        <v>0</v>
      </c>
      <c r="AB14" s="0" t="n">
        <f aca="false">IF(OR(NOT(AND(Simulations!$A14&lt;&gt;"",OR(Simulations!$DF14&lt;&gt;"",N(Simulations!$DH14)&gt;0))),N(Simulations!$DK14)&lt;=0,N(Simulations!$DH14)&lt;=0,3&gt;N(IF(Simulations!$O14="",1,Simulations!$O14))),0,IF(Simulations!$DK14&lt;IF(Simulations!$J14="",1000,Simulations!$J14),Simulations!$DH14/(IF(Simulations!$G14="",5000,Simulations!$G14)*IF(Simulations!$H14="",5000,Simulations!$H14)*IF(IF(Simulations!$I14="",5000,Simulations!$I14)&gt;0,IF(Simulations!$I14="",5000,Simulations!$I14),1))*Simulations!$DK14*(PI()/2*IF(Simulations!$V14="",200,Simulations!$V14)^2*IF(IF(Simulations!$I14="",5000,Simulations!$I14)&gt;0,SQRT(PI()/2)*IF(Simulations!$Y14="",1000,Simulations!$Y14),1)),Simulations!$DH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V14="",200,Simulations!$V14)^2*IF(Simulations!$Y14="",1000,Simulations!$Y14)/2^1.5*(2/3*LN(Simulations!$DK14/IF(Simulations!$J14="",1000,Simulations!$J14))^1.5+SQRT(LN(Simulations!$DK14/IF(Simulations!$J14="",1000,Simulations!$J14)))+Simulations!$DK14/IF(Simulations!$J14="",1000,Simulations!$J14)*SQRT(PI())/2*ERFC(SQRT(LN(Simulations!$DK14/IF(Simulations!$J14="",1000,Simulations!$J14))))),PI()*IF(Simulations!$V14="",200,Simulations!$V14)^2/2*(LN(Simulations!$DK14/IF(Simulations!$J14="",1000,Simulations!$J14))+1))))</f>
        <v>0</v>
      </c>
      <c r="AC14" s="0" t="n">
        <f aca="false">IF(NOT(AND(Simulations!$A14&lt;&gt;"",OR(Simulations!$DF14&lt;&gt;"",N(Simulations!$DH14)&gt;0))),0,MAX(N(Simulations!$DI14),N(Simulations!$DJ14),N(Simulations!$DK14))/IF(Simulations!$J14="",1000,Simulations!$J14))</f>
        <v>0</v>
      </c>
      <c r="AD14" s="0" t="n">
        <f aca="false">IF(OR(NOT(AND(Simulations!$A14&lt;&gt;"",OR(Simulations!$DF14&lt;&gt;"",N(Simulations!$DH14)&gt;0))),N(Simulations!$DG14)&lt;=0),0,SQRT(2*Simulations!$DG14*1000000/(IF(Simulations!$J14="",1000,Simulations!$J14)*1000))/MIN(IF(Simulations!$T14="",200,Simulations!$T14),IF(Simulations!$U14="",200,Simulations!$U14),IF(Simulations!$V14="",200,Simulations!$V14)))</f>
        <v>0</v>
      </c>
      <c r="AE14" s="0" t="n">
        <f aca="false">IF(AND(Simulations!$A14&lt;&gt;"",OR(Simulations!$DF14&lt;&gt;"",N(Simulations!$DH14)&gt;0)),1,0)</f>
        <v>0</v>
      </c>
      <c r="AF14" s="0" t="n">
        <f aca="false">IF(OR(NOT(AND(Simulations!$A14&lt;&gt;"",OR(Simulations!$DX14&lt;&gt;"",N(Simulations!$DZ14)&gt;0))),N(Simulations!$EA14)&lt;=0,N(Simulations!$DZ14)&lt;=0,1&gt;N(IF(Simulations!$O14="",1,Simulations!$O14))),0,IF(Simulations!$EA14&lt;IF(Simulations!$J14="",1000,Simulations!$J14),Simulations!$DZ14/(IF(Simulations!$G14="",5000,Simulations!$G14)*IF(Simulations!$H14="",5000,Simulations!$H14)*IF(IF(Simulations!$I14="",5000,Simulations!$I14)&gt;0,IF(Simulations!$I14="",5000,Simulations!$I14),1))*Simulations!$EA14*(PI()/2*IF(Simulations!$T14="",200,Simulations!$T14)^2*IF(IF(Simulations!$I14="",5000,Simulations!$I14)&gt;0,SQRT(PI()/2)*IF(Simulations!$W14="",1000,Simulations!$W14),1)),Simulations!$DZ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T14="",200,Simulations!$T14)^2*IF(Simulations!$W14="",1000,Simulations!$W14)/2^1.5*(2/3*LN(Simulations!$EA14/IF(Simulations!$J14="",1000,Simulations!$J14))^1.5+SQRT(LN(Simulations!$EA14/IF(Simulations!$J14="",1000,Simulations!$J14)))+Simulations!$EA14/IF(Simulations!$J14="",1000,Simulations!$J14)*SQRT(PI())/2*ERFC(SQRT(LN(Simulations!$EA14/IF(Simulations!$J14="",1000,Simulations!$J14))))),PI()*IF(Simulations!$T14="",200,Simulations!$T14)^2/2*(LN(Simulations!$EA14/IF(Simulations!$J14="",1000,Simulations!$J14))+1))))</f>
        <v>0</v>
      </c>
      <c r="AG14" s="0" t="n">
        <f aca="false">IF(OR(NOT(AND(Simulations!$A14&lt;&gt;"",OR(Simulations!$DX14&lt;&gt;"",N(Simulations!$DZ14)&gt;0))),N(Simulations!$EB14)&lt;=0,N(Simulations!$DZ14)&lt;=0,2&gt;N(IF(Simulations!$O14="",1,Simulations!$O14))),0,IF(Simulations!$EB14&lt;IF(Simulations!$J14="",1000,Simulations!$J14),Simulations!$DZ14/(IF(Simulations!$G14="",5000,Simulations!$G14)*IF(Simulations!$H14="",5000,Simulations!$H14)*IF(IF(Simulations!$I14="",5000,Simulations!$I14)&gt;0,IF(Simulations!$I14="",5000,Simulations!$I14),1))*Simulations!$EB14*(PI()/2*IF(Simulations!$U14="",200,Simulations!$U14)^2*IF(IF(Simulations!$I14="",5000,Simulations!$I14)&gt;0,SQRT(PI()/2)*IF(Simulations!$X14="",1000,Simulations!$X14),1)),Simulations!$DZ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U14="",200,Simulations!$U14)^2*IF(Simulations!$X14="",1000,Simulations!$X14)/2^1.5*(2/3*LN(Simulations!$EB14/IF(Simulations!$J14="",1000,Simulations!$J14))^1.5+SQRT(LN(Simulations!$EB14/IF(Simulations!$J14="",1000,Simulations!$J14)))+Simulations!$EB14/IF(Simulations!$J14="",1000,Simulations!$J14)*SQRT(PI())/2*ERFC(SQRT(LN(Simulations!$EB14/IF(Simulations!$J14="",1000,Simulations!$J14))))),PI()*IF(Simulations!$U14="",200,Simulations!$U14)^2/2*(LN(Simulations!$EB14/IF(Simulations!$J14="",1000,Simulations!$J14))+1))))</f>
        <v>0</v>
      </c>
      <c r="AH14" s="0" t="n">
        <f aca="false">IF(OR(NOT(AND(Simulations!$A14&lt;&gt;"",OR(Simulations!$DX14&lt;&gt;"",N(Simulations!$DZ14)&gt;0))),N(Simulations!$EC14)&lt;=0,N(Simulations!$DZ14)&lt;=0,3&gt;N(IF(Simulations!$O14="",1,Simulations!$O14))),0,IF(Simulations!$EC14&lt;IF(Simulations!$J14="",1000,Simulations!$J14),Simulations!$DZ14/(IF(Simulations!$G14="",5000,Simulations!$G14)*IF(Simulations!$H14="",5000,Simulations!$H14)*IF(IF(Simulations!$I14="",5000,Simulations!$I14)&gt;0,IF(Simulations!$I14="",5000,Simulations!$I14),1))*Simulations!$EC14*(PI()/2*IF(Simulations!$V14="",200,Simulations!$V14)^2*IF(IF(Simulations!$I14="",5000,Simulations!$I14)&gt;0,SQRT(PI()/2)*IF(Simulations!$Y14="",1000,Simulations!$Y14),1)),Simulations!$DZ14/(IF(Simulations!$G14="",5000,Simulations!$G14)*IF(Simulations!$H14="",5000,Simulations!$H14)*IF(IF(Simulations!$I14="",5000,Simulations!$I14)&gt;0,IF(Simulations!$I14="",5000,Simulations!$I14),1))*IF(Simulations!$J14="",1000,Simulations!$J14)*IF(IF(Simulations!$I14="",5000,Simulations!$I14)&gt;0,2*PI()*IF(Simulations!$V14="",200,Simulations!$V14)^2*IF(Simulations!$Y14="",1000,Simulations!$Y14)/2^1.5*(2/3*LN(Simulations!$EC14/IF(Simulations!$J14="",1000,Simulations!$J14))^1.5+SQRT(LN(Simulations!$EC14/IF(Simulations!$J14="",1000,Simulations!$J14)))+Simulations!$EC14/IF(Simulations!$J14="",1000,Simulations!$J14)*SQRT(PI())/2*ERFC(SQRT(LN(Simulations!$EC14/IF(Simulations!$J14="",1000,Simulations!$J14))))),PI()*IF(Simulations!$V14="",200,Simulations!$V14)^2/2*(LN(Simulations!$EC14/IF(Simulations!$J14="",1000,Simulations!$J14))+1))))</f>
        <v>0</v>
      </c>
      <c r="AI14" s="0" t="n">
        <f aca="false">IF(NOT(AND(Simulations!$A14&lt;&gt;"",OR(Simulations!$DX14&lt;&gt;"",N(Simulations!$DZ14)&gt;0))),0,MAX(N(Simulations!$EA14),N(Simulations!$EB14),N(Simulations!$EC14))/IF(Simulations!$J14="",1000,Simulations!$J14))</f>
        <v>0</v>
      </c>
      <c r="AJ14" s="0" t="n">
        <f aca="false">IF(OR(NOT(AND(Simulations!$A14&lt;&gt;"",OR(Simulations!$DX14&lt;&gt;"",N(Simulations!$DZ14)&gt;0))),N(Simulations!$DY14)&lt;=0),0,SQRT(2*Simulations!$DY14*1000000/(IF(Simulations!$J14="",1000,Simulations!$J14)*1000))/MIN(IF(Simulations!$T14="",200,Simulations!$T14),IF(Simulations!$U14="",200,Simulations!$U14),IF(Simulations!$V14="",200,Simulations!$V14)))</f>
        <v>0</v>
      </c>
      <c r="AK14" s="0" t="n">
        <f aca="false">IF(AND(Simulations!$A14&lt;&gt;"",OR(Simulations!$DX14&lt;&gt;"",N(Simulations!$DZ14)&gt;0)),1,0)</f>
        <v>0</v>
      </c>
    </row>
    <row r="15" customFormat="false" ht="15" hidden="false" customHeight="false" outlineLevel="0" collapsed="false">
      <c r="B15" s="0" t="n">
        <f aca="false">IF(OR(NOT(AND(Simulations!$A15&lt;&gt;"",OR(Simulations!$AL15&lt;&gt;"",N(Simulations!$AN15)&gt;0))),N(Simulations!$AO15)&lt;=0,N(Simulations!$AN15)&lt;=0,1&gt;N(IF(Simulations!$O15="",1,Simulations!$O15))),0,IF(Simulations!$AO15&lt;IF(Simulations!$J15="",1000,Simulations!$J15),Simulations!$AN15/(IF(Simulations!$G15="",5000,Simulations!$G15)*IF(Simulations!$H15="",5000,Simulations!$H15)*IF(IF(Simulations!$I15="",5000,Simulations!$I15)&gt;0,IF(Simulations!$I15="",5000,Simulations!$I15),1))*Simulations!$AO15*(PI()/2*IF(Simulations!$T15="",200,Simulations!$T15)^2*IF(IF(Simulations!$I15="",5000,Simulations!$I15)&gt;0,SQRT(PI()/2)*IF(Simulations!$W15="",1000,Simulations!$W15),1)),Simulations!$AN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T15="",200,Simulations!$T15)^2*IF(Simulations!$W15="",1000,Simulations!$W15)/2^1.5*(2/3*LN(Simulations!$AO15/IF(Simulations!$J15="",1000,Simulations!$J15))^1.5+SQRT(LN(Simulations!$AO15/IF(Simulations!$J15="",1000,Simulations!$J15)))+Simulations!$AO15/IF(Simulations!$J15="",1000,Simulations!$J15)*SQRT(PI())/2*ERFC(SQRT(LN(Simulations!$AO15/IF(Simulations!$J15="",1000,Simulations!$J15))))),PI()*IF(Simulations!$T15="",200,Simulations!$T15)^2/2*(LN(Simulations!$AO15/IF(Simulations!$J15="",1000,Simulations!$J15))+1))))</f>
        <v>587.065461762353</v>
      </c>
      <c r="C15" s="0" t="n">
        <f aca="false">IF(OR(NOT(AND(Simulations!$A15&lt;&gt;"",OR(Simulations!$AL15&lt;&gt;"",N(Simulations!$AN15)&gt;0))),N(Simulations!$AP15)&lt;=0,N(Simulations!$AN15)&lt;=0,2&gt;N(IF(Simulations!$O15="",1,Simulations!$O15))),0,IF(Simulations!$AP15&lt;IF(Simulations!$J15="",1000,Simulations!$J15),Simulations!$AN15/(IF(Simulations!$G15="",5000,Simulations!$G15)*IF(Simulations!$H15="",5000,Simulations!$H15)*IF(IF(Simulations!$I15="",5000,Simulations!$I15)&gt;0,IF(Simulations!$I15="",5000,Simulations!$I15),1))*Simulations!$AP15*(PI()/2*IF(Simulations!$U15="",200,Simulations!$U15)^2*IF(IF(Simulations!$I15="",5000,Simulations!$I15)&gt;0,SQRT(PI()/2)*IF(Simulations!$X15="",1000,Simulations!$X15),1)),Simulations!$AN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U15="",200,Simulations!$U15)^2*IF(Simulations!$X15="",1000,Simulations!$X15)/2^1.5*(2/3*LN(Simulations!$AP15/IF(Simulations!$J15="",1000,Simulations!$J15))^1.5+SQRT(LN(Simulations!$AP15/IF(Simulations!$J15="",1000,Simulations!$J15)))+Simulations!$AP15/IF(Simulations!$J15="",1000,Simulations!$J15)*SQRT(PI())/2*ERFC(SQRT(LN(Simulations!$AP15/IF(Simulations!$J15="",1000,Simulations!$J15))))),PI()*IF(Simulations!$U15="",200,Simulations!$U15)^2/2*(LN(Simulations!$AP15/IF(Simulations!$J15="",1000,Simulations!$J15))+1))))</f>
        <v>498.400644511572</v>
      </c>
      <c r="D15" s="0" t="n">
        <f aca="false">IF(OR(NOT(AND(Simulations!$A15&lt;&gt;"",OR(Simulations!$AL15&lt;&gt;"",N(Simulations!$AN15)&gt;0))),N(Simulations!$AQ15)&lt;=0,N(Simulations!$AN15)&lt;=0,3&gt;N(IF(Simulations!$O15="",1,Simulations!$O15))),0,IF(Simulations!$AQ15&lt;IF(Simulations!$J15="",1000,Simulations!$J15),Simulations!$AN15/(IF(Simulations!$G15="",5000,Simulations!$G15)*IF(Simulations!$H15="",5000,Simulations!$H15)*IF(IF(Simulations!$I15="",5000,Simulations!$I15)&gt;0,IF(Simulations!$I15="",5000,Simulations!$I15),1))*Simulations!$AQ15*(PI()/2*IF(Simulations!$V15="",200,Simulations!$V15)^2*IF(IF(Simulations!$I15="",5000,Simulations!$I15)&gt;0,SQRT(PI()/2)*IF(Simulations!$Y15="",1000,Simulations!$Y15),1)),Simulations!$AN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V15="",200,Simulations!$V15)^2*IF(Simulations!$Y15="",1000,Simulations!$Y15)/2^1.5*(2/3*LN(Simulations!$AQ15/IF(Simulations!$J15="",1000,Simulations!$J15))^1.5+SQRT(LN(Simulations!$AQ15/IF(Simulations!$J15="",1000,Simulations!$J15)))+Simulations!$AQ15/IF(Simulations!$J15="",1000,Simulations!$J15)*SQRT(PI())/2*ERFC(SQRT(LN(Simulations!$AQ15/IF(Simulations!$J15="",1000,Simulations!$J15))))),PI()*IF(Simulations!$V15="",200,Simulations!$V15)^2/2*(LN(Simulations!$AQ15/IF(Simulations!$J15="",1000,Simulations!$J15))+1))))</f>
        <v>419.747754151457</v>
      </c>
      <c r="E15" s="0" t="n">
        <f aca="false">IF(NOT(AND(Simulations!$A15&lt;&gt;"",OR(Simulations!$AL15&lt;&gt;"",N(Simulations!$AN15)&gt;0))),0,MAX(N(Simulations!$AO15),N(Simulations!$AP15),N(Simulations!$AQ15))/IF(Simulations!$J15="",1000,Simulations!$J15))</f>
        <v>10</v>
      </c>
      <c r="F15" s="0" t="n">
        <f aca="false">IF(OR(NOT(AND(Simulations!$A15&lt;&gt;"",OR(Simulations!$AL15&lt;&gt;"",N(Simulations!$AN15)&gt;0))),N(Simulations!$AM15)&lt;=0),0,SQRT(2*Simulations!$AM15*1000000/(IF(Simulations!$J15="",1000,Simulations!$J15)*1000))/MIN(IF(Simulations!$T15="",200,Simulations!$T15),IF(Simulations!$U15="",200,Simulations!$U15),IF(Simulations!$V15="",200,Simulations!$V15)))</f>
        <v>0.0418330013267038</v>
      </c>
      <c r="G15" s="0" t="n">
        <f aca="false">IF(AND(Simulations!$A15&lt;&gt;"",OR(Simulations!$AL15&lt;&gt;"",N(Simulations!$AN15)&gt;0)),1,0)</f>
        <v>1</v>
      </c>
      <c r="H15" s="0" t="n">
        <f aca="false">IF(OR(NOT(AND(Simulations!$A15&lt;&gt;"",OR(Simulations!$BD15&lt;&gt;"",N(Simulations!$BF15)&gt;0))),N(Simulations!$BG15)&lt;=0,N(Simulations!$BF15)&lt;=0,1&gt;N(IF(Simulations!$O15="",1,Simulations!$O15))),0,IF(Simulations!$BG15&lt;IF(Simulations!$J15="",1000,Simulations!$J15),Simulations!$BF15/(IF(Simulations!$G15="",5000,Simulations!$G15)*IF(Simulations!$H15="",5000,Simulations!$H15)*IF(IF(Simulations!$I15="",5000,Simulations!$I15)&gt;0,IF(Simulations!$I15="",5000,Simulations!$I15),1))*Simulations!$BG15*(PI()/2*IF(Simulations!$T15="",200,Simulations!$T15)^2*IF(IF(Simulations!$I15="",5000,Simulations!$I15)&gt;0,SQRT(PI()/2)*IF(Simulations!$W15="",1000,Simulations!$W15),1)),Simulations!$BF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T15="",200,Simulations!$T15)^2*IF(Simulations!$W15="",1000,Simulations!$W15)/2^1.5*(2/3*LN(Simulations!$BG15/IF(Simulations!$J15="",1000,Simulations!$J15))^1.5+SQRT(LN(Simulations!$BG15/IF(Simulations!$J15="",1000,Simulations!$J15)))+Simulations!$BG15/IF(Simulations!$J15="",1000,Simulations!$J15)*SQRT(PI())/2*ERFC(SQRT(LN(Simulations!$BG15/IF(Simulations!$J15="",1000,Simulations!$J15))))),PI()*IF(Simulations!$T15="",200,Simulations!$T15)^2/2*(LN(Simulations!$BG15/IF(Simulations!$J15="",1000,Simulations!$J15))+1))))</f>
        <v>5870.65461762353</v>
      </c>
      <c r="I15" s="0" t="n">
        <f aca="false">IF(OR(NOT(AND(Simulations!$A15&lt;&gt;"",OR(Simulations!$BD15&lt;&gt;"",N(Simulations!$BF15)&gt;0))),N(Simulations!$BH15)&lt;=0,N(Simulations!$BF15)&lt;=0,2&gt;N(IF(Simulations!$O15="",1,Simulations!$O15))),0,IF(Simulations!$BH15&lt;IF(Simulations!$J15="",1000,Simulations!$J15),Simulations!$BF15/(IF(Simulations!$G15="",5000,Simulations!$G15)*IF(Simulations!$H15="",5000,Simulations!$H15)*IF(IF(Simulations!$I15="",5000,Simulations!$I15)&gt;0,IF(Simulations!$I15="",5000,Simulations!$I15),1))*Simulations!$BH15*(PI()/2*IF(Simulations!$U15="",200,Simulations!$U15)^2*IF(IF(Simulations!$I15="",5000,Simulations!$I15)&gt;0,SQRT(PI()/2)*IF(Simulations!$X15="",1000,Simulations!$X15),1)),Simulations!$BF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U15="",200,Simulations!$U15)^2*IF(Simulations!$X15="",1000,Simulations!$X15)/2^1.5*(2/3*LN(Simulations!$BH15/IF(Simulations!$J15="",1000,Simulations!$J15))^1.5+SQRT(LN(Simulations!$BH15/IF(Simulations!$J15="",1000,Simulations!$J15)))+Simulations!$BH15/IF(Simulations!$J15="",1000,Simulations!$J15)*SQRT(PI())/2*ERFC(SQRT(LN(Simulations!$BH15/IF(Simulations!$J15="",1000,Simulations!$J15))))),PI()*IF(Simulations!$U15="",200,Simulations!$U15)^2/2*(LN(Simulations!$BH15/IF(Simulations!$J15="",1000,Simulations!$J15))+1))))</f>
        <v>0</v>
      </c>
      <c r="J15" s="0" t="n">
        <f aca="false">IF(OR(NOT(AND(Simulations!$A15&lt;&gt;"",OR(Simulations!$BD15&lt;&gt;"",N(Simulations!$BF15)&gt;0))),N(Simulations!$BI15)&lt;=0,N(Simulations!$BF15)&lt;=0,3&gt;N(IF(Simulations!$O15="",1,Simulations!$O15))),0,IF(Simulations!$BI15&lt;IF(Simulations!$J15="",1000,Simulations!$J15),Simulations!$BF15/(IF(Simulations!$G15="",5000,Simulations!$G15)*IF(Simulations!$H15="",5000,Simulations!$H15)*IF(IF(Simulations!$I15="",5000,Simulations!$I15)&gt;0,IF(Simulations!$I15="",5000,Simulations!$I15),1))*Simulations!$BI15*(PI()/2*IF(Simulations!$V15="",200,Simulations!$V15)^2*IF(IF(Simulations!$I15="",5000,Simulations!$I15)&gt;0,SQRT(PI()/2)*IF(Simulations!$Y15="",1000,Simulations!$Y15),1)),Simulations!$BF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V15="",200,Simulations!$V15)^2*IF(Simulations!$Y15="",1000,Simulations!$Y15)/2^1.5*(2/3*LN(Simulations!$BI15/IF(Simulations!$J15="",1000,Simulations!$J15))^1.5+SQRT(LN(Simulations!$BI15/IF(Simulations!$J15="",1000,Simulations!$J15)))+Simulations!$BI15/IF(Simulations!$J15="",1000,Simulations!$J15)*SQRT(PI())/2*ERFC(SQRT(LN(Simulations!$BI15/IF(Simulations!$J15="",1000,Simulations!$J15))))),PI()*IF(Simulations!$V15="",200,Simulations!$V15)^2/2*(LN(Simulations!$BI15/IF(Simulations!$J15="",1000,Simulations!$J15))+1))))</f>
        <v>4197.47754151457</v>
      </c>
      <c r="K15" s="0" t="n">
        <f aca="false">IF(NOT(AND(Simulations!$A15&lt;&gt;"",OR(Simulations!$BD15&lt;&gt;"",N(Simulations!$BF15)&gt;0))),0,MAX(N(Simulations!$BG15),N(Simulations!$BH15),N(Simulations!$BI15))/IF(Simulations!$J15="",1000,Simulations!$J15))</f>
        <v>10</v>
      </c>
      <c r="L15" s="0" t="n">
        <f aca="false">IF(OR(NOT(AND(Simulations!$A15&lt;&gt;"",OR(Simulations!$BD15&lt;&gt;"",N(Simulations!$BF15)&gt;0))),N(Simulations!$BE15)&lt;=0),0,SQRT(2*Simulations!$BE15*1000000/(IF(Simulations!$J15="",1000,Simulations!$J15)*1000))/MIN(IF(Simulations!$T15="",200,Simulations!$T15),IF(Simulations!$U15="",200,Simulations!$U15),IF(Simulations!$V15="",200,Simulations!$V15)))</f>
        <v>0.0418330013267038</v>
      </c>
      <c r="M15" s="0" t="n">
        <f aca="false">IF(AND(Simulations!$A15&lt;&gt;"",OR(Simulations!$BD15&lt;&gt;"",N(Simulations!$BF15)&gt;0)),1,0)</f>
        <v>1</v>
      </c>
      <c r="N15" s="0" t="n">
        <f aca="false">IF(OR(NOT(AND(Simulations!$A15&lt;&gt;"",OR(Simulations!$BV15&lt;&gt;"",N(Simulations!$BX15)&gt;0))),N(Simulations!$BY15)&lt;=0,N(Simulations!$BX15)&lt;=0,1&gt;N(IF(Simulations!$O15="",1,Simulations!$O15))),0,IF(Simulations!$BY15&lt;IF(Simulations!$J15="",1000,Simulations!$J15),Simulations!$BX15/(IF(Simulations!$G15="",5000,Simulations!$G15)*IF(Simulations!$H15="",5000,Simulations!$H15)*IF(IF(Simulations!$I15="",5000,Simulations!$I15)&gt;0,IF(Simulations!$I15="",5000,Simulations!$I15),1))*Simulations!$BY15*(PI()/2*IF(Simulations!$T15="",200,Simulations!$T15)^2*IF(IF(Simulations!$I15="",5000,Simulations!$I15)&gt;0,SQRT(PI()/2)*IF(Simulations!$W15="",1000,Simulations!$W15),1)),Simulations!$BX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T15="",200,Simulations!$T15)^2*IF(Simulations!$W15="",1000,Simulations!$W15)/2^1.5*(2/3*LN(Simulations!$BY15/IF(Simulations!$J15="",1000,Simulations!$J15))^1.5+SQRT(LN(Simulations!$BY15/IF(Simulations!$J15="",1000,Simulations!$J15)))+Simulations!$BY15/IF(Simulations!$J15="",1000,Simulations!$J15)*SQRT(PI())/2*ERFC(SQRT(LN(Simulations!$BY15/IF(Simulations!$J15="",1000,Simulations!$J15))))),PI()*IF(Simulations!$T15="",200,Simulations!$T15)^2/2*(LN(Simulations!$BY15/IF(Simulations!$J15="",1000,Simulations!$J15))+1))))</f>
        <v>15474.9539551923</v>
      </c>
      <c r="O15" s="0" t="n">
        <f aca="false">IF(OR(NOT(AND(Simulations!$A15&lt;&gt;"",OR(Simulations!$BV15&lt;&gt;"",N(Simulations!$BX15)&gt;0))),N(Simulations!$BZ15)&lt;=0,N(Simulations!$BX15)&lt;=0,2&gt;N(IF(Simulations!$O15="",1,Simulations!$O15))),0,IF(Simulations!$BZ15&lt;IF(Simulations!$J15="",1000,Simulations!$J15),Simulations!$BX15/(IF(Simulations!$G15="",5000,Simulations!$G15)*IF(Simulations!$H15="",5000,Simulations!$H15)*IF(IF(Simulations!$I15="",5000,Simulations!$I15)&gt;0,IF(Simulations!$I15="",5000,Simulations!$I15),1))*Simulations!$BZ15*(PI()/2*IF(Simulations!$U15="",200,Simulations!$U15)^2*IF(IF(Simulations!$I15="",5000,Simulations!$I15)&gt;0,SQRT(PI()/2)*IF(Simulations!$X15="",1000,Simulations!$X15),1)),Simulations!$BX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U15="",200,Simulations!$U15)^2*IF(Simulations!$X15="",1000,Simulations!$X15)/2^1.5*(2/3*LN(Simulations!$BZ15/IF(Simulations!$J15="",1000,Simulations!$J15))^1.5+SQRT(LN(Simulations!$BZ15/IF(Simulations!$J15="",1000,Simulations!$J15)))+Simulations!$BZ15/IF(Simulations!$J15="",1000,Simulations!$J15)*SQRT(PI())/2*ERFC(SQRT(LN(Simulations!$BZ15/IF(Simulations!$J15="",1000,Simulations!$J15))))),PI()*IF(Simulations!$U15="",200,Simulations!$U15)^2/2*(LN(Simulations!$BZ15/IF(Simulations!$J15="",1000,Simulations!$J15))+1))))</f>
        <v>9968.01289023145</v>
      </c>
      <c r="P15" s="0" t="n">
        <f aca="false">IF(OR(NOT(AND(Simulations!$A15&lt;&gt;"",OR(Simulations!$BV15&lt;&gt;"",N(Simulations!$BX15)&gt;0))),N(Simulations!$CA15)&lt;=0,N(Simulations!$BX15)&lt;=0,3&gt;N(IF(Simulations!$O15="",1,Simulations!$O15))),0,IF(Simulations!$CA15&lt;IF(Simulations!$J15="",1000,Simulations!$J15),Simulations!$BX15/(IF(Simulations!$G15="",5000,Simulations!$G15)*IF(Simulations!$H15="",5000,Simulations!$H15)*IF(IF(Simulations!$I15="",5000,Simulations!$I15)&gt;0,IF(Simulations!$I15="",5000,Simulations!$I15),1))*Simulations!$CA15*(PI()/2*IF(Simulations!$V15="",200,Simulations!$V15)^2*IF(IF(Simulations!$I15="",5000,Simulations!$I15)&gt;0,SQRT(PI()/2)*IF(Simulations!$Y15="",1000,Simulations!$Y15),1)),Simulations!$BX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V15="",200,Simulations!$V15)^2*IF(Simulations!$Y15="",1000,Simulations!$Y15)/2^1.5*(2/3*LN(Simulations!$CA15/IF(Simulations!$J15="",1000,Simulations!$J15))^1.5+SQRT(LN(Simulations!$CA15/IF(Simulations!$J15="",1000,Simulations!$J15)))+Simulations!$CA15/IF(Simulations!$J15="",1000,Simulations!$J15)*SQRT(PI())/2*ERFC(SQRT(LN(Simulations!$CA15/IF(Simulations!$J15="",1000,Simulations!$J15))))),PI()*IF(Simulations!$V15="",200,Simulations!$V15)^2/2*(LN(Simulations!$CA15/IF(Simulations!$J15="",1000,Simulations!$J15))+1))))</f>
        <v>0</v>
      </c>
      <c r="Q15" s="0" t="n">
        <f aca="false">IF(NOT(AND(Simulations!$A15&lt;&gt;"",OR(Simulations!$BV15&lt;&gt;"",N(Simulations!$BX15)&gt;0))),0,MAX(N(Simulations!$BY15),N(Simulations!$BZ15),N(Simulations!$CA15))/IF(Simulations!$J15="",1000,Simulations!$J15))</f>
        <v>20</v>
      </c>
      <c r="R15" s="0" t="n">
        <f aca="false">IF(OR(NOT(AND(Simulations!$A15&lt;&gt;"",OR(Simulations!$BV15&lt;&gt;"",N(Simulations!$BX15)&gt;0))),N(Simulations!$BW15)&lt;=0),0,SQRT(2*Simulations!$BW15*1000000/(IF(Simulations!$J15="",1000,Simulations!$J15)*1000))/MIN(IF(Simulations!$T15="",200,Simulations!$T15),IF(Simulations!$U15="",200,Simulations!$U15),IF(Simulations!$V15="",200,Simulations!$V15)))</f>
        <v>0.0418330013267038</v>
      </c>
      <c r="S15" s="0" t="n">
        <f aca="false">IF(AND(Simulations!$A15&lt;&gt;"",OR(Simulations!$BV15&lt;&gt;"",N(Simulations!$BX15)&gt;0)),1,0)</f>
        <v>1</v>
      </c>
      <c r="T15" s="0" t="n">
        <f aca="false">IF(OR(NOT(AND(Simulations!$A15&lt;&gt;"",OR(Simulations!$CN15&lt;&gt;"",N(Simulations!$CP15)&gt;0))),N(Simulations!$CQ15)&lt;=0,N(Simulations!$CP15)&lt;=0,1&gt;N(IF(Simulations!$O15="",1,Simulations!$O15))),0,IF(Simulations!$CQ15&lt;IF(Simulations!$J15="",1000,Simulations!$J15),Simulations!$CP15/(IF(Simulations!$G15="",5000,Simulations!$G15)*IF(Simulations!$H15="",5000,Simulations!$H15)*IF(IF(Simulations!$I15="",5000,Simulations!$I15)&gt;0,IF(Simulations!$I15="",5000,Simulations!$I15),1))*Simulations!$CQ15*(PI()/2*IF(Simulations!$T15="",200,Simulations!$T15)^2*IF(IF(Simulations!$I15="",5000,Simulations!$I15)&gt;0,SQRT(PI()/2)*IF(Simulations!$W15="",1000,Simulations!$W15),1)),Simulations!$CP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T15="",200,Simulations!$T15)^2*IF(Simulations!$W15="",1000,Simulations!$W15)/2^1.5*(2/3*LN(Simulations!$CQ15/IF(Simulations!$J15="",1000,Simulations!$J15))^1.5+SQRT(LN(Simulations!$CQ15/IF(Simulations!$J15="",1000,Simulations!$J15)))+Simulations!$CQ15/IF(Simulations!$J15="",1000,Simulations!$J15)*SQRT(PI())/2*ERFC(SQRT(LN(Simulations!$CQ15/IF(Simulations!$J15="",1000,Simulations!$J15))))),PI()*IF(Simulations!$T15="",200,Simulations!$T15)^2/2*(LN(Simulations!$CQ15/IF(Simulations!$J15="",1000,Simulations!$J15))+1))))</f>
        <v>0</v>
      </c>
      <c r="U15" s="0" t="n">
        <f aca="false">IF(OR(NOT(AND(Simulations!$A15&lt;&gt;"",OR(Simulations!$CN15&lt;&gt;"",N(Simulations!$CP15)&gt;0))),N(Simulations!$CR15)&lt;=0,N(Simulations!$CP15)&lt;=0,2&gt;N(IF(Simulations!$O15="",1,Simulations!$O15))),0,IF(Simulations!$CR15&lt;IF(Simulations!$J15="",1000,Simulations!$J15),Simulations!$CP15/(IF(Simulations!$G15="",5000,Simulations!$G15)*IF(Simulations!$H15="",5000,Simulations!$H15)*IF(IF(Simulations!$I15="",5000,Simulations!$I15)&gt;0,IF(Simulations!$I15="",5000,Simulations!$I15),1))*Simulations!$CR15*(PI()/2*IF(Simulations!$U15="",200,Simulations!$U15)^2*IF(IF(Simulations!$I15="",5000,Simulations!$I15)&gt;0,SQRT(PI()/2)*IF(Simulations!$X15="",1000,Simulations!$X15),1)),Simulations!$CP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U15="",200,Simulations!$U15)^2*IF(Simulations!$X15="",1000,Simulations!$X15)/2^1.5*(2/3*LN(Simulations!$CR15/IF(Simulations!$J15="",1000,Simulations!$J15))^1.5+SQRT(LN(Simulations!$CR15/IF(Simulations!$J15="",1000,Simulations!$J15)))+Simulations!$CR15/IF(Simulations!$J15="",1000,Simulations!$J15)*SQRT(PI())/2*ERFC(SQRT(LN(Simulations!$CR15/IF(Simulations!$J15="",1000,Simulations!$J15))))),PI()*IF(Simulations!$U15="",200,Simulations!$U15)^2/2*(LN(Simulations!$CR15/IF(Simulations!$J15="",1000,Simulations!$J15))+1))))</f>
        <v>0</v>
      </c>
      <c r="V15" s="0" t="n">
        <f aca="false">IF(OR(NOT(AND(Simulations!$A15&lt;&gt;"",OR(Simulations!$CN15&lt;&gt;"",N(Simulations!$CP15)&gt;0))),N(Simulations!$CS15)&lt;=0,N(Simulations!$CP15)&lt;=0,3&gt;N(IF(Simulations!$O15="",1,Simulations!$O15))),0,IF(Simulations!$CS15&lt;IF(Simulations!$J15="",1000,Simulations!$J15),Simulations!$CP15/(IF(Simulations!$G15="",5000,Simulations!$G15)*IF(Simulations!$H15="",5000,Simulations!$H15)*IF(IF(Simulations!$I15="",5000,Simulations!$I15)&gt;0,IF(Simulations!$I15="",5000,Simulations!$I15),1))*Simulations!$CS15*(PI()/2*IF(Simulations!$V15="",200,Simulations!$V15)^2*IF(IF(Simulations!$I15="",5000,Simulations!$I15)&gt;0,SQRT(PI()/2)*IF(Simulations!$Y15="",1000,Simulations!$Y15),1)),Simulations!$CP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V15="",200,Simulations!$V15)^2*IF(Simulations!$Y15="",1000,Simulations!$Y15)/2^1.5*(2/3*LN(Simulations!$CS15/IF(Simulations!$J15="",1000,Simulations!$J15))^1.5+SQRT(LN(Simulations!$CS15/IF(Simulations!$J15="",1000,Simulations!$J15)))+Simulations!$CS15/IF(Simulations!$J15="",1000,Simulations!$J15)*SQRT(PI())/2*ERFC(SQRT(LN(Simulations!$CS15/IF(Simulations!$J15="",1000,Simulations!$J15))))),PI()*IF(Simulations!$V15="",200,Simulations!$V15)^2/2*(LN(Simulations!$CS15/IF(Simulations!$J15="",1000,Simulations!$J15))+1))))</f>
        <v>0</v>
      </c>
      <c r="W15" s="0" t="n">
        <f aca="false">IF(NOT(AND(Simulations!$A15&lt;&gt;"",OR(Simulations!$CN15&lt;&gt;"",N(Simulations!$CP15)&gt;0))),0,MAX(N(Simulations!$CQ15),N(Simulations!$CR15),N(Simulations!$CS15))/IF(Simulations!$J15="",1000,Simulations!$J15))</f>
        <v>0</v>
      </c>
      <c r="X15" s="0" t="n">
        <f aca="false">IF(OR(NOT(AND(Simulations!$A15&lt;&gt;"",OR(Simulations!$CN15&lt;&gt;"",N(Simulations!$CP15)&gt;0))),N(Simulations!$CO15)&lt;=0),0,SQRT(2*Simulations!$CO15*1000000/(IF(Simulations!$J15="",1000,Simulations!$J15)*1000))/MIN(IF(Simulations!$T15="",200,Simulations!$T15),IF(Simulations!$U15="",200,Simulations!$U15),IF(Simulations!$V15="",200,Simulations!$V15)))</f>
        <v>0</v>
      </c>
      <c r="Y15" s="0" t="n">
        <f aca="false">IF(AND(Simulations!$A15&lt;&gt;"",OR(Simulations!$CN15&lt;&gt;"",N(Simulations!$CP15)&gt;0)),1,0)</f>
        <v>0</v>
      </c>
      <c r="Z15" s="0" t="n">
        <f aca="false">IF(OR(NOT(AND(Simulations!$A15&lt;&gt;"",OR(Simulations!$DF15&lt;&gt;"",N(Simulations!$DH15)&gt;0))),N(Simulations!$DI15)&lt;=0,N(Simulations!$DH15)&lt;=0,1&gt;N(IF(Simulations!$O15="",1,Simulations!$O15))),0,IF(Simulations!$DI15&lt;IF(Simulations!$J15="",1000,Simulations!$J15),Simulations!$DH15/(IF(Simulations!$G15="",5000,Simulations!$G15)*IF(Simulations!$H15="",5000,Simulations!$H15)*IF(IF(Simulations!$I15="",5000,Simulations!$I15)&gt;0,IF(Simulations!$I15="",5000,Simulations!$I15),1))*Simulations!$DI15*(PI()/2*IF(Simulations!$T15="",200,Simulations!$T15)^2*IF(IF(Simulations!$I15="",5000,Simulations!$I15)&gt;0,SQRT(PI()/2)*IF(Simulations!$W15="",1000,Simulations!$W15),1)),Simulations!$DH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T15="",200,Simulations!$T15)^2*IF(Simulations!$W15="",1000,Simulations!$W15)/2^1.5*(2/3*LN(Simulations!$DI15/IF(Simulations!$J15="",1000,Simulations!$J15))^1.5+SQRT(LN(Simulations!$DI15/IF(Simulations!$J15="",1000,Simulations!$J15)))+Simulations!$DI15/IF(Simulations!$J15="",1000,Simulations!$J15)*SQRT(PI())/2*ERFC(SQRT(LN(Simulations!$DI15/IF(Simulations!$J15="",1000,Simulations!$J15))))),PI()*IF(Simulations!$T15="",200,Simulations!$T15)^2/2*(LN(Simulations!$DI15/IF(Simulations!$J15="",1000,Simulations!$J15))+1))))</f>
        <v>0</v>
      </c>
      <c r="AA15" s="0" t="n">
        <f aca="false">IF(OR(NOT(AND(Simulations!$A15&lt;&gt;"",OR(Simulations!$DF15&lt;&gt;"",N(Simulations!$DH15)&gt;0))),N(Simulations!$DJ15)&lt;=0,N(Simulations!$DH15)&lt;=0,2&gt;N(IF(Simulations!$O15="",1,Simulations!$O15))),0,IF(Simulations!$DJ15&lt;IF(Simulations!$J15="",1000,Simulations!$J15),Simulations!$DH15/(IF(Simulations!$G15="",5000,Simulations!$G15)*IF(Simulations!$H15="",5000,Simulations!$H15)*IF(IF(Simulations!$I15="",5000,Simulations!$I15)&gt;0,IF(Simulations!$I15="",5000,Simulations!$I15),1))*Simulations!$DJ15*(PI()/2*IF(Simulations!$U15="",200,Simulations!$U15)^2*IF(IF(Simulations!$I15="",5000,Simulations!$I15)&gt;0,SQRT(PI()/2)*IF(Simulations!$X15="",1000,Simulations!$X15),1)),Simulations!$DH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U15="",200,Simulations!$U15)^2*IF(Simulations!$X15="",1000,Simulations!$X15)/2^1.5*(2/3*LN(Simulations!$DJ15/IF(Simulations!$J15="",1000,Simulations!$J15))^1.5+SQRT(LN(Simulations!$DJ15/IF(Simulations!$J15="",1000,Simulations!$J15)))+Simulations!$DJ15/IF(Simulations!$J15="",1000,Simulations!$J15)*SQRT(PI())/2*ERFC(SQRT(LN(Simulations!$DJ15/IF(Simulations!$J15="",1000,Simulations!$J15))))),PI()*IF(Simulations!$U15="",200,Simulations!$U15)^2/2*(LN(Simulations!$DJ15/IF(Simulations!$J15="",1000,Simulations!$J15))+1))))</f>
        <v>0</v>
      </c>
      <c r="AB15" s="0" t="n">
        <f aca="false">IF(OR(NOT(AND(Simulations!$A15&lt;&gt;"",OR(Simulations!$DF15&lt;&gt;"",N(Simulations!$DH15)&gt;0))),N(Simulations!$DK15)&lt;=0,N(Simulations!$DH15)&lt;=0,3&gt;N(IF(Simulations!$O15="",1,Simulations!$O15))),0,IF(Simulations!$DK15&lt;IF(Simulations!$J15="",1000,Simulations!$J15),Simulations!$DH15/(IF(Simulations!$G15="",5000,Simulations!$G15)*IF(Simulations!$H15="",5000,Simulations!$H15)*IF(IF(Simulations!$I15="",5000,Simulations!$I15)&gt;0,IF(Simulations!$I15="",5000,Simulations!$I15),1))*Simulations!$DK15*(PI()/2*IF(Simulations!$V15="",200,Simulations!$V15)^2*IF(IF(Simulations!$I15="",5000,Simulations!$I15)&gt;0,SQRT(PI()/2)*IF(Simulations!$Y15="",1000,Simulations!$Y15),1)),Simulations!$DH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V15="",200,Simulations!$V15)^2*IF(Simulations!$Y15="",1000,Simulations!$Y15)/2^1.5*(2/3*LN(Simulations!$DK15/IF(Simulations!$J15="",1000,Simulations!$J15))^1.5+SQRT(LN(Simulations!$DK15/IF(Simulations!$J15="",1000,Simulations!$J15)))+Simulations!$DK15/IF(Simulations!$J15="",1000,Simulations!$J15)*SQRT(PI())/2*ERFC(SQRT(LN(Simulations!$DK15/IF(Simulations!$J15="",1000,Simulations!$J15))))),PI()*IF(Simulations!$V15="",200,Simulations!$V15)^2/2*(LN(Simulations!$DK15/IF(Simulations!$J15="",1000,Simulations!$J15))+1))))</f>
        <v>0</v>
      </c>
      <c r="AC15" s="0" t="n">
        <f aca="false">IF(NOT(AND(Simulations!$A15&lt;&gt;"",OR(Simulations!$DF15&lt;&gt;"",N(Simulations!$DH15)&gt;0))),0,MAX(N(Simulations!$DI15),N(Simulations!$DJ15),N(Simulations!$DK15))/IF(Simulations!$J15="",1000,Simulations!$J15))</f>
        <v>0</v>
      </c>
      <c r="AD15" s="0" t="n">
        <f aca="false">IF(OR(NOT(AND(Simulations!$A15&lt;&gt;"",OR(Simulations!$DF15&lt;&gt;"",N(Simulations!$DH15)&gt;0))),N(Simulations!$DG15)&lt;=0),0,SQRT(2*Simulations!$DG15*1000000/(IF(Simulations!$J15="",1000,Simulations!$J15)*1000))/MIN(IF(Simulations!$T15="",200,Simulations!$T15),IF(Simulations!$U15="",200,Simulations!$U15),IF(Simulations!$V15="",200,Simulations!$V15)))</f>
        <v>0</v>
      </c>
      <c r="AE15" s="0" t="n">
        <f aca="false">IF(AND(Simulations!$A15&lt;&gt;"",OR(Simulations!$DF15&lt;&gt;"",N(Simulations!$DH15)&gt;0)),1,0)</f>
        <v>0</v>
      </c>
      <c r="AF15" s="0" t="n">
        <f aca="false">IF(OR(NOT(AND(Simulations!$A15&lt;&gt;"",OR(Simulations!$DX15&lt;&gt;"",N(Simulations!$DZ15)&gt;0))),N(Simulations!$EA15)&lt;=0,N(Simulations!$DZ15)&lt;=0,1&gt;N(IF(Simulations!$O15="",1,Simulations!$O15))),0,IF(Simulations!$EA15&lt;IF(Simulations!$J15="",1000,Simulations!$J15),Simulations!$DZ15/(IF(Simulations!$G15="",5000,Simulations!$G15)*IF(Simulations!$H15="",5000,Simulations!$H15)*IF(IF(Simulations!$I15="",5000,Simulations!$I15)&gt;0,IF(Simulations!$I15="",5000,Simulations!$I15),1))*Simulations!$EA15*(PI()/2*IF(Simulations!$T15="",200,Simulations!$T15)^2*IF(IF(Simulations!$I15="",5000,Simulations!$I15)&gt;0,SQRT(PI()/2)*IF(Simulations!$W15="",1000,Simulations!$W15),1)),Simulations!$DZ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T15="",200,Simulations!$T15)^2*IF(Simulations!$W15="",1000,Simulations!$W15)/2^1.5*(2/3*LN(Simulations!$EA15/IF(Simulations!$J15="",1000,Simulations!$J15))^1.5+SQRT(LN(Simulations!$EA15/IF(Simulations!$J15="",1000,Simulations!$J15)))+Simulations!$EA15/IF(Simulations!$J15="",1000,Simulations!$J15)*SQRT(PI())/2*ERFC(SQRT(LN(Simulations!$EA15/IF(Simulations!$J15="",1000,Simulations!$J15))))),PI()*IF(Simulations!$T15="",200,Simulations!$T15)^2/2*(LN(Simulations!$EA15/IF(Simulations!$J15="",1000,Simulations!$J15))+1))))</f>
        <v>0</v>
      </c>
      <c r="AG15" s="0" t="n">
        <f aca="false">IF(OR(NOT(AND(Simulations!$A15&lt;&gt;"",OR(Simulations!$DX15&lt;&gt;"",N(Simulations!$DZ15)&gt;0))),N(Simulations!$EB15)&lt;=0,N(Simulations!$DZ15)&lt;=0,2&gt;N(IF(Simulations!$O15="",1,Simulations!$O15))),0,IF(Simulations!$EB15&lt;IF(Simulations!$J15="",1000,Simulations!$J15),Simulations!$DZ15/(IF(Simulations!$G15="",5000,Simulations!$G15)*IF(Simulations!$H15="",5000,Simulations!$H15)*IF(IF(Simulations!$I15="",5000,Simulations!$I15)&gt;0,IF(Simulations!$I15="",5000,Simulations!$I15),1))*Simulations!$EB15*(PI()/2*IF(Simulations!$U15="",200,Simulations!$U15)^2*IF(IF(Simulations!$I15="",5000,Simulations!$I15)&gt;0,SQRT(PI()/2)*IF(Simulations!$X15="",1000,Simulations!$X15),1)),Simulations!$DZ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U15="",200,Simulations!$U15)^2*IF(Simulations!$X15="",1000,Simulations!$X15)/2^1.5*(2/3*LN(Simulations!$EB15/IF(Simulations!$J15="",1000,Simulations!$J15))^1.5+SQRT(LN(Simulations!$EB15/IF(Simulations!$J15="",1000,Simulations!$J15)))+Simulations!$EB15/IF(Simulations!$J15="",1000,Simulations!$J15)*SQRT(PI())/2*ERFC(SQRT(LN(Simulations!$EB15/IF(Simulations!$J15="",1000,Simulations!$J15))))),PI()*IF(Simulations!$U15="",200,Simulations!$U15)^2/2*(LN(Simulations!$EB15/IF(Simulations!$J15="",1000,Simulations!$J15))+1))))</f>
        <v>0</v>
      </c>
      <c r="AH15" s="0" t="n">
        <f aca="false">IF(OR(NOT(AND(Simulations!$A15&lt;&gt;"",OR(Simulations!$DX15&lt;&gt;"",N(Simulations!$DZ15)&gt;0))),N(Simulations!$EC15)&lt;=0,N(Simulations!$DZ15)&lt;=0,3&gt;N(IF(Simulations!$O15="",1,Simulations!$O15))),0,IF(Simulations!$EC15&lt;IF(Simulations!$J15="",1000,Simulations!$J15),Simulations!$DZ15/(IF(Simulations!$G15="",5000,Simulations!$G15)*IF(Simulations!$H15="",5000,Simulations!$H15)*IF(IF(Simulations!$I15="",5000,Simulations!$I15)&gt;0,IF(Simulations!$I15="",5000,Simulations!$I15),1))*Simulations!$EC15*(PI()/2*IF(Simulations!$V15="",200,Simulations!$V15)^2*IF(IF(Simulations!$I15="",5000,Simulations!$I15)&gt;0,SQRT(PI()/2)*IF(Simulations!$Y15="",1000,Simulations!$Y15),1)),Simulations!$DZ15/(IF(Simulations!$G15="",5000,Simulations!$G15)*IF(Simulations!$H15="",5000,Simulations!$H15)*IF(IF(Simulations!$I15="",5000,Simulations!$I15)&gt;0,IF(Simulations!$I15="",5000,Simulations!$I15),1))*IF(Simulations!$J15="",1000,Simulations!$J15)*IF(IF(Simulations!$I15="",5000,Simulations!$I15)&gt;0,2*PI()*IF(Simulations!$V15="",200,Simulations!$V15)^2*IF(Simulations!$Y15="",1000,Simulations!$Y15)/2^1.5*(2/3*LN(Simulations!$EC15/IF(Simulations!$J15="",1000,Simulations!$J15))^1.5+SQRT(LN(Simulations!$EC15/IF(Simulations!$J15="",1000,Simulations!$J15)))+Simulations!$EC15/IF(Simulations!$J15="",1000,Simulations!$J15)*SQRT(PI())/2*ERFC(SQRT(LN(Simulations!$EC15/IF(Simulations!$J15="",1000,Simulations!$J15))))),PI()*IF(Simulations!$V15="",200,Simulations!$V15)^2/2*(LN(Simulations!$EC15/IF(Simulations!$J15="",1000,Simulations!$J15))+1))))</f>
        <v>0</v>
      </c>
      <c r="AI15" s="0" t="n">
        <f aca="false">IF(NOT(AND(Simulations!$A15&lt;&gt;"",OR(Simulations!$DX15&lt;&gt;"",N(Simulations!$DZ15)&gt;0))),0,MAX(N(Simulations!$EA15),N(Simulations!$EB15),N(Simulations!$EC15))/IF(Simulations!$J15="",1000,Simulations!$J15))</f>
        <v>0</v>
      </c>
      <c r="AJ15" s="0" t="n">
        <f aca="false">IF(OR(NOT(AND(Simulations!$A15&lt;&gt;"",OR(Simulations!$DX15&lt;&gt;"",N(Simulations!$DZ15)&gt;0))),N(Simulations!$DY15)&lt;=0),0,SQRT(2*Simulations!$DY15*1000000/(IF(Simulations!$J15="",1000,Simulations!$J15)*1000))/MIN(IF(Simulations!$T15="",200,Simulations!$T15),IF(Simulations!$U15="",200,Simulations!$U15),IF(Simulations!$V15="",200,Simulations!$V15)))</f>
        <v>0</v>
      </c>
      <c r="AK15" s="0" t="n">
        <f aca="false">IF(AND(Simulations!$A15&lt;&gt;"",OR(Simulations!$DX15&lt;&gt;"",N(Simulations!$DZ15)&gt;0)),1,0)</f>
        <v>0</v>
      </c>
    </row>
    <row r="16" customFormat="false" ht="15" hidden="false" customHeight="false" outlineLevel="0" collapsed="false">
      <c r="B16" s="0" t="n">
        <f aca="false">IF(OR(NOT(AND(Simulations!$A16&lt;&gt;"",OR(Simulations!$AL16&lt;&gt;"",N(Simulations!$AN16)&gt;0))),N(Simulations!$AO16)&lt;=0,N(Simulations!$AN16)&lt;=0,1&gt;N(IF(Simulations!$O16="",1,Simulations!$O16))),0,IF(Simulations!$AO16&lt;IF(Simulations!$J16="",1000,Simulations!$J16),Simulations!$AN16/(IF(Simulations!$G16="",5000,Simulations!$G16)*IF(Simulations!$H16="",5000,Simulations!$H16)*IF(IF(Simulations!$I16="",5000,Simulations!$I16)&gt;0,IF(Simulations!$I16="",5000,Simulations!$I16),1))*Simulations!$AO16*(PI()/2*IF(Simulations!$T16="",200,Simulations!$T16)^2*IF(IF(Simulations!$I16="",5000,Simulations!$I16)&gt;0,SQRT(PI()/2)*IF(Simulations!$W16="",1000,Simulations!$W16),1)),Simulations!$AN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T16="",200,Simulations!$T16)^2*IF(Simulations!$W16="",1000,Simulations!$W16)/2^1.5*(2/3*LN(Simulations!$AO16/IF(Simulations!$J16="",1000,Simulations!$J16))^1.5+SQRT(LN(Simulations!$AO16/IF(Simulations!$J16="",1000,Simulations!$J16)))+Simulations!$AO16/IF(Simulations!$J16="",1000,Simulations!$J16)*SQRT(PI())/2*ERFC(SQRT(LN(Simulations!$AO16/IF(Simulations!$J16="",1000,Simulations!$J16))))),PI()*IF(Simulations!$T16="",200,Simulations!$T16)^2/2*(LN(Simulations!$AO16/IF(Simulations!$J16="",1000,Simulations!$J16))+1))))</f>
        <v>0</v>
      </c>
      <c r="C16" s="0" t="n">
        <f aca="false">IF(OR(NOT(AND(Simulations!$A16&lt;&gt;"",OR(Simulations!$AL16&lt;&gt;"",N(Simulations!$AN16)&gt;0))),N(Simulations!$AP16)&lt;=0,N(Simulations!$AN16)&lt;=0,2&gt;N(IF(Simulations!$O16="",1,Simulations!$O16))),0,IF(Simulations!$AP16&lt;IF(Simulations!$J16="",1000,Simulations!$J16),Simulations!$AN16/(IF(Simulations!$G16="",5000,Simulations!$G16)*IF(Simulations!$H16="",5000,Simulations!$H16)*IF(IF(Simulations!$I16="",5000,Simulations!$I16)&gt;0,IF(Simulations!$I16="",5000,Simulations!$I16),1))*Simulations!$AP16*(PI()/2*IF(Simulations!$U16="",200,Simulations!$U16)^2*IF(IF(Simulations!$I16="",5000,Simulations!$I16)&gt;0,SQRT(PI()/2)*IF(Simulations!$X16="",1000,Simulations!$X16),1)),Simulations!$AN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U16="",200,Simulations!$U16)^2*IF(Simulations!$X16="",1000,Simulations!$X16)/2^1.5*(2/3*LN(Simulations!$AP16/IF(Simulations!$J16="",1000,Simulations!$J16))^1.5+SQRT(LN(Simulations!$AP16/IF(Simulations!$J16="",1000,Simulations!$J16)))+Simulations!$AP16/IF(Simulations!$J16="",1000,Simulations!$J16)*SQRT(PI())/2*ERFC(SQRT(LN(Simulations!$AP16/IF(Simulations!$J16="",1000,Simulations!$J16))))),PI()*IF(Simulations!$U16="",200,Simulations!$U16)^2/2*(LN(Simulations!$AP16/IF(Simulations!$J16="",1000,Simulations!$J16))+1))))</f>
        <v>0</v>
      </c>
      <c r="D16" s="0" t="n">
        <f aca="false">IF(OR(NOT(AND(Simulations!$A16&lt;&gt;"",OR(Simulations!$AL16&lt;&gt;"",N(Simulations!$AN16)&gt;0))),N(Simulations!$AQ16)&lt;=0,N(Simulations!$AN16)&lt;=0,3&gt;N(IF(Simulations!$O16="",1,Simulations!$O16))),0,IF(Simulations!$AQ16&lt;IF(Simulations!$J16="",1000,Simulations!$J16),Simulations!$AN16/(IF(Simulations!$G16="",5000,Simulations!$G16)*IF(Simulations!$H16="",5000,Simulations!$H16)*IF(IF(Simulations!$I16="",5000,Simulations!$I16)&gt;0,IF(Simulations!$I16="",5000,Simulations!$I16),1))*Simulations!$AQ16*(PI()/2*IF(Simulations!$V16="",200,Simulations!$V16)^2*IF(IF(Simulations!$I16="",5000,Simulations!$I16)&gt;0,SQRT(PI()/2)*IF(Simulations!$Y16="",1000,Simulations!$Y16),1)),Simulations!$AN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V16="",200,Simulations!$V16)^2*IF(Simulations!$Y16="",1000,Simulations!$Y16)/2^1.5*(2/3*LN(Simulations!$AQ16/IF(Simulations!$J16="",1000,Simulations!$J16))^1.5+SQRT(LN(Simulations!$AQ16/IF(Simulations!$J16="",1000,Simulations!$J16)))+Simulations!$AQ16/IF(Simulations!$J16="",1000,Simulations!$J16)*SQRT(PI())/2*ERFC(SQRT(LN(Simulations!$AQ16/IF(Simulations!$J16="",1000,Simulations!$J16))))),PI()*IF(Simulations!$V16="",200,Simulations!$V16)^2/2*(LN(Simulations!$AQ16/IF(Simulations!$J16="",1000,Simulations!$J16))+1))))</f>
        <v>0</v>
      </c>
      <c r="E16" s="0" t="n">
        <f aca="false">IF(NOT(AND(Simulations!$A16&lt;&gt;"",OR(Simulations!$AL16&lt;&gt;"",N(Simulations!$AN16)&gt;0))),0,MAX(N(Simulations!$AO16),N(Simulations!$AP16),N(Simulations!$AQ16))/IF(Simulations!$J16="",1000,Simulations!$J16))</f>
        <v>0</v>
      </c>
      <c r="F16" s="0" t="n">
        <f aca="false">IF(OR(NOT(AND(Simulations!$A16&lt;&gt;"",OR(Simulations!$AL16&lt;&gt;"",N(Simulations!$AN16)&gt;0))),N(Simulations!$AM16)&lt;=0),0,SQRT(2*Simulations!$AM16*1000000/(IF(Simulations!$J16="",1000,Simulations!$J16)*1000))/MIN(IF(Simulations!$T16="",200,Simulations!$T16),IF(Simulations!$U16="",200,Simulations!$U16),IF(Simulations!$V16="",200,Simulations!$V16)))</f>
        <v>0</v>
      </c>
      <c r="G16" s="0" t="n">
        <f aca="false">IF(AND(Simulations!$A16&lt;&gt;"",OR(Simulations!$AL16&lt;&gt;"",N(Simulations!$AN16)&gt;0)),1,0)</f>
        <v>0</v>
      </c>
      <c r="H16" s="0" t="n">
        <f aca="false">IF(OR(NOT(AND(Simulations!$A16&lt;&gt;"",OR(Simulations!$BD16&lt;&gt;"",N(Simulations!$BF16)&gt;0))),N(Simulations!$BG16)&lt;=0,N(Simulations!$BF16)&lt;=0,1&gt;N(IF(Simulations!$O16="",1,Simulations!$O16))),0,IF(Simulations!$BG16&lt;IF(Simulations!$J16="",1000,Simulations!$J16),Simulations!$BF16/(IF(Simulations!$G16="",5000,Simulations!$G16)*IF(Simulations!$H16="",5000,Simulations!$H16)*IF(IF(Simulations!$I16="",5000,Simulations!$I16)&gt;0,IF(Simulations!$I16="",5000,Simulations!$I16),1))*Simulations!$BG16*(PI()/2*IF(Simulations!$T16="",200,Simulations!$T16)^2*IF(IF(Simulations!$I16="",5000,Simulations!$I16)&gt;0,SQRT(PI()/2)*IF(Simulations!$W16="",1000,Simulations!$W16),1)),Simulations!$BF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T16="",200,Simulations!$T16)^2*IF(Simulations!$W16="",1000,Simulations!$W16)/2^1.5*(2/3*LN(Simulations!$BG16/IF(Simulations!$J16="",1000,Simulations!$J16))^1.5+SQRT(LN(Simulations!$BG16/IF(Simulations!$J16="",1000,Simulations!$J16)))+Simulations!$BG16/IF(Simulations!$J16="",1000,Simulations!$J16)*SQRT(PI())/2*ERFC(SQRT(LN(Simulations!$BG16/IF(Simulations!$J16="",1000,Simulations!$J16))))),PI()*IF(Simulations!$T16="",200,Simulations!$T16)^2/2*(LN(Simulations!$BG16/IF(Simulations!$J16="",1000,Simulations!$J16))+1))))</f>
        <v>0</v>
      </c>
      <c r="I16" s="0" t="n">
        <f aca="false">IF(OR(NOT(AND(Simulations!$A16&lt;&gt;"",OR(Simulations!$BD16&lt;&gt;"",N(Simulations!$BF16)&gt;0))),N(Simulations!$BH16)&lt;=0,N(Simulations!$BF16)&lt;=0,2&gt;N(IF(Simulations!$O16="",1,Simulations!$O16))),0,IF(Simulations!$BH16&lt;IF(Simulations!$J16="",1000,Simulations!$J16),Simulations!$BF16/(IF(Simulations!$G16="",5000,Simulations!$G16)*IF(Simulations!$H16="",5000,Simulations!$H16)*IF(IF(Simulations!$I16="",5000,Simulations!$I16)&gt;0,IF(Simulations!$I16="",5000,Simulations!$I16),1))*Simulations!$BH16*(PI()/2*IF(Simulations!$U16="",200,Simulations!$U16)^2*IF(IF(Simulations!$I16="",5000,Simulations!$I16)&gt;0,SQRT(PI()/2)*IF(Simulations!$X16="",1000,Simulations!$X16),1)),Simulations!$BF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U16="",200,Simulations!$U16)^2*IF(Simulations!$X16="",1000,Simulations!$X16)/2^1.5*(2/3*LN(Simulations!$BH16/IF(Simulations!$J16="",1000,Simulations!$J16))^1.5+SQRT(LN(Simulations!$BH16/IF(Simulations!$J16="",1000,Simulations!$J16)))+Simulations!$BH16/IF(Simulations!$J16="",1000,Simulations!$J16)*SQRT(PI())/2*ERFC(SQRT(LN(Simulations!$BH16/IF(Simulations!$J16="",1000,Simulations!$J16))))),PI()*IF(Simulations!$U16="",200,Simulations!$U16)^2/2*(LN(Simulations!$BH16/IF(Simulations!$J16="",1000,Simulations!$J16))+1))))</f>
        <v>0</v>
      </c>
      <c r="J16" s="0" t="n">
        <f aca="false">IF(OR(NOT(AND(Simulations!$A16&lt;&gt;"",OR(Simulations!$BD16&lt;&gt;"",N(Simulations!$BF16)&gt;0))),N(Simulations!$BI16)&lt;=0,N(Simulations!$BF16)&lt;=0,3&gt;N(IF(Simulations!$O16="",1,Simulations!$O16))),0,IF(Simulations!$BI16&lt;IF(Simulations!$J16="",1000,Simulations!$J16),Simulations!$BF16/(IF(Simulations!$G16="",5000,Simulations!$G16)*IF(Simulations!$H16="",5000,Simulations!$H16)*IF(IF(Simulations!$I16="",5000,Simulations!$I16)&gt;0,IF(Simulations!$I16="",5000,Simulations!$I16),1))*Simulations!$BI16*(PI()/2*IF(Simulations!$V16="",200,Simulations!$V16)^2*IF(IF(Simulations!$I16="",5000,Simulations!$I16)&gt;0,SQRT(PI()/2)*IF(Simulations!$Y16="",1000,Simulations!$Y16),1)),Simulations!$BF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V16="",200,Simulations!$V16)^2*IF(Simulations!$Y16="",1000,Simulations!$Y16)/2^1.5*(2/3*LN(Simulations!$BI16/IF(Simulations!$J16="",1000,Simulations!$J16))^1.5+SQRT(LN(Simulations!$BI16/IF(Simulations!$J16="",1000,Simulations!$J16)))+Simulations!$BI16/IF(Simulations!$J16="",1000,Simulations!$J16)*SQRT(PI())/2*ERFC(SQRT(LN(Simulations!$BI16/IF(Simulations!$J16="",1000,Simulations!$J16))))),PI()*IF(Simulations!$V16="",200,Simulations!$V16)^2/2*(LN(Simulations!$BI16/IF(Simulations!$J16="",1000,Simulations!$J16))+1))))</f>
        <v>0</v>
      </c>
      <c r="K16" s="0" t="n">
        <f aca="false">IF(NOT(AND(Simulations!$A16&lt;&gt;"",OR(Simulations!$BD16&lt;&gt;"",N(Simulations!$BF16)&gt;0))),0,MAX(N(Simulations!$BG16),N(Simulations!$BH16),N(Simulations!$BI16))/IF(Simulations!$J16="",1000,Simulations!$J16))</f>
        <v>0</v>
      </c>
      <c r="L16" s="0" t="n">
        <f aca="false">IF(OR(NOT(AND(Simulations!$A16&lt;&gt;"",OR(Simulations!$BD16&lt;&gt;"",N(Simulations!$BF16)&gt;0))),N(Simulations!$BE16)&lt;=0),0,SQRT(2*Simulations!$BE16*1000000/(IF(Simulations!$J16="",1000,Simulations!$J16)*1000))/MIN(IF(Simulations!$T16="",200,Simulations!$T16),IF(Simulations!$U16="",200,Simulations!$U16),IF(Simulations!$V16="",200,Simulations!$V16)))</f>
        <v>0</v>
      </c>
      <c r="M16" s="0" t="n">
        <f aca="false">IF(AND(Simulations!$A16&lt;&gt;"",OR(Simulations!$BD16&lt;&gt;"",N(Simulations!$BF16)&gt;0)),1,0)</f>
        <v>0</v>
      </c>
      <c r="N16" s="0" t="n">
        <f aca="false">IF(OR(NOT(AND(Simulations!$A16&lt;&gt;"",OR(Simulations!$BV16&lt;&gt;"",N(Simulations!$BX16)&gt;0))),N(Simulations!$BY16)&lt;=0,N(Simulations!$BX16)&lt;=0,1&gt;N(IF(Simulations!$O16="",1,Simulations!$O16))),0,IF(Simulations!$BY16&lt;IF(Simulations!$J16="",1000,Simulations!$J16),Simulations!$BX16/(IF(Simulations!$G16="",5000,Simulations!$G16)*IF(Simulations!$H16="",5000,Simulations!$H16)*IF(IF(Simulations!$I16="",5000,Simulations!$I16)&gt;0,IF(Simulations!$I16="",5000,Simulations!$I16),1))*Simulations!$BY16*(PI()/2*IF(Simulations!$T16="",200,Simulations!$T16)^2*IF(IF(Simulations!$I16="",5000,Simulations!$I16)&gt;0,SQRT(PI()/2)*IF(Simulations!$W16="",1000,Simulations!$W16),1)),Simulations!$BX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T16="",200,Simulations!$T16)^2*IF(Simulations!$W16="",1000,Simulations!$W16)/2^1.5*(2/3*LN(Simulations!$BY16/IF(Simulations!$J16="",1000,Simulations!$J16))^1.5+SQRT(LN(Simulations!$BY16/IF(Simulations!$J16="",1000,Simulations!$J16)))+Simulations!$BY16/IF(Simulations!$J16="",1000,Simulations!$J16)*SQRT(PI())/2*ERFC(SQRT(LN(Simulations!$BY16/IF(Simulations!$J16="",1000,Simulations!$J16))))),PI()*IF(Simulations!$T16="",200,Simulations!$T16)^2/2*(LN(Simulations!$BY16/IF(Simulations!$J16="",1000,Simulations!$J16))+1))))</f>
        <v>0</v>
      </c>
      <c r="O16" s="0" t="n">
        <f aca="false">IF(OR(NOT(AND(Simulations!$A16&lt;&gt;"",OR(Simulations!$BV16&lt;&gt;"",N(Simulations!$BX16)&gt;0))),N(Simulations!$BZ16)&lt;=0,N(Simulations!$BX16)&lt;=0,2&gt;N(IF(Simulations!$O16="",1,Simulations!$O16))),0,IF(Simulations!$BZ16&lt;IF(Simulations!$J16="",1000,Simulations!$J16),Simulations!$BX16/(IF(Simulations!$G16="",5000,Simulations!$G16)*IF(Simulations!$H16="",5000,Simulations!$H16)*IF(IF(Simulations!$I16="",5000,Simulations!$I16)&gt;0,IF(Simulations!$I16="",5000,Simulations!$I16),1))*Simulations!$BZ16*(PI()/2*IF(Simulations!$U16="",200,Simulations!$U16)^2*IF(IF(Simulations!$I16="",5000,Simulations!$I16)&gt;0,SQRT(PI()/2)*IF(Simulations!$X16="",1000,Simulations!$X16),1)),Simulations!$BX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U16="",200,Simulations!$U16)^2*IF(Simulations!$X16="",1000,Simulations!$X16)/2^1.5*(2/3*LN(Simulations!$BZ16/IF(Simulations!$J16="",1000,Simulations!$J16))^1.5+SQRT(LN(Simulations!$BZ16/IF(Simulations!$J16="",1000,Simulations!$J16)))+Simulations!$BZ16/IF(Simulations!$J16="",1000,Simulations!$J16)*SQRT(PI())/2*ERFC(SQRT(LN(Simulations!$BZ16/IF(Simulations!$J16="",1000,Simulations!$J16))))),PI()*IF(Simulations!$U16="",200,Simulations!$U16)^2/2*(LN(Simulations!$BZ16/IF(Simulations!$J16="",1000,Simulations!$J16))+1))))</f>
        <v>0</v>
      </c>
      <c r="P16" s="0" t="n">
        <f aca="false">IF(OR(NOT(AND(Simulations!$A16&lt;&gt;"",OR(Simulations!$BV16&lt;&gt;"",N(Simulations!$BX16)&gt;0))),N(Simulations!$CA16)&lt;=0,N(Simulations!$BX16)&lt;=0,3&gt;N(IF(Simulations!$O16="",1,Simulations!$O16))),0,IF(Simulations!$CA16&lt;IF(Simulations!$J16="",1000,Simulations!$J16),Simulations!$BX16/(IF(Simulations!$G16="",5000,Simulations!$G16)*IF(Simulations!$H16="",5000,Simulations!$H16)*IF(IF(Simulations!$I16="",5000,Simulations!$I16)&gt;0,IF(Simulations!$I16="",5000,Simulations!$I16),1))*Simulations!$CA16*(PI()/2*IF(Simulations!$V16="",200,Simulations!$V16)^2*IF(IF(Simulations!$I16="",5000,Simulations!$I16)&gt;0,SQRT(PI()/2)*IF(Simulations!$Y16="",1000,Simulations!$Y16),1)),Simulations!$BX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V16="",200,Simulations!$V16)^2*IF(Simulations!$Y16="",1000,Simulations!$Y16)/2^1.5*(2/3*LN(Simulations!$CA16/IF(Simulations!$J16="",1000,Simulations!$J16))^1.5+SQRT(LN(Simulations!$CA16/IF(Simulations!$J16="",1000,Simulations!$J16)))+Simulations!$CA16/IF(Simulations!$J16="",1000,Simulations!$J16)*SQRT(PI())/2*ERFC(SQRT(LN(Simulations!$CA16/IF(Simulations!$J16="",1000,Simulations!$J16))))),PI()*IF(Simulations!$V16="",200,Simulations!$V16)^2/2*(LN(Simulations!$CA16/IF(Simulations!$J16="",1000,Simulations!$J16))+1))))</f>
        <v>0</v>
      </c>
      <c r="Q16" s="0" t="n">
        <f aca="false">IF(NOT(AND(Simulations!$A16&lt;&gt;"",OR(Simulations!$BV16&lt;&gt;"",N(Simulations!$BX16)&gt;0))),0,MAX(N(Simulations!$BY16),N(Simulations!$BZ16),N(Simulations!$CA16))/IF(Simulations!$J16="",1000,Simulations!$J16))</f>
        <v>0</v>
      </c>
      <c r="R16" s="0" t="n">
        <f aca="false">IF(OR(NOT(AND(Simulations!$A16&lt;&gt;"",OR(Simulations!$BV16&lt;&gt;"",N(Simulations!$BX16)&gt;0))),N(Simulations!$BW16)&lt;=0),0,SQRT(2*Simulations!$BW16*1000000/(IF(Simulations!$J16="",1000,Simulations!$J16)*1000))/MIN(IF(Simulations!$T16="",200,Simulations!$T16),IF(Simulations!$U16="",200,Simulations!$U16),IF(Simulations!$V16="",200,Simulations!$V16)))</f>
        <v>0</v>
      </c>
      <c r="S16" s="0" t="n">
        <f aca="false">IF(AND(Simulations!$A16&lt;&gt;"",OR(Simulations!$BV16&lt;&gt;"",N(Simulations!$BX16)&gt;0)),1,0)</f>
        <v>0</v>
      </c>
      <c r="T16" s="0" t="n">
        <f aca="false">IF(OR(NOT(AND(Simulations!$A16&lt;&gt;"",OR(Simulations!$CN16&lt;&gt;"",N(Simulations!$CP16)&gt;0))),N(Simulations!$CQ16)&lt;=0,N(Simulations!$CP16)&lt;=0,1&gt;N(IF(Simulations!$O16="",1,Simulations!$O16))),0,IF(Simulations!$CQ16&lt;IF(Simulations!$J16="",1000,Simulations!$J16),Simulations!$CP16/(IF(Simulations!$G16="",5000,Simulations!$G16)*IF(Simulations!$H16="",5000,Simulations!$H16)*IF(IF(Simulations!$I16="",5000,Simulations!$I16)&gt;0,IF(Simulations!$I16="",5000,Simulations!$I16),1))*Simulations!$CQ16*(PI()/2*IF(Simulations!$T16="",200,Simulations!$T16)^2*IF(IF(Simulations!$I16="",5000,Simulations!$I16)&gt;0,SQRT(PI()/2)*IF(Simulations!$W16="",1000,Simulations!$W16),1)),Simulations!$CP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T16="",200,Simulations!$T16)^2*IF(Simulations!$W16="",1000,Simulations!$W16)/2^1.5*(2/3*LN(Simulations!$CQ16/IF(Simulations!$J16="",1000,Simulations!$J16))^1.5+SQRT(LN(Simulations!$CQ16/IF(Simulations!$J16="",1000,Simulations!$J16)))+Simulations!$CQ16/IF(Simulations!$J16="",1000,Simulations!$J16)*SQRT(PI())/2*ERFC(SQRT(LN(Simulations!$CQ16/IF(Simulations!$J16="",1000,Simulations!$J16))))),PI()*IF(Simulations!$T16="",200,Simulations!$T16)^2/2*(LN(Simulations!$CQ16/IF(Simulations!$J16="",1000,Simulations!$J16))+1))))</f>
        <v>0</v>
      </c>
      <c r="U16" s="0" t="n">
        <f aca="false">IF(OR(NOT(AND(Simulations!$A16&lt;&gt;"",OR(Simulations!$CN16&lt;&gt;"",N(Simulations!$CP16)&gt;0))),N(Simulations!$CR16)&lt;=0,N(Simulations!$CP16)&lt;=0,2&gt;N(IF(Simulations!$O16="",1,Simulations!$O16))),0,IF(Simulations!$CR16&lt;IF(Simulations!$J16="",1000,Simulations!$J16),Simulations!$CP16/(IF(Simulations!$G16="",5000,Simulations!$G16)*IF(Simulations!$H16="",5000,Simulations!$H16)*IF(IF(Simulations!$I16="",5000,Simulations!$I16)&gt;0,IF(Simulations!$I16="",5000,Simulations!$I16),1))*Simulations!$CR16*(PI()/2*IF(Simulations!$U16="",200,Simulations!$U16)^2*IF(IF(Simulations!$I16="",5000,Simulations!$I16)&gt;0,SQRT(PI()/2)*IF(Simulations!$X16="",1000,Simulations!$X16),1)),Simulations!$CP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U16="",200,Simulations!$U16)^2*IF(Simulations!$X16="",1000,Simulations!$X16)/2^1.5*(2/3*LN(Simulations!$CR16/IF(Simulations!$J16="",1000,Simulations!$J16))^1.5+SQRT(LN(Simulations!$CR16/IF(Simulations!$J16="",1000,Simulations!$J16)))+Simulations!$CR16/IF(Simulations!$J16="",1000,Simulations!$J16)*SQRT(PI())/2*ERFC(SQRT(LN(Simulations!$CR16/IF(Simulations!$J16="",1000,Simulations!$J16))))),PI()*IF(Simulations!$U16="",200,Simulations!$U16)^2/2*(LN(Simulations!$CR16/IF(Simulations!$J16="",1000,Simulations!$J16))+1))))</f>
        <v>0</v>
      </c>
      <c r="V16" s="0" t="n">
        <f aca="false">IF(OR(NOT(AND(Simulations!$A16&lt;&gt;"",OR(Simulations!$CN16&lt;&gt;"",N(Simulations!$CP16)&gt;0))),N(Simulations!$CS16)&lt;=0,N(Simulations!$CP16)&lt;=0,3&gt;N(IF(Simulations!$O16="",1,Simulations!$O16))),0,IF(Simulations!$CS16&lt;IF(Simulations!$J16="",1000,Simulations!$J16),Simulations!$CP16/(IF(Simulations!$G16="",5000,Simulations!$G16)*IF(Simulations!$H16="",5000,Simulations!$H16)*IF(IF(Simulations!$I16="",5000,Simulations!$I16)&gt;0,IF(Simulations!$I16="",5000,Simulations!$I16),1))*Simulations!$CS16*(PI()/2*IF(Simulations!$V16="",200,Simulations!$V16)^2*IF(IF(Simulations!$I16="",5000,Simulations!$I16)&gt;0,SQRT(PI()/2)*IF(Simulations!$Y16="",1000,Simulations!$Y16),1)),Simulations!$CP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V16="",200,Simulations!$V16)^2*IF(Simulations!$Y16="",1000,Simulations!$Y16)/2^1.5*(2/3*LN(Simulations!$CS16/IF(Simulations!$J16="",1000,Simulations!$J16))^1.5+SQRT(LN(Simulations!$CS16/IF(Simulations!$J16="",1000,Simulations!$J16)))+Simulations!$CS16/IF(Simulations!$J16="",1000,Simulations!$J16)*SQRT(PI())/2*ERFC(SQRT(LN(Simulations!$CS16/IF(Simulations!$J16="",1000,Simulations!$J16))))),PI()*IF(Simulations!$V16="",200,Simulations!$V16)^2/2*(LN(Simulations!$CS16/IF(Simulations!$J16="",1000,Simulations!$J16))+1))))</f>
        <v>0</v>
      </c>
      <c r="W16" s="0" t="n">
        <f aca="false">IF(NOT(AND(Simulations!$A16&lt;&gt;"",OR(Simulations!$CN16&lt;&gt;"",N(Simulations!$CP16)&gt;0))),0,MAX(N(Simulations!$CQ16),N(Simulations!$CR16),N(Simulations!$CS16))/IF(Simulations!$J16="",1000,Simulations!$J16))</f>
        <v>0</v>
      </c>
      <c r="X16" s="0" t="n">
        <f aca="false">IF(OR(NOT(AND(Simulations!$A16&lt;&gt;"",OR(Simulations!$CN16&lt;&gt;"",N(Simulations!$CP16)&gt;0))),N(Simulations!$CO16)&lt;=0),0,SQRT(2*Simulations!$CO16*1000000/(IF(Simulations!$J16="",1000,Simulations!$J16)*1000))/MIN(IF(Simulations!$T16="",200,Simulations!$T16),IF(Simulations!$U16="",200,Simulations!$U16),IF(Simulations!$V16="",200,Simulations!$V16)))</f>
        <v>0</v>
      </c>
      <c r="Y16" s="0" t="n">
        <f aca="false">IF(AND(Simulations!$A16&lt;&gt;"",OR(Simulations!$CN16&lt;&gt;"",N(Simulations!$CP16)&gt;0)),1,0)</f>
        <v>0</v>
      </c>
      <c r="Z16" s="0" t="n">
        <f aca="false">IF(OR(NOT(AND(Simulations!$A16&lt;&gt;"",OR(Simulations!$DF16&lt;&gt;"",N(Simulations!$DH16)&gt;0))),N(Simulations!$DI16)&lt;=0,N(Simulations!$DH16)&lt;=0,1&gt;N(IF(Simulations!$O16="",1,Simulations!$O16))),0,IF(Simulations!$DI16&lt;IF(Simulations!$J16="",1000,Simulations!$J16),Simulations!$DH16/(IF(Simulations!$G16="",5000,Simulations!$G16)*IF(Simulations!$H16="",5000,Simulations!$H16)*IF(IF(Simulations!$I16="",5000,Simulations!$I16)&gt;0,IF(Simulations!$I16="",5000,Simulations!$I16),1))*Simulations!$DI16*(PI()/2*IF(Simulations!$T16="",200,Simulations!$T16)^2*IF(IF(Simulations!$I16="",5000,Simulations!$I16)&gt;0,SQRT(PI()/2)*IF(Simulations!$W16="",1000,Simulations!$W16),1)),Simulations!$DH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T16="",200,Simulations!$T16)^2*IF(Simulations!$W16="",1000,Simulations!$W16)/2^1.5*(2/3*LN(Simulations!$DI16/IF(Simulations!$J16="",1000,Simulations!$J16))^1.5+SQRT(LN(Simulations!$DI16/IF(Simulations!$J16="",1000,Simulations!$J16)))+Simulations!$DI16/IF(Simulations!$J16="",1000,Simulations!$J16)*SQRT(PI())/2*ERFC(SQRT(LN(Simulations!$DI16/IF(Simulations!$J16="",1000,Simulations!$J16))))),PI()*IF(Simulations!$T16="",200,Simulations!$T16)^2/2*(LN(Simulations!$DI16/IF(Simulations!$J16="",1000,Simulations!$J16))+1))))</f>
        <v>0</v>
      </c>
      <c r="AA16" s="0" t="n">
        <f aca="false">IF(OR(NOT(AND(Simulations!$A16&lt;&gt;"",OR(Simulations!$DF16&lt;&gt;"",N(Simulations!$DH16)&gt;0))),N(Simulations!$DJ16)&lt;=0,N(Simulations!$DH16)&lt;=0,2&gt;N(IF(Simulations!$O16="",1,Simulations!$O16))),0,IF(Simulations!$DJ16&lt;IF(Simulations!$J16="",1000,Simulations!$J16),Simulations!$DH16/(IF(Simulations!$G16="",5000,Simulations!$G16)*IF(Simulations!$H16="",5000,Simulations!$H16)*IF(IF(Simulations!$I16="",5000,Simulations!$I16)&gt;0,IF(Simulations!$I16="",5000,Simulations!$I16),1))*Simulations!$DJ16*(PI()/2*IF(Simulations!$U16="",200,Simulations!$U16)^2*IF(IF(Simulations!$I16="",5000,Simulations!$I16)&gt;0,SQRT(PI()/2)*IF(Simulations!$X16="",1000,Simulations!$X16),1)),Simulations!$DH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U16="",200,Simulations!$U16)^2*IF(Simulations!$X16="",1000,Simulations!$X16)/2^1.5*(2/3*LN(Simulations!$DJ16/IF(Simulations!$J16="",1000,Simulations!$J16))^1.5+SQRT(LN(Simulations!$DJ16/IF(Simulations!$J16="",1000,Simulations!$J16)))+Simulations!$DJ16/IF(Simulations!$J16="",1000,Simulations!$J16)*SQRT(PI())/2*ERFC(SQRT(LN(Simulations!$DJ16/IF(Simulations!$J16="",1000,Simulations!$J16))))),PI()*IF(Simulations!$U16="",200,Simulations!$U16)^2/2*(LN(Simulations!$DJ16/IF(Simulations!$J16="",1000,Simulations!$J16))+1))))</f>
        <v>0</v>
      </c>
      <c r="AB16" s="0" t="n">
        <f aca="false">IF(OR(NOT(AND(Simulations!$A16&lt;&gt;"",OR(Simulations!$DF16&lt;&gt;"",N(Simulations!$DH16)&gt;0))),N(Simulations!$DK16)&lt;=0,N(Simulations!$DH16)&lt;=0,3&gt;N(IF(Simulations!$O16="",1,Simulations!$O16))),0,IF(Simulations!$DK16&lt;IF(Simulations!$J16="",1000,Simulations!$J16),Simulations!$DH16/(IF(Simulations!$G16="",5000,Simulations!$G16)*IF(Simulations!$H16="",5000,Simulations!$H16)*IF(IF(Simulations!$I16="",5000,Simulations!$I16)&gt;0,IF(Simulations!$I16="",5000,Simulations!$I16),1))*Simulations!$DK16*(PI()/2*IF(Simulations!$V16="",200,Simulations!$V16)^2*IF(IF(Simulations!$I16="",5000,Simulations!$I16)&gt;0,SQRT(PI()/2)*IF(Simulations!$Y16="",1000,Simulations!$Y16),1)),Simulations!$DH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V16="",200,Simulations!$V16)^2*IF(Simulations!$Y16="",1000,Simulations!$Y16)/2^1.5*(2/3*LN(Simulations!$DK16/IF(Simulations!$J16="",1000,Simulations!$J16))^1.5+SQRT(LN(Simulations!$DK16/IF(Simulations!$J16="",1000,Simulations!$J16)))+Simulations!$DK16/IF(Simulations!$J16="",1000,Simulations!$J16)*SQRT(PI())/2*ERFC(SQRT(LN(Simulations!$DK16/IF(Simulations!$J16="",1000,Simulations!$J16))))),PI()*IF(Simulations!$V16="",200,Simulations!$V16)^2/2*(LN(Simulations!$DK16/IF(Simulations!$J16="",1000,Simulations!$J16))+1))))</f>
        <v>0</v>
      </c>
      <c r="AC16" s="0" t="n">
        <f aca="false">IF(NOT(AND(Simulations!$A16&lt;&gt;"",OR(Simulations!$DF16&lt;&gt;"",N(Simulations!$DH16)&gt;0))),0,MAX(N(Simulations!$DI16),N(Simulations!$DJ16),N(Simulations!$DK16))/IF(Simulations!$J16="",1000,Simulations!$J16))</f>
        <v>0</v>
      </c>
      <c r="AD16" s="0" t="n">
        <f aca="false">IF(OR(NOT(AND(Simulations!$A16&lt;&gt;"",OR(Simulations!$DF16&lt;&gt;"",N(Simulations!$DH16)&gt;0))),N(Simulations!$DG16)&lt;=0),0,SQRT(2*Simulations!$DG16*1000000/(IF(Simulations!$J16="",1000,Simulations!$J16)*1000))/MIN(IF(Simulations!$T16="",200,Simulations!$T16),IF(Simulations!$U16="",200,Simulations!$U16),IF(Simulations!$V16="",200,Simulations!$V16)))</f>
        <v>0</v>
      </c>
      <c r="AE16" s="0" t="n">
        <f aca="false">IF(AND(Simulations!$A16&lt;&gt;"",OR(Simulations!$DF16&lt;&gt;"",N(Simulations!$DH16)&gt;0)),1,0)</f>
        <v>0</v>
      </c>
      <c r="AF16" s="0" t="n">
        <f aca="false">IF(OR(NOT(AND(Simulations!$A16&lt;&gt;"",OR(Simulations!$DX16&lt;&gt;"",N(Simulations!$DZ16)&gt;0))),N(Simulations!$EA16)&lt;=0,N(Simulations!$DZ16)&lt;=0,1&gt;N(IF(Simulations!$O16="",1,Simulations!$O16))),0,IF(Simulations!$EA16&lt;IF(Simulations!$J16="",1000,Simulations!$J16),Simulations!$DZ16/(IF(Simulations!$G16="",5000,Simulations!$G16)*IF(Simulations!$H16="",5000,Simulations!$H16)*IF(IF(Simulations!$I16="",5000,Simulations!$I16)&gt;0,IF(Simulations!$I16="",5000,Simulations!$I16),1))*Simulations!$EA16*(PI()/2*IF(Simulations!$T16="",200,Simulations!$T16)^2*IF(IF(Simulations!$I16="",5000,Simulations!$I16)&gt;0,SQRT(PI()/2)*IF(Simulations!$W16="",1000,Simulations!$W16),1)),Simulations!$DZ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T16="",200,Simulations!$T16)^2*IF(Simulations!$W16="",1000,Simulations!$W16)/2^1.5*(2/3*LN(Simulations!$EA16/IF(Simulations!$J16="",1000,Simulations!$J16))^1.5+SQRT(LN(Simulations!$EA16/IF(Simulations!$J16="",1000,Simulations!$J16)))+Simulations!$EA16/IF(Simulations!$J16="",1000,Simulations!$J16)*SQRT(PI())/2*ERFC(SQRT(LN(Simulations!$EA16/IF(Simulations!$J16="",1000,Simulations!$J16))))),PI()*IF(Simulations!$T16="",200,Simulations!$T16)^2/2*(LN(Simulations!$EA16/IF(Simulations!$J16="",1000,Simulations!$J16))+1))))</f>
        <v>0</v>
      </c>
      <c r="AG16" s="0" t="n">
        <f aca="false">IF(OR(NOT(AND(Simulations!$A16&lt;&gt;"",OR(Simulations!$DX16&lt;&gt;"",N(Simulations!$DZ16)&gt;0))),N(Simulations!$EB16)&lt;=0,N(Simulations!$DZ16)&lt;=0,2&gt;N(IF(Simulations!$O16="",1,Simulations!$O16))),0,IF(Simulations!$EB16&lt;IF(Simulations!$J16="",1000,Simulations!$J16),Simulations!$DZ16/(IF(Simulations!$G16="",5000,Simulations!$G16)*IF(Simulations!$H16="",5000,Simulations!$H16)*IF(IF(Simulations!$I16="",5000,Simulations!$I16)&gt;0,IF(Simulations!$I16="",5000,Simulations!$I16),1))*Simulations!$EB16*(PI()/2*IF(Simulations!$U16="",200,Simulations!$U16)^2*IF(IF(Simulations!$I16="",5000,Simulations!$I16)&gt;0,SQRT(PI()/2)*IF(Simulations!$X16="",1000,Simulations!$X16),1)),Simulations!$DZ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U16="",200,Simulations!$U16)^2*IF(Simulations!$X16="",1000,Simulations!$X16)/2^1.5*(2/3*LN(Simulations!$EB16/IF(Simulations!$J16="",1000,Simulations!$J16))^1.5+SQRT(LN(Simulations!$EB16/IF(Simulations!$J16="",1000,Simulations!$J16)))+Simulations!$EB16/IF(Simulations!$J16="",1000,Simulations!$J16)*SQRT(PI())/2*ERFC(SQRT(LN(Simulations!$EB16/IF(Simulations!$J16="",1000,Simulations!$J16))))),PI()*IF(Simulations!$U16="",200,Simulations!$U16)^2/2*(LN(Simulations!$EB16/IF(Simulations!$J16="",1000,Simulations!$J16))+1))))</f>
        <v>0</v>
      </c>
      <c r="AH16" s="0" t="n">
        <f aca="false">IF(OR(NOT(AND(Simulations!$A16&lt;&gt;"",OR(Simulations!$DX16&lt;&gt;"",N(Simulations!$DZ16)&gt;0))),N(Simulations!$EC16)&lt;=0,N(Simulations!$DZ16)&lt;=0,3&gt;N(IF(Simulations!$O16="",1,Simulations!$O16))),0,IF(Simulations!$EC16&lt;IF(Simulations!$J16="",1000,Simulations!$J16),Simulations!$DZ16/(IF(Simulations!$G16="",5000,Simulations!$G16)*IF(Simulations!$H16="",5000,Simulations!$H16)*IF(IF(Simulations!$I16="",5000,Simulations!$I16)&gt;0,IF(Simulations!$I16="",5000,Simulations!$I16),1))*Simulations!$EC16*(PI()/2*IF(Simulations!$V16="",200,Simulations!$V16)^2*IF(IF(Simulations!$I16="",5000,Simulations!$I16)&gt;0,SQRT(PI()/2)*IF(Simulations!$Y16="",1000,Simulations!$Y16),1)),Simulations!$DZ16/(IF(Simulations!$G16="",5000,Simulations!$G16)*IF(Simulations!$H16="",5000,Simulations!$H16)*IF(IF(Simulations!$I16="",5000,Simulations!$I16)&gt;0,IF(Simulations!$I16="",5000,Simulations!$I16),1))*IF(Simulations!$J16="",1000,Simulations!$J16)*IF(IF(Simulations!$I16="",5000,Simulations!$I16)&gt;0,2*PI()*IF(Simulations!$V16="",200,Simulations!$V16)^2*IF(Simulations!$Y16="",1000,Simulations!$Y16)/2^1.5*(2/3*LN(Simulations!$EC16/IF(Simulations!$J16="",1000,Simulations!$J16))^1.5+SQRT(LN(Simulations!$EC16/IF(Simulations!$J16="",1000,Simulations!$J16)))+Simulations!$EC16/IF(Simulations!$J16="",1000,Simulations!$J16)*SQRT(PI())/2*ERFC(SQRT(LN(Simulations!$EC16/IF(Simulations!$J16="",1000,Simulations!$J16))))),PI()*IF(Simulations!$V16="",200,Simulations!$V16)^2/2*(LN(Simulations!$EC16/IF(Simulations!$J16="",1000,Simulations!$J16))+1))))</f>
        <v>0</v>
      </c>
      <c r="AI16" s="0" t="n">
        <f aca="false">IF(NOT(AND(Simulations!$A16&lt;&gt;"",OR(Simulations!$DX16&lt;&gt;"",N(Simulations!$DZ16)&gt;0))),0,MAX(N(Simulations!$EA16),N(Simulations!$EB16),N(Simulations!$EC16))/IF(Simulations!$J16="",1000,Simulations!$J16))</f>
        <v>0</v>
      </c>
      <c r="AJ16" s="0" t="n">
        <f aca="false">IF(OR(NOT(AND(Simulations!$A16&lt;&gt;"",OR(Simulations!$DX16&lt;&gt;"",N(Simulations!$DZ16)&gt;0))),N(Simulations!$DY16)&lt;=0),0,SQRT(2*Simulations!$DY16*1000000/(IF(Simulations!$J16="",1000,Simulations!$J16)*1000))/MIN(IF(Simulations!$T16="",200,Simulations!$T16),IF(Simulations!$U16="",200,Simulations!$U16),IF(Simulations!$V16="",200,Simulations!$V16)))</f>
        <v>0</v>
      </c>
      <c r="AK16" s="0" t="n">
        <f aca="false">IF(AND(Simulations!$A16&lt;&gt;"",OR(Simulations!$DX16&lt;&gt;"",N(Simulations!$DZ16)&gt;0)),1,0)</f>
        <v>0</v>
      </c>
    </row>
    <row r="17" customFormat="false" ht="15" hidden="false" customHeight="false" outlineLevel="0" collapsed="false">
      <c r="B17" s="0" t="n">
        <f aca="false">IF(OR(NOT(AND(Simulations!$A17&lt;&gt;"",OR(Simulations!$AL17&lt;&gt;"",N(Simulations!$AN17)&gt;0))),N(Simulations!$AO17)&lt;=0,N(Simulations!$AN17)&lt;=0,1&gt;N(IF(Simulations!$O17="",1,Simulations!$O17))),0,IF(Simulations!$AO17&lt;IF(Simulations!$J17="",1000,Simulations!$J17),Simulations!$AN17/(IF(Simulations!$G17="",5000,Simulations!$G17)*IF(Simulations!$H17="",5000,Simulations!$H17)*IF(IF(Simulations!$I17="",5000,Simulations!$I17)&gt;0,IF(Simulations!$I17="",5000,Simulations!$I17),1))*Simulations!$AO17*(PI()/2*IF(Simulations!$T17="",200,Simulations!$T17)^2*IF(IF(Simulations!$I17="",5000,Simulations!$I17)&gt;0,SQRT(PI()/2)*IF(Simulations!$W17="",1000,Simulations!$W17),1)),Simulations!$AN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T17="",200,Simulations!$T17)^2*IF(Simulations!$W17="",1000,Simulations!$W17)/2^1.5*(2/3*LN(Simulations!$AO17/IF(Simulations!$J17="",1000,Simulations!$J17))^1.5+SQRT(LN(Simulations!$AO17/IF(Simulations!$J17="",1000,Simulations!$J17)))+Simulations!$AO17/IF(Simulations!$J17="",1000,Simulations!$J17)*SQRT(PI())/2*ERFC(SQRT(LN(Simulations!$AO17/IF(Simulations!$J17="",1000,Simulations!$J17))))),PI()*IF(Simulations!$T17="",200,Simulations!$T17)^2/2*(LN(Simulations!$AO17/IF(Simulations!$J17="",1000,Simulations!$J17))+1))))</f>
        <v>0</v>
      </c>
      <c r="C17" s="0" t="n">
        <f aca="false">IF(OR(NOT(AND(Simulations!$A17&lt;&gt;"",OR(Simulations!$AL17&lt;&gt;"",N(Simulations!$AN17)&gt;0))),N(Simulations!$AP17)&lt;=0,N(Simulations!$AN17)&lt;=0,2&gt;N(IF(Simulations!$O17="",1,Simulations!$O17))),0,IF(Simulations!$AP17&lt;IF(Simulations!$J17="",1000,Simulations!$J17),Simulations!$AN17/(IF(Simulations!$G17="",5000,Simulations!$G17)*IF(Simulations!$H17="",5000,Simulations!$H17)*IF(IF(Simulations!$I17="",5000,Simulations!$I17)&gt;0,IF(Simulations!$I17="",5000,Simulations!$I17),1))*Simulations!$AP17*(PI()/2*IF(Simulations!$U17="",200,Simulations!$U17)^2*IF(IF(Simulations!$I17="",5000,Simulations!$I17)&gt;0,SQRT(PI()/2)*IF(Simulations!$X17="",1000,Simulations!$X17),1)),Simulations!$AN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U17="",200,Simulations!$U17)^2*IF(Simulations!$X17="",1000,Simulations!$X17)/2^1.5*(2/3*LN(Simulations!$AP17/IF(Simulations!$J17="",1000,Simulations!$J17))^1.5+SQRT(LN(Simulations!$AP17/IF(Simulations!$J17="",1000,Simulations!$J17)))+Simulations!$AP17/IF(Simulations!$J17="",1000,Simulations!$J17)*SQRT(PI())/2*ERFC(SQRT(LN(Simulations!$AP17/IF(Simulations!$J17="",1000,Simulations!$J17))))),PI()*IF(Simulations!$U17="",200,Simulations!$U17)^2/2*(LN(Simulations!$AP17/IF(Simulations!$J17="",1000,Simulations!$J17))+1))))</f>
        <v>0</v>
      </c>
      <c r="D17" s="0" t="n">
        <f aca="false">IF(OR(NOT(AND(Simulations!$A17&lt;&gt;"",OR(Simulations!$AL17&lt;&gt;"",N(Simulations!$AN17)&gt;0))),N(Simulations!$AQ17)&lt;=0,N(Simulations!$AN17)&lt;=0,3&gt;N(IF(Simulations!$O17="",1,Simulations!$O17))),0,IF(Simulations!$AQ17&lt;IF(Simulations!$J17="",1000,Simulations!$J17),Simulations!$AN17/(IF(Simulations!$G17="",5000,Simulations!$G17)*IF(Simulations!$H17="",5000,Simulations!$H17)*IF(IF(Simulations!$I17="",5000,Simulations!$I17)&gt;0,IF(Simulations!$I17="",5000,Simulations!$I17),1))*Simulations!$AQ17*(PI()/2*IF(Simulations!$V17="",200,Simulations!$V17)^2*IF(IF(Simulations!$I17="",5000,Simulations!$I17)&gt;0,SQRT(PI()/2)*IF(Simulations!$Y17="",1000,Simulations!$Y17),1)),Simulations!$AN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V17="",200,Simulations!$V17)^2*IF(Simulations!$Y17="",1000,Simulations!$Y17)/2^1.5*(2/3*LN(Simulations!$AQ17/IF(Simulations!$J17="",1000,Simulations!$J17))^1.5+SQRT(LN(Simulations!$AQ17/IF(Simulations!$J17="",1000,Simulations!$J17)))+Simulations!$AQ17/IF(Simulations!$J17="",1000,Simulations!$J17)*SQRT(PI())/2*ERFC(SQRT(LN(Simulations!$AQ17/IF(Simulations!$J17="",1000,Simulations!$J17))))),PI()*IF(Simulations!$V17="",200,Simulations!$V17)^2/2*(LN(Simulations!$AQ17/IF(Simulations!$J17="",1000,Simulations!$J17))+1))))</f>
        <v>0</v>
      </c>
      <c r="E17" s="0" t="n">
        <f aca="false">IF(NOT(AND(Simulations!$A17&lt;&gt;"",OR(Simulations!$AL17&lt;&gt;"",N(Simulations!$AN17)&gt;0))),0,MAX(N(Simulations!$AO17),N(Simulations!$AP17),N(Simulations!$AQ17))/IF(Simulations!$J17="",1000,Simulations!$J17))</f>
        <v>0</v>
      </c>
      <c r="F17" s="0" t="n">
        <f aca="false">IF(OR(NOT(AND(Simulations!$A17&lt;&gt;"",OR(Simulations!$AL17&lt;&gt;"",N(Simulations!$AN17)&gt;0))),N(Simulations!$AM17)&lt;=0),0,SQRT(2*Simulations!$AM17*1000000/(IF(Simulations!$J17="",1000,Simulations!$J17)*1000))/MIN(IF(Simulations!$T17="",200,Simulations!$T17),IF(Simulations!$U17="",200,Simulations!$U17),IF(Simulations!$V17="",200,Simulations!$V17)))</f>
        <v>0</v>
      </c>
      <c r="G17" s="0" t="n">
        <f aca="false">IF(AND(Simulations!$A17&lt;&gt;"",OR(Simulations!$AL17&lt;&gt;"",N(Simulations!$AN17)&gt;0)),1,0)</f>
        <v>0</v>
      </c>
      <c r="H17" s="0" t="n">
        <f aca="false">IF(OR(NOT(AND(Simulations!$A17&lt;&gt;"",OR(Simulations!$BD17&lt;&gt;"",N(Simulations!$BF17)&gt;0))),N(Simulations!$BG17)&lt;=0,N(Simulations!$BF17)&lt;=0,1&gt;N(IF(Simulations!$O17="",1,Simulations!$O17))),0,IF(Simulations!$BG17&lt;IF(Simulations!$J17="",1000,Simulations!$J17),Simulations!$BF17/(IF(Simulations!$G17="",5000,Simulations!$G17)*IF(Simulations!$H17="",5000,Simulations!$H17)*IF(IF(Simulations!$I17="",5000,Simulations!$I17)&gt;0,IF(Simulations!$I17="",5000,Simulations!$I17),1))*Simulations!$BG17*(PI()/2*IF(Simulations!$T17="",200,Simulations!$T17)^2*IF(IF(Simulations!$I17="",5000,Simulations!$I17)&gt;0,SQRT(PI()/2)*IF(Simulations!$W17="",1000,Simulations!$W17),1)),Simulations!$BF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T17="",200,Simulations!$T17)^2*IF(Simulations!$W17="",1000,Simulations!$W17)/2^1.5*(2/3*LN(Simulations!$BG17/IF(Simulations!$J17="",1000,Simulations!$J17))^1.5+SQRT(LN(Simulations!$BG17/IF(Simulations!$J17="",1000,Simulations!$J17)))+Simulations!$BG17/IF(Simulations!$J17="",1000,Simulations!$J17)*SQRT(PI())/2*ERFC(SQRT(LN(Simulations!$BG17/IF(Simulations!$J17="",1000,Simulations!$J17))))),PI()*IF(Simulations!$T17="",200,Simulations!$T17)^2/2*(LN(Simulations!$BG17/IF(Simulations!$J17="",1000,Simulations!$J17))+1))))</f>
        <v>0</v>
      </c>
      <c r="I17" s="0" t="n">
        <f aca="false">IF(OR(NOT(AND(Simulations!$A17&lt;&gt;"",OR(Simulations!$BD17&lt;&gt;"",N(Simulations!$BF17)&gt;0))),N(Simulations!$BH17)&lt;=0,N(Simulations!$BF17)&lt;=0,2&gt;N(IF(Simulations!$O17="",1,Simulations!$O17))),0,IF(Simulations!$BH17&lt;IF(Simulations!$J17="",1000,Simulations!$J17),Simulations!$BF17/(IF(Simulations!$G17="",5000,Simulations!$G17)*IF(Simulations!$H17="",5000,Simulations!$H17)*IF(IF(Simulations!$I17="",5000,Simulations!$I17)&gt;0,IF(Simulations!$I17="",5000,Simulations!$I17),1))*Simulations!$BH17*(PI()/2*IF(Simulations!$U17="",200,Simulations!$U17)^2*IF(IF(Simulations!$I17="",5000,Simulations!$I17)&gt;0,SQRT(PI()/2)*IF(Simulations!$X17="",1000,Simulations!$X17),1)),Simulations!$BF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U17="",200,Simulations!$U17)^2*IF(Simulations!$X17="",1000,Simulations!$X17)/2^1.5*(2/3*LN(Simulations!$BH17/IF(Simulations!$J17="",1000,Simulations!$J17))^1.5+SQRT(LN(Simulations!$BH17/IF(Simulations!$J17="",1000,Simulations!$J17)))+Simulations!$BH17/IF(Simulations!$J17="",1000,Simulations!$J17)*SQRT(PI())/2*ERFC(SQRT(LN(Simulations!$BH17/IF(Simulations!$J17="",1000,Simulations!$J17))))),PI()*IF(Simulations!$U17="",200,Simulations!$U17)^2/2*(LN(Simulations!$BH17/IF(Simulations!$J17="",1000,Simulations!$J17))+1))))</f>
        <v>0</v>
      </c>
      <c r="J17" s="0" t="n">
        <f aca="false">IF(OR(NOT(AND(Simulations!$A17&lt;&gt;"",OR(Simulations!$BD17&lt;&gt;"",N(Simulations!$BF17)&gt;0))),N(Simulations!$BI17)&lt;=0,N(Simulations!$BF17)&lt;=0,3&gt;N(IF(Simulations!$O17="",1,Simulations!$O17))),0,IF(Simulations!$BI17&lt;IF(Simulations!$J17="",1000,Simulations!$J17),Simulations!$BF17/(IF(Simulations!$G17="",5000,Simulations!$G17)*IF(Simulations!$H17="",5000,Simulations!$H17)*IF(IF(Simulations!$I17="",5000,Simulations!$I17)&gt;0,IF(Simulations!$I17="",5000,Simulations!$I17),1))*Simulations!$BI17*(PI()/2*IF(Simulations!$V17="",200,Simulations!$V17)^2*IF(IF(Simulations!$I17="",5000,Simulations!$I17)&gt;0,SQRT(PI()/2)*IF(Simulations!$Y17="",1000,Simulations!$Y17),1)),Simulations!$BF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V17="",200,Simulations!$V17)^2*IF(Simulations!$Y17="",1000,Simulations!$Y17)/2^1.5*(2/3*LN(Simulations!$BI17/IF(Simulations!$J17="",1000,Simulations!$J17))^1.5+SQRT(LN(Simulations!$BI17/IF(Simulations!$J17="",1000,Simulations!$J17)))+Simulations!$BI17/IF(Simulations!$J17="",1000,Simulations!$J17)*SQRT(PI())/2*ERFC(SQRT(LN(Simulations!$BI17/IF(Simulations!$J17="",1000,Simulations!$J17))))),PI()*IF(Simulations!$V17="",200,Simulations!$V17)^2/2*(LN(Simulations!$BI17/IF(Simulations!$J17="",1000,Simulations!$J17))+1))))</f>
        <v>0</v>
      </c>
      <c r="K17" s="0" t="n">
        <f aca="false">IF(NOT(AND(Simulations!$A17&lt;&gt;"",OR(Simulations!$BD17&lt;&gt;"",N(Simulations!$BF17)&gt;0))),0,MAX(N(Simulations!$BG17),N(Simulations!$BH17),N(Simulations!$BI17))/IF(Simulations!$J17="",1000,Simulations!$J17))</f>
        <v>0</v>
      </c>
      <c r="L17" s="0" t="n">
        <f aca="false">IF(OR(NOT(AND(Simulations!$A17&lt;&gt;"",OR(Simulations!$BD17&lt;&gt;"",N(Simulations!$BF17)&gt;0))),N(Simulations!$BE17)&lt;=0),0,SQRT(2*Simulations!$BE17*1000000/(IF(Simulations!$J17="",1000,Simulations!$J17)*1000))/MIN(IF(Simulations!$T17="",200,Simulations!$T17),IF(Simulations!$U17="",200,Simulations!$U17),IF(Simulations!$V17="",200,Simulations!$V17)))</f>
        <v>0</v>
      </c>
      <c r="M17" s="0" t="n">
        <f aca="false">IF(AND(Simulations!$A17&lt;&gt;"",OR(Simulations!$BD17&lt;&gt;"",N(Simulations!$BF17)&gt;0)),1,0)</f>
        <v>0</v>
      </c>
      <c r="N17" s="0" t="n">
        <f aca="false">IF(OR(NOT(AND(Simulations!$A17&lt;&gt;"",OR(Simulations!$BV17&lt;&gt;"",N(Simulations!$BX17)&gt;0))),N(Simulations!$BY17)&lt;=0,N(Simulations!$BX17)&lt;=0,1&gt;N(IF(Simulations!$O17="",1,Simulations!$O17))),0,IF(Simulations!$BY17&lt;IF(Simulations!$J17="",1000,Simulations!$J17),Simulations!$BX17/(IF(Simulations!$G17="",5000,Simulations!$G17)*IF(Simulations!$H17="",5000,Simulations!$H17)*IF(IF(Simulations!$I17="",5000,Simulations!$I17)&gt;0,IF(Simulations!$I17="",5000,Simulations!$I17),1))*Simulations!$BY17*(PI()/2*IF(Simulations!$T17="",200,Simulations!$T17)^2*IF(IF(Simulations!$I17="",5000,Simulations!$I17)&gt;0,SQRT(PI()/2)*IF(Simulations!$W17="",1000,Simulations!$W17),1)),Simulations!$BX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T17="",200,Simulations!$T17)^2*IF(Simulations!$W17="",1000,Simulations!$W17)/2^1.5*(2/3*LN(Simulations!$BY17/IF(Simulations!$J17="",1000,Simulations!$J17))^1.5+SQRT(LN(Simulations!$BY17/IF(Simulations!$J17="",1000,Simulations!$J17)))+Simulations!$BY17/IF(Simulations!$J17="",1000,Simulations!$J17)*SQRT(PI())/2*ERFC(SQRT(LN(Simulations!$BY17/IF(Simulations!$J17="",1000,Simulations!$J17))))),PI()*IF(Simulations!$T17="",200,Simulations!$T17)^2/2*(LN(Simulations!$BY17/IF(Simulations!$J17="",1000,Simulations!$J17))+1))))</f>
        <v>0</v>
      </c>
      <c r="O17" s="0" t="n">
        <f aca="false">IF(OR(NOT(AND(Simulations!$A17&lt;&gt;"",OR(Simulations!$BV17&lt;&gt;"",N(Simulations!$BX17)&gt;0))),N(Simulations!$BZ17)&lt;=0,N(Simulations!$BX17)&lt;=0,2&gt;N(IF(Simulations!$O17="",1,Simulations!$O17))),0,IF(Simulations!$BZ17&lt;IF(Simulations!$J17="",1000,Simulations!$J17),Simulations!$BX17/(IF(Simulations!$G17="",5000,Simulations!$G17)*IF(Simulations!$H17="",5000,Simulations!$H17)*IF(IF(Simulations!$I17="",5000,Simulations!$I17)&gt;0,IF(Simulations!$I17="",5000,Simulations!$I17),1))*Simulations!$BZ17*(PI()/2*IF(Simulations!$U17="",200,Simulations!$U17)^2*IF(IF(Simulations!$I17="",5000,Simulations!$I17)&gt;0,SQRT(PI()/2)*IF(Simulations!$X17="",1000,Simulations!$X17),1)),Simulations!$BX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U17="",200,Simulations!$U17)^2*IF(Simulations!$X17="",1000,Simulations!$X17)/2^1.5*(2/3*LN(Simulations!$BZ17/IF(Simulations!$J17="",1000,Simulations!$J17))^1.5+SQRT(LN(Simulations!$BZ17/IF(Simulations!$J17="",1000,Simulations!$J17)))+Simulations!$BZ17/IF(Simulations!$J17="",1000,Simulations!$J17)*SQRT(PI())/2*ERFC(SQRT(LN(Simulations!$BZ17/IF(Simulations!$J17="",1000,Simulations!$J17))))),PI()*IF(Simulations!$U17="",200,Simulations!$U17)^2/2*(LN(Simulations!$BZ17/IF(Simulations!$J17="",1000,Simulations!$J17))+1))))</f>
        <v>0</v>
      </c>
      <c r="P17" s="0" t="n">
        <f aca="false">IF(OR(NOT(AND(Simulations!$A17&lt;&gt;"",OR(Simulations!$BV17&lt;&gt;"",N(Simulations!$BX17)&gt;0))),N(Simulations!$CA17)&lt;=0,N(Simulations!$BX17)&lt;=0,3&gt;N(IF(Simulations!$O17="",1,Simulations!$O17))),0,IF(Simulations!$CA17&lt;IF(Simulations!$J17="",1000,Simulations!$J17),Simulations!$BX17/(IF(Simulations!$G17="",5000,Simulations!$G17)*IF(Simulations!$H17="",5000,Simulations!$H17)*IF(IF(Simulations!$I17="",5000,Simulations!$I17)&gt;0,IF(Simulations!$I17="",5000,Simulations!$I17),1))*Simulations!$CA17*(PI()/2*IF(Simulations!$V17="",200,Simulations!$V17)^2*IF(IF(Simulations!$I17="",5000,Simulations!$I17)&gt;0,SQRT(PI()/2)*IF(Simulations!$Y17="",1000,Simulations!$Y17),1)),Simulations!$BX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V17="",200,Simulations!$V17)^2*IF(Simulations!$Y17="",1000,Simulations!$Y17)/2^1.5*(2/3*LN(Simulations!$CA17/IF(Simulations!$J17="",1000,Simulations!$J17))^1.5+SQRT(LN(Simulations!$CA17/IF(Simulations!$J17="",1000,Simulations!$J17)))+Simulations!$CA17/IF(Simulations!$J17="",1000,Simulations!$J17)*SQRT(PI())/2*ERFC(SQRT(LN(Simulations!$CA17/IF(Simulations!$J17="",1000,Simulations!$J17))))),PI()*IF(Simulations!$V17="",200,Simulations!$V17)^2/2*(LN(Simulations!$CA17/IF(Simulations!$J17="",1000,Simulations!$J17))+1))))</f>
        <v>0</v>
      </c>
      <c r="Q17" s="0" t="n">
        <f aca="false">IF(NOT(AND(Simulations!$A17&lt;&gt;"",OR(Simulations!$BV17&lt;&gt;"",N(Simulations!$BX17)&gt;0))),0,MAX(N(Simulations!$BY17),N(Simulations!$BZ17),N(Simulations!$CA17))/IF(Simulations!$J17="",1000,Simulations!$J17))</f>
        <v>0</v>
      </c>
      <c r="R17" s="0" t="n">
        <f aca="false">IF(OR(NOT(AND(Simulations!$A17&lt;&gt;"",OR(Simulations!$BV17&lt;&gt;"",N(Simulations!$BX17)&gt;0))),N(Simulations!$BW17)&lt;=0),0,SQRT(2*Simulations!$BW17*1000000/(IF(Simulations!$J17="",1000,Simulations!$J17)*1000))/MIN(IF(Simulations!$T17="",200,Simulations!$T17),IF(Simulations!$U17="",200,Simulations!$U17),IF(Simulations!$V17="",200,Simulations!$V17)))</f>
        <v>0</v>
      </c>
      <c r="S17" s="0" t="n">
        <f aca="false">IF(AND(Simulations!$A17&lt;&gt;"",OR(Simulations!$BV17&lt;&gt;"",N(Simulations!$BX17)&gt;0)),1,0)</f>
        <v>0</v>
      </c>
      <c r="T17" s="0" t="n">
        <f aca="false">IF(OR(NOT(AND(Simulations!$A17&lt;&gt;"",OR(Simulations!$CN17&lt;&gt;"",N(Simulations!$CP17)&gt;0))),N(Simulations!$CQ17)&lt;=0,N(Simulations!$CP17)&lt;=0,1&gt;N(IF(Simulations!$O17="",1,Simulations!$O17))),0,IF(Simulations!$CQ17&lt;IF(Simulations!$J17="",1000,Simulations!$J17),Simulations!$CP17/(IF(Simulations!$G17="",5000,Simulations!$G17)*IF(Simulations!$H17="",5000,Simulations!$H17)*IF(IF(Simulations!$I17="",5000,Simulations!$I17)&gt;0,IF(Simulations!$I17="",5000,Simulations!$I17),1))*Simulations!$CQ17*(PI()/2*IF(Simulations!$T17="",200,Simulations!$T17)^2*IF(IF(Simulations!$I17="",5000,Simulations!$I17)&gt;0,SQRT(PI()/2)*IF(Simulations!$W17="",1000,Simulations!$W17),1)),Simulations!$CP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T17="",200,Simulations!$T17)^2*IF(Simulations!$W17="",1000,Simulations!$W17)/2^1.5*(2/3*LN(Simulations!$CQ17/IF(Simulations!$J17="",1000,Simulations!$J17))^1.5+SQRT(LN(Simulations!$CQ17/IF(Simulations!$J17="",1000,Simulations!$J17)))+Simulations!$CQ17/IF(Simulations!$J17="",1000,Simulations!$J17)*SQRT(PI())/2*ERFC(SQRT(LN(Simulations!$CQ17/IF(Simulations!$J17="",1000,Simulations!$J17))))),PI()*IF(Simulations!$T17="",200,Simulations!$T17)^2/2*(LN(Simulations!$CQ17/IF(Simulations!$J17="",1000,Simulations!$J17))+1))))</f>
        <v>0</v>
      </c>
      <c r="U17" s="0" t="n">
        <f aca="false">IF(OR(NOT(AND(Simulations!$A17&lt;&gt;"",OR(Simulations!$CN17&lt;&gt;"",N(Simulations!$CP17)&gt;0))),N(Simulations!$CR17)&lt;=0,N(Simulations!$CP17)&lt;=0,2&gt;N(IF(Simulations!$O17="",1,Simulations!$O17))),0,IF(Simulations!$CR17&lt;IF(Simulations!$J17="",1000,Simulations!$J17),Simulations!$CP17/(IF(Simulations!$G17="",5000,Simulations!$G17)*IF(Simulations!$H17="",5000,Simulations!$H17)*IF(IF(Simulations!$I17="",5000,Simulations!$I17)&gt;0,IF(Simulations!$I17="",5000,Simulations!$I17),1))*Simulations!$CR17*(PI()/2*IF(Simulations!$U17="",200,Simulations!$U17)^2*IF(IF(Simulations!$I17="",5000,Simulations!$I17)&gt;0,SQRT(PI()/2)*IF(Simulations!$X17="",1000,Simulations!$X17),1)),Simulations!$CP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U17="",200,Simulations!$U17)^2*IF(Simulations!$X17="",1000,Simulations!$X17)/2^1.5*(2/3*LN(Simulations!$CR17/IF(Simulations!$J17="",1000,Simulations!$J17))^1.5+SQRT(LN(Simulations!$CR17/IF(Simulations!$J17="",1000,Simulations!$J17)))+Simulations!$CR17/IF(Simulations!$J17="",1000,Simulations!$J17)*SQRT(PI())/2*ERFC(SQRT(LN(Simulations!$CR17/IF(Simulations!$J17="",1000,Simulations!$J17))))),PI()*IF(Simulations!$U17="",200,Simulations!$U17)^2/2*(LN(Simulations!$CR17/IF(Simulations!$J17="",1000,Simulations!$J17))+1))))</f>
        <v>0</v>
      </c>
      <c r="V17" s="0" t="n">
        <f aca="false">IF(OR(NOT(AND(Simulations!$A17&lt;&gt;"",OR(Simulations!$CN17&lt;&gt;"",N(Simulations!$CP17)&gt;0))),N(Simulations!$CS17)&lt;=0,N(Simulations!$CP17)&lt;=0,3&gt;N(IF(Simulations!$O17="",1,Simulations!$O17))),0,IF(Simulations!$CS17&lt;IF(Simulations!$J17="",1000,Simulations!$J17),Simulations!$CP17/(IF(Simulations!$G17="",5000,Simulations!$G17)*IF(Simulations!$H17="",5000,Simulations!$H17)*IF(IF(Simulations!$I17="",5000,Simulations!$I17)&gt;0,IF(Simulations!$I17="",5000,Simulations!$I17),1))*Simulations!$CS17*(PI()/2*IF(Simulations!$V17="",200,Simulations!$V17)^2*IF(IF(Simulations!$I17="",5000,Simulations!$I17)&gt;0,SQRT(PI()/2)*IF(Simulations!$Y17="",1000,Simulations!$Y17),1)),Simulations!$CP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V17="",200,Simulations!$V17)^2*IF(Simulations!$Y17="",1000,Simulations!$Y17)/2^1.5*(2/3*LN(Simulations!$CS17/IF(Simulations!$J17="",1000,Simulations!$J17))^1.5+SQRT(LN(Simulations!$CS17/IF(Simulations!$J17="",1000,Simulations!$J17)))+Simulations!$CS17/IF(Simulations!$J17="",1000,Simulations!$J17)*SQRT(PI())/2*ERFC(SQRT(LN(Simulations!$CS17/IF(Simulations!$J17="",1000,Simulations!$J17))))),PI()*IF(Simulations!$V17="",200,Simulations!$V17)^2/2*(LN(Simulations!$CS17/IF(Simulations!$J17="",1000,Simulations!$J17))+1))))</f>
        <v>0</v>
      </c>
      <c r="W17" s="0" t="n">
        <f aca="false">IF(NOT(AND(Simulations!$A17&lt;&gt;"",OR(Simulations!$CN17&lt;&gt;"",N(Simulations!$CP17)&gt;0))),0,MAX(N(Simulations!$CQ17),N(Simulations!$CR17),N(Simulations!$CS17))/IF(Simulations!$J17="",1000,Simulations!$J17))</f>
        <v>0</v>
      </c>
      <c r="X17" s="0" t="n">
        <f aca="false">IF(OR(NOT(AND(Simulations!$A17&lt;&gt;"",OR(Simulations!$CN17&lt;&gt;"",N(Simulations!$CP17)&gt;0))),N(Simulations!$CO17)&lt;=0),0,SQRT(2*Simulations!$CO17*1000000/(IF(Simulations!$J17="",1000,Simulations!$J17)*1000))/MIN(IF(Simulations!$T17="",200,Simulations!$T17),IF(Simulations!$U17="",200,Simulations!$U17),IF(Simulations!$V17="",200,Simulations!$V17)))</f>
        <v>0</v>
      </c>
      <c r="Y17" s="0" t="n">
        <f aca="false">IF(AND(Simulations!$A17&lt;&gt;"",OR(Simulations!$CN17&lt;&gt;"",N(Simulations!$CP17)&gt;0)),1,0)</f>
        <v>0</v>
      </c>
      <c r="Z17" s="0" t="n">
        <f aca="false">IF(OR(NOT(AND(Simulations!$A17&lt;&gt;"",OR(Simulations!$DF17&lt;&gt;"",N(Simulations!$DH17)&gt;0))),N(Simulations!$DI17)&lt;=0,N(Simulations!$DH17)&lt;=0,1&gt;N(IF(Simulations!$O17="",1,Simulations!$O17))),0,IF(Simulations!$DI17&lt;IF(Simulations!$J17="",1000,Simulations!$J17),Simulations!$DH17/(IF(Simulations!$G17="",5000,Simulations!$G17)*IF(Simulations!$H17="",5000,Simulations!$H17)*IF(IF(Simulations!$I17="",5000,Simulations!$I17)&gt;0,IF(Simulations!$I17="",5000,Simulations!$I17),1))*Simulations!$DI17*(PI()/2*IF(Simulations!$T17="",200,Simulations!$T17)^2*IF(IF(Simulations!$I17="",5000,Simulations!$I17)&gt;0,SQRT(PI()/2)*IF(Simulations!$W17="",1000,Simulations!$W17),1)),Simulations!$DH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T17="",200,Simulations!$T17)^2*IF(Simulations!$W17="",1000,Simulations!$W17)/2^1.5*(2/3*LN(Simulations!$DI17/IF(Simulations!$J17="",1000,Simulations!$J17))^1.5+SQRT(LN(Simulations!$DI17/IF(Simulations!$J17="",1000,Simulations!$J17)))+Simulations!$DI17/IF(Simulations!$J17="",1000,Simulations!$J17)*SQRT(PI())/2*ERFC(SQRT(LN(Simulations!$DI17/IF(Simulations!$J17="",1000,Simulations!$J17))))),PI()*IF(Simulations!$T17="",200,Simulations!$T17)^2/2*(LN(Simulations!$DI17/IF(Simulations!$J17="",1000,Simulations!$J17))+1))))</f>
        <v>0</v>
      </c>
      <c r="AA17" s="0" t="n">
        <f aca="false">IF(OR(NOT(AND(Simulations!$A17&lt;&gt;"",OR(Simulations!$DF17&lt;&gt;"",N(Simulations!$DH17)&gt;0))),N(Simulations!$DJ17)&lt;=0,N(Simulations!$DH17)&lt;=0,2&gt;N(IF(Simulations!$O17="",1,Simulations!$O17))),0,IF(Simulations!$DJ17&lt;IF(Simulations!$J17="",1000,Simulations!$J17),Simulations!$DH17/(IF(Simulations!$G17="",5000,Simulations!$G17)*IF(Simulations!$H17="",5000,Simulations!$H17)*IF(IF(Simulations!$I17="",5000,Simulations!$I17)&gt;0,IF(Simulations!$I17="",5000,Simulations!$I17),1))*Simulations!$DJ17*(PI()/2*IF(Simulations!$U17="",200,Simulations!$U17)^2*IF(IF(Simulations!$I17="",5000,Simulations!$I17)&gt;0,SQRT(PI()/2)*IF(Simulations!$X17="",1000,Simulations!$X17),1)),Simulations!$DH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U17="",200,Simulations!$U17)^2*IF(Simulations!$X17="",1000,Simulations!$X17)/2^1.5*(2/3*LN(Simulations!$DJ17/IF(Simulations!$J17="",1000,Simulations!$J17))^1.5+SQRT(LN(Simulations!$DJ17/IF(Simulations!$J17="",1000,Simulations!$J17)))+Simulations!$DJ17/IF(Simulations!$J17="",1000,Simulations!$J17)*SQRT(PI())/2*ERFC(SQRT(LN(Simulations!$DJ17/IF(Simulations!$J17="",1000,Simulations!$J17))))),PI()*IF(Simulations!$U17="",200,Simulations!$U17)^2/2*(LN(Simulations!$DJ17/IF(Simulations!$J17="",1000,Simulations!$J17))+1))))</f>
        <v>0</v>
      </c>
      <c r="AB17" s="0" t="n">
        <f aca="false">IF(OR(NOT(AND(Simulations!$A17&lt;&gt;"",OR(Simulations!$DF17&lt;&gt;"",N(Simulations!$DH17)&gt;0))),N(Simulations!$DK17)&lt;=0,N(Simulations!$DH17)&lt;=0,3&gt;N(IF(Simulations!$O17="",1,Simulations!$O17))),0,IF(Simulations!$DK17&lt;IF(Simulations!$J17="",1000,Simulations!$J17),Simulations!$DH17/(IF(Simulations!$G17="",5000,Simulations!$G17)*IF(Simulations!$H17="",5000,Simulations!$H17)*IF(IF(Simulations!$I17="",5000,Simulations!$I17)&gt;0,IF(Simulations!$I17="",5000,Simulations!$I17),1))*Simulations!$DK17*(PI()/2*IF(Simulations!$V17="",200,Simulations!$V17)^2*IF(IF(Simulations!$I17="",5000,Simulations!$I17)&gt;0,SQRT(PI()/2)*IF(Simulations!$Y17="",1000,Simulations!$Y17),1)),Simulations!$DH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V17="",200,Simulations!$V17)^2*IF(Simulations!$Y17="",1000,Simulations!$Y17)/2^1.5*(2/3*LN(Simulations!$DK17/IF(Simulations!$J17="",1000,Simulations!$J17))^1.5+SQRT(LN(Simulations!$DK17/IF(Simulations!$J17="",1000,Simulations!$J17)))+Simulations!$DK17/IF(Simulations!$J17="",1000,Simulations!$J17)*SQRT(PI())/2*ERFC(SQRT(LN(Simulations!$DK17/IF(Simulations!$J17="",1000,Simulations!$J17))))),PI()*IF(Simulations!$V17="",200,Simulations!$V17)^2/2*(LN(Simulations!$DK17/IF(Simulations!$J17="",1000,Simulations!$J17))+1))))</f>
        <v>0</v>
      </c>
      <c r="AC17" s="0" t="n">
        <f aca="false">IF(NOT(AND(Simulations!$A17&lt;&gt;"",OR(Simulations!$DF17&lt;&gt;"",N(Simulations!$DH17)&gt;0))),0,MAX(N(Simulations!$DI17),N(Simulations!$DJ17),N(Simulations!$DK17))/IF(Simulations!$J17="",1000,Simulations!$J17))</f>
        <v>0</v>
      </c>
      <c r="AD17" s="0" t="n">
        <f aca="false">IF(OR(NOT(AND(Simulations!$A17&lt;&gt;"",OR(Simulations!$DF17&lt;&gt;"",N(Simulations!$DH17)&gt;0))),N(Simulations!$DG17)&lt;=0),0,SQRT(2*Simulations!$DG17*1000000/(IF(Simulations!$J17="",1000,Simulations!$J17)*1000))/MIN(IF(Simulations!$T17="",200,Simulations!$T17),IF(Simulations!$U17="",200,Simulations!$U17),IF(Simulations!$V17="",200,Simulations!$V17)))</f>
        <v>0</v>
      </c>
      <c r="AE17" s="0" t="n">
        <f aca="false">IF(AND(Simulations!$A17&lt;&gt;"",OR(Simulations!$DF17&lt;&gt;"",N(Simulations!$DH17)&gt;0)),1,0)</f>
        <v>0</v>
      </c>
      <c r="AF17" s="0" t="n">
        <f aca="false">IF(OR(NOT(AND(Simulations!$A17&lt;&gt;"",OR(Simulations!$DX17&lt;&gt;"",N(Simulations!$DZ17)&gt;0))),N(Simulations!$EA17)&lt;=0,N(Simulations!$DZ17)&lt;=0,1&gt;N(IF(Simulations!$O17="",1,Simulations!$O17))),0,IF(Simulations!$EA17&lt;IF(Simulations!$J17="",1000,Simulations!$J17),Simulations!$DZ17/(IF(Simulations!$G17="",5000,Simulations!$G17)*IF(Simulations!$H17="",5000,Simulations!$H17)*IF(IF(Simulations!$I17="",5000,Simulations!$I17)&gt;0,IF(Simulations!$I17="",5000,Simulations!$I17),1))*Simulations!$EA17*(PI()/2*IF(Simulations!$T17="",200,Simulations!$T17)^2*IF(IF(Simulations!$I17="",5000,Simulations!$I17)&gt;0,SQRT(PI()/2)*IF(Simulations!$W17="",1000,Simulations!$W17),1)),Simulations!$DZ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T17="",200,Simulations!$T17)^2*IF(Simulations!$W17="",1000,Simulations!$W17)/2^1.5*(2/3*LN(Simulations!$EA17/IF(Simulations!$J17="",1000,Simulations!$J17))^1.5+SQRT(LN(Simulations!$EA17/IF(Simulations!$J17="",1000,Simulations!$J17)))+Simulations!$EA17/IF(Simulations!$J17="",1000,Simulations!$J17)*SQRT(PI())/2*ERFC(SQRT(LN(Simulations!$EA17/IF(Simulations!$J17="",1000,Simulations!$J17))))),PI()*IF(Simulations!$T17="",200,Simulations!$T17)^2/2*(LN(Simulations!$EA17/IF(Simulations!$J17="",1000,Simulations!$J17))+1))))</f>
        <v>0</v>
      </c>
      <c r="AG17" s="0" t="n">
        <f aca="false">IF(OR(NOT(AND(Simulations!$A17&lt;&gt;"",OR(Simulations!$DX17&lt;&gt;"",N(Simulations!$DZ17)&gt;0))),N(Simulations!$EB17)&lt;=0,N(Simulations!$DZ17)&lt;=0,2&gt;N(IF(Simulations!$O17="",1,Simulations!$O17))),0,IF(Simulations!$EB17&lt;IF(Simulations!$J17="",1000,Simulations!$J17),Simulations!$DZ17/(IF(Simulations!$G17="",5000,Simulations!$G17)*IF(Simulations!$H17="",5000,Simulations!$H17)*IF(IF(Simulations!$I17="",5000,Simulations!$I17)&gt;0,IF(Simulations!$I17="",5000,Simulations!$I17),1))*Simulations!$EB17*(PI()/2*IF(Simulations!$U17="",200,Simulations!$U17)^2*IF(IF(Simulations!$I17="",5000,Simulations!$I17)&gt;0,SQRT(PI()/2)*IF(Simulations!$X17="",1000,Simulations!$X17),1)),Simulations!$DZ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U17="",200,Simulations!$U17)^2*IF(Simulations!$X17="",1000,Simulations!$X17)/2^1.5*(2/3*LN(Simulations!$EB17/IF(Simulations!$J17="",1000,Simulations!$J17))^1.5+SQRT(LN(Simulations!$EB17/IF(Simulations!$J17="",1000,Simulations!$J17)))+Simulations!$EB17/IF(Simulations!$J17="",1000,Simulations!$J17)*SQRT(PI())/2*ERFC(SQRT(LN(Simulations!$EB17/IF(Simulations!$J17="",1000,Simulations!$J17))))),PI()*IF(Simulations!$U17="",200,Simulations!$U17)^2/2*(LN(Simulations!$EB17/IF(Simulations!$J17="",1000,Simulations!$J17))+1))))</f>
        <v>0</v>
      </c>
      <c r="AH17" s="0" t="n">
        <f aca="false">IF(OR(NOT(AND(Simulations!$A17&lt;&gt;"",OR(Simulations!$DX17&lt;&gt;"",N(Simulations!$DZ17)&gt;0))),N(Simulations!$EC17)&lt;=0,N(Simulations!$DZ17)&lt;=0,3&gt;N(IF(Simulations!$O17="",1,Simulations!$O17))),0,IF(Simulations!$EC17&lt;IF(Simulations!$J17="",1000,Simulations!$J17),Simulations!$DZ17/(IF(Simulations!$G17="",5000,Simulations!$G17)*IF(Simulations!$H17="",5000,Simulations!$H17)*IF(IF(Simulations!$I17="",5000,Simulations!$I17)&gt;0,IF(Simulations!$I17="",5000,Simulations!$I17),1))*Simulations!$EC17*(PI()/2*IF(Simulations!$V17="",200,Simulations!$V17)^2*IF(IF(Simulations!$I17="",5000,Simulations!$I17)&gt;0,SQRT(PI()/2)*IF(Simulations!$Y17="",1000,Simulations!$Y17),1)),Simulations!$DZ17/(IF(Simulations!$G17="",5000,Simulations!$G17)*IF(Simulations!$H17="",5000,Simulations!$H17)*IF(IF(Simulations!$I17="",5000,Simulations!$I17)&gt;0,IF(Simulations!$I17="",5000,Simulations!$I17),1))*IF(Simulations!$J17="",1000,Simulations!$J17)*IF(IF(Simulations!$I17="",5000,Simulations!$I17)&gt;0,2*PI()*IF(Simulations!$V17="",200,Simulations!$V17)^2*IF(Simulations!$Y17="",1000,Simulations!$Y17)/2^1.5*(2/3*LN(Simulations!$EC17/IF(Simulations!$J17="",1000,Simulations!$J17))^1.5+SQRT(LN(Simulations!$EC17/IF(Simulations!$J17="",1000,Simulations!$J17)))+Simulations!$EC17/IF(Simulations!$J17="",1000,Simulations!$J17)*SQRT(PI())/2*ERFC(SQRT(LN(Simulations!$EC17/IF(Simulations!$J17="",1000,Simulations!$J17))))),PI()*IF(Simulations!$V17="",200,Simulations!$V17)^2/2*(LN(Simulations!$EC17/IF(Simulations!$J17="",1000,Simulations!$J17))+1))))</f>
        <v>0</v>
      </c>
      <c r="AI17" s="0" t="n">
        <f aca="false">IF(NOT(AND(Simulations!$A17&lt;&gt;"",OR(Simulations!$DX17&lt;&gt;"",N(Simulations!$DZ17)&gt;0))),0,MAX(N(Simulations!$EA17),N(Simulations!$EB17),N(Simulations!$EC17))/IF(Simulations!$J17="",1000,Simulations!$J17))</f>
        <v>0</v>
      </c>
      <c r="AJ17" s="0" t="n">
        <f aca="false">IF(OR(NOT(AND(Simulations!$A17&lt;&gt;"",OR(Simulations!$DX17&lt;&gt;"",N(Simulations!$DZ17)&gt;0))),N(Simulations!$DY17)&lt;=0),0,SQRT(2*Simulations!$DY17*1000000/(IF(Simulations!$J17="",1000,Simulations!$J17)*1000))/MIN(IF(Simulations!$T17="",200,Simulations!$T17),IF(Simulations!$U17="",200,Simulations!$U17),IF(Simulations!$V17="",200,Simulations!$V17)))</f>
        <v>0</v>
      </c>
      <c r="AK17" s="0" t="n">
        <f aca="false">IF(AND(Simulations!$A17&lt;&gt;"",OR(Simulations!$DX17&lt;&gt;"",N(Simulations!$DZ17)&gt;0)),1,0)</f>
        <v>0</v>
      </c>
    </row>
    <row r="18" customFormat="false" ht="15" hidden="false" customHeight="false" outlineLevel="0" collapsed="false">
      <c r="B18" s="0" t="n">
        <f aca="false">IF(OR(NOT(AND(Simulations!$A18&lt;&gt;"",OR(Simulations!$AL18&lt;&gt;"",N(Simulations!$AN18)&gt;0))),N(Simulations!$AO18)&lt;=0,N(Simulations!$AN18)&lt;=0,1&gt;N(IF(Simulations!$O18="",1,Simulations!$O18))),0,IF(Simulations!$AO18&lt;IF(Simulations!$J18="",1000,Simulations!$J18),Simulations!$AN18/(IF(Simulations!$G18="",5000,Simulations!$G18)*IF(Simulations!$H18="",5000,Simulations!$H18)*IF(IF(Simulations!$I18="",5000,Simulations!$I18)&gt;0,IF(Simulations!$I18="",5000,Simulations!$I18),1))*Simulations!$AO18*(PI()/2*IF(Simulations!$T18="",200,Simulations!$T18)^2*IF(IF(Simulations!$I18="",5000,Simulations!$I18)&gt;0,SQRT(PI()/2)*IF(Simulations!$W18="",1000,Simulations!$W18),1)),Simulations!$AN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T18="",200,Simulations!$T18)^2*IF(Simulations!$W18="",1000,Simulations!$W18)/2^1.5*(2/3*LN(Simulations!$AO18/IF(Simulations!$J18="",1000,Simulations!$J18))^1.5+SQRT(LN(Simulations!$AO18/IF(Simulations!$J18="",1000,Simulations!$J18)))+Simulations!$AO18/IF(Simulations!$J18="",1000,Simulations!$J18)*SQRT(PI())/2*ERFC(SQRT(LN(Simulations!$AO18/IF(Simulations!$J18="",1000,Simulations!$J18))))),PI()*IF(Simulations!$T18="",200,Simulations!$T18)^2/2*(LN(Simulations!$AO18/IF(Simulations!$J18="",1000,Simulations!$J18))+1))))</f>
        <v>0</v>
      </c>
      <c r="C18" s="0" t="n">
        <f aca="false">IF(OR(NOT(AND(Simulations!$A18&lt;&gt;"",OR(Simulations!$AL18&lt;&gt;"",N(Simulations!$AN18)&gt;0))),N(Simulations!$AP18)&lt;=0,N(Simulations!$AN18)&lt;=0,2&gt;N(IF(Simulations!$O18="",1,Simulations!$O18))),0,IF(Simulations!$AP18&lt;IF(Simulations!$J18="",1000,Simulations!$J18),Simulations!$AN18/(IF(Simulations!$G18="",5000,Simulations!$G18)*IF(Simulations!$H18="",5000,Simulations!$H18)*IF(IF(Simulations!$I18="",5000,Simulations!$I18)&gt;0,IF(Simulations!$I18="",5000,Simulations!$I18),1))*Simulations!$AP18*(PI()/2*IF(Simulations!$U18="",200,Simulations!$U18)^2*IF(IF(Simulations!$I18="",5000,Simulations!$I18)&gt;0,SQRT(PI()/2)*IF(Simulations!$X18="",1000,Simulations!$X18),1)),Simulations!$AN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U18="",200,Simulations!$U18)^2*IF(Simulations!$X18="",1000,Simulations!$X18)/2^1.5*(2/3*LN(Simulations!$AP18/IF(Simulations!$J18="",1000,Simulations!$J18))^1.5+SQRT(LN(Simulations!$AP18/IF(Simulations!$J18="",1000,Simulations!$J18)))+Simulations!$AP18/IF(Simulations!$J18="",1000,Simulations!$J18)*SQRT(PI())/2*ERFC(SQRT(LN(Simulations!$AP18/IF(Simulations!$J18="",1000,Simulations!$J18))))),PI()*IF(Simulations!$U18="",200,Simulations!$U18)^2/2*(LN(Simulations!$AP18/IF(Simulations!$J18="",1000,Simulations!$J18))+1))))</f>
        <v>0</v>
      </c>
      <c r="D18" s="0" t="n">
        <f aca="false">IF(OR(NOT(AND(Simulations!$A18&lt;&gt;"",OR(Simulations!$AL18&lt;&gt;"",N(Simulations!$AN18)&gt;0))),N(Simulations!$AQ18)&lt;=0,N(Simulations!$AN18)&lt;=0,3&gt;N(IF(Simulations!$O18="",1,Simulations!$O18))),0,IF(Simulations!$AQ18&lt;IF(Simulations!$J18="",1000,Simulations!$J18),Simulations!$AN18/(IF(Simulations!$G18="",5000,Simulations!$G18)*IF(Simulations!$H18="",5000,Simulations!$H18)*IF(IF(Simulations!$I18="",5000,Simulations!$I18)&gt;0,IF(Simulations!$I18="",5000,Simulations!$I18),1))*Simulations!$AQ18*(PI()/2*IF(Simulations!$V18="",200,Simulations!$V18)^2*IF(IF(Simulations!$I18="",5000,Simulations!$I18)&gt;0,SQRT(PI()/2)*IF(Simulations!$Y18="",1000,Simulations!$Y18),1)),Simulations!$AN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V18="",200,Simulations!$V18)^2*IF(Simulations!$Y18="",1000,Simulations!$Y18)/2^1.5*(2/3*LN(Simulations!$AQ18/IF(Simulations!$J18="",1000,Simulations!$J18))^1.5+SQRT(LN(Simulations!$AQ18/IF(Simulations!$J18="",1000,Simulations!$J18)))+Simulations!$AQ18/IF(Simulations!$J18="",1000,Simulations!$J18)*SQRT(PI())/2*ERFC(SQRT(LN(Simulations!$AQ18/IF(Simulations!$J18="",1000,Simulations!$J18))))),PI()*IF(Simulations!$V18="",200,Simulations!$V18)^2/2*(LN(Simulations!$AQ18/IF(Simulations!$J18="",1000,Simulations!$J18))+1))))</f>
        <v>0</v>
      </c>
      <c r="E18" s="0" t="n">
        <f aca="false">IF(NOT(AND(Simulations!$A18&lt;&gt;"",OR(Simulations!$AL18&lt;&gt;"",N(Simulations!$AN18)&gt;0))),0,MAX(N(Simulations!$AO18),N(Simulations!$AP18),N(Simulations!$AQ18))/IF(Simulations!$J18="",1000,Simulations!$J18))</f>
        <v>0</v>
      </c>
      <c r="F18" s="0" t="n">
        <f aca="false">IF(OR(NOT(AND(Simulations!$A18&lt;&gt;"",OR(Simulations!$AL18&lt;&gt;"",N(Simulations!$AN18)&gt;0))),N(Simulations!$AM18)&lt;=0),0,SQRT(2*Simulations!$AM18*1000000/(IF(Simulations!$J18="",1000,Simulations!$J18)*1000))/MIN(IF(Simulations!$T18="",200,Simulations!$T18),IF(Simulations!$U18="",200,Simulations!$U18),IF(Simulations!$V18="",200,Simulations!$V18)))</f>
        <v>0</v>
      </c>
      <c r="G18" s="0" t="n">
        <f aca="false">IF(AND(Simulations!$A18&lt;&gt;"",OR(Simulations!$AL18&lt;&gt;"",N(Simulations!$AN18)&gt;0)),1,0)</f>
        <v>0</v>
      </c>
      <c r="H18" s="0" t="n">
        <f aca="false">IF(OR(NOT(AND(Simulations!$A18&lt;&gt;"",OR(Simulations!$BD18&lt;&gt;"",N(Simulations!$BF18)&gt;0))),N(Simulations!$BG18)&lt;=0,N(Simulations!$BF18)&lt;=0,1&gt;N(IF(Simulations!$O18="",1,Simulations!$O18))),0,IF(Simulations!$BG18&lt;IF(Simulations!$J18="",1000,Simulations!$J18),Simulations!$BF18/(IF(Simulations!$G18="",5000,Simulations!$G18)*IF(Simulations!$H18="",5000,Simulations!$H18)*IF(IF(Simulations!$I18="",5000,Simulations!$I18)&gt;0,IF(Simulations!$I18="",5000,Simulations!$I18),1))*Simulations!$BG18*(PI()/2*IF(Simulations!$T18="",200,Simulations!$T18)^2*IF(IF(Simulations!$I18="",5000,Simulations!$I18)&gt;0,SQRT(PI()/2)*IF(Simulations!$W18="",1000,Simulations!$W18),1)),Simulations!$BF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T18="",200,Simulations!$T18)^2*IF(Simulations!$W18="",1000,Simulations!$W18)/2^1.5*(2/3*LN(Simulations!$BG18/IF(Simulations!$J18="",1000,Simulations!$J18))^1.5+SQRT(LN(Simulations!$BG18/IF(Simulations!$J18="",1000,Simulations!$J18)))+Simulations!$BG18/IF(Simulations!$J18="",1000,Simulations!$J18)*SQRT(PI())/2*ERFC(SQRT(LN(Simulations!$BG18/IF(Simulations!$J18="",1000,Simulations!$J18))))),PI()*IF(Simulations!$T18="",200,Simulations!$T18)^2/2*(LN(Simulations!$BG18/IF(Simulations!$J18="",1000,Simulations!$J18))+1))))</f>
        <v>0</v>
      </c>
      <c r="I18" s="0" t="n">
        <f aca="false">IF(OR(NOT(AND(Simulations!$A18&lt;&gt;"",OR(Simulations!$BD18&lt;&gt;"",N(Simulations!$BF18)&gt;0))),N(Simulations!$BH18)&lt;=0,N(Simulations!$BF18)&lt;=0,2&gt;N(IF(Simulations!$O18="",1,Simulations!$O18))),0,IF(Simulations!$BH18&lt;IF(Simulations!$J18="",1000,Simulations!$J18),Simulations!$BF18/(IF(Simulations!$G18="",5000,Simulations!$G18)*IF(Simulations!$H18="",5000,Simulations!$H18)*IF(IF(Simulations!$I18="",5000,Simulations!$I18)&gt;0,IF(Simulations!$I18="",5000,Simulations!$I18),1))*Simulations!$BH18*(PI()/2*IF(Simulations!$U18="",200,Simulations!$U18)^2*IF(IF(Simulations!$I18="",5000,Simulations!$I18)&gt;0,SQRT(PI()/2)*IF(Simulations!$X18="",1000,Simulations!$X18),1)),Simulations!$BF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U18="",200,Simulations!$U18)^2*IF(Simulations!$X18="",1000,Simulations!$X18)/2^1.5*(2/3*LN(Simulations!$BH18/IF(Simulations!$J18="",1000,Simulations!$J18))^1.5+SQRT(LN(Simulations!$BH18/IF(Simulations!$J18="",1000,Simulations!$J18)))+Simulations!$BH18/IF(Simulations!$J18="",1000,Simulations!$J18)*SQRT(PI())/2*ERFC(SQRT(LN(Simulations!$BH18/IF(Simulations!$J18="",1000,Simulations!$J18))))),PI()*IF(Simulations!$U18="",200,Simulations!$U18)^2/2*(LN(Simulations!$BH18/IF(Simulations!$J18="",1000,Simulations!$J18))+1))))</f>
        <v>0</v>
      </c>
      <c r="J18" s="0" t="n">
        <f aca="false">IF(OR(NOT(AND(Simulations!$A18&lt;&gt;"",OR(Simulations!$BD18&lt;&gt;"",N(Simulations!$BF18)&gt;0))),N(Simulations!$BI18)&lt;=0,N(Simulations!$BF18)&lt;=0,3&gt;N(IF(Simulations!$O18="",1,Simulations!$O18))),0,IF(Simulations!$BI18&lt;IF(Simulations!$J18="",1000,Simulations!$J18),Simulations!$BF18/(IF(Simulations!$G18="",5000,Simulations!$G18)*IF(Simulations!$H18="",5000,Simulations!$H18)*IF(IF(Simulations!$I18="",5000,Simulations!$I18)&gt;0,IF(Simulations!$I18="",5000,Simulations!$I18),1))*Simulations!$BI18*(PI()/2*IF(Simulations!$V18="",200,Simulations!$V18)^2*IF(IF(Simulations!$I18="",5000,Simulations!$I18)&gt;0,SQRT(PI()/2)*IF(Simulations!$Y18="",1000,Simulations!$Y18),1)),Simulations!$BF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V18="",200,Simulations!$V18)^2*IF(Simulations!$Y18="",1000,Simulations!$Y18)/2^1.5*(2/3*LN(Simulations!$BI18/IF(Simulations!$J18="",1000,Simulations!$J18))^1.5+SQRT(LN(Simulations!$BI18/IF(Simulations!$J18="",1000,Simulations!$J18)))+Simulations!$BI18/IF(Simulations!$J18="",1000,Simulations!$J18)*SQRT(PI())/2*ERFC(SQRT(LN(Simulations!$BI18/IF(Simulations!$J18="",1000,Simulations!$J18))))),PI()*IF(Simulations!$V18="",200,Simulations!$V18)^2/2*(LN(Simulations!$BI18/IF(Simulations!$J18="",1000,Simulations!$J18))+1))))</f>
        <v>0</v>
      </c>
      <c r="K18" s="0" t="n">
        <f aca="false">IF(NOT(AND(Simulations!$A18&lt;&gt;"",OR(Simulations!$BD18&lt;&gt;"",N(Simulations!$BF18)&gt;0))),0,MAX(N(Simulations!$BG18),N(Simulations!$BH18),N(Simulations!$BI18))/IF(Simulations!$J18="",1000,Simulations!$J18))</f>
        <v>0</v>
      </c>
      <c r="L18" s="0" t="n">
        <f aca="false">IF(OR(NOT(AND(Simulations!$A18&lt;&gt;"",OR(Simulations!$BD18&lt;&gt;"",N(Simulations!$BF18)&gt;0))),N(Simulations!$BE18)&lt;=0),0,SQRT(2*Simulations!$BE18*1000000/(IF(Simulations!$J18="",1000,Simulations!$J18)*1000))/MIN(IF(Simulations!$T18="",200,Simulations!$T18),IF(Simulations!$U18="",200,Simulations!$U18),IF(Simulations!$V18="",200,Simulations!$V18)))</f>
        <v>0</v>
      </c>
      <c r="M18" s="0" t="n">
        <f aca="false">IF(AND(Simulations!$A18&lt;&gt;"",OR(Simulations!$BD18&lt;&gt;"",N(Simulations!$BF18)&gt;0)),1,0)</f>
        <v>0</v>
      </c>
      <c r="N18" s="0" t="n">
        <f aca="false">IF(OR(NOT(AND(Simulations!$A18&lt;&gt;"",OR(Simulations!$BV18&lt;&gt;"",N(Simulations!$BX18)&gt;0))),N(Simulations!$BY18)&lt;=0,N(Simulations!$BX18)&lt;=0,1&gt;N(IF(Simulations!$O18="",1,Simulations!$O18))),0,IF(Simulations!$BY18&lt;IF(Simulations!$J18="",1000,Simulations!$J18),Simulations!$BX18/(IF(Simulations!$G18="",5000,Simulations!$G18)*IF(Simulations!$H18="",5000,Simulations!$H18)*IF(IF(Simulations!$I18="",5000,Simulations!$I18)&gt;0,IF(Simulations!$I18="",5000,Simulations!$I18),1))*Simulations!$BY18*(PI()/2*IF(Simulations!$T18="",200,Simulations!$T18)^2*IF(IF(Simulations!$I18="",5000,Simulations!$I18)&gt;0,SQRT(PI()/2)*IF(Simulations!$W18="",1000,Simulations!$W18),1)),Simulations!$BX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T18="",200,Simulations!$T18)^2*IF(Simulations!$W18="",1000,Simulations!$W18)/2^1.5*(2/3*LN(Simulations!$BY18/IF(Simulations!$J18="",1000,Simulations!$J18))^1.5+SQRT(LN(Simulations!$BY18/IF(Simulations!$J18="",1000,Simulations!$J18)))+Simulations!$BY18/IF(Simulations!$J18="",1000,Simulations!$J18)*SQRT(PI())/2*ERFC(SQRT(LN(Simulations!$BY18/IF(Simulations!$J18="",1000,Simulations!$J18))))),PI()*IF(Simulations!$T18="",200,Simulations!$T18)^2/2*(LN(Simulations!$BY18/IF(Simulations!$J18="",1000,Simulations!$J18))+1))))</f>
        <v>0</v>
      </c>
      <c r="O18" s="0" t="n">
        <f aca="false">IF(OR(NOT(AND(Simulations!$A18&lt;&gt;"",OR(Simulations!$BV18&lt;&gt;"",N(Simulations!$BX18)&gt;0))),N(Simulations!$BZ18)&lt;=0,N(Simulations!$BX18)&lt;=0,2&gt;N(IF(Simulations!$O18="",1,Simulations!$O18))),0,IF(Simulations!$BZ18&lt;IF(Simulations!$J18="",1000,Simulations!$J18),Simulations!$BX18/(IF(Simulations!$G18="",5000,Simulations!$G18)*IF(Simulations!$H18="",5000,Simulations!$H18)*IF(IF(Simulations!$I18="",5000,Simulations!$I18)&gt;0,IF(Simulations!$I18="",5000,Simulations!$I18),1))*Simulations!$BZ18*(PI()/2*IF(Simulations!$U18="",200,Simulations!$U18)^2*IF(IF(Simulations!$I18="",5000,Simulations!$I18)&gt;0,SQRT(PI()/2)*IF(Simulations!$X18="",1000,Simulations!$X18),1)),Simulations!$BX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U18="",200,Simulations!$U18)^2*IF(Simulations!$X18="",1000,Simulations!$X18)/2^1.5*(2/3*LN(Simulations!$BZ18/IF(Simulations!$J18="",1000,Simulations!$J18))^1.5+SQRT(LN(Simulations!$BZ18/IF(Simulations!$J18="",1000,Simulations!$J18)))+Simulations!$BZ18/IF(Simulations!$J18="",1000,Simulations!$J18)*SQRT(PI())/2*ERFC(SQRT(LN(Simulations!$BZ18/IF(Simulations!$J18="",1000,Simulations!$J18))))),PI()*IF(Simulations!$U18="",200,Simulations!$U18)^2/2*(LN(Simulations!$BZ18/IF(Simulations!$J18="",1000,Simulations!$J18))+1))))</f>
        <v>0</v>
      </c>
      <c r="P18" s="0" t="n">
        <f aca="false">IF(OR(NOT(AND(Simulations!$A18&lt;&gt;"",OR(Simulations!$BV18&lt;&gt;"",N(Simulations!$BX18)&gt;0))),N(Simulations!$CA18)&lt;=0,N(Simulations!$BX18)&lt;=0,3&gt;N(IF(Simulations!$O18="",1,Simulations!$O18))),0,IF(Simulations!$CA18&lt;IF(Simulations!$J18="",1000,Simulations!$J18),Simulations!$BX18/(IF(Simulations!$G18="",5000,Simulations!$G18)*IF(Simulations!$H18="",5000,Simulations!$H18)*IF(IF(Simulations!$I18="",5000,Simulations!$I18)&gt;0,IF(Simulations!$I18="",5000,Simulations!$I18),1))*Simulations!$CA18*(PI()/2*IF(Simulations!$V18="",200,Simulations!$V18)^2*IF(IF(Simulations!$I18="",5000,Simulations!$I18)&gt;0,SQRT(PI()/2)*IF(Simulations!$Y18="",1000,Simulations!$Y18),1)),Simulations!$BX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V18="",200,Simulations!$V18)^2*IF(Simulations!$Y18="",1000,Simulations!$Y18)/2^1.5*(2/3*LN(Simulations!$CA18/IF(Simulations!$J18="",1000,Simulations!$J18))^1.5+SQRT(LN(Simulations!$CA18/IF(Simulations!$J18="",1000,Simulations!$J18)))+Simulations!$CA18/IF(Simulations!$J18="",1000,Simulations!$J18)*SQRT(PI())/2*ERFC(SQRT(LN(Simulations!$CA18/IF(Simulations!$J18="",1000,Simulations!$J18))))),PI()*IF(Simulations!$V18="",200,Simulations!$V18)^2/2*(LN(Simulations!$CA18/IF(Simulations!$J18="",1000,Simulations!$J18))+1))))</f>
        <v>0</v>
      </c>
      <c r="Q18" s="0" t="n">
        <f aca="false">IF(NOT(AND(Simulations!$A18&lt;&gt;"",OR(Simulations!$BV18&lt;&gt;"",N(Simulations!$BX18)&gt;0))),0,MAX(N(Simulations!$BY18),N(Simulations!$BZ18),N(Simulations!$CA18))/IF(Simulations!$J18="",1000,Simulations!$J18))</f>
        <v>0</v>
      </c>
      <c r="R18" s="0" t="n">
        <f aca="false">IF(OR(NOT(AND(Simulations!$A18&lt;&gt;"",OR(Simulations!$BV18&lt;&gt;"",N(Simulations!$BX18)&gt;0))),N(Simulations!$BW18)&lt;=0),0,SQRT(2*Simulations!$BW18*1000000/(IF(Simulations!$J18="",1000,Simulations!$J18)*1000))/MIN(IF(Simulations!$T18="",200,Simulations!$T18),IF(Simulations!$U18="",200,Simulations!$U18),IF(Simulations!$V18="",200,Simulations!$V18)))</f>
        <v>0</v>
      </c>
      <c r="S18" s="0" t="n">
        <f aca="false">IF(AND(Simulations!$A18&lt;&gt;"",OR(Simulations!$BV18&lt;&gt;"",N(Simulations!$BX18)&gt;0)),1,0)</f>
        <v>0</v>
      </c>
      <c r="T18" s="0" t="n">
        <f aca="false">IF(OR(NOT(AND(Simulations!$A18&lt;&gt;"",OR(Simulations!$CN18&lt;&gt;"",N(Simulations!$CP18)&gt;0))),N(Simulations!$CQ18)&lt;=0,N(Simulations!$CP18)&lt;=0,1&gt;N(IF(Simulations!$O18="",1,Simulations!$O18))),0,IF(Simulations!$CQ18&lt;IF(Simulations!$J18="",1000,Simulations!$J18),Simulations!$CP18/(IF(Simulations!$G18="",5000,Simulations!$G18)*IF(Simulations!$H18="",5000,Simulations!$H18)*IF(IF(Simulations!$I18="",5000,Simulations!$I18)&gt;0,IF(Simulations!$I18="",5000,Simulations!$I18),1))*Simulations!$CQ18*(PI()/2*IF(Simulations!$T18="",200,Simulations!$T18)^2*IF(IF(Simulations!$I18="",5000,Simulations!$I18)&gt;0,SQRT(PI()/2)*IF(Simulations!$W18="",1000,Simulations!$W18),1)),Simulations!$CP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T18="",200,Simulations!$T18)^2*IF(Simulations!$W18="",1000,Simulations!$W18)/2^1.5*(2/3*LN(Simulations!$CQ18/IF(Simulations!$J18="",1000,Simulations!$J18))^1.5+SQRT(LN(Simulations!$CQ18/IF(Simulations!$J18="",1000,Simulations!$J18)))+Simulations!$CQ18/IF(Simulations!$J18="",1000,Simulations!$J18)*SQRT(PI())/2*ERFC(SQRT(LN(Simulations!$CQ18/IF(Simulations!$J18="",1000,Simulations!$J18))))),PI()*IF(Simulations!$T18="",200,Simulations!$T18)^2/2*(LN(Simulations!$CQ18/IF(Simulations!$J18="",1000,Simulations!$J18))+1))))</f>
        <v>0</v>
      </c>
      <c r="U18" s="0" t="n">
        <f aca="false">IF(OR(NOT(AND(Simulations!$A18&lt;&gt;"",OR(Simulations!$CN18&lt;&gt;"",N(Simulations!$CP18)&gt;0))),N(Simulations!$CR18)&lt;=0,N(Simulations!$CP18)&lt;=0,2&gt;N(IF(Simulations!$O18="",1,Simulations!$O18))),0,IF(Simulations!$CR18&lt;IF(Simulations!$J18="",1000,Simulations!$J18),Simulations!$CP18/(IF(Simulations!$G18="",5000,Simulations!$G18)*IF(Simulations!$H18="",5000,Simulations!$H18)*IF(IF(Simulations!$I18="",5000,Simulations!$I18)&gt;0,IF(Simulations!$I18="",5000,Simulations!$I18),1))*Simulations!$CR18*(PI()/2*IF(Simulations!$U18="",200,Simulations!$U18)^2*IF(IF(Simulations!$I18="",5000,Simulations!$I18)&gt;0,SQRT(PI()/2)*IF(Simulations!$X18="",1000,Simulations!$X18),1)),Simulations!$CP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U18="",200,Simulations!$U18)^2*IF(Simulations!$X18="",1000,Simulations!$X18)/2^1.5*(2/3*LN(Simulations!$CR18/IF(Simulations!$J18="",1000,Simulations!$J18))^1.5+SQRT(LN(Simulations!$CR18/IF(Simulations!$J18="",1000,Simulations!$J18)))+Simulations!$CR18/IF(Simulations!$J18="",1000,Simulations!$J18)*SQRT(PI())/2*ERFC(SQRT(LN(Simulations!$CR18/IF(Simulations!$J18="",1000,Simulations!$J18))))),PI()*IF(Simulations!$U18="",200,Simulations!$U18)^2/2*(LN(Simulations!$CR18/IF(Simulations!$J18="",1000,Simulations!$J18))+1))))</f>
        <v>0</v>
      </c>
      <c r="V18" s="0" t="n">
        <f aca="false">IF(OR(NOT(AND(Simulations!$A18&lt;&gt;"",OR(Simulations!$CN18&lt;&gt;"",N(Simulations!$CP18)&gt;0))),N(Simulations!$CS18)&lt;=0,N(Simulations!$CP18)&lt;=0,3&gt;N(IF(Simulations!$O18="",1,Simulations!$O18))),0,IF(Simulations!$CS18&lt;IF(Simulations!$J18="",1000,Simulations!$J18),Simulations!$CP18/(IF(Simulations!$G18="",5000,Simulations!$G18)*IF(Simulations!$H18="",5000,Simulations!$H18)*IF(IF(Simulations!$I18="",5000,Simulations!$I18)&gt;0,IF(Simulations!$I18="",5000,Simulations!$I18),1))*Simulations!$CS18*(PI()/2*IF(Simulations!$V18="",200,Simulations!$V18)^2*IF(IF(Simulations!$I18="",5000,Simulations!$I18)&gt;0,SQRT(PI()/2)*IF(Simulations!$Y18="",1000,Simulations!$Y18),1)),Simulations!$CP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V18="",200,Simulations!$V18)^2*IF(Simulations!$Y18="",1000,Simulations!$Y18)/2^1.5*(2/3*LN(Simulations!$CS18/IF(Simulations!$J18="",1000,Simulations!$J18))^1.5+SQRT(LN(Simulations!$CS18/IF(Simulations!$J18="",1000,Simulations!$J18)))+Simulations!$CS18/IF(Simulations!$J18="",1000,Simulations!$J18)*SQRT(PI())/2*ERFC(SQRT(LN(Simulations!$CS18/IF(Simulations!$J18="",1000,Simulations!$J18))))),PI()*IF(Simulations!$V18="",200,Simulations!$V18)^2/2*(LN(Simulations!$CS18/IF(Simulations!$J18="",1000,Simulations!$J18))+1))))</f>
        <v>0</v>
      </c>
      <c r="W18" s="0" t="n">
        <f aca="false">IF(NOT(AND(Simulations!$A18&lt;&gt;"",OR(Simulations!$CN18&lt;&gt;"",N(Simulations!$CP18)&gt;0))),0,MAX(N(Simulations!$CQ18),N(Simulations!$CR18),N(Simulations!$CS18))/IF(Simulations!$J18="",1000,Simulations!$J18))</f>
        <v>0</v>
      </c>
      <c r="X18" s="0" t="n">
        <f aca="false">IF(OR(NOT(AND(Simulations!$A18&lt;&gt;"",OR(Simulations!$CN18&lt;&gt;"",N(Simulations!$CP18)&gt;0))),N(Simulations!$CO18)&lt;=0),0,SQRT(2*Simulations!$CO18*1000000/(IF(Simulations!$J18="",1000,Simulations!$J18)*1000))/MIN(IF(Simulations!$T18="",200,Simulations!$T18),IF(Simulations!$U18="",200,Simulations!$U18),IF(Simulations!$V18="",200,Simulations!$V18)))</f>
        <v>0</v>
      </c>
      <c r="Y18" s="0" t="n">
        <f aca="false">IF(AND(Simulations!$A18&lt;&gt;"",OR(Simulations!$CN18&lt;&gt;"",N(Simulations!$CP18)&gt;0)),1,0)</f>
        <v>0</v>
      </c>
      <c r="Z18" s="0" t="n">
        <f aca="false">IF(OR(NOT(AND(Simulations!$A18&lt;&gt;"",OR(Simulations!$DF18&lt;&gt;"",N(Simulations!$DH18)&gt;0))),N(Simulations!$DI18)&lt;=0,N(Simulations!$DH18)&lt;=0,1&gt;N(IF(Simulations!$O18="",1,Simulations!$O18))),0,IF(Simulations!$DI18&lt;IF(Simulations!$J18="",1000,Simulations!$J18),Simulations!$DH18/(IF(Simulations!$G18="",5000,Simulations!$G18)*IF(Simulations!$H18="",5000,Simulations!$H18)*IF(IF(Simulations!$I18="",5000,Simulations!$I18)&gt;0,IF(Simulations!$I18="",5000,Simulations!$I18),1))*Simulations!$DI18*(PI()/2*IF(Simulations!$T18="",200,Simulations!$T18)^2*IF(IF(Simulations!$I18="",5000,Simulations!$I18)&gt;0,SQRT(PI()/2)*IF(Simulations!$W18="",1000,Simulations!$W18),1)),Simulations!$DH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T18="",200,Simulations!$T18)^2*IF(Simulations!$W18="",1000,Simulations!$W18)/2^1.5*(2/3*LN(Simulations!$DI18/IF(Simulations!$J18="",1000,Simulations!$J18))^1.5+SQRT(LN(Simulations!$DI18/IF(Simulations!$J18="",1000,Simulations!$J18)))+Simulations!$DI18/IF(Simulations!$J18="",1000,Simulations!$J18)*SQRT(PI())/2*ERFC(SQRT(LN(Simulations!$DI18/IF(Simulations!$J18="",1000,Simulations!$J18))))),PI()*IF(Simulations!$T18="",200,Simulations!$T18)^2/2*(LN(Simulations!$DI18/IF(Simulations!$J18="",1000,Simulations!$J18))+1))))</f>
        <v>0</v>
      </c>
      <c r="AA18" s="0" t="n">
        <f aca="false">IF(OR(NOT(AND(Simulations!$A18&lt;&gt;"",OR(Simulations!$DF18&lt;&gt;"",N(Simulations!$DH18)&gt;0))),N(Simulations!$DJ18)&lt;=0,N(Simulations!$DH18)&lt;=0,2&gt;N(IF(Simulations!$O18="",1,Simulations!$O18))),0,IF(Simulations!$DJ18&lt;IF(Simulations!$J18="",1000,Simulations!$J18),Simulations!$DH18/(IF(Simulations!$G18="",5000,Simulations!$G18)*IF(Simulations!$H18="",5000,Simulations!$H18)*IF(IF(Simulations!$I18="",5000,Simulations!$I18)&gt;0,IF(Simulations!$I18="",5000,Simulations!$I18),1))*Simulations!$DJ18*(PI()/2*IF(Simulations!$U18="",200,Simulations!$U18)^2*IF(IF(Simulations!$I18="",5000,Simulations!$I18)&gt;0,SQRT(PI()/2)*IF(Simulations!$X18="",1000,Simulations!$X18),1)),Simulations!$DH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U18="",200,Simulations!$U18)^2*IF(Simulations!$X18="",1000,Simulations!$X18)/2^1.5*(2/3*LN(Simulations!$DJ18/IF(Simulations!$J18="",1000,Simulations!$J18))^1.5+SQRT(LN(Simulations!$DJ18/IF(Simulations!$J18="",1000,Simulations!$J18)))+Simulations!$DJ18/IF(Simulations!$J18="",1000,Simulations!$J18)*SQRT(PI())/2*ERFC(SQRT(LN(Simulations!$DJ18/IF(Simulations!$J18="",1000,Simulations!$J18))))),PI()*IF(Simulations!$U18="",200,Simulations!$U18)^2/2*(LN(Simulations!$DJ18/IF(Simulations!$J18="",1000,Simulations!$J18))+1))))</f>
        <v>0</v>
      </c>
      <c r="AB18" s="0" t="n">
        <f aca="false">IF(OR(NOT(AND(Simulations!$A18&lt;&gt;"",OR(Simulations!$DF18&lt;&gt;"",N(Simulations!$DH18)&gt;0))),N(Simulations!$DK18)&lt;=0,N(Simulations!$DH18)&lt;=0,3&gt;N(IF(Simulations!$O18="",1,Simulations!$O18))),0,IF(Simulations!$DK18&lt;IF(Simulations!$J18="",1000,Simulations!$J18),Simulations!$DH18/(IF(Simulations!$G18="",5000,Simulations!$G18)*IF(Simulations!$H18="",5000,Simulations!$H18)*IF(IF(Simulations!$I18="",5000,Simulations!$I18)&gt;0,IF(Simulations!$I18="",5000,Simulations!$I18),1))*Simulations!$DK18*(PI()/2*IF(Simulations!$V18="",200,Simulations!$V18)^2*IF(IF(Simulations!$I18="",5000,Simulations!$I18)&gt;0,SQRT(PI()/2)*IF(Simulations!$Y18="",1000,Simulations!$Y18),1)),Simulations!$DH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V18="",200,Simulations!$V18)^2*IF(Simulations!$Y18="",1000,Simulations!$Y18)/2^1.5*(2/3*LN(Simulations!$DK18/IF(Simulations!$J18="",1000,Simulations!$J18))^1.5+SQRT(LN(Simulations!$DK18/IF(Simulations!$J18="",1000,Simulations!$J18)))+Simulations!$DK18/IF(Simulations!$J18="",1000,Simulations!$J18)*SQRT(PI())/2*ERFC(SQRT(LN(Simulations!$DK18/IF(Simulations!$J18="",1000,Simulations!$J18))))),PI()*IF(Simulations!$V18="",200,Simulations!$V18)^2/2*(LN(Simulations!$DK18/IF(Simulations!$J18="",1000,Simulations!$J18))+1))))</f>
        <v>0</v>
      </c>
      <c r="AC18" s="0" t="n">
        <f aca="false">IF(NOT(AND(Simulations!$A18&lt;&gt;"",OR(Simulations!$DF18&lt;&gt;"",N(Simulations!$DH18)&gt;0))),0,MAX(N(Simulations!$DI18),N(Simulations!$DJ18),N(Simulations!$DK18))/IF(Simulations!$J18="",1000,Simulations!$J18))</f>
        <v>0</v>
      </c>
      <c r="AD18" s="0" t="n">
        <f aca="false">IF(OR(NOT(AND(Simulations!$A18&lt;&gt;"",OR(Simulations!$DF18&lt;&gt;"",N(Simulations!$DH18)&gt;0))),N(Simulations!$DG18)&lt;=0),0,SQRT(2*Simulations!$DG18*1000000/(IF(Simulations!$J18="",1000,Simulations!$J18)*1000))/MIN(IF(Simulations!$T18="",200,Simulations!$T18),IF(Simulations!$U18="",200,Simulations!$U18),IF(Simulations!$V18="",200,Simulations!$V18)))</f>
        <v>0</v>
      </c>
      <c r="AE18" s="0" t="n">
        <f aca="false">IF(AND(Simulations!$A18&lt;&gt;"",OR(Simulations!$DF18&lt;&gt;"",N(Simulations!$DH18)&gt;0)),1,0)</f>
        <v>0</v>
      </c>
      <c r="AF18" s="0" t="n">
        <f aca="false">IF(OR(NOT(AND(Simulations!$A18&lt;&gt;"",OR(Simulations!$DX18&lt;&gt;"",N(Simulations!$DZ18)&gt;0))),N(Simulations!$EA18)&lt;=0,N(Simulations!$DZ18)&lt;=0,1&gt;N(IF(Simulations!$O18="",1,Simulations!$O18))),0,IF(Simulations!$EA18&lt;IF(Simulations!$J18="",1000,Simulations!$J18),Simulations!$DZ18/(IF(Simulations!$G18="",5000,Simulations!$G18)*IF(Simulations!$H18="",5000,Simulations!$H18)*IF(IF(Simulations!$I18="",5000,Simulations!$I18)&gt;0,IF(Simulations!$I18="",5000,Simulations!$I18),1))*Simulations!$EA18*(PI()/2*IF(Simulations!$T18="",200,Simulations!$T18)^2*IF(IF(Simulations!$I18="",5000,Simulations!$I18)&gt;0,SQRT(PI()/2)*IF(Simulations!$W18="",1000,Simulations!$W18),1)),Simulations!$DZ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T18="",200,Simulations!$T18)^2*IF(Simulations!$W18="",1000,Simulations!$W18)/2^1.5*(2/3*LN(Simulations!$EA18/IF(Simulations!$J18="",1000,Simulations!$J18))^1.5+SQRT(LN(Simulations!$EA18/IF(Simulations!$J18="",1000,Simulations!$J18)))+Simulations!$EA18/IF(Simulations!$J18="",1000,Simulations!$J18)*SQRT(PI())/2*ERFC(SQRT(LN(Simulations!$EA18/IF(Simulations!$J18="",1000,Simulations!$J18))))),PI()*IF(Simulations!$T18="",200,Simulations!$T18)^2/2*(LN(Simulations!$EA18/IF(Simulations!$J18="",1000,Simulations!$J18))+1))))</f>
        <v>0</v>
      </c>
      <c r="AG18" s="0" t="n">
        <f aca="false">IF(OR(NOT(AND(Simulations!$A18&lt;&gt;"",OR(Simulations!$DX18&lt;&gt;"",N(Simulations!$DZ18)&gt;0))),N(Simulations!$EB18)&lt;=0,N(Simulations!$DZ18)&lt;=0,2&gt;N(IF(Simulations!$O18="",1,Simulations!$O18))),0,IF(Simulations!$EB18&lt;IF(Simulations!$J18="",1000,Simulations!$J18),Simulations!$DZ18/(IF(Simulations!$G18="",5000,Simulations!$G18)*IF(Simulations!$H18="",5000,Simulations!$H18)*IF(IF(Simulations!$I18="",5000,Simulations!$I18)&gt;0,IF(Simulations!$I18="",5000,Simulations!$I18),1))*Simulations!$EB18*(PI()/2*IF(Simulations!$U18="",200,Simulations!$U18)^2*IF(IF(Simulations!$I18="",5000,Simulations!$I18)&gt;0,SQRT(PI()/2)*IF(Simulations!$X18="",1000,Simulations!$X18),1)),Simulations!$DZ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U18="",200,Simulations!$U18)^2*IF(Simulations!$X18="",1000,Simulations!$X18)/2^1.5*(2/3*LN(Simulations!$EB18/IF(Simulations!$J18="",1000,Simulations!$J18))^1.5+SQRT(LN(Simulations!$EB18/IF(Simulations!$J18="",1000,Simulations!$J18)))+Simulations!$EB18/IF(Simulations!$J18="",1000,Simulations!$J18)*SQRT(PI())/2*ERFC(SQRT(LN(Simulations!$EB18/IF(Simulations!$J18="",1000,Simulations!$J18))))),PI()*IF(Simulations!$U18="",200,Simulations!$U18)^2/2*(LN(Simulations!$EB18/IF(Simulations!$J18="",1000,Simulations!$J18))+1))))</f>
        <v>0</v>
      </c>
      <c r="AH18" s="0" t="n">
        <f aca="false">IF(OR(NOT(AND(Simulations!$A18&lt;&gt;"",OR(Simulations!$DX18&lt;&gt;"",N(Simulations!$DZ18)&gt;0))),N(Simulations!$EC18)&lt;=0,N(Simulations!$DZ18)&lt;=0,3&gt;N(IF(Simulations!$O18="",1,Simulations!$O18))),0,IF(Simulations!$EC18&lt;IF(Simulations!$J18="",1000,Simulations!$J18),Simulations!$DZ18/(IF(Simulations!$G18="",5000,Simulations!$G18)*IF(Simulations!$H18="",5000,Simulations!$H18)*IF(IF(Simulations!$I18="",5000,Simulations!$I18)&gt;0,IF(Simulations!$I18="",5000,Simulations!$I18),1))*Simulations!$EC18*(PI()/2*IF(Simulations!$V18="",200,Simulations!$V18)^2*IF(IF(Simulations!$I18="",5000,Simulations!$I18)&gt;0,SQRT(PI()/2)*IF(Simulations!$Y18="",1000,Simulations!$Y18),1)),Simulations!$DZ18/(IF(Simulations!$G18="",5000,Simulations!$G18)*IF(Simulations!$H18="",5000,Simulations!$H18)*IF(IF(Simulations!$I18="",5000,Simulations!$I18)&gt;0,IF(Simulations!$I18="",5000,Simulations!$I18),1))*IF(Simulations!$J18="",1000,Simulations!$J18)*IF(IF(Simulations!$I18="",5000,Simulations!$I18)&gt;0,2*PI()*IF(Simulations!$V18="",200,Simulations!$V18)^2*IF(Simulations!$Y18="",1000,Simulations!$Y18)/2^1.5*(2/3*LN(Simulations!$EC18/IF(Simulations!$J18="",1000,Simulations!$J18))^1.5+SQRT(LN(Simulations!$EC18/IF(Simulations!$J18="",1000,Simulations!$J18)))+Simulations!$EC18/IF(Simulations!$J18="",1000,Simulations!$J18)*SQRT(PI())/2*ERFC(SQRT(LN(Simulations!$EC18/IF(Simulations!$J18="",1000,Simulations!$J18))))),PI()*IF(Simulations!$V18="",200,Simulations!$V18)^2/2*(LN(Simulations!$EC18/IF(Simulations!$J18="",1000,Simulations!$J18))+1))))</f>
        <v>0</v>
      </c>
      <c r="AI18" s="0" t="n">
        <f aca="false">IF(NOT(AND(Simulations!$A18&lt;&gt;"",OR(Simulations!$DX18&lt;&gt;"",N(Simulations!$DZ18)&gt;0))),0,MAX(N(Simulations!$EA18),N(Simulations!$EB18),N(Simulations!$EC18))/IF(Simulations!$J18="",1000,Simulations!$J18))</f>
        <v>0</v>
      </c>
      <c r="AJ18" s="0" t="n">
        <f aca="false">IF(OR(NOT(AND(Simulations!$A18&lt;&gt;"",OR(Simulations!$DX18&lt;&gt;"",N(Simulations!$DZ18)&gt;0))),N(Simulations!$DY18)&lt;=0),0,SQRT(2*Simulations!$DY18*1000000/(IF(Simulations!$J18="",1000,Simulations!$J18)*1000))/MIN(IF(Simulations!$T18="",200,Simulations!$T18),IF(Simulations!$U18="",200,Simulations!$U18),IF(Simulations!$V18="",200,Simulations!$V18)))</f>
        <v>0</v>
      </c>
      <c r="AK18" s="0" t="n">
        <f aca="false">IF(AND(Simulations!$A18&lt;&gt;"",OR(Simulations!$DX18&lt;&gt;"",N(Simulations!$DZ18)&gt;0)),1,0)</f>
        <v>0</v>
      </c>
    </row>
    <row r="19" customFormat="false" ht="15" hidden="false" customHeight="false" outlineLevel="0" collapsed="false">
      <c r="B19" s="0" t="n">
        <f aca="false">IF(OR(NOT(AND(Simulations!$A19&lt;&gt;"",OR(Simulations!$AL19&lt;&gt;"",N(Simulations!$AN19)&gt;0))),N(Simulations!$AO19)&lt;=0,N(Simulations!$AN19)&lt;=0,1&gt;N(IF(Simulations!$O19="",1,Simulations!$O19))),0,IF(Simulations!$AO19&lt;IF(Simulations!$J19="",1000,Simulations!$J19),Simulations!$AN19/(IF(Simulations!$G19="",5000,Simulations!$G19)*IF(Simulations!$H19="",5000,Simulations!$H19)*IF(IF(Simulations!$I19="",5000,Simulations!$I19)&gt;0,IF(Simulations!$I19="",5000,Simulations!$I19),1))*Simulations!$AO19*(PI()/2*IF(Simulations!$T19="",200,Simulations!$T19)^2*IF(IF(Simulations!$I19="",5000,Simulations!$I19)&gt;0,SQRT(PI()/2)*IF(Simulations!$W19="",1000,Simulations!$W19),1)),Simulations!$AN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T19="",200,Simulations!$T19)^2*IF(Simulations!$W19="",1000,Simulations!$W19)/2^1.5*(2/3*LN(Simulations!$AO19/IF(Simulations!$J19="",1000,Simulations!$J19))^1.5+SQRT(LN(Simulations!$AO19/IF(Simulations!$J19="",1000,Simulations!$J19)))+Simulations!$AO19/IF(Simulations!$J19="",1000,Simulations!$J19)*SQRT(PI())/2*ERFC(SQRT(LN(Simulations!$AO19/IF(Simulations!$J19="",1000,Simulations!$J19))))),PI()*IF(Simulations!$T19="",200,Simulations!$T19)^2/2*(LN(Simulations!$AO19/IF(Simulations!$J19="",1000,Simulations!$J19))+1))))</f>
        <v>0</v>
      </c>
      <c r="C19" s="0" t="n">
        <f aca="false">IF(OR(NOT(AND(Simulations!$A19&lt;&gt;"",OR(Simulations!$AL19&lt;&gt;"",N(Simulations!$AN19)&gt;0))),N(Simulations!$AP19)&lt;=0,N(Simulations!$AN19)&lt;=0,2&gt;N(IF(Simulations!$O19="",1,Simulations!$O19))),0,IF(Simulations!$AP19&lt;IF(Simulations!$J19="",1000,Simulations!$J19),Simulations!$AN19/(IF(Simulations!$G19="",5000,Simulations!$G19)*IF(Simulations!$H19="",5000,Simulations!$H19)*IF(IF(Simulations!$I19="",5000,Simulations!$I19)&gt;0,IF(Simulations!$I19="",5000,Simulations!$I19),1))*Simulations!$AP19*(PI()/2*IF(Simulations!$U19="",200,Simulations!$U19)^2*IF(IF(Simulations!$I19="",5000,Simulations!$I19)&gt;0,SQRT(PI()/2)*IF(Simulations!$X19="",1000,Simulations!$X19),1)),Simulations!$AN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U19="",200,Simulations!$U19)^2*IF(Simulations!$X19="",1000,Simulations!$X19)/2^1.5*(2/3*LN(Simulations!$AP19/IF(Simulations!$J19="",1000,Simulations!$J19))^1.5+SQRT(LN(Simulations!$AP19/IF(Simulations!$J19="",1000,Simulations!$J19)))+Simulations!$AP19/IF(Simulations!$J19="",1000,Simulations!$J19)*SQRT(PI())/2*ERFC(SQRT(LN(Simulations!$AP19/IF(Simulations!$J19="",1000,Simulations!$J19))))),PI()*IF(Simulations!$U19="",200,Simulations!$U19)^2/2*(LN(Simulations!$AP19/IF(Simulations!$J19="",1000,Simulations!$J19))+1))))</f>
        <v>0</v>
      </c>
      <c r="D19" s="0" t="n">
        <f aca="false">IF(OR(NOT(AND(Simulations!$A19&lt;&gt;"",OR(Simulations!$AL19&lt;&gt;"",N(Simulations!$AN19)&gt;0))),N(Simulations!$AQ19)&lt;=0,N(Simulations!$AN19)&lt;=0,3&gt;N(IF(Simulations!$O19="",1,Simulations!$O19))),0,IF(Simulations!$AQ19&lt;IF(Simulations!$J19="",1000,Simulations!$J19),Simulations!$AN19/(IF(Simulations!$G19="",5000,Simulations!$G19)*IF(Simulations!$H19="",5000,Simulations!$H19)*IF(IF(Simulations!$I19="",5000,Simulations!$I19)&gt;0,IF(Simulations!$I19="",5000,Simulations!$I19),1))*Simulations!$AQ19*(PI()/2*IF(Simulations!$V19="",200,Simulations!$V19)^2*IF(IF(Simulations!$I19="",5000,Simulations!$I19)&gt;0,SQRT(PI()/2)*IF(Simulations!$Y19="",1000,Simulations!$Y19),1)),Simulations!$AN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V19="",200,Simulations!$V19)^2*IF(Simulations!$Y19="",1000,Simulations!$Y19)/2^1.5*(2/3*LN(Simulations!$AQ19/IF(Simulations!$J19="",1000,Simulations!$J19))^1.5+SQRT(LN(Simulations!$AQ19/IF(Simulations!$J19="",1000,Simulations!$J19)))+Simulations!$AQ19/IF(Simulations!$J19="",1000,Simulations!$J19)*SQRT(PI())/2*ERFC(SQRT(LN(Simulations!$AQ19/IF(Simulations!$J19="",1000,Simulations!$J19))))),PI()*IF(Simulations!$V19="",200,Simulations!$V19)^2/2*(LN(Simulations!$AQ19/IF(Simulations!$J19="",1000,Simulations!$J19))+1))))</f>
        <v>0</v>
      </c>
      <c r="E19" s="0" t="n">
        <f aca="false">IF(NOT(AND(Simulations!$A19&lt;&gt;"",OR(Simulations!$AL19&lt;&gt;"",N(Simulations!$AN19)&gt;0))),0,MAX(N(Simulations!$AO19),N(Simulations!$AP19),N(Simulations!$AQ19))/IF(Simulations!$J19="",1000,Simulations!$J19))</f>
        <v>0</v>
      </c>
      <c r="F19" s="0" t="n">
        <f aca="false">IF(OR(NOT(AND(Simulations!$A19&lt;&gt;"",OR(Simulations!$AL19&lt;&gt;"",N(Simulations!$AN19)&gt;0))),N(Simulations!$AM19)&lt;=0),0,SQRT(2*Simulations!$AM19*1000000/(IF(Simulations!$J19="",1000,Simulations!$J19)*1000))/MIN(IF(Simulations!$T19="",200,Simulations!$T19),IF(Simulations!$U19="",200,Simulations!$U19),IF(Simulations!$V19="",200,Simulations!$V19)))</f>
        <v>0</v>
      </c>
      <c r="G19" s="0" t="n">
        <f aca="false">IF(AND(Simulations!$A19&lt;&gt;"",OR(Simulations!$AL19&lt;&gt;"",N(Simulations!$AN19)&gt;0)),1,0)</f>
        <v>0</v>
      </c>
      <c r="H19" s="0" t="n">
        <f aca="false">IF(OR(NOT(AND(Simulations!$A19&lt;&gt;"",OR(Simulations!$BD19&lt;&gt;"",N(Simulations!$BF19)&gt;0))),N(Simulations!$BG19)&lt;=0,N(Simulations!$BF19)&lt;=0,1&gt;N(IF(Simulations!$O19="",1,Simulations!$O19))),0,IF(Simulations!$BG19&lt;IF(Simulations!$J19="",1000,Simulations!$J19),Simulations!$BF19/(IF(Simulations!$G19="",5000,Simulations!$G19)*IF(Simulations!$H19="",5000,Simulations!$H19)*IF(IF(Simulations!$I19="",5000,Simulations!$I19)&gt;0,IF(Simulations!$I19="",5000,Simulations!$I19),1))*Simulations!$BG19*(PI()/2*IF(Simulations!$T19="",200,Simulations!$T19)^2*IF(IF(Simulations!$I19="",5000,Simulations!$I19)&gt;0,SQRT(PI()/2)*IF(Simulations!$W19="",1000,Simulations!$W19),1)),Simulations!$BF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T19="",200,Simulations!$T19)^2*IF(Simulations!$W19="",1000,Simulations!$W19)/2^1.5*(2/3*LN(Simulations!$BG19/IF(Simulations!$J19="",1000,Simulations!$J19))^1.5+SQRT(LN(Simulations!$BG19/IF(Simulations!$J19="",1000,Simulations!$J19)))+Simulations!$BG19/IF(Simulations!$J19="",1000,Simulations!$J19)*SQRT(PI())/2*ERFC(SQRT(LN(Simulations!$BG19/IF(Simulations!$J19="",1000,Simulations!$J19))))),PI()*IF(Simulations!$T19="",200,Simulations!$T19)^2/2*(LN(Simulations!$BG19/IF(Simulations!$J19="",1000,Simulations!$J19))+1))))</f>
        <v>0</v>
      </c>
      <c r="I19" s="0" t="n">
        <f aca="false">IF(OR(NOT(AND(Simulations!$A19&lt;&gt;"",OR(Simulations!$BD19&lt;&gt;"",N(Simulations!$BF19)&gt;0))),N(Simulations!$BH19)&lt;=0,N(Simulations!$BF19)&lt;=0,2&gt;N(IF(Simulations!$O19="",1,Simulations!$O19))),0,IF(Simulations!$BH19&lt;IF(Simulations!$J19="",1000,Simulations!$J19),Simulations!$BF19/(IF(Simulations!$G19="",5000,Simulations!$G19)*IF(Simulations!$H19="",5000,Simulations!$H19)*IF(IF(Simulations!$I19="",5000,Simulations!$I19)&gt;0,IF(Simulations!$I19="",5000,Simulations!$I19),1))*Simulations!$BH19*(PI()/2*IF(Simulations!$U19="",200,Simulations!$U19)^2*IF(IF(Simulations!$I19="",5000,Simulations!$I19)&gt;0,SQRT(PI()/2)*IF(Simulations!$X19="",1000,Simulations!$X19),1)),Simulations!$BF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U19="",200,Simulations!$U19)^2*IF(Simulations!$X19="",1000,Simulations!$X19)/2^1.5*(2/3*LN(Simulations!$BH19/IF(Simulations!$J19="",1000,Simulations!$J19))^1.5+SQRT(LN(Simulations!$BH19/IF(Simulations!$J19="",1000,Simulations!$J19)))+Simulations!$BH19/IF(Simulations!$J19="",1000,Simulations!$J19)*SQRT(PI())/2*ERFC(SQRT(LN(Simulations!$BH19/IF(Simulations!$J19="",1000,Simulations!$J19))))),PI()*IF(Simulations!$U19="",200,Simulations!$U19)^2/2*(LN(Simulations!$BH19/IF(Simulations!$J19="",1000,Simulations!$J19))+1))))</f>
        <v>0</v>
      </c>
      <c r="J19" s="0" t="n">
        <f aca="false">IF(OR(NOT(AND(Simulations!$A19&lt;&gt;"",OR(Simulations!$BD19&lt;&gt;"",N(Simulations!$BF19)&gt;0))),N(Simulations!$BI19)&lt;=0,N(Simulations!$BF19)&lt;=0,3&gt;N(IF(Simulations!$O19="",1,Simulations!$O19))),0,IF(Simulations!$BI19&lt;IF(Simulations!$J19="",1000,Simulations!$J19),Simulations!$BF19/(IF(Simulations!$G19="",5000,Simulations!$G19)*IF(Simulations!$H19="",5000,Simulations!$H19)*IF(IF(Simulations!$I19="",5000,Simulations!$I19)&gt;0,IF(Simulations!$I19="",5000,Simulations!$I19),1))*Simulations!$BI19*(PI()/2*IF(Simulations!$V19="",200,Simulations!$V19)^2*IF(IF(Simulations!$I19="",5000,Simulations!$I19)&gt;0,SQRT(PI()/2)*IF(Simulations!$Y19="",1000,Simulations!$Y19),1)),Simulations!$BF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V19="",200,Simulations!$V19)^2*IF(Simulations!$Y19="",1000,Simulations!$Y19)/2^1.5*(2/3*LN(Simulations!$BI19/IF(Simulations!$J19="",1000,Simulations!$J19))^1.5+SQRT(LN(Simulations!$BI19/IF(Simulations!$J19="",1000,Simulations!$J19)))+Simulations!$BI19/IF(Simulations!$J19="",1000,Simulations!$J19)*SQRT(PI())/2*ERFC(SQRT(LN(Simulations!$BI19/IF(Simulations!$J19="",1000,Simulations!$J19))))),PI()*IF(Simulations!$V19="",200,Simulations!$V19)^2/2*(LN(Simulations!$BI19/IF(Simulations!$J19="",1000,Simulations!$J19))+1))))</f>
        <v>0</v>
      </c>
      <c r="K19" s="0" t="n">
        <f aca="false">IF(NOT(AND(Simulations!$A19&lt;&gt;"",OR(Simulations!$BD19&lt;&gt;"",N(Simulations!$BF19)&gt;0))),0,MAX(N(Simulations!$BG19),N(Simulations!$BH19),N(Simulations!$BI19))/IF(Simulations!$J19="",1000,Simulations!$J19))</f>
        <v>0</v>
      </c>
      <c r="L19" s="0" t="n">
        <f aca="false">IF(OR(NOT(AND(Simulations!$A19&lt;&gt;"",OR(Simulations!$BD19&lt;&gt;"",N(Simulations!$BF19)&gt;0))),N(Simulations!$BE19)&lt;=0),0,SQRT(2*Simulations!$BE19*1000000/(IF(Simulations!$J19="",1000,Simulations!$J19)*1000))/MIN(IF(Simulations!$T19="",200,Simulations!$T19),IF(Simulations!$U19="",200,Simulations!$U19),IF(Simulations!$V19="",200,Simulations!$V19)))</f>
        <v>0</v>
      </c>
      <c r="M19" s="0" t="n">
        <f aca="false">IF(AND(Simulations!$A19&lt;&gt;"",OR(Simulations!$BD19&lt;&gt;"",N(Simulations!$BF19)&gt;0)),1,0)</f>
        <v>0</v>
      </c>
      <c r="N19" s="0" t="n">
        <f aca="false">IF(OR(NOT(AND(Simulations!$A19&lt;&gt;"",OR(Simulations!$BV19&lt;&gt;"",N(Simulations!$BX19)&gt;0))),N(Simulations!$BY19)&lt;=0,N(Simulations!$BX19)&lt;=0,1&gt;N(IF(Simulations!$O19="",1,Simulations!$O19))),0,IF(Simulations!$BY19&lt;IF(Simulations!$J19="",1000,Simulations!$J19),Simulations!$BX19/(IF(Simulations!$G19="",5000,Simulations!$G19)*IF(Simulations!$H19="",5000,Simulations!$H19)*IF(IF(Simulations!$I19="",5000,Simulations!$I19)&gt;0,IF(Simulations!$I19="",5000,Simulations!$I19),1))*Simulations!$BY19*(PI()/2*IF(Simulations!$T19="",200,Simulations!$T19)^2*IF(IF(Simulations!$I19="",5000,Simulations!$I19)&gt;0,SQRT(PI()/2)*IF(Simulations!$W19="",1000,Simulations!$W19),1)),Simulations!$BX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T19="",200,Simulations!$T19)^2*IF(Simulations!$W19="",1000,Simulations!$W19)/2^1.5*(2/3*LN(Simulations!$BY19/IF(Simulations!$J19="",1000,Simulations!$J19))^1.5+SQRT(LN(Simulations!$BY19/IF(Simulations!$J19="",1000,Simulations!$J19)))+Simulations!$BY19/IF(Simulations!$J19="",1000,Simulations!$J19)*SQRT(PI())/2*ERFC(SQRT(LN(Simulations!$BY19/IF(Simulations!$J19="",1000,Simulations!$J19))))),PI()*IF(Simulations!$T19="",200,Simulations!$T19)^2/2*(LN(Simulations!$BY19/IF(Simulations!$J19="",1000,Simulations!$J19))+1))))</f>
        <v>0</v>
      </c>
      <c r="O19" s="0" t="n">
        <f aca="false">IF(OR(NOT(AND(Simulations!$A19&lt;&gt;"",OR(Simulations!$BV19&lt;&gt;"",N(Simulations!$BX19)&gt;0))),N(Simulations!$BZ19)&lt;=0,N(Simulations!$BX19)&lt;=0,2&gt;N(IF(Simulations!$O19="",1,Simulations!$O19))),0,IF(Simulations!$BZ19&lt;IF(Simulations!$J19="",1000,Simulations!$J19),Simulations!$BX19/(IF(Simulations!$G19="",5000,Simulations!$G19)*IF(Simulations!$H19="",5000,Simulations!$H19)*IF(IF(Simulations!$I19="",5000,Simulations!$I19)&gt;0,IF(Simulations!$I19="",5000,Simulations!$I19),1))*Simulations!$BZ19*(PI()/2*IF(Simulations!$U19="",200,Simulations!$U19)^2*IF(IF(Simulations!$I19="",5000,Simulations!$I19)&gt;0,SQRT(PI()/2)*IF(Simulations!$X19="",1000,Simulations!$X19),1)),Simulations!$BX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U19="",200,Simulations!$U19)^2*IF(Simulations!$X19="",1000,Simulations!$X19)/2^1.5*(2/3*LN(Simulations!$BZ19/IF(Simulations!$J19="",1000,Simulations!$J19))^1.5+SQRT(LN(Simulations!$BZ19/IF(Simulations!$J19="",1000,Simulations!$J19)))+Simulations!$BZ19/IF(Simulations!$J19="",1000,Simulations!$J19)*SQRT(PI())/2*ERFC(SQRT(LN(Simulations!$BZ19/IF(Simulations!$J19="",1000,Simulations!$J19))))),PI()*IF(Simulations!$U19="",200,Simulations!$U19)^2/2*(LN(Simulations!$BZ19/IF(Simulations!$J19="",1000,Simulations!$J19))+1))))</f>
        <v>0</v>
      </c>
      <c r="P19" s="0" t="n">
        <f aca="false">IF(OR(NOT(AND(Simulations!$A19&lt;&gt;"",OR(Simulations!$BV19&lt;&gt;"",N(Simulations!$BX19)&gt;0))),N(Simulations!$CA19)&lt;=0,N(Simulations!$BX19)&lt;=0,3&gt;N(IF(Simulations!$O19="",1,Simulations!$O19))),0,IF(Simulations!$CA19&lt;IF(Simulations!$J19="",1000,Simulations!$J19),Simulations!$BX19/(IF(Simulations!$G19="",5000,Simulations!$G19)*IF(Simulations!$H19="",5000,Simulations!$H19)*IF(IF(Simulations!$I19="",5000,Simulations!$I19)&gt;0,IF(Simulations!$I19="",5000,Simulations!$I19),1))*Simulations!$CA19*(PI()/2*IF(Simulations!$V19="",200,Simulations!$V19)^2*IF(IF(Simulations!$I19="",5000,Simulations!$I19)&gt;0,SQRT(PI()/2)*IF(Simulations!$Y19="",1000,Simulations!$Y19),1)),Simulations!$BX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V19="",200,Simulations!$V19)^2*IF(Simulations!$Y19="",1000,Simulations!$Y19)/2^1.5*(2/3*LN(Simulations!$CA19/IF(Simulations!$J19="",1000,Simulations!$J19))^1.5+SQRT(LN(Simulations!$CA19/IF(Simulations!$J19="",1000,Simulations!$J19)))+Simulations!$CA19/IF(Simulations!$J19="",1000,Simulations!$J19)*SQRT(PI())/2*ERFC(SQRT(LN(Simulations!$CA19/IF(Simulations!$J19="",1000,Simulations!$J19))))),PI()*IF(Simulations!$V19="",200,Simulations!$V19)^2/2*(LN(Simulations!$CA19/IF(Simulations!$J19="",1000,Simulations!$J19))+1))))</f>
        <v>0</v>
      </c>
      <c r="Q19" s="0" t="n">
        <f aca="false">IF(NOT(AND(Simulations!$A19&lt;&gt;"",OR(Simulations!$BV19&lt;&gt;"",N(Simulations!$BX19)&gt;0))),0,MAX(N(Simulations!$BY19),N(Simulations!$BZ19),N(Simulations!$CA19))/IF(Simulations!$J19="",1000,Simulations!$J19))</f>
        <v>0</v>
      </c>
      <c r="R19" s="0" t="n">
        <f aca="false">IF(OR(NOT(AND(Simulations!$A19&lt;&gt;"",OR(Simulations!$BV19&lt;&gt;"",N(Simulations!$BX19)&gt;0))),N(Simulations!$BW19)&lt;=0),0,SQRT(2*Simulations!$BW19*1000000/(IF(Simulations!$J19="",1000,Simulations!$J19)*1000))/MIN(IF(Simulations!$T19="",200,Simulations!$T19),IF(Simulations!$U19="",200,Simulations!$U19),IF(Simulations!$V19="",200,Simulations!$V19)))</f>
        <v>0</v>
      </c>
      <c r="S19" s="0" t="n">
        <f aca="false">IF(AND(Simulations!$A19&lt;&gt;"",OR(Simulations!$BV19&lt;&gt;"",N(Simulations!$BX19)&gt;0)),1,0)</f>
        <v>0</v>
      </c>
      <c r="T19" s="0" t="n">
        <f aca="false">IF(OR(NOT(AND(Simulations!$A19&lt;&gt;"",OR(Simulations!$CN19&lt;&gt;"",N(Simulations!$CP19)&gt;0))),N(Simulations!$CQ19)&lt;=0,N(Simulations!$CP19)&lt;=0,1&gt;N(IF(Simulations!$O19="",1,Simulations!$O19))),0,IF(Simulations!$CQ19&lt;IF(Simulations!$J19="",1000,Simulations!$J19),Simulations!$CP19/(IF(Simulations!$G19="",5000,Simulations!$G19)*IF(Simulations!$H19="",5000,Simulations!$H19)*IF(IF(Simulations!$I19="",5000,Simulations!$I19)&gt;0,IF(Simulations!$I19="",5000,Simulations!$I19),1))*Simulations!$CQ19*(PI()/2*IF(Simulations!$T19="",200,Simulations!$T19)^2*IF(IF(Simulations!$I19="",5000,Simulations!$I19)&gt;0,SQRT(PI()/2)*IF(Simulations!$W19="",1000,Simulations!$W19),1)),Simulations!$CP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T19="",200,Simulations!$T19)^2*IF(Simulations!$W19="",1000,Simulations!$W19)/2^1.5*(2/3*LN(Simulations!$CQ19/IF(Simulations!$J19="",1000,Simulations!$J19))^1.5+SQRT(LN(Simulations!$CQ19/IF(Simulations!$J19="",1000,Simulations!$J19)))+Simulations!$CQ19/IF(Simulations!$J19="",1000,Simulations!$J19)*SQRT(PI())/2*ERFC(SQRT(LN(Simulations!$CQ19/IF(Simulations!$J19="",1000,Simulations!$J19))))),PI()*IF(Simulations!$T19="",200,Simulations!$T19)^2/2*(LN(Simulations!$CQ19/IF(Simulations!$J19="",1000,Simulations!$J19))+1))))</f>
        <v>0</v>
      </c>
      <c r="U19" s="0" t="n">
        <f aca="false">IF(OR(NOT(AND(Simulations!$A19&lt;&gt;"",OR(Simulations!$CN19&lt;&gt;"",N(Simulations!$CP19)&gt;0))),N(Simulations!$CR19)&lt;=0,N(Simulations!$CP19)&lt;=0,2&gt;N(IF(Simulations!$O19="",1,Simulations!$O19))),0,IF(Simulations!$CR19&lt;IF(Simulations!$J19="",1000,Simulations!$J19),Simulations!$CP19/(IF(Simulations!$G19="",5000,Simulations!$G19)*IF(Simulations!$H19="",5000,Simulations!$H19)*IF(IF(Simulations!$I19="",5000,Simulations!$I19)&gt;0,IF(Simulations!$I19="",5000,Simulations!$I19),1))*Simulations!$CR19*(PI()/2*IF(Simulations!$U19="",200,Simulations!$U19)^2*IF(IF(Simulations!$I19="",5000,Simulations!$I19)&gt;0,SQRT(PI()/2)*IF(Simulations!$X19="",1000,Simulations!$X19),1)),Simulations!$CP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U19="",200,Simulations!$U19)^2*IF(Simulations!$X19="",1000,Simulations!$X19)/2^1.5*(2/3*LN(Simulations!$CR19/IF(Simulations!$J19="",1000,Simulations!$J19))^1.5+SQRT(LN(Simulations!$CR19/IF(Simulations!$J19="",1000,Simulations!$J19)))+Simulations!$CR19/IF(Simulations!$J19="",1000,Simulations!$J19)*SQRT(PI())/2*ERFC(SQRT(LN(Simulations!$CR19/IF(Simulations!$J19="",1000,Simulations!$J19))))),PI()*IF(Simulations!$U19="",200,Simulations!$U19)^2/2*(LN(Simulations!$CR19/IF(Simulations!$J19="",1000,Simulations!$J19))+1))))</f>
        <v>0</v>
      </c>
      <c r="V19" s="0" t="n">
        <f aca="false">IF(OR(NOT(AND(Simulations!$A19&lt;&gt;"",OR(Simulations!$CN19&lt;&gt;"",N(Simulations!$CP19)&gt;0))),N(Simulations!$CS19)&lt;=0,N(Simulations!$CP19)&lt;=0,3&gt;N(IF(Simulations!$O19="",1,Simulations!$O19))),0,IF(Simulations!$CS19&lt;IF(Simulations!$J19="",1000,Simulations!$J19),Simulations!$CP19/(IF(Simulations!$G19="",5000,Simulations!$G19)*IF(Simulations!$H19="",5000,Simulations!$H19)*IF(IF(Simulations!$I19="",5000,Simulations!$I19)&gt;0,IF(Simulations!$I19="",5000,Simulations!$I19),1))*Simulations!$CS19*(PI()/2*IF(Simulations!$V19="",200,Simulations!$V19)^2*IF(IF(Simulations!$I19="",5000,Simulations!$I19)&gt;0,SQRT(PI()/2)*IF(Simulations!$Y19="",1000,Simulations!$Y19),1)),Simulations!$CP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V19="",200,Simulations!$V19)^2*IF(Simulations!$Y19="",1000,Simulations!$Y19)/2^1.5*(2/3*LN(Simulations!$CS19/IF(Simulations!$J19="",1000,Simulations!$J19))^1.5+SQRT(LN(Simulations!$CS19/IF(Simulations!$J19="",1000,Simulations!$J19)))+Simulations!$CS19/IF(Simulations!$J19="",1000,Simulations!$J19)*SQRT(PI())/2*ERFC(SQRT(LN(Simulations!$CS19/IF(Simulations!$J19="",1000,Simulations!$J19))))),PI()*IF(Simulations!$V19="",200,Simulations!$V19)^2/2*(LN(Simulations!$CS19/IF(Simulations!$J19="",1000,Simulations!$J19))+1))))</f>
        <v>0</v>
      </c>
      <c r="W19" s="0" t="n">
        <f aca="false">IF(NOT(AND(Simulations!$A19&lt;&gt;"",OR(Simulations!$CN19&lt;&gt;"",N(Simulations!$CP19)&gt;0))),0,MAX(N(Simulations!$CQ19),N(Simulations!$CR19),N(Simulations!$CS19))/IF(Simulations!$J19="",1000,Simulations!$J19))</f>
        <v>0</v>
      </c>
      <c r="X19" s="0" t="n">
        <f aca="false">IF(OR(NOT(AND(Simulations!$A19&lt;&gt;"",OR(Simulations!$CN19&lt;&gt;"",N(Simulations!$CP19)&gt;0))),N(Simulations!$CO19)&lt;=0),0,SQRT(2*Simulations!$CO19*1000000/(IF(Simulations!$J19="",1000,Simulations!$J19)*1000))/MIN(IF(Simulations!$T19="",200,Simulations!$T19),IF(Simulations!$U19="",200,Simulations!$U19),IF(Simulations!$V19="",200,Simulations!$V19)))</f>
        <v>0</v>
      </c>
      <c r="Y19" s="0" t="n">
        <f aca="false">IF(AND(Simulations!$A19&lt;&gt;"",OR(Simulations!$CN19&lt;&gt;"",N(Simulations!$CP19)&gt;0)),1,0)</f>
        <v>0</v>
      </c>
      <c r="Z19" s="0" t="n">
        <f aca="false">IF(OR(NOT(AND(Simulations!$A19&lt;&gt;"",OR(Simulations!$DF19&lt;&gt;"",N(Simulations!$DH19)&gt;0))),N(Simulations!$DI19)&lt;=0,N(Simulations!$DH19)&lt;=0,1&gt;N(IF(Simulations!$O19="",1,Simulations!$O19))),0,IF(Simulations!$DI19&lt;IF(Simulations!$J19="",1000,Simulations!$J19),Simulations!$DH19/(IF(Simulations!$G19="",5000,Simulations!$G19)*IF(Simulations!$H19="",5000,Simulations!$H19)*IF(IF(Simulations!$I19="",5000,Simulations!$I19)&gt;0,IF(Simulations!$I19="",5000,Simulations!$I19),1))*Simulations!$DI19*(PI()/2*IF(Simulations!$T19="",200,Simulations!$T19)^2*IF(IF(Simulations!$I19="",5000,Simulations!$I19)&gt;0,SQRT(PI()/2)*IF(Simulations!$W19="",1000,Simulations!$W19),1)),Simulations!$DH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T19="",200,Simulations!$T19)^2*IF(Simulations!$W19="",1000,Simulations!$W19)/2^1.5*(2/3*LN(Simulations!$DI19/IF(Simulations!$J19="",1000,Simulations!$J19))^1.5+SQRT(LN(Simulations!$DI19/IF(Simulations!$J19="",1000,Simulations!$J19)))+Simulations!$DI19/IF(Simulations!$J19="",1000,Simulations!$J19)*SQRT(PI())/2*ERFC(SQRT(LN(Simulations!$DI19/IF(Simulations!$J19="",1000,Simulations!$J19))))),PI()*IF(Simulations!$T19="",200,Simulations!$T19)^2/2*(LN(Simulations!$DI19/IF(Simulations!$J19="",1000,Simulations!$J19))+1))))</f>
        <v>0</v>
      </c>
      <c r="AA19" s="0" t="n">
        <f aca="false">IF(OR(NOT(AND(Simulations!$A19&lt;&gt;"",OR(Simulations!$DF19&lt;&gt;"",N(Simulations!$DH19)&gt;0))),N(Simulations!$DJ19)&lt;=0,N(Simulations!$DH19)&lt;=0,2&gt;N(IF(Simulations!$O19="",1,Simulations!$O19))),0,IF(Simulations!$DJ19&lt;IF(Simulations!$J19="",1000,Simulations!$J19),Simulations!$DH19/(IF(Simulations!$G19="",5000,Simulations!$G19)*IF(Simulations!$H19="",5000,Simulations!$H19)*IF(IF(Simulations!$I19="",5000,Simulations!$I19)&gt;0,IF(Simulations!$I19="",5000,Simulations!$I19),1))*Simulations!$DJ19*(PI()/2*IF(Simulations!$U19="",200,Simulations!$U19)^2*IF(IF(Simulations!$I19="",5000,Simulations!$I19)&gt;0,SQRT(PI()/2)*IF(Simulations!$X19="",1000,Simulations!$X19),1)),Simulations!$DH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U19="",200,Simulations!$U19)^2*IF(Simulations!$X19="",1000,Simulations!$X19)/2^1.5*(2/3*LN(Simulations!$DJ19/IF(Simulations!$J19="",1000,Simulations!$J19))^1.5+SQRT(LN(Simulations!$DJ19/IF(Simulations!$J19="",1000,Simulations!$J19)))+Simulations!$DJ19/IF(Simulations!$J19="",1000,Simulations!$J19)*SQRT(PI())/2*ERFC(SQRT(LN(Simulations!$DJ19/IF(Simulations!$J19="",1000,Simulations!$J19))))),PI()*IF(Simulations!$U19="",200,Simulations!$U19)^2/2*(LN(Simulations!$DJ19/IF(Simulations!$J19="",1000,Simulations!$J19))+1))))</f>
        <v>0</v>
      </c>
      <c r="AB19" s="0" t="n">
        <f aca="false">IF(OR(NOT(AND(Simulations!$A19&lt;&gt;"",OR(Simulations!$DF19&lt;&gt;"",N(Simulations!$DH19)&gt;0))),N(Simulations!$DK19)&lt;=0,N(Simulations!$DH19)&lt;=0,3&gt;N(IF(Simulations!$O19="",1,Simulations!$O19))),0,IF(Simulations!$DK19&lt;IF(Simulations!$J19="",1000,Simulations!$J19),Simulations!$DH19/(IF(Simulations!$G19="",5000,Simulations!$G19)*IF(Simulations!$H19="",5000,Simulations!$H19)*IF(IF(Simulations!$I19="",5000,Simulations!$I19)&gt;0,IF(Simulations!$I19="",5000,Simulations!$I19),1))*Simulations!$DK19*(PI()/2*IF(Simulations!$V19="",200,Simulations!$V19)^2*IF(IF(Simulations!$I19="",5000,Simulations!$I19)&gt;0,SQRT(PI()/2)*IF(Simulations!$Y19="",1000,Simulations!$Y19),1)),Simulations!$DH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V19="",200,Simulations!$V19)^2*IF(Simulations!$Y19="",1000,Simulations!$Y19)/2^1.5*(2/3*LN(Simulations!$DK19/IF(Simulations!$J19="",1000,Simulations!$J19))^1.5+SQRT(LN(Simulations!$DK19/IF(Simulations!$J19="",1000,Simulations!$J19)))+Simulations!$DK19/IF(Simulations!$J19="",1000,Simulations!$J19)*SQRT(PI())/2*ERFC(SQRT(LN(Simulations!$DK19/IF(Simulations!$J19="",1000,Simulations!$J19))))),PI()*IF(Simulations!$V19="",200,Simulations!$V19)^2/2*(LN(Simulations!$DK19/IF(Simulations!$J19="",1000,Simulations!$J19))+1))))</f>
        <v>0</v>
      </c>
      <c r="AC19" s="0" t="n">
        <f aca="false">IF(NOT(AND(Simulations!$A19&lt;&gt;"",OR(Simulations!$DF19&lt;&gt;"",N(Simulations!$DH19)&gt;0))),0,MAX(N(Simulations!$DI19),N(Simulations!$DJ19),N(Simulations!$DK19))/IF(Simulations!$J19="",1000,Simulations!$J19))</f>
        <v>0</v>
      </c>
      <c r="AD19" s="0" t="n">
        <f aca="false">IF(OR(NOT(AND(Simulations!$A19&lt;&gt;"",OR(Simulations!$DF19&lt;&gt;"",N(Simulations!$DH19)&gt;0))),N(Simulations!$DG19)&lt;=0),0,SQRT(2*Simulations!$DG19*1000000/(IF(Simulations!$J19="",1000,Simulations!$J19)*1000))/MIN(IF(Simulations!$T19="",200,Simulations!$T19),IF(Simulations!$U19="",200,Simulations!$U19),IF(Simulations!$V19="",200,Simulations!$V19)))</f>
        <v>0</v>
      </c>
      <c r="AE19" s="0" t="n">
        <f aca="false">IF(AND(Simulations!$A19&lt;&gt;"",OR(Simulations!$DF19&lt;&gt;"",N(Simulations!$DH19)&gt;0)),1,0)</f>
        <v>0</v>
      </c>
      <c r="AF19" s="0" t="n">
        <f aca="false">IF(OR(NOT(AND(Simulations!$A19&lt;&gt;"",OR(Simulations!$DX19&lt;&gt;"",N(Simulations!$DZ19)&gt;0))),N(Simulations!$EA19)&lt;=0,N(Simulations!$DZ19)&lt;=0,1&gt;N(IF(Simulations!$O19="",1,Simulations!$O19))),0,IF(Simulations!$EA19&lt;IF(Simulations!$J19="",1000,Simulations!$J19),Simulations!$DZ19/(IF(Simulations!$G19="",5000,Simulations!$G19)*IF(Simulations!$H19="",5000,Simulations!$H19)*IF(IF(Simulations!$I19="",5000,Simulations!$I19)&gt;0,IF(Simulations!$I19="",5000,Simulations!$I19),1))*Simulations!$EA19*(PI()/2*IF(Simulations!$T19="",200,Simulations!$T19)^2*IF(IF(Simulations!$I19="",5000,Simulations!$I19)&gt;0,SQRT(PI()/2)*IF(Simulations!$W19="",1000,Simulations!$W19),1)),Simulations!$DZ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T19="",200,Simulations!$T19)^2*IF(Simulations!$W19="",1000,Simulations!$W19)/2^1.5*(2/3*LN(Simulations!$EA19/IF(Simulations!$J19="",1000,Simulations!$J19))^1.5+SQRT(LN(Simulations!$EA19/IF(Simulations!$J19="",1000,Simulations!$J19)))+Simulations!$EA19/IF(Simulations!$J19="",1000,Simulations!$J19)*SQRT(PI())/2*ERFC(SQRT(LN(Simulations!$EA19/IF(Simulations!$J19="",1000,Simulations!$J19))))),PI()*IF(Simulations!$T19="",200,Simulations!$T19)^2/2*(LN(Simulations!$EA19/IF(Simulations!$J19="",1000,Simulations!$J19))+1))))</f>
        <v>0</v>
      </c>
      <c r="AG19" s="0" t="n">
        <f aca="false">IF(OR(NOT(AND(Simulations!$A19&lt;&gt;"",OR(Simulations!$DX19&lt;&gt;"",N(Simulations!$DZ19)&gt;0))),N(Simulations!$EB19)&lt;=0,N(Simulations!$DZ19)&lt;=0,2&gt;N(IF(Simulations!$O19="",1,Simulations!$O19))),0,IF(Simulations!$EB19&lt;IF(Simulations!$J19="",1000,Simulations!$J19),Simulations!$DZ19/(IF(Simulations!$G19="",5000,Simulations!$G19)*IF(Simulations!$H19="",5000,Simulations!$H19)*IF(IF(Simulations!$I19="",5000,Simulations!$I19)&gt;0,IF(Simulations!$I19="",5000,Simulations!$I19),1))*Simulations!$EB19*(PI()/2*IF(Simulations!$U19="",200,Simulations!$U19)^2*IF(IF(Simulations!$I19="",5000,Simulations!$I19)&gt;0,SQRT(PI()/2)*IF(Simulations!$X19="",1000,Simulations!$X19),1)),Simulations!$DZ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U19="",200,Simulations!$U19)^2*IF(Simulations!$X19="",1000,Simulations!$X19)/2^1.5*(2/3*LN(Simulations!$EB19/IF(Simulations!$J19="",1000,Simulations!$J19))^1.5+SQRT(LN(Simulations!$EB19/IF(Simulations!$J19="",1000,Simulations!$J19)))+Simulations!$EB19/IF(Simulations!$J19="",1000,Simulations!$J19)*SQRT(PI())/2*ERFC(SQRT(LN(Simulations!$EB19/IF(Simulations!$J19="",1000,Simulations!$J19))))),PI()*IF(Simulations!$U19="",200,Simulations!$U19)^2/2*(LN(Simulations!$EB19/IF(Simulations!$J19="",1000,Simulations!$J19))+1))))</f>
        <v>0</v>
      </c>
      <c r="AH19" s="0" t="n">
        <f aca="false">IF(OR(NOT(AND(Simulations!$A19&lt;&gt;"",OR(Simulations!$DX19&lt;&gt;"",N(Simulations!$DZ19)&gt;0))),N(Simulations!$EC19)&lt;=0,N(Simulations!$DZ19)&lt;=0,3&gt;N(IF(Simulations!$O19="",1,Simulations!$O19))),0,IF(Simulations!$EC19&lt;IF(Simulations!$J19="",1000,Simulations!$J19),Simulations!$DZ19/(IF(Simulations!$G19="",5000,Simulations!$G19)*IF(Simulations!$H19="",5000,Simulations!$H19)*IF(IF(Simulations!$I19="",5000,Simulations!$I19)&gt;0,IF(Simulations!$I19="",5000,Simulations!$I19),1))*Simulations!$EC19*(PI()/2*IF(Simulations!$V19="",200,Simulations!$V19)^2*IF(IF(Simulations!$I19="",5000,Simulations!$I19)&gt;0,SQRT(PI()/2)*IF(Simulations!$Y19="",1000,Simulations!$Y19),1)),Simulations!$DZ19/(IF(Simulations!$G19="",5000,Simulations!$G19)*IF(Simulations!$H19="",5000,Simulations!$H19)*IF(IF(Simulations!$I19="",5000,Simulations!$I19)&gt;0,IF(Simulations!$I19="",5000,Simulations!$I19),1))*IF(Simulations!$J19="",1000,Simulations!$J19)*IF(IF(Simulations!$I19="",5000,Simulations!$I19)&gt;0,2*PI()*IF(Simulations!$V19="",200,Simulations!$V19)^2*IF(Simulations!$Y19="",1000,Simulations!$Y19)/2^1.5*(2/3*LN(Simulations!$EC19/IF(Simulations!$J19="",1000,Simulations!$J19))^1.5+SQRT(LN(Simulations!$EC19/IF(Simulations!$J19="",1000,Simulations!$J19)))+Simulations!$EC19/IF(Simulations!$J19="",1000,Simulations!$J19)*SQRT(PI())/2*ERFC(SQRT(LN(Simulations!$EC19/IF(Simulations!$J19="",1000,Simulations!$J19))))),PI()*IF(Simulations!$V19="",200,Simulations!$V19)^2/2*(LN(Simulations!$EC19/IF(Simulations!$J19="",1000,Simulations!$J19))+1))))</f>
        <v>0</v>
      </c>
      <c r="AI19" s="0" t="n">
        <f aca="false">IF(NOT(AND(Simulations!$A19&lt;&gt;"",OR(Simulations!$DX19&lt;&gt;"",N(Simulations!$DZ19)&gt;0))),0,MAX(N(Simulations!$EA19),N(Simulations!$EB19),N(Simulations!$EC19))/IF(Simulations!$J19="",1000,Simulations!$J19))</f>
        <v>0</v>
      </c>
      <c r="AJ19" s="0" t="n">
        <f aca="false">IF(OR(NOT(AND(Simulations!$A19&lt;&gt;"",OR(Simulations!$DX19&lt;&gt;"",N(Simulations!$DZ19)&gt;0))),N(Simulations!$DY19)&lt;=0),0,SQRT(2*Simulations!$DY19*1000000/(IF(Simulations!$J19="",1000,Simulations!$J19)*1000))/MIN(IF(Simulations!$T19="",200,Simulations!$T19),IF(Simulations!$U19="",200,Simulations!$U19),IF(Simulations!$V19="",200,Simulations!$V19)))</f>
        <v>0</v>
      </c>
      <c r="AK19" s="0" t="n">
        <f aca="false">IF(AND(Simulations!$A19&lt;&gt;"",OR(Simulations!$DX19&lt;&gt;"",N(Simulations!$DZ19)&gt;0)),1,0)</f>
        <v>0</v>
      </c>
    </row>
    <row r="20" customFormat="false" ht="15" hidden="false" customHeight="false" outlineLevel="0" collapsed="false">
      <c r="B20" s="0" t="n">
        <f aca="false">IF(OR(NOT(AND(Simulations!$A20&lt;&gt;"",OR(Simulations!$AL20&lt;&gt;"",N(Simulations!$AN20)&gt;0))),N(Simulations!$AO20)&lt;=0,N(Simulations!$AN20)&lt;=0,1&gt;N(IF(Simulations!$O20="",1,Simulations!$O20))),0,IF(Simulations!$AO20&lt;IF(Simulations!$J20="",1000,Simulations!$J20),Simulations!$AN20/(IF(Simulations!$G20="",5000,Simulations!$G20)*IF(Simulations!$H20="",5000,Simulations!$H20)*IF(IF(Simulations!$I20="",5000,Simulations!$I20)&gt;0,IF(Simulations!$I20="",5000,Simulations!$I20),1))*Simulations!$AO20*(PI()/2*IF(Simulations!$T20="",200,Simulations!$T20)^2*IF(IF(Simulations!$I20="",5000,Simulations!$I20)&gt;0,SQRT(PI()/2)*IF(Simulations!$W20="",1000,Simulations!$W20),1)),Simulations!$AN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T20="",200,Simulations!$T20)^2*IF(Simulations!$W20="",1000,Simulations!$W20)/2^1.5*(2/3*LN(Simulations!$AO20/IF(Simulations!$J20="",1000,Simulations!$J20))^1.5+SQRT(LN(Simulations!$AO20/IF(Simulations!$J20="",1000,Simulations!$J20)))+Simulations!$AO20/IF(Simulations!$J20="",1000,Simulations!$J20)*SQRT(PI())/2*ERFC(SQRT(LN(Simulations!$AO20/IF(Simulations!$J20="",1000,Simulations!$J20))))),PI()*IF(Simulations!$T20="",200,Simulations!$T20)^2/2*(LN(Simulations!$AO20/IF(Simulations!$J20="",1000,Simulations!$J20))+1))))</f>
        <v>0</v>
      </c>
      <c r="C20" s="0" t="n">
        <f aca="false">IF(OR(NOT(AND(Simulations!$A20&lt;&gt;"",OR(Simulations!$AL20&lt;&gt;"",N(Simulations!$AN20)&gt;0))),N(Simulations!$AP20)&lt;=0,N(Simulations!$AN20)&lt;=0,2&gt;N(IF(Simulations!$O20="",1,Simulations!$O20))),0,IF(Simulations!$AP20&lt;IF(Simulations!$J20="",1000,Simulations!$J20),Simulations!$AN20/(IF(Simulations!$G20="",5000,Simulations!$G20)*IF(Simulations!$H20="",5000,Simulations!$H20)*IF(IF(Simulations!$I20="",5000,Simulations!$I20)&gt;0,IF(Simulations!$I20="",5000,Simulations!$I20),1))*Simulations!$AP20*(PI()/2*IF(Simulations!$U20="",200,Simulations!$U20)^2*IF(IF(Simulations!$I20="",5000,Simulations!$I20)&gt;0,SQRT(PI()/2)*IF(Simulations!$X20="",1000,Simulations!$X20),1)),Simulations!$AN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U20="",200,Simulations!$U20)^2*IF(Simulations!$X20="",1000,Simulations!$X20)/2^1.5*(2/3*LN(Simulations!$AP20/IF(Simulations!$J20="",1000,Simulations!$J20))^1.5+SQRT(LN(Simulations!$AP20/IF(Simulations!$J20="",1000,Simulations!$J20)))+Simulations!$AP20/IF(Simulations!$J20="",1000,Simulations!$J20)*SQRT(PI())/2*ERFC(SQRT(LN(Simulations!$AP20/IF(Simulations!$J20="",1000,Simulations!$J20))))),PI()*IF(Simulations!$U20="",200,Simulations!$U20)^2/2*(LN(Simulations!$AP20/IF(Simulations!$J20="",1000,Simulations!$J20))+1))))</f>
        <v>0</v>
      </c>
      <c r="D20" s="0" t="n">
        <f aca="false">IF(OR(NOT(AND(Simulations!$A20&lt;&gt;"",OR(Simulations!$AL20&lt;&gt;"",N(Simulations!$AN20)&gt;0))),N(Simulations!$AQ20)&lt;=0,N(Simulations!$AN20)&lt;=0,3&gt;N(IF(Simulations!$O20="",1,Simulations!$O20))),0,IF(Simulations!$AQ20&lt;IF(Simulations!$J20="",1000,Simulations!$J20),Simulations!$AN20/(IF(Simulations!$G20="",5000,Simulations!$G20)*IF(Simulations!$H20="",5000,Simulations!$H20)*IF(IF(Simulations!$I20="",5000,Simulations!$I20)&gt;0,IF(Simulations!$I20="",5000,Simulations!$I20),1))*Simulations!$AQ20*(PI()/2*IF(Simulations!$V20="",200,Simulations!$V20)^2*IF(IF(Simulations!$I20="",5000,Simulations!$I20)&gt;0,SQRT(PI()/2)*IF(Simulations!$Y20="",1000,Simulations!$Y20),1)),Simulations!$AN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V20="",200,Simulations!$V20)^2*IF(Simulations!$Y20="",1000,Simulations!$Y20)/2^1.5*(2/3*LN(Simulations!$AQ20/IF(Simulations!$J20="",1000,Simulations!$J20))^1.5+SQRT(LN(Simulations!$AQ20/IF(Simulations!$J20="",1000,Simulations!$J20)))+Simulations!$AQ20/IF(Simulations!$J20="",1000,Simulations!$J20)*SQRT(PI())/2*ERFC(SQRT(LN(Simulations!$AQ20/IF(Simulations!$J20="",1000,Simulations!$J20))))),PI()*IF(Simulations!$V20="",200,Simulations!$V20)^2/2*(LN(Simulations!$AQ20/IF(Simulations!$J20="",1000,Simulations!$J20))+1))))</f>
        <v>0</v>
      </c>
      <c r="E20" s="0" t="n">
        <f aca="false">IF(NOT(AND(Simulations!$A20&lt;&gt;"",OR(Simulations!$AL20&lt;&gt;"",N(Simulations!$AN20)&gt;0))),0,MAX(N(Simulations!$AO20),N(Simulations!$AP20),N(Simulations!$AQ20))/IF(Simulations!$J20="",1000,Simulations!$J20))</f>
        <v>0</v>
      </c>
      <c r="F20" s="0" t="n">
        <f aca="false">IF(OR(NOT(AND(Simulations!$A20&lt;&gt;"",OR(Simulations!$AL20&lt;&gt;"",N(Simulations!$AN20)&gt;0))),N(Simulations!$AM20)&lt;=0),0,SQRT(2*Simulations!$AM20*1000000/(IF(Simulations!$J20="",1000,Simulations!$J20)*1000))/MIN(IF(Simulations!$T20="",200,Simulations!$T20),IF(Simulations!$U20="",200,Simulations!$U20),IF(Simulations!$V20="",200,Simulations!$V20)))</f>
        <v>0</v>
      </c>
      <c r="G20" s="0" t="n">
        <f aca="false">IF(AND(Simulations!$A20&lt;&gt;"",OR(Simulations!$AL20&lt;&gt;"",N(Simulations!$AN20)&gt;0)),1,0)</f>
        <v>0</v>
      </c>
      <c r="H20" s="0" t="n">
        <f aca="false">IF(OR(NOT(AND(Simulations!$A20&lt;&gt;"",OR(Simulations!$BD20&lt;&gt;"",N(Simulations!$BF20)&gt;0))),N(Simulations!$BG20)&lt;=0,N(Simulations!$BF20)&lt;=0,1&gt;N(IF(Simulations!$O20="",1,Simulations!$O20))),0,IF(Simulations!$BG20&lt;IF(Simulations!$J20="",1000,Simulations!$J20),Simulations!$BF20/(IF(Simulations!$G20="",5000,Simulations!$G20)*IF(Simulations!$H20="",5000,Simulations!$H20)*IF(IF(Simulations!$I20="",5000,Simulations!$I20)&gt;0,IF(Simulations!$I20="",5000,Simulations!$I20),1))*Simulations!$BG20*(PI()/2*IF(Simulations!$T20="",200,Simulations!$T20)^2*IF(IF(Simulations!$I20="",5000,Simulations!$I20)&gt;0,SQRT(PI()/2)*IF(Simulations!$W20="",1000,Simulations!$W20),1)),Simulations!$BF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T20="",200,Simulations!$T20)^2*IF(Simulations!$W20="",1000,Simulations!$W20)/2^1.5*(2/3*LN(Simulations!$BG20/IF(Simulations!$J20="",1000,Simulations!$J20))^1.5+SQRT(LN(Simulations!$BG20/IF(Simulations!$J20="",1000,Simulations!$J20)))+Simulations!$BG20/IF(Simulations!$J20="",1000,Simulations!$J20)*SQRT(PI())/2*ERFC(SQRT(LN(Simulations!$BG20/IF(Simulations!$J20="",1000,Simulations!$J20))))),PI()*IF(Simulations!$T20="",200,Simulations!$T20)^2/2*(LN(Simulations!$BG20/IF(Simulations!$J20="",1000,Simulations!$J20))+1))))</f>
        <v>0</v>
      </c>
      <c r="I20" s="0" t="n">
        <f aca="false">IF(OR(NOT(AND(Simulations!$A20&lt;&gt;"",OR(Simulations!$BD20&lt;&gt;"",N(Simulations!$BF20)&gt;0))),N(Simulations!$BH20)&lt;=0,N(Simulations!$BF20)&lt;=0,2&gt;N(IF(Simulations!$O20="",1,Simulations!$O20))),0,IF(Simulations!$BH20&lt;IF(Simulations!$J20="",1000,Simulations!$J20),Simulations!$BF20/(IF(Simulations!$G20="",5000,Simulations!$G20)*IF(Simulations!$H20="",5000,Simulations!$H20)*IF(IF(Simulations!$I20="",5000,Simulations!$I20)&gt;0,IF(Simulations!$I20="",5000,Simulations!$I20),1))*Simulations!$BH20*(PI()/2*IF(Simulations!$U20="",200,Simulations!$U20)^2*IF(IF(Simulations!$I20="",5000,Simulations!$I20)&gt;0,SQRT(PI()/2)*IF(Simulations!$X20="",1000,Simulations!$X20),1)),Simulations!$BF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U20="",200,Simulations!$U20)^2*IF(Simulations!$X20="",1000,Simulations!$X20)/2^1.5*(2/3*LN(Simulations!$BH20/IF(Simulations!$J20="",1000,Simulations!$J20))^1.5+SQRT(LN(Simulations!$BH20/IF(Simulations!$J20="",1000,Simulations!$J20)))+Simulations!$BH20/IF(Simulations!$J20="",1000,Simulations!$J20)*SQRT(PI())/2*ERFC(SQRT(LN(Simulations!$BH20/IF(Simulations!$J20="",1000,Simulations!$J20))))),PI()*IF(Simulations!$U20="",200,Simulations!$U20)^2/2*(LN(Simulations!$BH20/IF(Simulations!$J20="",1000,Simulations!$J20))+1))))</f>
        <v>0</v>
      </c>
      <c r="J20" s="0" t="n">
        <f aca="false">IF(OR(NOT(AND(Simulations!$A20&lt;&gt;"",OR(Simulations!$BD20&lt;&gt;"",N(Simulations!$BF20)&gt;0))),N(Simulations!$BI20)&lt;=0,N(Simulations!$BF20)&lt;=0,3&gt;N(IF(Simulations!$O20="",1,Simulations!$O20))),0,IF(Simulations!$BI20&lt;IF(Simulations!$J20="",1000,Simulations!$J20),Simulations!$BF20/(IF(Simulations!$G20="",5000,Simulations!$G20)*IF(Simulations!$H20="",5000,Simulations!$H20)*IF(IF(Simulations!$I20="",5000,Simulations!$I20)&gt;0,IF(Simulations!$I20="",5000,Simulations!$I20),1))*Simulations!$BI20*(PI()/2*IF(Simulations!$V20="",200,Simulations!$V20)^2*IF(IF(Simulations!$I20="",5000,Simulations!$I20)&gt;0,SQRT(PI()/2)*IF(Simulations!$Y20="",1000,Simulations!$Y20),1)),Simulations!$BF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V20="",200,Simulations!$V20)^2*IF(Simulations!$Y20="",1000,Simulations!$Y20)/2^1.5*(2/3*LN(Simulations!$BI20/IF(Simulations!$J20="",1000,Simulations!$J20))^1.5+SQRT(LN(Simulations!$BI20/IF(Simulations!$J20="",1000,Simulations!$J20)))+Simulations!$BI20/IF(Simulations!$J20="",1000,Simulations!$J20)*SQRT(PI())/2*ERFC(SQRT(LN(Simulations!$BI20/IF(Simulations!$J20="",1000,Simulations!$J20))))),PI()*IF(Simulations!$V20="",200,Simulations!$V20)^2/2*(LN(Simulations!$BI20/IF(Simulations!$J20="",1000,Simulations!$J20))+1))))</f>
        <v>0</v>
      </c>
      <c r="K20" s="0" t="n">
        <f aca="false">IF(NOT(AND(Simulations!$A20&lt;&gt;"",OR(Simulations!$BD20&lt;&gt;"",N(Simulations!$BF20)&gt;0))),0,MAX(N(Simulations!$BG20),N(Simulations!$BH20),N(Simulations!$BI20))/IF(Simulations!$J20="",1000,Simulations!$J20))</f>
        <v>0</v>
      </c>
      <c r="L20" s="0" t="n">
        <f aca="false">IF(OR(NOT(AND(Simulations!$A20&lt;&gt;"",OR(Simulations!$BD20&lt;&gt;"",N(Simulations!$BF20)&gt;0))),N(Simulations!$BE20)&lt;=0),0,SQRT(2*Simulations!$BE20*1000000/(IF(Simulations!$J20="",1000,Simulations!$J20)*1000))/MIN(IF(Simulations!$T20="",200,Simulations!$T20),IF(Simulations!$U20="",200,Simulations!$U20),IF(Simulations!$V20="",200,Simulations!$V20)))</f>
        <v>0</v>
      </c>
      <c r="M20" s="0" t="n">
        <f aca="false">IF(AND(Simulations!$A20&lt;&gt;"",OR(Simulations!$BD20&lt;&gt;"",N(Simulations!$BF20)&gt;0)),1,0)</f>
        <v>0</v>
      </c>
      <c r="N20" s="0" t="n">
        <f aca="false">IF(OR(NOT(AND(Simulations!$A20&lt;&gt;"",OR(Simulations!$BV20&lt;&gt;"",N(Simulations!$BX20)&gt;0))),N(Simulations!$BY20)&lt;=0,N(Simulations!$BX20)&lt;=0,1&gt;N(IF(Simulations!$O20="",1,Simulations!$O20))),0,IF(Simulations!$BY20&lt;IF(Simulations!$J20="",1000,Simulations!$J20),Simulations!$BX20/(IF(Simulations!$G20="",5000,Simulations!$G20)*IF(Simulations!$H20="",5000,Simulations!$H20)*IF(IF(Simulations!$I20="",5000,Simulations!$I20)&gt;0,IF(Simulations!$I20="",5000,Simulations!$I20),1))*Simulations!$BY20*(PI()/2*IF(Simulations!$T20="",200,Simulations!$T20)^2*IF(IF(Simulations!$I20="",5000,Simulations!$I20)&gt;0,SQRT(PI()/2)*IF(Simulations!$W20="",1000,Simulations!$W20),1)),Simulations!$BX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T20="",200,Simulations!$T20)^2*IF(Simulations!$W20="",1000,Simulations!$W20)/2^1.5*(2/3*LN(Simulations!$BY20/IF(Simulations!$J20="",1000,Simulations!$J20))^1.5+SQRT(LN(Simulations!$BY20/IF(Simulations!$J20="",1000,Simulations!$J20)))+Simulations!$BY20/IF(Simulations!$J20="",1000,Simulations!$J20)*SQRT(PI())/2*ERFC(SQRT(LN(Simulations!$BY20/IF(Simulations!$J20="",1000,Simulations!$J20))))),PI()*IF(Simulations!$T20="",200,Simulations!$T20)^2/2*(LN(Simulations!$BY20/IF(Simulations!$J20="",1000,Simulations!$J20))+1))))</f>
        <v>0</v>
      </c>
      <c r="O20" s="0" t="n">
        <f aca="false">IF(OR(NOT(AND(Simulations!$A20&lt;&gt;"",OR(Simulations!$BV20&lt;&gt;"",N(Simulations!$BX20)&gt;0))),N(Simulations!$BZ20)&lt;=0,N(Simulations!$BX20)&lt;=0,2&gt;N(IF(Simulations!$O20="",1,Simulations!$O20))),0,IF(Simulations!$BZ20&lt;IF(Simulations!$J20="",1000,Simulations!$J20),Simulations!$BX20/(IF(Simulations!$G20="",5000,Simulations!$G20)*IF(Simulations!$H20="",5000,Simulations!$H20)*IF(IF(Simulations!$I20="",5000,Simulations!$I20)&gt;0,IF(Simulations!$I20="",5000,Simulations!$I20),1))*Simulations!$BZ20*(PI()/2*IF(Simulations!$U20="",200,Simulations!$U20)^2*IF(IF(Simulations!$I20="",5000,Simulations!$I20)&gt;0,SQRT(PI()/2)*IF(Simulations!$X20="",1000,Simulations!$X20),1)),Simulations!$BX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U20="",200,Simulations!$U20)^2*IF(Simulations!$X20="",1000,Simulations!$X20)/2^1.5*(2/3*LN(Simulations!$BZ20/IF(Simulations!$J20="",1000,Simulations!$J20))^1.5+SQRT(LN(Simulations!$BZ20/IF(Simulations!$J20="",1000,Simulations!$J20)))+Simulations!$BZ20/IF(Simulations!$J20="",1000,Simulations!$J20)*SQRT(PI())/2*ERFC(SQRT(LN(Simulations!$BZ20/IF(Simulations!$J20="",1000,Simulations!$J20))))),PI()*IF(Simulations!$U20="",200,Simulations!$U20)^2/2*(LN(Simulations!$BZ20/IF(Simulations!$J20="",1000,Simulations!$J20))+1))))</f>
        <v>0</v>
      </c>
      <c r="P20" s="0" t="n">
        <f aca="false">IF(OR(NOT(AND(Simulations!$A20&lt;&gt;"",OR(Simulations!$BV20&lt;&gt;"",N(Simulations!$BX20)&gt;0))),N(Simulations!$CA20)&lt;=0,N(Simulations!$BX20)&lt;=0,3&gt;N(IF(Simulations!$O20="",1,Simulations!$O20))),0,IF(Simulations!$CA20&lt;IF(Simulations!$J20="",1000,Simulations!$J20),Simulations!$BX20/(IF(Simulations!$G20="",5000,Simulations!$G20)*IF(Simulations!$H20="",5000,Simulations!$H20)*IF(IF(Simulations!$I20="",5000,Simulations!$I20)&gt;0,IF(Simulations!$I20="",5000,Simulations!$I20),1))*Simulations!$CA20*(PI()/2*IF(Simulations!$V20="",200,Simulations!$V20)^2*IF(IF(Simulations!$I20="",5000,Simulations!$I20)&gt;0,SQRT(PI()/2)*IF(Simulations!$Y20="",1000,Simulations!$Y20),1)),Simulations!$BX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V20="",200,Simulations!$V20)^2*IF(Simulations!$Y20="",1000,Simulations!$Y20)/2^1.5*(2/3*LN(Simulations!$CA20/IF(Simulations!$J20="",1000,Simulations!$J20))^1.5+SQRT(LN(Simulations!$CA20/IF(Simulations!$J20="",1000,Simulations!$J20)))+Simulations!$CA20/IF(Simulations!$J20="",1000,Simulations!$J20)*SQRT(PI())/2*ERFC(SQRT(LN(Simulations!$CA20/IF(Simulations!$J20="",1000,Simulations!$J20))))),PI()*IF(Simulations!$V20="",200,Simulations!$V20)^2/2*(LN(Simulations!$CA20/IF(Simulations!$J20="",1000,Simulations!$J20))+1))))</f>
        <v>0</v>
      </c>
      <c r="Q20" s="0" t="n">
        <f aca="false">IF(NOT(AND(Simulations!$A20&lt;&gt;"",OR(Simulations!$BV20&lt;&gt;"",N(Simulations!$BX20)&gt;0))),0,MAX(N(Simulations!$BY20),N(Simulations!$BZ20),N(Simulations!$CA20))/IF(Simulations!$J20="",1000,Simulations!$J20))</f>
        <v>0</v>
      </c>
      <c r="R20" s="0" t="n">
        <f aca="false">IF(OR(NOT(AND(Simulations!$A20&lt;&gt;"",OR(Simulations!$BV20&lt;&gt;"",N(Simulations!$BX20)&gt;0))),N(Simulations!$BW20)&lt;=0),0,SQRT(2*Simulations!$BW20*1000000/(IF(Simulations!$J20="",1000,Simulations!$J20)*1000))/MIN(IF(Simulations!$T20="",200,Simulations!$T20),IF(Simulations!$U20="",200,Simulations!$U20),IF(Simulations!$V20="",200,Simulations!$V20)))</f>
        <v>0</v>
      </c>
      <c r="S20" s="0" t="n">
        <f aca="false">IF(AND(Simulations!$A20&lt;&gt;"",OR(Simulations!$BV20&lt;&gt;"",N(Simulations!$BX20)&gt;0)),1,0)</f>
        <v>0</v>
      </c>
      <c r="T20" s="0" t="n">
        <f aca="false">IF(OR(NOT(AND(Simulations!$A20&lt;&gt;"",OR(Simulations!$CN20&lt;&gt;"",N(Simulations!$CP20)&gt;0))),N(Simulations!$CQ20)&lt;=0,N(Simulations!$CP20)&lt;=0,1&gt;N(IF(Simulations!$O20="",1,Simulations!$O20))),0,IF(Simulations!$CQ20&lt;IF(Simulations!$J20="",1000,Simulations!$J20),Simulations!$CP20/(IF(Simulations!$G20="",5000,Simulations!$G20)*IF(Simulations!$H20="",5000,Simulations!$H20)*IF(IF(Simulations!$I20="",5000,Simulations!$I20)&gt;0,IF(Simulations!$I20="",5000,Simulations!$I20),1))*Simulations!$CQ20*(PI()/2*IF(Simulations!$T20="",200,Simulations!$T20)^2*IF(IF(Simulations!$I20="",5000,Simulations!$I20)&gt;0,SQRT(PI()/2)*IF(Simulations!$W20="",1000,Simulations!$W20),1)),Simulations!$CP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T20="",200,Simulations!$T20)^2*IF(Simulations!$W20="",1000,Simulations!$W20)/2^1.5*(2/3*LN(Simulations!$CQ20/IF(Simulations!$J20="",1000,Simulations!$J20))^1.5+SQRT(LN(Simulations!$CQ20/IF(Simulations!$J20="",1000,Simulations!$J20)))+Simulations!$CQ20/IF(Simulations!$J20="",1000,Simulations!$J20)*SQRT(PI())/2*ERFC(SQRT(LN(Simulations!$CQ20/IF(Simulations!$J20="",1000,Simulations!$J20))))),PI()*IF(Simulations!$T20="",200,Simulations!$T20)^2/2*(LN(Simulations!$CQ20/IF(Simulations!$J20="",1000,Simulations!$J20))+1))))</f>
        <v>0</v>
      </c>
      <c r="U20" s="0" t="n">
        <f aca="false">IF(OR(NOT(AND(Simulations!$A20&lt;&gt;"",OR(Simulations!$CN20&lt;&gt;"",N(Simulations!$CP20)&gt;0))),N(Simulations!$CR20)&lt;=0,N(Simulations!$CP20)&lt;=0,2&gt;N(IF(Simulations!$O20="",1,Simulations!$O20))),0,IF(Simulations!$CR20&lt;IF(Simulations!$J20="",1000,Simulations!$J20),Simulations!$CP20/(IF(Simulations!$G20="",5000,Simulations!$G20)*IF(Simulations!$H20="",5000,Simulations!$H20)*IF(IF(Simulations!$I20="",5000,Simulations!$I20)&gt;0,IF(Simulations!$I20="",5000,Simulations!$I20),1))*Simulations!$CR20*(PI()/2*IF(Simulations!$U20="",200,Simulations!$U20)^2*IF(IF(Simulations!$I20="",5000,Simulations!$I20)&gt;0,SQRT(PI()/2)*IF(Simulations!$X20="",1000,Simulations!$X20),1)),Simulations!$CP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U20="",200,Simulations!$U20)^2*IF(Simulations!$X20="",1000,Simulations!$X20)/2^1.5*(2/3*LN(Simulations!$CR20/IF(Simulations!$J20="",1000,Simulations!$J20))^1.5+SQRT(LN(Simulations!$CR20/IF(Simulations!$J20="",1000,Simulations!$J20)))+Simulations!$CR20/IF(Simulations!$J20="",1000,Simulations!$J20)*SQRT(PI())/2*ERFC(SQRT(LN(Simulations!$CR20/IF(Simulations!$J20="",1000,Simulations!$J20))))),PI()*IF(Simulations!$U20="",200,Simulations!$U20)^2/2*(LN(Simulations!$CR20/IF(Simulations!$J20="",1000,Simulations!$J20))+1))))</f>
        <v>0</v>
      </c>
      <c r="V20" s="0" t="n">
        <f aca="false">IF(OR(NOT(AND(Simulations!$A20&lt;&gt;"",OR(Simulations!$CN20&lt;&gt;"",N(Simulations!$CP20)&gt;0))),N(Simulations!$CS20)&lt;=0,N(Simulations!$CP20)&lt;=0,3&gt;N(IF(Simulations!$O20="",1,Simulations!$O20))),0,IF(Simulations!$CS20&lt;IF(Simulations!$J20="",1000,Simulations!$J20),Simulations!$CP20/(IF(Simulations!$G20="",5000,Simulations!$G20)*IF(Simulations!$H20="",5000,Simulations!$H20)*IF(IF(Simulations!$I20="",5000,Simulations!$I20)&gt;0,IF(Simulations!$I20="",5000,Simulations!$I20),1))*Simulations!$CS20*(PI()/2*IF(Simulations!$V20="",200,Simulations!$V20)^2*IF(IF(Simulations!$I20="",5000,Simulations!$I20)&gt;0,SQRT(PI()/2)*IF(Simulations!$Y20="",1000,Simulations!$Y20),1)),Simulations!$CP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V20="",200,Simulations!$V20)^2*IF(Simulations!$Y20="",1000,Simulations!$Y20)/2^1.5*(2/3*LN(Simulations!$CS20/IF(Simulations!$J20="",1000,Simulations!$J20))^1.5+SQRT(LN(Simulations!$CS20/IF(Simulations!$J20="",1000,Simulations!$J20)))+Simulations!$CS20/IF(Simulations!$J20="",1000,Simulations!$J20)*SQRT(PI())/2*ERFC(SQRT(LN(Simulations!$CS20/IF(Simulations!$J20="",1000,Simulations!$J20))))),PI()*IF(Simulations!$V20="",200,Simulations!$V20)^2/2*(LN(Simulations!$CS20/IF(Simulations!$J20="",1000,Simulations!$J20))+1))))</f>
        <v>0</v>
      </c>
      <c r="W20" s="0" t="n">
        <f aca="false">IF(NOT(AND(Simulations!$A20&lt;&gt;"",OR(Simulations!$CN20&lt;&gt;"",N(Simulations!$CP20)&gt;0))),0,MAX(N(Simulations!$CQ20),N(Simulations!$CR20),N(Simulations!$CS20))/IF(Simulations!$J20="",1000,Simulations!$J20))</f>
        <v>0</v>
      </c>
      <c r="X20" s="0" t="n">
        <f aca="false">IF(OR(NOT(AND(Simulations!$A20&lt;&gt;"",OR(Simulations!$CN20&lt;&gt;"",N(Simulations!$CP20)&gt;0))),N(Simulations!$CO20)&lt;=0),0,SQRT(2*Simulations!$CO20*1000000/(IF(Simulations!$J20="",1000,Simulations!$J20)*1000))/MIN(IF(Simulations!$T20="",200,Simulations!$T20),IF(Simulations!$U20="",200,Simulations!$U20),IF(Simulations!$V20="",200,Simulations!$V20)))</f>
        <v>0</v>
      </c>
      <c r="Y20" s="0" t="n">
        <f aca="false">IF(AND(Simulations!$A20&lt;&gt;"",OR(Simulations!$CN20&lt;&gt;"",N(Simulations!$CP20)&gt;0)),1,0)</f>
        <v>0</v>
      </c>
      <c r="Z20" s="0" t="n">
        <f aca="false">IF(OR(NOT(AND(Simulations!$A20&lt;&gt;"",OR(Simulations!$DF20&lt;&gt;"",N(Simulations!$DH20)&gt;0))),N(Simulations!$DI20)&lt;=0,N(Simulations!$DH20)&lt;=0,1&gt;N(IF(Simulations!$O20="",1,Simulations!$O20))),0,IF(Simulations!$DI20&lt;IF(Simulations!$J20="",1000,Simulations!$J20),Simulations!$DH20/(IF(Simulations!$G20="",5000,Simulations!$G20)*IF(Simulations!$H20="",5000,Simulations!$H20)*IF(IF(Simulations!$I20="",5000,Simulations!$I20)&gt;0,IF(Simulations!$I20="",5000,Simulations!$I20),1))*Simulations!$DI20*(PI()/2*IF(Simulations!$T20="",200,Simulations!$T20)^2*IF(IF(Simulations!$I20="",5000,Simulations!$I20)&gt;0,SQRT(PI()/2)*IF(Simulations!$W20="",1000,Simulations!$W20),1)),Simulations!$DH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T20="",200,Simulations!$T20)^2*IF(Simulations!$W20="",1000,Simulations!$W20)/2^1.5*(2/3*LN(Simulations!$DI20/IF(Simulations!$J20="",1000,Simulations!$J20))^1.5+SQRT(LN(Simulations!$DI20/IF(Simulations!$J20="",1000,Simulations!$J20)))+Simulations!$DI20/IF(Simulations!$J20="",1000,Simulations!$J20)*SQRT(PI())/2*ERFC(SQRT(LN(Simulations!$DI20/IF(Simulations!$J20="",1000,Simulations!$J20))))),PI()*IF(Simulations!$T20="",200,Simulations!$T20)^2/2*(LN(Simulations!$DI20/IF(Simulations!$J20="",1000,Simulations!$J20))+1))))</f>
        <v>0</v>
      </c>
      <c r="AA20" s="0" t="n">
        <f aca="false">IF(OR(NOT(AND(Simulations!$A20&lt;&gt;"",OR(Simulations!$DF20&lt;&gt;"",N(Simulations!$DH20)&gt;0))),N(Simulations!$DJ20)&lt;=0,N(Simulations!$DH20)&lt;=0,2&gt;N(IF(Simulations!$O20="",1,Simulations!$O20))),0,IF(Simulations!$DJ20&lt;IF(Simulations!$J20="",1000,Simulations!$J20),Simulations!$DH20/(IF(Simulations!$G20="",5000,Simulations!$G20)*IF(Simulations!$H20="",5000,Simulations!$H20)*IF(IF(Simulations!$I20="",5000,Simulations!$I20)&gt;0,IF(Simulations!$I20="",5000,Simulations!$I20),1))*Simulations!$DJ20*(PI()/2*IF(Simulations!$U20="",200,Simulations!$U20)^2*IF(IF(Simulations!$I20="",5000,Simulations!$I20)&gt;0,SQRT(PI()/2)*IF(Simulations!$X20="",1000,Simulations!$X20),1)),Simulations!$DH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U20="",200,Simulations!$U20)^2*IF(Simulations!$X20="",1000,Simulations!$X20)/2^1.5*(2/3*LN(Simulations!$DJ20/IF(Simulations!$J20="",1000,Simulations!$J20))^1.5+SQRT(LN(Simulations!$DJ20/IF(Simulations!$J20="",1000,Simulations!$J20)))+Simulations!$DJ20/IF(Simulations!$J20="",1000,Simulations!$J20)*SQRT(PI())/2*ERFC(SQRT(LN(Simulations!$DJ20/IF(Simulations!$J20="",1000,Simulations!$J20))))),PI()*IF(Simulations!$U20="",200,Simulations!$U20)^2/2*(LN(Simulations!$DJ20/IF(Simulations!$J20="",1000,Simulations!$J20))+1))))</f>
        <v>0</v>
      </c>
      <c r="AB20" s="0" t="n">
        <f aca="false">IF(OR(NOT(AND(Simulations!$A20&lt;&gt;"",OR(Simulations!$DF20&lt;&gt;"",N(Simulations!$DH20)&gt;0))),N(Simulations!$DK20)&lt;=0,N(Simulations!$DH20)&lt;=0,3&gt;N(IF(Simulations!$O20="",1,Simulations!$O20))),0,IF(Simulations!$DK20&lt;IF(Simulations!$J20="",1000,Simulations!$J20),Simulations!$DH20/(IF(Simulations!$G20="",5000,Simulations!$G20)*IF(Simulations!$H20="",5000,Simulations!$H20)*IF(IF(Simulations!$I20="",5000,Simulations!$I20)&gt;0,IF(Simulations!$I20="",5000,Simulations!$I20),1))*Simulations!$DK20*(PI()/2*IF(Simulations!$V20="",200,Simulations!$V20)^2*IF(IF(Simulations!$I20="",5000,Simulations!$I20)&gt;0,SQRT(PI()/2)*IF(Simulations!$Y20="",1000,Simulations!$Y20),1)),Simulations!$DH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V20="",200,Simulations!$V20)^2*IF(Simulations!$Y20="",1000,Simulations!$Y20)/2^1.5*(2/3*LN(Simulations!$DK20/IF(Simulations!$J20="",1000,Simulations!$J20))^1.5+SQRT(LN(Simulations!$DK20/IF(Simulations!$J20="",1000,Simulations!$J20)))+Simulations!$DK20/IF(Simulations!$J20="",1000,Simulations!$J20)*SQRT(PI())/2*ERFC(SQRT(LN(Simulations!$DK20/IF(Simulations!$J20="",1000,Simulations!$J20))))),PI()*IF(Simulations!$V20="",200,Simulations!$V20)^2/2*(LN(Simulations!$DK20/IF(Simulations!$J20="",1000,Simulations!$J20))+1))))</f>
        <v>0</v>
      </c>
      <c r="AC20" s="0" t="n">
        <f aca="false">IF(NOT(AND(Simulations!$A20&lt;&gt;"",OR(Simulations!$DF20&lt;&gt;"",N(Simulations!$DH20)&gt;0))),0,MAX(N(Simulations!$DI20),N(Simulations!$DJ20),N(Simulations!$DK20))/IF(Simulations!$J20="",1000,Simulations!$J20))</f>
        <v>0</v>
      </c>
      <c r="AD20" s="0" t="n">
        <f aca="false">IF(OR(NOT(AND(Simulations!$A20&lt;&gt;"",OR(Simulations!$DF20&lt;&gt;"",N(Simulations!$DH20)&gt;0))),N(Simulations!$DG20)&lt;=0),0,SQRT(2*Simulations!$DG20*1000000/(IF(Simulations!$J20="",1000,Simulations!$J20)*1000))/MIN(IF(Simulations!$T20="",200,Simulations!$T20),IF(Simulations!$U20="",200,Simulations!$U20),IF(Simulations!$V20="",200,Simulations!$V20)))</f>
        <v>0</v>
      </c>
      <c r="AE20" s="0" t="n">
        <f aca="false">IF(AND(Simulations!$A20&lt;&gt;"",OR(Simulations!$DF20&lt;&gt;"",N(Simulations!$DH20)&gt;0)),1,0)</f>
        <v>0</v>
      </c>
      <c r="AF20" s="0" t="n">
        <f aca="false">IF(OR(NOT(AND(Simulations!$A20&lt;&gt;"",OR(Simulations!$DX20&lt;&gt;"",N(Simulations!$DZ20)&gt;0))),N(Simulations!$EA20)&lt;=0,N(Simulations!$DZ20)&lt;=0,1&gt;N(IF(Simulations!$O20="",1,Simulations!$O20))),0,IF(Simulations!$EA20&lt;IF(Simulations!$J20="",1000,Simulations!$J20),Simulations!$DZ20/(IF(Simulations!$G20="",5000,Simulations!$G20)*IF(Simulations!$H20="",5000,Simulations!$H20)*IF(IF(Simulations!$I20="",5000,Simulations!$I20)&gt;0,IF(Simulations!$I20="",5000,Simulations!$I20),1))*Simulations!$EA20*(PI()/2*IF(Simulations!$T20="",200,Simulations!$T20)^2*IF(IF(Simulations!$I20="",5000,Simulations!$I20)&gt;0,SQRT(PI()/2)*IF(Simulations!$W20="",1000,Simulations!$W20),1)),Simulations!$DZ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T20="",200,Simulations!$T20)^2*IF(Simulations!$W20="",1000,Simulations!$W20)/2^1.5*(2/3*LN(Simulations!$EA20/IF(Simulations!$J20="",1000,Simulations!$J20))^1.5+SQRT(LN(Simulations!$EA20/IF(Simulations!$J20="",1000,Simulations!$J20)))+Simulations!$EA20/IF(Simulations!$J20="",1000,Simulations!$J20)*SQRT(PI())/2*ERFC(SQRT(LN(Simulations!$EA20/IF(Simulations!$J20="",1000,Simulations!$J20))))),PI()*IF(Simulations!$T20="",200,Simulations!$T20)^2/2*(LN(Simulations!$EA20/IF(Simulations!$J20="",1000,Simulations!$J20))+1))))</f>
        <v>0</v>
      </c>
      <c r="AG20" s="0" t="n">
        <f aca="false">IF(OR(NOT(AND(Simulations!$A20&lt;&gt;"",OR(Simulations!$DX20&lt;&gt;"",N(Simulations!$DZ20)&gt;0))),N(Simulations!$EB20)&lt;=0,N(Simulations!$DZ20)&lt;=0,2&gt;N(IF(Simulations!$O20="",1,Simulations!$O20))),0,IF(Simulations!$EB20&lt;IF(Simulations!$J20="",1000,Simulations!$J20),Simulations!$DZ20/(IF(Simulations!$G20="",5000,Simulations!$G20)*IF(Simulations!$H20="",5000,Simulations!$H20)*IF(IF(Simulations!$I20="",5000,Simulations!$I20)&gt;0,IF(Simulations!$I20="",5000,Simulations!$I20),1))*Simulations!$EB20*(PI()/2*IF(Simulations!$U20="",200,Simulations!$U20)^2*IF(IF(Simulations!$I20="",5000,Simulations!$I20)&gt;0,SQRT(PI()/2)*IF(Simulations!$X20="",1000,Simulations!$X20),1)),Simulations!$DZ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U20="",200,Simulations!$U20)^2*IF(Simulations!$X20="",1000,Simulations!$X20)/2^1.5*(2/3*LN(Simulations!$EB20/IF(Simulations!$J20="",1000,Simulations!$J20))^1.5+SQRT(LN(Simulations!$EB20/IF(Simulations!$J20="",1000,Simulations!$J20)))+Simulations!$EB20/IF(Simulations!$J20="",1000,Simulations!$J20)*SQRT(PI())/2*ERFC(SQRT(LN(Simulations!$EB20/IF(Simulations!$J20="",1000,Simulations!$J20))))),PI()*IF(Simulations!$U20="",200,Simulations!$U20)^2/2*(LN(Simulations!$EB20/IF(Simulations!$J20="",1000,Simulations!$J20))+1))))</f>
        <v>0</v>
      </c>
      <c r="AH20" s="0" t="n">
        <f aca="false">IF(OR(NOT(AND(Simulations!$A20&lt;&gt;"",OR(Simulations!$DX20&lt;&gt;"",N(Simulations!$DZ20)&gt;0))),N(Simulations!$EC20)&lt;=0,N(Simulations!$DZ20)&lt;=0,3&gt;N(IF(Simulations!$O20="",1,Simulations!$O20))),0,IF(Simulations!$EC20&lt;IF(Simulations!$J20="",1000,Simulations!$J20),Simulations!$DZ20/(IF(Simulations!$G20="",5000,Simulations!$G20)*IF(Simulations!$H20="",5000,Simulations!$H20)*IF(IF(Simulations!$I20="",5000,Simulations!$I20)&gt;0,IF(Simulations!$I20="",5000,Simulations!$I20),1))*Simulations!$EC20*(PI()/2*IF(Simulations!$V20="",200,Simulations!$V20)^2*IF(IF(Simulations!$I20="",5000,Simulations!$I20)&gt;0,SQRT(PI()/2)*IF(Simulations!$Y20="",1000,Simulations!$Y20),1)),Simulations!$DZ20/(IF(Simulations!$G20="",5000,Simulations!$G20)*IF(Simulations!$H20="",5000,Simulations!$H20)*IF(IF(Simulations!$I20="",5000,Simulations!$I20)&gt;0,IF(Simulations!$I20="",5000,Simulations!$I20),1))*IF(Simulations!$J20="",1000,Simulations!$J20)*IF(IF(Simulations!$I20="",5000,Simulations!$I20)&gt;0,2*PI()*IF(Simulations!$V20="",200,Simulations!$V20)^2*IF(Simulations!$Y20="",1000,Simulations!$Y20)/2^1.5*(2/3*LN(Simulations!$EC20/IF(Simulations!$J20="",1000,Simulations!$J20))^1.5+SQRT(LN(Simulations!$EC20/IF(Simulations!$J20="",1000,Simulations!$J20)))+Simulations!$EC20/IF(Simulations!$J20="",1000,Simulations!$J20)*SQRT(PI())/2*ERFC(SQRT(LN(Simulations!$EC20/IF(Simulations!$J20="",1000,Simulations!$J20))))),PI()*IF(Simulations!$V20="",200,Simulations!$V20)^2/2*(LN(Simulations!$EC20/IF(Simulations!$J20="",1000,Simulations!$J20))+1))))</f>
        <v>0</v>
      </c>
      <c r="AI20" s="0" t="n">
        <f aca="false">IF(NOT(AND(Simulations!$A20&lt;&gt;"",OR(Simulations!$DX20&lt;&gt;"",N(Simulations!$DZ20)&gt;0))),0,MAX(N(Simulations!$EA20),N(Simulations!$EB20),N(Simulations!$EC20))/IF(Simulations!$J20="",1000,Simulations!$J20))</f>
        <v>0</v>
      </c>
      <c r="AJ20" s="0" t="n">
        <f aca="false">IF(OR(NOT(AND(Simulations!$A20&lt;&gt;"",OR(Simulations!$DX20&lt;&gt;"",N(Simulations!$DZ20)&gt;0))),N(Simulations!$DY20)&lt;=0),0,SQRT(2*Simulations!$DY20*1000000/(IF(Simulations!$J20="",1000,Simulations!$J20)*1000))/MIN(IF(Simulations!$T20="",200,Simulations!$T20),IF(Simulations!$U20="",200,Simulations!$U20),IF(Simulations!$V20="",200,Simulations!$V20)))</f>
        <v>0</v>
      </c>
      <c r="AK20" s="0" t="n">
        <f aca="false">IF(AND(Simulations!$A20&lt;&gt;"",OR(Simulations!$DX20&lt;&gt;"",N(Simulations!$DZ20)&gt;0)),1,0)</f>
        <v>0</v>
      </c>
    </row>
    <row r="21" customFormat="false" ht="15" hidden="false" customHeight="false" outlineLevel="0" collapsed="false">
      <c r="B21" s="0" t="n">
        <f aca="false">IF(OR(NOT(AND(Simulations!$A21&lt;&gt;"",OR(Simulations!$AL21&lt;&gt;"",N(Simulations!$AN21)&gt;0))),N(Simulations!$AO21)&lt;=0,N(Simulations!$AN21)&lt;=0,1&gt;N(IF(Simulations!$O21="",1,Simulations!$O21))),0,IF(Simulations!$AO21&lt;IF(Simulations!$J21="",1000,Simulations!$J21),Simulations!$AN21/(IF(Simulations!$G21="",5000,Simulations!$G21)*IF(Simulations!$H21="",5000,Simulations!$H21)*IF(IF(Simulations!$I21="",5000,Simulations!$I21)&gt;0,IF(Simulations!$I21="",5000,Simulations!$I21),1))*Simulations!$AO21*(PI()/2*IF(Simulations!$T21="",200,Simulations!$T21)^2*IF(IF(Simulations!$I21="",5000,Simulations!$I21)&gt;0,SQRT(PI()/2)*IF(Simulations!$W21="",1000,Simulations!$W21),1)),Simulations!$AN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T21="",200,Simulations!$T21)^2*IF(Simulations!$W21="",1000,Simulations!$W21)/2^1.5*(2/3*LN(Simulations!$AO21/IF(Simulations!$J21="",1000,Simulations!$J21))^1.5+SQRT(LN(Simulations!$AO21/IF(Simulations!$J21="",1000,Simulations!$J21)))+Simulations!$AO21/IF(Simulations!$J21="",1000,Simulations!$J21)*SQRT(PI())/2*ERFC(SQRT(LN(Simulations!$AO21/IF(Simulations!$J21="",1000,Simulations!$J21))))),PI()*IF(Simulations!$T21="",200,Simulations!$T21)^2/2*(LN(Simulations!$AO21/IF(Simulations!$J21="",1000,Simulations!$J21))+1))))</f>
        <v>0</v>
      </c>
      <c r="C21" s="0" t="n">
        <f aca="false">IF(OR(NOT(AND(Simulations!$A21&lt;&gt;"",OR(Simulations!$AL21&lt;&gt;"",N(Simulations!$AN21)&gt;0))),N(Simulations!$AP21)&lt;=0,N(Simulations!$AN21)&lt;=0,2&gt;N(IF(Simulations!$O21="",1,Simulations!$O21))),0,IF(Simulations!$AP21&lt;IF(Simulations!$J21="",1000,Simulations!$J21),Simulations!$AN21/(IF(Simulations!$G21="",5000,Simulations!$G21)*IF(Simulations!$H21="",5000,Simulations!$H21)*IF(IF(Simulations!$I21="",5000,Simulations!$I21)&gt;0,IF(Simulations!$I21="",5000,Simulations!$I21),1))*Simulations!$AP21*(PI()/2*IF(Simulations!$U21="",200,Simulations!$U21)^2*IF(IF(Simulations!$I21="",5000,Simulations!$I21)&gt;0,SQRT(PI()/2)*IF(Simulations!$X21="",1000,Simulations!$X21),1)),Simulations!$AN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U21="",200,Simulations!$U21)^2*IF(Simulations!$X21="",1000,Simulations!$X21)/2^1.5*(2/3*LN(Simulations!$AP21/IF(Simulations!$J21="",1000,Simulations!$J21))^1.5+SQRT(LN(Simulations!$AP21/IF(Simulations!$J21="",1000,Simulations!$J21)))+Simulations!$AP21/IF(Simulations!$J21="",1000,Simulations!$J21)*SQRT(PI())/2*ERFC(SQRT(LN(Simulations!$AP21/IF(Simulations!$J21="",1000,Simulations!$J21))))),PI()*IF(Simulations!$U21="",200,Simulations!$U21)^2/2*(LN(Simulations!$AP21/IF(Simulations!$J21="",1000,Simulations!$J21))+1))))</f>
        <v>0</v>
      </c>
      <c r="D21" s="0" t="n">
        <f aca="false">IF(OR(NOT(AND(Simulations!$A21&lt;&gt;"",OR(Simulations!$AL21&lt;&gt;"",N(Simulations!$AN21)&gt;0))),N(Simulations!$AQ21)&lt;=0,N(Simulations!$AN21)&lt;=0,3&gt;N(IF(Simulations!$O21="",1,Simulations!$O21))),0,IF(Simulations!$AQ21&lt;IF(Simulations!$J21="",1000,Simulations!$J21),Simulations!$AN21/(IF(Simulations!$G21="",5000,Simulations!$G21)*IF(Simulations!$H21="",5000,Simulations!$H21)*IF(IF(Simulations!$I21="",5000,Simulations!$I21)&gt;0,IF(Simulations!$I21="",5000,Simulations!$I21),1))*Simulations!$AQ21*(PI()/2*IF(Simulations!$V21="",200,Simulations!$V21)^2*IF(IF(Simulations!$I21="",5000,Simulations!$I21)&gt;0,SQRT(PI()/2)*IF(Simulations!$Y21="",1000,Simulations!$Y21),1)),Simulations!$AN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V21="",200,Simulations!$V21)^2*IF(Simulations!$Y21="",1000,Simulations!$Y21)/2^1.5*(2/3*LN(Simulations!$AQ21/IF(Simulations!$J21="",1000,Simulations!$J21))^1.5+SQRT(LN(Simulations!$AQ21/IF(Simulations!$J21="",1000,Simulations!$J21)))+Simulations!$AQ21/IF(Simulations!$J21="",1000,Simulations!$J21)*SQRT(PI())/2*ERFC(SQRT(LN(Simulations!$AQ21/IF(Simulations!$J21="",1000,Simulations!$J21))))),PI()*IF(Simulations!$V21="",200,Simulations!$V21)^2/2*(LN(Simulations!$AQ21/IF(Simulations!$J21="",1000,Simulations!$J21))+1))))</f>
        <v>0</v>
      </c>
      <c r="E21" s="0" t="n">
        <f aca="false">IF(NOT(AND(Simulations!$A21&lt;&gt;"",OR(Simulations!$AL21&lt;&gt;"",N(Simulations!$AN21)&gt;0))),0,MAX(N(Simulations!$AO21),N(Simulations!$AP21),N(Simulations!$AQ21))/IF(Simulations!$J21="",1000,Simulations!$J21))</f>
        <v>0</v>
      </c>
      <c r="F21" s="0" t="n">
        <f aca="false">IF(OR(NOT(AND(Simulations!$A21&lt;&gt;"",OR(Simulations!$AL21&lt;&gt;"",N(Simulations!$AN21)&gt;0))),N(Simulations!$AM21)&lt;=0),0,SQRT(2*Simulations!$AM21*1000000/(IF(Simulations!$J21="",1000,Simulations!$J21)*1000))/MIN(IF(Simulations!$T21="",200,Simulations!$T21),IF(Simulations!$U21="",200,Simulations!$U21),IF(Simulations!$V21="",200,Simulations!$V21)))</f>
        <v>0</v>
      </c>
      <c r="G21" s="0" t="n">
        <f aca="false">IF(AND(Simulations!$A21&lt;&gt;"",OR(Simulations!$AL21&lt;&gt;"",N(Simulations!$AN21)&gt;0)),1,0)</f>
        <v>0</v>
      </c>
      <c r="H21" s="0" t="n">
        <f aca="false">IF(OR(NOT(AND(Simulations!$A21&lt;&gt;"",OR(Simulations!$BD21&lt;&gt;"",N(Simulations!$BF21)&gt;0))),N(Simulations!$BG21)&lt;=0,N(Simulations!$BF21)&lt;=0,1&gt;N(IF(Simulations!$O21="",1,Simulations!$O21))),0,IF(Simulations!$BG21&lt;IF(Simulations!$J21="",1000,Simulations!$J21),Simulations!$BF21/(IF(Simulations!$G21="",5000,Simulations!$G21)*IF(Simulations!$H21="",5000,Simulations!$H21)*IF(IF(Simulations!$I21="",5000,Simulations!$I21)&gt;0,IF(Simulations!$I21="",5000,Simulations!$I21),1))*Simulations!$BG21*(PI()/2*IF(Simulations!$T21="",200,Simulations!$T21)^2*IF(IF(Simulations!$I21="",5000,Simulations!$I21)&gt;0,SQRT(PI()/2)*IF(Simulations!$W21="",1000,Simulations!$W21),1)),Simulations!$BF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T21="",200,Simulations!$T21)^2*IF(Simulations!$W21="",1000,Simulations!$W21)/2^1.5*(2/3*LN(Simulations!$BG21/IF(Simulations!$J21="",1000,Simulations!$J21))^1.5+SQRT(LN(Simulations!$BG21/IF(Simulations!$J21="",1000,Simulations!$J21)))+Simulations!$BG21/IF(Simulations!$J21="",1000,Simulations!$J21)*SQRT(PI())/2*ERFC(SQRT(LN(Simulations!$BG21/IF(Simulations!$J21="",1000,Simulations!$J21))))),PI()*IF(Simulations!$T21="",200,Simulations!$T21)^2/2*(LN(Simulations!$BG21/IF(Simulations!$J21="",1000,Simulations!$J21))+1))))</f>
        <v>0</v>
      </c>
      <c r="I21" s="0" t="n">
        <f aca="false">IF(OR(NOT(AND(Simulations!$A21&lt;&gt;"",OR(Simulations!$BD21&lt;&gt;"",N(Simulations!$BF21)&gt;0))),N(Simulations!$BH21)&lt;=0,N(Simulations!$BF21)&lt;=0,2&gt;N(IF(Simulations!$O21="",1,Simulations!$O21))),0,IF(Simulations!$BH21&lt;IF(Simulations!$J21="",1000,Simulations!$J21),Simulations!$BF21/(IF(Simulations!$G21="",5000,Simulations!$G21)*IF(Simulations!$H21="",5000,Simulations!$H21)*IF(IF(Simulations!$I21="",5000,Simulations!$I21)&gt;0,IF(Simulations!$I21="",5000,Simulations!$I21),1))*Simulations!$BH21*(PI()/2*IF(Simulations!$U21="",200,Simulations!$U21)^2*IF(IF(Simulations!$I21="",5000,Simulations!$I21)&gt;0,SQRT(PI()/2)*IF(Simulations!$X21="",1000,Simulations!$X21),1)),Simulations!$BF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U21="",200,Simulations!$U21)^2*IF(Simulations!$X21="",1000,Simulations!$X21)/2^1.5*(2/3*LN(Simulations!$BH21/IF(Simulations!$J21="",1000,Simulations!$J21))^1.5+SQRT(LN(Simulations!$BH21/IF(Simulations!$J21="",1000,Simulations!$J21)))+Simulations!$BH21/IF(Simulations!$J21="",1000,Simulations!$J21)*SQRT(PI())/2*ERFC(SQRT(LN(Simulations!$BH21/IF(Simulations!$J21="",1000,Simulations!$J21))))),PI()*IF(Simulations!$U21="",200,Simulations!$U21)^2/2*(LN(Simulations!$BH21/IF(Simulations!$J21="",1000,Simulations!$J21))+1))))</f>
        <v>0</v>
      </c>
      <c r="J21" s="0" t="n">
        <f aca="false">IF(OR(NOT(AND(Simulations!$A21&lt;&gt;"",OR(Simulations!$BD21&lt;&gt;"",N(Simulations!$BF21)&gt;0))),N(Simulations!$BI21)&lt;=0,N(Simulations!$BF21)&lt;=0,3&gt;N(IF(Simulations!$O21="",1,Simulations!$O21))),0,IF(Simulations!$BI21&lt;IF(Simulations!$J21="",1000,Simulations!$J21),Simulations!$BF21/(IF(Simulations!$G21="",5000,Simulations!$G21)*IF(Simulations!$H21="",5000,Simulations!$H21)*IF(IF(Simulations!$I21="",5000,Simulations!$I21)&gt;0,IF(Simulations!$I21="",5000,Simulations!$I21),1))*Simulations!$BI21*(PI()/2*IF(Simulations!$V21="",200,Simulations!$V21)^2*IF(IF(Simulations!$I21="",5000,Simulations!$I21)&gt;0,SQRT(PI()/2)*IF(Simulations!$Y21="",1000,Simulations!$Y21),1)),Simulations!$BF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V21="",200,Simulations!$V21)^2*IF(Simulations!$Y21="",1000,Simulations!$Y21)/2^1.5*(2/3*LN(Simulations!$BI21/IF(Simulations!$J21="",1000,Simulations!$J21))^1.5+SQRT(LN(Simulations!$BI21/IF(Simulations!$J21="",1000,Simulations!$J21)))+Simulations!$BI21/IF(Simulations!$J21="",1000,Simulations!$J21)*SQRT(PI())/2*ERFC(SQRT(LN(Simulations!$BI21/IF(Simulations!$J21="",1000,Simulations!$J21))))),PI()*IF(Simulations!$V21="",200,Simulations!$V21)^2/2*(LN(Simulations!$BI21/IF(Simulations!$J21="",1000,Simulations!$J21))+1))))</f>
        <v>0</v>
      </c>
      <c r="K21" s="0" t="n">
        <f aca="false">IF(NOT(AND(Simulations!$A21&lt;&gt;"",OR(Simulations!$BD21&lt;&gt;"",N(Simulations!$BF21)&gt;0))),0,MAX(N(Simulations!$BG21),N(Simulations!$BH21),N(Simulations!$BI21))/IF(Simulations!$J21="",1000,Simulations!$J21))</f>
        <v>0</v>
      </c>
      <c r="L21" s="0" t="n">
        <f aca="false">IF(OR(NOT(AND(Simulations!$A21&lt;&gt;"",OR(Simulations!$BD21&lt;&gt;"",N(Simulations!$BF21)&gt;0))),N(Simulations!$BE21)&lt;=0),0,SQRT(2*Simulations!$BE21*1000000/(IF(Simulations!$J21="",1000,Simulations!$J21)*1000))/MIN(IF(Simulations!$T21="",200,Simulations!$T21),IF(Simulations!$U21="",200,Simulations!$U21),IF(Simulations!$V21="",200,Simulations!$V21)))</f>
        <v>0</v>
      </c>
      <c r="M21" s="0" t="n">
        <f aca="false">IF(AND(Simulations!$A21&lt;&gt;"",OR(Simulations!$BD21&lt;&gt;"",N(Simulations!$BF21)&gt;0)),1,0)</f>
        <v>0</v>
      </c>
      <c r="N21" s="0" t="n">
        <f aca="false">IF(OR(NOT(AND(Simulations!$A21&lt;&gt;"",OR(Simulations!$BV21&lt;&gt;"",N(Simulations!$BX21)&gt;0))),N(Simulations!$BY21)&lt;=0,N(Simulations!$BX21)&lt;=0,1&gt;N(IF(Simulations!$O21="",1,Simulations!$O21))),0,IF(Simulations!$BY21&lt;IF(Simulations!$J21="",1000,Simulations!$J21),Simulations!$BX21/(IF(Simulations!$G21="",5000,Simulations!$G21)*IF(Simulations!$H21="",5000,Simulations!$H21)*IF(IF(Simulations!$I21="",5000,Simulations!$I21)&gt;0,IF(Simulations!$I21="",5000,Simulations!$I21),1))*Simulations!$BY21*(PI()/2*IF(Simulations!$T21="",200,Simulations!$T21)^2*IF(IF(Simulations!$I21="",5000,Simulations!$I21)&gt;0,SQRT(PI()/2)*IF(Simulations!$W21="",1000,Simulations!$W21),1)),Simulations!$BX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T21="",200,Simulations!$T21)^2*IF(Simulations!$W21="",1000,Simulations!$W21)/2^1.5*(2/3*LN(Simulations!$BY21/IF(Simulations!$J21="",1000,Simulations!$J21))^1.5+SQRT(LN(Simulations!$BY21/IF(Simulations!$J21="",1000,Simulations!$J21)))+Simulations!$BY21/IF(Simulations!$J21="",1000,Simulations!$J21)*SQRT(PI())/2*ERFC(SQRT(LN(Simulations!$BY21/IF(Simulations!$J21="",1000,Simulations!$J21))))),PI()*IF(Simulations!$T21="",200,Simulations!$T21)^2/2*(LN(Simulations!$BY21/IF(Simulations!$J21="",1000,Simulations!$J21))+1))))</f>
        <v>0</v>
      </c>
      <c r="O21" s="0" t="n">
        <f aca="false">IF(OR(NOT(AND(Simulations!$A21&lt;&gt;"",OR(Simulations!$BV21&lt;&gt;"",N(Simulations!$BX21)&gt;0))),N(Simulations!$BZ21)&lt;=0,N(Simulations!$BX21)&lt;=0,2&gt;N(IF(Simulations!$O21="",1,Simulations!$O21))),0,IF(Simulations!$BZ21&lt;IF(Simulations!$J21="",1000,Simulations!$J21),Simulations!$BX21/(IF(Simulations!$G21="",5000,Simulations!$G21)*IF(Simulations!$H21="",5000,Simulations!$H21)*IF(IF(Simulations!$I21="",5000,Simulations!$I21)&gt;0,IF(Simulations!$I21="",5000,Simulations!$I21),1))*Simulations!$BZ21*(PI()/2*IF(Simulations!$U21="",200,Simulations!$U21)^2*IF(IF(Simulations!$I21="",5000,Simulations!$I21)&gt;0,SQRT(PI()/2)*IF(Simulations!$X21="",1000,Simulations!$X21),1)),Simulations!$BX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U21="",200,Simulations!$U21)^2*IF(Simulations!$X21="",1000,Simulations!$X21)/2^1.5*(2/3*LN(Simulations!$BZ21/IF(Simulations!$J21="",1000,Simulations!$J21))^1.5+SQRT(LN(Simulations!$BZ21/IF(Simulations!$J21="",1000,Simulations!$J21)))+Simulations!$BZ21/IF(Simulations!$J21="",1000,Simulations!$J21)*SQRT(PI())/2*ERFC(SQRT(LN(Simulations!$BZ21/IF(Simulations!$J21="",1000,Simulations!$J21))))),PI()*IF(Simulations!$U21="",200,Simulations!$U21)^2/2*(LN(Simulations!$BZ21/IF(Simulations!$J21="",1000,Simulations!$J21))+1))))</f>
        <v>0</v>
      </c>
      <c r="P21" s="0" t="n">
        <f aca="false">IF(OR(NOT(AND(Simulations!$A21&lt;&gt;"",OR(Simulations!$BV21&lt;&gt;"",N(Simulations!$BX21)&gt;0))),N(Simulations!$CA21)&lt;=0,N(Simulations!$BX21)&lt;=0,3&gt;N(IF(Simulations!$O21="",1,Simulations!$O21))),0,IF(Simulations!$CA21&lt;IF(Simulations!$J21="",1000,Simulations!$J21),Simulations!$BX21/(IF(Simulations!$G21="",5000,Simulations!$G21)*IF(Simulations!$H21="",5000,Simulations!$H21)*IF(IF(Simulations!$I21="",5000,Simulations!$I21)&gt;0,IF(Simulations!$I21="",5000,Simulations!$I21),1))*Simulations!$CA21*(PI()/2*IF(Simulations!$V21="",200,Simulations!$V21)^2*IF(IF(Simulations!$I21="",5000,Simulations!$I21)&gt;0,SQRT(PI()/2)*IF(Simulations!$Y21="",1000,Simulations!$Y21),1)),Simulations!$BX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V21="",200,Simulations!$V21)^2*IF(Simulations!$Y21="",1000,Simulations!$Y21)/2^1.5*(2/3*LN(Simulations!$CA21/IF(Simulations!$J21="",1000,Simulations!$J21))^1.5+SQRT(LN(Simulations!$CA21/IF(Simulations!$J21="",1000,Simulations!$J21)))+Simulations!$CA21/IF(Simulations!$J21="",1000,Simulations!$J21)*SQRT(PI())/2*ERFC(SQRT(LN(Simulations!$CA21/IF(Simulations!$J21="",1000,Simulations!$J21))))),PI()*IF(Simulations!$V21="",200,Simulations!$V21)^2/2*(LN(Simulations!$CA21/IF(Simulations!$J21="",1000,Simulations!$J21))+1))))</f>
        <v>0</v>
      </c>
      <c r="Q21" s="0" t="n">
        <f aca="false">IF(NOT(AND(Simulations!$A21&lt;&gt;"",OR(Simulations!$BV21&lt;&gt;"",N(Simulations!$BX21)&gt;0))),0,MAX(N(Simulations!$BY21),N(Simulations!$BZ21),N(Simulations!$CA21))/IF(Simulations!$J21="",1000,Simulations!$J21))</f>
        <v>0</v>
      </c>
      <c r="R21" s="0" t="n">
        <f aca="false">IF(OR(NOT(AND(Simulations!$A21&lt;&gt;"",OR(Simulations!$BV21&lt;&gt;"",N(Simulations!$BX21)&gt;0))),N(Simulations!$BW21)&lt;=0),0,SQRT(2*Simulations!$BW21*1000000/(IF(Simulations!$J21="",1000,Simulations!$J21)*1000))/MIN(IF(Simulations!$T21="",200,Simulations!$T21),IF(Simulations!$U21="",200,Simulations!$U21),IF(Simulations!$V21="",200,Simulations!$V21)))</f>
        <v>0</v>
      </c>
      <c r="S21" s="0" t="n">
        <f aca="false">IF(AND(Simulations!$A21&lt;&gt;"",OR(Simulations!$BV21&lt;&gt;"",N(Simulations!$BX21)&gt;0)),1,0)</f>
        <v>0</v>
      </c>
      <c r="T21" s="0" t="n">
        <f aca="false">IF(OR(NOT(AND(Simulations!$A21&lt;&gt;"",OR(Simulations!$CN21&lt;&gt;"",N(Simulations!$CP21)&gt;0))),N(Simulations!$CQ21)&lt;=0,N(Simulations!$CP21)&lt;=0,1&gt;N(IF(Simulations!$O21="",1,Simulations!$O21))),0,IF(Simulations!$CQ21&lt;IF(Simulations!$J21="",1000,Simulations!$J21),Simulations!$CP21/(IF(Simulations!$G21="",5000,Simulations!$G21)*IF(Simulations!$H21="",5000,Simulations!$H21)*IF(IF(Simulations!$I21="",5000,Simulations!$I21)&gt;0,IF(Simulations!$I21="",5000,Simulations!$I21),1))*Simulations!$CQ21*(PI()/2*IF(Simulations!$T21="",200,Simulations!$T21)^2*IF(IF(Simulations!$I21="",5000,Simulations!$I21)&gt;0,SQRT(PI()/2)*IF(Simulations!$W21="",1000,Simulations!$W21),1)),Simulations!$CP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T21="",200,Simulations!$T21)^2*IF(Simulations!$W21="",1000,Simulations!$W21)/2^1.5*(2/3*LN(Simulations!$CQ21/IF(Simulations!$J21="",1000,Simulations!$J21))^1.5+SQRT(LN(Simulations!$CQ21/IF(Simulations!$J21="",1000,Simulations!$J21)))+Simulations!$CQ21/IF(Simulations!$J21="",1000,Simulations!$J21)*SQRT(PI())/2*ERFC(SQRT(LN(Simulations!$CQ21/IF(Simulations!$J21="",1000,Simulations!$J21))))),PI()*IF(Simulations!$T21="",200,Simulations!$T21)^2/2*(LN(Simulations!$CQ21/IF(Simulations!$J21="",1000,Simulations!$J21))+1))))</f>
        <v>0</v>
      </c>
      <c r="U21" s="0" t="n">
        <f aca="false">IF(OR(NOT(AND(Simulations!$A21&lt;&gt;"",OR(Simulations!$CN21&lt;&gt;"",N(Simulations!$CP21)&gt;0))),N(Simulations!$CR21)&lt;=0,N(Simulations!$CP21)&lt;=0,2&gt;N(IF(Simulations!$O21="",1,Simulations!$O21))),0,IF(Simulations!$CR21&lt;IF(Simulations!$J21="",1000,Simulations!$J21),Simulations!$CP21/(IF(Simulations!$G21="",5000,Simulations!$G21)*IF(Simulations!$H21="",5000,Simulations!$H21)*IF(IF(Simulations!$I21="",5000,Simulations!$I21)&gt;0,IF(Simulations!$I21="",5000,Simulations!$I21),1))*Simulations!$CR21*(PI()/2*IF(Simulations!$U21="",200,Simulations!$U21)^2*IF(IF(Simulations!$I21="",5000,Simulations!$I21)&gt;0,SQRT(PI()/2)*IF(Simulations!$X21="",1000,Simulations!$X21),1)),Simulations!$CP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U21="",200,Simulations!$U21)^2*IF(Simulations!$X21="",1000,Simulations!$X21)/2^1.5*(2/3*LN(Simulations!$CR21/IF(Simulations!$J21="",1000,Simulations!$J21))^1.5+SQRT(LN(Simulations!$CR21/IF(Simulations!$J21="",1000,Simulations!$J21)))+Simulations!$CR21/IF(Simulations!$J21="",1000,Simulations!$J21)*SQRT(PI())/2*ERFC(SQRT(LN(Simulations!$CR21/IF(Simulations!$J21="",1000,Simulations!$J21))))),PI()*IF(Simulations!$U21="",200,Simulations!$U21)^2/2*(LN(Simulations!$CR21/IF(Simulations!$J21="",1000,Simulations!$J21))+1))))</f>
        <v>0</v>
      </c>
      <c r="V21" s="0" t="n">
        <f aca="false">IF(OR(NOT(AND(Simulations!$A21&lt;&gt;"",OR(Simulations!$CN21&lt;&gt;"",N(Simulations!$CP21)&gt;0))),N(Simulations!$CS21)&lt;=0,N(Simulations!$CP21)&lt;=0,3&gt;N(IF(Simulations!$O21="",1,Simulations!$O21))),0,IF(Simulations!$CS21&lt;IF(Simulations!$J21="",1000,Simulations!$J21),Simulations!$CP21/(IF(Simulations!$G21="",5000,Simulations!$G21)*IF(Simulations!$H21="",5000,Simulations!$H21)*IF(IF(Simulations!$I21="",5000,Simulations!$I21)&gt;0,IF(Simulations!$I21="",5000,Simulations!$I21),1))*Simulations!$CS21*(PI()/2*IF(Simulations!$V21="",200,Simulations!$V21)^2*IF(IF(Simulations!$I21="",5000,Simulations!$I21)&gt;0,SQRT(PI()/2)*IF(Simulations!$Y21="",1000,Simulations!$Y21),1)),Simulations!$CP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V21="",200,Simulations!$V21)^2*IF(Simulations!$Y21="",1000,Simulations!$Y21)/2^1.5*(2/3*LN(Simulations!$CS21/IF(Simulations!$J21="",1000,Simulations!$J21))^1.5+SQRT(LN(Simulations!$CS21/IF(Simulations!$J21="",1000,Simulations!$J21)))+Simulations!$CS21/IF(Simulations!$J21="",1000,Simulations!$J21)*SQRT(PI())/2*ERFC(SQRT(LN(Simulations!$CS21/IF(Simulations!$J21="",1000,Simulations!$J21))))),PI()*IF(Simulations!$V21="",200,Simulations!$V21)^2/2*(LN(Simulations!$CS21/IF(Simulations!$J21="",1000,Simulations!$J21))+1))))</f>
        <v>0</v>
      </c>
      <c r="W21" s="0" t="n">
        <f aca="false">IF(NOT(AND(Simulations!$A21&lt;&gt;"",OR(Simulations!$CN21&lt;&gt;"",N(Simulations!$CP21)&gt;0))),0,MAX(N(Simulations!$CQ21),N(Simulations!$CR21),N(Simulations!$CS21))/IF(Simulations!$J21="",1000,Simulations!$J21))</f>
        <v>0</v>
      </c>
      <c r="X21" s="0" t="n">
        <f aca="false">IF(OR(NOT(AND(Simulations!$A21&lt;&gt;"",OR(Simulations!$CN21&lt;&gt;"",N(Simulations!$CP21)&gt;0))),N(Simulations!$CO21)&lt;=0),0,SQRT(2*Simulations!$CO21*1000000/(IF(Simulations!$J21="",1000,Simulations!$J21)*1000))/MIN(IF(Simulations!$T21="",200,Simulations!$T21),IF(Simulations!$U21="",200,Simulations!$U21),IF(Simulations!$V21="",200,Simulations!$V21)))</f>
        <v>0</v>
      </c>
      <c r="Y21" s="0" t="n">
        <f aca="false">IF(AND(Simulations!$A21&lt;&gt;"",OR(Simulations!$CN21&lt;&gt;"",N(Simulations!$CP21)&gt;0)),1,0)</f>
        <v>0</v>
      </c>
      <c r="Z21" s="0" t="n">
        <f aca="false">IF(OR(NOT(AND(Simulations!$A21&lt;&gt;"",OR(Simulations!$DF21&lt;&gt;"",N(Simulations!$DH21)&gt;0))),N(Simulations!$DI21)&lt;=0,N(Simulations!$DH21)&lt;=0,1&gt;N(IF(Simulations!$O21="",1,Simulations!$O21))),0,IF(Simulations!$DI21&lt;IF(Simulations!$J21="",1000,Simulations!$J21),Simulations!$DH21/(IF(Simulations!$G21="",5000,Simulations!$G21)*IF(Simulations!$H21="",5000,Simulations!$H21)*IF(IF(Simulations!$I21="",5000,Simulations!$I21)&gt;0,IF(Simulations!$I21="",5000,Simulations!$I21),1))*Simulations!$DI21*(PI()/2*IF(Simulations!$T21="",200,Simulations!$T21)^2*IF(IF(Simulations!$I21="",5000,Simulations!$I21)&gt;0,SQRT(PI()/2)*IF(Simulations!$W21="",1000,Simulations!$W21),1)),Simulations!$DH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T21="",200,Simulations!$T21)^2*IF(Simulations!$W21="",1000,Simulations!$W21)/2^1.5*(2/3*LN(Simulations!$DI21/IF(Simulations!$J21="",1000,Simulations!$J21))^1.5+SQRT(LN(Simulations!$DI21/IF(Simulations!$J21="",1000,Simulations!$J21)))+Simulations!$DI21/IF(Simulations!$J21="",1000,Simulations!$J21)*SQRT(PI())/2*ERFC(SQRT(LN(Simulations!$DI21/IF(Simulations!$J21="",1000,Simulations!$J21))))),PI()*IF(Simulations!$T21="",200,Simulations!$T21)^2/2*(LN(Simulations!$DI21/IF(Simulations!$J21="",1000,Simulations!$J21))+1))))</f>
        <v>0</v>
      </c>
      <c r="AA21" s="0" t="n">
        <f aca="false">IF(OR(NOT(AND(Simulations!$A21&lt;&gt;"",OR(Simulations!$DF21&lt;&gt;"",N(Simulations!$DH21)&gt;0))),N(Simulations!$DJ21)&lt;=0,N(Simulations!$DH21)&lt;=0,2&gt;N(IF(Simulations!$O21="",1,Simulations!$O21))),0,IF(Simulations!$DJ21&lt;IF(Simulations!$J21="",1000,Simulations!$J21),Simulations!$DH21/(IF(Simulations!$G21="",5000,Simulations!$G21)*IF(Simulations!$H21="",5000,Simulations!$H21)*IF(IF(Simulations!$I21="",5000,Simulations!$I21)&gt;0,IF(Simulations!$I21="",5000,Simulations!$I21),1))*Simulations!$DJ21*(PI()/2*IF(Simulations!$U21="",200,Simulations!$U21)^2*IF(IF(Simulations!$I21="",5000,Simulations!$I21)&gt;0,SQRT(PI()/2)*IF(Simulations!$X21="",1000,Simulations!$X21),1)),Simulations!$DH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U21="",200,Simulations!$U21)^2*IF(Simulations!$X21="",1000,Simulations!$X21)/2^1.5*(2/3*LN(Simulations!$DJ21/IF(Simulations!$J21="",1000,Simulations!$J21))^1.5+SQRT(LN(Simulations!$DJ21/IF(Simulations!$J21="",1000,Simulations!$J21)))+Simulations!$DJ21/IF(Simulations!$J21="",1000,Simulations!$J21)*SQRT(PI())/2*ERFC(SQRT(LN(Simulations!$DJ21/IF(Simulations!$J21="",1000,Simulations!$J21))))),PI()*IF(Simulations!$U21="",200,Simulations!$U21)^2/2*(LN(Simulations!$DJ21/IF(Simulations!$J21="",1000,Simulations!$J21))+1))))</f>
        <v>0</v>
      </c>
      <c r="AB21" s="0" t="n">
        <f aca="false">IF(OR(NOT(AND(Simulations!$A21&lt;&gt;"",OR(Simulations!$DF21&lt;&gt;"",N(Simulations!$DH21)&gt;0))),N(Simulations!$DK21)&lt;=0,N(Simulations!$DH21)&lt;=0,3&gt;N(IF(Simulations!$O21="",1,Simulations!$O21))),0,IF(Simulations!$DK21&lt;IF(Simulations!$J21="",1000,Simulations!$J21),Simulations!$DH21/(IF(Simulations!$G21="",5000,Simulations!$G21)*IF(Simulations!$H21="",5000,Simulations!$H21)*IF(IF(Simulations!$I21="",5000,Simulations!$I21)&gt;0,IF(Simulations!$I21="",5000,Simulations!$I21),1))*Simulations!$DK21*(PI()/2*IF(Simulations!$V21="",200,Simulations!$V21)^2*IF(IF(Simulations!$I21="",5000,Simulations!$I21)&gt;0,SQRT(PI()/2)*IF(Simulations!$Y21="",1000,Simulations!$Y21),1)),Simulations!$DH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V21="",200,Simulations!$V21)^2*IF(Simulations!$Y21="",1000,Simulations!$Y21)/2^1.5*(2/3*LN(Simulations!$DK21/IF(Simulations!$J21="",1000,Simulations!$J21))^1.5+SQRT(LN(Simulations!$DK21/IF(Simulations!$J21="",1000,Simulations!$J21)))+Simulations!$DK21/IF(Simulations!$J21="",1000,Simulations!$J21)*SQRT(PI())/2*ERFC(SQRT(LN(Simulations!$DK21/IF(Simulations!$J21="",1000,Simulations!$J21))))),PI()*IF(Simulations!$V21="",200,Simulations!$V21)^2/2*(LN(Simulations!$DK21/IF(Simulations!$J21="",1000,Simulations!$J21))+1))))</f>
        <v>0</v>
      </c>
      <c r="AC21" s="0" t="n">
        <f aca="false">IF(NOT(AND(Simulations!$A21&lt;&gt;"",OR(Simulations!$DF21&lt;&gt;"",N(Simulations!$DH21)&gt;0))),0,MAX(N(Simulations!$DI21),N(Simulations!$DJ21),N(Simulations!$DK21))/IF(Simulations!$J21="",1000,Simulations!$J21))</f>
        <v>0</v>
      </c>
      <c r="AD21" s="0" t="n">
        <f aca="false">IF(OR(NOT(AND(Simulations!$A21&lt;&gt;"",OR(Simulations!$DF21&lt;&gt;"",N(Simulations!$DH21)&gt;0))),N(Simulations!$DG21)&lt;=0),0,SQRT(2*Simulations!$DG21*1000000/(IF(Simulations!$J21="",1000,Simulations!$J21)*1000))/MIN(IF(Simulations!$T21="",200,Simulations!$T21),IF(Simulations!$U21="",200,Simulations!$U21),IF(Simulations!$V21="",200,Simulations!$V21)))</f>
        <v>0</v>
      </c>
      <c r="AE21" s="0" t="n">
        <f aca="false">IF(AND(Simulations!$A21&lt;&gt;"",OR(Simulations!$DF21&lt;&gt;"",N(Simulations!$DH21)&gt;0)),1,0)</f>
        <v>0</v>
      </c>
      <c r="AF21" s="0" t="n">
        <f aca="false">IF(OR(NOT(AND(Simulations!$A21&lt;&gt;"",OR(Simulations!$DX21&lt;&gt;"",N(Simulations!$DZ21)&gt;0))),N(Simulations!$EA21)&lt;=0,N(Simulations!$DZ21)&lt;=0,1&gt;N(IF(Simulations!$O21="",1,Simulations!$O21))),0,IF(Simulations!$EA21&lt;IF(Simulations!$J21="",1000,Simulations!$J21),Simulations!$DZ21/(IF(Simulations!$G21="",5000,Simulations!$G21)*IF(Simulations!$H21="",5000,Simulations!$H21)*IF(IF(Simulations!$I21="",5000,Simulations!$I21)&gt;0,IF(Simulations!$I21="",5000,Simulations!$I21),1))*Simulations!$EA21*(PI()/2*IF(Simulations!$T21="",200,Simulations!$T21)^2*IF(IF(Simulations!$I21="",5000,Simulations!$I21)&gt;0,SQRT(PI()/2)*IF(Simulations!$W21="",1000,Simulations!$W21),1)),Simulations!$DZ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T21="",200,Simulations!$T21)^2*IF(Simulations!$W21="",1000,Simulations!$W21)/2^1.5*(2/3*LN(Simulations!$EA21/IF(Simulations!$J21="",1000,Simulations!$J21))^1.5+SQRT(LN(Simulations!$EA21/IF(Simulations!$J21="",1000,Simulations!$J21)))+Simulations!$EA21/IF(Simulations!$J21="",1000,Simulations!$J21)*SQRT(PI())/2*ERFC(SQRT(LN(Simulations!$EA21/IF(Simulations!$J21="",1000,Simulations!$J21))))),PI()*IF(Simulations!$T21="",200,Simulations!$T21)^2/2*(LN(Simulations!$EA21/IF(Simulations!$J21="",1000,Simulations!$J21))+1))))</f>
        <v>0</v>
      </c>
      <c r="AG21" s="0" t="n">
        <f aca="false">IF(OR(NOT(AND(Simulations!$A21&lt;&gt;"",OR(Simulations!$DX21&lt;&gt;"",N(Simulations!$DZ21)&gt;0))),N(Simulations!$EB21)&lt;=0,N(Simulations!$DZ21)&lt;=0,2&gt;N(IF(Simulations!$O21="",1,Simulations!$O21))),0,IF(Simulations!$EB21&lt;IF(Simulations!$J21="",1000,Simulations!$J21),Simulations!$DZ21/(IF(Simulations!$G21="",5000,Simulations!$G21)*IF(Simulations!$H21="",5000,Simulations!$H21)*IF(IF(Simulations!$I21="",5000,Simulations!$I21)&gt;0,IF(Simulations!$I21="",5000,Simulations!$I21),1))*Simulations!$EB21*(PI()/2*IF(Simulations!$U21="",200,Simulations!$U21)^2*IF(IF(Simulations!$I21="",5000,Simulations!$I21)&gt;0,SQRT(PI()/2)*IF(Simulations!$X21="",1000,Simulations!$X21),1)),Simulations!$DZ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U21="",200,Simulations!$U21)^2*IF(Simulations!$X21="",1000,Simulations!$X21)/2^1.5*(2/3*LN(Simulations!$EB21/IF(Simulations!$J21="",1000,Simulations!$J21))^1.5+SQRT(LN(Simulations!$EB21/IF(Simulations!$J21="",1000,Simulations!$J21)))+Simulations!$EB21/IF(Simulations!$J21="",1000,Simulations!$J21)*SQRT(PI())/2*ERFC(SQRT(LN(Simulations!$EB21/IF(Simulations!$J21="",1000,Simulations!$J21))))),PI()*IF(Simulations!$U21="",200,Simulations!$U21)^2/2*(LN(Simulations!$EB21/IF(Simulations!$J21="",1000,Simulations!$J21))+1))))</f>
        <v>0</v>
      </c>
      <c r="AH21" s="0" t="n">
        <f aca="false">IF(OR(NOT(AND(Simulations!$A21&lt;&gt;"",OR(Simulations!$DX21&lt;&gt;"",N(Simulations!$DZ21)&gt;0))),N(Simulations!$EC21)&lt;=0,N(Simulations!$DZ21)&lt;=0,3&gt;N(IF(Simulations!$O21="",1,Simulations!$O21))),0,IF(Simulations!$EC21&lt;IF(Simulations!$J21="",1000,Simulations!$J21),Simulations!$DZ21/(IF(Simulations!$G21="",5000,Simulations!$G21)*IF(Simulations!$H21="",5000,Simulations!$H21)*IF(IF(Simulations!$I21="",5000,Simulations!$I21)&gt;0,IF(Simulations!$I21="",5000,Simulations!$I21),1))*Simulations!$EC21*(PI()/2*IF(Simulations!$V21="",200,Simulations!$V21)^2*IF(IF(Simulations!$I21="",5000,Simulations!$I21)&gt;0,SQRT(PI()/2)*IF(Simulations!$Y21="",1000,Simulations!$Y21),1)),Simulations!$DZ21/(IF(Simulations!$G21="",5000,Simulations!$G21)*IF(Simulations!$H21="",5000,Simulations!$H21)*IF(IF(Simulations!$I21="",5000,Simulations!$I21)&gt;0,IF(Simulations!$I21="",5000,Simulations!$I21),1))*IF(Simulations!$J21="",1000,Simulations!$J21)*IF(IF(Simulations!$I21="",5000,Simulations!$I21)&gt;0,2*PI()*IF(Simulations!$V21="",200,Simulations!$V21)^2*IF(Simulations!$Y21="",1000,Simulations!$Y21)/2^1.5*(2/3*LN(Simulations!$EC21/IF(Simulations!$J21="",1000,Simulations!$J21))^1.5+SQRT(LN(Simulations!$EC21/IF(Simulations!$J21="",1000,Simulations!$J21)))+Simulations!$EC21/IF(Simulations!$J21="",1000,Simulations!$J21)*SQRT(PI())/2*ERFC(SQRT(LN(Simulations!$EC21/IF(Simulations!$J21="",1000,Simulations!$J21))))),PI()*IF(Simulations!$V21="",200,Simulations!$V21)^2/2*(LN(Simulations!$EC21/IF(Simulations!$J21="",1000,Simulations!$J21))+1))))</f>
        <v>0</v>
      </c>
      <c r="AI21" s="0" t="n">
        <f aca="false">IF(NOT(AND(Simulations!$A21&lt;&gt;"",OR(Simulations!$DX21&lt;&gt;"",N(Simulations!$DZ21)&gt;0))),0,MAX(N(Simulations!$EA21),N(Simulations!$EB21),N(Simulations!$EC21))/IF(Simulations!$J21="",1000,Simulations!$J21))</f>
        <v>0</v>
      </c>
      <c r="AJ21" s="0" t="n">
        <f aca="false">IF(OR(NOT(AND(Simulations!$A21&lt;&gt;"",OR(Simulations!$DX21&lt;&gt;"",N(Simulations!$DZ21)&gt;0))),N(Simulations!$DY21)&lt;=0),0,SQRT(2*Simulations!$DY21*1000000/(IF(Simulations!$J21="",1000,Simulations!$J21)*1000))/MIN(IF(Simulations!$T21="",200,Simulations!$T21),IF(Simulations!$U21="",200,Simulations!$U21),IF(Simulations!$V21="",200,Simulations!$V21)))</f>
        <v>0</v>
      </c>
      <c r="AK21" s="0" t="n">
        <f aca="false">IF(AND(Simulations!$A21&lt;&gt;"",OR(Simulations!$DX21&lt;&gt;"",N(Simulations!$DZ21)&gt;0)),1,0)</f>
        <v>0</v>
      </c>
    </row>
    <row r="22" customFormat="false" ht="15" hidden="false" customHeight="false" outlineLevel="0" collapsed="false">
      <c r="B22" s="0" t="n">
        <f aca="false">IF(OR(NOT(AND(Simulations!$A22&lt;&gt;"",OR(Simulations!$AL22&lt;&gt;"",N(Simulations!$AN22)&gt;0))),N(Simulations!$AO22)&lt;=0,N(Simulations!$AN22)&lt;=0,1&gt;N(IF(Simulations!$O22="",1,Simulations!$O22))),0,IF(Simulations!$AO22&lt;IF(Simulations!$J22="",1000,Simulations!$J22),Simulations!$AN22/(IF(Simulations!$G22="",5000,Simulations!$G22)*IF(Simulations!$H22="",5000,Simulations!$H22)*IF(IF(Simulations!$I22="",5000,Simulations!$I22)&gt;0,IF(Simulations!$I22="",5000,Simulations!$I22),1))*Simulations!$AO22*(PI()/2*IF(Simulations!$T22="",200,Simulations!$T22)^2*IF(IF(Simulations!$I22="",5000,Simulations!$I22)&gt;0,SQRT(PI()/2)*IF(Simulations!$W22="",1000,Simulations!$W22),1)),Simulations!$AN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T22="",200,Simulations!$T22)^2*IF(Simulations!$W22="",1000,Simulations!$W22)/2^1.5*(2/3*LN(Simulations!$AO22/IF(Simulations!$J22="",1000,Simulations!$J22))^1.5+SQRT(LN(Simulations!$AO22/IF(Simulations!$J22="",1000,Simulations!$J22)))+Simulations!$AO22/IF(Simulations!$J22="",1000,Simulations!$J22)*SQRT(PI())/2*ERFC(SQRT(LN(Simulations!$AO22/IF(Simulations!$J22="",1000,Simulations!$J22))))),PI()*IF(Simulations!$T22="",200,Simulations!$T22)^2/2*(LN(Simulations!$AO22/IF(Simulations!$J22="",1000,Simulations!$J22))+1))))</f>
        <v>0</v>
      </c>
      <c r="C22" s="0" t="n">
        <f aca="false">IF(OR(NOT(AND(Simulations!$A22&lt;&gt;"",OR(Simulations!$AL22&lt;&gt;"",N(Simulations!$AN22)&gt;0))),N(Simulations!$AP22)&lt;=0,N(Simulations!$AN22)&lt;=0,2&gt;N(IF(Simulations!$O22="",1,Simulations!$O22))),0,IF(Simulations!$AP22&lt;IF(Simulations!$J22="",1000,Simulations!$J22),Simulations!$AN22/(IF(Simulations!$G22="",5000,Simulations!$G22)*IF(Simulations!$H22="",5000,Simulations!$H22)*IF(IF(Simulations!$I22="",5000,Simulations!$I22)&gt;0,IF(Simulations!$I22="",5000,Simulations!$I22),1))*Simulations!$AP22*(PI()/2*IF(Simulations!$U22="",200,Simulations!$U22)^2*IF(IF(Simulations!$I22="",5000,Simulations!$I22)&gt;0,SQRT(PI()/2)*IF(Simulations!$X22="",1000,Simulations!$X22),1)),Simulations!$AN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U22="",200,Simulations!$U22)^2*IF(Simulations!$X22="",1000,Simulations!$X22)/2^1.5*(2/3*LN(Simulations!$AP22/IF(Simulations!$J22="",1000,Simulations!$J22))^1.5+SQRT(LN(Simulations!$AP22/IF(Simulations!$J22="",1000,Simulations!$J22)))+Simulations!$AP22/IF(Simulations!$J22="",1000,Simulations!$J22)*SQRT(PI())/2*ERFC(SQRT(LN(Simulations!$AP22/IF(Simulations!$J22="",1000,Simulations!$J22))))),PI()*IF(Simulations!$U22="",200,Simulations!$U22)^2/2*(LN(Simulations!$AP22/IF(Simulations!$J22="",1000,Simulations!$J22))+1))))</f>
        <v>0</v>
      </c>
      <c r="D22" s="0" t="n">
        <f aca="false">IF(OR(NOT(AND(Simulations!$A22&lt;&gt;"",OR(Simulations!$AL22&lt;&gt;"",N(Simulations!$AN22)&gt;0))),N(Simulations!$AQ22)&lt;=0,N(Simulations!$AN22)&lt;=0,3&gt;N(IF(Simulations!$O22="",1,Simulations!$O22))),0,IF(Simulations!$AQ22&lt;IF(Simulations!$J22="",1000,Simulations!$J22),Simulations!$AN22/(IF(Simulations!$G22="",5000,Simulations!$G22)*IF(Simulations!$H22="",5000,Simulations!$H22)*IF(IF(Simulations!$I22="",5000,Simulations!$I22)&gt;0,IF(Simulations!$I22="",5000,Simulations!$I22),1))*Simulations!$AQ22*(PI()/2*IF(Simulations!$V22="",200,Simulations!$V22)^2*IF(IF(Simulations!$I22="",5000,Simulations!$I22)&gt;0,SQRT(PI()/2)*IF(Simulations!$Y22="",1000,Simulations!$Y22),1)),Simulations!$AN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V22="",200,Simulations!$V22)^2*IF(Simulations!$Y22="",1000,Simulations!$Y22)/2^1.5*(2/3*LN(Simulations!$AQ22/IF(Simulations!$J22="",1000,Simulations!$J22))^1.5+SQRT(LN(Simulations!$AQ22/IF(Simulations!$J22="",1000,Simulations!$J22)))+Simulations!$AQ22/IF(Simulations!$J22="",1000,Simulations!$J22)*SQRT(PI())/2*ERFC(SQRT(LN(Simulations!$AQ22/IF(Simulations!$J22="",1000,Simulations!$J22))))),PI()*IF(Simulations!$V22="",200,Simulations!$V22)^2/2*(LN(Simulations!$AQ22/IF(Simulations!$J22="",1000,Simulations!$J22))+1))))</f>
        <v>0</v>
      </c>
      <c r="E22" s="0" t="n">
        <f aca="false">IF(NOT(AND(Simulations!$A22&lt;&gt;"",OR(Simulations!$AL22&lt;&gt;"",N(Simulations!$AN22)&gt;0))),0,MAX(N(Simulations!$AO22),N(Simulations!$AP22),N(Simulations!$AQ22))/IF(Simulations!$J22="",1000,Simulations!$J22))</f>
        <v>0</v>
      </c>
      <c r="F22" s="0" t="n">
        <f aca="false">IF(OR(NOT(AND(Simulations!$A22&lt;&gt;"",OR(Simulations!$AL22&lt;&gt;"",N(Simulations!$AN22)&gt;0))),N(Simulations!$AM22)&lt;=0),0,SQRT(2*Simulations!$AM22*1000000/(IF(Simulations!$J22="",1000,Simulations!$J22)*1000))/MIN(IF(Simulations!$T22="",200,Simulations!$T22),IF(Simulations!$U22="",200,Simulations!$U22),IF(Simulations!$V22="",200,Simulations!$V22)))</f>
        <v>0</v>
      </c>
      <c r="G22" s="0" t="n">
        <f aca="false">IF(AND(Simulations!$A22&lt;&gt;"",OR(Simulations!$AL22&lt;&gt;"",N(Simulations!$AN22)&gt;0)),1,0)</f>
        <v>0</v>
      </c>
      <c r="H22" s="0" t="n">
        <f aca="false">IF(OR(NOT(AND(Simulations!$A22&lt;&gt;"",OR(Simulations!$BD22&lt;&gt;"",N(Simulations!$BF22)&gt;0))),N(Simulations!$BG22)&lt;=0,N(Simulations!$BF22)&lt;=0,1&gt;N(IF(Simulations!$O22="",1,Simulations!$O22))),0,IF(Simulations!$BG22&lt;IF(Simulations!$J22="",1000,Simulations!$J22),Simulations!$BF22/(IF(Simulations!$G22="",5000,Simulations!$G22)*IF(Simulations!$H22="",5000,Simulations!$H22)*IF(IF(Simulations!$I22="",5000,Simulations!$I22)&gt;0,IF(Simulations!$I22="",5000,Simulations!$I22),1))*Simulations!$BG22*(PI()/2*IF(Simulations!$T22="",200,Simulations!$T22)^2*IF(IF(Simulations!$I22="",5000,Simulations!$I22)&gt;0,SQRT(PI()/2)*IF(Simulations!$W22="",1000,Simulations!$W22),1)),Simulations!$BF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T22="",200,Simulations!$T22)^2*IF(Simulations!$W22="",1000,Simulations!$W22)/2^1.5*(2/3*LN(Simulations!$BG22/IF(Simulations!$J22="",1000,Simulations!$J22))^1.5+SQRT(LN(Simulations!$BG22/IF(Simulations!$J22="",1000,Simulations!$J22)))+Simulations!$BG22/IF(Simulations!$J22="",1000,Simulations!$J22)*SQRT(PI())/2*ERFC(SQRT(LN(Simulations!$BG22/IF(Simulations!$J22="",1000,Simulations!$J22))))),PI()*IF(Simulations!$T22="",200,Simulations!$T22)^2/2*(LN(Simulations!$BG22/IF(Simulations!$J22="",1000,Simulations!$J22))+1))))</f>
        <v>0</v>
      </c>
      <c r="I22" s="0" t="n">
        <f aca="false">IF(OR(NOT(AND(Simulations!$A22&lt;&gt;"",OR(Simulations!$BD22&lt;&gt;"",N(Simulations!$BF22)&gt;0))),N(Simulations!$BH22)&lt;=0,N(Simulations!$BF22)&lt;=0,2&gt;N(IF(Simulations!$O22="",1,Simulations!$O22))),0,IF(Simulations!$BH22&lt;IF(Simulations!$J22="",1000,Simulations!$J22),Simulations!$BF22/(IF(Simulations!$G22="",5000,Simulations!$G22)*IF(Simulations!$H22="",5000,Simulations!$H22)*IF(IF(Simulations!$I22="",5000,Simulations!$I22)&gt;0,IF(Simulations!$I22="",5000,Simulations!$I22),1))*Simulations!$BH22*(PI()/2*IF(Simulations!$U22="",200,Simulations!$U22)^2*IF(IF(Simulations!$I22="",5000,Simulations!$I22)&gt;0,SQRT(PI()/2)*IF(Simulations!$X22="",1000,Simulations!$X22),1)),Simulations!$BF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U22="",200,Simulations!$U22)^2*IF(Simulations!$X22="",1000,Simulations!$X22)/2^1.5*(2/3*LN(Simulations!$BH22/IF(Simulations!$J22="",1000,Simulations!$J22))^1.5+SQRT(LN(Simulations!$BH22/IF(Simulations!$J22="",1000,Simulations!$J22)))+Simulations!$BH22/IF(Simulations!$J22="",1000,Simulations!$J22)*SQRT(PI())/2*ERFC(SQRT(LN(Simulations!$BH22/IF(Simulations!$J22="",1000,Simulations!$J22))))),PI()*IF(Simulations!$U22="",200,Simulations!$U22)^2/2*(LN(Simulations!$BH22/IF(Simulations!$J22="",1000,Simulations!$J22))+1))))</f>
        <v>0</v>
      </c>
      <c r="J22" s="0" t="n">
        <f aca="false">IF(OR(NOT(AND(Simulations!$A22&lt;&gt;"",OR(Simulations!$BD22&lt;&gt;"",N(Simulations!$BF22)&gt;0))),N(Simulations!$BI22)&lt;=0,N(Simulations!$BF22)&lt;=0,3&gt;N(IF(Simulations!$O22="",1,Simulations!$O22))),0,IF(Simulations!$BI22&lt;IF(Simulations!$J22="",1000,Simulations!$J22),Simulations!$BF22/(IF(Simulations!$G22="",5000,Simulations!$G22)*IF(Simulations!$H22="",5000,Simulations!$H22)*IF(IF(Simulations!$I22="",5000,Simulations!$I22)&gt;0,IF(Simulations!$I22="",5000,Simulations!$I22),1))*Simulations!$BI22*(PI()/2*IF(Simulations!$V22="",200,Simulations!$V22)^2*IF(IF(Simulations!$I22="",5000,Simulations!$I22)&gt;0,SQRT(PI()/2)*IF(Simulations!$Y22="",1000,Simulations!$Y22),1)),Simulations!$BF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V22="",200,Simulations!$V22)^2*IF(Simulations!$Y22="",1000,Simulations!$Y22)/2^1.5*(2/3*LN(Simulations!$BI22/IF(Simulations!$J22="",1000,Simulations!$J22))^1.5+SQRT(LN(Simulations!$BI22/IF(Simulations!$J22="",1000,Simulations!$J22)))+Simulations!$BI22/IF(Simulations!$J22="",1000,Simulations!$J22)*SQRT(PI())/2*ERFC(SQRT(LN(Simulations!$BI22/IF(Simulations!$J22="",1000,Simulations!$J22))))),PI()*IF(Simulations!$V22="",200,Simulations!$V22)^2/2*(LN(Simulations!$BI22/IF(Simulations!$J22="",1000,Simulations!$J22))+1))))</f>
        <v>0</v>
      </c>
      <c r="K22" s="0" t="n">
        <f aca="false">IF(NOT(AND(Simulations!$A22&lt;&gt;"",OR(Simulations!$BD22&lt;&gt;"",N(Simulations!$BF22)&gt;0))),0,MAX(N(Simulations!$BG22),N(Simulations!$BH22),N(Simulations!$BI22))/IF(Simulations!$J22="",1000,Simulations!$J22))</f>
        <v>0</v>
      </c>
      <c r="L22" s="0" t="n">
        <f aca="false">IF(OR(NOT(AND(Simulations!$A22&lt;&gt;"",OR(Simulations!$BD22&lt;&gt;"",N(Simulations!$BF22)&gt;0))),N(Simulations!$BE22)&lt;=0),0,SQRT(2*Simulations!$BE22*1000000/(IF(Simulations!$J22="",1000,Simulations!$J22)*1000))/MIN(IF(Simulations!$T22="",200,Simulations!$T22),IF(Simulations!$U22="",200,Simulations!$U22),IF(Simulations!$V22="",200,Simulations!$V22)))</f>
        <v>0</v>
      </c>
      <c r="M22" s="0" t="n">
        <f aca="false">IF(AND(Simulations!$A22&lt;&gt;"",OR(Simulations!$BD22&lt;&gt;"",N(Simulations!$BF22)&gt;0)),1,0)</f>
        <v>0</v>
      </c>
      <c r="N22" s="0" t="n">
        <f aca="false">IF(OR(NOT(AND(Simulations!$A22&lt;&gt;"",OR(Simulations!$BV22&lt;&gt;"",N(Simulations!$BX22)&gt;0))),N(Simulations!$BY22)&lt;=0,N(Simulations!$BX22)&lt;=0,1&gt;N(IF(Simulations!$O22="",1,Simulations!$O22))),0,IF(Simulations!$BY22&lt;IF(Simulations!$J22="",1000,Simulations!$J22),Simulations!$BX22/(IF(Simulations!$G22="",5000,Simulations!$G22)*IF(Simulations!$H22="",5000,Simulations!$H22)*IF(IF(Simulations!$I22="",5000,Simulations!$I22)&gt;0,IF(Simulations!$I22="",5000,Simulations!$I22),1))*Simulations!$BY22*(PI()/2*IF(Simulations!$T22="",200,Simulations!$T22)^2*IF(IF(Simulations!$I22="",5000,Simulations!$I22)&gt;0,SQRT(PI()/2)*IF(Simulations!$W22="",1000,Simulations!$W22),1)),Simulations!$BX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T22="",200,Simulations!$T22)^2*IF(Simulations!$W22="",1000,Simulations!$W22)/2^1.5*(2/3*LN(Simulations!$BY22/IF(Simulations!$J22="",1000,Simulations!$J22))^1.5+SQRT(LN(Simulations!$BY22/IF(Simulations!$J22="",1000,Simulations!$J22)))+Simulations!$BY22/IF(Simulations!$J22="",1000,Simulations!$J22)*SQRT(PI())/2*ERFC(SQRT(LN(Simulations!$BY22/IF(Simulations!$J22="",1000,Simulations!$J22))))),PI()*IF(Simulations!$T22="",200,Simulations!$T22)^2/2*(LN(Simulations!$BY22/IF(Simulations!$J22="",1000,Simulations!$J22))+1))))</f>
        <v>0</v>
      </c>
      <c r="O22" s="0" t="n">
        <f aca="false">IF(OR(NOT(AND(Simulations!$A22&lt;&gt;"",OR(Simulations!$BV22&lt;&gt;"",N(Simulations!$BX22)&gt;0))),N(Simulations!$BZ22)&lt;=0,N(Simulations!$BX22)&lt;=0,2&gt;N(IF(Simulations!$O22="",1,Simulations!$O22))),0,IF(Simulations!$BZ22&lt;IF(Simulations!$J22="",1000,Simulations!$J22),Simulations!$BX22/(IF(Simulations!$G22="",5000,Simulations!$G22)*IF(Simulations!$H22="",5000,Simulations!$H22)*IF(IF(Simulations!$I22="",5000,Simulations!$I22)&gt;0,IF(Simulations!$I22="",5000,Simulations!$I22),1))*Simulations!$BZ22*(PI()/2*IF(Simulations!$U22="",200,Simulations!$U22)^2*IF(IF(Simulations!$I22="",5000,Simulations!$I22)&gt;0,SQRT(PI()/2)*IF(Simulations!$X22="",1000,Simulations!$X22),1)),Simulations!$BX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U22="",200,Simulations!$U22)^2*IF(Simulations!$X22="",1000,Simulations!$X22)/2^1.5*(2/3*LN(Simulations!$BZ22/IF(Simulations!$J22="",1000,Simulations!$J22))^1.5+SQRT(LN(Simulations!$BZ22/IF(Simulations!$J22="",1000,Simulations!$J22)))+Simulations!$BZ22/IF(Simulations!$J22="",1000,Simulations!$J22)*SQRT(PI())/2*ERFC(SQRT(LN(Simulations!$BZ22/IF(Simulations!$J22="",1000,Simulations!$J22))))),PI()*IF(Simulations!$U22="",200,Simulations!$U22)^2/2*(LN(Simulations!$BZ22/IF(Simulations!$J22="",1000,Simulations!$J22))+1))))</f>
        <v>0</v>
      </c>
      <c r="P22" s="0" t="n">
        <f aca="false">IF(OR(NOT(AND(Simulations!$A22&lt;&gt;"",OR(Simulations!$BV22&lt;&gt;"",N(Simulations!$BX22)&gt;0))),N(Simulations!$CA22)&lt;=0,N(Simulations!$BX22)&lt;=0,3&gt;N(IF(Simulations!$O22="",1,Simulations!$O22))),0,IF(Simulations!$CA22&lt;IF(Simulations!$J22="",1000,Simulations!$J22),Simulations!$BX22/(IF(Simulations!$G22="",5000,Simulations!$G22)*IF(Simulations!$H22="",5000,Simulations!$H22)*IF(IF(Simulations!$I22="",5000,Simulations!$I22)&gt;0,IF(Simulations!$I22="",5000,Simulations!$I22),1))*Simulations!$CA22*(PI()/2*IF(Simulations!$V22="",200,Simulations!$V22)^2*IF(IF(Simulations!$I22="",5000,Simulations!$I22)&gt;0,SQRT(PI()/2)*IF(Simulations!$Y22="",1000,Simulations!$Y22),1)),Simulations!$BX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V22="",200,Simulations!$V22)^2*IF(Simulations!$Y22="",1000,Simulations!$Y22)/2^1.5*(2/3*LN(Simulations!$CA22/IF(Simulations!$J22="",1000,Simulations!$J22))^1.5+SQRT(LN(Simulations!$CA22/IF(Simulations!$J22="",1000,Simulations!$J22)))+Simulations!$CA22/IF(Simulations!$J22="",1000,Simulations!$J22)*SQRT(PI())/2*ERFC(SQRT(LN(Simulations!$CA22/IF(Simulations!$J22="",1000,Simulations!$J22))))),PI()*IF(Simulations!$V22="",200,Simulations!$V22)^2/2*(LN(Simulations!$CA22/IF(Simulations!$J22="",1000,Simulations!$J22))+1))))</f>
        <v>0</v>
      </c>
      <c r="Q22" s="0" t="n">
        <f aca="false">IF(NOT(AND(Simulations!$A22&lt;&gt;"",OR(Simulations!$BV22&lt;&gt;"",N(Simulations!$BX22)&gt;0))),0,MAX(N(Simulations!$BY22),N(Simulations!$BZ22),N(Simulations!$CA22))/IF(Simulations!$J22="",1000,Simulations!$J22))</f>
        <v>0</v>
      </c>
      <c r="R22" s="0" t="n">
        <f aca="false">IF(OR(NOT(AND(Simulations!$A22&lt;&gt;"",OR(Simulations!$BV22&lt;&gt;"",N(Simulations!$BX22)&gt;0))),N(Simulations!$BW22)&lt;=0),0,SQRT(2*Simulations!$BW22*1000000/(IF(Simulations!$J22="",1000,Simulations!$J22)*1000))/MIN(IF(Simulations!$T22="",200,Simulations!$T22),IF(Simulations!$U22="",200,Simulations!$U22),IF(Simulations!$V22="",200,Simulations!$V22)))</f>
        <v>0</v>
      </c>
      <c r="S22" s="0" t="n">
        <f aca="false">IF(AND(Simulations!$A22&lt;&gt;"",OR(Simulations!$BV22&lt;&gt;"",N(Simulations!$BX22)&gt;0)),1,0)</f>
        <v>0</v>
      </c>
      <c r="T22" s="0" t="n">
        <f aca="false">IF(OR(NOT(AND(Simulations!$A22&lt;&gt;"",OR(Simulations!$CN22&lt;&gt;"",N(Simulations!$CP22)&gt;0))),N(Simulations!$CQ22)&lt;=0,N(Simulations!$CP22)&lt;=0,1&gt;N(IF(Simulations!$O22="",1,Simulations!$O22))),0,IF(Simulations!$CQ22&lt;IF(Simulations!$J22="",1000,Simulations!$J22),Simulations!$CP22/(IF(Simulations!$G22="",5000,Simulations!$G22)*IF(Simulations!$H22="",5000,Simulations!$H22)*IF(IF(Simulations!$I22="",5000,Simulations!$I22)&gt;0,IF(Simulations!$I22="",5000,Simulations!$I22),1))*Simulations!$CQ22*(PI()/2*IF(Simulations!$T22="",200,Simulations!$T22)^2*IF(IF(Simulations!$I22="",5000,Simulations!$I22)&gt;0,SQRT(PI()/2)*IF(Simulations!$W22="",1000,Simulations!$W22),1)),Simulations!$CP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T22="",200,Simulations!$T22)^2*IF(Simulations!$W22="",1000,Simulations!$W22)/2^1.5*(2/3*LN(Simulations!$CQ22/IF(Simulations!$J22="",1000,Simulations!$J22))^1.5+SQRT(LN(Simulations!$CQ22/IF(Simulations!$J22="",1000,Simulations!$J22)))+Simulations!$CQ22/IF(Simulations!$J22="",1000,Simulations!$J22)*SQRT(PI())/2*ERFC(SQRT(LN(Simulations!$CQ22/IF(Simulations!$J22="",1000,Simulations!$J22))))),PI()*IF(Simulations!$T22="",200,Simulations!$T22)^2/2*(LN(Simulations!$CQ22/IF(Simulations!$J22="",1000,Simulations!$J22))+1))))</f>
        <v>0</v>
      </c>
      <c r="U22" s="0" t="n">
        <f aca="false">IF(OR(NOT(AND(Simulations!$A22&lt;&gt;"",OR(Simulations!$CN22&lt;&gt;"",N(Simulations!$CP22)&gt;0))),N(Simulations!$CR22)&lt;=0,N(Simulations!$CP22)&lt;=0,2&gt;N(IF(Simulations!$O22="",1,Simulations!$O22))),0,IF(Simulations!$CR22&lt;IF(Simulations!$J22="",1000,Simulations!$J22),Simulations!$CP22/(IF(Simulations!$G22="",5000,Simulations!$G22)*IF(Simulations!$H22="",5000,Simulations!$H22)*IF(IF(Simulations!$I22="",5000,Simulations!$I22)&gt;0,IF(Simulations!$I22="",5000,Simulations!$I22),1))*Simulations!$CR22*(PI()/2*IF(Simulations!$U22="",200,Simulations!$U22)^2*IF(IF(Simulations!$I22="",5000,Simulations!$I22)&gt;0,SQRT(PI()/2)*IF(Simulations!$X22="",1000,Simulations!$X22),1)),Simulations!$CP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U22="",200,Simulations!$U22)^2*IF(Simulations!$X22="",1000,Simulations!$X22)/2^1.5*(2/3*LN(Simulations!$CR22/IF(Simulations!$J22="",1000,Simulations!$J22))^1.5+SQRT(LN(Simulations!$CR22/IF(Simulations!$J22="",1000,Simulations!$J22)))+Simulations!$CR22/IF(Simulations!$J22="",1000,Simulations!$J22)*SQRT(PI())/2*ERFC(SQRT(LN(Simulations!$CR22/IF(Simulations!$J22="",1000,Simulations!$J22))))),PI()*IF(Simulations!$U22="",200,Simulations!$U22)^2/2*(LN(Simulations!$CR22/IF(Simulations!$J22="",1000,Simulations!$J22))+1))))</f>
        <v>0</v>
      </c>
      <c r="V22" s="0" t="n">
        <f aca="false">IF(OR(NOT(AND(Simulations!$A22&lt;&gt;"",OR(Simulations!$CN22&lt;&gt;"",N(Simulations!$CP22)&gt;0))),N(Simulations!$CS22)&lt;=0,N(Simulations!$CP22)&lt;=0,3&gt;N(IF(Simulations!$O22="",1,Simulations!$O22))),0,IF(Simulations!$CS22&lt;IF(Simulations!$J22="",1000,Simulations!$J22),Simulations!$CP22/(IF(Simulations!$G22="",5000,Simulations!$G22)*IF(Simulations!$H22="",5000,Simulations!$H22)*IF(IF(Simulations!$I22="",5000,Simulations!$I22)&gt;0,IF(Simulations!$I22="",5000,Simulations!$I22),1))*Simulations!$CS22*(PI()/2*IF(Simulations!$V22="",200,Simulations!$V22)^2*IF(IF(Simulations!$I22="",5000,Simulations!$I22)&gt;0,SQRT(PI()/2)*IF(Simulations!$Y22="",1000,Simulations!$Y22),1)),Simulations!$CP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V22="",200,Simulations!$V22)^2*IF(Simulations!$Y22="",1000,Simulations!$Y22)/2^1.5*(2/3*LN(Simulations!$CS22/IF(Simulations!$J22="",1000,Simulations!$J22))^1.5+SQRT(LN(Simulations!$CS22/IF(Simulations!$J22="",1000,Simulations!$J22)))+Simulations!$CS22/IF(Simulations!$J22="",1000,Simulations!$J22)*SQRT(PI())/2*ERFC(SQRT(LN(Simulations!$CS22/IF(Simulations!$J22="",1000,Simulations!$J22))))),PI()*IF(Simulations!$V22="",200,Simulations!$V22)^2/2*(LN(Simulations!$CS22/IF(Simulations!$J22="",1000,Simulations!$J22))+1))))</f>
        <v>0</v>
      </c>
      <c r="W22" s="0" t="n">
        <f aca="false">IF(NOT(AND(Simulations!$A22&lt;&gt;"",OR(Simulations!$CN22&lt;&gt;"",N(Simulations!$CP22)&gt;0))),0,MAX(N(Simulations!$CQ22),N(Simulations!$CR22),N(Simulations!$CS22))/IF(Simulations!$J22="",1000,Simulations!$J22))</f>
        <v>0</v>
      </c>
      <c r="X22" s="0" t="n">
        <f aca="false">IF(OR(NOT(AND(Simulations!$A22&lt;&gt;"",OR(Simulations!$CN22&lt;&gt;"",N(Simulations!$CP22)&gt;0))),N(Simulations!$CO22)&lt;=0),0,SQRT(2*Simulations!$CO22*1000000/(IF(Simulations!$J22="",1000,Simulations!$J22)*1000))/MIN(IF(Simulations!$T22="",200,Simulations!$T22),IF(Simulations!$U22="",200,Simulations!$U22),IF(Simulations!$V22="",200,Simulations!$V22)))</f>
        <v>0</v>
      </c>
      <c r="Y22" s="0" t="n">
        <f aca="false">IF(AND(Simulations!$A22&lt;&gt;"",OR(Simulations!$CN22&lt;&gt;"",N(Simulations!$CP22)&gt;0)),1,0)</f>
        <v>0</v>
      </c>
      <c r="Z22" s="0" t="n">
        <f aca="false">IF(OR(NOT(AND(Simulations!$A22&lt;&gt;"",OR(Simulations!$DF22&lt;&gt;"",N(Simulations!$DH22)&gt;0))),N(Simulations!$DI22)&lt;=0,N(Simulations!$DH22)&lt;=0,1&gt;N(IF(Simulations!$O22="",1,Simulations!$O22))),0,IF(Simulations!$DI22&lt;IF(Simulations!$J22="",1000,Simulations!$J22),Simulations!$DH22/(IF(Simulations!$G22="",5000,Simulations!$G22)*IF(Simulations!$H22="",5000,Simulations!$H22)*IF(IF(Simulations!$I22="",5000,Simulations!$I22)&gt;0,IF(Simulations!$I22="",5000,Simulations!$I22),1))*Simulations!$DI22*(PI()/2*IF(Simulations!$T22="",200,Simulations!$T22)^2*IF(IF(Simulations!$I22="",5000,Simulations!$I22)&gt;0,SQRT(PI()/2)*IF(Simulations!$W22="",1000,Simulations!$W22),1)),Simulations!$DH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T22="",200,Simulations!$T22)^2*IF(Simulations!$W22="",1000,Simulations!$W22)/2^1.5*(2/3*LN(Simulations!$DI22/IF(Simulations!$J22="",1000,Simulations!$J22))^1.5+SQRT(LN(Simulations!$DI22/IF(Simulations!$J22="",1000,Simulations!$J22)))+Simulations!$DI22/IF(Simulations!$J22="",1000,Simulations!$J22)*SQRT(PI())/2*ERFC(SQRT(LN(Simulations!$DI22/IF(Simulations!$J22="",1000,Simulations!$J22))))),PI()*IF(Simulations!$T22="",200,Simulations!$T22)^2/2*(LN(Simulations!$DI22/IF(Simulations!$J22="",1000,Simulations!$J22))+1))))</f>
        <v>0</v>
      </c>
      <c r="AA22" s="0" t="n">
        <f aca="false">IF(OR(NOT(AND(Simulations!$A22&lt;&gt;"",OR(Simulations!$DF22&lt;&gt;"",N(Simulations!$DH22)&gt;0))),N(Simulations!$DJ22)&lt;=0,N(Simulations!$DH22)&lt;=0,2&gt;N(IF(Simulations!$O22="",1,Simulations!$O22))),0,IF(Simulations!$DJ22&lt;IF(Simulations!$J22="",1000,Simulations!$J22),Simulations!$DH22/(IF(Simulations!$G22="",5000,Simulations!$G22)*IF(Simulations!$H22="",5000,Simulations!$H22)*IF(IF(Simulations!$I22="",5000,Simulations!$I22)&gt;0,IF(Simulations!$I22="",5000,Simulations!$I22),1))*Simulations!$DJ22*(PI()/2*IF(Simulations!$U22="",200,Simulations!$U22)^2*IF(IF(Simulations!$I22="",5000,Simulations!$I22)&gt;0,SQRT(PI()/2)*IF(Simulations!$X22="",1000,Simulations!$X22),1)),Simulations!$DH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U22="",200,Simulations!$U22)^2*IF(Simulations!$X22="",1000,Simulations!$X22)/2^1.5*(2/3*LN(Simulations!$DJ22/IF(Simulations!$J22="",1000,Simulations!$J22))^1.5+SQRT(LN(Simulations!$DJ22/IF(Simulations!$J22="",1000,Simulations!$J22)))+Simulations!$DJ22/IF(Simulations!$J22="",1000,Simulations!$J22)*SQRT(PI())/2*ERFC(SQRT(LN(Simulations!$DJ22/IF(Simulations!$J22="",1000,Simulations!$J22))))),PI()*IF(Simulations!$U22="",200,Simulations!$U22)^2/2*(LN(Simulations!$DJ22/IF(Simulations!$J22="",1000,Simulations!$J22))+1))))</f>
        <v>0</v>
      </c>
      <c r="AB22" s="0" t="n">
        <f aca="false">IF(OR(NOT(AND(Simulations!$A22&lt;&gt;"",OR(Simulations!$DF22&lt;&gt;"",N(Simulations!$DH22)&gt;0))),N(Simulations!$DK22)&lt;=0,N(Simulations!$DH22)&lt;=0,3&gt;N(IF(Simulations!$O22="",1,Simulations!$O22))),0,IF(Simulations!$DK22&lt;IF(Simulations!$J22="",1000,Simulations!$J22),Simulations!$DH22/(IF(Simulations!$G22="",5000,Simulations!$G22)*IF(Simulations!$H22="",5000,Simulations!$H22)*IF(IF(Simulations!$I22="",5000,Simulations!$I22)&gt;0,IF(Simulations!$I22="",5000,Simulations!$I22),1))*Simulations!$DK22*(PI()/2*IF(Simulations!$V22="",200,Simulations!$V22)^2*IF(IF(Simulations!$I22="",5000,Simulations!$I22)&gt;0,SQRT(PI()/2)*IF(Simulations!$Y22="",1000,Simulations!$Y22),1)),Simulations!$DH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V22="",200,Simulations!$V22)^2*IF(Simulations!$Y22="",1000,Simulations!$Y22)/2^1.5*(2/3*LN(Simulations!$DK22/IF(Simulations!$J22="",1000,Simulations!$J22))^1.5+SQRT(LN(Simulations!$DK22/IF(Simulations!$J22="",1000,Simulations!$J22)))+Simulations!$DK22/IF(Simulations!$J22="",1000,Simulations!$J22)*SQRT(PI())/2*ERFC(SQRT(LN(Simulations!$DK22/IF(Simulations!$J22="",1000,Simulations!$J22))))),PI()*IF(Simulations!$V22="",200,Simulations!$V22)^2/2*(LN(Simulations!$DK22/IF(Simulations!$J22="",1000,Simulations!$J22))+1))))</f>
        <v>0</v>
      </c>
      <c r="AC22" s="0" t="n">
        <f aca="false">IF(NOT(AND(Simulations!$A22&lt;&gt;"",OR(Simulations!$DF22&lt;&gt;"",N(Simulations!$DH22)&gt;0))),0,MAX(N(Simulations!$DI22),N(Simulations!$DJ22),N(Simulations!$DK22))/IF(Simulations!$J22="",1000,Simulations!$J22))</f>
        <v>0</v>
      </c>
      <c r="AD22" s="0" t="n">
        <f aca="false">IF(OR(NOT(AND(Simulations!$A22&lt;&gt;"",OR(Simulations!$DF22&lt;&gt;"",N(Simulations!$DH22)&gt;0))),N(Simulations!$DG22)&lt;=0),0,SQRT(2*Simulations!$DG22*1000000/(IF(Simulations!$J22="",1000,Simulations!$J22)*1000))/MIN(IF(Simulations!$T22="",200,Simulations!$T22),IF(Simulations!$U22="",200,Simulations!$U22),IF(Simulations!$V22="",200,Simulations!$V22)))</f>
        <v>0</v>
      </c>
      <c r="AE22" s="0" t="n">
        <f aca="false">IF(AND(Simulations!$A22&lt;&gt;"",OR(Simulations!$DF22&lt;&gt;"",N(Simulations!$DH22)&gt;0)),1,0)</f>
        <v>0</v>
      </c>
      <c r="AF22" s="0" t="n">
        <f aca="false">IF(OR(NOT(AND(Simulations!$A22&lt;&gt;"",OR(Simulations!$DX22&lt;&gt;"",N(Simulations!$DZ22)&gt;0))),N(Simulations!$EA22)&lt;=0,N(Simulations!$DZ22)&lt;=0,1&gt;N(IF(Simulations!$O22="",1,Simulations!$O22))),0,IF(Simulations!$EA22&lt;IF(Simulations!$J22="",1000,Simulations!$J22),Simulations!$DZ22/(IF(Simulations!$G22="",5000,Simulations!$G22)*IF(Simulations!$H22="",5000,Simulations!$H22)*IF(IF(Simulations!$I22="",5000,Simulations!$I22)&gt;0,IF(Simulations!$I22="",5000,Simulations!$I22),1))*Simulations!$EA22*(PI()/2*IF(Simulations!$T22="",200,Simulations!$T22)^2*IF(IF(Simulations!$I22="",5000,Simulations!$I22)&gt;0,SQRT(PI()/2)*IF(Simulations!$W22="",1000,Simulations!$W22),1)),Simulations!$DZ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T22="",200,Simulations!$T22)^2*IF(Simulations!$W22="",1000,Simulations!$W22)/2^1.5*(2/3*LN(Simulations!$EA22/IF(Simulations!$J22="",1000,Simulations!$J22))^1.5+SQRT(LN(Simulations!$EA22/IF(Simulations!$J22="",1000,Simulations!$J22)))+Simulations!$EA22/IF(Simulations!$J22="",1000,Simulations!$J22)*SQRT(PI())/2*ERFC(SQRT(LN(Simulations!$EA22/IF(Simulations!$J22="",1000,Simulations!$J22))))),PI()*IF(Simulations!$T22="",200,Simulations!$T22)^2/2*(LN(Simulations!$EA22/IF(Simulations!$J22="",1000,Simulations!$J22))+1))))</f>
        <v>0</v>
      </c>
      <c r="AG22" s="0" t="n">
        <f aca="false">IF(OR(NOT(AND(Simulations!$A22&lt;&gt;"",OR(Simulations!$DX22&lt;&gt;"",N(Simulations!$DZ22)&gt;0))),N(Simulations!$EB22)&lt;=0,N(Simulations!$DZ22)&lt;=0,2&gt;N(IF(Simulations!$O22="",1,Simulations!$O22))),0,IF(Simulations!$EB22&lt;IF(Simulations!$J22="",1000,Simulations!$J22),Simulations!$DZ22/(IF(Simulations!$G22="",5000,Simulations!$G22)*IF(Simulations!$H22="",5000,Simulations!$H22)*IF(IF(Simulations!$I22="",5000,Simulations!$I22)&gt;0,IF(Simulations!$I22="",5000,Simulations!$I22),1))*Simulations!$EB22*(PI()/2*IF(Simulations!$U22="",200,Simulations!$U22)^2*IF(IF(Simulations!$I22="",5000,Simulations!$I22)&gt;0,SQRT(PI()/2)*IF(Simulations!$X22="",1000,Simulations!$X22),1)),Simulations!$DZ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U22="",200,Simulations!$U22)^2*IF(Simulations!$X22="",1000,Simulations!$X22)/2^1.5*(2/3*LN(Simulations!$EB22/IF(Simulations!$J22="",1000,Simulations!$J22))^1.5+SQRT(LN(Simulations!$EB22/IF(Simulations!$J22="",1000,Simulations!$J22)))+Simulations!$EB22/IF(Simulations!$J22="",1000,Simulations!$J22)*SQRT(PI())/2*ERFC(SQRT(LN(Simulations!$EB22/IF(Simulations!$J22="",1000,Simulations!$J22))))),PI()*IF(Simulations!$U22="",200,Simulations!$U22)^2/2*(LN(Simulations!$EB22/IF(Simulations!$J22="",1000,Simulations!$J22))+1))))</f>
        <v>0</v>
      </c>
      <c r="AH22" s="0" t="n">
        <f aca="false">IF(OR(NOT(AND(Simulations!$A22&lt;&gt;"",OR(Simulations!$DX22&lt;&gt;"",N(Simulations!$DZ22)&gt;0))),N(Simulations!$EC22)&lt;=0,N(Simulations!$DZ22)&lt;=0,3&gt;N(IF(Simulations!$O22="",1,Simulations!$O22))),0,IF(Simulations!$EC22&lt;IF(Simulations!$J22="",1000,Simulations!$J22),Simulations!$DZ22/(IF(Simulations!$G22="",5000,Simulations!$G22)*IF(Simulations!$H22="",5000,Simulations!$H22)*IF(IF(Simulations!$I22="",5000,Simulations!$I22)&gt;0,IF(Simulations!$I22="",5000,Simulations!$I22),1))*Simulations!$EC22*(PI()/2*IF(Simulations!$V22="",200,Simulations!$V22)^2*IF(IF(Simulations!$I22="",5000,Simulations!$I22)&gt;0,SQRT(PI()/2)*IF(Simulations!$Y22="",1000,Simulations!$Y22),1)),Simulations!$DZ22/(IF(Simulations!$G22="",5000,Simulations!$G22)*IF(Simulations!$H22="",5000,Simulations!$H22)*IF(IF(Simulations!$I22="",5000,Simulations!$I22)&gt;0,IF(Simulations!$I22="",5000,Simulations!$I22),1))*IF(Simulations!$J22="",1000,Simulations!$J22)*IF(IF(Simulations!$I22="",5000,Simulations!$I22)&gt;0,2*PI()*IF(Simulations!$V22="",200,Simulations!$V22)^2*IF(Simulations!$Y22="",1000,Simulations!$Y22)/2^1.5*(2/3*LN(Simulations!$EC22/IF(Simulations!$J22="",1000,Simulations!$J22))^1.5+SQRT(LN(Simulations!$EC22/IF(Simulations!$J22="",1000,Simulations!$J22)))+Simulations!$EC22/IF(Simulations!$J22="",1000,Simulations!$J22)*SQRT(PI())/2*ERFC(SQRT(LN(Simulations!$EC22/IF(Simulations!$J22="",1000,Simulations!$J22))))),PI()*IF(Simulations!$V22="",200,Simulations!$V22)^2/2*(LN(Simulations!$EC22/IF(Simulations!$J22="",1000,Simulations!$J22))+1))))</f>
        <v>0</v>
      </c>
      <c r="AI22" s="0" t="n">
        <f aca="false">IF(NOT(AND(Simulations!$A22&lt;&gt;"",OR(Simulations!$DX22&lt;&gt;"",N(Simulations!$DZ22)&gt;0))),0,MAX(N(Simulations!$EA22),N(Simulations!$EB22),N(Simulations!$EC22))/IF(Simulations!$J22="",1000,Simulations!$J22))</f>
        <v>0</v>
      </c>
      <c r="AJ22" s="0" t="n">
        <f aca="false">IF(OR(NOT(AND(Simulations!$A22&lt;&gt;"",OR(Simulations!$DX22&lt;&gt;"",N(Simulations!$DZ22)&gt;0))),N(Simulations!$DY22)&lt;=0),0,SQRT(2*Simulations!$DY22*1000000/(IF(Simulations!$J22="",1000,Simulations!$J22)*1000))/MIN(IF(Simulations!$T22="",200,Simulations!$T22),IF(Simulations!$U22="",200,Simulations!$U22),IF(Simulations!$V22="",200,Simulations!$V22)))</f>
        <v>0</v>
      </c>
      <c r="AK22" s="0" t="n">
        <f aca="false">IF(AND(Simulations!$A22&lt;&gt;"",OR(Simulations!$DX22&lt;&gt;"",N(Simulations!$DZ22)&gt;0)),1,0)</f>
        <v>0</v>
      </c>
    </row>
    <row r="23" customFormat="false" ht="15" hidden="false" customHeight="false" outlineLevel="0" collapsed="false">
      <c r="B23" s="0" t="n">
        <f aca="false">IF(OR(NOT(AND(Simulations!$A23&lt;&gt;"",OR(Simulations!$AL23&lt;&gt;"",N(Simulations!$AN23)&gt;0))),N(Simulations!$AO23)&lt;=0,N(Simulations!$AN23)&lt;=0,1&gt;N(IF(Simulations!$O23="",1,Simulations!$O23))),0,IF(Simulations!$AO23&lt;IF(Simulations!$J23="",1000,Simulations!$J23),Simulations!$AN23/(IF(Simulations!$G23="",5000,Simulations!$G23)*IF(Simulations!$H23="",5000,Simulations!$H23)*IF(IF(Simulations!$I23="",5000,Simulations!$I23)&gt;0,IF(Simulations!$I23="",5000,Simulations!$I23),1))*Simulations!$AO23*(PI()/2*IF(Simulations!$T23="",200,Simulations!$T23)^2*IF(IF(Simulations!$I23="",5000,Simulations!$I23)&gt;0,SQRT(PI()/2)*IF(Simulations!$W23="",1000,Simulations!$W23),1)),Simulations!$AN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T23="",200,Simulations!$T23)^2*IF(Simulations!$W23="",1000,Simulations!$W23)/2^1.5*(2/3*LN(Simulations!$AO23/IF(Simulations!$J23="",1000,Simulations!$J23))^1.5+SQRT(LN(Simulations!$AO23/IF(Simulations!$J23="",1000,Simulations!$J23)))+Simulations!$AO23/IF(Simulations!$J23="",1000,Simulations!$J23)*SQRT(PI())/2*ERFC(SQRT(LN(Simulations!$AO23/IF(Simulations!$J23="",1000,Simulations!$J23))))),PI()*IF(Simulations!$T23="",200,Simulations!$T23)^2/2*(LN(Simulations!$AO23/IF(Simulations!$J23="",1000,Simulations!$J23))+1))))</f>
        <v>0</v>
      </c>
      <c r="C23" s="0" t="n">
        <f aca="false">IF(OR(NOT(AND(Simulations!$A23&lt;&gt;"",OR(Simulations!$AL23&lt;&gt;"",N(Simulations!$AN23)&gt;0))),N(Simulations!$AP23)&lt;=0,N(Simulations!$AN23)&lt;=0,2&gt;N(IF(Simulations!$O23="",1,Simulations!$O23))),0,IF(Simulations!$AP23&lt;IF(Simulations!$J23="",1000,Simulations!$J23),Simulations!$AN23/(IF(Simulations!$G23="",5000,Simulations!$G23)*IF(Simulations!$H23="",5000,Simulations!$H23)*IF(IF(Simulations!$I23="",5000,Simulations!$I23)&gt;0,IF(Simulations!$I23="",5000,Simulations!$I23),1))*Simulations!$AP23*(PI()/2*IF(Simulations!$U23="",200,Simulations!$U23)^2*IF(IF(Simulations!$I23="",5000,Simulations!$I23)&gt;0,SQRT(PI()/2)*IF(Simulations!$X23="",1000,Simulations!$X23),1)),Simulations!$AN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U23="",200,Simulations!$U23)^2*IF(Simulations!$X23="",1000,Simulations!$X23)/2^1.5*(2/3*LN(Simulations!$AP23/IF(Simulations!$J23="",1000,Simulations!$J23))^1.5+SQRT(LN(Simulations!$AP23/IF(Simulations!$J23="",1000,Simulations!$J23)))+Simulations!$AP23/IF(Simulations!$J23="",1000,Simulations!$J23)*SQRT(PI())/2*ERFC(SQRT(LN(Simulations!$AP23/IF(Simulations!$J23="",1000,Simulations!$J23))))),PI()*IF(Simulations!$U23="",200,Simulations!$U23)^2/2*(LN(Simulations!$AP23/IF(Simulations!$J23="",1000,Simulations!$J23))+1))))</f>
        <v>0</v>
      </c>
      <c r="D23" s="0" t="n">
        <f aca="false">IF(OR(NOT(AND(Simulations!$A23&lt;&gt;"",OR(Simulations!$AL23&lt;&gt;"",N(Simulations!$AN23)&gt;0))),N(Simulations!$AQ23)&lt;=0,N(Simulations!$AN23)&lt;=0,3&gt;N(IF(Simulations!$O23="",1,Simulations!$O23))),0,IF(Simulations!$AQ23&lt;IF(Simulations!$J23="",1000,Simulations!$J23),Simulations!$AN23/(IF(Simulations!$G23="",5000,Simulations!$G23)*IF(Simulations!$H23="",5000,Simulations!$H23)*IF(IF(Simulations!$I23="",5000,Simulations!$I23)&gt;0,IF(Simulations!$I23="",5000,Simulations!$I23),1))*Simulations!$AQ23*(PI()/2*IF(Simulations!$V23="",200,Simulations!$V23)^2*IF(IF(Simulations!$I23="",5000,Simulations!$I23)&gt;0,SQRT(PI()/2)*IF(Simulations!$Y23="",1000,Simulations!$Y23),1)),Simulations!$AN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V23="",200,Simulations!$V23)^2*IF(Simulations!$Y23="",1000,Simulations!$Y23)/2^1.5*(2/3*LN(Simulations!$AQ23/IF(Simulations!$J23="",1000,Simulations!$J23))^1.5+SQRT(LN(Simulations!$AQ23/IF(Simulations!$J23="",1000,Simulations!$J23)))+Simulations!$AQ23/IF(Simulations!$J23="",1000,Simulations!$J23)*SQRT(PI())/2*ERFC(SQRT(LN(Simulations!$AQ23/IF(Simulations!$J23="",1000,Simulations!$J23))))),PI()*IF(Simulations!$V23="",200,Simulations!$V23)^2/2*(LN(Simulations!$AQ23/IF(Simulations!$J23="",1000,Simulations!$J23))+1))))</f>
        <v>0</v>
      </c>
      <c r="E23" s="0" t="n">
        <f aca="false">IF(NOT(AND(Simulations!$A23&lt;&gt;"",OR(Simulations!$AL23&lt;&gt;"",N(Simulations!$AN23)&gt;0))),0,MAX(N(Simulations!$AO23),N(Simulations!$AP23),N(Simulations!$AQ23))/IF(Simulations!$J23="",1000,Simulations!$J23))</f>
        <v>0</v>
      </c>
      <c r="F23" s="0" t="n">
        <f aca="false">IF(OR(NOT(AND(Simulations!$A23&lt;&gt;"",OR(Simulations!$AL23&lt;&gt;"",N(Simulations!$AN23)&gt;0))),N(Simulations!$AM23)&lt;=0),0,SQRT(2*Simulations!$AM23*1000000/(IF(Simulations!$J23="",1000,Simulations!$J23)*1000))/MIN(IF(Simulations!$T23="",200,Simulations!$T23),IF(Simulations!$U23="",200,Simulations!$U23),IF(Simulations!$V23="",200,Simulations!$V23)))</f>
        <v>0</v>
      </c>
      <c r="G23" s="0" t="n">
        <f aca="false">IF(AND(Simulations!$A23&lt;&gt;"",OR(Simulations!$AL23&lt;&gt;"",N(Simulations!$AN23)&gt;0)),1,0)</f>
        <v>0</v>
      </c>
      <c r="H23" s="0" t="n">
        <f aca="false">IF(OR(NOT(AND(Simulations!$A23&lt;&gt;"",OR(Simulations!$BD23&lt;&gt;"",N(Simulations!$BF23)&gt;0))),N(Simulations!$BG23)&lt;=0,N(Simulations!$BF23)&lt;=0,1&gt;N(IF(Simulations!$O23="",1,Simulations!$O23))),0,IF(Simulations!$BG23&lt;IF(Simulations!$J23="",1000,Simulations!$J23),Simulations!$BF23/(IF(Simulations!$G23="",5000,Simulations!$G23)*IF(Simulations!$H23="",5000,Simulations!$H23)*IF(IF(Simulations!$I23="",5000,Simulations!$I23)&gt;0,IF(Simulations!$I23="",5000,Simulations!$I23),1))*Simulations!$BG23*(PI()/2*IF(Simulations!$T23="",200,Simulations!$T23)^2*IF(IF(Simulations!$I23="",5000,Simulations!$I23)&gt;0,SQRT(PI()/2)*IF(Simulations!$W23="",1000,Simulations!$W23),1)),Simulations!$BF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T23="",200,Simulations!$T23)^2*IF(Simulations!$W23="",1000,Simulations!$W23)/2^1.5*(2/3*LN(Simulations!$BG23/IF(Simulations!$J23="",1000,Simulations!$J23))^1.5+SQRT(LN(Simulations!$BG23/IF(Simulations!$J23="",1000,Simulations!$J23)))+Simulations!$BG23/IF(Simulations!$J23="",1000,Simulations!$J23)*SQRT(PI())/2*ERFC(SQRT(LN(Simulations!$BG23/IF(Simulations!$J23="",1000,Simulations!$J23))))),PI()*IF(Simulations!$T23="",200,Simulations!$T23)^2/2*(LN(Simulations!$BG23/IF(Simulations!$J23="",1000,Simulations!$J23))+1))))</f>
        <v>0</v>
      </c>
      <c r="I23" s="0" t="n">
        <f aca="false">IF(OR(NOT(AND(Simulations!$A23&lt;&gt;"",OR(Simulations!$BD23&lt;&gt;"",N(Simulations!$BF23)&gt;0))),N(Simulations!$BH23)&lt;=0,N(Simulations!$BF23)&lt;=0,2&gt;N(IF(Simulations!$O23="",1,Simulations!$O23))),0,IF(Simulations!$BH23&lt;IF(Simulations!$J23="",1000,Simulations!$J23),Simulations!$BF23/(IF(Simulations!$G23="",5000,Simulations!$G23)*IF(Simulations!$H23="",5000,Simulations!$H23)*IF(IF(Simulations!$I23="",5000,Simulations!$I23)&gt;0,IF(Simulations!$I23="",5000,Simulations!$I23),1))*Simulations!$BH23*(PI()/2*IF(Simulations!$U23="",200,Simulations!$U23)^2*IF(IF(Simulations!$I23="",5000,Simulations!$I23)&gt;0,SQRT(PI()/2)*IF(Simulations!$X23="",1000,Simulations!$X23),1)),Simulations!$BF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U23="",200,Simulations!$U23)^2*IF(Simulations!$X23="",1000,Simulations!$X23)/2^1.5*(2/3*LN(Simulations!$BH23/IF(Simulations!$J23="",1000,Simulations!$J23))^1.5+SQRT(LN(Simulations!$BH23/IF(Simulations!$J23="",1000,Simulations!$J23)))+Simulations!$BH23/IF(Simulations!$J23="",1000,Simulations!$J23)*SQRT(PI())/2*ERFC(SQRT(LN(Simulations!$BH23/IF(Simulations!$J23="",1000,Simulations!$J23))))),PI()*IF(Simulations!$U23="",200,Simulations!$U23)^2/2*(LN(Simulations!$BH23/IF(Simulations!$J23="",1000,Simulations!$J23))+1))))</f>
        <v>0</v>
      </c>
      <c r="J23" s="0" t="n">
        <f aca="false">IF(OR(NOT(AND(Simulations!$A23&lt;&gt;"",OR(Simulations!$BD23&lt;&gt;"",N(Simulations!$BF23)&gt;0))),N(Simulations!$BI23)&lt;=0,N(Simulations!$BF23)&lt;=0,3&gt;N(IF(Simulations!$O23="",1,Simulations!$O23))),0,IF(Simulations!$BI23&lt;IF(Simulations!$J23="",1000,Simulations!$J23),Simulations!$BF23/(IF(Simulations!$G23="",5000,Simulations!$G23)*IF(Simulations!$H23="",5000,Simulations!$H23)*IF(IF(Simulations!$I23="",5000,Simulations!$I23)&gt;0,IF(Simulations!$I23="",5000,Simulations!$I23),1))*Simulations!$BI23*(PI()/2*IF(Simulations!$V23="",200,Simulations!$V23)^2*IF(IF(Simulations!$I23="",5000,Simulations!$I23)&gt;0,SQRT(PI()/2)*IF(Simulations!$Y23="",1000,Simulations!$Y23),1)),Simulations!$BF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V23="",200,Simulations!$V23)^2*IF(Simulations!$Y23="",1000,Simulations!$Y23)/2^1.5*(2/3*LN(Simulations!$BI23/IF(Simulations!$J23="",1000,Simulations!$J23))^1.5+SQRT(LN(Simulations!$BI23/IF(Simulations!$J23="",1000,Simulations!$J23)))+Simulations!$BI23/IF(Simulations!$J23="",1000,Simulations!$J23)*SQRT(PI())/2*ERFC(SQRT(LN(Simulations!$BI23/IF(Simulations!$J23="",1000,Simulations!$J23))))),PI()*IF(Simulations!$V23="",200,Simulations!$V23)^2/2*(LN(Simulations!$BI23/IF(Simulations!$J23="",1000,Simulations!$J23))+1))))</f>
        <v>0</v>
      </c>
      <c r="K23" s="0" t="n">
        <f aca="false">IF(NOT(AND(Simulations!$A23&lt;&gt;"",OR(Simulations!$BD23&lt;&gt;"",N(Simulations!$BF23)&gt;0))),0,MAX(N(Simulations!$BG23),N(Simulations!$BH23),N(Simulations!$BI23))/IF(Simulations!$J23="",1000,Simulations!$J23))</f>
        <v>0</v>
      </c>
      <c r="L23" s="0" t="n">
        <f aca="false">IF(OR(NOT(AND(Simulations!$A23&lt;&gt;"",OR(Simulations!$BD23&lt;&gt;"",N(Simulations!$BF23)&gt;0))),N(Simulations!$BE23)&lt;=0),0,SQRT(2*Simulations!$BE23*1000000/(IF(Simulations!$J23="",1000,Simulations!$J23)*1000))/MIN(IF(Simulations!$T23="",200,Simulations!$T23),IF(Simulations!$U23="",200,Simulations!$U23),IF(Simulations!$V23="",200,Simulations!$V23)))</f>
        <v>0</v>
      </c>
      <c r="M23" s="0" t="n">
        <f aca="false">IF(AND(Simulations!$A23&lt;&gt;"",OR(Simulations!$BD23&lt;&gt;"",N(Simulations!$BF23)&gt;0)),1,0)</f>
        <v>0</v>
      </c>
      <c r="N23" s="0" t="n">
        <f aca="false">IF(OR(NOT(AND(Simulations!$A23&lt;&gt;"",OR(Simulations!$BV23&lt;&gt;"",N(Simulations!$BX23)&gt;0))),N(Simulations!$BY23)&lt;=0,N(Simulations!$BX23)&lt;=0,1&gt;N(IF(Simulations!$O23="",1,Simulations!$O23))),0,IF(Simulations!$BY23&lt;IF(Simulations!$J23="",1000,Simulations!$J23),Simulations!$BX23/(IF(Simulations!$G23="",5000,Simulations!$G23)*IF(Simulations!$H23="",5000,Simulations!$H23)*IF(IF(Simulations!$I23="",5000,Simulations!$I23)&gt;0,IF(Simulations!$I23="",5000,Simulations!$I23),1))*Simulations!$BY23*(PI()/2*IF(Simulations!$T23="",200,Simulations!$T23)^2*IF(IF(Simulations!$I23="",5000,Simulations!$I23)&gt;0,SQRT(PI()/2)*IF(Simulations!$W23="",1000,Simulations!$W23),1)),Simulations!$BX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T23="",200,Simulations!$T23)^2*IF(Simulations!$W23="",1000,Simulations!$W23)/2^1.5*(2/3*LN(Simulations!$BY23/IF(Simulations!$J23="",1000,Simulations!$J23))^1.5+SQRT(LN(Simulations!$BY23/IF(Simulations!$J23="",1000,Simulations!$J23)))+Simulations!$BY23/IF(Simulations!$J23="",1000,Simulations!$J23)*SQRT(PI())/2*ERFC(SQRT(LN(Simulations!$BY23/IF(Simulations!$J23="",1000,Simulations!$J23))))),PI()*IF(Simulations!$T23="",200,Simulations!$T23)^2/2*(LN(Simulations!$BY23/IF(Simulations!$J23="",1000,Simulations!$J23))+1))))</f>
        <v>0</v>
      </c>
      <c r="O23" s="0" t="n">
        <f aca="false">IF(OR(NOT(AND(Simulations!$A23&lt;&gt;"",OR(Simulations!$BV23&lt;&gt;"",N(Simulations!$BX23)&gt;0))),N(Simulations!$BZ23)&lt;=0,N(Simulations!$BX23)&lt;=0,2&gt;N(IF(Simulations!$O23="",1,Simulations!$O23))),0,IF(Simulations!$BZ23&lt;IF(Simulations!$J23="",1000,Simulations!$J23),Simulations!$BX23/(IF(Simulations!$G23="",5000,Simulations!$G23)*IF(Simulations!$H23="",5000,Simulations!$H23)*IF(IF(Simulations!$I23="",5000,Simulations!$I23)&gt;0,IF(Simulations!$I23="",5000,Simulations!$I23),1))*Simulations!$BZ23*(PI()/2*IF(Simulations!$U23="",200,Simulations!$U23)^2*IF(IF(Simulations!$I23="",5000,Simulations!$I23)&gt;0,SQRT(PI()/2)*IF(Simulations!$X23="",1000,Simulations!$X23),1)),Simulations!$BX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U23="",200,Simulations!$U23)^2*IF(Simulations!$X23="",1000,Simulations!$X23)/2^1.5*(2/3*LN(Simulations!$BZ23/IF(Simulations!$J23="",1000,Simulations!$J23))^1.5+SQRT(LN(Simulations!$BZ23/IF(Simulations!$J23="",1000,Simulations!$J23)))+Simulations!$BZ23/IF(Simulations!$J23="",1000,Simulations!$J23)*SQRT(PI())/2*ERFC(SQRT(LN(Simulations!$BZ23/IF(Simulations!$J23="",1000,Simulations!$J23))))),PI()*IF(Simulations!$U23="",200,Simulations!$U23)^2/2*(LN(Simulations!$BZ23/IF(Simulations!$J23="",1000,Simulations!$J23))+1))))</f>
        <v>0</v>
      </c>
      <c r="P23" s="0" t="n">
        <f aca="false">IF(OR(NOT(AND(Simulations!$A23&lt;&gt;"",OR(Simulations!$BV23&lt;&gt;"",N(Simulations!$BX23)&gt;0))),N(Simulations!$CA23)&lt;=0,N(Simulations!$BX23)&lt;=0,3&gt;N(IF(Simulations!$O23="",1,Simulations!$O23))),0,IF(Simulations!$CA23&lt;IF(Simulations!$J23="",1000,Simulations!$J23),Simulations!$BX23/(IF(Simulations!$G23="",5000,Simulations!$G23)*IF(Simulations!$H23="",5000,Simulations!$H23)*IF(IF(Simulations!$I23="",5000,Simulations!$I23)&gt;0,IF(Simulations!$I23="",5000,Simulations!$I23),1))*Simulations!$CA23*(PI()/2*IF(Simulations!$V23="",200,Simulations!$V23)^2*IF(IF(Simulations!$I23="",5000,Simulations!$I23)&gt;0,SQRT(PI()/2)*IF(Simulations!$Y23="",1000,Simulations!$Y23),1)),Simulations!$BX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V23="",200,Simulations!$V23)^2*IF(Simulations!$Y23="",1000,Simulations!$Y23)/2^1.5*(2/3*LN(Simulations!$CA23/IF(Simulations!$J23="",1000,Simulations!$J23))^1.5+SQRT(LN(Simulations!$CA23/IF(Simulations!$J23="",1000,Simulations!$J23)))+Simulations!$CA23/IF(Simulations!$J23="",1000,Simulations!$J23)*SQRT(PI())/2*ERFC(SQRT(LN(Simulations!$CA23/IF(Simulations!$J23="",1000,Simulations!$J23))))),PI()*IF(Simulations!$V23="",200,Simulations!$V23)^2/2*(LN(Simulations!$CA23/IF(Simulations!$J23="",1000,Simulations!$J23))+1))))</f>
        <v>0</v>
      </c>
      <c r="Q23" s="0" t="n">
        <f aca="false">IF(NOT(AND(Simulations!$A23&lt;&gt;"",OR(Simulations!$BV23&lt;&gt;"",N(Simulations!$BX23)&gt;0))),0,MAX(N(Simulations!$BY23),N(Simulations!$BZ23),N(Simulations!$CA23))/IF(Simulations!$J23="",1000,Simulations!$J23))</f>
        <v>0</v>
      </c>
      <c r="R23" s="0" t="n">
        <f aca="false">IF(OR(NOT(AND(Simulations!$A23&lt;&gt;"",OR(Simulations!$BV23&lt;&gt;"",N(Simulations!$BX23)&gt;0))),N(Simulations!$BW23)&lt;=0),0,SQRT(2*Simulations!$BW23*1000000/(IF(Simulations!$J23="",1000,Simulations!$J23)*1000))/MIN(IF(Simulations!$T23="",200,Simulations!$T23),IF(Simulations!$U23="",200,Simulations!$U23),IF(Simulations!$V23="",200,Simulations!$V23)))</f>
        <v>0</v>
      </c>
      <c r="S23" s="0" t="n">
        <f aca="false">IF(AND(Simulations!$A23&lt;&gt;"",OR(Simulations!$BV23&lt;&gt;"",N(Simulations!$BX23)&gt;0)),1,0)</f>
        <v>0</v>
      </c>
      <c r="T23" s="0" t="n">
        <f aca="false">IF(OR(NOT(AND(Simulations!$A23&lt;&gt;"",OR(Simulations!$CN23&lt;&gt;"",N(Simulations!$CP23)&gt;0))),N(Simulations!$CQ23)&lt;=0,N(Simulations!$CP23)&lt;=0,1&gt;N(IF(Simulations!$O23="",1,Simulations!$O23))),0,IF(Simulations!$CQ23&lt;IF(Simulations!$J23="",1000,Simulations!$J23),Simulations!$CP23/(IF(Simulations!$G23="",5000,Simulations!$G23)*IF(Simulations!$H23="",5000,Simulations!$H23)*IF(IF(Simulations!$I23="",5000,Simulations!$I23)&gt;0,IF(Simulations!$I23="",5000,Simulations!$I23),1))*Simulations!$CQ23*(PI()/2*IF(Simulations!$T23="",200,Simulations!$T23)^2*IF(IF(Simulations!$I23="",5000,Simulations!$I23)&gt;0,SQRT(PI()/2)*IF(Simulations!$W23="",1000,Simulations!$W23),1)),Simulations!$CP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T23="",200,Simulations!$T23)^2*IF(Simulations!$W23="",1000,Simulations!$W23)/2^1.5*(2/3*LN(Simulations!$CQ23/IF(Simulations!$J23="",1000,Simulations!$J23))^1.5+SQRT(LN(Simulations!$CQ23/IF(Simulations!$J23="",1000,Simulations!$J23)))+Simulations!$CQ23/IF(Simulations!$J23="",1000,Simulations!$J23)*SQRT(PI())/2*ERFC(SQRT(LN(Simulations!$CQ23/IF(Simulations!$J23="",1000,Simulations!$J23))))),PI()*IF(Simulations!$T23="",200,Simulations!$T23)^2/2*(LN(Simulations!$CQ23/IF(Simulations!$J23="",1000,Simulations!$J23))+1))))</f>
        <v>0</v>
      </c>
      <c r="U23" s="0" t="n">
        <f aca="false">IF(OR(NOT(AND(Simulations!$A23&lt;&gt;"",OR(Simulations!$CN23&lt;&gt;"",N(Simulations!$CP23)&gt;0))),N(Simulations!$CR23)&lt;=0,N(Simulations!$CP23)&lt;=0,2&gt;N(IF(Simulations!$O23="",1,Simulations!$O23))),0,IF(Simulations!$CR23&lt;IF(Simulations!$J23="",1000,Simulations!$J23),Simulations!$CP23/(IF(Simulations!$G23="",5000,Simulations!$G23)*IF(Simulations!$H23="",5000,Simulations!$H23)*IF(IF(Simulations!$I23="",5000,Simulations!$I23)&gt;0,IF(Simulations!$I23="",5000,Simulations!$I23),1))*Simulations!$CR23*(PI()/2*IF(Simulations!$U23="",200,Simulations!$U23)^2*IF(IF(Simulations!$I23="",5000,Simulations!$I23)&gt;0,SQRT(PI()/2)*IF(Simulations!$X23="",1000,Simulations!$X23),1)),Simulations!$CP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U23="",200,Simulations!$U23)^2*IF(Simulations!$X23="",1000,Simulations!$X23)/2^1.5*(2/3*LN(Simulations!$CR23/IF(Simulations!$J23="",1000,Simulations!$J23))^1.5+SQRT(LN(Simulations!$CR23/IF(Simulations!$J23="",1000,Simulations!$J23)))+Simulations!$CR23/IF(Simulations!$J23="",1000,Simulations!$J23)*SQRT(PI())/2*ERFC(SQRT(LN(Simulations!$CR23/IF(Simulations!$J23="",1000,Simulations!$J23))))),PI()*IF(Simulations!$U23="",200,Simulations!$U23)^2/2*(LN(Simulations!$CR23/IF(Simulations!$J23="",1000,Simulations!$J23))+1))))</f>
        <v>0</v>
      </c>
      <c r="V23" s="0" t="n">
        <f aca="false">IF(OR(NOT(AND(Simulations!$A23&lt;&gt;"",OR(Simulations!$CN23&lt;&gt;"",N(Simulations!$CP23)&gt;0))),N(Simulations!$CS23)&lt;=0,N(Simulations!$CP23)&lt;=0,3&gt;N(IF(Simulations!$O23="",1,Simulations!$O23))),0,IF(Simulations!$CS23&lt;IF(Simulations!$J23="",1000,Simulations!$J23),Simulations!$CP23/(IF(Simulations!$G23="",5000,Simulations!$G23)*IF(Simulations!$H23="",5000,Simulations!$H23)*IF(IF(Simulations!$I23="",5000,Simulations!$I23)&gt;0,IF(Simulations!$I23="",5000,Simulations!$I23),1))*Simulations!$CS23*(PI()/2*IF(Simulations!$V23="",200,Simulations!$V23)^2*IF(IF(Simulations!$I23="",5000,Simulations!$I23)&gt;0,SQRT(PI()/2)*IF(Simulations!$Y23="",1000,Simulations!$Y23),1)),Simulations!$CP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V23="",200,Simulations!$V23)^2*IF(Simulations!$Y23="",1000,Simulations!$Y23)/2^1.5*(2/3*LN(Simulations!$CS23/IF(Simulations!$J23="",1000,Simulations!$J23))^1.5+SQRT(LN(Simulations!$CS23/IF(Simulations!$J23="",1000,Simulations!$J23)))+Simulations!$CS23/IF(Simulations!$J23="",1000,Simulations!$J23)*SQRT(PI())/2*ERFC(SQRT(LN(Simulations!$CS23/IF(Simulations!$J23="",1000,Simulations!$J23))))),PI()*IF(Simulations!$V23="",200,Simulations!$V23)^2/2*(LN(Simulations!$CS23/IF(Simulations!$J23="",1000,Simulations!$J23))+1))))</f>
        <v>0</v>
      </c>
      <c r="W23" s="0" t="n">
        <f aca="false">IF(NOT(AND(Simulations!$A23&lt;&gt;"",OR(Simulations!$CN23&lt;&gt;"",N(Simulations!$CP23)&gt;0))),0,MAX(N(Simulations!$CQ23),N(Simulations!$CR23),N(Simulations!$CS23))/IF(Simulations!$J23="",1000,Simulations!$J23))</f>
        <v>0</v>
      </c>
      <c r="X23" s="0" t="n">
        <f aca="false">IF(OR(NOT(AND(Simulations!$A23&lt;&gt;"",OR(Simulations!$CN23&lt;&gt;"",N(Simulations!$CP23)&gt;0))),N(Simulations!$CO23)&lt;=0),0,SQRT(2*Simulations!$CO23*1000000/(IF(Simulations!$J23="",1000,Simulations!$J23)*1000))/MIN(IF(Simulations!$T23="",200,Simulations!$T23),IF(Simulations!$U23="",200,Simulations!$U23),IF(Simulations!$V23="",200,Simulations!$V23)))</f>
        <v>0</v>
      </c>
      <c r="Y23" s="0" t="n">
        <f aca="false">IF(AND(Simulations!$A23&lt;&gt;"",OR(Simulations!$CN23&lt;&gt;"",N(Simulations!$CP23)&gt;0)),1,0)</f>
        <v>0</v>
      </c>
      <c r="Z23" s="0" t="n">
        <f aca="false">IF(OR(NOT(AND(Simulations!$A23&lt;&gt;"",OR(Simulations!$DF23&lt;&gt;"",N(Simulations!$DH23)&gt;0))),N(Simulations!$DI23)&lt;=0,N(Simulations!$DH23)&lt;=0,1&gt;N(IF(Simulations!$O23="",1,Simulations!$O23))),0,IF(Simulations!$DI23&lt;IF(Simulations!$J23="",1000,Simulations!$J23),Simulations!$DH23/(IF(Simulations!$G23="",5000,Simulations!$G23)*IF(Simulations!$H23="",5000,Simulations!$H23)*IF(IF(Simulations!$I23="",5000,Simulations!$I23)&gt;0,IF(Simulations!$I23="",5000,Simulations!$I23),1))*Simulations!$DI23*(PI()/2*IF(Simulations!$T23="",200,Simulations!$T23)^2*IF(IF(Simulations!$I23="",5000,Simulations!$I23)&gt;0,SQRT(PI()/2)*IF(Simulations!$W23="",1000,Simulations!$W23),1)),Simulations!$DH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T23="",200,Simulations!$T23)^2*IF(Simulations!$W23="",1000,Simulations!$W23)/2^1.5*(2/3*LN(Simulations!$DI23/IF(Simulations!$J23="",1000,Simulations!$J23))^1.5+SQRT(LN(Simulations!$DI23/IF(Simulations!$J23="",1000,Simulations!$J23)))+Simulations!$DI23/IF(Simulations!$J23="",1000,Simulations!$J23)*SQRT(PI())/2*ERFC(SQRT(LN(Simulations!$DI23/IF(Simulations!$J23="",1000,Simulations!$J23))))),PI()*IF(Simulations!$T23="",200,Simulations!$T23)^2/2*(LN(Simulations!$DI23/IF(Simulations!$J23="",1000,Simulations!$J23))+1))))</f>
        <v>0</v>
      </c>
      <c r="AA23" s="0" t="n">
        <f aca="false">IF(OR(NOT(AND(Simulations!$A23&lt;&gt;"",OR(Simulations!$DF23&lt;&gt;"",N(Simulations!$DH23)&gt;0))),N(Simulations!$DJ23)&lt;=0,N(Simulations!$DH23)&lt;=0,2&gt;N(IF(Simulations!$O23="",1,Simulations!$O23))),0,IF(Simulations!$DJ23&lt;IF(Simulations!$J23="",1000,Simulations!$J23),Simulations!$DH23/(IF(Simulations!$G23="",5000,Simulations!$G23)*IF(Simulations!$H23="",5000,Simulations!$H23)*IF(IF(Simulations!$I23="",5000,Simulations!$I23)&gt;0,IF(Simulations!$I23="",5000,Simulations!$I23),1))*Simulations!$DJ23*(PI()/2*IF(Simulations!$U23="",200,Simulations!$U23)^2*IF(IF(Simulations!$I23="",5000,Simulations!$I23)&gt;0,SQRT(PI()/2)*IF(Simulations!$X23="",1000,Simulations!$X23),1)),Simulations!$DH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U23="",200,Simulations!$U23)^2*IF(Simulations!$X23="",1000,Simulations!$X23)/2^1.5*(2/3*LN(Simulations!$DJ23/IF(Simulations!$J23="",1000,Simulations!$J23))^1.5+SQRT(LN(Simulations!$DJ23/IF(Simulations!$J23="",1000,Simulations!$J23)))+Simulations!$DJ23/IF(Simulations!$J23="",1000,Simulations!$J23)*SQRT(PI())/2*ERFC(SQRT(LN(Simulations!$DJ23/IF(Simulations!$J23="",1000,Simulations!$J23))))),PI()*IF(Simulations!$U23="",200,Simulations!$U23)^2/2*(LN(Simulations!$DJ23/IF(Simulations!$J23="",1000,Simulations!$J23))+1))))</f>
        <v>0</v>
      </c>
      <c r="AB23" s="0" t="n">
        <f aca="false">IF(OR(NOT(AND(Simulations!$A23&lt;&gt;"",OR(Simulations!$DF23&lt;&gt;"",N(Simulations!$DH23)&gt;0))),N(Simulations!$DK23)&lt;=0,N(Simulations!$DH23)&lt;=0,3&gt;N(IF(Simulations!$O23="",1,Simulations!$O23))),0,IF(Simulations!$DK23&lt;IF(Simulations!$J23="",1000,Simulations!$J23),Simulations!$DH23/(IF(Simulations!$G23="",5000,Simulations!$G23)*IF(Simulations!$H23="",5000,Simulations!$H23)*IF(IF(Simulations!$I23="",5000,Simulations!$I23)&gt;0,IF(Simulations!$I23="",5000,Simulations!$I23),1))*Simulations!$DK23*(PI()/2*IF(Simulations!$V23="",200,Simulations!$V23)^2*IF(IF(Simulations!$I23="",5000,Simulations!$I23)&gt;0,SQRT(PI()/2)*IF(Simulations!$Y23="",1000,Simulations!$Y23),1)),Simulations!$DH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V23="",200,Simulations!$V23)^2*IF(Simulations!$Y23="",1000,Simulations!$Y23)/2^1.5*(2/3*LN(Simulations!$DK23/IF(Simulations!$J23="",1000,Simulations!$J23))^1.5+SQRT(LN(Simulations!$DK23/IF(Simulations!$J23="",1000,Simulations!$J23)))+Simulations!$DK23/IF(Simulations!$J23="",1000,Simulations!$J23)*SQRT(PI())/2*ERFC(SQRT(LN(Simulations!$DK23/IF(Simulations!$J23="",1000,Simulations!$J23))))),PI()*IF(Simulations!$V23="",200,Simulations!$V23)^2/2*(LN(Simulations!$DK23/IF(Simulations!$J23="",1000,Simulations!$J23))+1))))</f>
        <v>0</v>
      </c>
      <c r="AC23" s="0" t="n">
        <f aca="false">IF(NOT(AND(Simulations!$A23&lt;&gt;"",OR(Simulations!$DF23&lt;&gt;"",N(Simulations!$DH23)&gt;0))),0,MAX(N(Simulations!$DI23),N(Simulations!$DJ23),N(Simulations!$DK23))/IF(Simulations!$J23="",1000,Simulations!$J23))</f>
        <v>0</v>
      </c>
      <c r="AD23" s="0" t="n">
        <f aca="false">IF(OR(NOT(AND(Simulations!$A23&lt;&gt;"",OR(Simulations!$DF23&lt;&gt;"",N(Simulations!$DH23)&gt;0))),N(Simulations!$DG23)&lt;=0),0,SQRT(2*Simulations!$DG23*1000000/(IF(Simulations!$J23="",1000,Simulations!$J23)*1000))/MIN(IF(Simulations!$T23="",200,Simulations!$T23),IF(Simulations!$U23="",200,Simulations!$U23),IF(Simulations!$V23="",200,Simulations!$V23)))</f>
        <v>0</v>
      </c>
      <c r="AE23" s="0" t="n">
        <f aca="false">IF(AND(Simulations!$A23&lt;&gt;"",OR(Simulations!$DF23&lt;&gt;"",N(Simulations!$DH23)&gt;0)),1,0)</f>
        <v>0</v>
      </c>
      <c r="AF23" s="0" t="n">
        <f aca="false">IF(OR(NOT(AND(Simulations!$A23&lt;&gt;"",OR(Simulations!$DX23&lt;&gt;"",N(Simulations!$DZ23)&gt;0))),N(Simulations!$EA23)&lt;=0,N(Simulations!$DZ23)&lt;=0,1&gt;N(IF(Simulations!$O23="",1,Simulations!$O23))),0,IF(Simulations!$EA23&lt;IF(Simulations!$J23="",1000,Simulations!$J23),Simulations!$DZ23/(IF(Simulations!$G23="",5000,Simulations!$G23)*IF(Simulations!$H23="",5000,Simulations!$H23)*IF(IF(Simulations!$I23="",5000,Simulations!$I23)&gt;0,IF(Simulations!$I23="",5000,Simulations!$I23),1))*Simulations!$EA23*(PI()/2*IF(Simulations!$T23="",200,Simulations!$T23)^2*IF(IF(Simulations!$I23="",5000,Simulations!$I23)&gt;0,SQRT(PI()/2)*IF(Simulations!$W23="",1000,Simulations!$W23),1)),Simulations!$DZ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T23="",200,Simulations!$T23)^2*IF(Simulations!$W23="",1000,Simulations!$W23)/2^1.5*(2/3*LN(Simulations!$EA23/IF(Simulations!$J23="",1000,Simulations!$J23))^1.5+SQRT(LN(Simulations!$EA23/IF(Simulations!$J23="",1000,Simulations!$J23)))+Simulations!$EA23/IF(Simulations!$J23="",1000,Simulations!$J23)*SQRT(PI())/2*ERFC(SQRT(LN(Simulations!$EA23/IF(Simulations!$J23="",1000,Simulations!$J23))))),PI()*IF(Simulations!$T23="",200,Simulations!$T23)^2/2*(LN(Simulations!$EA23/IF(Simulations!$J23="",1000,Simulations!$J23))+1))))</f>
        <v>0</v>
      </c>
      <c r="AG23" s="0" t="n">
        <f aca="false">IF(OR(NOT(AND(Simulations!$A23&lt;&gt;"",OR(Simulations!$DX23&lt;&gt;"",N(Simulations!$DZ23)&gt;0))),N(Simulations!$EB23)&lt;=0,N(Simulations!$DZ23)&lt;=0,2&gt;N(IF(Simulations!$O23="",1,Simulations!$O23))),0,IF(Simulations!$EB23&lt;IF(Simulations!$J23="",1000,Simulations!$J23),Simulations!$DZ23/(IF(Simulations!$G23="",5000,Simulations!$G23)*IF(Simulations!$H23="",5000,Simulations!$H23)*IF(IF(Simulations!$I23="",5000,Simulations!$I23)&gt;0,IF(Simulations!$I23="",5000,Simulations!$I23),1))*Simulations!$EB23*(PI()/2*IF(Simulations!$U23="",200,Simulations!$U23)^2*IF(IF(Simulations!$I23="",5000,Simulations!$I23)&gt;0,SQRT(PI()/2)*IF(Simulations!$X23="",1000,Simulations!$X23),1)),Simulations!$DZ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U23="",200,Simulations!$U23)^2*IF(Simulations!$X23="",1000,Simulations!$X23)/2^1.5*(2/3*LN(Simulations!$EB23/IF(Simulations!$J23="",1000,Simulations!$J23))^1.5+SQRT(LN(Simulations!$EB23/IF(Simulations!$J23="",1000,Simulations!$J23)))+Simulations!$EB23/IF(Simulations!$J23="",1000,Simulations!$J23)*SQRT(PI())/2*ERFC(SQRT(LN(Simulations!$EB23/IF(Simulations!$J23="",1000,Simulations!$J23))))),PI()*IF(Simulations!$U23="",200,Simulations!$U23)^2/2*(LN(Simulations!$EB23/IF(Simulations!$J23="",1000,Simulations!$J23))+1))))</f>
        <v>0</v>
      </c>
      <c r="AH23" s="0" t="n">
        <f aca="false">IF(OR(NOT(AND(Simulations!$A23&lt;&gt;"",OR(Simulations!$DX23&lt;&gt;"",N(Simulations!$DZ23)&gt;0))),N(Simulations!$EC23)&lt;=0,N(Simulations!$DZ23)&lt;=0,3&gt;N(IF(Simulations!$O23="",1,Simulations!$O23))),0,IF(Simulations!$EC23&lt;IF(Simulations!$J23="",1000,Simulations!$J23),Simulations!$DZ23/(IF(Simulations!$G23="",5000,Simulations!$G23)*IF(Simulations!$H23="",5000,Simulations!$H23)*IF(IF(Simulations!$I23="",5000,Simulations!$I23)&gt;0,IF(Simulations!$I23="",5000,Simulations!$I23),1))*Simulations!$EC23*(PI()/2*IF(Simulations!$V23="",200,Simulations!$V23)^2*IF(IF(Simulations!$I23="",5000,Simulations!$I23)&gt;0,SQRT(PI()/2)*IF(Simulations!$Y23="",1000,Simulations!$Y23),1)),Simulations!$DZ23/(IF(Simulations!$G23="",5000,Simulations!$G23)*IF(Simulations!$H23="",5000,Simulations!$H23)*IF(IF(Simulations!$I23="",5000,Simulations!$I23)&gt;0,IF(Simulations!$I23="",5000,Simulations!$I23),1))*IF(Simulations!$J23="",1000,Simulations!$J23)*IF(IF(Simulations!$I23="",5000,Simulations!$I23)&gt;0,2*PI()*IF(Simulations!$V23="",200,Simulations!$V23)^2*IF(Simulations!$Y23="",1000,Simulations!$Y23)/2^1.5*(2/3*LN(Simulations!$EC23/IF(Simulations!$J23="",1000,Simulations!$J23))^1.5+SQRT(LN(Simulations!$EC23/IF(Simulations!$J23="",1000,Simulations!$J23)))+Simulations!$EC23/IF(Simulations!$J23="",1000,Simulations!$J23)*SQRT(PI())/2*ERFC(SQRT(LN(Simulations!$EC23/IF(Simulations!$J23="",1000,Simulations!$J23))))),PI()*IF(Simulations!$V23="",200,Simulations!$V23)^2/2*(LN(Simulations!$EC23/IF(Simulations!$J23="",1000,Simulations!$J23))+1))))</f>
        <v>0</v>
      </c>
      <c r="AI23" s="0" t="n">
        <f aca="false">IF(NOT(AND(Simulations!$A23&lt;&gt;"",OR(Simulations!$DX23&lt;&gt;"",N(Simulations!$DZ23)&gt;0))),0,MAX(N(Simulations!$EA23),N(Simulations!$EB23),N(Simulations!$EC23))/IF(Simulations!$J23="",1000,Simulations!$J23))</f>
        <v>0</v>
      </c>
      <c r="AJ23" s="0" t="n">
        <f aca="false">IF(OR(NOT(AND(Simulations!$A23&lt;&gt;"",OR(Simulations!$DX23&lt;&gt;"",N(Simulations!$DZ23)&gt;0))),N(Simulations!$DY23)&lt;=0),0,SQRT(2*Simulations!$DY23*1000000/(IF(Simulations!$J23="",1000,Simulations!$J23)*1000))/MIN(IF(Simulations!$T23="",200,Simulations!$T23),IF(Simulations!$U23="",200,Simulations!$U23),IF(Simulations!$V23="",200,Simulations!$V23)))</f>
        <v>0</v>
      </c>
      <c r="AK23" s="0" t="n">
        <f aca="false">IF(AND(Simulations!$A23&lt;&gt;"",OR(Simulations!$DX23&lt;&gt;"",N(Simulations!$DZ23)&gt;0)),1,0)</f>
        <v>0</v>
      </c>
    </row>
    <row r="24" customFormat="false" ht="15" hidden="false" customHeight="false" outlineLevel="0" collapsed="false">
      <c r="B24" s="0" t="n">
        <f aca="false">IF(OR(NOT(AND(Simulations!$A24&lt;&gt;"",OR(Simulations!$AL24&lt;&gt;"",N(Simulations!$AN24)&gt;0))),N(Simulations!$AO24)&lt;=0,N(Simulations!$AN24)&lt;=0,1&gt;N(IF(Simulations!$O24="",1,Simulations!$O24))),0,IF(Simulations!$AO24&lt;IF(Simulations!$J24="",1000,Simulations!$J24),Simulations!$AN24/(IF(Simulations!$G24="",5000,Simulations!$G24)*IF(Simulations!$H24="",5000,Simulations!$H24)*IF(IF(Simulations!$I24="",5000,Simulations!$I24)&gt;0,IF(Simulations!$I24="",5000,Simulations!$I24),1))*Simulations!$AO24*(PI()/2*IF(Simulations!$T24="",200,Simulations!$T24)^2*IF(IF(Simulations!$I24="",5000,Simulations!$I24)&gt;0,SQRT(PI()/2)*IF(Simulations!$W24="",1000,Simulations!$W24),1)),Simulations!$AN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T24="",200,Simulations!$T24)^2*IF(Simulations!$W24="",1000,Simulations!$W24)/2^1.5*(2/3*LN(Simulations!$AO24/IF(Simulations!$J24="",1000,Simulations!$J24))^1.5+SQRT(LN(Simulations!$AO24/IF(Simulations!$J24="",1000,Simulations!$J24)))+Simulations!$AO24/IF(Simulations!$J24="",1000,Simulations!$J24)*SQRT(PI())/2*ERFC(SQRT(LN(Simulations!$AO24/IF(Simulations!$J24="",1000,Simulations!$J24))))),PI()*IF(Simulations!$T24="",200,Simulations!$T24)^2/2*(LN(Simulations!$AO24/IF(Simulations!$J24="",1000,Simulations!$J24))+1))))</f>
        <v>0</v>
      </c>
      <c r="C24" s="0" t="n">
        <f aca="false">IF(OR(NOT(AND(Simulations!$A24&lt;&gt;"",OR(Simulations!$AL24&lt;&gt;"",N(Simulations!$AN24)&gt;0))),N(Simulations!$AP24)&lt;=0,N(Simulations!$AN24)&lt;=0,2&gt;N(IF(Simulations!$O24="",1,Simulations!$O24))),0,IF(Simulations!$AP24&lt;IF(Simulations!$J24="",1000,Simulations!$J24),Simulations!$AN24/(IF(Simulations!$G24="",5000,Simulations!$G24)*IF(Simulations!$H24="",5000,Simulations!$H24)*IF(IF(Simulations!$I24="",5000,Simulations!$I24)&gt;0,IF(Simulations!$I24="",5000,Simulations!$I24),1))*Simulations!$AP24*(PI()/2*IF(Simulations!$U24="",200,Simulations!$U24)^2*IF(IF(Simulations!$I24="",5000,Simulations!$I24)&gt;0,SQRT(PI()/2)*IF(Simulations!$X24="",1000,Simulations!$X24),1)),Simulations!$AN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U24="",200,Simulations!$U24)^2*IF(Simulations!$X24="",1000,Simulations!$X24)/2^1.5*(2/3*LN(Simulations!$AP24/IF(Simulations!$J24="",1000,Simulations!$J24))^1.5+SQRT(LN(Simulations!$AP24/IF(Simulations!$J24="",1000,Simulations!$J24)))+Simulations!$AP24/IF(Simulations!$J24="",1000,Simulations!$J24)*SQRT(PI())/2*ERFC(SQRT(LN(Simulations!$AP24/IF(Simulations!$J24="",1000,Simulations!$J24))))),PI()*IF(Simulations!$U24="",200,Simulations!$U24)^2/2*(LN(Simulations!$AP24/IF(Simulations!$J24="",1000,Simulations!$J24))+1))))</f>
        <v>0</v>
      </c>
      <c r="D24" s="0" t="n">
        <f aca="false">IF(OR(NOT(AND(Simulations!$A24&lt;&gt;"",OR(Simulations!$AL24&lt;&gt;"",N(Simulations!$AN24)&gt;0))),N(Simulations!$AQ24)&lt;=0,N(Simulations!$AN24)&lt;=0,3&gt;N(IF(Simulations!$O24="",1,Simulations!$O24))),0,IF(Simulations!$AQ24&lt;IF(Simulations!$J24="",1000,Simulations!$J24),Simulations!$AN24/(IF(Simulations!$G24="",5000,Simulations!$G24)*IF(Simulations!$H24="",5000,Simulations!$H24)*IF(IF(Simulations!$I24="",5000,Simulations!$I24)&gt;0,IF(Simulations!$I24="",5000,Simulations!$I24),1))*Simulations!$AQ24*(PI()/2*IF(Simulations!$V24="",200,Simulations!$V24)^2*IF(IF(Simulations!$I24="",5000,Simulations!$I24)&gt;0,SQRT(PI()/2)*IF(Simulations!$Y24="",1000,Simulations!$Y24),1)),Simulations!$AN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V24="",200,Simulations!$V24)^2*IF(Simulations!$Y24="",1000,Simulations!$Y24)/2^1.5*(2/3*LN(Simulations!$AQ24/IF(Simulations!$J24="",1000,Simulations!$J24))^1.5+SQRT(LN(Simulations!$AQ24/IF(Simulations!$J24="",1000,Simulations!$J24)))+Simulations!$AQ24/IF(Simulations!$J24="",1000,Simulations!$J24)*SQRT(PI())/2*ERFC(SQRT(LN(Simulations!$AQ24/IF(Simulations!$J24="",1000,Simulations!$J24))))),PI()*IF(Simulations!$V24="",200,Simulations!$V24)^2/2*(LN(Simulations!$AQ24/IF(Simulations!$J24="",1000,Simulations!$J24))+1))))</f>
        <v>0</v>
      </c>
      <c r="E24" s="0" t="n">
        <f aca="false">IF(NOT(AND(Simulations!$A24&lt;&gt;"",OR(Simulations!$AL24&lt;&gt;"",N(Simulations!$AN24)&gt;0))),0,MAX(N(Simulations!$AO24),N(Simulations!$AP24),N(Simulations!$AQ24))/IF(Simulations!$J24="",1000,Simulations!$J24))</f>
        <v>0</v>
      </c>
      <c r="F24" s="0" t="n">
        <f aca="false">IF(OR(NOT(AND(Simulations!$A24&lt;&gt;"",OR(Simulations!$AL24&lt;&gt;"",N(Simulations!$AN24)&gt;0))),N(Simulations!$AM24)&lt;=0),0,SQRT(2*Simulations!$AM24*1000000/(IF(Simulations!$J24="",1000,Simulations!$J24)*1000))/MIN(IF(Simulations!$T24="",200,Simulations!$T24),IF(Simulations!$U24="",200,Simulations!$U24),IF(Simulations!$V24="",200,Simulations!$V24)))</f>
        <v>0</v>
      </c>
      <c r="G24" s="0" t="n">
        <f aca="false">IF(AND(Simulations!$A24&lt;&gt;"",OR(Simulations!$AL24&lt;&gt;"",N(Simulations!$AN24)&gt;0)),1,0)</f>
        <v>0</v>
      </c>
      <c r="H24" s="0" t="n">
        <f aca="false">IF(OR(NOT(AND(Simulations!$A24&lt;&gt;"",OR(Simulations!$BD24&lt;&gt;"",N(Simulations!$BF24)&gt;0))),N(Simulations!$BG24)&lt;=0,N(Simulations!$BF24)&lt;=0,1&gt;N(IF(Simulations!$O24="",1,Simulations!$O24))),0,IF(Simulations!$BG24&lt;IF(Simulations!$J24="",1000,Simulations!$J24),Simulations!$BF24/(IF(Simulations!$G24="",5000,Simulations!$G24)*IF(Simulations!$H24="",5000,Simulations!$H24)*IF(IF(Simulations!$I24="",5000,Simulations!$I24)&gt;0,IF(Simulations!$I24="",5000,Simulations!$I24),1))*Simulations!$BG24*(PI()/2*IF(Simulations!$T24="",200,Simulations!$T24)^2*IF(IF(Simulations!$I24="",5000,Simulations!$I24)&gt;0,SQRT(PI()/2)*IF(Simulations!$W24="",1000,Simulations!$W24),1)),Simulations!$BF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T24="",200,Simulations!$T24)^2*IF(Simulations!$W24="",1000,Simulations!$W24)/2^1.5*(2/3*LN(Simulations!$BG24/IF(Simulations!$J24="",1000,Simulations!$J24))^1.5+SQRT(LN(Simulations!$BG24/IF(Simulations!$J24="",1000,Simulations!$J24)))+Simulations!$BG24/IF(Simulations!$J24="",1000,Simulations!$J24)*SQRT(PI())/2*ERFC(SQRT(LN(Simulations!$BG24/IF(Simulations!$J24="",1000,Simulations!$J24))))),PI()*IF(Simulations!$T24="",200,Simulations!$T24)^2/2*(LN(Simulations!$BG24/IF(Simulations!$J24="",1000,Simulations!$J24))+1))))</f>
        <v>0</v>
      </c>
      <c r="I24" s="0" t="n">
        <f aca="false">IF(OR(NOT(AND(Simulations!$A24&lt;&gt;"",OR(Simulations!$BD24&lt;&gt;"",N(Simulations!$BF24)&gt;0))),N(Simulations!$BH24)&lt;=0,N(Simulations!$BF24)&lt;=0,2&gt;N(IF(Simulations!$O24="",1,Simulations!$O24))),0,IF(Simulations!$BH24&lt;IF(Simulations!$J24="",1000,Simulations!$J24),Simulations!$BF24/(IF(Simulations!$G24="",5000,Simulations!$G24)*IF(Simulations!$H24="",5000,Simulations!$H24)*IF(IF(Simulations!$I24="",5000,Simulations!$I24)&gt;0,IF(Simulations!$I24="",5000,Simulations!$I24),1))*Simulations!$BH24*(PI()/2*IF(Simulations!$U24="",200,Simulations!$U24)^2*IF(IF(Simulations!$I24="",5000,Simulations!$I24)&gt;0,SQRT(PI()/2)*IF(Simulations!$X24="",1000,Simulations!$X24),1)),Simulations!$BF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U24="",200,Simulations!$U24)^2*IF(Simulations!$X24="",1000,Simulations!$X24)/2^1.5*(2/3*LN(Simulations!$BH24/IF(Simulations!$J24="",1000,Simulations!$J24))^1.5+SQRT(LN(Simulations!$BH24/IF(Simulations!$J24="",1000,Simulations!$J24)))+Simulations!$BH24/IF(Simulations!$J24="",1000,Simulations!$J24)*SQRT(PI())/2*ERFC(SQRT(LN(Simulations!$BH24/IF(Simulations!$J24="",1000,Simulations!$J24))))),PI()*IF(Simulations!$U24="",200,Simulations!$U24)^2/2*(LN(Simulations!$BH24/IF(Simulations!$J24="",1000,Simulations!$J24))+1))))</f>
        <v>0</v>
      </c>
      <c r="J24" s="0" t="n">
        <f aca="false">IF(OR(NOT(AND(Simulations!$A24&lt;&gt;"",OR(Simulations!$BD24&lt;&gt;"",N(Simulations!$BF24)&gt;0))),N(Simulations!$BI24)&lt;=0,N(Simulations!$BF24)&lt;=0,3&gt;N(IF(Simulations!$O24="",1,Simulations!$O24))),0,IF(Simulations!$BI24&lt;IF(Simulations!$J24="",1000,Simulations!$J24),Simulations!$BF24/(IF(Simulations!$G24="",5000,Simulations!$G24)*IF(Simulations!$H24="",5000,Simulations!$H24)*IF(IF(Simulations!$I24="",5000,Simulations!$I24)&gt;0,IF(Simulations!$I24="",5000,Simulations!$I24),1))*Simulations!$BI24*(PI()/2*IF(Simulations!$V24="",200,Simulations!$V24)^2*IF(IF(Simulations!$I24="",5000,Simulations!$I24)&gt;0,SQRT(PI()/2)*IF(Simulations!$Y24="",1000,Simulations!$Y24),1)),Simulations!$BF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V24="",200,Simulations!$V24)^2*IF(Simulations!$Y24="",1000,Simulations!$Y24)/2^1.5*(2/3*LN(Simulations!$BI24/IF(Simulations!$J24="",1000,Simulations!$J24))^1.5+SQRT(LN(Simulations!$BI24/IF(Simulations!$J24="",1000,Simulations!$J24)))+Simulations!$BI24/IF(Simulations!$J24="",1000,Simulations!$J24)*SQRT(PI())/2*ERFC(SQRT(LN(Simulations!$BI24/IF(Simulations!$J24="",1000,Simulations!$J24))))),PI()*IF(Simulations!$V24="",200,Simulations!$V24)^2/2*(LN(Simulations!$BI24/IF(Simulations!$J24="",1000,Simulations!$J24))+1))))</f>
        <v>0</v>
      </c>
      <c r="K24" s="0" t="n">
        <f aca="false">IF(NOT(AND(Simulations!$A24&lt;&gt;"",OR(Simulations!$BD24&lt;&gt;"",N(Simulations!$BF24)&gt;0))),0,MAX(N(Simulations!$BG24),N(Simulations!$BH24),N(Simulations!$BI24))/IF(Simulations!$J24="",1000,Simulations!$J24))</f>
        <v>0</v>
      </c>
      <c r="L24" s="0" t="n">
        <f aca="false">IF(OR(NOT(AND(Simulations!$A24&lt;&gt;"",OR(Simulations!$BD24&lt;&gt;"",N(Simulations!$BF24)&gt;0))),N(Simulations!$BE24)&lt;=0),0,SQRT(2*Simulations!$BE24*1000000/(IF(Simulations!$J24="",1000,Simulations!$J24)*1000))/MIN(IF(Simulations!$T24="",200,Simulations!$T24),IF(Simulations!$U24="",200,Simulations!$U24),IF(Simulations!$V24="",200,Simulations!$V24)))</f>
        <v>0</v>
      </c>
      <c r="M24" s="0" t="n">
        <f aca="false">IF(AND(Simulations!$A24&lt;&gt;"",OR(Simulations!$BD24&lt;&gt;"",N(Simulations!$BF24)&gt;0)),1,0)</f>
        <v>0</v>
      </c>
      <c r="N24" s="0" t="n">
        <f aca="false">IF(OR(NOT(AND(Simulations!$A24&lt;&gt;"",OR(Simulations!$BV24&lt;&gt;"",N(Simulations!$BX24)&gt;0))),N(Simulations!$BY24)&lt;=0,N(Simulations!$BX24)&lt;=0,1&gt;N(IF(Simulations!$O24="",1,Simulations!$O24))),0,IF(Simulations!$BY24&lt;IF(Simulations!$J24="",1000,Simulations!$J24),Simulations!$BX24/(IF(Simulations!$G24="",5000,Simulations!$G24)*IF(Simulations!$H24="",5000,Simulations!$H24)*IF(IF(Simulations!$I24="",5000,Simulations!$I24)&gt;0,IF(Simulations!$I24="",5000,Simulations!$I24),1))*Simulations!$BY24*(PI()/2*IF(Simulations!$T24="",200,Simulations!$T24)^2*IF(IF(Simulations!$I24="",5000,Simulations!$I24)&gt;0,SQRT(PI()/2)*IF(Simulations!$W24="",1000,Simulations!$W24),1)),Simulations!$BX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T24="",200,Simulations!$T24)^2*IF(Simulations!$W24="",1000,Simulations!$W24)/2^1.5*(2/3*LN(Simulations!$BY24/IF(Simulations!$J24="",1000,Simulations!$J24))^1.5+SQRT(LN(Simulations!$BY24/IF(Simulations!$J24="",1000,Simulations!$J24)))+Simulations!$BY24/IF(Simulations!$J24="",1000,Simulations!$J24)*SQRT(PI())/2*ERFC(SQRT(LN(Simulations!$BY24/IF(Simulations!$J24="",1000,Simulations!$J24))))),PI()*IF(Simulations!$T24="",200,Simulations!$T24)^2/2*(LN(Simulations!$BY24/IF(Simulations!$J24="",1000,Simulations!$J24))+1))))</f>
        <v>0</v>
      </c>
      <c r="O24" s="0" t="n">
        <f aca="false">IF(OR(NOT(AND(Simulations!$A24&lt;&gt;"",OR(Simulations!$BV24&lt;&gt;"",N(Simulations!$BX24)&gt;0))),N(Simulations!$BZ24)&lt;=0,N(Simulations!$BX24)&lt;=0,2&gt;N(IF(Simulations!$O24="",1,Simulations!$O24))),0,IF(Simulations!$BZ24&lt;IF(Simulations!$J24="",1000,Simulations!$J24),Simulations!$BX24/(IF(Simulations!$G24="",5000,Simulations!$G24)*IF(Simulations!$H24="",5000,Simulations!$H24)*IF(IF(Simulations!$I24="",5000,Simulations!$I24)&gt;0,IF(Simulations!$I24="",5000,Simulations!$I24),1))*Simulations!$BZ24*(PI()/2*IF(Simulations!$U24="",200,Simulations!$U24)^2*IF(IF(Simulations!$I24="",5000,Simulations!$I24)&gt;0,SQRT(PI()/2)*IF(Simulations!$X24="",1000,Simulations!$X24),1)),Simulations!$BX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U24="",200,Simulations!$U24)^2*IF(Simulations!$X24="",1000,Simulations!$X24)/2^1.5*(2/3*LN(Simulations!$BZ24/IF(Simulations!$J24="",1000,Simulations!$J24))^1.5+SQRT(LN(Simulations!$BZ24/IF(Simulations!$J24="",1000,Simulations!$J24)))+Simulations!$BZ24/IF(Simulations!$J24="",1000,Simulations!$J24)*SQRT(PI())/2*ERFC(SQRT(LN(Simulations!$BZ24/IF(Simulations!$J24="",1000,Simulations!$J24))))),PI()*IF(Simulations!$U24="",200,Simulations!$U24)^2/2*(LN(Simulations!$BZ24/IF(Simulations!$J24="",1000,Simulations!$J24))+1))))</f>
        <v>0</v>
      </c>
      <c r="P24" s="0" t="n">
        <f aca="false">IF(OR(NOT(AND(Simulations!$A24&lt;&gt;"",OR(Simulations!$BV24&lt;&gt;"",N(Simulations!$BX24)&gt;0))),N(Simulations!$CA24)&lt;=0,N(Simulations!$BX24)&lt;=0,3&gt;N(IF(Simulations!$O24="",1,Simulations!$O24))),0,IF(Simulations!$CA24&lt;IF(Simulations!$J24="",1000,Simulations!$J24),Simulations!$BX24/(IF(Simulations!$G24="",5000,Simulations!$G24)*IF(Simulations!$H24="",5000,Simulations!$H24)*IF(IF(Simulations!$I24="",5000,Simulations!$I24)&gt;0,IF(Simulations!$I24="",5000,Simulations!$I24),1))*Simulations!$CA24*(PI()/2*IF(Simulations!$V24="",200,Simulations!$V24)^2*IF(IF(Simulations!$I24="",5000,Simulations!$I24)&gt;0,SQRT(PI()/2)*IF(Simulations!$Y24="",1000,Simulations!$Y24),1)),Simulations!$BX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V24="",200,Simulations!$V24)^2*IF(Simulations!$Y24="",1000,Simulations!$Y24)/2^1.5*(2/3*LN(Simulations!$CA24/IF(Simulations!$J24="",1000,Simulations!$J24))^1.5+SQRT(LN(Simulations!$CA24/IF(Simulations!$J24="",1000,Simulations!$J24)))+Simulations!$CA24/IF(Simulations!$J24="",1000,Simulations!$J24)*SQRT(PI())/2*ERFC(SQRT(LN(Simulations!$CA24/IF(Simulations!$J24="",1000,Simulations!$J24))))),PI()*IF(Simulations!$V24="",200,Simulations!$V24)^2/2*(LN(Simulations!$CA24/IF(Simulations!$J24="",1000,Simulations!$J24))+1))))</f>
        <v>0</v>
      </c>
      <c r="Q24" s="0" t="n">
        <f aca="false">IF(NOT(AND(Simulations!$A24&lt;&gt;"",OR(Simulations!$BV24&lt;&gt;"",N(Simulations!$BX24)&gt;0))),0,MAX(N(Simulations!$BY24),N(Simulations!$BZ24),N(Simulations!$CA24))/IF(Simulations!$J24="",1000,Simulations!$J24))</f>
        <v>0</v>
      </c>
      <c r="R24" s="0" t="n">
        <f aca="false">IF(OR(NOT(AND(Simulations!$A24&lt;&gt;"",OR(Simulations!$BV24&lt;&gt;"",N(Simulations!$BX24)&gt;0))),N(Simulations!$BW24)&lt;=0),0,SQRT(2*Simulations!$BW24*1000000/(IF(Simulations!$J24="",1000,Simulations!$J24)*1000))/MIN(IF(Simulations!$T24="",200,Simulations!$T24),IF(Simulations!$U24="",200,Simulations!$U24),IF(Simulations!$V24="",200,Simulations!$V24)))</f>
        <v>0</v>
      </c>
      <c r="S24" s="0" t="n">
        <f aca="false">IF(AND(Simulations!$A24&lt;&gt;"",OR(Simulations!$BV24&lt;&gt;"",N(Simulations!$BX24)&gt;0)),1,0)</f>
        <v>0</v>
      </c>
      <c r="T24" s="0" t="n">
        <f aca="false">IF(OR(NOT(AND(Simulations!$A24&lt;&gt;"",OR(Simulations!$CN24&lt;&gt;"",N(Simulations!$CP24)&gt;0))),N(Simulations!$CQ24)&lt;=0,N(Simulations!$CP24)&lt;=0,1&gt;N(IF(Simulations!$O24="",1,Simulations!$O24))),0,IF(Simulations!$CQ24&lt;IF(Simulations!$J24="",1000,Simulations!$J24),Simulations!$CP24/(IF(Simulations!$G24="",5000,Simulations!$G24)*IF(Simulations!$H24="",5000,Simulations!$H24)*IF(IF(Simulations!$I24="",5000,Simulations!$I24)&gt;0,IF(Simulations!$I24="",5000,Simulations!$I24),1))*Simulations!$CQ24*(PI()/2*IF(Simulations!$T24="",200,Simulations!$T24)^2*IF(IF(Simulations!$I24="",5000,Simulations!$I24)&gt;0,SQRT(PI()/2)*IF(Simulations!$W24="",1000,Simulations!$W24),1)),Simulations!$CP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T24="",200,Simulations!$T24)^2*IF(Simulations!$W24="",1000,Simulations!$W24)/2^1.5*(2/3*LN(Simulations!$CQ24/IF(Simulations!$J24="",1000,Simulations!$J24))^1.5+SQRT(LN(Simulations!$CQ24/IF(Simulations!$J24="",1000,Simulations!$J24)))+Simulations!$CQ24/IF(Simulations!$J24="",1000,Simulations!$J24)*SQRT(PI())/2*ERFC(SQRT(LN(Simulations!$CQ24/IF(Simulations!$J24="",1000,Simulations!$J24))))),PI()*IF(Simulations!$T24="",200,Simulations!$T24)^2/2*(LN(Simulations!$CQ24/IF(Simulations!$J24="",1000,Simulations!$J24))+1))))</f>
        <v>0</v>
      </c>
      <c r="U24" s="0" t="n">
        <f aca="false">IF(OR(NOT(AND(Simulations!$A24&lt;&gt;"",OR(Simulations!$CN24&lt;&gt;"",N(Simulations!$CP24)&gt;0))),N(Simulations!$CR24)&lt;=0,N(Simulations!$CP24)&lt;=0,2&gt;N(IF(Simulations!$O24="",1,Simulations!$O24))),0,IF(Simulations!$CR24&lt;IF(Simulations!$J24="",1000,Simulations!$J24),Simulations!$CP24/(IF(Simulations!$G24="",5000,Simulations!$G24)*IF(Simulations!$H24="",5000,Simulations!$H24)*IF(IF(Simulations!$I24="",5000,Simulations!$I24)&gt;0,IF(Simulations!$I24="",5000,Simulations!$I24),1))*Simulations!$CR24*(PI()/2*IF(Simulations!$U24="",200,Simulations!$U24)^2*IF(IF(Simulations!$I24="",5000,Simulations!$I24)&gt;0,SQRT(PI()/2)*IF(Simulations!$X24="",1000,Simulations!$X24),1)),Simulations!$CP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U24="",200,Simulations!$U24)^2*IF(Simulations!$X24="",1000,Simulations!$X24)/2^1.5*(2/3*LN(Simulations!$CR24/IF(Simulations!$J24="",1000,Simulations!$J24))^1.5+SQRT(LN(Simulations!$CR24/IF(Simulations!$J24="",1000,Simulations!$J24)))+Simulations!$CR24/IF(Simulations!$J24="",1000,Simulations!$J24)*SQRT(PI())/2*ERFC(SQRT(LN(Simulations!$CR24/IF(Simulations!$J24="",1000,Simulations!$J24))))),PI()*IF(Simulations!$U24="",200,Simulations!$U24)^2/2*(LN(Simulations!$CR24/IF(Simulations!$J24="",1000,Simulations!$J24))+1))))</f>
        <v>0</v>
      </c>
      <c r="V24" s="0" t="n">
        <f aca="false">IF(OR(NOT(AND(Simulations!$A24&lt;&gt;"",OR(Simulations!$CN24&lt;&gt;"",N(Simulations!$CP24)&gt;0))),N(Simulations!$CS24)&lt;=0,N(Simulations!$CP24)&lt;=0,3&gt;N(IF(Simulations!$O24="",1,Simulations!$O24))),0,IF(Simulations!$CS24&lt;IF(Simulations!$J24="",1000,Simulations!$J24),Simulations!$CP24/(IF(Simulations!$G24="",5000,Simulations!$G24)*IF(Simulations!$H24="",5000,Simulations!$H24)*IF(IF(Simulations!$I24="",5000,Simulations!$I24)&gt;0,IF(Simulations!$I24="",5000,Simulations!$I24),1))*Simulations!$CS24*(PI()/2*IF(Simulations!$V24="",200,Simulations!$V24)^2*IF(IF(Simulations!$I24="",5000,Simulations!$I24)&gt;0,SQRT(PI()/2)*IF(Simulations!$Y24="",1000,Simulations!$Y24),1)),Simulations!$CP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V24="",200,Simulations!$V24)^2*IF(Simulations!$Y24="",1000,Simulations!$Y24)/2^1.5*(2/3*LN(Simulations!$CS24/IF(Simulations!$J24="",1000,Simulations!$J24))^1.5+SQRT(LN(Simulations!$CS24/IF(Simulations!$J24="",1000,Simulations!$J24)))+Simulations!$CS24/IF(Simulations!$J24="",1000,Simulations!$J24)*SQRT(PI())/2*ERFC(SQRT(LN(Simulations!$CS24/IF(Simulations!$J24="",1000,Simulations!$J24))))),PI()*IF(Simulations!$V24="",200,Simulations!$V24)^2/2*(LN(Simulations!$CS24/IF(Simulations!$J24="",1000,Simulations!$J24))+1))))</f>
        <v>0</v>
      </c>
      <c r="W24" s="0" t="n">
        <f aca="false">IF(NOT(AND(Simulations!$A24&lt;&gt;"",OR(Simulations!$CN24&lt;&gt;"",N(Simulations!$CP24)&gt;0))),0,MAX(N(Simulations!$CQ24),N(Simulations!$CR24),N(Simulations!$CS24))/IF(Simulations!$J24="",1000,Simulations!$J24))</f>
        <v>0</v>
      </c>
      <c r="X24" s="0" t="n">
        <f aca="false">IF(OR(NOT(AND(Simulations!$A24&lt;&gt;"",OR(Simulations!$CN24&lt;&gt;"",N(Simulations!$CP24)&gt;0))),N(Simulations!$CO24)&lt;=0),0,SQRT(2*Simulations!$CO24*1000000/(IF(Simulations!$J24="",1000,Simulations!$J24)*1000))/MIN(IF(Simulations!$T24="",200,Simulations!$T24),IF(Simulations!$U24="",200,Simulations!$U24),IF(Simulations!$V24="",200,Simulations!$V24)))</f>
        <v>0</v>
      </c>
      <c r="Y24" s="0" t="n">
        <f aca="false">IF(AND(Simulations!$A24&lt;&gt;"",OR(Simulations!$CN24&lt;&gt;"",N(Simulations!$CP24)&gt;0)),1,0)</f>
        <v>0</v>
      </c>
      <c r="Z24" s="0" t="n">
        <f aca="false">IF(OR(NOT(AND(Simulations!$A24&lt;&gt;"",OR(Simulations!$DF24&lt;&gt;"",N(Simulations!$DH24)&gt;0))),N(Simulations!$DI24)&lt;=0,N(Simulations!$DH24)&lt;=0,1&gt;N(IF(Simulations!$O24="",1,Simulations!$O24))),0,IF(Simulations!$DI24&lt;IF(Simulations!$J24="",1000,Simulations!$J24),Simulations!$DH24/(IF(Simulations!$G24="",5000,Simulations!$G24)*IF(Simulations!$H24="",5000,Simulations!$H24)*IF(IF(Simulations!$I24="",5000,Simulations!$I24)&gt;0,IF(Simulations!$I24="",5000,Simulations!$I24),1))*Simulations!$DI24*(PI()/2*IF(Simulations!$T24="",200,Simulations!$T24)^2*IF(IF(Simulations!$I24="",5000,Simulations!$I24)&gt;0,SQRT(PI()/2)*IF(Simulations!$W24="",1000,Simulations!$W24),1)),Simulations!$DH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T24="",200,Simulations!$T24)^2*IF(Simulations!$W24="",1000,Simulations!$W24)/2^1.5*(2/3*LN(Simulations!$DI24/IF(Simulations!$J24="",1000,Simulations!$J24))^1.5+SQRT(LN(Simulations!$DI24/IF(Simulations!$J24="",1000,Simulations!$J24)))+Simulations!$DI24/IF(Simulations!$J24="",1000,Simulations!$J24)*SQRT(PI())/2*ERFC(SQRT(LN(Simulations!$DI24/IF(Simulations!$J24="",1000,Simulations!$J24))))),PI()*IF(Simulations!$T24="",200,Simulations!$T24)^2/2*(LN(Simulations!$DI24/IF(Simulations!$J24="",1000,Simulations!$J24))+1))))</f>
        <v>0</v>
      </c>
      <c r="AA24" s="0" t="n">
        <f aca="false">IF(OR(NOT(AND(Simulations!$A24&lt;&gt;"",OR(Simulations!$DF24&lt;&gt;"",N(Simulations!$DH24)&gt;0))),N(Simulations!$DJ24)&lt;=0,N(Simulations!$DH24)&lt;=0,2&gt;N(IF(Simulations!$O24="",1,Simulations!$O24))),0,IF(Simulations!$DJ24&lt;IF(Simulations!$J24="",1000,Simulations!$J24),Simulations!$DH24/(IF(Simulations!$G24="",5000,Simulations!$G24)*IF(Simulations!$H24="",5000,Simulations!$H24)*IF(IF(Simulations!$I24="",5000,Simulations!$I24)&gt;0,IF(Simulations!$I24="",5000,Simulations!$I24),1))*Simulations!$DJ24*(PI()/2*IF(Simulations!$U24="",200,Simulations!$U24)^2*IF(IF(Simulations!$I24="",5000,Simulations!$I24)&gt;0,SQRT(PI()/2)*IF(Simulations!$X24="",1000,Simulations!$X24),1)),Simulations!$DH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U24="",200,Simulations!$U24)^2*IF(Simulations!$X24="",1000,Simulations!$X24)/2^1.5*(2/3*LN(Simulations!$DJ24/IF(Simulations!$J24="",1000,Simulations!$J24))^1.5+SQRT(LN(Simulations!$DJ24/IF(Simulations!$J24="",1000,Simulations!$J24)))+Simulations!$DJ24/IF(Simulations!$J24="",1000,Simulations!$J24)*SQRT(PI())/2*ERFC(SQRT(LN(Simulations!$DJ24/IF(Simulations!$J24="",1000,Simulations!$J24))))),PI()*IF(Simulations!$U24="",200,Simulations!$U24)^2/2*(LN(Simulations!$DJ24/IF(Simulations!$J24="",1000,Simulations!$J24))+1))))</f>
        <v>0</v>
      </c>
      <c r="AB24" s="0" t="n">
        <f aca="false">IF(OR(NOT(AND(Simulations!$A24&lt;&gt;"",OR(Simulations!$DF24&lt;&gt;"",N(Simulations!$DH24)&gt;0))),N(Simulations!$DK24)&lt;=0,N(Simulations!$DH24)&lt;=0,3&gt;N(IF(Simulations!$O24="",1,Simulations!$O24))),0,IF(Simulations!$DK24&lt;IF(Simulations!$J24="",1000,Simulations!$J24),Simulations!$DH24/(IF(Simulations!$G24="",5000,Simulations!$G24)*IF(Simulations!$H24="",5000,Simulations!$H24)*IF(IF(Simulations!$I24="",5000,Simulations!$I24)&gt;0,IF(Simulations!$I24="",5000,Simulations!$I24),1))*Simulations!$DK24*(PI()/2*IF(Simulations!$V24="",200,Simulations!$V24)^2*IF(IF(Simulations!$I24="",5000,Simulations!$I24)&gt;0,SQRT(PI()/2)*IF(Simulations!$Y24="",1000,Simulations!$Y24),1)),Simulations!$DH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V24="",200,Simulations!$V24)^2*IF(Simulations!$Y24="",1000,Simulations!$Y24)/2^1.5*(2/3*LN(Simulations!$DK24/IF(Simulations!$J24="",1000,Simulations!$J24))^1.5+SQRT(LN(Simulations!$DK24/IF(Simulations!$J24="",1000,Simulations!$J24)))+Simulations!$DK24/IF(Simulations!$J24="",1000,Simulations!$J24)*SQRT(PI())/2*ERFC(SQRT(LN(Simulations!$DK24/IF(Simulations!$J24="",1000,Simulations!$J24))))),PI()*IF(Simulations!$V24="",200,Simulations!$V24)^2/2*(LN(Simulations!$DK24/IF(Simulations!$J24="",1000,Simulations!$J24))+1))))</f>
        <v>0</v>
      </c>
      <c r="AC24" s="0" t="n">
        <f aca="false">IF(NOT(AND(Simulations!$A24&lt;&gt;"",OR(Simulations!$DF24&lt;&gt;"",N(Simulations!$DH24)&gt;0))),0,MAX(N(Simulations!$DI24),N(Simulations!$DJ24),N(Simulations!$DK24))/IF(Simulations!$J24="",1000,Simulations!$J24))</f>
        <v>0</v>
      </c>
      <c r="AD24" s="0" t="n">
        <f aca="false">IF(OR(NOT(AND(Simulations!$A24&lt;&gt;"",OR(Simulations!$DF24&lt;&gt;"",N(Simulations!$DH24)&gt;0))),N(Simulations!$DG24)&lt;=0),0,SQRT(2*Simulations!$DG24*1000000/(IF(Simulations!$J24="",1000,Simulations!$J24)*1000))/MIN(IF(Simulations!$T24="",200,Simulations!$T24),IF(Simulations!$U24="",200,Simulations!$U24),IF(Simulations!$V24="",200,Simulations!$V24)))</f>
        <v>0</v>
      </c>
      <c r="AE24" s="0" t="n">
        <f aca="false">IF(AND(Simulations!$A24&lt;&gt;"",OR(Simulations!$DF24&lt;&gt;"",N(Simulations!$DH24)&gt;0)),1,0)</f>
        <v>0</v>
      </c>
      <c r="AF24" s="0" t="n">
        <f aca="false">IF(OR(NOT(AND(Simulations!$A24&lt;&gt;"",OR(Simulations!$DX24&lt;&gt;"",N(Simulations!$DZ24)&gt;0))),N(Simulations!$EA24)&lt;=0,N(Simulations!$DZ24)&lt;=0,1&gt;N(IF(Simulations!$O24="",1,Simulations!$O24))),0,IF(Simulations!$EA24&lt;IF(Simulations!$J24="",1000,Simulations!$J24),Simulations!$DZ24/(IF(Simulations!$G24="",5000,Simulations!$G24)*IF(Simulations!$H24="",5000,Simulations!$H24)*IF(IF(Simulations!$I24="",5000,Simulations!$I24)&gt;0,IF(Simulations!$I24="",5000,Simulations!$I24),1))*Simulations!$EA24*(PI()/2*IF(Simulations!$T24="",200,Simulations!$T24)^2*IF(IF(Simulations!$I24="",5000,Simulations!$I24)&gt;0,SQRT(PI()/2)*IF(Simulations!$W24="",1000,Simulations!$W24),1)),Simulations!$DZ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T24="",200,Simulations!$T24)^2*IF(Simulations!$W24="",1000,Simulations!$W24)/2^1.5*(2/3*LN(Simulations!$EA24/IF(Simulations!$J24="",1000,Simulations!$J24))^1.5+SQRT(LN(Simulations!$EA24/IF(Simulations!$J24="",1000,Simulations!$J24)))+Simulations!$EA24/IF(Simulations!$J24="",1000,Simulations!$J24)*SQRT(PI())/2*ERFC(SQRT(LN(Simulations!$EA24/IF(Simulations!$J24="",1000,Simulations!$J24))))),PI()*IF(Simulations!$T24="",200,Simulations!$T24)^2/2*(LN(Simulations!$EA24/IF(Simulations!$J24="",1000,Simulations!$J24))+1))))</f>
        <v>0</v>
      </c>
      <c r="AG24" s="0" t="n">
        <f aca="false">IF(OR(NOT(AND(Simulations!$A24&lt;&gt;"",OR(Simulations!$DX24&lt;&gt;"",N(Simulations!$DZ24)&gt;0))),N(Simulations!$EB24)&lt;=0,N(Simulations!$DZ24)&lt;=0,2&gt;N(IF(Simulations!$O24="",1,Simulations!$O24))),0,IF(Simulations!$EB24&lt;IF(Simulations!$J24="",1000,Simulations!$J24),Simulations!$DZ24/(IF(Simulations!$G24="",5000,Simulations!$G24)*IF(Simulations!$H24="",5000,Simulations!$H24)*IF(IF(Simulations!$I24="",5000,Simulations!$I24)&gt;0,IF(Simulations!$I24="",5000,Simulations!$I24),1))*Simulations!$EB24*(PI()/2*IF(Simulations!$U24="",200,Simulations!$U24)^2*IF(IF(Simulations!$I24="",5000,Simulations!$I24)&gt;0,SQRT(PI()/2)*IF(Simulations!$X24="",1000,Simulations!$X24),1)),Simulations!$DZ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U24="",200,Simulations!$U24)^2*IF(Simulations!$X24="",1000,Simulations!$X24)/2^1.5*(2/3*LN(Simulations!$EB24/IF(Simulations!$J24="",1000,Simulations!$J24))^1.5+SQRT(LN(Simulations!$EB24/IF(Simulations!$J24="",1000,Simulations!$J24)))+Simulations!$EB24/IF(Simulations!$J24="",1000,Simulations!$J24)*SQRT(PI())/2*ERFC(SQRT(LN(Simulations!$EB24/IF(Simulations!$J24="",1000,Simulations!$J24))))),PI()*IF(Simulations!$U24="",200,Simulations!$U24)^2/2*(LN(Simulations!$EB24/IF(Simulations!$J24="",1000,Simulations!$J24))+1))))</f>
        <v>0</v>
      </c>
      <c r="AH24" s="0" t="n">
        <f aca="false">IF(OR(NOT(AND(Simulations!$A24&lt;&gt;"",OR(Simulations!$DX24&lt;&gt;"",N(Simulations!$DZ24)&gt;0))),N(Simulations!$EC24)&lt;=0,N(Simulations!$DZ24)&lt;=0,3&gt;N(IF(Simulations!$O24="",1,Simulations!$O24))),0,IF(Simulations!$EC24&lt;IF(Simulations!$J24="",1000,Simulations!$J24),Simulations!$DZ24/(IF(Simulations!$G24="",5000,Simulations!$G24)*IF(Simulations!$H24="",5000,Simulations!$H24)*IF(IF(Simulations!$I24="",5000,Simulations!$I24)&gt;0,IF(Simulations!$I24="",5000,Simulations!$I24),1))*Simulations!$EC24*(PI()/2*IF(Simulations!$V24="",200,Simulations!$V24)^2*IF(IF(Simulations!$I24="",5000,Simulations!$I24)&gt;0,SQRT(PI()/2)*IF(Simulations!$Y24="",1000,Simulations!$Y24),1)),Simulations!$DZ24/(IF(Simulations!$G24="",5000,Simulations!$G24)*IF(Simulations!$H24="",5000,Simulations!$H24)*IF(IF(Simulations!$I24="",5000,Simulations!$I24)&gt;0,IF(Simulations!$I24="",5000,Simulations!$I24),1))*IF(Simulations!$J24="",1000,Simulations!$J24)*IF(IF(Simulations!$I24="",5000,Simulations!$I24)&gt;0,2*PI()*IF(Simulations!$V24="",200,Simulations!$V24)^2*IF(Simulations!$Y24="",1000,Simulations!$Y24)/2^1.5*(2/3*LN(Simulations!$EC24/IF(Simulations!$J24="",1000,Simulations!$J24))^1.5+SQRT(LN(Simulations!$EC24/IF(Simulations!$J24="",1000,Simulations!$J24)))+Simulations!$EC24/IF(Simulations!$J24="",1000,Simulations!$J24)*SQRT(PI())/2*ERFC(SQRT(LN(Simulations!$EC24/IF(Simulations!$J24="",1000,Simulations!$J24))))),PI()*IF(Simulations!$V24="",200,Simulations!$V24)^2/2*(LN(Simulations!$EC24/IF(Simulations!$J24="",1000,Simulations!$J24))+1))))</f>
        <v>0</v>
      </c>
      <c r="AI24" s="0" t="n">
        <f aca="false">IF(NOT(AND(Simulations!$A24&lt;&gt;"",OR(Simulations!$DX24&lt;&gt;"",N(Simulations!$DZ24)&gt;0))),0,MAX(N(Simulations!$EA24),N(Simulations!$EB24),N(Simulations!$EC24))/IF(Simulations!$J24="",1000,Simulations!$J24))</f>
        <v>0</v>
      </c>
      <c r="AJ24" s="0" t="n">
        <f aca="false">IF(OR(NOT(AND(Simulations!$A24&lt;&gt;"",OR(Simulations!$DX24&lt;&gt;"",N(Simulations!$DZ24)&gt;0))),N(Simulations!$DY24)&lt;=0),0,SQRT(2*Simulations!$DY24*1000000/(IF(Simulations!$J24="",1000,Simulations!$J24)*1000))/MIN(IF(Simulations!$T24="",200,Simulations!$T24),IF(Simulations!$U24="",200,Simulations!$U24),IF(Simulations!$V24="",200,Simulations!$V24)))</f>
        <v>0</v>
      </c>
      <c r="AK24" s="0" t="n">
        <f aca="false">IF(AND(Simulations!$A24&lt;&gt;"",OR(Simulations!$DX24&lt;&gt;"",N(Simulations!$DZ24)&gt;0)),1,0)</f>
        <v>0</v>
      </c>
    </row>
    <row r="25" customFormat="false" ht="15" hidden="false" customHeight="false" outlineLevel="0" collapsed="false">
      <c r="B25" s="0" t="n">
        <f aca="false">IF(OR(NOT(AND(Simulations!$A25&lt;&gt;"",OR(Simulations!$AL25&lt;&gt;"",N(Simulations!$AN25)&gt;0))),N(Simulations!$AO25)&lt;=0,N(Simulations!$AN25)&lt;=0,1&gt;N(IF(Simulations!$O25="",1,Simulations!$O25))),0,IF(Simulations!$AO25&lt;IF(Simulations!$J25="",1000,Simulations!$J25),Simulations!$AN25/(IF(Simulations!$G25="",5000,Simulations!$G25)*IF(Simulations!$H25="",5000,Simulations!$H25)*IF(IF(Simulations!$I25="",5000,Simulations!$I25)&gt;0,IF(Simulations!$I25="",5000,Simulations!$I25),1))*Simulations!$AO25*(PI()/2*IF(Simulations!$T25="",200,Simulations!$T25)^2*IF(IF(Simulations!$I25="",5000,Simulations!$I25)&gt;0,SQRT(PI()/2)*IF(Simulations!$W25="",1000,Simulations!$W25),1)),Simulations!$AN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T25="",200,Simulations!$T25)^2*IF(Simulations!$W25="",1000,Simulations!$W25)/2^1.5*(2/3*LN(Simulations!$AO25/IF(Simulations!$J25="",1000,Simulations!$J25))^1.5+SQRT(LN(Simulations!$AO25/IF(Simulations!$J25="",1000,Simulations!$J25)))+Simulations!$AO25/IF(Simulations!$J25="",1000,Simulations!$J25)*SQRT(PI())/2*ERFC(SQRT(LN(Simulations!$AO25/IF(Simulations!$J25="",1000,Simulations!$J25))))),PI()*IF(Simulations!$T25="",200,Simulations!$T25)^2/2*(LN(Simulations!$AO25/IF(Simulations!$J25="",1000,Simulations!$J25))+1))))</f>
        <v>0</v>
      </c>
      <c r="C25" s="0" t="n">
        <f aca="false">IF(OR(NOT(AND(Simulations!$A25&lt;&gt;"",OR(Simulations!$AL25&lt;&gt;"",N(Simulations!$AN25)&gt;0))),N(Simulations!$AP25)&lt;=0,N(Simulations!$AN25)&lt;=0,2&gt;N(IF(Simulations!$O25="",1,Simulations!$O25))),0,IF(Simulations!$AP25&lt;IF(Simulations!$J25="",1000,Simulations!$J25),Simulations!$AN25/(IF(Simulations!$G25="",5000,Simulations!$G25)*IF(Simulations!$H25="",5000,Simulations!$H25)*IF(IF(Simulations!$I25="",5000,Simulations!$I25)&gt;0,IF(Simulations!$I25="",5000,Simulations!$I25),1))*Simulations!$AP25*(PI()/2*IF(Simulations!$U25="",200,Simulations!$U25)^2*IF(IF(Simulations!$I25="",5000,Simulations!$I25)&gt;0,SQRT(PI()/2)*IF(Simulations!$X25="",1000,Simulations!$X25),1)),Simulations!$AN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U25="",200,Simulations!$U25)^2*IF(Simulations!$X25="",1000,Simulations!$X25)/2^1.5*(2/3*LN(Simulations!$AP25/IF(Simulations!$J25="",1000,Simulations!$J25))^1.5+SQRT(LN(Simulations!$AP25/IF(Simulations!$J25="",1000,Simulations!$J25)))+Simulations!$AP25/IF(Simulations!$J25="",1000,Simulations!$J25)*SQRT(PI())/2*ERFC(SQRT(LN(Simulations!$AP25/IF(Simulations!$J25="",1000,Simulations!$J25))))),PI()*IF(Simulations!$U25="",200,Simulations!$U25)^2/2*(LN(Simulations!$AP25/IF(Simulations!$J25="",1000,Simulations!$J25))+1))))</f>
        <v>0</v>
      </c>
      <c r="D25" s="0" t="n">
        <f aca="false">IF(OR(NOT(AND(Simulations!$A25&lt;&gt;"",OR(Simulations!$AL25&lt;&gt;"",N(Simulations!$AN25)&gt;0))),N(Simulations!$AQ25)&lt;=0,N(Simulations!$AN25)&lt;=0,3&gt;N(IF(Simulations!$O25="",1,Simulations!$O25))),0,IF(Simulations!$AQ25&lt;IF(Simulations!$J25="",1000,Simulations!$J25),Simulations!$AN25/(IF(Simulations!$G25="",5000,Simulations!$G25)*IF(Simulations!$H25="",5000,Simulations!$H25)*IF(IF(Simulations!$I25="",5000,Simulations!$I25)&gt;0,IF(Simulations!$I25="",5000,Simulations!$I25),1))*Simulations!$AQ25*(PI()/2*IF(Simulations!$V25="",200,Simulations!$V25)^2*IF(IF(Simulations!$I25="",5000,Simulations!$I25)&gt;0,SQRT(PI()/2)*IF(Simulations!$Y25="",1000,Simulations!$Y25),1)),Simulations!$AN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V25="",200,Simulations!$V25)^2*IF(Simulations!$Y25="",1000,Simulations!$Y25)/2^1.5*(2/3*LN(Simulations!$AQ25/IF(Simulations!$J25="",1000,Simulations!$J25))^1.5+SQRT(LN(Simulations!$AQ25/IF(Simulations!$J25="",1000,Simulations!$J25)))+Simulations!$AQ25/IF(Simulations!$J25="",1000,Simulations!$J25)*SQRT(PI())/2*ERFC(SQRT(LN(Simulations!$AQ25/IF(Simulations!$J25="",1000,Simulations!$J25))))),PI()*IF(Simulations!$V25="",200,Simulations!$V25)^2/2*(LN(Simulations!$AQ25/IF(Simulations!$J25="",1000,Simulations!$J25))+1))))</f>
        <v>0</v>
      </c>
      <c r="E25" s="0" t="n">
        <f aca="false">IF(NOT(AND(Simulations!$A25&lt;&gt;"",OR(Simulations!$AL25&lt;&gt;"",N(Simulations!$AN25)&gt;0))),0,MAX(N(Simulations!$AO25),N(Simulations!$AP25),N(Simulations!$AQ25))/IF(Simulations!$J25="",1000,Simulations!$J25))</f>
        <v>0</v>
      </c>
      <c r="F25" s="0" t="n">
        <f aca="false">IF(OR(NOT(AND(Simulations!$A25&lt;&gt;"",OR(Simulations!$AL25&lt;&gt;"",N(Simulations!$AN25)&gt;0))),N(Simulations!$AM25)&lt;=0),0,SQRT(2*Simulations!$AM25*1000000/(IF(Simulations!$J25="",1000,Simulations!$J25)*1000))/MIN(IF(Simulations!$T25="",200,Simulations!$T25),IF(Simulations!$U25="",200,Simulations!$U25),IF(Simulations!$V25="",200,Simulations!$V25)))</f>
        <v>0</v>
      </c>
      <c r="G25" s="0" t="n">
        <f aca="false">IF(AND(Simulations!$A25&lt;&gt;"",OR(Simulations!$AL25&lt;&gt;"",N(Simulations!$AN25)&gt;0)),1,0)</f>
        <v>0</v>
      </c>
      <c r="H25" s="0" t="n">
        <f aca="false">IF(OR(NOT(AND(Simulations!$A25&lt;&gt;"",OR(Simulations!$BD25&lt;&gt;"",N(Simulations!$BF25)&gt;0))),N(Simulations!$BG25)&lt;=0,N(Simulations!$BF25)&lt;=0,1&gt;N(IF(Simulations!$O25="",1,Simulations!$O25))),0,IF(Simulations!$BG25&lt;IF(Simulations!$J25="",1000,Simulations!$J25),Simulations!$BF25/(IF(Simulations!$G25="",5000,Simulations!$G25)*IF(Simulations!$H25="",5000,Simulations!$H25)*IF(IF(Simulations!$I25="",5000,Simulations!$I25)&gt;0,IF(Simulations!$I25="",5000,Simulations!$I25),1))*Simulations!$BG25*(PI()/2*IF(Simulations!$T25="",200,Simulations!$T25)^2*IF(IF(Simulations!$I25="",5000,Simulations!$I25)&gt;0,SQRT(PI()/2)*IF(Simulations!$W25="",1000,Simulations!$W25),1)),Simulations!$BF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T25="",200,Simulations!$T25)^2*IF(Simulations!$W25="",1000,Simulations!$W25)/2^1.5*(2/3*LN(Simulations!$BG25/IF(Simulations!$J25="",1000,Simulations!$J25))^1.5+SQRT(LN(Simulations!$BG25/IF(Simulations!$J25="",1000,Simulations!$J25)))+Simulations!$BG25/IF(Simulations!$J25="",1000,Simulations!$J25)*SQRT(PI())/2*ERFC(SQRT(LN(Simulations!$BG25/IF(Simulations!$J25="",1000,Simulations!$J25))))),PI()*IF(Simulations!$T25="",200,Simulations!$T25)^2/2*(LN(Simulations!$BG25/IF(Simulations!$J25="",1000,Simulations!$J25))+1))))</f>
        <v>0</v>
      </c>
      <c r="I25" s="0" t="n">
        <f aca="false">IF(OR(NOT(AND(Simulations!$A25&lt;&gt;"",OR(Simulations!$BD25&lt;&gt;"",N(Simulations!$BF25)&gt;0))),N(Simulations!$BH25)&lt;=0,N(Simulations!$BF25)&lt;=0,2&gt;N(IF(Simulations!$O25="",1,Simulations!$O25))),0,IF(Simulations!$BH25&lt;IF(Simulations!$J25="",1000,Simulations!$J25),Simulations!$BF25/(IF(Simulations!$G25="",5000,Simulations!$G25)*IF(Simulations!$H25="",5000,Simulations!$H25)*IF(IF(Simulations!$I25="",5000,Simulations!$I25)&gt;0,IF(Simulations!$I25="",5000,Simulations!$I25),1))*Simulations!$BH25*(PI()/2*IF(Simulations!$U25="",200,Simulations!$U25)^2*IF(IF(Simulations!$I25="",5000,Simulations!$I25)&gt;0,SQRT(PI()/2)*IF(Simulations!$X25="",1000,Simulations!$X25),1)),Simulations!$BF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U25="",200,Simulations!$U25)^2*IF(Simulations!$X25="",1000,Simulations!$X25)/2^1.5*(2/3*LN(Simulations!$BH25/IF(Simulations!$J25="",1000,Simulations!$J25))^1.5+SQRT(LN(Simulations!$BH25/IF(Simulations!$J25="",1000,Simulations!$J25)))+Simulations!$BH25/IF(Simulations!$J25="",1000,Simulations!$J25)*SQRT(PI())/2*ERFC(SQRT(LN(Simulations!$BH25/IF(Simulations!$J25="",1000,Simulations!$J25))))),PI()*IF(Simulations!$U25="",200,Simulations!$U25)^2/2*(LN(Simulations!$BH25/IF(Simulations!$J25="",1000,Simulations!$J25))+1))))</f>
        <v>0</v>
      </c>
      <c r="J25" s="0" t="n">
        <f aca="false">IF(OR(NOT(AND(Simulations!$A25&lt;&gt;"",OR(Simulations!$BD25&lt;&gt;"",N(Simulations!$BF25)&gt;0))),N(Simulations!$BI25)&lt;=0,N(Simulations!$BF25)&lt;=0,3&gt;N(IF(Simulations!$O25="",1,Simulations!$O25))),0,IF(Simulations!$BI25&lt;IF(Simulations!$J25="",1000,Simulations!$J25),Simulations!$BF25/(IF(Simulations!$G25="",5000,Simulations!$G25)*IF(Simulations!$H25="",5000,Simulations!$H25)*IF(IF(Simulations!$I25="",5000,Simulations!$I25)&gt;0,IF(Simulations!$I25="",5000,Simulations!$I25),1))*Simulations!$BI25*(PI()/2*IF(Simulations!$V25="",200,Simulations!$V25)^2*IF(IF(Simulations!$I25="",5000,Simulations!$I25)&gt;0,SQRT(PI()/2)*IF(Simulations!$Y25="",1000,Simulations!$Y25),1)),Simulations!$BF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V25="",200,Simulations!$V25)^2*IF(Simulations!$Y25="",1000,Simulations!$Y25)/2^1.5*(2/3*LN(Simulations!$BI25/IF(Simulations!$J25="",1000,Simulations!$J25))^1.5+SQRT(LN(Simulations!$BI25/IF(Simulations!$J25="",1000,Simulations!$J25)))+Simulations!$BI25/IF(Simulations!$J25="",1000,Simulations!$J25)*SQRT(PI())/2*ERFC(SQRT(LN(Simulations!$BI25/IF(Simulations!$J25="",1000,Simulations!$J25))))),PI()*IF(Simulations!$V25="",200,Simulations!$V25)^2/2*(LN(Simulations!$BI25/IF(Simulations!$J25="",1000,Simulations!$J25))+1))))</f>
        <v>0</v>
      </c>
      <c r="K25" s="0" t="n">
        <f aca="false">IF(NOT(AND(Simulations!$A25&lt;&gt;"",OR(Simulations!$BD25&lt;&gt;"",N(Simulations!$BF25)&gt;0))),0,MAX(N(Simulations!$BG25),N(Simulations!$BH25),N(Simulations!$BI25))/IF(Simulations!$J25="",1000,Simulations!$J25))</f>
        <v>0</v>
      </c>
      <c r="L25" s="0" t="n">
        <f aca="false">IF(OR(NOT(AND(Simulations!$A25&lt;&gt;"",OR(Simulations!$BD25&lt;&gt;"",N(Simulations!$BF25)&gt;0))),N(Simulations!$BE25)&lt;=0),0,SQRT(2*Simulations!$BE25*1000000/(IF(Simulations!$J25="",1000,Simulations!$J25)*1000))/MIN(IF(Simulations!$T25="",200,Simulations!$T25),IF(Simulations!$U25="",200,Simulations!$U25),IF(Simulations!$V25="",200,Simulations!$V25)))</f>
        <v>0</v>
      </c>
      <c r="M25" s="0" t="n">
        <f aca="false">IF(AND(Simulations!$A25&lt;&gt;"",OR(Simulations!$BD25&lt;&gt;"",N(Simulations!$BF25)&gt;0)),1,0)</f>
        <v>0</v>
      </c>
      <c r="N25" s="0" t="n">
        <f aca="false">IF(OR(NOT(AND(Simulations!$A25&lt;&gt;"",OR(Simulations!$BV25&lt;&gt;"",N(Simulations!$BX25)&gt;0))),N(Simulations!$BY25)&lt;=0,N(Simulations!$BX25)&lt;=0,1&gt;N(IF(Simulations!$O25="",1,Simulations!$O25))),0,IF(Simulations!$BY25&lt;IF(Simulations!$J25="",1000,Simulations!$J25),Simulations!$BX25/(IF(Simulations!$G25="",5000,Simulations!$G25)*IF(Simulations!$H25="",5000,Simulations!$H25)*IF(IF(Simulations!$I25="",5000,Simulations!$I25)&gt;0,IF(Simulations!$I25="",5000,Simulations!$I25),1))*Simulations!$BY25*(PI()/2*IF(Simulations!$T25="",200,Simulations!$T25)^2*IF(IF(Simulations!$I25="",5000,Simulations!$I25)&gt;0,SQRT(PI()/2)*IF(Simulations!$W25="",1000,Simulations!$W25),1)),Simulations!$BX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T25="",200,Simulations!$T25)^2*IF(Simulations!$W25="",1000,Simulations!$W25)/2^1.5*(2/3*LN(Simulations!$BY25/IF(Simulations!$J25="",1000,Simulations!$J25))^1.5+SQRT(LN(Simulations!$BY25/IF(Simulations!$J25="",1000,Simulations!$J25)))+Simulations!$BY25/IF(Simulations!$J25="",1000,Simulations!$J25)*SQRT(PI())/2*ERFC(SQRT(LN(Simulations!$BY25/IF(Simulations!$J25="",1000,Simulations!$J25))))),PI()*IF(Simulations!$T25="",200,Simulations!$T25)^2/2*(LN(Simulations!$BY25/IF(Simulations!$J25="",1000,Simulations!$J25))+1))))</f>
        <v>0</v>
      </c>
      <c r="O25" s="0" t="n">
        <f aca="false">IF(OR(NOT(AND(Simulations!$A25&lt;&gt;"",OR(Simulations!$BV25&lt;&gt;"",N(Simulations!$BX25)&gt;0))),N(Simulations!$BZ25)&lt;=0,N(Simulations!$BX25)&lt;=0,2&gt;N(IF(Simulations!$O25="",1,Simulations!$O25))),0,IF(Simulations!$BZ25&lt;IF(Simulations!$J25="",1000,Simulations!$J25),Simulations!$BX25/(IF(Simulations!$G25="",5000,Simulations!$G25)*IF(Simulations!$H25="",5000,Simulations!$H25)*IF(IF(Simulations!$I25="",5000,Simulations!$I25)&gt;0,IF(Simulations!$I25="",5000,Simulations!$I25),1))*Simulations!$BZ25*(PI()/2*IF(Simulations!$U25="",200,Simulations!$U25)^2*IF(IF(Simulations!$I25="",5000,Simulations!$I25)&gt;0,SQRT(PI()/2)*IF(Simulations!$X25="",1000,Simulations!$X25),1)),Simulations!$BX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U25="",200,Simulations!$U25)^2*IF(Simulations!$X25="",1000,Simulations!$X25)/2^1.5*(2/3*LN(Simulations!$BZ25/IF(Simulations!$J25="",1000,Simulations!$J25))^1.5+SQRT(LN(Simulations!$BZ25/IF(Simulations!$J25="",1000,Simulations!$J25)))+Simulations!$BZ25/IF(Simulations!$J25="",1000,Simulations!$J25)*SQRT(PI())/2*ERFC(SQRT(LN(Simulations!$BZ25/IF(Simulations!$J25="",1000,Simulations!$J25))))),PI()*IF(Simulations!$U25="",200,Simulations!$U25)^2/2*(LN(Simulations!$BZ25/IF(Simulations!$J25="",1000,Simulations!$J25))+1))))</f>
        <v>0</v>
      </c>
      <c r="P25" s="0" t="n">
        <f aca="false">IF(OR(NOT(AND(Simulations!$A25&lt;&gt;"",OR(Simulations!$BV25&lt;&gt;"",N(Simulations!$BX25)&gt;0))),N(Simulations!$CA25)&lt;=0,N(Simulations!$BX25)&lt;=0,3&gt;N(IF(Simulations!$O25="",1,Simulations!$O25))),0,IF(Simulations!$CA25&lt;IF(Simulations!$J25="",1000,Simulations!$J25),Simulations!$BX25/(IF(Simulations!$G25="",5000,Simulations!$G25)*IF(Simulations!$H25="",5000,Simulations!$H25)*IF(IF(Simulations!$I25="",5000,Simulations!$I25)&gt;0,IF(Simulations!$I25="",5000,Simulations!$I25),1))*Simulations!$CA25*(PI()/2*IF(Simulations!$V25="",200,Simulations!$V25)^2*IF(IF(Simulations!$I25="",5000,Simulations!$I25)&gt;0,SQRT(PI()/2)*IF(Simulations!$Y25="",1000,Simulations!$Y25),1)),Simulations!$BX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V25="",200,Simulations!$V25)^2*IF(Simulations!$Y25="",1000,Simulations!$Y25)/2^1.5*(2/3*LN(Simulations!$CA25/IF(Simulations!$J25="",1000,Simulations!$J25))^1.5+SQRT(LN(Simulations!$CA25/IF(Simulations!$J25="",1000,Simulations!$J25)))+Simulations!$CA25/IF(Simulations!$J25="",1000,Simulations!$J25)*SQRT(PI())/2*ERFC(SQRT(LN(Simulations!$CA25/IF(Simulations!$J25="",1000,Simulations!$J25))))),PI()*IF(Simulations!$V25="",200,Simulations!$V25)^2/2*(LN(Simulations!$CA25/IF(Simulations!$J25="",1000,Simulations!$J25))+1))))</f>
        <v>0</v>
      </c>
      <c r="Q25" s="0" t="n">
        <f aca="false">IF(NOT(AND(Simulations!$A25&lt;&gt;"",OR(Simulations!$BV25&lt;&gt;"",N(Simulations!$BX25)&gt;0))),0,MAX(N(Simulations!$BY25),N(Simulations!$BZ25),N(Simulations!$CA25))/IF(Simulations!$J25="",1000,Simulations!$J25))</f>
        <v>0</v>
      </c>
      <c r="R25" s="0" t="n">
        <f aca="false">IF(OR(NOT(AND(Simulations!$A25&lt;&gt;"",OR(Simulations!$BV25&lt;&gt;"",N(Simulations!$BX25)&gt;0))),N(Simulations!$BW25)&lt;=0),0,SQRT(2*Simulations!$BW25*1000000/(IF(Simulations!$J25="",1000,Simulations!$J25)*1000))/MIN(IF(Simulations!$T25="",200,Simulations!$T25),IF(Simulations!$U25="",200,Simulations!$U25),IF(Simulations!$V25="",200,Simulations!$V25)))</f>
        <v>0</v>
      </c>
      <c r="S25" s="0" t="n">
        <f aca="false">IF(AND(Simulations!$A25&lt;&gt;"",OR(Simulations!$BV25&lt;&gt;"",N(Simulations!$BX25)&gt;0)),1,0)</f>
        <v>0</v>
      </c>
      <c r="T25" s="0" t="n">
        <f aca="false">IF(OR(NOT(AND(Simulations!$A25&lt;&gt;"",OR(Simulations!$CN25&lt;&gt;"",N(Simulations!$CP25)&gt;0))),N(Simulations!$CQ25)&lt;=0,N(Simulations!$CP25)&lt;=0,1&gt;N(IF(Simulations!$O25="",1,Simulations!$O25))),0,IF(Simulations!$CQ25&lt;IF(Simulations!$J25="",1000,Simulations!$J25),Simulations!$CP25/(IF(Simulations!$G25="",5000,Simulations!$G25)*IF(Simulations!$H25="",5000,Simulations!$H25)*IF(IF(Simulations!$I25="",5000,Simulations!$I25)&gt;0,IF(Simulations!$I25="",5000,Simulations!$I25),1))*Simulations!$CQ25*(PI()/2*IF(Simulations!$T25="",200,Simulations!$T25)^2*IF(IF(Simulations!$I25="",5000,Simulations!$I25)&gt;0,SQRT(PI()/2)*IF(Simulations!$W25="",1000,Simulations!$W25),1)),Simulations!$CP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T25="",200,Simulations!$T25)^2*IF(Simulations!$W25="",1000,Simulations!$W25)/2^1.5*(2/3*LN(Simulations!$CQ25/IF(Simulations!$J25="",1000,Simulations!$J25))^1.5+SQRT(LN(Simulations!$CQ25/IF(Simulations!$J25="",1000,Simulations!$J25)))+Simulations!$CQ25/IF(Simulations!$J25="",1000,Simulations!$J25)*SQRT(PI())/2*ERFC(SQRT(LN(Simulations!$CQ25/IF(Simulations!$J25="",1000,Simulations!$J25))))),PI()*IF(Simulations!$T25="",200,Simulations!$T25)^2/2*(LN(Simulations!$CQ25/IF(Simulations!$J25="",1000,Simulations!$J25))+1))))</f>
        <v>0</v>
      </c>
      <c r="U25" s="0" t="n">
        <f aca="false">IF(OR(NOT(AND(Simulations!$A25&lt;&gt;"",OR(Simulations!$CN25&lt;&gt;"",N(Simulations!$CP25)&gt;0))),N(Simulations!$CR25)&lt;=0,N(Simulations!$CP25)&lt;=0,2&gt;N(IF(Simulations!$O25="",1,Simulations!$O25))),0,IF(Simulations!$CR25&lt;IF(Simulations!$J25="",1000,Simulations!$J25),Simulations!$CP25/(IF(Simulations!$G25="",5000,Simulations!$G25)*IF(Simulations!$H25="",5000,Simulations!$H25)*IF(IF(Simulations!$I25="",5000,Simulations!$I25)&gt;0,IF(Simulations!$I25="",5000,Simulations!$I25),1))*Simulations!$CR25*(PI()/2*IF(Simulations!$U25="",200,Simulations!$U25)^2*IF(IF(Simulations!$I25="",5000,Simulations!$I25)&gt;0,SQRT(PI()/2)*IF(Simulations!$X25="",1000,Simulations!$X25),1)),Simulations!$CP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U25="",200,Simulations!$U25)^2*IF(Simulations!$X25="",1000,Simulations!$X25)/2^1.5*(2/3*LN(Simulations!$CR25/IF(Simulations!$J25="",1000,Simulations!$J25))^1.5+SQRT(LN(Simulations!$CR25/IF(Simulations!$J25="",1000,Simulations!$J25)))+Simulations!$CR25/IF(Simulations!$J25="",1000,Simulations!$J25)*SQRT(PI())/2*ERFC(SQRT(LN(Simulations!$CR25/IF(Simulations!$J25="",1000,Simulations!$J25))))),PI()*IF(Simulations!$U25="",200,Simulations!$U25)^2/2*(LN(Simulations!$CR25/IF(Simulations!$J25="",1000,Simulations!$J25))+1))))</f>
        <v>0</v>
      </c>
      <c r="V25" s="0" t="n">
        <f aca="false">IF(OR(NOT(AND(Simulations!$A25&lt;&gt;"",OR(Simulations!$CN25&lt;&gt;"",N(Simulations!$CP25)&gt;0))),N(Simulations!$CS25)&lt;=0,N(Simulations!$CP25)&lt;=0,3&gt;N(IF(Simulations!$O25="",1,Simulations!$O25))),0,IF(Simulations!$CS25&lt;IF(Simulations!$J25="",1000,Simulations!$J25),Simulations!$CP25/(IF(Simulations!$G25="",5000,Simulations!$G25)*IF(Simulations!$H25="",5000,Simulations!$H25)*IF(IF(Simulations!$I25="",5000,Simulations!$I25)&gt;0,IF(Simulations!$I25="",5000,Simulations!$I25),1))*Simulations!$CS25*(PI()/2*IF(Simulations!$V25="",200,Simulations!$V25)^2*IF(IF(Simulations!$I25="",5000,Simulations!$I25)&gt;0,SQRT(PI()/2)*IF(Simulations!$Y25="",1000,Simulations!$Y25),1)),Simulations!$CP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V25="",200,Simulations!$V25)^2*IF(Simulations!$Y25="",1000,Simulations!$Y25)/2^1.5*(2/3*LN(Simulations!$CS25/IF(Simulations!$J25="",1000,Simulations!$J25))^1.5+SQRT(LN(Simulations!$CS25/IF(Simulations!$J25="",1000,Simulations!$J25)))+Simulations!$CS25/IF(Simulations!$J25="",1000,Simulations!$J25)*SQRT(PI())/2*ERFC(SQRT(LN(Simulations!$CS25/IF(Simulations!$J25="",1000,Simulations!$J25))))),PI()*IF(Simulations!$V25="",200,Simulations!$V25)^2/2*(LN(Simulations!$CS25/IF(Simulations!$J25="",1000,Simulations!$J25))+1))))</f>
        <v>0</v>
      </c>
      <c r="W25" s="0" t="n">
        <f aca="false">IF(NOT(AND(Simulations!$A25&lt;&gt;"",OR(Simulations!$CN25&lt;&gt;"",N(Simulations!$CP25)&gt;0))),0,MAX(N(Simulations!$CQ25),N(Simulations!$CR25),N(Simulations!$CS25))/IF(Simulations!$J25="",1000,Simulations!$J25))</f>
        <v>0</v>
      </c>
      <c r="X25" s="0" t="n">
        <f aca="false">IF(OR(NOT(AND(Simulations!$A25&lt;&gt;"",OR(Simulations!$CN25&lt;&gt;"",N(Simulations!$CP25)&gt;0))),N(Simulations!$CO25)&lt;=0),0,SQRT(2*Simulations!$CO25*1000000/(IF(Simulations!$J25="",1000,Simulations!$J25)*1000))/MIN(IF(Simulations!$T25="",200,Simulations!$T25),IF(Simulations!$U25="",200,Simulations!$U25),IF(Simulations!$V25="",200,Simulations!$V25)))</f>
        <v>0</v>
      </c>
      <c r="Y25" s="0" t="n">
        <f aca="false">IF(AND(Simulations!$A25&lt;&gt;"",OR(Simulations!$CN25&lt;&gt;"",N(Simulations!$CP25)&gt;0)),1,0)</f>
        <v>0</v>
      </c>
      <c r="Z25" s="0" t="n">
        <f aca="false">IF(OR(NOT(AND(Simulations!$A25&lt;&gt;"",OR(Simulations!$DF25&lt;&gt;"",N(Simulations!$DH25)&gt;0))),N(Simulations!$DI25)&lt;=0,N(Simulations!$DH25)&lt;=0,1&gt;N(IF(Simulations!$O25="",1,Simulations!$O25))),0,IF(Simulations!$DI25&lt;IF(Simulations!$J25="",1000,Simulations!$J25),Simulations!$DH25/(IF(Simulations!$G25="",5000,Simulations!$G25)*IF(Simulations!$H25="",5000,Simulations!$H25)*IF(IF(Simulations!$I25="",5000,Simulations!$I25)&gt;0,IF(Simulations!$I25="",5000,Simulations!$I25),1))*Simulations!$DI25*(PI()/2*IF(Simulations!$T25="",200,Simulations!$T25)^2*IF(IF(Simulations!$I25="",5000,Simulations!$I25)&gt;0,SQRT(PI()/2)*IF(Simulations!$W25="",1000,Simulations!$W25),1)),Simulations!$DH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T25="",200,Simulations!$T25)^2*IF(Simulations!$W25="",1000,Simulations!$W25)/2^1.5*(2/3*LN(Simulations!$DI25/IF(Simulations!$J25="",1000,Simulations!$J25))^1.5+SQRT(LN(Simulations!$DI25/IF(Simulations!$J25="",1000,Simulations!$J25)))+Simulations!$DI25/IF(Simulations!$J25="",1000,Simulations!$J25)*SQRT(PI())/2*ERFC(SQRT(LN(Simulations!$DI25/IF(Simulations!$J25="",1000,Simulations!$J25))))),PI()*IF(Simulations!$T25="",200,Simulations!$T25)^2/2*(LN(Simulations!$DI25/IF(Simulations!$J25="",1000,Simulations!$J25))+1))))</f>
        <v>0</v>
      </c>
      <c r="AA25" s="0" t="n">
        <f aca="false">IF(OR(NOT(AND(Simulations!$A25&lt;&gt;"",OR(Simulations!$DF25&lt;&gt;"",N(Simulations!$DH25)&gt;0))),N(Simulations!$DJ25)&lt;=0,N(Simulations!$DH25)&lt;=0,2&gt;N(IF(Simulations!$O25="",1,Simulations!$O25))),0,IF(Simulations!$DJ25&lt;IF(Simulations!$J25="",1000,Simulations!$J25),Simulations!$DH25/(IF(Simulations!$G25="",5000,Simulations!$G25)*IF(Simulations!$H25="",5000,Simulations!$H25)*IF(IF(Simulations!$I25="",5000,Simulations!$I25)&gt;0,IF(Simulations!$I25="",5000,Simulations!$I25),1))*Simulations!$DJ25*(PI()/2*IF(Simulations!$U25="",200,Simulations!$U25)^2*IF(IF(Simulations!$I25="",5000,Simulations!$I25)&gt;0,SQRT(PI()/2)*IF(Simulations!$X25="",1000,Simulations!$X25),1)),Simulations!$DH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U25="",200,Simulations!$U25)^2*IF(Simulations!$X25="",1000,Simulations!$X25)/2^1.5*(2/3*LN(Simulations!$DJ25/IF(Simulations!$J25="",1000,Simulations!$J25))^1.5+SQRT(LN(Simulations!$DJ25/IF(Simulations!$J25="",1000,Simulations!$J25)))+Simulations!$DJ25/IF(Simulations!$J25="",1000,Simulations!$J25)*SQRT(PI())/2*ERFC(SQRT(LN(Simulations!$DJ25/IF(Simulations!$J25="",1000,Simulations!$J25))))),PI()*IF(Simulations!$U25="",200,Simulations!$U25)^2/2*(LN(Simulations!$DJ25/IF(Simulations!$J25="",1000,Simulations!$J25))+1))))</f>
        <v>0</v>
      </c>
      <c r="AB25" s="0" t="n">
        <f aca="false">IF(OR(NOT(AND(Simulations!$A25&lt;&gt;"",OR(Simulations!$DF25&lt;&gt;"",N(Simulations!$DH25)&gt;0))),N(Simulations!$DK25)&lt;=0,N(Simulations!$DH25)&lt;=0,3&gt;N(IF(Simulations!$O25="",1,Simulations!$O25))),0,IF(Simulations!$DK25&lt;IF(Simulations!$J25="",1000,Simulations!$J25),Simulations!$DH25/(IF(Simulations!$G25="",5000,Simulations!$G25)*IF(Simulations!$H25="",5000,Simulations!$H25)*IF(IF(Simulations!$I25="",5000,Simulations!$I25)&gt;0,IF(Simulations!$I25="",5000,Simulations!$I25),1))*Simulations!$DK25*(PI()/2*IF(Simulations!$V25="",200,Simulations!$V25)^2*IF(IF(Simulations!$I25="",5000,Simulations!$I25)&gt;0,SQRT(PI()/2)*IF(Simulations!$Y25="",1000,Simulations!$Y25),1)),Simulations!$DH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V25="",200,Simulations!$V25)^2*IF(Simulations!$Y25="",1000,Simulations!$Y25)/2^1.5*(2/3*LN(Simulations!$DK25/IF(Simulations!$J25="",1000,Simulations!$J25))^1.5+SQRT(LN(Simulations!$DK25/IF(Simulations!$J25="",1000,Simulations!$J25)))+Simulations!$DK25/IF(Simulations!$J25="",1000,Simulations!$J25)*SQRT(PI())/2*ERFC(SQRT(LN(Simulations!$DK25/IF(Simulations!$J25="",1000,Simulations!$J25))))),PI()*IF(Simulations!$V25="",200,Simulations!$V25)^2/2*(LN(Simulations!$DK25/IF(Simulations!$J25="",1000,Simulations!$J25))+1))))</f>
        <v>0</v>
      </c>
      <c r="AC25" s="0" t="n">
        <f aca="false">IF(NOT(AND(Simulations!$A25&lt;&gt;"",OR(Simulations!$DF25&lt;&gt;"",N(Simulations!$DH25)&gt;0))),0,MAX(N(Simulations!$DI25),N(Simulations!$DJ25),N(Simulations!$DK25))/IF(Simulations!$J25="",1000,Simulations!$J25))</f>
        <v>0</v>
      </c>
      <c r="AD25" s="0" t="n">
        <f aca="false">IF(OR(NOT(AND(Simulations!$A25&lt;&gt;"",OR(Simulations!$DF25&lt;&gt;"",N(Simulations!$DH25)&gt;0))),N(Simulations!$DG25)&lt;=0),0,SQRT(2*Simulations!$DG25*1000000/(IF(Simulations!$J25="",1000,Simulations!$J25)*1000))/MIN(IF(Simulations!$T25="",200,Simulations!$T25),IF(Simulations!$U25="",200,Simulations!$U25),IF(Simulations!$V25="",200,Simulations!$V25)))</f>
        <v>0</v>
      </c>
      <c r="AE25" s="0" t="n">
        <f aca="false">IF(AND(Simulations!$A25&lt;&gt;"",OR(Simulations!$DF25&lt;&gt;"",N(Simulations!$DH25)&gt;0)),1,0)</f>
        <v>0</v>
      </c>
      <c r="AF25" s="0" t="n">
        <f aca="false">IF(OR(NOT(AND(Simulations!$A25&lt;&gt;"",OR(Simulations!$DX25&lt;&gt;"",N(Simulations!$DZ25)&gt;0))),N(Simulations!$EA25)&lt;=0,N(Simulations!$DZ25)&lt;=0,1&gt;N(IF(Simulations!$O25="",1,Simulations!$O25))),0,IF(Simulations!$EA25&lt;IF(Simulations!$J25="",1000,Simulations!$J25),Simulations!$DZ25/(IF(Simulations!$G25="",5000,Simulations!$G25)*IF(Simulations!$H25="",5000,Simulations!$H25)*IF(IF(Simulations!$I25="",5000,Simulations!$I25)&gt;0,IF(Simulations!$I25="",5000,Simulations!$I25),1))*Simulations!$EA25*(PI()/2*IF(Simulations!$T25="",200,Simulations!$T25)^2*IF(IF(Simulations!$I25="",5000,Simulations!$I25)&gt;0,SQRT(PI()/2)*IF(Simulations!$W25="",1000,Simulations!$W25),1)),Simulations!$DZ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T25="",200,Simulations!$T25)^2*IF(Simulations!$W25="",1000,Simulations!$W25)/2^1.5*(2/3*LN(Simulations!$EA25/IF(Simulations!$J25="",1000,Simulations!$J25))^1.5+SQRT(LN(Simulations!$EA25/IF(Simulations!$J25="",1000,Simulations!$J25)))+Simulations!$EA25/IF(Simulations!$J25="",1000,Simulations!$J25)*SQRT(PI())/2*ERFC(SQRT(LN(Simulations!$EA25/IF(Simulations!$J25="",1000,Simulations!$J25))))),PI()*IF(Simulations!$T25="",200,Simulations!$T25)^2/2*(LN(Simulations!$EA25/IF(Simulations!$J25="",1000,Simulations!$J25))+1))))</f>
        <v>0</v>
      </c>
      <c r="AG25" s="0" t="n">
        <f aca="false">IF(OR(NOT(AND(Simulations!$A25&lt;&gt;"",OR(Simulations!$DX25&lt;&gt;"",N(Simulations!$DZ25)&gt;0))),N(Simulations!$EB25)&lt;=0,N(Simulations!$DZ25)&lt;=0,2&gt;N(IF(Simulations!$O25="",1,Simulations!$O25))),0,IF(Simulations!$EB25&lt;IF(Simulations!$J25="",1000,Simulations!$J25),Simulations!$DZ25/(IF(Simulations!$G25="",5000,Simulations!$G25)*IF(Simulations!$H25="",5000,Simulations!$H25)*IF(IF(Simulations!$I25="",5000,Simulations!$I25)&gt;0,IF(Simulations!$I25="",5000,Simulations!$I25),1))*Simulations!$EB25*(PI()/2*IF(Simulations!$U25="",200,Simulations!$U25)^2*IF(IF(Simulations!$I25="",5000,Simulations!$I25)&gt;0,SQRT(PI()/2)*IF(Simulations!$X25="",1000,Simulations!$X25),1)),Simulations!$DZ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U25="",200,Simulations!$U25)^2*IF(Simulations!$X25="",1000,Simulations!$X25)/2^1.5*(2/3*LN(Simulations!$EB25/IF(Simulations!$J25="",1000,Simulations!$J25))^1.5+SQRT(LN(Simulations!$EB25/IF(Simulations!$J25="",1000,Simulations!$J25)))+Simulations!$EB25/IF(Simulations!$J25="",1000,Simulations!$J25)*SQRT(PI())/2*ERFC(SQRT(LN(Simulations!$EB25/IF(Simulations!$J25="",1000,Simulations!$J25))))),PI()*IF(Simulations!$U25="",200,Simulations!$U25)^2/2*(LN(Simulations!$EB25/IF(Simulations!$J25="",1000,Simulations!$J25))+1))))</f>
        <v>0</v>
      </c>
      <c r="AH25" s="0" t="n">
        <f aca="false">IF(OR(NOT(AND(Simulations!$A25&lt;&gt;"",OR(Simulations!$DX25&lt;&gt;"",N(Simulations!$DZ25)&gt;0))),N(Simulations!$EC25)&lt;=0,N(Simulations!$DZ25)&lt;=0,3&gt;N(IF(Simulations!$O25="",1,Simulations!$O25))),0,IF(Simulations!$EC25&lt;IF(Simulations!$J25="",1000,Simulations!$J25),Simulations!$DZ25/(IF(Simulations!$G25="",5000,Simulations!$G25)*IF(Simulations!$H25="",5000,Simulations!$H25)*IF(IF(Simulations!$I25="",5000,Simulations!$I25)&gt;0,IF(Simulations!$I25="",5000,Simulations!$I25),1))*Simulations!$EC25*(PI()/2*IF(Simulations!$V25="",200,Simulations!$V25)^2*IF(IF(Simulations!$I25="",5000,Simulations!$I25)&gt;0,SQRT(PI()/2)*IF(Simulations!$Y25="",1000,Simulations!$Y25),1)),Simulations!$DZ25/(IF(Simulations!$G25="",5000,Simulations!$G25)*IF(Simulations!$H25="",5000,Simulations!$H25)*IF(IF(Simulations!$I25="",5000,Simulations!$I25)&gt;0,IF(Simulations!$I25="",5000,Simulations!$I25),1))*IF(Simulations!$J25="",1000,Simulations!$J25)*IF(IF(Simulations!$I25="",5000,Simulations!$I25)&gt;0,2*PI()*IF(Simulations!$V25="",200,Simulations!$V25)^2*IF(Simulations!$Y25="",1000,Simulations!$Y25)/2^1.5*(2/3*LN(Simulations!$EC25/IF(Simulations!$J25="",1000,Simulations!$J25))^1.5+SQRT(LN(Simulations!$EC25/IF(Simulations!$J25="",1000,Simulations!$J25)))+Simulations!$EC25/IF(Simulations!$J25="",1000,Simulations!$J25)*SQRT(PI())/2*ERFC(SQRT(LN(Simulations!$EC25/IF(Simulations!$J25="",1000,Simulations!$J25))))),PI()*IF(Simulations!$V25="",200,Simulations!$V25)^2/2*(LN(Simulations!$EC25/IF(Simulations!$J25="",1000,Simulations!$J25))+1))))</f>
        <v>0</v>
      </c>
      <c r="AI25" s="0" t="n">
        <f aca="false">IF(NOT(AND(Simulations!$A25&lt;&gt;"",OR(Simulations!$DX25&lt;&gt;"",N(Simulations!$DZ25)&gt;0))),0,MAX(N(Simulations!$EA25),N(Simulations!$EB25),N(Simulations!$EC25))/IF(Simulations!$J25="",1000,Simulations!$J25))</f>
        <v>0</v>
      </c>
      <c r="AJ25" s="0" t="n">
        <f aca="false">IF(OR(NOT(AND(Simulations!$A25&lt;&gt;"",OR(Simulations!$DX25&lt;&gt;"",N(Simulations!$DZ25)&gt;0))),N(Simulations!$DY25)&lt;=0),0,SQRT(2*Simulations!$DY25*1000000/(IF(Simulations!$J25="",1000,Simulations!$J25)*1000))/MIN(IF(Simulations!$T25="",200,Simulations!$T25),IF(Simulations!$U25="",200,Simulations!$U25),IF(Simulations!$V25="",200,Simulations!$V25)))</f>
        <v>0</v>
      </c>
      <c r="AK25" s="0" t="n">
        <f aca="false">IF(AND(Simulations!$A25&lt;&gt;"",OR(Simulations!$DX25&lt;&gt;"",N(Simulations!$DZ25)&gt;0)),1,0)</f>
        <v>0</v>
      </c>
    </row>
    <row r="26" customFormat="false" ht="15" hidden="false" customHeight="false" outlineLevel="0" collapsed="false">
      <c r="B26" s="0" t="n">
        <f aca="false">IF(OR(NOT(AND(Simulations!$A26&lt;&gt;"",OR(Simulations!$AL26&lt;&gt;"",N(Simulations!$AN26)&gt;0))),N(Simulations!$AO26)&lt;=0,N(Simulations!$AN26)&lt;=0,1&gt;N(IF(Simulations!$O26="",1,Simulations!$O26))),0,IF(Simulations!$AO26&lt;IF(Simulations!$J26="",1000,Simulations!$J26),Simulations!$AN26/(IF(Simulations!$G26="",5000,Simulations!$G26)*IF(Simulations!$H26="",5000,Simulations!$H26)*IF(IF(Simulations!$I26="",5000,Simulations!$I26)&gt;0,IF(Simulations!$I26="",5000,Simulations!$I26),1))*Simulations!$AO26*(PI()/2*IF(Simulations!$T26="",200,Simulations!$T26)^2*IF(IF(Simulations!$I26="",5000,Simulations!$I26)&gt;0,SQRT(PI()/2)*IF(Simulations!$W26="",1000,Simulations!$W26),1)),Simulations!$AN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T26="",200,Simulations!$T26)^2*IF(Simulations!$W26="",1000,Simulations!$W26)/2^1.5*(2/3*LN(Simulations!$AO26/IF(Simulations!$J26="",1000,Simulations!$J26))^1.5+SQRT(LN(Simulations!$AO26/IF(Simulations!$J26="",1000,Simulations!$J26)))+Simulations!$AO26/IF(Simulations!$J26="",1000,Simulations!$J26)*SQRT(PI())/2*ERFC(SQRT(LN(Simulations!$AO26/IF(Simulations!$J26="",1000,Simulations!$J26))))),PI()*IF(Simulations!$T26="",200,Simulations!$T26)^2/2*(LN(Simulations!$AO26/IF(Simulations!$J26="",1000,Simulations!$J26))+1))))</f>
        <v>0</v>
      </c>
      <c r="C26" s="0" t="n">
        <f aca="false">IF(OR(NOT(AND(Simulations!$A26&lt;&gt;"",OR(Simulations!$AL26&lt;&gt;"",N(Simulations!$AN26)&gt;0))),N(Simulations!$AP26)&lt;=0,N(Simulations!$AN26)&lt;=0,2&gt;N(IF(Simulations!$O26="",1,Simulations!$O26))),0,IF(Simulations!$AP26&lt;IF(Simulations!$J26="",1000,Simulations!$J26),Simulations!$AN26/(IF(Simulations!$G26="",5000,Simulations!$G26)*IF(Simulations!$H26="",5000,Simulations!$H26)*IF(IF(Simulations!$I26="",5000,Simulations!$I26)&gt;0,IF(Simulations!$I26="",5000,Simulations!$I26),1))*Simulations!$AP26*(PI()/2*IF(Simulations!$U26="",200,Simulations!$U26)^2*IF(IF(Simulations!$I26="",5000,Simulations!$I26)&gt;0,SQRT(PI()/2)*IF(Simulations!$X26="",1000,Simulations!$X26),1)),Simulations!$AN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U26="",200,Simulations!$U26)^2*IF(Simulations!$X26="",1000,Simulations!$X26)/2^1.5*(2/3*LN(Simulations!$AP26/IF(Simulations!$J26="",1000,Simulations!$J26))^1.5+SQRT(LN(Simulations!$AP26/IF(Simulations!$J26="",1000,Simulations!$J26)))+Simulations!$AP26/IF(Simulations!$J26="",1000,Simulations!$J26)*SQRT(PI())/2*ERFC(SQRT(LN(Simulations!$AP26/IF(Simulations!$J26="",1000,Simulations!$J26))))),PI()*IF(Simulations!$U26="",200,Simulations!$U26)^2/2*(LN(Simulations!$AP26/IF(Simulations!$J26="",1000,Simulations!$J26))+1))))</f>
        <v>0</v>
      </c>
      <c r="D26" s="0" t="n">
        <f aca="false">IF(OR(NOT(AND(Simulations!$A26&lt;&gt;"",OR(Simulations!$AL26&lt;&gt;"",N(Simulations!$AN26)&gt;0))),N(Simulations!$AQ26)&lt;=0,N(Simulations!$AN26)&lt;=0,3&gt;N(IF(Simulations!$O26="",1,Simulations!$O26))),0,IF(Simulations!$AQ26&lt;IF(Simulations!$J26="",1000,Simulations!$J26),Simulations!$AN26/(IF(Simulations!$G26="",5000,Simulations!$G26)*IF(Simulations!$H26="",5000,Simulations!$H26)*IF(IF(Simulations!$I26="",5000,Simulations!$I26)&gt;0,IF(Simulations!$I26="",5000,Simulations!$I26),1))*Simulations!$AQ26*(PI()/2*IF(Simulations!$V26="",200,Simulations!$V26)^2*IF(IF(Simulations!$I26="",5000,Simulations!$I26)&gt;0,SQRT(PI()/2)*IF(Simulations!$Y26="",1000,Simulations!$Y26),1)),Simulations!$AN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V26="",200,Simulations!$V26)^2*IF(Simulations!$Y26="",1000,Simulations!$Y26)/2^1.5*(2/3*LN(Simulations!$AQ26/IF(Simulations!$J26="",1000,Simulations!$J26))^1.5+SQRT(LN(Simulations!$AQ26/IF(Simulations!$J26="",1000,Simulations!$J26)))+Simulations!$AQ26/IF(Simulations!$J26="",1000,Simulations!$J26)*SQRT(PI())/2*ERFC(SQRT(LN(Simulations!$AQ26/IF(Simulations!$J26="",1000,Simulations!$J26))))),PI()*IF(Simulations!$V26="",200,Simulations!$V26)^2/2*(LN(Simulations!$AQ26/IF(Simulations!$J26="",1000,Simulations!$J26))+1))))</f>
        <v>0</v>
      </c>
      <c r="E26" s="0" t="n">
        <f aca="false">IF(NOT(AND(Simulations!$A26&lt;&gt;"",OR(Simulations!$AL26&lt;&gt;"",N(Simulations!$AN26)&gt;0))),0,MAX(N(Simulations!$AO26),N(Simulations!$AP26),N(Simulations!$AQ26))/IF(Simulations!$J26="",1000,Simulations!$J26))</f>
        <v>0</v>
      </c>
      <c r="F26" s="0" t="n">
        <f aca="false">IF(OR(NOT(AND(Simulations!$A26&lt;&gt;"",OR(Simulations!$AL26&lt;&gt;"",N(Simulations!$AN26)&gt;0))),N(Simulations!$AM26)&lt;=0),0,SQRT(2*Simulations!$AM26*1000000/(IF(Simulations!$J26="",1000,Simulations!$J26)*1000))/MIN(IF(Simulations!$T26="",200,Simulations!$T26),IF(Simulations!$U26="",200,Simulations!$U26),IF(Simulations!$V26="",200,Simulations!$V26)))</f>
        <v>0</v>
      </c>
      <c r="G26" s="0" t="n">
        <f aca="false">IF(AND(Simulations!$A26&lt;&gt;"",OR(Simulations!$AL26&lt;&gt;"",N(Simulations!$AN26)&gt;0)),1,0)</f>
        <v>0</v>
      </c>
      <c r="H26" s="0" t="n">
        <f aca="false">IF(OR(NOT(AND(Simulations!$A26&lt;&gt;"",OR(Simulations!$BD26&lt;&gt;"",N(Simulations!$BF26)&gt;0))),N(Simulations!$BG26)&lt;=0,N(Simulations!$BF26)&lt;=0,1&gt;N(IF(Simulations!$O26="",1,Simulations!$O26))),0,IF(Simulations!$BG26&lt;IF(Simulations!$J26="",1000,Simulations!$J26),Simulations!$BF26/(IF(Simulations!$G26="",5000,Simulations!$G26)*IF(Simulations!$H26="",5000,Simulations!$H26)*IF(IF(Simulations!$I26="",5000,Simulations!$I26)&gt;0,IF(Simulations!$I26="",5000,Simulations!$I26),1))*Simulations!$BG26*(PI()/2*IF(Simulations!$T26="",200,Simulations!$T26)^2*IF(IF(Simulations!$I26="",5000,Simulations!$I26)&gt;0,SQRT(PI()/2)*IF(Simulations!$W26="",1000,Simulations!$W26),1)),Simulations!$BF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T26="",200,Simulations!$T26)^2*IF(Simulations!$W26="",1000,Simulations!$W26)/2^1.5*(2/3*LN(Simulations!$BG26/IF(Simulations!$J26="",1000,Simulations!$J26))^1.5+SQRT(LN(Simulations!$BG26/IF(Simulations!$J26="",1000,Simulations!$J26)))+Simulations!$BG26/IF(Simulations!$J26="",1000,Simulations!$J26)*SQRT(PI())/2*ERFC(SQRT(LN(Simulations!$BG26/IF(Simulations!$J26="",1000,Simulations!$J26))))),PI()*IF(Simulations!$T26="",200,Simulations!$T26)^2/2*(LN(Simulations!$BG26/IF(Simulations!$J26="",1000,Simulations!$J26))+1))))</f>
        <v>0</v>
      </c>
      <c r="I26" s="0" t="n">
        <f aca="false">IF(OR(NOT(AND(Simulations!$A26&lt;&gt;"",OR(Simulations!$BD26&lt;&gt;"",N(Simulations!$BF26)&gt;0))),N(Simulations!$BH26)&lt;=0,N(Simulations!$BF26)&lt;=0,2&gt;N(IF(Simulations!$O26="",1,Simulations!$O26))),0,IF(Simulations!$BH26&lt;IF(Simulations!$J26="",1000,Simulations!$J26),Simulations!$BF26/(IF(Simulations!$G26="",5000,Simulations!$G26)*IF(Simulations!$H26="",5000,Simulations!$H26)*IF(IF(Simulations!$I26="",5000,Simulations!$I26)&gt;0,IF(Simulations!$I26="",5000,Simulations!$I26),1))*Simulations!$BH26*(PI()/2*IF(Simulations!$U26="",200,Simulations!$U26)^2*IF(IF(Simulations!$I26="",5000,Simulations!$I26)&gt;0,SQRT(PI()/2)*IF(Simulations!$X26="",1000,Simulations!$X26),1)),Simulations!$BF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U26="",200,Simulations!$U26)^2*IF(Simulations!$X26="",1000,Simulations!$X26)/2^1.5*(2/3*LN(Simulations!$BH26/IF(Simulations!$J26="",1000,Simulations!$J26))^1.5+SQRT(LN(Simulations!$BH26/IF(Simulations!$J26="",1000,Simulations!$J26)))+Simulations!$BH26/IF(Simulations!$J26="",1000,Simulations!$J26)*SQRT(PI())/2*ERFC(SQRT(LN(Simulations!$BH26/IF(Simulations!$J26="",1000,Simulations!$J26))))),PI()*IF(Simulations!$U26="",200,Simulations!$U26)^2/2*(LN(Simulations!$BH26/IF(Simulations!$J26="",1000,Simulations!$J26))+1))))</f>
        <v>0</v>
      </c>
      <c r="J26" s="0" t="n">
        <f aca="false">IF(OR(NOT(AND(Simulations!$A26&lt;&gt;"",OR(Simulations!$BD26&lt;&gt;"",N(Simulations!$BF26)&gt;0))),N(Simulations!$BI26)&lt;=0,N(Simulations!$BF26)&lt;=0,3&gt;N(IF(Simulations!$O26="",1,Simulations!$O26))),0,IF(Simulations!$BI26&lt;IF(Simulations!$J26="",1000,Simulations!$J26),Simulations!$BF26/(IF(Simulations!$G26="",5000,Simulations!$G26)*IF(Simulations!$H26="",5000,Simulations!$H26)*IF(IF(Simulations!$I26="",5000,Simulations!$I26)&gt;0,IF(Simulations!$I26="",5000,Simulations!$I26),1))*Simulations!$BI26*(PI()/2*IF(Simulations!$V26="",200,Simulations!$V26)^2*IF(IF(Simulations!$I26="",5000,Simulations!$I26)&gt;0,SQRT(PI()/2)*IF(Simulations!$Y26="",1000,Simulations!$Y26),1)),Simulations!$BF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V26="",200,Simulations!$V26)^2*IF(Simulations!$Y26="",1000,Simulations!$Y26)/2^1.5*(2/3*LN(Simulations!$BI26/IF(Simulations!$J26="",1000,Simulations!$J26))^1.5+SQRT(LN(Simulations!$BI26/IF(Simulations!$J26="",1000,Simulations!$J26)))+Simulations!$BI26/IF(Simulations!$J26="",1000,Simulations!$J26)*SQRT(PI())/2*ERFC(SQRT(LN(Simulations!$BI26/IF(Simulations!$J26="",1000,Simulations!$J26))))),PI()*IF(Simulations!$V26="",200,Simulations!$V26)^2/2*(LN(Simulations!$BI26/IF(Simulations!$J26="",1000,Simulations!$J26))+1))))</f>
        <v>0</v>
      </c>
      <c r="K26" s="0" t="n">
        <f aca="false">IF(NOT(AND(Simulations!$A26&lt;&gt;"",OR(Simulations!$BD26&lt;&gt;"",N(Simulations!$BF26)&gt;0))),0,MAX(N(Simulations!$BG26),N(Simulations!$BH26),N(Simulations!$BI26))/IF(Simulations!$J26="",1000,Simulations!$J26))</f>
        <v>0</v>
      </c>
      <c r="L26" s="0" t="n">
        <f aca="false">IF(OR(NOT(AND(Simulations!$A26&lt;&gt;"",OR(Simulations!$BD26&lt;&gt;"",N(Simulations!$BF26)&gt;0))),N(Simulations!$BE26)&lt;=0),0,SQRT(2*Simulations!$BE26*1000000/(IF(Simulations!$J26="",1000,Simulations!$J26)*1000))/MIN(IF(Simulations!$T26="",200,Simulations!$T26),IF(Simulations!$U26="",200,Simulations!$U26),IF(Simulations!$V26="",200,Simulations!$V26)))</f>
        <v>0</v>
      </c>
      <c r="M26" s="0" t="n">
        <f aca="false">IF(AND(Simulations!$A26&lt;&gt;"",OR(Simulations!$BD26&lt;&gt;"",N(Simulations!$BF26)&gt;0)),1,0)</f>
        <v>0</v>
      </c>
      <c r="N26" s="0" t="n">
        <f aca="false">IF(OR(NOT(AND(Simulations!$A26&lt;&gt;"",OR(Simulations!$BV26&lt;&gt;"",N(Simulations!$BX26)&gt;0))),N(Simulations!$BY26)&lt;=0,N(Simulations!$BX26)&lt;=0,1&gt;N(IF(Simulations!$O26="",1,Simulations!$O26))),0,IF(Simulations!$BY26&lt;IF(Simulations!$J26="",1000,Simulations!$J26),Simulations!$BX26/(IF(Simulations!$G26="",5000,Simulations!$G26)*IF(Simulations!$H26="",5000,Simulations!$H26)*IF(IF(Simulations!$I26="",5000,Simulations!$I26)&gt;0,IF(Simulations!$I26="",5000,Simulations!$I26),1))*Simulations!$BY26*(PI()/2*IF(Simulations!$T26="",200,Simulations!$T26)^2*IF(IF(Simulations!$I26="",5000,Simulations!$I26)&gt;0,SQRT(PI()/2)*IF(Simulations!$W26="",1000,Simulations!$W26),1)),Simulations!$BX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T26="",200,Simulations!$T26)^2*IF(Simulations!$W26="",1000,Simulations!$W26)/2^1.5*(2/3*LN(Simulations!$BY26/IF(Simulations!$J26="",1000,Simulations!$J26))^1.5+SQRT(LN(Simulations!$BY26/IF(Simulations!$J26="",1000,Simulations!$J26)))+Simulations!$BY26/IF(Simulations!$J26="",1000,Simulations!$J26)*SQRT(PI())/2*ERFC(SQRT(LN(Simulations!$BY26/IF(Simulations!$J26="",1000,Simulations!$J26))))),PI()*IF(Simulations!$T26="",200,Simulations!$T26)^2/2*(LN(Simulations!$BY26/IF(Simulations!$J26="",1000,Simulations!$J26))+1))))</f>
        <v>0</v>
      </c>
      <c r="O26" s="0" t="n">
        <f aca="false">IF(OR(NOT(AND(Simulations!$A26&lt;&gt;"",OR(Simulations!$BV26&lt;&gt;"",N(Simulations!$BX26)&gt;0))),N(Simulations!$BZ26)&lt;=0,N(Simulations!$BX26)&lt;=0,2&gt;N(IF(Simulations!$O26="",1,Simulations!$O26))),0,IF(Simulations!$BZ26&lt;IF(Simulations!$J26="",1000,Simulations!$J26),Simulations!$BX26/(IF(Simulations!$G26="",5000,Simulations!$G26)*IF(Simulations!$H26="",5000,Simulations!$H26)*IF(IF(Simulations!$I26="",5000,Simulations!$I26)&gt;0,IF(Simulations!$I26="",5000,Simulations!$I26),1))*Simulations!$BZ26*(PI()/2*IF(Simulations!$U26="",200,Simulations!$U26)^2*IF(IF(Simulations!$I26="",5000,Simulations!$I26)&gt;0,SQRT(PI()/2)*IF(Simulations!$X26="",1000,Simulations!$X26),1)),Simulations!$BX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U26="",200,Simulations!$U26)^2*IF(Simulations!$X26="",1000,Simulations!$X26)/2^1.5*(2/3*LN(Simulations!$BZ26/IF(Simulations!$J26="",1000,Simulations!$J26))^1.5+SQRT(LN(Simulations!$BZ26/IF(Simulations!$J26="",1000,Simulations!$J26)))+Simulations!$BZ26/IF(Simulations!$J26="",1000,Simulations!$J26)*SQRT(PI())/2*ERFC(SQRT(LN(Simulations!$BZ26/IF(Simulations!$J26="",1000,Simulations!$J26))))),PI()*IF(Simulations!$U26="",200,Simulations!$U26)^2/2*(LN(Simulations!$BZ26/IF(Simulations!$J26="",1000,Simulations!$J26))+1))))</f>
        <v>0</v>
      </c>
      <c r="P26" s="0" t="n">
        <f aca="false">IF(OR(NOT(AND(Simulations!$A26&lt;&gt;"",OR(Simulations!$BV26&lt;&gt;"",N(Simulations!$BX26)&gt;0))),N(Simulations!$CA26)&lt;=0,N(Simulations!$BX26)&lt;=0,3&gt;N(IF(Simulations!$O26="",1,Simulations!$O26))),0,IF(Simulations!$CA26&lt;IF(Simulations!$J26="",1000,Simulations!$J26),Simulations!$BX26/(IF(Simulations!$G26="",5000,Simulations!$G26)*IF(Simulations!$H26="",5000,Simulations!$H26)*IF(IF(Simulations!$I26="",5000,Simulations!$I26)&gt;0,IF(Simulations!$I26="",5000,Simulations!$I26),1))*Simulations!$CA26*(PI()/2*IF(Simulations!$V26="",200,Simulations!$V26)^2*IF(IF(Simulations!$I26="",5000,Simulations!$I26)&gt;0,SQRT(PI()/2)*IF(Simulations!$Y26="",1000,Simulations!$Y26),1)),Simulations!$BX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V26="",200,Simulations!$V26)^2*IF(Simulations!$Y26="",1000,Simulations!$Y26)/2^1.5*(2/3*LN(Simulations!$CA26/IF(Simulations!$J26="",1000,Simulations!$J26))^1.5+SQRT(LN(Simulations!$CA26/IF(Simulations!$J26="",1000,Simulations!$J26)))+Simulations!$CA26/IF(Simulations!$J26="",1000,Simulations!$J26)*SQRT(PI())/2*ERFC(SQRT(LN(Simulations!$CA26/IF(Simulations!$J26="",1000,Simulations!$J26))))),PI()*IF(Simulations!$V26="",200,Simulations!$V26)^2/2*(LN(Simulations!$CA26/IF(Simulations!$J26="",1000,Simulations!$J26))+1))))</f>
        <v>0</v>
      </c>
      <c r="Q26" s="0" t="n">
        <f aca="false">IF(NOT(AND(Simulations!$A26&lt;&gt;"",OR(Simulations!$BV26&lt;&gt;"",N(Simulations!$BX26)&gt;0))),0,MAX(N(Simulations!$BY26),N(Simulations!$BZ26),N(Simulations!$CA26))/IF(Simulations!$J26="",1000,Simulations!$J26))</f>
        <v>0</v>
      </c>
      <c r="R26" s="0" t="n">
        <f aca="false">IF(OR(NOT(AND(Simulations!$A26&lt;&gt;"",OR(Simulations!$BV26&lt;&gt;"",N(Simulations!$BX26)&gt;0))),N(Simulations!$BW26)&lt;=0),0,SQRT(2*Simulations!$BW26*1000000/(IF(Simulations!$J26="",1000,Simulations!$J26)*1000))/MIN(IF(Simulations!$T26="",200,Simulations!$T26),IF(Simulations!$U26="",200,Simulations!$U26),IF(Simulations!$V26="",200,Simulations!$V26)))</f>
        <v>0</v>
      </c>
      <c r="S26" s="0" t="n">
        <f aca="false">IF(AND(Simulations!$A26&lt;&gt;"",OR(Simulations!$BV26&lt;&gt;"",N(Simulations!$BX26)&gt;0)),1,0)</f>
        <v>0</v>
      </c>
      <c r="T26" s="0" t="n">
        <f aca="false">IF(OR(NOT(AND(Simulations!$A26&lt;&gt;"",OR(Simulations!$CN26&lt;&gt;"",N(Simulations!$CP26)&gt;0))),N(Simulations!$CQ26)&lt;=0,N(Simulations!$CP26)&lt;=0,1&gt;N(IF(Simulations!$O26="",1,Simulations!$O26))),0,IF(Simulations!$CQ26&lt;IF(Simulations!$J26="",1000,Simulations!$J26),Simulations!$CP26/(IF(Simulations!$G26="",5000,Simulations!$G26)*IF(Simulations!$H26="",5000,Simulations!$H26)*IF(IF(Simulations!$I26="",5000,Simulations!$I26)&gt;0,IF(Simulations!$I26="",5000,Simulations!$I26),1))*Simulations!$CQ26*(PI()/2*IF(Simulations!$T26="",200,Simulations!$T26)^2*IF(IF(Simulations!$I26="",5000,Simulations!$I26)&gt;0,SQRT(PI()/2)*IF(Simulations!$W26="",1000,Simulations!$W26),1)),Simulations!$CP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T26="",200,Simulations!$T26)^2*IF(Simulations!$W26="",1000,Simulations!$W26)/2^1.5*(2/3*LN(Simulations!$CQ26/IF(Simulations!$J26="",1000,Simulations!$J26))^1.5+SQRT(LN(Simulations!$CQ26/IF(Simulations!$J26="",1000,Simulations!$J26)))+Simulations!$CQ26/IF(Simulations!$J26="",1000,Simulations!$J26)*SQRT(PI())/2*ERFC(SQRT(LN(Simulations!$CQ26/IF(Simulations!$J26="",1000,Simulations!$J26))))),PI()*IF(Simulations!$T26="",200,Simulations!$T26)^2/2*(LN(Simulations!$CQ26/IF(Simulations!$J26="",1000,Simulations!$J26))+1))))</f>
        <v>0</v>
      </c>
      <c r="U26" s="0" t="n">
        <f aca="false">IF(OR(NOT(AND(Simulations!$A26&lt;&gt;"",OR(Simulations!$CN26&lt;&gt;"",N(Simulations!$CP26)&gt;0))),N(Simulations!$CR26)&lt;=0,N(Simulations!$CP26)&lt;=0,2&gt;N(IF(Simulations!$O26="",1,Simulations!$O26))),0,IF(Simulations!$CR26&lt;IF(Simulations!$J26="",1000,Simulations!$J26),Simulations!$CP26/(IF(Simulations!$G26="",5000,Simulations!$G26)*IF(Simulations!$H26="",5000,Simulations!$H26)*IF(IF(Simulations!$I26="",5000,Simulations!$I26)&gt;0,IF(Simulations!$I26="",5000,Simulations!$I26),1))*Simulations!$CR26*(PI()/2*IF(Simulations!$U26="",200,Simulations!$U26)^2*IF(IF(Simulations!$I26="",5000,Simulations!$I26)&gt;0,SQRT(PI()/2)*IF(Simulations!$X26="",1000,Simulations!$X26),1)),Simulations!$CP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U26="",200,Simulations!$U26)^2*IF(Simulations!$X26="",1000,Simulations!$X26)/2^1.5*(2/3*LN(Simulations!$CR26/IF(Simulations!$J26="",1000,Simulations!$J26))^1.5+SQRT(LN(Simulations!$CR26/IF(Simulations!$J26="",1000,Simulations!$J26)))+Simulations!$CR26/IF(Simulations!$J26="",1000,Simulations!$J26)*SQRT(PI())/2*ERFC(SQRT(LN(Simulations!$CR26/IF(Simulations!$J26="",1000,Simulations!$J26))))),PI()*IF(Simulations!$U26="",200,Simulations!$U26)^2/2*(LN(Simulations!$CR26/IF(Simulations!$J26="",1000,Simulations!$J26))+1))))</f>
        <v>0</v>
      </c>
      <c r="V26" s="0" t="n">
        <f aca="false">IF(OR(NOT(AND(Simulations!$A26&lt;&gt;"",OR(Simulations!$CN26&lt;&gt;"",N(Simulations!$CP26)&gt;0))),N(Simulations!$CS26)&lt;=0,N(Simulations!$CP26)&lt;=0,3&gt;N(IF(Simulations!$O26="",1,Simulations!$O26))),0,IF(Simulations!$CS26&lt;IF(Simulations!$J26="",1000,Simulations!$J26),Simulations!$CP26/(IF(Simulations!$G26="",5000,Simulations!$G26)*IF(Simulations!$H26="",5000,Simulations!$H26)*IF(IF(Simulations!$I26="",5000,Simulations!$I26)&gt;0,IF(Simulations!$I26="",5000,Simulations!$I26),1))*Simulations!$CS26*(PI()/2*IF(Simulations!$V26="",200,Simulations!$V26)^2*IF(IF(Simulations!$I26="",5000,Simulations!$I26)&gt;0,SQRT(PI()/2)*IF(Simulations!$Y26="",1000,Simulations!$Y26),1)),Simulations!$CP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V26="",200,Simulations!$V26)^2*IF(Simulations!$Y26="",1000,Simulations!$Y26)/2^1.5*(2/3*LN(Simulations!$CS26/IF(Simulations!$J26="",1000,Simulations!$J26))^1.5+SQRT(LN(Simulations!$CS26/IF(Simulations!$J26="",1000,Simulations!$J26)))+Simulations!$CS26/IF(Simulations!$J26="",1000,Simulations!$J26)*SQRT(PI())/2*ERFC(SQRT(LN(Simulations!$CS26/IF(Simulations!$J26="",1000,Simulations!$J26))))),PI()*IF(Simulations!$V26="",200,Simulations!$V26)^2/2*(LN(Simulations!$CS26/IF(Simulations!$J26="",1000,Simulations!$J26))+1))))</f>
        <v>0</v>
      </c>
      <c r="W26" s="0" t="n">
        <f aca="false">IF(NOT(AND(Simulations!$A26&lt;&gt;"",OR(Simulations!$CN26&lt;&gt;"",N(Simulations!$CP26)&gt;0))),0,MAX(N(Simulations!$CQ26),N(Simulations!$CR26),N(Simulations!$CS26))/IF(Simulations!$J26="",1000,Simulations!$J26))</f>
        <v>0</v>
      </c>
      <c r="X26" s="0" t="n">
        <f aca="false">IF(OR(NOT(AND(Simulations!$A26&lt;&gt;"",OR(Simulations!$CN26&lt;&gt;"",N(Simulations!$CP26)&gt;0))),N(Simulations!$CO26)&lt;=0),0,SQRT(2*Simulations!$CO26*1000000/(IF(Simulations!$J26="",1000,Simulations!$J26)*1000))/MIN(IF(Simulations!$T26="",200,Simulations!$T26),IF(Simulations!$U26="",200,Simulations!$U26),IF(Simulations!$V26="",200,Simulations!$V26)))</f>
        <v>0</v>
      </c>
      <c r="Y26" s="0" t="n">
        <f aca="false">IF(AND(Simulations!$A26&lt;&gt;"",OR(Simulations!$CN26&lt;&gt;"",N(Simulations!$CP26)&gt;0)),1,0)</f>
        <v>0</v>
      </c>
      <c r="Z26" s="0" t="n">
        <f aca="false">IF(OR(NOT(AND(Simulations!$A26&lt;&gt;"",OR(Simulations!$DF26&lt;&gt;"",N(Simulations!$DH26)&gt;0))),N(Simulations!$DI26)&lt;=0,N(Simulations!$DH26)&lt;=0,1&gt;N(IF(Simulations!$O26="",1,Simulations!$O26))),0,IF(Simulations!$DI26&lt;IF(Simulations!$J26="",1000,Simulations!$J26),Simulations!$DH26/(IF(Simulations!$G26="",5000,Simulations!$G26)*IF(Simulations!$H26="",5000,Simulations!$H26)*IF(IF(Simulations!$I26="",5000,Simulations!$I26)&gt;0,IF(Simulations!$I26="",5000,Simulations!$I26),1))*Simulations!$DI26*(PI()/2*IF(Simulations!$T26="",200,Simulations!$T26)^2*IF(IF(Simulations!$I26="",5000,Simulations!$I26)&gt;0,SQRT(PI()/2)*IF(Simulations!$W26="",1000,Simulations!$W26),1)),Simulations!$DH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T26="",200,Simulations!$T26)^2*IF(Simulations!$W26="",1000,Simulations!$W26)/2^1.5*(2/3*LN(Simulations!$DI26/IF(Simulations!$J26="",1000,Simulations!$J26))^1.5+SQRT(LN(Simulations!$DI26/IF(Simulations!$J26="",1000,Simulations!$J26)))+Simulations!$DI26/IF(Simulations!$J26="",1000,Simulations!$J26)*SQRT(PI())/2*ERFC(SQRT(LN(Simulations!$DI26/IF(Simulations!$J26="",1000,Simulations!$J26))))),PI()*IF(Simulations!$T26="",200,Simulations!$T26)^2/2*(LN(Simulations!$DI26/IF(Simulations!$J26="",1000,Simulations!$J26))+1))))</f>
        <v>0</v>
      </c>
      <c r="AA26" s="0" t="n">
        <f aca="false">IF(OR(NOT(AND(Simulations!$A26&lt;&gt;"",OR(Simulations!$DF26&lt;&gt;"",N(Simulations!$DH26)&gt;0))),N(Simulations!$DJ26)&lt;=0,N(Simulations!$DH26)&lt;=0,2&gt;N(IF(Simulations!$O26="",1,Simulations!$O26))),0,IF(Simulations!$DJ26&lt;IF(Simulations!$J26="",1000,Simulations!$J26),Simulations!$DH26/(IF(Simulations!$G26="",5000,Simulations!$G26)*IF(Simulations!$H26="",5000,Simulations!$H26)*IF(IF(Simulations!$I26="",5000,Simulations!$I26)&gt;0,IF(Simulations!$I26="",5000,Simulations!$I26),1))*Simulations!$DJ26*(PI()/2*IF(Simulations!$U26="",200,Simulations!$U26)^2*IF(IF(Simulations!$I26="",5000,Simulations!$I26)&gt;0,SQRT(PI()/2)*IF(Simulations!$X26="",1000,Simulations!$X26),1)),Simulations!$DH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U26="",200,Simulations!$U26)^2*IF(Simulations!$X26="",1000,Simulations!$X26)/2^1.5*(2/3*LN(Simulations!$DJ26/IF(Simulations!$J26="",1000,Simulations!$J26))^1.5+SQRT(LN(Simulations!$DJ26/IF(Simulations!$J26="",1000,Simulations!$J26)))+Simulations!$DJ26/IF(Simulations!$J26="",1000,Simulations!$J26)*SQRT(PI())/2*ERFC(SQRT(LN(Simulations!$DJ26/IF(Simulations!$J26="",1000,Simulations!$J26))))),PI()*IF(Simulations!$U26="",200,Simulations!$U26)^2/2*(LN(Simulations!$DJ26/IF(Simulations!$J26="",1000,Simulations!$J26))+1))))</f>
        <v>0</v>
      </c>
      <c r="AB26" s="0" t="n">
        <f aca="false">IF(OR(NOT(AND(Simulations!$A26&lt;&gt;"",OR(Simulations!$DF26&lt;&gt;"",N(Simulations!$DH26)&gt;0))),N(Simulations!$DK26)&lt;=0,N(Simulations!$DH26)&lt;=0,3&gt;N(IF(Simulations!$O26="",1,Simulations!$O26))),0,IF(Simulations!$DK26&lt;IF(Simulations!$J26="",1000,Simulations!$J26),Simulations!$DH26/(IF(Simulations!$G26="",5000,Simulations!$G26)*IF(Simulations!$H26="",5000,Simulations!$H26)*IF(IF(Simulations!$I26="",5000,Simulations!$I26)&gt;0,IF(Simulations!$I26="",5000,Simulations!$I26),1))*Simulations!$DK26*(PI()/2*IF(Simulations!$V26="",200,Simulations!$V26)^2*IF(IF(Simulations!$I26="",5000,Simulations!$I26)&gt;0,SQRT(PI()/2)*IF(Simulations!$Y26="",1000,Simulations!$Y26),1)),Simulations!$DH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V26="",200,Simulations!$V26)^2*IF(Simulations!$Y26="",1000,Simulations!$Y26)/2^1.5*(2/3*LN(Simulations!$DK26/IF(Simulations!$J26="",1000,Simulations!$J26))^1.5+SQRT(LN(Simulations!$DK26/IF(Simulations!$J26="",1000,Simulations!$J26)))+Simulations!$DK26/IF(Simulations!$J26="",1000,Simulations!$J26)*SQRT(PI())/2*ERFC(SQRT(LN(Simulations!$DK26/IF(Simulations!$J26="",1000,Simulations!$J26))))),PI()*IF(Simulations!$V26="",200,Simulations!$V26)^2/2*(LN(Simulations!$DK26/IF(Simulations!$J26="",1000,Simulations!$J26))+1))))</f>
        <v>0</v>
      </c>
      <c r="AC26" s="0" t="n">
        <f aca="false">IF(NOT(AND(Simulations!$A26&lt;&gt;"",OR(Simulations!$DF26&lt;&gt;"",N(Simulations!$DH26)&gt;0))),0,MAX(N(Simulations!$DI26),N(Simulations!$DJ26),N(Simulations!$DK26))/IF(Simulations!$J26="",1000,Simulations!$J26))</f>
        <v>0</v>
      </c>
      <c r="AD26" s="0" t="n">
        <f aca="false">IF(OR(NOT(AND(Simulations!$A26&lt;&gt;"",OR(Simulations!$DF26&lt;&gt;"",N(Simulations!$DH26)&gt;0))),N(Simulations!$DG26)&lt;=0),0,SQRT(2*Simulations!$DG26*1000000/(IF(Simulations!$J26="",1000,Simulations!$J26)*1000))/MIN(IF(Simulations!$T26="",200,Simulations!$T26),IF(Simulations!$U26="",200,Simulations!$U26),IF(Simulations!$V26="",200,Simulations!$V26)))</f>
        <v>0</v>
      </c>
      <c r="AE26" s="0" t="n">
        <f aca="false">IF(AND(Simulations!$A26&lt;&gt;"",OR(Simulations!$DF26&lt;&gt;"",N(Simulations!$DH26)&gt;0)),1,0)</f>
        <v>0</v>
      </c>
      <c r="AF26" s="0" t="n">
        <f aca="false">IF(OR(NOT(AND(Simulations!$A26&lt;&gt;"",OR(Simulations!$DX26&lt;&gt;"",N(Simulations!$DZ26)&gt;0))),N(Simulations!$EA26)&lt;=0,N(Simulations!$DZ26)&lt;=0,1&gt;N(IF(Simulations!$O26="",1,Simulations!$O26))),0,IF(Simulations!$EA26&lt;IF(Simulations!$J26="",1000,Simulations!$J26),Simulations!$DZ26/(IF(Simulations!$G26="",5000,Simulations!$G26)*IF(Simulations!$H26="",5000,Simulations!$H26)*IF(IF(Simulations!$I26="",5000,Simulations!$I26)&gt;0,IF(Simulations!$I26="",5000,Simulations!$I26),1))*Simulations!$EA26*(PI()/2*IF(Simulations!$T26="",200,Simulations!$T26)^2*IF(IF(Simulations!$I26="",5000,Simulations!$I26)&gt;0,SQRT(PI()/2)*IF(Simulations!$W26="",1000,Simulations!$W26),1)),Simulations!$DZ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T26="",200,Simulations!$T26)^2*IF(Simulations!$W26="",1000,Simulations!$W26)/2^1.5*(2/3*LN(Simulations!$EA26/IF(Simulations!$J26="",1000,Simulations!$J26))^1.5+SQRT(LN(Simulations!$EA26/IF(Simulations!$J26="",1000,Simulations!$J26)))+Simulations!$EA26/IF(Simulations!$J26="",1000,Simulations!$J26)*SQRT(PI())/2*ERFC(SQRT(LN(Simulations!$EA26/IF(Simulations!$J26="",1000,Simulations!$J26))))),PI()*IF(Simulations!$T26="",200,Simulations!$T26)^2/2*(LN(Simulations!$EA26/IF(Simulations!$J26="",1000,Simulations!$J26))+1))))</f>
        <v>0</v>
      </c>
      <c r="AG26" s="0" t="n">
        <f aca="false">IF(OR(NOT(AND(Simulations!$A26&lt;&gt;"",OR(Simulations!$DX26&lt;&gt;"",N(Simulations!$DZ26)&gt;0))),N(Simulations!$EB26)&lt;=0,N(Simulations!$DZ26)&lt;=0,2&gt;N(IF(Simulations!$O26="",1,Simulations!$O26))),0,IF(Simulations!$EB26&lt;IF(Simulations!$J26="",1000,Simulations!$J26),Simulations!$DZ26/(IF(Simulations!$G26="",5000,Simulations!$G26)*IF(Simulations!$H26="",5000,Simulations!$H26)*IF(IF(Simulations!$I26="",5000,Simulations!$I26)&gt;0,IF(Simulations!$I26="",5000,Simulations!$I26),1))*Simulations!$EB26*(PI()/2*IF(Simulations!$U26="",200,Simulations!$U26)^2*IF(IF(Simulations!$I26="",5000,Simulations!$I26)&gt;0,SQRT(PI()/2)*IF(Simulations!$X26="",1000,Simulations!$X26),1)),Simulations!$DZ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U26="",200,Simulations!$U26)^2*IF(Simulations!$X26="",1000,Simulations!$X26)/2^1.5*(2/3*LN(Simulations!$EB26/IF(Simulations!$J26="",1000,Simulations!$J26))^1.5+SQRT(LN(Simulations!$EB26/IF(Simulations!$J26="",1000,Simulations!$J26)))+Simulations!$EB26/IF(Simulations!$J26="",1000,Simulations!$J26)*SQRT(PI())/2*ERFC(SQRT(LN(Simulations!$EB26/IF(Simulations!$J26="",1000,Simulations!$J26))))),PI()*IF(Simulations!$U26="",200,Simulations!$U26)^2/2*(LN(Simulations!$EB26/IF(Simulations!$J26="",1000,Simulations!$J26))+1))))</f>
        <v>0</v>
      </c>
      <c r="AH26" s="0" t="n">
        <f aca="false">IF(OR(NOT(AND(Simulations!$A26&lt;&gt;"",OR(Simulations!$DX26&lt;&gt;"",N(Simulations!$DZ26)&gt;0))),N(Simulations!$EC26)&lt;=0,N(Simulations!$DZ26)&lt;=0,3&gt;N(IF(Simulations!$O26="",1,Simulations!$O26))),0,IF(Simulations!$EC26&lt;IF(Simulations!$J26="",1000,Simulations!$J26),Simulations!$DZ26/(IF(Simulations!$G26="",5000,Simulations!$G26)*IF(Simulations!$H26="",5000,Simulations!$H26)*IF(IF(Simulations!$I26="",5000,Simulations!$I26)&gt;0,IF(Simulations!$I26="",5000,Simulations!$I26),1))*Simulations!$EC26*(PI()/2*IF(Simulations!$V26="",200,Simulations!$V26)^2*IF(IF(Simulations!$I26="",5000,Simulations!$I26)&gt;0,SQRT(PI()/2)*IF(Simulations!$Y26="",1000,Simulations!$Y26),1)),Simulations!$DZ26/(IF(Simulations!$G26="",5000,Simulations!$G26)*IF(Simulations!$H26="",5000,Simulations!$H26)*IF(IF(Simulations!$I26="",5000,Simulations!$I26)&gt;0,IF(Simulations!$I26="",5000,Simulations!$I26),1))*IF(Simulations!$J26="",1000,Simulations!$J26)*IF(IF(Simulations!$I26="",5000,Simulations!$I26)&gt;0,2*PI()*IF(Simulations!$V26="",200,Simulations!$V26)^2*IF(Simulations!$Y26="",1000,Simulations!$Y26)/2^1.5*(2/3*LN(Simulations!$EC26/IF(Simulations!$J26="",1000,Simulations!$J26))^1.5+SQRT(LN(Simulations!$EC26/IF(Simulations!$J26="",1000,Simulations!$J26)))+Simulations!$EC26/IF(Simulations!$J26="",1000,Simulations!$J26)*SQRT(PI())/2*ERFC(SQRT(LN(Simulations!$EC26/IF(Simulations!$J26="",1000,Simulations!$J26))))),PI()*IF(Simulations!$V26="",200,Simulations!$V26)^2/2*(LN(Simulations!$EC26/IF(Simulations!$J26="",1000,Simulations!$J26))+1))))</f>
        <v>0</v>
      </c>
      <c r="AI26" s="0" t="n">
        <f aca="false">IF(NOT(AND(Simulations!$A26&lt;&gt;"",OR(Simulations!$DX26&lt;&gt;"",N(Simulations!$DZ26)&gt;0))),0,MAX(N(Simulations!$EA26),N(Simulations!$EB26),N(Simulations!$EC26))/IF(Simulations!$J26="",1000,Simulations!$J26))</f>
        <v>0</v>
      </c>
      <c r="AJ26" s="0" t="n">
        <f aca="false">IF(OR(NOT(AND(Simulations!$A26&lt;&gt;"",OR(Simulations!$DX26&lt;&gt;"",N(Simulations!$DZ26)&gt;0))),N(Simulations!$DY26)&lt;=0),0,SQRT(2*Simulations!$DY26*1000000/(IF(Simulations!$J26="",1000,Simulations!$J26)*1000))/MIN(IF(Simulations!$T26="",200,Simulations!$T26),IF(Simulations!$U26="",200,Simulations!$U26),IF(Simulations!$V26="",200,Simulations!$V26)))</f>
        <v>0</v>
      </c>
      <c r="AK26" s="0" t="n">
        <f aca="false">IF(AND(Simulations!$A26&lt;&gt;"",OR(Simulations!$DX26&lt;&gt;"",N(Simulations!$DZ26)&gt;0)),1,0)</f>
        <v>0</v>
      </c>
    </row>
    <row r="27" customFormat="false" ht="15" hidden="false" customHeight="false" outlineLevel="0" collapsed="false">
      <c r="B27" s="0" t="n">
        <f aca="false">IF(OR(NOT(AND(Simulations!$A27&lt;&gt;"",OR(Simulations!$AL27&lt;&gt;"",N(Simulations!$AN27)&gt;0))),N(Simulations!$AO27)&lt;=0,N(Simulations!$AN27)&lt;=0,1&gt;N(IF(Simulations!$O27="",1,Simulations!$O27))),0,IF(Simulations!$AO27&lt;IF(Simulations!$J27="",1000,Simulations!$J27),Simulations!$AN27/(IF(Simulations!$G27="",5000,Simulations!$G27)*IF(Simulations!$H27="",5000,Simulations!$H27)*IF(IF(Simulations!$I27="",5000,Simulations!$I27)&gt;0,IF(Simulations!$I27="",5000,Simulations!$I27),1))*Simulations!$AO27*(PI()/2*IF(Simulations!$T27="",200,Simulations!$T27)^2*IF(IF(Simulations!$I27="",5000,Simulations!$I27)&gt;0,SQRT(PI()/2)*IF(Simulations!$W27="",1000,Simulations!$W27),1)),Simulations!$AN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T27="",200,Simulations!$T27)^2*IF(Simulations!$W27="",1000,Simulations!$W27)/2^1.5*(2/3*LN(Simulations!$AO27/IF(Simulations!$J27="",1000,Simulations!$J27))^1.5+SQRT(LN(Simulations!$AO27/IF(Simulations!$J27="",1000,Simulations!$J27)))+Simulations!$AO27/IF(Simulations!$J27="",1000,Simulations!$J27)*SQRT(PI())/2*ERFC(SQRT(LN(Simulations!$AO27/IF(Simulations!$J27="",1000,Simulations!$J27))))),PI()*IF(Simulations!$T27="",200,Simulations!$T27)^2/2*(LN(Simulations!$AO27/IF(Simulations!$J27="",1000,Simulations!$J27))+1))))</f>
        <v>0</v>
      </c>
      <c r="C27" s="0" t="n">
        <f aca="false">IF(OR(NOT(AND(Simulations!$A27&lt;&gt;"",OR(Simulations!$AL27&lt;&gt;"",N(Simulations!$AN27)&gt;0))),N(Simulations!$AP27)&lt;=0,N(Simulations!$AN27)&lt;=0,2&gt;N(IF(Simulations!$O27="",1,Simulations!$O27))),0,IF(Simulations!$AP27&lt;IF(Simulations!$J27="",1000,Simulations!$J27),Simulations!$AN27/(IF(Simulations!$G27="",5000,Simulations!$G27)*IF(Simulations!$H27="",5000,Simulations!$H27)*IF(IF(Simulations!$I27="",5000,Simulations!$I27)&gt;0,IF(Simulations!$I27="",5000,Simulations!$I27),1))*Simulations!$AP27*(PI()/2*IF(Simulations!$U27="",200,Simulations!$U27)^2*IF(IF(Simulations!$I27="",5000,Simulations!$I27)&gt;0,SQRT(PI()/2)*IF(Simulations!$X27="",1000,Simulations!$X27),1)),Simulations!$AN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U27="",200,Simulations!$U27)^2*IF(Simulations!$X27="",1000,Simulations!$X27)/2^1.5*(2/3*LN(Simulations!$AP27/IF(Simulations!$J27="",1000,Simulations!$J27))^1.5+SQRT(LN(Simulations!$AP27/IF(Simulations!$J27="",1000,Simulations!$J27)))+Simulations!$AP27/IF(Simulations!$J27="",1000,Simulations!$J27)*SQRT(PI())/2*ERFC(SQRT(LN(Simulations!$AP27/IF(Simulations!$J27="",1000,Simulations!$J27))))),PI()*IF(Simulations!$U27="",200,Simulations!$U27)^2/2*(LN(Simulations!$AP27/IF(Simulations!$J27="",1000,Simulations!$J27))+1))))</f>
        <v>0</v>
      </c>
      <c r="D27" s="0" t="n">
        <f aca="false">IF(OR(NOT(AND(Simulations!$A27&lt;&gt;"",OR(Simulations!$AL27&lt;&gt;"",N(Simulations!$AN27)&gt;0))),N(Simulations!$AQ27)&lt;=0,N(Simulations!$AN27)&lt;=0,3&gt;N(IF(Simulations!$O27="",1,Simulations!$O27))),0,IF(Simulations!$AQ27&lt;IF(Simulations!$J27="",1000,Simulations!$J27),Simulations!$AN27/(IF(Simulations!$G27="",5000,Simulations!$G27)*IF(Simulations!$H27="",5000,Simulations!$H27)*IF(IF(Simulations!$I27="",5000,Simulations!$I27)&gt;0,IF(Simulations!$I27="",5000,Simulations!$I27),1))*Simulations!$AQ27*(PI()/2*IF(Simulations!$V27="",200,Simulations!$V27)^2*IF(IF(Simulations!$I27="",5000,Simulations!$I27)&gt;0,SQRT(PI()/2)*IF(Simulations!$Y27="",1000,Simulations!$Y27),1)),Simulations!$AN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V27="",200,Simulations!$V27)^2*IF(Simulations!$Y27="",1000,Simulations!$Y27)/2^1.5*(2/3*LN(Simulations!$AQ27/IF(Simulations!$J27="",1000,Simulations!$J27))^1.5+SQRT(LN(Simulations!$AQ27/IF(Simulations!$J27="",1000,Simulations!$J27)))+Simulations!$AQ27/IF(Simulations!$J27="",1000,Simulations!$J27)*SQRT(PI())/2*ERFC(SQRT(LN(Simulations!$AQ27/IF(Simulations!$J27="",1000,Simulations!$J27))))),PI()*IF(Simulations!$V27="",200,Simulations!$V27)^2/2*(LN(Simulations!$AQ27/IF(Simulations!$J27="",1000,Simulations!$J27))+1))))</f>
        <v>0</v>
      </c>
      <c r="E27" s="0" t="n">
        <f aca="false">IF(NOT(AND(Simulations!$A27&lt;&gt;"",OR(Simulations!$AL27&lt;&gt;"",N(Simulations!$AN27)&gt;0))),0,MAX(N(Simulations!$AO27),N(Simulations!$AP27),N(Simulations!$AQ27))/IF(Simulations!$J27="",1000,Simulations!$J27))</f>
        <v>0</v>
      </c>
      <c r="F27" s="0" t="n">
        <f aca="false">IF(OR(NOT(AND(Simulations!$A27&lt;&gt;"",OR(Simulations!$AL27&lt;&gt;"",N(Simulations!$AN27)&gt;0))),N(Simulations!$AM27)&lt;=0),0,SQRT(2*Simulations!$AM27*1000000/(IF(Simulations!$J27="",1000,Simulations!$J27)*1000))/MIN(IF(Simulations!$T27="",200,Simulations!$T27),IF(Simulations!$U27="",200,Simulations!$U27),IF(Simulations!$V27="",200,Simulations!$V27)))</f>
        <v>0</v>
      </c>
      <c r="G27" s="0" t="n">
        <f aca="false">IF(AND(Simulations!$A27&lt;&gt;"",OR(Simulations!$AL27&lt;&gt;"",N(Simulations!$AN27)&gt;0)),1,0)</f>
        <v>0</v>
      </c>
      <c r="H27" s="0" t="n">
        <f aca="false">IF(OR(NOT(AND(Simulations!$A27&lt;&gt;"",OR(Simulations!$BD27&lt;&gt;"",N(Simulations!$BF27)&gt;0))),N(Simulations!$BG27)&lt;=0,N(Simulations!$BF27)&lt;=0,1&gt;N(IF(Simulations!$O27="",1,Simulations!$O27))),0,IF(Simulations!$BG27&lt;IF(Simulations!$J27="",1000,Simulations!$J27),Simulations!$BF27/(IF(Simulations!$G27="",5000,Simulations!$G27)*IF(Simulations!$H27="",5000,Simulations!$H27)*IF(IF(Simulations!$I27="",5000,Simulations!$I27)&gt;0,IF(Simulations!$I27="",5000,Simulations!$I27),1))*Simulations!$BG27*(PI()/2*IF(Simulations!$T27="",200,Simulations!$T27)^2*IF(IF(Simulations!$I27="",5000,Simulations!$I27)&gt;0,SQRT(PI()/2)*IF(Simulations!$W27="",1000,Simulations!$W27),1)),Simulations!$BF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T27="",200,Simulations!$T27)^2*IF(Simulations!$W27="",1000,Simulations!$W27)/2^1.5*(2/3*LN(Simulations!$BG27/IF(Simulations!$J27="",1000,Simulations!$J27))^1.5+SQRT(LN(Simulations!$BG27/IF(Simulations!$J27="",1000,Simulations!$J27)))+Simulations!$BG27/IF(Simulations!$J27="",1000,Simulations!$J27)*SQRT(PI())/2*ERFC(SQRT(LN(Simulations!$BG27/IF(Simulations!$J27="",1000,Simulations!$J27))))),PI()*IF(Simulations!$T27="",200,Simulations!$T27)^2/2*(LN(Simulations!$BG27/IF(Simulations!$J27="",1000,Simulations!$J27))+1))))</f>
        <v>0</v>
      </c>
      <c r="I27" s="0" t="n">
        <f aca="false">IF(OR(NOT(AND(Simulations!$A27&lt;&gt;"",OR(Simulations!$BD27&lt;&gt;"",N(Simulations!$BF27)&gt;0))),N(Simulations!$BH27)&lt;=0,N(Simulations!$BF27)&lt;=0,2&gt;N(IF(Simulations!$O27="",1,Simulations!$O27))),0,IF(Simulations!$BH27&lt;IF(Simulations!$J27="",1000,Simulations!$J27),Simulations!$BF27/(IF(Simulations!$G27="",5000,Simulations!$G27)*IF(Simulations!$H27="",5000,Simulations!$H27)*IF(IF(Simulations!$I27="",5000,Simulations!$I27)&gt;0,IF(Simulations!$I27="",5000,Simulations!$I27),1))*Simulations!$BH27*(PI()/2*IF(Simulations!$U27="",200,Simulations!$U27)^2*IF(IF(Simulations!$I27="",5000,Simulations!$I27)&gt;0,SQRT(PI()/2)*IF(Simulations!$X27="",1000,Simulations!$X27),1)),Simulations!$BF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U27="",200,Simulations!$U27)^2*IF(Simulations!$X27="",1000,Simulations!$X27)/2^1.5*(2/3*LN(Simulations!$BH27/IF(Simulations!$J27="",1000,Simulations!$J27))^1.5+SQRT(LN(Simulations!$BH27/IF(Simulations!$J27="",1000,Simulations!$J27)))+Simulations!$BH27/IF(Simulations!$J27="",1000,Simulations!$J27)*SQRT(PI())/2*ERFC(SQRT(LN(Simulations!$BH27/IF(Simulations!$J27="",1000,Simulations!$J27))))),PI()*IF(Simulations!$U27="",200,Simulations!$U27)^2/2*(LN(Simulations!$BH27/IF(Simulations!$J27="",1000,Simulations!$J27))+1))))</f>
        <v>0</v>
      </c>
      <c r="J27" s="0" t="n">
        <f aca="false">IF(OR(NOT(AND(Simulations!$A27&lt;&gt;"",OR(Simulations!$BD27&lt;&gt;"",N(Simulations!$BF27)&gt;0))),N(Simulations!$BI27)&lt;=0,N(Simulations!$BF27)&lt;=0,3&gt;N(IF(Simulations!$O27="",1,Simulations!$O27))),0,IF(Simulations!$BI27&lt;IF(Simulations!$J27="",1000,Simulations!$J27),Simulations!$BF27/(IF(Simulations!$G27="",5000,Simulations!$G27)*IF(Simulations!$H27="",5000,Simulations!$H27)*IF(IF(Simulations!$I27="",5000,Simulations!$I27)&gt;0,IF(Simulations!$I27="",5000,Simulations!$I27),1))*Simulations!$BI27*(PI()/2*IF(Simulations!$V27="",200,Simulations!$V27)^2*IF(IF(Simulations!$I27="",5000,Simulations!$I27)&gt;0,SQRT(PI()/2)*IF(Simulations!$Y27="",1000,Simulations!$Y27),1)),Simulations!$BF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V27="",200,Simulations!$V27)^2*IF(Simulations!$Y27="",1000,Simulations!$Y27)/2^1.5*(2/3*LN(Simulations!$BI27/IF(Simulations!$J27="",1000,Simulations!$J27))^1.5+SQRT(LN(Simulations!$BI27/IF(Simulations!$J27="",1000,Simulations!$J27)))+Simulations!$BI27/IF(Simulations!$J27="",1000,Simulations!$J27)*SQRT(PI())/2*ERFC(SQRT(LN(Simulations!$BI27/IF(Simulations!$J27="",1000,Simulations!$J27))))),PI()*IF(Simulations!$V27="",200,Simulations!$V27)^2/2*(LN(Simulations!$BI27/IF(Simulations!$J27="",1000,Simulations!$J27))+1))))</f>
        <v>0</v>
      </c>
      <c r="K27" s="0" t="n">
        <f aca="false">IF(NOT(AND(Simulations!$A27&lt;&gt;"",OR(Simulations!$BD27&lt;&gt;"",N(Simulations!$BF27)&gt;0))),0,MAX(N(Simulations!$BG27),N(Simulations!$BH27),N(Simulations!$BI27))/IF(Simulations!$J27="",1000,Simulations!$J27))</f>
        <v>0</v>
      </c>
      <c r="L27" s="0" t="n">
        <f aca="false">IF(OR(NOT(AND(Simulations!$A27&lt;&gt;"",OR(Simulations!$BD27&lt;&gt;"",N(Simulations!$BF27)&gt;0))),N(Simulations!$BE27)&lt;=0),0,SQRT(2*Simulations!$BE27*1000000/(IF(Simulations!$J27="",1000,Simulations!$J27)*1000))/MIN(IF(Simulations!$T27="",200,Simulations!$T27),IF(Simulations!$U27="",200,Simulations!$U27),IF(Simulations!$V27="",200,Simulations!$V27)))</f>
        <v>0</v>
      </c>
      <c r="M27" s="0" t="n">
        <f aca="false">IF(AND(Simulations!$A27&lt;&gt;"",OR(Simulations!$BD27&lt;&gt;"",N(Simulations!$BF27)&gt;0)),1,0)</f>
        <v>0</v>
      </c>
      <c r="N27" s="0" t="n">
        <f aca="false">IF(OR(NOT(AND(Simulations!$A27&lt;&gt;"",OR(Simulations!$BV27&lt;&gt;"",N(Simulations!$BX27)&gt;0))),N(Simulations!$BY27)&lt;=0,N(Simulations!$BX27)&lt;=0,1&gt;N(IF(Simulations!$O27="",1,Simulations!$O27))),0,IF(Simulations!$BY27&lt;IF(Simulations!$J27="",1000,Simulations!$J27),Simulations!$BX27/(IF(Simulations!$G27="",5000,Simulations!$G27)*IF(Simulations!$H27="",5000,Simulations!$H27)*IF(IF(Simulations!$I27="",5000,Simulations!$I27)&gt;0,IF(Simulations!$I27="",5000,Simulations!$I27),1))*Simulations!$BY27*(PI()/2*IF(Simulations!$T27="",200,Simulations!$T27)^2*IF(IF(Simulations!$I27="",5000,Simulations!$I27)&gt;0,SQRT(PI()/2)*IF(Simulations!$W27="",1000,Simulations!$W27),1)),Simulations!$BX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T27="",200,Simulations!$T27)^2*IF(Simulations!$W27="",1000,Simulations!$W27)/2^1.5*(2/3*LN(Simulations!$BY27/IF(Simulations!$J27="",1000,Simulations!$J27))^1.5+SQRT(LN(Simulations!$BY27/IF(Simulations!$J27="",1000,Simulations!$J27)))+Simulations!$BY27/IF(Simulations!$J27="",1000,Simulations!$J27)*SQRT(PI())/2*ERFC(SQRT(LN(Simulations!$BY27/IF(Simulations!$J27="",1000,Simulations!$J27))))),PI()*IF(Simulations!$T27="",200,Simulations!$T27)^2/2*(LN(Simulations!$BY27/IF(Simulations!$J27="",1000,Simulations!$J27))+1))))</f>
        <v>0</v>
      </c>
      <c r="O27" s="0" t="n">
        <f aca="false">IF(OR(NOT(AND(Simulations!$A27&lt;&gt;"",OR(Simulations!$BV27&lt;&gt;"",N(Simulations!$BX27)&gt;0))),N(Simulations!$BZ27)&lt;=0,N(Simulations!$BX27)&lt;=0,2&gt;N(IF(Simulations!$O27="",1,Simulations!$O27))),0,IF(Simulations!$BZ27&lt;IF(Simulations!$J27="",1000,Simulations!$J27),Simulations!$BX27/(IF(Simulations!$G27="",5000,Simulations!$G27)*IF(Simulations!$H27="",5000,Simulations!$H27)*IF(IF(Simulations!$I27="",5000,Simulations!$I27)&gt;0,IF(Simulations!$I27="",5000,Simulations!$I27),1))*Simulations!$BZ27*(PI()/2*IF(Simulations!$U27="",200,Simulations!$U27)^2*IF(IF(Simulations!$I27="",5000,Simulations!$I27)&gt;0,SQRT(PI()/2)*IF(Simulations!$X27="",1000,Simulations!$X27),1)),Simulations!$BX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U27="",200,Simulations!$U27)^2*IF(Simulations!$X27="",1000,Simulations!$X27)/2^1.5*(2/3*LN(Simulations!$BZ27/IF(Simulations!$J27="",1000,Simulations!$J27))^1.5+SQRT(LN(Simulations!$BZ27/IF(Simulations!$J27="",1000,Simulations!$J27)))+Simulations!$BZ27/IF(Simulations!$J27="",1000,Simulations!$J27)*SQRT(PI())/2*ERFC(SQRT(LN(Simulations!$BZ27/IF(Simulations!$J27="",1000,Simulations!$J27))))),PI()*IF(Simulations!$U27="",200,Simulations!$U27)^2/2*(LN(Simulations!$BZ27/IF(Simulations!$J27="",1000,Simulations!$J27))+1))))</f>
        <v>0</v>
      </c>
      <c r="P27" s="0" t="n">
        <f aca="false">IF(OR(NOT(AND(Simulations!$A27&lt;&gt;"",OR(Simulations!$BV27&lt;&gt;"",N(Simulations!$BX27)&gt;0))),N(Simulations!$CA27)&lt;=0,N(Simulations!$BX27)&lt;=0,3&gt;N(IF(Simulations!$O27="",1,Simulations!$O27))),0,IF(Simulations!$CA27&lt;IF(Simulations!$J27="",1000,Simulations!$J27),Simulations!$BX27/(IF(Simulations!$G27="",5000,Simulations!$G27)*IF(Simulations!$H27="",5000,Simulations!$H27)*IF(IF(Simulations!$I27="",5000,Simulations!$I27)&gt;0,IF(Simulations!$I27="",5000,Simulations!$I27),1))*Simulations!$CA27*(PI()/2*IF(Simulations!$V27="",200,Simulations!$V27)^2*IF(IF(Simulations!$I27="",5000,Simulations!$I27)&gt;0,SQRT(PI()/2)*IF(Simulations!$Y27="",1000,Simulations!$Y27),1)),Simulations!$BX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V27="",200,Simulations!$V27)^2*IF(Simulations!$Y27="",1000,Simulations!$Y27)/2^1.5*(2/3*LN(Simulations!$CA27/IF(Simulations!$J27="",1000,Simulations!$J27))^1.5+SQRT(LN(Simulations!$CA27/IF(Simulations!$J27="",1000,Simulations!$J27)))+Simulations!$CA27/IF(Simulations!$J27="",1000,Simulations!$J27)*SQRT(PI())/2*ERFC(SQRT(LN(Simulations!$CA27/IF(Simulations!$J27="",1000,Simulations!$J27))))),PI()*IF(Simulations!$V27="",200,Simulations!$V27)^2/2*(LN(Simulations!$CA27/IF(Simulations!$J27="",1000,Simulations!$J27))+1))))</f>
        <v>0</v>
      </c>
      <c r="Q27" s="0" t="n">
        <f aca="false">IF(NOT(AND(Simulations!$A27&lt;&gt;"",OR(Simulations!$BV27&lt;&gt;"",N(Simulations!$BX27)&gt;0))),0,MAX(N(Simulations!$BY27),N(Simulations!$BZ27),N(Simulations!$CA27))/IF(Simulations!$J27="",1000,Simulations!$J27))</f>
        <v>0</v>
      </c>
      <c r="R27" s="0" t="n">
        <f aca="false">IF(OR(NOT(AND(Simulations!$A27&lt;&gt;"",OR(Simulations!$BV27&lt;&gt;"",N(Simulations!$BX27)&gt;0))),N(Simulations!$BW27)&lt;=0),0,SQRT(2*Simulations!$BW27*1000000/(IF(Simulations!$J27="",1000,Simulations!$J27)*1000))/MIN(IF(Simulations!$T27="",200,Simulations!$T27),IF(Simulations!$U27="",200,Simulations!$U27),IF(Simulations!$V27="",200,Simulations!$V27)))</f>
        <v>0</v>
      </c>
      <c r="S27" s="0" t="n">
        <f aca="false">IF(AND(Simulations!$A27&lt;&gt;"",OR(Simulations!$BV27&lt;&gt;"",N(Simulations!$BX27)&gt;0)),1,0)</f>
        <v>0</v>
      </c>
      <c r="T27" s="0" t="n">
        <f aca="false">IF(OR(NOT(AND(Simulations!$A27&lt;&gt;"",OR(Simulations!$CN27&lt;&gt;"",N(Simulations!$CP27)&gt;0))),N(Simulations!$CQ27)&lt;=0,N(Simulations!$CP27)&lt;=0,1&gt;N(IF(Simulations!$O27="",1,Simulations!$O27))),0,IF(Simulations!$CQ27&lt;IF(Simulations!$J27="",1000,Simulations!$J27),Simulations!$CP27/(IF(Simulations!$G27="",5000,Simulations!$G27)*IF(Simulations!$H27="",5000,Simulations!$H27)*IF(IF(Simulations!$I27="",5000,Simulations!$I27)&gt;0,IF(Simulations!$I27="",5000,Simulations!$I27),1))*Simulations!$CQ27*(PI()/2*IF(Simulations!$T27="",200,Simulations!$T27)^2*IF(IF(Simulations!$I27="",5000,Simulations!$I27)&gt;0,SQRT(PI()/2)*IF(Simulations!$W27="",1000,Simulations!$W27),1)),Simulations!$CP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T27="",200,Simulations!$T27)^2*IF(Simulations!$W27="",1000,Simulations!$W27)/2^1.5*(2/3*LN(Simulations!$CQ27/IF(Simulations!$J27="",1000,Simulations!$J27))^1.5+SQRT(LN(Simulations!$CQ27/IF(Simulations!$J27="",1000,Simulations!$J27)))+Simulations!$CQ27/IF(Simulations!$J27="",1000,Simulations!$J27)*SQRT(PI())/2*ERFC(SQRT(LN(Simulations!$CQ27/IF(Simulations!$J27="",1000,Simulations!$J27))))),PI()*IF(Simulations!$T27="",200,Simulations!$T27)^2/2*(LN(Simulations!$CQ27/IF(Simulations!$J27="",1000,Simulations!$J27))+1))))</f>
        <v>0</v>
      </c>
      <c r="U27" s="0" t="n">
        <f aca="false">IF(OR(NOT(AND(Simulations!$A27&lt;&gt;"",OR(Simulations!$CN27&lt;&gt;"",N(Simulations!$CP27)&gt;0))),N(Simulations!$CR27)&lt;=0,N(Simulations!$CP27)&lt;=0,2&gt;N(IF(Simulations!$O27="",1,Simulations!$O27))),0,IF(Simulations!$CR27&lt;IF(Simulations!$J27="",1000,Simulations!$J27),Simulations!$CP27/(IF(Simulations!$G27="",5000,Simulations!$G27)*IF(Simulations!$H27="",5000,Simulations!$H27)*IF(IF(Simulations!$I27="",5000,Simulations!$I27)&gt;0,IF(Simulations!$I27="",5000,Simulations!$I27),1))*Simulations!$CR27*(PI()/2*IF(Simulations!$U27="",200,Simulations!$U27)^2*IF(IF(Simulations!$I27="",5000,Simulations!$I27)&gt;0,SQRT(PI()/2)*IF(Simulations!$X27="",1000,Simulations!$X27),1)),Simulations!$CP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U27="",200,Simulations!$U27)^2*IF(Simulations!$X27="",1000,Simulations!$X27)/2^1.5*(2/3*LN(Simulations!$CR27/IF(Simulations!$J27="",1000,Simulations!$J27))^1.5+SQRT(LN(Simulations!$CR27/IF(Simulations!$J27="",1000,Simulations!$J27)))+Simulations!$CR27/IF(Simulations!$J27="",1000,Simulations!$J27)*SQRT(PI())/2*ERFC(SQRT(LN(Simulations!$CR27/IF(Simulations!$J27="",1000,Simulations!$J27))))),PI()*IF(Simulations!$U27="",200,Simulations!$U27)^2/2*(LN(Simulations!$CR27/IF(Simulations!$J27="",1000,Simulations!$J27))+1))))</f>
        <v>0</v>
      </c>
      <c r="V27" s="0" t="n">
        <f aca="false">IF(OR(NOT(AND(Simulations!$A27&lt;&gt;"",OR(Simulations!$CN27&lt;&gt;"",N(Simulations!$CP27)&gt;0))),N(Simulations!$CS27)&lt;=0,N(Simulations!$CP27)&lt;=0,3&gt;N(IF(Simulations!$O27="",1,Simulations!$O27))),0,IF(Simulations!$CS27&lt;IF(Simulations!$J27="",1000,Simulations!$J27),Simulations!$CP27/(IF(Simulations!$G27="",5000,Simulations!$G27)*IF(Simulations!$H27="",5000,Simulations!$H27)*IF(IF(Simulations!$I27="",5000,Simulations!$I27)&gt;0,IF(Simulations!$I27="",5000,Simulations!$I27),1))*Simulations!$CS27*(PI()/2*IF(Simulations!$V27="",200,Simulations!$V27)^2*IF(IF(Simulations!$I27="",5000,Simulations!$I27)&gt;0,SQRT(PI()/2)*IF(Simulations!$Y27="",1000,Simulations!$Y27),1)),Simulations!$CP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V27="",200,Simulations!$V27)^2*IF(Simulations!$Y27="",1000,Simulations!$Y27)/2^1.5*(2/3*LN(Simulations!$CS27/IF(Simulations!$J27="",1000,Simulations!$J27))^1.5+SQRT(LN(Simulations!$CS27/IF(Simulations!$J27="",1000,Simulations!$J27)))+Simulations!$CS27/IF(Simulations!$J27="",1000,Simulations!$J27)*SQRT(PI())/2*ERFC(SQRT(LN(Simulations!$CS27/IF(Simulations!$J27="",1000,Simulations!$J27))))),PI()*IF(Simulations!$V27="",200,Simulations!$V27)^2/2*(LN(Simulations!$CS27/IF(Simulations!$J27="",1000,Simulations!$J27))+1))))</f>
        <v>0</v>
      </c>
      <c r="W27" s="0" t="n">
        <f aca="false">IF(NOT(AND(Simulations!$A27&lt;&gt;"",OR(Simulations!$CN27&lt;&gt;"",N(Simulations!$CP27)&gt;0))),0,MAX(N(Simulations!$CQ27),N(Simulations!$CR27),N(Simulations!$CS27))/IF(Simulations!$J27="",1000,Simulations!$J27))</f>
        <v>0</v>
      </c>
      <c r="X27" s="0" t="n">
        <f aca="false">IF(OR(NOT(AND(Simulations!$A27&lt;&gt;"",OR(Simulations!$CN27&lt;&gt;"",N(Simulations!$CP27)&gt;0))),N(Simulations!$CO27)&lt;=0),0,SQRT(2*Simulations!$CO27*1000000/(IF(Simulations!$J27="",1000,Simulations!$J27)*1000))/MIN(IF(Simulations!$T27="",200,Simulations!$T27),IF(Simulations!$U27="",200,Simulations!$U27),IF(Simulations!$V27="",200,Simulations!$V27)))</f>
        <v>0</v>
      </c>
      <c r="Y27" s="0" t="n">
        <f aca="false">IF(AND(Simulations!$A27&lt;&gt;"",OR(Simulations!$CN27&lt;&gt;"",N(Simulations!$CP27)&gt;0)),1,0)</f>
        <v>0</v>
      </c>
      <c r="Z27" s="0" t="n">
        <f aca="false">IF(OR(NOT(AND(Simulations!$A27&lt;&gt;"",OR(Simulations!$DF27&lt;&gt;"",N(Simulations!$DH27)&gt;0))),N(Simulations!$DI27)&lt;=0,N(Simulations!$DH27)&lt;=0,1&gt;N(IF(Simulations!$O27="",1,Simulations!$O27))),0,IF(Simulations!$DI27&lt;IF(Simulations!$J27="",1000,Simulations!$J27),Simulations!$DH27/(IF(Simulations!$G27="",5000,Simulations!$G27)*IF(Simulations!$H27="",5000,Simulations!$H27)*IF(IF(Simulations!$I27="",5000,Simulations!$I27)&gt;0,IF(Simulations!$I27="",5000,Simulations!$I27),1))*Simulations!$DI27*(PI()/2*IF(Simulations!$T27="",200,Simulations!$T27)^2*IF(IF(Simulations!$I27="",5000,Simulations!$I27)&gt;0,SQRT(PI()/2)*IF(Simulations!$W27="",1000,Simulations!$W27),1)),Simulations!$DH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T27="",200,Simulations!$T27)^2*IF(Simulations!$W27="",1000,Simulations!$W27)/2^1.5*(2/3*LN(Simulations!$DI27/IF(Simulations!$J27="",1000,Simulations!$J27))^1.5+SQRT(LN(Simulations!$DI27/IF(Simulations!$J27="",1000,Simulations!$J27)))+Simulations!$DI27/IF(Simulations!$J27="",1000,Simulations!$J27)*SQRT(PI())/2*ERFC(SQRT(LN(Simulations!$DI27/IF(Simulations!$J27="",1000,Simulations!$J27))))),PI()*IF(Simulations!$T27="",200,Simulations!$T27)^2/2*(LN(Simulations!$DI27/IF(Simulations!$J27="",1000,Simulations!$J27))+1))))</f>
        <v>0</v>
      </c>
      <c r="AA27" s="0" t="n">
        <f aca="false">IF(OR(NOT(AND(Simulations!$A27&lt;&gt;"",OR(Simulations!$DF27&lt;&gt;"",N(Simulations!$DH27)&gt;0))),N(Simulations!$DJ27)&lt;=0,N(Simulations!$DH27)&lt;=0,2&gt;N(IF(Simulations!$O27="",1,Simulations!$O27))),0,IF(Simulations!$DJ27&lt;IF(Simulations!$J27="",1000,Simulations!$J27),Simulations!$DH27/(IF(Simulations!$G27="",5000,Simulations!$G27)*IF(Simulations!$H27="",5000,Simulations!$H27)*IF(IF(Simulations!$I27="",5000,Simulations!$I27)&gt;0,IF(Simulations!$I27="",5000,Simulations!$I27),1))*Simulations!$DJ27*(PI()/2*IF(Simulations!$U27="",200,Simulations!$U27)^2*IF(IF(Simulations!$I27="",5000,Simulations!$I27)&gt;0,SQRT(PI()/2)*IF(Simulations!$X27="",1000,Simulations!$X27),1)),Simulations!$DH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U27="",200,Simulations!$U27)^2*IF(Simulations!$X27="",1000,Simulations!$X27)/2^1.5*(2/3*LN(Simulations!$DJ27/IF(Simulations!$J27="",1000,Simulations!$J27))^1.5+SQRT(LN(Simulations!$DJ27/IF(Simulations!$J27="",1000,Simulations!$J27)))+Simulations!$DJ27/IF(Simulations!$J27="",1000,Simulations!$J27)*SQRT(PI())/2*ERFC(SQRT(LN(Simulations!$DJ27/IF(Simulations!$J27="",1000,Simulations!$J27))))),PI()*IF(Simulations!$U27="",200,Simulations!$U27)^2/2*(LN(Simulations!$DJ27/IF(Simulations!$J27="",1000,Simulations!$J27))+1))))</f>
        <v>0</v>
      </c>
      <c r="AB27" s="0" t="n">
        <f aca="false">IF(OR(NOT(AND(Simulations!$A27&lt;&gt;"",OR(Simulations!$DF27&lt;&gt;"",N(Simulations!$DH27)&gt;0))),N(Simulations!$DK27)&lt;=0,N(Simulations!$DH27)&lt;=0,3&gt;N(IF(Simulations!$O27="",1,Simulations!$O27))),0,IF(Simulations!$DK27&lt;IF(Simulations!$J27="",1000,Simulations!$J27),Simulations!$DH27/(IF(Simulations!$G27="",5000,Simulations!$G27)*IF(Simulations!$H27="",5000,Simulations!$H27)*IF(IF(Simulations!$I27="",5000,Simulations!$I27)&gt;0,IF(Simulations!$I27="",5000,Simulations!$I27),1))*Simulations!$DK27*(PI()/2*IF(Simulations!$V27="",200,Simulations!$V27)^2*IF(IF(Simulations!$I27="",5000,Simulations!$I27)&gt;0,SQRT(PI()/2)*IF(Simulations!$Y27="",1000,Simulations!$Y27),1)),Simulations!$DH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V27="",200,Simulations!$V27)^2*IF(Simulations!$Y27="",1000,Simulations!$Y27)/2^1.5*(2/3*LN(Simulations!$DK27/IF(Simulations!$J27="",1000,Simulations!$J27))^1.5+SQRT(LN(Simulations!$DK27/IF(Simulations!$J27="",1000,Simulations!$J27)))+Simulations!$DK27/IF(Simulations!$J27="",1000,Simulations!$J27)*SQRT(PI())/2*ERFC(SQRT(LN(Simulations!$DK27/IF(Simulations!$J27="",1000,Simulations!$J27))))),PI()*IF(Simulations!$V27="",200,Simulations!$V27)^2/2*(LN(Simulations!$DK27/IF(Simulations!$J27="",1000,Simulations!$J27))+1))))</f>
        <v>0</v>
      </c>
      <c r="AC27" s="0" t="n">
        <f aca="false">IF(NOT(AND(Simulations!$A27&lt;&gt;"",OR(Simulations!$DF27&lt;&gt;"",N(Simulations!$DH27)&gt;0))),0,MAX(N(Simulations!$DI27),N(Simulations!$DJ27),N(Simulations!$DK27))/IF(Simulations!$J27="",1000,Simulations!$J27))</f>
        <v>0</v>
      </c>
      <c r="AD27" s="0" t="n">
        <f aca="false">IF(OR(NOT(AND(Simulations!$A27&lt;&gt;"",OR(Simulations!$DF27&lt;&gt;"",N(Simulations!$DH27)&gt;0))),N(Simulations!$DG27)&lt;=0),0,SQRT(2*Simulations!$DG27*1000000/(IF(Simulations!$J27="",1000,Simulations!$J27)*1000))/MIN(IF(Simulations!$T27="",200,Simulations!$T27),IF(Simulations!$U27="",200,Simulations!$U27),IF(Simulations!$V27="",200,Simulations!$V27)))</f>
        <v>0</v>
      </c>
      <c r="AE27" s="0" t="n">
        <f aca="false">IF(AND(Simulations!$A27&lt;&gt;"",OR(Simulations!$DF27&lt;&gt;"",N(Simulations!$DH27)&gt;0)),1,0)</f>
        <v>0</v>
      </c>
      <c r="AF27" s="0" t="n">
        <f aca="false">IF(OR(NOT(AND(Simulations!$A27&lt;&gt;"",OR(Simulations!$DX27&lt;&gt;"",N(Simulations!$DZ27)&gt;0))),N(Simulations!$EA27)&lt;=0,N(Simulations!$DZ27)&lt;=0,1&gt;N(IF(Simulations!$O27="",1,Simulations!$O27))),0,IF(Simulations!$EA27&lt;IF(Simulations!$J27="",1000,Simulations!$J27),Simulations!$DZ27/(IF(Simulations!$G27="",5000,Simulations!$G27)*IF(Simulations!$H27="",5000,Simulations!$H27)*IF(IF(Simulations!$I27="",5000,Simulations!$I27)&gt;0,IF(Simulations!$I27="",5000,Simulations!$I27),1))*Simulations!$EA27*(PI()/2*IF(Simulations!$T27="",200,Simulations!$T27)^2*IF(IF(Simulations!$I27="",5000,Simulations!$I27)&gt;0,SQRT(PI()/2)*IF(Simulations!$W27="",1000,Simulations!$W27),1)),Simulations!$DZ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T27="",200,Simulations!$T27)^2*IF(Simulations!$W27="",1000,Simulations!$W27)/2^1.5*(2/3*LN(Simulations!$EA27/IF(Simulations!$J27="",1000,Simulations!$J27))^1.5+SQRT(LN(Simulations!$EA27/IF(Simulations!$J27="",1000,Simulations!$J27)))+Simulations!$EA27/IF(Simulations!$J27="",1000,Simulations!$J27)*SQRT(PI())/2*ERFC(SQRT(LN(Simulations!$EA27/IF(Simulations!$J27="",1000,Simulations!$J27))))),PI()*IF(Simulations!$T27="",200,Simulations!$T27)^2/2*(LN(Simulations!$EA27/IF(Simulations!$J27="",1000,Simulations!$J27))+1))))</f>
        <v>0</v>
      </c>
      <c r="AG27" s="0" t="n">
        <f aca="false">IF(OR(NOT(AND(Simulations!$A27&lt;&gt;"",OR(Simulations!$DX27&lt;&gt;"",N(Simulations!$DZ27)&gt;0))),N(Simulations!$EB27)&lt;=0,N(Simulations!$DZ27)&lt;=0,2&gt;N(IF(Simulations!$O27="",1,Simulations!$O27))),0,IF(Simulations!$EB27&lt;IF(Simulations!$J27="",1000,Simulations!$J27),Simulations!$DZ27/(IF(Simulations!$G27="",5000,Simulations!$G27)*IF(Simulations!$H27="",5000,Simulations!$H27)*IF(IF(Simulations!$I27="",5000,Simulations!$I27)&gt;0,IF(Simulations!$I27="",5000,Simulations!$I27),1))*Simulations!$EB27*(PI()/2*IF(Simulations!$U27="",200,Simulations!$U27)^2*IF(IF(Simulations!$I27="",5000,Simulations!$I27)&gt;0,SQRT(PI()/2)*IF(Simulations!$X27="",1000,Simulations!$X27),1)),Simulations!$DZ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U27="",200,Simulations!$U27)^2*IF(Simulations!$X27="",1000,Simulations!$X27)/2^1.5*(2/3*LN(Simulations!$EB27/IF(Simulations!$J27="",1000,Simulations!$J27))^1.5+SQRT(LN(Simulations!$EB27/IF(Simulations!$J27="",1000,Simulations!$J27)))+Simulations!$EB27/IF(Simulations!$J27="",1000,Simulations!$J27)*SQRT(PI())/2*ERFC(SQRT(LN(Simulations!$EB27/IF(Simulations!$J27="",1000,Simulations!$J27))))),PI()*IF(Simulations!$U27="",200,Simulations!$U27)^2/2*(LN(Simulations!$EB27/IF(Simulations!$J27="",1000,Simulations!$J27))+1))))</f>
        <v>0</v>
      </c>
      <c r="AH27" s="0" t="n">
        <f aca="false">IF(OR(NOT(AND(Simulations!$A27&lt;&gt;"",OR(Simulations!$DX27&lt;&gt;"",N(Simulations!$DZ27)&gt;0))),N(Simulations!$EC27)&lt;=0,N(Simulations!$DZ27)&lt;=0,3&gt;N(IF(Simulations!$O27="",1,Simulations!$O27))),0,IF(Simulations!$EC27&lt;IF(Simulations!$J27="",1000,Simulations!$J27),Simulations!$DZ27/(IF(Simulations!$G27="",5000,Simulations!$G27)*IF(Simulations!$H27="",5000,Simulations!$H27)*IF(IF(Simulations!$I27="",5000,Simulations!$I27)&gt;0,IF(Simulations!$I27="",5000,Simulations!$I27),1))*Simulations!$EC27*(PI()/2*IF(Simulations!$V27="",200,Simulations!$V27)^2*IF(IF(Simulations!$I27="",5000,Simulations!$I27)&gt;0,SQRT(PI()/2)*IF(Simulations!$Y27="",1000,Simulations!$Y27),1)),Simulations!$DZ27/(IF(Simulations!$G27="",5000,Simulations!$G27)*IF(Simulations!$H27="",5000,Simulations!$H27)*IF(IF(Simulations!$I27="",5000,Simulations!$I27)&gt;0,IF(Simulations!$I27="",5000,Simulations!$I27),1))*IF(Simulations!$J27="",1000,Simulations!$J27)*IF(IF(Simulations!$I27="",5000,Simulations!$I27)&gt;0,2*PI()*IF(Simulations!$V27="",200,Simulations!$V27)^2*IF(Simulations!$Y27="",1000,Simulations!$Y27)/2^1.5*(2/3*LN(Simulations!$EC27/IF(Simulations!$J27="",1000,Simulations!$J27))^1.5+SQRT(LN(Simulations!$EC27/IF(Simulations!$J27="",1000,Simulations!$J27)))+Simulations!$EC27/IF(Simulations!$J27="",1000,Simulations!$J27)*SQRT(PI())/2*ERFC(SQRT(LN(Simulations!$EC27/IF(Simulations!$J27="",1000,Simulations!$J27))))),PI()*IF(Simulations!$V27="",200,Simulations!$V27)^2/2*(LN(Simulations!$EC27/IF(Simulations!$J27="",1000,Simulations!$J27))+1))))</f>
        <v>0</v>
      </c>
      <c r="AI27" s="0" t="n">
        <f aca="false">IF(NOT(AND(Simulations!$A27&lt;&gt;"",OR(Simulations!$DX27&lt;&gt;"",N(Simulations!$DZ27)&gt;0))),0,MAX(N(Simulations!$EA27),N(Simulations!$EB27),N(Simulations!$EC27))/IF(Simulations!$J27="",1000,Simulations!$J27))</f>
        <v>0</v>
      </c>
      <c r="AJ27" s="0" t="n">
        <f aca="false">IF(OR(NOT(AND(Simulations!$A27&lt;&gt;"",OR(Simulations!$DX27&lt;&gt;"",N(Simulations!$DZ27)&gt;0))),N(Simulations!$DY27)&lt;=0),0,SQRT(2*Simulations!$DY27*1000000/(IF(Simulations!$J27="",1000,Simulations!$J27)*1000))/MIN(IF(Simulations!$T27="",200,Simulations!$T27),IF(Simulations!$U27="",200,Simulations!$U27),IF(Simulations!$V27="",200,Simulations!$V27)))</f>
        <v>0</v>
      </c>
      <c r="AK27" s="0" t="n">
        <f aca="false">IF(AND(Simulations!$A27&lt;&gt;"",OR(Simulations!$DX27&lt;&gt;"",N(Simulations!$DZ27)&gt;0)),1,0)</f>
        <v>0</v>
      </c>
    </row>
    <row r="28" customFormat="false" ht="15" hidden="false" customHeight="false" outlineLevel="0" collapsed="false">
      <c r="B28" s="0" t="n">
        <f aca="false">IF(OR(NOT(AND(Simulations!$A28&lt;&gt;"",OR(Simulations!$AL28&lt;&gt;"",N(Simulations!$AN28)&gt;0))),N(Simulations!$AO28)&lt;=0,N(Simulations!$AN28)&lt;=0,1&gt;N(IF(Simulations!$O28="",1,Simulations!$O28))),0,IF(Simulations!$AO28&lt;IF(Simulations!$J28="",1000,Simulations!$J28),Simulations!$AN28/(IF(Simulations!$G28="",5000,Simulations!$G28)*IF(Simulations!$H28="",5000,Simulations!$H28)*IF(IF(Simulations!$I28="",5000,Simulations!$I28)&gt;0,IF(Simulations!$I28="",5000,Simulations!$I28),1))*Simulations!$AO28*(PI()/2*IF(Simulations!$T28="",200,Simulations!$T28)^2*IF(IF(Simulations!$I28="",5000,Simulations!$I28)&gt;0,SQRT(PI()/2)*IF(Simulations!$W28="",1000,Simulations!$W28),1)),Simulations!$AN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T28="",200,Simulations!$T28)^2*IF(Simulations!$W28="",1000,Simulations!$W28)/2^1.5*(2/3*LN(Simulations!$AO28/IF(Simulations!$J28="",1000,Simulations!$J28))^1.5+SQRT(LN(Simulations!$AO28/IF(Simulations!$J28="",1000,Simulations!$J28)))+Simulations!$AO28/IF(Simulations!$J28="",1000,Simulations!$J28)*SQRT(PI())/2*ERFC(SQRT(LN(Simulations!$AO28/IF(Simulations!$J28="",1000,Simulations!$J28))))),PI()*IF(Simulations!$T28="",200,Simulations!$T28)^2/2*(LN(Simulations!$AO28/IF(Simulations!$J28="",1000,Simulations!$J28))+1))))</f>
        <v>0</v>
      </c>
      <c r="C28" s="0" t="n">
        <f aca="false">IF(OR(NOT(AND(Simulations!$A28&lt;&gt;"",OR(Simulations!$AL28&lt;&gt;"",N(Simulations!$AN28)&gt;0))),N(Simulations!$AP28)&lt;=0,N(Simulations!$AN28)&lt;=0,2&gt;N(IF(Simulations!$O28="",1,Simulations!$O28))),0,IF(Simulations!$AP28&lt;IF(Simulations!$J28="",1000,Simulations!$J28),Simulations!$AN28/(IF(Simulations!$G28="",5000,Simulations!$G28)*IF(Simulations!$H28="",5000,Simulations!$H28)*IF(IF(Simulations!$I28="",5000,Simulations!$I28)&gt;0,IF(Simulations!$I28="",5000,Simulations!$I28),1))*Simulations!$AP28*(PI()/2*IF(Simulations!$U28="",200,Simulations!$U28)^2*IF(IF(Simulations!$I28="",5000,Simulations!$I28)&gt;0,SQRT(PI()/2)*IF(Simulations!$X28="",1000,Simulations!$X28),1)),Simulations!$AN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U28="",200,Simulations!$U28)^2*IF(Simulations!$X28="",1000,Simulations!$X28)/2^1.5*(2/3*LN(Simulations!$AP28/IF(Simulations!$J28="",1000,Simulations!$J28))^1.5+SQRT(LN(Simulations!$AP28/IF(Simulations!$J28="",1000,Simulations!$J28)))+Simulations!$AP28/IF(Simulations!$J28="",1000,Simulations!$J28)*SQRT(PI())/2*ERFC(SQRT(LN(Simulations!$AP28/IF(Simulations!$J28="",1000,Simulations!$J28))))),PI()*IF(Simulations!$U28="",200,Simulations!$U28)^2/2*(LN(Simulations!$AP28/IF(Simulations!$J28="",1000,Simulations!$J28))+1))))</f>
        <v>0</v>
      </c>
      <c r="D28" s="0" t="n">
        <f aca="false">IF(OR(NOT(AND(Simulations!$A28&lt;&gt;"",OR(Simulations!$AL28&lt;&gt;"",N(Simulations!$AN28)&gt;0))),N(Simulations!$AQ28)&lt;=0,N(Simulations!$AN28)&lt;=0,3&gt;N(IF(Simulations!$O28="",1,Simulations!$O28))),0,IF(Simulations!$AQ28&lt;IF(Simulations!$J28="",1000,Simulations!$J28),Simulations!$AN28/(IF(Simulations!$G28="",5000,Simulations!$G28)*IF(Simulations!$H28="",5000,Simulations!$H28)*IF(IF(Simulations!$I28="",5000,Simulations!$I28)&gt;0,IF(Simulations!$I28="",5000,Simulations!$I28),1))*Simulations!$AQ28*(PI()/2*IF(Simulations!$V28="",200,Simulations!$V28)^2*IF(IF(Simulations!$I28="",5000,Simulations!$I28)&gt;0,SQRT(PI()/2)*IF(Simulations!$Y28="",1000,Simulations!$Y28),1)),Simulations!$AN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V28="",200,Simulations!$V28)^2*IF(Simulations!$Y28="",1000,Simulations!$Y28)/2^1.5*(2/3*LN(Simulations!$AQ28/IF(Simulations!$J28="",1000,Simulations!$J28))^1.5+SQRT(LN(Simulations!$AQ28/IF(Simulations!$J28="",1000,Simulations!$J28)))+Simulations!$AQ28/IF(Simulations!$J28="",1000,Simulations!$J28)*SQRT(PI())/2*ERFC(SQRT(LN(Simulations!$AQ28/IF(Simulations!$J28="",1000,Simulations!$J28))))),PI()*IF(Simulations!$V28="",200,Simulations!$V28)^2/2*(LN(Simulations!$AQ28/IF(Simulations!$J28="",1000,Simulations!$J28))+1))))</f>
        <v>0</v>
      </c>
      <c r="E28" s="0" t="n">
        <f aca="false">IF(NOT(AND(Simulations!$A28&lt;&gt;"",OR(Simulations!$AL28&lt;&gt;"",N(Simulations!$AN28)&gt;0))),0,MAX(N(Simulations!$AO28),N(Simulations!$AP28),N(Simulations!$AQ28))/IF(Simulations!$J28="",1000,Simulations!$J28))</f>
        <v>0</v>
      </c>
      <c r="F28" s="0" t="n">
        <f aca="false">IF(OR(NOT(AND(Simulations!$A28&lt;&gt;"",OR(Simulations!$AL28&lt;&gt;"",N(Simulations!$AN28)&gt;0))),N(Simulations!$AM28)&lt;=0),0,SQRT(2*Simulations!$AM28*1000000/(IF(Simulations!$J28="",1000,Simulations!$J28)*1000))/MIN(IF(Simulations!$T28="",200,Simulations!$T28),IF(Simulations!$U28="",200,Simulations!$U28),IF(Simulations!$V28="",200,Simulations!$V28)))</f>
        <v>0</v>
      </c>
      <c r="G28" s="0" t="n">
        <f aca="false">IF(AND(Simulations!$A28&lt;&gt;"",OR(Simulations!$AL28&lt;&gt;"",N(Simulations!$AN28)&gt;0)),1,0)</f>
        <v>0</v>
      </c>
      <c r="H28" s="0" t="n">
        <f aca="false">IF(OR(NOT(AND(Simulations!$A28&lt;&gt;"",OR(Simulations!$BD28&lt;&gt;"",N(Simulations!$BF28)&gt;0))),N(Simulations!$BG28)&lt;=0,N(Simulations!$BF28)&lt;=0,1&gt;N(IF(Simulations!$O28="",1,Simulations!$O28))),0,IF(Simulations!$BG28&lt;IF(Simulations!$J28="",1000,Simulations!$J28),Simulations!$BF28/(IF(Simulations!$G28="",5000,Simulations!$G28)*IF(Simulations!$H28="",5000,Simulations!$H28)*IF(IF(Simulations!$I28="",5000,Simulations!$I28)&gt;0,IF(Simulations!$I28="",5000,Simulations!$I28),1))*Simulations!$BG28*(PI()/2*IF(Simulations!$T28="",200,Simulations!$T28)^2*IF(IF(Simulations!$I28="",5000,Simulations!$I28)&gt;0,SQRT(PI()/2)*IF(Simulations!$W28="",1000,Simulations!$W28),1)),Simulations!$BF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T28="",200,Simulations!$T28)^2*IF(Simulations!$W28="",1000,Simulations!$W28)/2^1.5*(2/3*LN(Simulations!$BG28/IF(Simulations!$J28="",1000,Simulations!$J28))^1.5+SQRT(LN(Simulations!$BG28/IF(Simulations!$J28="",1000,Simulations!$J28)))+Simulations!$BG28/IF(Simulations!$J28="",1000,Simulations!$J28)*SQRT(PI())/2*ERFC(SQRT(LN(Simulations!$BG28/IF(Simulations!$J28="",1000,Simulations!$J28))))),PI()*IF(Simulations!$T28="",200,Simulations!$T28)^2/2*(LN(Simulations!$BG28/IF(Simulations!$J28="",1000,Simulations!$J28))+1))))</f>
        <v>0</v>
      </c>
      <c r="I28" s="0" t="n">
        <f aca="false">IF(OR(NOT(AND(Simulations!$A28&lt;&gt;"",OR(Simulations!$BD28&lt;&gt;"",N(Simulations!$BF28)&gt;0))),N(Simulations!$BH28)&lt;=0,N(Simulations!$BF28)&lt;=0,2&gt;N(IF(Simulations!$O28="",1,Simulations!$O28))),0,IF(Simulations!$BH28&lt;IF(Simulations!$J28="",1000,Simulations!$J28),Simulations!$BF28/(IF(Simulations!$G28="",5000,Simulations!$G28)*IF(Simulations!$H28="",5000,Simulations!$H28)*IF(IF(Simulations!$I28="",5000,Simulations!$I28)&gt;0,IF(Simulations!$I28="",5000,Simulations!$I28),1))*Simulations!$BH28*(PI()/2*IF(Simulations!$U28="",200,Simulations!$U28)^2*IF(IF(Simulations!$I28="",5000,Simulations!$I28)&gt;0,SQRT(PI()/2)*IF(Simulations!$X28="",1000,Simulations!$X28),1)),Simulations!$BF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U28="",200,Simulations!$U28)^2*IF(Simulations!$X28="",1000,Simulations!$X28)/2^1.5*(2/3*LN(Simulations!$BH28/IF(Simulations!$J28="",1000,Simulations!$J28))^1.5+SQRT(LN(Simulations!$BH28/IF(Simulations!$J28="",1000,Simulations!$J28)))+Simulations!$BH28/IF(Simulations!$J28="",1000,Simulations!$J28)*SQRT(PI())/2*ERFC(SQRT(LN(Simulations!$BH28/IF(Simulations!$J28="",1000,Simulations!$J28))))),PI()*IF(Simulations!$U28="",200,Simulations!$U28)^2/2*(LN(Simulations!$BH28/IF(Simulations!$J28="",1000,Simulations!$J28))+1))))</f>
        <v>0</v>
      </c>
      <c r="J28" s="0" t="n">
        <f aca="false">IF(OR(NOT(AND(Simulations!$A28&lt;&gt;"",OR(Simulations!$BD28&lt;&gt;"",N(Simulations!$BF28)&gt;0))),N(Simulations!$BI28)&lt;=0,N(Simulations!$BF28)&lt;=0,3&gt;N(IF(Simulations!$O28="",1,Simulations!$O28))),0,IF(Simulations!$BI28&lt;IF(Simulations!$J28="",1000,Simulations!$J28),Simulations!$BF28/(IF(Simulations!$G28="",5000,Simulations!$G28)*IF(Simulations!$H28="",5000,Simulations!$H28)*IF(IF(Simulations!$I28="",5000,Simulations!$I28)&gt;0,IF(Simulations!$I28="",5000,Simulations!$I28),1))*Simulations!$BI28*(PI()/2*IF(Simulations!$V28="",200,Simulations!$V28)^2*IF(IF(Simulations!$I28="",5000,Simulations!$I28)&gt;0,SQRT(PI()/2)*IF(Simulations!$Y28="",1000,Simulations!$Y28),1)),Simulations!$BF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V28="",200,Simulations!$V28)^2*IF(Simulations!$Y28="",1000,Simulations!$Y28)/2^1.5*(2/3*LN(Simulations!$BI28/IF(Simulations!$J28="",1000,Simulations!$J28))^1.5+SQRT(LN(Simulations!$BI28/IF(Simulations!$J28="",1000,Simulations!$J28)))+Simulations!$BI28/IF(Simulations!$J28="",1000,Simulations!$J28)*SQRT(PI())/2*ERFC(SQRT(LN(Simulations!$BI28/IF(Simulations!$J28="",1000,Simulations!$J28))))),PI()*IF(Simulations!$V28="",200,Simulations!$V28)^2/2*(LN(Simulations!$BI28/IF(Simulations!$J28="",1000,Simulations!$J28))+1))))</f>
        <v>0</v>
      </c>
      <c r="K28" s="0" t="n">
        <f aca="false">IF(NOT(AND(Simulations!$A28&lt;&gt;"",OR(Simulations!$BD28&lt;&gt;"",N(Simulations!$BF28)&gt;0))),0,MAX(N(Simulations!$BG28),N(Simulations!$BH28),N(Simulations!$BI28))/IF(Simulations!$J28="",1000,Simulations!$J28))</f>
        <v>0</v>
      </c>
      <c r="L28" s="0" t="n">
        <f aca="false">IF(OR(NOT(AND(Simulations!$A28&lt;&gt;"",OR(Simulations!$BD28&lt;&gt;"",N(Simulations!$BF28)&gt;0))),N(Simulations!$BE28)&lt;=0),0,SQRT(2*Simulations!$BE28*1000000/(IF(Simulations!$J28="",1000,Simulations!$J28)*1000))/MIN(IF(Simulations!$T28="",200,Simulations!$T28),IF(Simulations!$U28="",200,Simulations!$U28),IF(Simulations!$V28="",200,Simulations!$V28)))</f>
        <v>0</v>
      </c>
      <c r="M28" s="0" t="n">
        <f aca="false">IF(AND(Simulations!$A28&lt;&gt;"",OR(Simulations!$BD28&lt;&gt;"",N(Simulations!$BF28)&gt;0)),1,0)</f>
        <v>0</v>
      </c>
      <c r="N28" s="0" t="n">
        <f aca="false">IF(OR(NOT(AND(Simulations!$A28&lt;&gt;"",OR(Simulations!$BV28&lt;&gt;"",N(Simulations!$BX28)&gt;0))),N(Simulations!$BY28)&lt;=0,N(Simulations!$BX28)&lt;=0,1&gt;N(IF(Simulations!$O28="",1,Simulations!$O28))),0,IF(Simulations!$BY28&lt;IF(Simulations!$J28="",1000,Simulations!$J28),Simulations!$BX28/(IF(Simulations!$G28="",5000,Simulations!$G28)*IF(Simulations!$H28="",5000,Simulations!$H28)*IF(IF(Simulations!$I28="",5000,Simulations!$I28)&gt;0,IF(Simulations!$I28="",5000,Simulations!$I28),1))*Simulations!$BY28*(PI()/2*IF(Simulations!$T28="",200,Simulations!$T28)^2*IF(IF(Simulations!$I28="",5000,Simulations!$I28)&gt;0,SQRT(PI()/2)*IF(Simulations!$W28="",1000,Simulations!$W28),1)),Simulations!$BX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T28="",200,Simulations!$T28)^2*IF(Simulations!$W28="",1000,Simulations!$W28)/2^1.5*(2/3*LN(Simulations!$BY28/IF(Simulations!$J28="",1000,Simulations!$J28))^1.5+SQRT(LN(Simulations!$BY28/IF(Simulations!$J28="",1000,Simulations!$J28)))+Simulations!$BY28/IF(Simulations!$J28="",1000,Simulations!$J28)*SQRT(PI())/2*ERFC(SQRT(LN(Simulations!$BY28/IF(Simulations!$J28="",1000,Simulations!$J28))))),PI()*IF(Simulations!$T28="",200,Simulations!$T28)^2/2*(LN(Simulations!$BY28/IF(Simulations!$J28="",1000,Simulations!$J28))+1))))</f>
        <v>0</v>
      </c>
      <c r="O28" s="0" t="n">
        <f aca="false">IF(OR(NOT(AND(Simulations!$A28&lt;&gt;"",OR(Simulations!$BV28&lt;&gt;"",N(Simulations!$BX28)&gt;0))),N(Simulations!$BZ28)&lt;=0,N(Simulations!$BX28)&lt;=0,2&gt;N(IF(Simulations!$O28="",1,Simulations!$O28))),0,IF(Simulations!$BZ28&lt;IF(Simulations!$J28="",1000,Simulations!$J28),Simulations!$BX28/(IF(Simulations!$G28="",5000,Simulations!$G28)*IF(Simulations!$H28="",5000,Simulations!$H28)*IF(IF(Simulations!$I28="",5000,Simulations!$I28)&gt;0,IF(Simulations!$I28="",5000,Simulations!$I28),1))*Simulations!$BZ28*(PI()/2*IF(Simulations!$U28="",200,Simulations!$U28)^2*IF(IF(Simulations!$I28="",5000,Simulations!$I28)&gt;0,SQRT(PI()/2)*IF(Simulations!$X28="",1000,Simulations!$X28),1)),Simulations!$BX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U28="",200,Simulations!$U28)^2*IF(Simulations!$X28="",1000,Simulations!$X28)/2^1.5*(2/3*LN(Simulations!$BZ28/IF(Simulations!$J28="",1000,Simulations!$J28))^1.5+SQRT(LN(Simulations!$BZ28/IF(Simulations!$J28="",1000,Simulations!$J28)))+Simulations!$BZ28/IF(Simulations!$J28="",1000,Simulations!$J28)*SQRT(PI())/2*ERFC(SQRT(LN(Simulations!$BZ28/IF(Simulations!$J28="",1000,Simulations!$J28))))),PI()*IF(Simulations!$U28="",200,Simulations!$U28)^2/2*(LN(Simulations!$BZ28/IF(Simulations!$J28="",1000,Simulations!$J28))+1))))</f>
        <v>0</v>
      </c>
      <c r="P28" s="0" t="n">
        <f aca="false">IF(OR(NOT(AND(Simulations!$A28&lt;&gt;"",OR(Simulations!$BV28&lt;&gt;"",N(Simulations!$BX28)&gt;0))),N(Simulations!$CA28)&lt;=0,N(Simulations!$BX28)&lt;=0,3&gt;N(IF(Simulations!$O28="",1,Simulations!$O28))),0,IF(Simulations!$CA28&lt;IF(Simulations!$J28="",1000,Simulations!$J28),Simulations!$BX28/(IF(Simulations!$G28="",5000,Simulations!$G28)*IF(Simulations!$H28="",5000,Simulations!$H28)*IF(IF(Simulations!$I28="",5000,Simulations!$I28)&gt;0,IF(Simulations!$I28="",5000,Simulations!$I28),1))*Simulations!$CA28*(PI()/2*IF(Simulations!$V28="",200,Simulations!$V28)^2*IF(IF(Simulations!$I28="",5000,Simulations!$I28)&gt;0,SQRT(PI()/2)*IF(Simulations!$Y28="",1000,Simulations!$Y28),1)),Simulations!$BX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V28="",200,Simulations!$V28)^2*IF(Simulations!$Y28="",1000,Simulations!$Y28)/2^1.5*(2/3*LN(Simulations!$CA28/IF(Simulations!$J28="",1000,Simulations!$J28))^1.5+SQRT(LN(Simulations!$CA28/IF(Simulations!$J28="",1000,Simulations!$J28)))+Simulations!$CA28/IF(Simulations!$J28="",1000,Simulations!$J28)*SQRT(PI())/2*ERFC(SQRT(LN(Simulations!$CA28/IF(Simulations!$J28="",1000,Simulations!$J28))))),PI()*IF(Simulations!$V28="",200,Simulations!$V28)^2/2*(LN(Simulations!$CA28/IF(Simulations!$J28="",1000,Simulations!$J28))+1))))</f>
        <v>0</v>
      </c>
      <c r="Q28" s="0" t="n">
        <f aca="false">IF(NOT(AND(Simulations!$A28&lt;&gt;"",OR(Simulations!$BV28&lt;&gt;"",N(Simulations!$BX28)&gt;0))),0,MAX(N(Simulations!$BY28),N(Simulations!$BZ28),N(Simulations!$CA28))/IF(Simulations!$J28="",1000,Simulations!$J28))</f>
        <v>0</v>
      </c>
      <c r="R28" s="0" t="n">
        <f aca="false">IF(OR(NOT(AND(Simulations!$A28&lt;&gt;"",OR(Simulations!$BV28&lt;&gt;"",N(Simulations!$BX28)&gt;0))),N(Simulations!$BW28)&lt;=0),0,SQRT(2*Simulations!$BW28*1000000/(IF(Simulations!$J28="",1000,Simulations!$J28)*1000))/MIN(IF(Simulations!$T28="",200,Simulations!$T28),IF(Simulations!$U28="",200,Simulations!$U28),IF(Simulations!$V28="",200,Simulations!$V28)))</f>
        <v>0</v>
      </c>
      <c r="S28" s="0" t="n">
        <f aca="false">IF(AND(Simulations!$A28&lt;&gt;"",OR(Simulations!$BV28&lt;&gt;"",N(Simulations!$BX28)&gt;0)),1,0)</f>
        <v>0</v>
      </c>
      <c r="T28" s="0" t="n">
        <f aca="false">IF(OR(NOT(AND(Simulations!$A28&lt;&gt;"",OR(Simulations!$CN28&lt;&gt;"",N(Simulations!$CP28)&gt;0))),N(Simulations!$CQ28)&lt;=0,N(Simulations!$CP28)&lt;=0,1&gt;N(IF(Simulations!$O28="",1,Simulations!$O28))),0,IF(Simulations!$CQ28&lt;IF(Simulations!$J28="",1000,Simulations!$J28),Simulations!$CP28/(IF(Simulations!$G28="",5000,Simulations!$G28)*IF(Simulations!$H28="",5000,Simulations!$H28)*IF(IF(Simulations!$I28="",5000,Simulations!$I28)&gt;0,IF(Simulations!$I28="",5000,Simulations!$I28),1))*Simulations!$CQ28*(PI()/2*IF(Simulations!$T28="",200,Simulations!$T28)^2*IF(IF(Simulations!$I28="",5000,Simulations!$I28)&gt;0,SQRT(PI()/2)*IF(Simulations!$W28="",1000,Simulations!$W28),1)),Simulations!$CP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T28="",200,Simulations!$T28)^2*IF(Simulations!$W28="",1000,Simulations!$W28)/2^1.5*(2/3*LN(Simulations!$CQ28/IF(Simulations!$J28="",1000,Simulations!$J28))^1.5+SQRT(LN(Simulations!$CQ28/IF(Simulations!$J28="",1000,Simulations!$J28)))+Simulations!$CQ28/IF(Simulations!$J28="",1000,Simulations!$J28)*SQRT(PI())/2*ERFC(SQRT(LN(Simulations!$CQ28/IF(Simulations!$J28="",1000,Simulations!$J28))))),PI()*IF(Simulations!$T28="",200,Simulations!$T28)^2/2*(LN(Simulations!$CQ28/IF(Simulations!$J28="",1000,Simulations!$J28))+1))))</f>
        <v>0</v>
      </c>
      <c r="U28" s="0" t="n">
        <f aca="false">IF(OR(NOT(AND(Simulations!$A28&lt;&gt;"",OR(Simulations!$CN28&lt;&gt;"",N(Simulations!$CP28)&gt;0))),N(Simulations!$CR28)&lt;=0,N(Simulations!$CP28)&lt;=0,2&gt;N(IF(Simulations!$O28="",1,Simulations!$O28))),0,IF(Simulations!$CR28&lt;IF(Simulations!$J28="",1000,Simulations!$J28),Simulations!$CP28/(IF(Simulations!$G28="",5000,Simulations!$G28)*IF(Simulations!$H28="",5000,Simulations!$H28)*IF(IF(Simulations!$I28="",5000,Simulations!$I28)&gt;0,IF(Simulations!$I28="",5000,Simulations!$I28),1))*Simulations!$CR28*(PI()/2*IF(Simulations!$U28="",200,Simulations!$U28)^2*IF(IF(Simulations!$I28="",5000,Simulations!$I28)&gt;0,SQRT(PI()/2)*IF(Simulations!$X28="",1000,Simulations!$X28),1)),Simulations!$CP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U28="",200,Simulations!$U28)^2*IF(Simulations!$X28="",1000,Simulations!$X28)/2^1.5*(2/3*LN(Simulations!$CR28/IF(Simulations!$J28="",1000,Simulations!$J28))^1.5+SQRT(LN(Simulations!$CR28/IF(Simulations!$J28="",1000,Simulations!$J28)))+Simulations!$CR28/IF(Simulations!$J28="",1000,Simulations!$J28)*SQRT(PI())/2*ERFC(SQRT(LN(Simulations!$CR28/IF(Simulations!$J28="",1000,Simulations!$J28))))),PI()*IF(Simulations!$U28="",200,Simulations!$U28)^2/2*(LN(Simulations!$CR28/IF(Simulations!$J28="",1000,Simulations!$J28))+1))))</f>
        <v>0</v>
      </c>
      <c r="V28" s="0" t="n">
        <f aca="false">IF(OR(NOT(AND(Simulations!$A28&lt;&gt;"",OR(Simulations!$CN28&lt;&gt;"",N(Simulations!$CP28)&gt;0))),N(Simulations!$CS28)&lt;=0,N(Simulations!$CP28)&lt;=0,3&gt;N(IF(Simulations!$O28="",1,Simulations!$O28))),0,IF(Simulations!$CS28&lt;IF(Simulations!$J28="",1000,Simulations!$J28),Simulations!$CP28/(IF(Simulations!$G28="",5000,Simulations!$G28)*IF(Simulations!$H28="",5000,Simulations!$H28)*IF(IF(Simulations!$I28="",5000,Simulations!$I28)&gt;0,IF(Simulations!$I28="",5000,Simulations!$I28),1))*Simulations!$CS28*(PI()/2*IF(Simulations!$V28="",200,Simulations!$V28)^2*IF(IF(Simulations!$I28="",5000,Simulations!$I28)&gt;0,SQRT(PI()/2)*IF(Simulations!$Y28="",1000,Simulations!$Y28),1)),Simulations!$CP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V28="",200,Simulations!$V28)^2*IF(Simulations!$Y28="",1000,Simulations!$Y28)/2^1.5*(2/3*LN(Simulations!$CS28/IF(Simulations!$J28="",1000,Simulations!$J28))^1.5+SQRT(LN(Simulations!$CS28/IF(Simulations!$J28="",1000,Simulations!$J28)))+Simulations!$CS28/IF(Simulations!$J28="",1000,Simulations!$J28)*SQRT(PI())/2*ERFC(SQRT(LN(Simulations!$CS28/IF(Simulations!$J28="",1000,Simulations!$J28))))),PI()*IF(Simulations!$V28="",200,Simulations!$V28)^2/2*(LN(Simulations!$CS28/IF(Simulations!$J28="",1000,Simulations!$J28))+1))))</f>
        <v>0</v>
      </c>
      <c r="W28" s="0" t="n">
        <f aca="false">IF(NOT(AND(Simulations!$A28&lt;&gt;"",OR(Simulations!$CN28&lt;&gt;"",N(Simulations!$CP28)&gt;0))),0,MAX(N(Simulations!$CQ28),N(Simulations!$CR28),N(Simulations!$CS28))/IF(Simulations!$J28="",1000,Simulations!$J28))</f>
        <v>0</v>
      </c>
      <c r="X28" s="0" t="n">
        <f aca="false">IF(OR(NOT(AND(Simulations!$A28&lt;&gt;"",OR(Simulations!$CN28&lt;&gt;"",N(Simulations!$CP28)&gt;0))),N(Simulations!$CO28)&lt;=0),0,SQRT(2*Simulations!$CO28*1000000/(IF(Simulations!$J28="",1000,Simulations!$J28)*1000))/MIN(IF(Simulations!$T28="",200,Simulations!$T28),IF(Simulations!$U28="",200,Simulations!$U28),IF(Simulations!$V28="",200,Simulations!$V28)))</f>
        <v>0</v>
      </c>
      <c r="Y28" s="0" t="n">
        <f aca="false">IF(AND(Simulations!$A28&lt;&gt;"",OR(Simulations!$CN28&lt;&gt;"",N(Simulations!$CP28)&gt;0)),1,0)</f>
        <v>0</v>
      </c>
      <c r="Z28" s="0" t="n">
        <f aca="false">IF(OR(NOT(AND(Simulations!$A28&lt;&gt;"",OR(Simulations!$DF28&lt;&gt;"",N(Simulations!$DH28)&gt;0))),N(Simulations!$DI28)&lt;=0,N(Simulations!$DH28)&lt;=0,1&gt;N(IF(Simulations!$O28="",1,Simulations!$O28))),0,IF(Simulations!$DI28&lt;IF(Simulations!$J28="",1000,Simulations!$J28),Simulations!$DH28/(IF(Simulations!$G28="",5000,Simulations!$G28)*IF(Simulations!$H28="",5000,Simulations!$H28)*IF(IF(Simulations!$I28="",5000,Simulations!$I28)&gt;0,IF(Simulations!$I28="",5000,Simulations!$I28),1))*Simulations!$DI28*(PI()/2*IF(Simulations!$T28="",200,Simulations!$T28)^2*IF(IF(Simulations!$I28="",5000,Simulations!$I28)&gt;0,SQRT(PI()/2)*IF(Simulations!$W28="",1000,Simulations!$W28),1)),Simulations!$DH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T28="",200,Simulations!$T28)^2*IF(Simulations!$W28="",1000,Simulations!$W28)/2^1.5*(2/3*LN(Simulations!$DI28/IF(Simulations!$J28="",1000,Simulations!$J28))^1.5+SQRT(LN(Simulations!$DI28/IF(Simulations!$J28="",1000,Simulations!$J28)))+Simulations!$DI28/IF(Simulations!$J28="",1000,Simulations!$J28)*SQRT(PI())/2*ERFC(SQRT(LN(Simulations!$DI28/IF(Simulations!$J28="",1000,Simulations!$J28))))),PI()*IF(Simulations!$T28="",200,Simulations!$T28)^2/2*(LN(Simulations!$DI28/IF(Simulations!$J28="",1000,Simulations!$J28))+1))))</f>
        <v>0</v>
      </c>
      <c r="AA28" s="0" t="n">
        <f aca="false">IF(OR(NOT(AND(Simulations!$A28&lt;&gt;"",OR(Simulations!$DF28&lt;&gt;"",N(Simulations!$DH28)&gt;0))),N(Simulations!$DJ28)&lt;=0,N(Simulations!$DH28)&lt;=0,2&gt;N(IF(Simulations!$O28="",1,Simulations!$O28))),0,IF(Simulations!$DJ28&lt;IF(Simulations!$J28="",1000,Simulations!$J28),Simulations!$DH28/(IF(Simulations!$G28="",5000,Simulations!$G28)*IF(Simulations!$H28="",5000,Simulations!$H28)*IF(IF(Simulations!$I28="",5000,Simulations!$I28)&gt;0,IF(Simulations!$I28="",5000,Simulations!$I28),1))*Simulations!$DJ28*(PI()/2*IF(Simulations!$U28="",200,Simulations!$U28)^2*IF(IF(Simulations!$I28="",5000,Simulations!$I28)&gt;0,SQRT(PI()/2)*IF(Simulations!$X28="",1000,Simulations!$X28),1)),Simulations!$DH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U28="",200,Simulations!$U28)^2*IF(Simulations!$X28="",1000,Simulations!$X28)/2^1.5*(2/3*LN(Simulations!$DJ28/IF(Simulations!$J28="",1000,Simulations!$J28))^1.5+SQRT(LN(Simulations!$DJ28/IF(Simulations!$J28="",1000,Simulations!$J28)))+Simulations!$DJ28/IF(Simulations!$J28="",1000,Simulations!$J28)*SQRT(PI())/2*ERFC(SQRT(LN(Simulations!$DJ28/IF(Simulations!$J28="",1000,Simulations!$J28))))),PI()*IF(Simulations!$U28="",200,Simulations!$U28)^2/2*(LN(Simulations!$DJ28/IF(Simulations!$J28="",1000,Simulations!$J28))+1))))</f>
        <v>0</v>
      </c>
      <c r="AB28" s="0" t="n">
        <f aca="false">IF(OR(NOT(AND(Simulations!$A28&lt;&gt;"",OR(Simulations!$DF28&lt;&gt;"",N(Simulations!$DH28)&gt;0))),N(Simulations!$DK28)&lt;=0,N(Simulations!$DH28)&lt;=0,3&gt;N(IF(Simulations!$O28="",1,Simulations!$O28))),0,IF(Simulations!$DK28&lt;IF(Simulations!$J28="",1000,Simulations!$J28),Simulations!$DH28/(IF(Simulations!$G28="",5000,Simulations!$G28)*IF(Simulations!$H28="",5000,Simulations!$H28)*IF(IF(Simulations!$I28="",5000,Simulations!$I28)&gt;0,IF(Simulations!$I28="",5000,Simulations!$I28),1))*Simulations!$DK28*(PI()/2*IF(Simulations!$V28="",200,Simulations!$V28)^2*IF(IF(Simulations!$I28="",5000,Simulations!$I28)&gt;0,SQRT(PI()/2)*IF(Simulations!$Y28="",1000,Simulations!$Y28),1)),Simulations!$DH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V28="",200,Simulations!$V28)^2*IF(Simulations!$Y28="",1000,Simulations!$Y28)/2^1.5*(2/3*LN(Simulations!$DK28/IF(Simulations!$J28="",1000,Simulations!$J28))^1.5+SQRT(LN(Simulations!$DK28/IF(Simulations!$J28="",1000,Simulations!$J28)))+Simulations!$DK28/IF(Simulations!$J28="",1000,Simulations!$J28)*SQRT(PI())/2*ERFC(SQRT(LN(Simulations!$DK28/IF(Simulations!$J28="",1000,Simulations!$J28))))),PI()*IF(Simulations!$V28="",200,Simulations!$V28)^2/2*(LN(Simulations!$DK28/IF(Simulations!$J28="",1000,Simulations!$J28))+1))))</f>
        <v>0</v>
      </c>
      <c r="AC28" s="0" t="n">
        <f aca="false">IF(NOT(AND(Simulations!$A28&lt;&gt;"",OR(Simulations!$DF28&lt;&gt;"",N(Simulations!$DH28)&gt;0))),0,MAX(N(Simulations!$DI28),N(Simulations!$DJ28),N(Simulations!$DK28))/IF(Simulations!$J28="",1000,Simulations!$J28))</f>
        <v>0</v>
      </c>
      <c r="AD28" s="0" t="n">
        <f aca="false">IF(OR(NOT(AND(Simulations!$A28&lt;&gt;"",OR(Simulations!$DF28&lt;&gt;"",N(Simulations!$DH28)&gt;0))),N(Simulations!$DG28)&lt;=0),0,SQRT(2*Simulations!$DG28*1000000/(IF(Simulations!$J28="",1000,Simulations!$J28)*1000))/MIN(IF(Simulations!$T28="",200,Simulations!$T28),IF(Simulations!$U28="",200,Simulations!$U28),IF(Simulations!$V28="",200,Simulations!$V28)))</f>
        <v>0</v>
      </c>
      <c r="AE28" s="0" t="n">
        <f aca="false">IF(AND(Simulations!$A28&lt;&gt;"",OR(Simulations!$DF28&lt;&gt;"",N(Simulations!$DH28)&gt;0)),1,0)</f>
        <v>0</v>
      </c>
      <c r="AF28" s="0" t="n">
        <f aca="false">IF(OR(NOT(AND(Simulations!$A28&lt;&gt;"",OR(Simulations!$DX28&lt;&gt;"",N(Simulations!$DZ28)&gt;0))),N(Simulations!$EA28)&lt;=0,N(Simulations!$DZ28)&lt;=0,1&gt;N(IF(Simulations!$O28="",1,Simulations!$O28))),0,IF(Simulations!$EA28&lt;IF(Simulations!$J28="",1000,Simulations!$J28),Simulations!$DZ28/(IF(Simulations!$G28="",5000,Simulations!$G28)*IF(Simulations!$H28="",5000,Simulations!$H28)*IF(IF(Simulations!$I28="",5000,Simulations!$I28)&gt;0,IF(Simulations!$I28="",5000,Simulations!$I28),1))*Simulations!$EA28*(PI()/2*IF(Simulations!$T28="",200,Simulations!$T28)^2*IF(IF(Simulations!$I28="",5000,Simulations!$I28)&gt;0,SQRT(PI()/2)*IF(Simulations!$W28="",1000,Simulations!$W28),1)),Simulations!$DZ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T28="",200,Simulations!$T28)^2*IF(Simulations!$W28="",1000,Simulations!$W28)/2^1.5*(2/3*LN(Simulations!$EA28/IF(Simulations!$J28="",1000,Simulations!$J28))^1.5+SQRT(LN(Simulations!$EA28/IF(Simulations!$J28="",1000,Simulations!$J28)))+Simulations!$EA28/IF(Simulations!$J28="",1000,Simulations!$J28)*SQRT(PI())/2*ERFC(SQRT(LN(Simulations!$EA28/IF(Simulations!$J28="",1000,Simulations!$J28))))),PI()*IF(Simulations!$T28="",200,Simulations!$T28)^2/2*(LN(Simulations!$EA28/IF(Simulations!$J28="",1000,Simulations!$J28))+1))))</f>
        <v>0</v>
      </c>
      <c r="AG28" s="0" t="n">
        <f aca="false">IF(OR(NOT(AND(Simulations!$A28&lt;&gt;"",OR(Simulations!$DX28&lt;&gt;"",N(Simulations!$DZ28)&gt;0))),N(Simulations!$EB28)&lt;=0,N(Simulations!$DZ28)&lt;=0,2&gt;N(IF(Simulations!$O28="",1,Simulations!$O28))),0,IF(Simulations!$EB28&lt;IF(Simulations!$J28="",1000,Simulations!$J28),Simulations!$DZ28/(IF(Simulations!$G28="",5000,Simulations!$G28)*IF(Simulations!$H28="",5000,Simulations!$H28)*IF(IF(Simulations!$I28="",5000,Simulations!$I28)&gt;0,IF(Simulations!$I28="",5000,Simulations!$I28),1))*Simulations!$EB28*(PI()/2*IF(Simulations!$U28="",200,Simulations!$U28)^2*IF(IF(Simulations!$I28="",5000,Simulations!$I28)&gt;0,SQRT(PI()/2)*IF(Simulations!$X28="",1000,Simulations!$X28),1)),Simulations!$DZ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U28="",200,Simulations!$U28)^2*IF(Simulations!$X28="",1000,Simulations!$X28)/2^1.5*(2/3*LN(Simulations!$EB28/IF(Simulations!$J28="",1000,Simulations!$J28))^1.5+SQRT(LN(Simulations!$EB28/IF(Simulations!$J28="",1000,Simulations!$J28)))+Simulations!$EB28/IF(Simulations!$J28="",1000,Simulations!$J28)*SQRT(PI())/2*ERFC(SQRT(LN(Simulations!$EB28/IF(Simulations!$J28="",1000,Simulations!$J28))))),PI()*IF(Simulations!$U28="",200,Simulations!$U28)^2/2*(LN(Simulations!$EB28/IF(Simulations!$J28="",1000,Simulations!$J28))+1))))</f>
        <v>0</v>
      </c>
      <c r="AH28" s="0" t="n">
        <f aca="false">IF(OR(NOT(AND(Simulations!$A28&lt;&gt;"",OR(Simulations!$DX28&lt;&gt;"",N(Simulations!$DZ28)&gt;0))),N(Simulations!$EC28)&lt;=0,N(Simulations!$DZ28)&lt;=0,3&gt;N(IF(Simulations!$O28="",1,Simulations!$O28))),0,IF(Simulations!$EC28&lt;IF(Simulations!$J28="",1000,Simulations!$J28),Simulations!$DZ28/(IF(Simulations!$G28="",5000,Simulations!$G28)*IF(Simulations!$H28="",5000,Simulations!$H28)*IF(IF(Simulations!$I28="",5000,Simulations!$I28)&gt;0,IF(Simulations!$I28="",5000,Simulations!$I28),1))*Simulations!$EC28*(PI()/2*IF(Simulations!$V28="",200,Simulations!$V28)^2*IF(IF(Simulations!$I28="",5000,Simulations!$I28)&gt;0,SQRT(PI()/2)*IF(Simulations!$Y28="",1000,Simulations!$Y28),1)),Simulations!$DZ28/(IF(Simulations!$G28="",5000,Simulations!$G28)*IF(Simulations!$H28="",5000,Simulations!$H28)*IF(IF(Simulations!$I28="",5000,Simulations!$I28)&gt;0,IF(Simulations!$I28="",5000,Simulations!$I28),1))*IF(Simulations!$J28="",1000,Simulations!$J28)*IF(IF(Simulations!$I28="",5000,Simulations!$I28)&gt;0,2*PI()*IF(Simulations!$V28="",200,Simulations!$V28)^2*IF(Simulations!$Y28="",1000,Simulations!$Y28)/2^1.5*(2/3*LN(Simulations!$EC28/IF(Simulations!$J28="",1000,Simulations!$J28))^1.5+SQRT(LN(Simulations!$EC28/IF(Simulations!$J28="",1000,Simulations!$J28)))+Simulations!$EC28/IF(Simulations!$J28="",1000,Simulations!$J28)*SQRT(PI())/2*ERFC(SQRT(LN(Simulations!$EC28/IF(Simulations!$J28="",1000,Simulations!$J28))))),PI()*IF(Simulations!$V28="",200,Simulations!$V28)^2/2*(LN(Simulations!$EC28/IF(Simulations!$J28="",1000,Simulations!$J28))+1))))</f>
        <v>0</v>
      </c>
      <c r="AI28" s="0" t="n">
        <f aca="false">IF(NOT(AND(Simulations!$A28&lt;&gt;"",OR(Simulations!$DX28&lt;&gt;"",N(Simulations!$DZ28)&gt;0))),0,MAX(N(Simulations!$EA28),N(Simulations!$EB28),N(Simulations!$EC28))/IF(Simulations!$J28="",1000,Simulations!$J28))</f>
        <v>0</v>
      </c>
      <c r="AJ28" s="0" t="n">
        <f aca="false">IF(OR(NOT(AND(Simulations!$A28&lt;&gt;"",OR(Simulations!$DX28&lt;&gt;"",N(Simulations!$DZ28)&gt;0))),N(Simulations!$DY28)&lt;=0),0,SQRT(2*Simulations!$DY28*1000000/(IF(Simulations!$J28="",1000,Simulations!$J28)*1000))/MIN(IF(Simulations!$T28="",200,Simulations!$T28),IF(Simulations!$U28="",200,Simulations!$U28),IF(Simulations!$V28="",200,Simulations!$V28)))</f>
        <v>0</v>
      </c>
      <c r="AK28" s="0" t="n">
        <f aca="false">IF(AND(Simulations!$A28&lt;&gt;"",OR(Simulations!$DX28&lt;&gt;"",N(Simulations!$DZ28)&gt;0)),1,0)</f>
        <v>0</v>
      </c>
    </row>
    <row r="29" customFormat="false" ht="15" hidden="false" customHeight="false" outlineLevel="0" collapsed="false">
      <c r="B29" s="0" t="n">
        <f aca="false">IF(OR(NOT(AND(Simulations!$A29&lt;&gt;"",OR(Simulations!$AL29&lt;&gt;"",N(Simulations!$AN29)&gt;0))),N(Simulations!$AO29)&lt;=0,N(Simulations!$AN29)&lt;=0,1&gt;N(IF(Simulations!$O29="",1,Simulations!$O29))),0,IF(Simulations!$AO29&lt;IF(Simulations!$J29="",1000,Simulations!$J29),Simulations!$AN29/(IF(Simulations!$G29="",5000,Simulations!$G29)*IF(Simulations!$H29="",5000,Simulations!$H29)*IF(IF(Simulations!$I29="",5000,Simulations!$I29)&gt;0,IF(Simulations!$I29="",5000,Simulations!$I29),1))*Simulations!$AO29*(PI()/2*IF(Simulations!$T29="",200,Simulations!$T29)^2*IF(IF(Simulations!$I29="",5000,Simulations!$I29)&gt;0,SQRT(PI()/2)*IF(Simulations!$W29="",1000,Simulations!$W29),1)),Simulations!$AN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T29="",200,Simulations!$T29)^2*IF(Simulations!$W29="",1000,Simulations!$W29)/2^1.5*(2/3*LN(Simulations!$AO29/IF(Simulations!$J29="",1000,Simulations!$J29))^1.5+SQRT(LN(Simulations!$AO29/IF(Simulations!$J29="",1000,Simulations!$J29)))+Simulations!$AO29/IF(Simulations!$J29="",1000,Simulations!$J29)*SQRT(PI())/2*ERFC(SQRT(LN(Simulations!$AO29/IF(Simulations!$J29="",1000,Simulations!$J29))))),PI()*IF(Simulations!$T29="",200,Simulations!$T29)^2/2*(LN(Simulations!$AO29/IF(Simulations!$J29="",1000,Simulations!$J29))+1))))</f>
        <v>0</v>
      </c>
      <c r="C29" s="0" t="n">
        <f aca="false">IF(OR(NOT(AND(Simulations!$A29&lt;&gt;"",OR(Simulations!$AL29&lt;&gt;"",N(Simulations!$AN29)&gt;0))),N(Simulations!$AP29)&lt;=0,N(Simulations!$AN29)&lt;=0,2&gt;N(IF(Simulations!$O29="",1,Simulations!$O29))),0,IF(Simulations!$AP29&lt;IF(Simulations!$J29="",1000,Simulations!$J29),Simulations!$AN29/(IF(Simulations!$G29="",5000,Simulations!$G29)*IF(Simulations!$H29="",5000,Simulations!$H29)*IF(IF(Simulations!$I29="",5000,Simulations!$I29)&gt;0,IF(Simulations!$I29="",5000,Simulations!$I29),1))*Simulations!$AP29*(PI()/2*IF(Simulations!$U29="",200,Simulations!$U29)^2*IF(IF(Simulations!$I29="",5000,Simulations!$I29)&gt;0,SQRT(PI()/2)*IF(Simulations!$X29="",1000,Simulations!$X29),1)),Simulations!$AN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U29="",200,Simulations!$U29)^2*IF(Simulations!$X29="",1000,Simulations!$X29)/2^1.5*(2/3*LN(Simulations!$AP29/IF(Simulations!$J29="",1000,Simulations!$J29))^1.5+SQRT(LN(Simulations!$AP29/IF(Simulations!$J29="",1000,Simulations!$J29)))+Simulations!$AP29/IF(Simulations!$J29="",1000,Simulations!$J29)*SQRT(PI())/2*ERFC(SQRT(LN(Simulations!$AP29/IF(Simulations!$J29="",1000,Simulations!$J29))))),PI()*IF(Simulations!$U29="",200,Simulations!$U29)^2/2*(LN(Simulations!$AP29/IF(Simulations!$J29="",1000,Simulations!$J29))+1))))</f>
        <v>0</v>
      </c>
      <c r="D29" s="0" t="n">
        <f aca="false">IF(OR(NOT(AND(Simulations!$A29&lt;&gt;"",OR(Simulations!$AL29&lt;&gt;"",N(Simulations!$AN29)&gt;0))),N(Simulations!$AQ29)&lt;=0,N(Simulations!$AN29)&lt;=0,3&gt;N(IF(Simulations!$O29="",1,Simulations!$O29))),0,IF(Simulations!$AQ29&lt;IF(Simulations!$J29="",1000,Simulations!$J29),Simulations!$AN29/(IF(Simulations!$G29="",5000,Simulations!$G29)*IF(Simulations!$H29="",5000,Simulations!$H29)*IF(IF(Simulations!$I29="",5000,Simulations!$I29)&gt;0,IF(Simulations!$I29="",5000,Simulations!$I29),1))*Simulations!$AQ29*(PI()/2*IF(Simulations!$V29="",200,Simulations!$V29)^2*IF(IF(Simulations!$I29="",5000,Simulations!$I29)&gt;0,SQRT(PI()/2)*IF(Simulations!$Y29="",1000,Simulations!$Y29),1)),Simulations!$AN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V29="",200,Simulations!$V29)^2*IF(Simulations!$Y29="",1000,Simulations!$Y29)/2^1.5*(2/3*LN(Simulations!$AQ29/IF(Simulations!$J29="",1000,Simulations!$J29))^1.5+SQRT(LN(Simulations!$AQ29/IF(Simulations!$J29="",1000,Simulations!$J29)))+Simulations!$AQ29/IF(Simulations!$J29="",1000,Simulations!$J29)*SQRT(PI())/2*ERFC(SQRT(LN(Simulations!$AQ29/IF(Simulations!$J29="",1000,Simulations!$J29))))),PI()*IF(Simulations!$V29="",200,Simulations!$V29)^2/2*(LN(Simulations!$AQ29/IF(Simulations!$J29="",1000,Simulations!$J29))+1))))</f>
        <v>0</v>
      </c>
      <c r="E29" s="0" t="n">
        <f aca="false">IF(NOT(AND(Simulations!$A29&lt;&gt;"",OR(Simulations!$AL29&lt;&gt;"",N(Simulations!$AN29)&gt;0))),0,MAX(N(Simulations!$AO29),N(Simulations!$AP29),N(Simulations!$AQ29))/IF(Simulations!$J29="",1000,Simulations!$J29))</f>
        <v>0</v>
      </c>
      <c r="F29" s="0" t="n">
        <f aca="false">IF(OR(NOT(AND(Simulations!$A29&lt;&gt;"",OR(Simulations!$AL29&lt;&gt;"",N(Simulations!$AN29)&gt;0))),N(Simulations!$AM29)&lt;=0),0,SQRT(2*Simulations!$AM29*1000000/(IF(Simulations!$J29="",1000,Simulations!$J29)*1000))/MIN(IF(Simulations!$T29="",200,Simulations!$T29),IF(Simulations!$U29="",200,Simulations!$U29),IF(Simulations!$V29="",200,Simulations!$V29)))</f>
        <v>0</v>
      </c>
      <c r="G29" s="0" t="n">
        <f aca="false">IF(AND(Simulations!$A29&lt;&gt;"",OR(Simulations!$AL29&lt;&gt;"",N(Simulations!$AN29)&gt;0)),1,0)</f>
        <v>0</v>
      </c>
      <c r="H29" s="0" t="n">
        <f aca="false">IF(OR(NOT(AND(Simulations!$A29&lt;&gt;"",OR(Simulations!$BD29&lt;&gt;"",N(Simulations!$BF29)&gt;0))),N(Simulations!$BG29)&lt;=0,N(Simulations!$BF29)&lt;=0,1&gt;N(IF(Simulations!$O29="",1,Simulations!$O29))),0,IF(Simulations!$BG29&lt;IF(Simulations!$J29="",1000,Simulations!$J29),Simulations!$BF29/(IF(Simulations!$G29="",5000,Simulations!$G29)*IF(Simulations!$H29="",5000,Simulations!$H29)*IF(IF(Simulations!$I29="",5000,Simulations!$I29)&gt;0,IF(Simulations!$I29="",5000,Simulations!$I29),1))*Simulations!$BG29*(PI()/2*IF(Simulations!$T29="",200,Simulations!$T29)^2*IF(IF(Simulations!$I29="",5000,Simulations!$I29)&gt;0,SQRT(PI()/2)*IF(Simulations!$W29="",1000,Simulations!$W29),1)),Simulations!$BF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T29="",200,Simulations!$T29)^2*IF(Simulations!$W29="",1000,Simulations!$W29)/2^1.5*(2/3*LN(Simulations!$BG29/IF(Simulations!$J29="",1000,Simulations!$J29))^1.5+SQRT(LN(Simulations!$BG29/IF(Simulations!$J29="",1000,Simulations!$J29)))+Simulations!$BG29/IF(Simulations!$J29="",1000,Simulations!$J29)*SQRT(PI())/2*ERFC(SQRT(LN(Simulations!$BG29/IF(Simulations!$J29="",1000,Simulations!$J29))))),PI()*IF(Simulations!$T29="",200,Simulations!$T29)^2/2*(LN(Simulations!$BG29/IF(Simulations!$J29="",1000,Simulations!$J29))+1))))</f>
        <v>0</v>
      </c>
      <c r="I29" s="0" t="n">
        <f aca="false">IF(OR(NOT(AND(Simulations!$A29&lt;&gt;"",OR(Simulations!$BD29&lt;&gt;"",N(Simulations!$BF29)&gt;0))),N(Simulations!$BH29)&lt;=0,N(Simulations!$BF29)&lt;=0,2&gt;N(IF(Simulations!$O29="",1,Simulations!$O29))),0,IF(Simulations!$BH29&lt;IF(Simulations!$J29="",1000,Simulations!$J29),Simulations!$BF29/(IF(Simulations!$G29="",5000,Simulations!$G29)*IF(Simulations!$H29="",5000,Simulations!$H29)*IF(IF(Simulations!$I29="",5000,Simulations!$I29)&gt;0,IF(Simulations!$I29="",5000,Simulations!$I29),1))*Simulations!$BH29*(PI()/2*IF(Simulations!$U29="",200,Simulations!$U29)^2*IF(IF(Simulations!$I29="",5000,Simulations!$I29)&gt;0,SQRT(PI()/2)*IF(Simulations!$X29="",1000,Simulations!$X29),1)),Simulations!$BF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U29="",200,Simulations!$U29)^2*IF(Simulations!$X29="",1000,Simulations!$X29)/2^1.5*(2/3*LN(Simulations!$BH29/IF(Simulations!$J29="",1000,Simulations!$J29))^1.5+SQRT(LN(Simulations!$BH29/IF(Simulations!$J29="",1000,Simulations!$J29)))+Simulations!$BH29/IF(Simulations!$J29="",1000,Simulations!$J29)*SQRT(PI())/2*ERFC(SQRT(LN(Simulations!$BH29/IF(Simulations!$J29="",1000,Simulations!$J29))))),PI()*IF(Simulations!$U29="",200,Simulations!$U29)^2/2*(LN(Simulations!$BH29/IF(Simulations!$J29="",1000,Simulations!$J29))+1))))</f>
        <v>0</v>
      </c>
      <c r="J29" s="0" t="n">
        <f aca="false">IF(OR(NOT(AND(Simulations!$A29&lt;&gt;"",OR(Simulations!$BD29&lt;&gt;"",N(Simulations!$BF29)&gt;0))),N(Simulations!$BI29)&lt;=0,N(Simulations!$BF29)&lt;=0,3&gt;N(IF(Simulations!$O29="",1,Simulations!$O29))),0,IF(Simulations!$BI29&lt;IF(Simulations!$J29="",1000,Simulations!$J29),Simulations!$BF29/(IF(Simulations!$G29="",5000,Simulations!$G29)*IF(Simulations!$H29="",5000,Simulations!$H29)*IF(IF(Simulations!$I29="",5000,Simulations!$I29)&gt;0,IF(Simulations!$I29="",5000,Simulations!$I29),1))*Simulations!$BI29*(PI()/2*IF(Simulations!$V29="",200,Simulations!$V29)^2*IF(IF(Simulations!$I29="",5000,Simulations!$I29)&gt;0,SQRT(PI()/2)*IF(Simulations!$Y29="",1000,Simulations!$Y29),1)),Simulations!$BF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V29="",200,Simulations!$V29)^2*IF(Simulations!$Y29="",1000,Simulations!$Y29)/2^1.5*(2/3*LN(Simulations!$BI29/IF(Simulations!$J29="",1000,Simulations!$J29))^1.5+SQRT(LN(Simulations!$BI29/IF(Simulations!$J29="",1000,Simulations!$J29)))+Simulations!$BI29/IF(Simulations!$J29="",1000,Simulations!$J29)*SQRT(PI())/2*ERFC(SQRT(LN(Simulations!$BI29/IF(Simulations!$J29="",1000,Simulations!$J29))))),PI()*IF(Simulations!$V29="",200,Simulations!$V29)^2/2*(LN(Simulations!$BI29/IF(Simulations!$J29="",1000,Simulations!$J29))+1))))</f>
        <v>0</v>
      </c>
      <c r="K29" s="0" t="n">
        <f aca="false">IF(NOT(AND(Simulations!$A29&lt;&gt;"",OR(Simulations!$BD29&lt;&gt;"",N(Simulations!$BF29)&gt;0))),0,MAX(N(Simulations!$BG29),N(Simulations!$BH29),N(Simulations!$BI29))/IF(Simulations!$J29="",1000,Simulations!$J29))</f>
        <v>0</v>
      </c>
      <c r="L29" s="0" t="n">
        <f aca="false">IF(OR(NOT(AND(Simulations!$A29&lt;&gt;"",OR(Simulations!$BD29&lt;&gt;"",N(Simulations!$BF29)&gt;0))),N(Simulations!$BE29)&lt;=0),0,SQRT(2*Simulations!$BE29*1000000/(IF(Simulations!$J29="",1000,Simulations!$J29)*1000))/MIN(IF(Simulations!$T29="",200,Simulations!$T29),IF(Simulations!$U29="",200,Simulations!$U29),IF(Simulations!$V29="",200,Simulations!$V29)))</f>
        <v>0</v>
      </c>
      <c r="M29" s="0" t="n">
        <f aca="false">IF(AND(Simulations!$A29&lt;&gt;"",OR(Simulations!$BD29&lt;&gt;"",N(Simulations!$BF29)&gt;0)),1,0)</f>
        <v>0</v>
      </c>
      <c r="N29" s="0" t="n">
        <f aca="false">IF(OR(NOT(AND(Simulations!$A29&lt;&gt;"",OR(Simulations!$BV29&lt;&gt;"",N(Simulations!$BX29)&gt;0))),N(Simulations!$BY29)&lt;=0,N(Simulations!$BX29)&lt;=0,1&gt;N(IF(Simulations!$O29="",1,Simulations!$O29))),0,IF(Simulations!$BY29&lt;IF(Simulations!$J29="",1000,Simulations!$J29),Simulations!$BX29/(IF(Simulations!$G29="",5000,Simulations!$G29)*IF(Simulations!$H29="",5000,Simulations!$H29)*IF(IF(Simulations!$I29="",5000,Simulations!$I29)&gt;0,IF(Simulations!$I29="",5000,Simulations!$I29),1))*Simulations!$BY29*(PI()/2*IF(Simulations!$T29="",200,Simulations!$T29)^2*IF(IF(Simulations!$I29="",5000,Simulations!$I29)&gt;0,SQRT(PI()/2)*IF(Simulations!$W29="",1000,Simulations!$W29),1)),Simulations!$BX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T29="",200,Simulations!$T29)^2*IF(Simulations!$W29="",1000,Simulations!$W29)/2^1.5*(2/3*LN(Simulations!$BY29/IF(Simulations!$J29="",1000,Simulations!$J29))^1.5+SQRT(LN(Simulations!$BY29/IF(Simulations!$J29="",1000,Simulations!$J29)))+Simulations!$BY29/IF(Simulations!$J29="",1000,Simulations!$J29)*SQRT(PI())/2*ERFC(SQRT(LN(Simulations!$BY29/IF(Simulations!$J29="",1000,Simulations!$J29))))),PI()*IF(Simulations!$T29="",200,Simulations!$T29)^2/2*(LN(Simulations!$BY29/IF(Simulations!$J29="",1000,Simulations!$J29))+1))))</f>
        <v>0</v>
      </c>
      <c r="O29" s="0" t="n">
        <f aca="false">IF(OR(NOT(AND(Simulations!$A29&lt;&gt;"",OR(Simulations!$BV29&lt;&gt;"",N(Simulations!$BX29)&gt;0))),N(Simulations!$BZ29)&lt;=0,N(Simulations!$BX29)&lt;=0,2&gt;N(IF(Simulations!$O29="",1,Simulations!$O29))),0,IF(Simulations!$BZ29&lt;IF(Simulations!$J29="",1000,Simulations!$J29),Simulations!$BX29/(IF(Simulations!$G29="",5000,Simulations!$G29)*IF(Simulations!$H29="",5000,Simulations!$H29)*IF(IF(Simulations!$I29="",5000,Simulations!$I29)&gt;0,IF(Simulations!$I29="",5000,Simulations!$I29),1))*Simulations!$BZ29*(PI()/2*IF(Simulations!$U29="",200,Simulations!$U29)^2*IF(IF(Simulations!$I29="",5000,Simulations!$I29)&gt;0,SQRT(PI()/2)*IF(Simulations!$X29="",1000,Simulations!$X29),1)),Simulations!$BX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U29="",200,Simulations!$U29)^2*IF(Simulations!$X29="",1000,Simulations!$X29)/2^1.5*(2/3*LN(Simulations!$BZ29/IF(Simulations!$J29="",1000,Simulations!$J29))^1.5+SQRT(LN(Simulations!$BZ29/IF(Simulations!$J29="",1000,Simulations!$J29)))+Simulations!$BZ29/IF(Simulations!$J29="",1000,Simulations!$J29)*SQRT(PI())/2*ERFC(SQRT(LN(Simulations!$BZ29/IF(Simulations!$J29="",1000,Simulations!$J29))))),PI()*IF(Simulations!$U29="",200,Simulations!$U29)^2/2*(LN(Simulations!$BZ29/IF(Simulations!$J29="",1000,Simulations!$J29))+1))))</f>
        <v>0</v>
      </c>
      <c r="P29" s="0" t="n">
        <f aca="false">IF(OR(NOT(AND(Simulations!$A29&lt;&gt;"",OR(Simulations!$BV29&lt;&gt;"",N(Simulations!$BX29)&gt;0))),N(Simulations!$CA29)&lt;=0,N(Simulations!$BX29)&lt;=0,3&gt;N(IF(Simulations!$O29="",1,Simulations!$O29))),0,IF(Simulations!$CA29&lt;IF(Simulations!$J29="",1000,Simulations!$J29),Simulations!$BX29/(IF(Simulations!$G29="",5000,Simulations!$G29)*IF(Simulations!$H29="",5000,Simulations!$H29)*IF(IF(Simulations!$I29="",5000,Simulations!$I29)&gt;0,IF(Simulations!$I29="",5000,Simulations!$I29),1))*Simulations!$CA29*(PI()/2*IF(Simulations!$V29="",200,Simulations!$V29)^2*IF(IF(Simulations!$I29="",5000,Simulations!$I29)&gt;0,SQRT(PI()/2)*IF(Simulations!$Y29="",1000,Simulations!$Y29),1)),Simulations!$BX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V29="",200,Simulations!$V29)^2*IF(Simulations!$Y29="",1000,Simulations!$Y29)/2^1.5*(2/3*LN(Simulations!$CA29/IF(Simulations!$J29="",1000,Simulations!$J29))^1.5+SQRT(LN(Simulations!$CA29/IF(Simulations!$J29="",1000,Simulations!$J29)))+Simulations!$CA29/IF(Simulations!$J29="",1000,Simulations!$J29)*SQRT(PI())/2*ERFC(SQRT(LN(Simulations!$CA29/IF(Simulations!$J29="",1000,Simulations!$J29))))),PI()*IF(Simulations!$V29="",200,Simulations!$V29)^2/2*(LN(Simulations!$CA29/IF(Simulations!$J29="",1000,Simulations!$J29))+1))))</f>
        <v>0</v>
      </c>
      <c r="Q29" s="0" t="n">
        <f aca="false">IF(NOT(AND(Simulations!$A29&lt;&gt;"",OR(Simulations!$BV29&lt;&gt;"",N(Simulations!$BX29)&gt;0))),0,MAX(N(Simulations!$BY29),N(Simulations!$BZ29),N(Simulations!$CA29))/IF(Simulations!$J29="",1000,Simulations!$J29))</f>
        <v>0</v>
      </c>
      <c r="R29" s="0" t="n">
        <f aca="false">IF(OR(NOT(AND(Simulations!$A29&lt;&gt;"",OR(Simulations!$BV29&lt;&gt;"",N(Simulations!$BX29)&gt;0))),N(Simulations!$BW29)&lt;=0),0,SQRT(2*Simulations!$BW29*1000000/(IF(Simulations!$J29="",1000,Simulations!$J29)*1000))/MIN(IF(Simulations!$T29="",200,Simulations!$T29),IF(Simulations!$U29="",200,Simulations!$U29),IF(Simulations!$V29="",200,Simulations!$V29)))</f>
        <v>0</v>
      </c>
      <c r="S29" s="0" t="n">
        <f aca="false">IF(AND(Simulations!$A29&lt;&gt;"",OR(Simulations!$BV29&lt;&gt;"",N(Simulations!$BX29)&gt;0)),1,0)</f>
        <v>0</v>
      </c>
      <c r="T29" s="0" t="n">
        <f aca="false">IF(OR(NOT(AND(Simulations!$A29&lt;&gt;"",OR(Simulations!$CN29&lt;&gt;"",N(Simulations!$CP29)&gt;0))),N(Simulations!$CQ29)&lt;=0,N(Simulations!$CP29)&lt;=0,1&gt;N(IF(Simulations!$O29="",1,Simulations!$O29))),0,IF(Simulations!$CQ29&lt;IF(Simulations!$J29="",1000,Simulations!$J29),Simulations!$CP29/(IF(Simulations!$G29="",5000,Simulations!$G29)*IF(Simulations!$H29="",5000,Simulations!$H29)*IF(IF(Simulations!$I29="",5000,Simulations!$I29)&gt;0,IF(Simulations!$I29="",5000,Simulations!$I29),1))*Simulations!$CQ29*(PI()/2*IF(Simulations!$T29="",200,Simulations!$T29)^2*IF(IF(Simulations!$I29="",5000,Simulations!$I29)&gt;0,SQRT(PI()/2)*IF(Simulations!$W29="",1000,Simulations!$W29),1)),Simulations!$CP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T29="",200,Simulations!$T29)^2*IF(Simulations!$W29="",1000,Simulations!$W29)/2^1.5*(2/3*LN(Simulations!$CQ29/IF(Simulations!$J29="",1000,Simulations!$J29))^1.5+SQRT(LN(Simulations!$CQ29/IF(Simulations!$J29="",1000,Simulations!$J29)))+Simulations!$CQ29/IF(Simulations!$J29="",1000,Simulations!$J29)*SQRT(PI())/2*ERFC(SQRT(LN(Simulations!$CQ29/IF(Simulations!$J29="",1000,Simulations!$J29))))),PI()*IF(Simulations!$T29="",200,Simulations!$T29)^2/2*(LN(Simulations!$CQ29/IF(Simulations!$J29="",1000,Simulations!$J29))+1))))</f>
        <v>0</v>
      </c>
      <c r="U29" s="0" t="n">
        <f aca="false">IF(OR(NOT(AND(Simulations!$A29&lt;&gt;"",OR(Simulations!$CN29&lt;&gt;"",N(Simulations!$CP29)&gt;0))),N(Simulations!$CR29)&lt;=0,N(Simulations!$CP29)&lt;=0,2&gt;N(IF(Simulations!$O29="",1,Simulations!$O29))),0,IF(Simulations!$CR29&lt;IF(Simulations!$J29="",1000,Simulations!$J29),Simulations!$CP29/(IF(Simulations!$G29="",5000,Simulations!$G29)*IF(Simulations!$H29="",5000,Simulations!$H29)*IF(IF(Simulations!$I29="",5000,Simulations!$I29)&gt;0,IF(Simulations!$I29="",5000,Simulations!$I29),1))*Simulations!$CR29*(PI()/2*IF(Simulations!$U29="",200,Simulations!$U29)^2*IF(IF(Simulations!$I29="",5000,Simulations!$I29)&gt;0,SQRT(PI()/2)*IF(Simulations!$X29="",1000,Simulations!$X29),1)),Simulations!$CP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U29="",200,Simulations!$U29)^2*IF(Simulations!$X29="",1000,Simulations!$X29)/2^1.5*(2/3*LN(Simulations!$CR29/IF(Simulations!$J29="",1000,Simulations!$J29))^1.5+SQRT(LN(Simulations!$CR29/IF(Simulations!$J29="",1000,Simulations!$J29)))+Simulations!$CR29/IF(Simulations!$J29="",1000,Simulations!$J29)*SQRT(PI())/2*ERFC(SQRT(LN(Simulations!$CR29/IF(Simulations!$J29="",1000,Simulations!$J29))))),PI()*IF(Simulations!$U29="",200,Simulations!$U29)^2/2*(LN(Simulations!$CR29/IF(Simulations!$J29="",1000,Simulations!$J29))+1))))</f>
        <v>0</v>
      </c>
      <c r="V29" s="0" t="n">
        <f aca="false">IF(OR(NOT(AND(Simulations!$A29&lt;&gt;"",OR(Simulations!$CN29&lt;&gt;"",N(Simulations!$CP29)&gt;0))),N(Simulations!$CS29)&lt;=0,N(Simulations!$CP29)&lt;=0,3&gt;N(IF(Simulations!$O29="",1,Simulations!$O29))),0,IF(Simulations!$CS29&lt;IF(Simulations!$J29="",1000,Simulations!$J29),Simulations!$CP29/(IF(Simulations!$G29="",5000,Simulations!$G29)*IF(Simulations!$H29="",5000,Simulations!$H29)*IF(IF(Simulations!$I29="",5000,Simulations!$I29)&gt;0,IF(Simulations!$I29="",5000,Simulations!$I29),1))*Simulations!$CS29*(PI()/2*IF(Simulations!$V29="",200,Simulations!$V29)^2*IF(IF(Simulations!$I29="",5000,Simulations!$I29)&gt;0,SQRT(PI()/2)*IF(Simulations!$Y29="",1000,Simulations!$Y29),1)),Simulations!$CP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V29="",200,Simulations!$V29)^2*IF(Simulations!$Y29="",1000,Simulations!$Y29)/2^1.5*(2/3*LN(Simulations!$CS29/IF(Simulations!$J29="",1000,Simulations!$J29))^1.5+SQRT(LN(Simulations!$CS29/IF(Simulations!$J29="",1000,Simulations!$J29)))+Simulations!$CS29/IF(Simulations!$J29="",1000,Simulations!$J29)*SQRT(PI())/2*ERFC(SQRT(LN(Simulations!$CS29/IF(Simulations!$J29="",1000,Simulations!$J29))))),PI()*IF(Simulations!$V29="",200,Simulations!$V29)^2/2*(LN(Simulations!$CS29/IF(Simulations!$J29="",1000,Simulations!$J29))+1))))</f>
        <v>0</v>
      </c>
      <c r="W29" s="0" t="n">
        <f aca="false">IF(NOT(AND(Simulations!$A29&lt;&gt;"",OR(Simulations!$CN29&lt;&gt;"",N(Simulations!$CP29)&gt;0))),0,MAX(N(Simulations!$CQ29),N(Simulations!$CR29),N(Simulations!$CS29))/IF(Simulations!$J29="",1000,Simulations!$J29))</f>
        <v>0</v>
      </c>
      <c r="X29" s="0" t="n">
        <f aca="false">IF(OR(NOT(AND(Simulations!$A29&lt;&gt;"",OR(Simulations!$CN29&lt;&gt;"",N(Simulations!$CP29)&gt;0))),N(Simulations!$CO29)&lt;=0),0,SQRT(2*Simulations!$CO29*1000000/(IF(Simulations!$J29="",1000,Simulations!$J29)*1000))/MIN(IF(Simulations!$T29="",200,Simulations!$T29),IF(Simulations!$U29="",200,Simulations!$U29),IF(Simulations!$V29="",200,Simulations!$V29)))</f>
        <v>0</v>
      </c>
      <c r="Y29" s="0" t="n">
        <f aca="false">IF(AND(Simulations!$A29&lt;&gt;"",OR(Simulations!$CN29&lt;&gt;"",N(Simulations!$CP29)&gt;0)),1,0)</f>
        <v>0</v>
      </c>
      <c r="Z29" s="0" t="n">
        <f aca="false">IF(OR(NOT(AND(Simulations!$A29&lt;&gt;"",OR(Simulations!$DF29&lt;&gt;"",N(Simulations!$DH29)&gt;0))),N(Simulations!$DI29)&lt;=0,N(Simulations!$DH29)&lt;=0,1&gt;N(IF(Simulations!$O29="",1,Simulations!$O29))),0,IF(Simulations!$DI29&lt;IF(Simulations!$J29="",1000,Simulations!$J29),Simulations!$DH29/(IF(Simulations!$G29="",5000,Simulations!$G29)*IF(Simulations!$H29="",5000,Simulations!$H29)*IF(IF(Simulations!$I29="",5000,Simulations!$I29)&gt;0,IF(Simulations!$I29="",5000,Simulations!$I29),1))*Simulations!$DI29*(PI()/2*IF(Simulations!$T29="",200,Simulations!$T29)^2*IF(IF(Simulations!$I29="",5000,Simulations!$I29)&gt;0,SQRT(PI()/2)*IF(Simulations!$W29="",1000,Simulations!$W29),1)),Simulations!$DH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T29="",200,Simulations!$T29)^2*IF(Simulations!$W29="",1000,Simulations!$W29)/2^1.5*(2/3*LN(Simulations!$DI29/IF(Simulations!$J29="",1000,Simulations!$J29))^1.5+SQRT(LN(Simulations!$DI29/IF(Simulations!$J29="",1000,Simulations!$J29)))+Simulations!$DI29/IF(Simulations!$J29="",1000,Simulations!$J29)*SQRT(PI())/2*ERFC(SQRT(LN(Simulations!$DI29/IF(Simulations!$J29="",1000,Simulations!$J29))))),PI()*IF(Simulations!$T29="",200,Simulations!$T29)^2/2*(LN(Simulations!$DI29/IF(Simulations!$J29="",1000,Simulations!$J29))+1))))</f>
        <v>0</v>
      </c>
      <c r="AA29" s="0" t="n">
        <f aca="false">IF(OR(NOT(AND(Simulations!$A29&lt;&gt;"",OR(Simulations!$DF29&lt;&gt;"",N(Simulations!$DH29)&gt;0))),N(Simulations!$DJ29)&lt;=0,N(Simulations!$DH29)&lt;=0,2&gt;N(IF(Simulations!$O29="",1,Simulations!$O29))),0,IF(Simulations!$DJ29&lt;IF(Simulations!$J29="",1000,Simulations!$J29),Simulations!$DH29/(IF(Simulations!$G29="",5000,Simulations!$G29)*IF(Simulations!$H29="",5000,Simulations!$H29)*IF(IF(Simulations!$I29="",5000,Simulations!$I29)&gt;0,IF(Simulations!$I29="",5000,Simulations!$I29),1))*Simulations!$DJ29*(PI()/2*IF(Simulations!$U29="",200,Simulations!$U29)^2*IF(IF(Simulations!$I29="",5000,Simulations!$I29)&gt;0,SQRT(PI()/2)*IF(Simulations!$X29="",1000,Simulations!$X29),1)),Simulations!$DH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U29="",200,Simulations!$U29)^2*IF(Simulations!$X29="",1000,Simulations!$X29)/2^1.5*(2/3*LN(Simulations!$DJ29/IF(Simulations!$J29="",1000,Simulations!$J29))^1.5+SQRT(LN(Simulations!$DJ29/IF(Simulations!$J29="",1000,Simulations!$J29)))+Simulations!$DJ29/IF(Simulations!$J29="",1000,Simulations!$J29)*SQRT(PI())/2*ERFC(SQRT(LN(Simulations!$DJ29/IF(Simulations!$J29="",1000,Simulations!$J29))))),PI()*IF(Simulations!$U29="",200,Simulations!$U29)^2/2*(LN(Simulations!$DJ29/IF(Simulations!$J29="",1000,Simulations!$J29))+1))))</f>
        <v>0</v>
      </c>
      <c r="AB29" s="0" t="n">
        <f aca="false">IF(OR(NOT(AND(Simulations!$A29&lt;&gt;"",OR(Simulations!$DF29&lt;&gt;"",N(Simulations!$DH29)&gt;0))),N(Simulations!$DK29)&lt;=0,N(Simulations!$DH29)&lt;=0,3&gt;N(IF(Simulations!$O29="",1,Simulations!$O29))),0,IF(Simulations!$DK29&lt;IF(Simulations!$J29="",1000,Simulations!$J29),Simulations!$DH29/(IF(Simulations!$G29="",5000,Simulations!$G29)*IF(Simulations!$H29="",5000,Simulations!$H29)*IF(IF(Simulations!$I29="",5000,Simulations!$I29)&gt;0,IF(Simulations!$I29="",5000,Simulations!$I29),1))*Simulations!$DK29*(PI()/2*IF(Simulations!$V29="",200,Simulations!$V29)^2*IF(IF(Simulations!$I29="",5000,Simulations!$I29)&gt;0,SQRT(PI()/2)*IF(Simulations!$Y29="",1000,Simulations!$Y29),1)),Simulations!$DH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V29="",200,Simulations!$V29)^2*IF(Simulations!$Y29="",1000,Simulations!$Y29)/2^1.5*(2/3*LN(Simulations!$DK29/IF(Simulations!$J29="",1000,Simulations!$J29))^1.5+SQRT(LN(Simulations!$DK29/IF(Simulations!$J29="",1000,Simulations!$J29)))+Simulations!$DK29/IF(Simulations!$J29="",1000,Simulations!$J29)*SQRT(PI())/2*ERFC(SQRT(LN(Simulations!$DK29/IF(Simulations!$J29="",1000,Simulations!$J29))))),PI()*IF(Simulations!$V29="",200,Simulations!$V29)^2/2*(LN(Simulations!$DK29/IF(Simulations!$J29="",1000,Simulations!$J29))+1))))</f>
        <v>0</v>
      </c>
      <c r="AC29" s="0" t="n">
        <f aca="false">IF(NOT(AND(Simulations!$A29&lt;&gt;"",OR(Simulations!$DF29&lt;&gt;"",N(Simulations!$DH29)&gt;0))),0,MAX(N(Simulations!$DI29),N(Simulations!$DJ29),N(Simulations!$DK29))/IF(Simulations!$J29="",1000,Simulations!$J29))</f>
        <v>0</v>
      </c>
      <c r="AD29" s="0" t="n">
        <f aca="false">IF(OR(NOT(AND(Simulations!$A29&lt;&gt;"",OR(Simulations!$DF29&lt;&gt;"",N(Simulations!$DH29)&gt;0))),N(Simulations!$DG29)&lt;=0),0,SQRT(2*Simulations!$DG29*1000000/(IF(Simulations!$J29="",1000,Simulations!$J29)*1000))/MIN(IF(Simulations!$T29="",200,Simulations!$T29),IF(Simulations!$U29="",200,Simulations!$U29),IF(Simulations!$V29="",200,Simulations!$V29)))</f>
        <v>0</v>
      </c>
      <c r="AE29" s="0" t="n">
        <f aca="false">IF(AND(Simulations!$A29&lt;&gt;"",OR(Simulations!$DF29&lt;&gt;"",N(Simulations!$DH29)&gt;0)),1,0)</f>
        <v>0</v>
      </c>
      <c r="AF29" s="0" t="n">
        <f aca="false">IF(OR(NOT(AND(Simulations!$A29&lt;&gt;"",OR(Simulations!$DX29&lt;&gt;"",N(Simulations!$DZ29)&gt;0))),N(Simulations!$EA29)&lt;=0,N(Simulations!$DZ29)&lt;=0,1&gt;N(IF(Simulations!$O29="",1,Simulations!$O29))),0,IF(Simulations!$EA29&lt;IF(Simulations!$J29="",1000,Simulations!$J29),Simulations!$DZ29/(IF(Simulations!$G29="",5000,Simulations!$G29)*IF(Simulations!$H29="",5000,Simulations!$H29)*IF(IF(Simulations!$I29="",5000,Simulations!$I29)&gt;0,IF(Simulations!$I29="",5000,Simulations!$I29),1))*Simulations!$EA29*(PI()/2*IF(Simulations!$T29="",200,Simulations!$T29)^2*IF(IF(Simulations!$I29="",5000,Simulations!$I29)&gt;0,SQRT(PI()/2)*IF(Simulations!$W29="",1000,Simulations!$W29),1)),Simulations!$DZ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T29="",200,Simulations!$T29)^2*IF(Simulations!$W29="",1000,Simulations!$W29)/2^1.5*(2/3*LN(Simulations!$EA29/IF(Simulations!$J29="",1000,Simulations!$J29))^1.5+SQRT(LN(Simulations!$EA29/IF(Simulations!$J29="",1000,Simulations!$J29)))+Simulations!$EA29/IF(Simulations!$J29="",1000,Simulations!$J29)*SQRT(PI())/2*ERFC(SQRT(LN(Simulations!$EA29/IF(Simulations!$J29="",1000,Simulations!$J29))))),PI()*IF(Simulations!$T29="",200,Simulations!$T29)^2/2*(LN(Simulations!$EA29/IF(Simulations!$J29="",1000,Simulations!$J29))+1))))</f>
        <v>0</v>
      </c>
      <c r="AG29" s="0" t="n">
        <f aca="false">IF(OR(NOT(AND(Simulations!$A29&lt;&gt;"",OR(Simulations!$DX29&lt;&gt;"",N(Simulations!$DZ29)&gt;0))),N(Simulations!$EB29)&lt;=0,N(Simulations!$DZ29)&lt;=0,2&gt;N(IF(Simulations!$O29="",1,Simulations!$O29))),0,IF(Simulations!$EB29&lt;IF(Simulations!$J29="",1000,Simulations!$J29),Simulations!$DZ29/(IF(Simulations!$G29="",5000,Simulations!$G29)*IF(Simulations!$H29="",5000,Simulations!$H29)*IF(IF(Simulations!$I29="",5000,Simulations!$I29)&gt;0,IF(Simulations!$I29="",5000,Simulations!$I29),1))*Simulations!$EB29*(PI()/2*IF(Simulations!$U29="",200,Simulations!$U29)^2*IF(IF(Simulations!$I29="",5000,Simulations!$I29)&gt;0,SQRT(PI()/2)*IF(Simulations!$X29="",1000,Simulations!$X29),1)),Simulations!$DZ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U29="",200,Simulations!$U29)^2*IF(Simulations!$X29="",1000,Simulations!$X29)/2^1.5*(2/3*LN(Simulations!$EB29/IF(Simulations!$J29="",1000,Simulations!$J29))^1.5+SQRT(LN(Simulations!$EB29/IF(Simulations!$J29="",1000,Simulations!$J29)))+Simulations!$EB29/IF(Simulations!$J29="",1000,Simulations!$J29)*SQRT(PI())/2*ERFC(SQRT(LN(Simulations!$EB29/IF(Simulations!$J29="",1000,Simulations!$J29))))),PI()*IF(Simulations!$U29="",200,Simulations!$U29)^2/2*(LN(Simulations!$EB29/IF(Simulations!$J29="",1000,Simulations!$J29))+1))))</f>
        <v>0</v>
      </c>
      <c r="AH29" s="0" t="n">
        <f aca="false">IF(OR(NOT(AND(Simulations!$A29&lt;&gt;"",OR(Simulations!$DX29&lt;&gt;"",N(Simulations!$DZ29)&gt;0))),N(Simulations!$EC29)&lt;=0,N(Simulations!$DZ29)&lt;=0,3&gt;N(IF(Simulations!$O29="",1,Simulations!$O29))),0,IF(Simulations!$EC29&lt;IF(Simulations!$J29="",1000,Simulations!$J29),Simulations!$DZ29/(IF(Simulations!$G29="",5000,Simulations!$G29)*IF(Simulations!$H29="",5000,Simulations!$H29)*IF(IF(Simulations!$I29="",5000,Simulations!$I29)&gt;0,IF(Simulations!$I29="",5000,Simulations!$I29),1))*Simulations!$EC29*(PI()/2*IF(Simulations!$V29="",200,Simulations!$V29)^2*IF(IF(Simulations!$I29="",5000,Simulations!$I29)&gt;0,SQRT(PI()/2)*IF(Simulations!$Y29="",1000,Simulations!$Y29),1)),Simulations!$DZ29/(IF(Simulations!$G29="",5000,Simulations!$G29)*IF(Simulations!$H29="",5000,Simulations!$H29)*IF(IF(Simulations!$I29="",5000,Simulations!$I29)&gt;0,IF(Simulations!$I29="",5000,Simulations!$I29),1))*IF(Simulations!$J29="",1000,Simulations!$J29)*IF(IF(Simulations!$I29="",5000,Simulations!$I29)&gt;0,2*PI()*IF(Simulations!$V29="",200,Simulations!$V29)^2*IF(Simulations!$Y29="",1000,Simulations!$Y29)/2^1.5*(2/3*LN(Simulations!$EC29/IF(Simulations!$J29="",1000,Simulations!$J29))^1.5+SQRT(LN(Simulations!$EC29/IF(Simulations!$J29="",1000,Simulations!$J29)))+Simulations!$EC29/IF(Simulations!$J29="",1000,Simulations!$J29)*SQRT(PI())/2*ERFC(SQRT(LN(Simulations!$EC29/IF(Simulations!$J29="",1000,Simulations!$J29))))),PI()*IF(Simulations!$V29="",200,Simulations!$V29)^2/2*(LN(Simulations!$EC29/IF(Simulations!$J29="",1000,Simulations!$J29))+1))))</f>
        <v>0</v>
      </c>
      <c r="AI29" s="0" t="n">
        <f aca="false">IF(NOT(AND(Simulations!$A29&lt;&gt;"",OR(Simulations!$DX29&lt;&gt;"",N(Simulations!$DZ29)&gt;0))),0,MAX(N(Simulations!$EA29),N(Simulations!$EB29),N(Simulations!$EC29))/IF(Simulations!$J29="",1000,Simulations!$J29))</f>
        <v>0</v>
      </c>
      <c r="AJ29" s="0" t="n">
        <f aca="false">IF(OR(NOT(AND(Simulations!$A29&lt;&gt;"",OR(Simulations!$DX29&lt;&gt;"",N(Simulations!$DZ29)&gt;0))),N(Simulations!$DY29)&lt;=0),0,SQRT(2*Simulations!$DY29*1000000/(IF(Simulations!$J29="",1000,Simulations!$J29)*1000))/MIN(IF(Simulations!$T29="",200,Simulations!$T29),IF(Simulations!$U29="",200,Simulations!$U29),IF(Simulations!$V29="",200,Simulations!$V29)))</f>
        <v>0</v>
      </c>
      <c r="AK29" s="0" t="n">
        <f aca="false">IF(AND(Simulations!$A29&lt;&gt;"",OR(Simulations!$DX29&lt;&gt;"",N(Simulations!$DZ29)&gt;0)),1,0)</f>
        <v>0</v>
      </c>
    </row>
    <row r="30" customFormat="false" ht="15" hidden="false" customHeight="false" outlineLevel="0" collapsed="false">
      <c r="B30" s="0" t="n">
        <f aca="false">IF(OR(NOT(AND(Simulations!$A30&lt;&gt;"",OR(Simulations!$AL30&lt;&gt;"",N(Simulations!$AN30)&gt;0))),N(Simulations!$AO30)&lt;=0,N(Simulations!$AN30)&lt;=0,1&gt;N(IF(Simulations!$O30="",1,Simulations!$O30))),0,IF(Simulations!$AO30&lt;IF(Simulations!$J30="",1000,Simulations!$J30),Simulations!$AN30/(IF(Simulations!$G30="",5000,Simulations!$G30)*IF(Simulations!$H30="",5000,Simulations!$H30)*IF(IF(Simulations!$I30="",5000,Simulations!$I30)&gt;0,IF(Simulations!$I30="",5000,Simulations!$I30),1))*Simulations!$AO30*(PI()/2*IF(Simulations!$T30="",200,Simulations!$T30)^2*IF(IF(Simulations!$I30="",5000,Simulations!$I30)&gt;0,SQRT(PI()/2)*IF(Simulations!$W30="",1000,Simulations!$W30),1)),Simulations!$AN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T30="",200,Simulations!$T30)^2*IF(Simulations!$W30="",1000,Simulations!$W30)/2^1.5*(2/3*LN(Simulations!$AO30/IF(Simulations!$J30="",1000,Simulations!$J30))^1.5+SQRT(LN(Simulations!$AO30/IF(Simulations!$J30="",1000,Simulations!$J30)))+Simulations!$AO30/IF(Simulations!$J30="",1000,Simulations!$J30)*SQRT(PI())/2*ERFC(SQRT(LN(Simulations!$AO30/IF(Simulations!$J30="",1000,Simulations!$J30))))),PI()*IF(Simulations!$T30="",200,Simulations!$T30)^2/2*(LN(Simulations!$AO30/IF(Simulations!$J30="",1000,Simulations!$J30))+1))))</f>
        <v>0</v>
      </c>
      <c r="C30" s="0" t="n">
        <f aca="false">IF(OR(NOT(AND(Simulations!$A30&lt;&gt;"",OR(Simulations!$AL30&lt;&gt;"",N(Simulations!$AN30)&gt;0))),N(Simulations!$AP30)&lt;=0,N(Simulations!$AN30)&lt;=0,2&gt;N(IF(Simulations!$O30="",1,Simulations!$O30))),0,IF(Simulations!$AP30&lt;IF(Simulations!$J30="",1000,Simulations!$J30),Simulations!$AN30/(IF(Simulations!$G30="",5000,Simulations!$G30)*IF(Simulations!$H30="",5000,Simulations!$H30)*IF(IF(Simulations!$I30="",5000,Simulations!$I30)&gt;0,IF(Simulations!$I30="",5000,Simulations!$I30),1))*Simulations!$AP30*(PI()/2*IF(Simulations!$U30="",200,Simulations!$U30)^2*IF(IF(Simulations!$I30="",5000,Simulations!$I30)&gt;0,SQRT(PI()/2)*IF(Simulations!$X30="",1000,Simulations!$X30),1)),Simulations!$AN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U30="",200,Simulations!$U30)^2*IF(Simulations!$X30="",1000,Simulations!$X30)/2^1.5*(2/3*LN(Simulations!$AP30/IF(Simulations!$J30="",1000,Simulations!$J30))^1.5+SQRT(LN(Simulations!$AP30/IF(Simulations!$J30="",1000,Simulations!$J30)))+Simulations!$AP30/IF(Simulations!$J30="",1000,Simulations!$J30)*SQRT(PI())/2*ERFC(SQRT(LN(Simulations!$AP30/IF(Simulations!$J30="",1000,Simulations!$J30))))),PI()*IF(Simulations!$U30="",200,Simulations!$U30)^2/2*(LN(Simulations!$AP30/IF(Simulations!$J30="",1000,Simulations!$J30))+1))))</f>
        <v>0</v>
      </c>
      <c r="D30" s="0" t="n">
        <f aca="false">IF(OR(NOT(AND(Simulations!$A30&lt;&gt;"",OR(Simulations!$AL30&lt;&gt;"",N(Simulations!$AN30)&gt;0))),N(Simulations!$AQ30)&lt;=0,N(Simulations!$AN30)&lt;=0,3&gt;N(IF(Simulations!$O30="",1,Simulations!$O30))),0,IF(Simulations!$AQ30&lt;IF(Simulations!$J30="",1000,Simulations!$J30),Simulations!$AN30/(IF(Simulations!$G30="",5000,Simulations!$G30)*IF(Simulations!$H30="",5000,Simulations!$H30)*IF(IF(Simulations!$I30="",5000,Simulations!$I30)&gt;0,IF(Simulations!$I30="",5000,Simulations!$I30),1))*Simulations!$AQ30*(PI()/2*IF(Simulations!$V30="",200,Simulations!$V30)^2*IF(IF(Simulations!$I30="",5000,Simulations!$I30)&gt;0,SQRT(PI()/2)*IF(Simulations!$Y30="",1000,Simulations!$Y30),1)),Simulations!$AN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V30="",200,Simulations!$V30)^2*IF(Simulations!$Y30="",1000,Simulations!$Y30)/2^1.5*(2/3*LN(Simulations!$AQ30/IF(Simulations!$J30="",1000,Simulations!$J30))^1.5+SQRT(LN(Simulations!$AQ30/IF(Simulations!$J30="",1000,Simulations!$J30)))+Simulations!$AQ30/IF(Simulations!$J30="",1000,Simulations!$J30)*SQRT(PI())/2*ERFC(SQRT(LN(Simulations!$AQ30/IF(Simulations!$J30="",1000,Simulations!$J30))))),PI()*IF(Simulations!$V30="",200,Simulations!$V30)^2/2*(LN(Simulations!$AQ30/IF(Simulations!$J30="",1000,Simulations!$J30))+1))))</f>
        <v>0</v>
      </c>
      <c r="E30" s="0" t="n">
        <f aca="false">IF(NOT(AND(Simulations!$A30&lt;&gt;"",OR(Simulations!$AL30&lt;&gt;"",N(Simulations!$AN30)&gt;0))),0,MAX(N(Simulations!$AO30),N(Simulations!$AP30),N(Simulations!$AQ30))/IF(Simulations!$J30="",1000,Simulations!$J30))</f>
        <v>0</v>
      </c>
      <c r="F30" s="0" t="n">
        <f aca="false">IF(OR(NOT(AND(Simulations!$A30&lt;&gt;"",OR(Simulations!$AL30&lt;&gt;"",N(Simulations!$AN30)&gt;0))),N(Simulations!$AM30)&lt;=0),0,SQRT(2*Simulations!$AM30*1000000/(IF(Simulations!$J30="",1000,Simulations!$J30)*1000))/MIN(IF(Simulations!$T30="",200,Simulations!$T30),IF(Simulations!$U30="",200,Simulations!$U30),IF(Simulations!$V30="",200,Simulations!$V30)))</f>
        <v>0</v>
      </c>
      <c r="G30" s="0" t="n">
        <f aca="false">IF(AND(Simulations!$A30&lt;&gt;"",OR(Simulations!$AL30&lt;&gt;"",N(Simulations!$AN30)&gt;0)),1,0)</f>
        <v>0</v>
      </c>
      <c r="H30" s="0" t="n">
        <f aca="false">IF(OR(NOT(AND(Simulations!$A30&lt;&gt;"",OR(Simulations!$BD30&lt;&gt;"",N(Simulations!$BF30)&gt;0))),N(Simulations!$BG30)&lt;=0,N(Simulations!$BF30)&lt;=0,1&gt;N(IF(Simulations!$O30="",1,Simulations!$O30))),0,IF(Simulations!$BG30&lt;IF(Simulations!$J30="",1000,Simulations!$J30),Simulations!$BF30/(IF(Simulations!$G30="",5000,Simulations!$G30)*IF(Simulations!$H30="",5000,Simulations!$H30)*IF(IF(Simulations!$I30="",5000,Simulations!$I30)&gt;0,IF(Simulations!$I30="",5000,Simulations!$I30),1))*Simulations!$BG30*(PI()/2*IF(Simulations!$T30="",200,Simulations!$T30)^2*IF(IF(Simulations!$I30="",5000,Simulations!$I30)&gt;0,SQRT(PI()/2)*IF(Simulations!$W30="",1000,Simulations!$W30),1)),Simulations!$BF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T30="",200,Simulations!$T30)^2*IF(Simulations!$W30="",1000,Simulations!$W30)/2^1.5*(2/3*LN(Simulations!$BG30/IF(Simulations!$J30="",1000,Simulations!$J30))^1.5+SQRT(LN(Simulations!$BG30/IF(Simulations!$J30="",1000,Simulations!$J30)))+Simulations!$BG30/IF(Simulations!$J30="",1000,Simulations!$J30)*SQRT(PI())/2*ERFC(SQRT(LN(Simulations!$BG30/IF(Simulations!$J30="",1000,Simulations!$J30))))),PI()*IF(Simulations!$T30="",200,Simulations!$T30)^2/2*(LN(Simulations!$BG30/IF(Simulations!$J30="",1000,Simulations!$J30))+1))))</f>
        <v>0</v>
      </c>
      <c r="I30" s="0" t="n">
        <f aca="false">IF(OR(NOT(AND(Simulations!$A30&lt;&gt;"",OR(Simulations!$BD30&lt;&gt;"",N(Simulations!$BF30)&gt;0))),N(Simulations!$BH30)&lt;=0,N(Simulations!$BF30)&lt;=0,2&gt;N(IF(Simulations!$O30="",1,Simulations!$O30))),0,IF(Simulations!$BH30&lt;IF(Simulations!$J30="",1000,Simulations!$J30),Simulations!$BF30/(IF(Simulations!$G30="",5000,Simulations!$G30)*IF(Simulations!$H30="",5000,Simulations!$H30)*IF(IF(Simulations!$I30="",5000,Simulations!$I30)&gt;0,IF(Simulations!$I30="",5000,Simulations!$I30),1))*Simulations!$BH30*(PI()/2*IF(Simulations!$U30="",200,Simulations!$U30)^2*IF(IF(Simulations!$I30="",5000,Simulations!$I30)&gt;0,SQRT(PI()/2)*IF(Simulations!$X30="",1000,Simulations!$X30),1)),Simulations!$BF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U30="",200,Simulations!$U30)^2*IF(Simulations!$X30="",1000,Simulations!$X30)/2^1.5*(2/3*LN(Simulations!$BH30/IF(Simulations!$J30="",1000,Simulations!$J30))^1.5+SQRT(LN(Simulations!$BH30/IF(Simulations!$J30="",1000,Simulations!$J30)))+Simulations!$BH30/IF(Simulations!$J30="",1000,Simulations!$J30)*SQRT(PI())/2*ERFC(SQRT(LN(Simulations!$BH30/IF(Simulations!$J30="",1000,Simulations!$J30))))),PI()*IF(Simulations!$U30="",200,Simulations!$U30)^2/2*(LN(Simulations!$BH30/IF(Simulations!$J30="",1000,Simulations!$J30))+1))))</f>
        <v>0</v>
      </c>
      <c r="J30" s="0" t="n">
        <f aca="false">IF(OR(NOT(AND(Simulations!$A30&lt;&gt;"",OR(Simulations!$BD30&lt;&gt;"",N(Simulations!$BF30)&gt;0))),N(Simulations!$BI30)&lt;=0,N(Simulations!$BF30)&lt;=0,3&gt;N(IF(Simulations!$O30="",1,Simulations!$O30))),0,IF(Simulations!$BI30&lt;IF(Simulations!$J30="",1000,Simulations!$J30),Simulations!$BF30/(IF(Simulations!$G30="",5000,Simulations!$G30)*IF(Simulations!$H30="",5000,Simulations!$H30)*IF(IF(Simulations!$I30="",5000,Simulations!$I30)&gt;0,IF(Simulations!$I30="",5000,Simulations!$I30),1))*Simulations!$BI30*(PI()/2*IF(Simulations!$V30="",200,Simulations!$V30)^2*IF(IF(Simulations!$I30="",5000,Simulations!$I30)&gt;0,SQRT(PI()/2)*IF(Simulations!$Y30="",1000,Simulations!$Y30),1)),Simulations!$BF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V30="",200,Simulations!$V30)^2*IF(Simulations!$Y30="",1000,Simulations!$Y30)/2^1.5*(2/3*LN(Simulations!$BI30/IF(Simulations!$J30="",1000,Simulations!$J30))^1.5+SQRT(LN(Simulations!$BI30/IF(Simulations!$J30="",1000,Simulations!$J30)))+Simulations!$BI30/IF(Simulations!$J30="",1000,Simulations!$J30)*SQRT(PI())/2*ERFC(SQRT(LN(Simulations!$BI30/IF(Simulations!$J30="",1000,Simulations!$J30))))),PI()*IF(Simulations!$V30="",200,Simulations!$V30)^2/2*(LN(Simulations!$BI30/IF(Simulations!$J30="",1000,Simulations!$J30))+1))))</f>
        <v>0</v>
      </c>
      <c r="K30" s="0" t="n">
        <f aca="false">IF(NOT(AND(Simulations!$A30&lt;&gt;"",OR(Simulations!$BD30&lt;&gt;"",N(Simulations!$BF30)&gt;0))),0,MAX(N(Simulations!$BG30),N(Simulations!$BH30),N(Simulations!$BI30))/IF(Simulations!$J30="",1000,Simulations!$J30))</f>
        <v>0</v>
      </c>
      <c r="L30" s="0" t="n">
        <f aca="false">IF(OR(NOT(AND(Simulations!$A30&lt;&gt;"",OR(Simulations!$BD30&lt;&gt;"",N(Simulations!$BF30)&gt;0))),N(Simulations!$BE30)&lt;=0),0,SQRT(2*Simulations!$BE30*1000000/(IF(Simulations!$J30="",1000,Simulations!$J30)*1000))/MIN(IF(Simulations!$T30="",200,Simulations!$T30),IF(Simulations!$U30="",200,Simulations!$U30),IF(Simulations!$V30="",200,Simulations!$V30)))</f>
        <v>0</v>
      </c>
      <c r="M30" s="0" t="n">
        <f aca="false">IF(AND(Simulations!$A30&lt;&gt;"",OR(Simulations!$BD30&lt;&gt;"",N(Simulations!$BF30)&gt;0)),1,0)</f>
        <v>0</v>
      </c>
      <c r="N30" s="0" t="n">
        <f aca="false">IF(OR(NOT(AND(Simulations!$A30&lt;&gt;"",OR(Simulations!$BV30&lt;&gt;"",N(Simulations!$BX30)&gt;0))),N(Simulations!$BY30)&lt;=0,N(Simulations!$BX30)&lt;=0,1&gt;N(IF(Simulations!$O30="",1,Simulations!$O30))),0,IF(Simulations!$BY30&lt;IF(Simulations!$J30="",1000,Simulations!$J30),Simulations!$BX30/(IF(Simulations!$G30="",5000,Simulations!$G30)*IF(Simulations!$H30="",5000,Simulations!$H30)*IF(IF(Simulations!$I30="",5000,Simulations!$I30)&gt;0,IF(Simulations!$I30="",5000,Simulations!$I30),1))*Simulations!$BY30*(PI()/2*IF(Simulations!$T30="",200,Simulations!$T30)^2*IF(IF(Simulations!$I30="",5000,Simulations!$I30)&gt;0,SQRT(PI()/2)*IF(Simulations!$W30="",1000,Simulations!$W30),1)),Simulations!$BX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T30="",200,Simulations!$T30)^2*IF(Simulations!$W30="",1000,Simulations!$W30)/2^1.5*(2/3*LN(Simulations!$BY30/IF(Simulations!$J30="",1000,Simulations!$J30))^1.5+SQRT(LN(Simulations!$BY30/IF(Simulations!$J30="",1000,Simulations!$J30)))+Simulations!$BY30/IF(Simulations!$J30="",1000,Simulations!$J30)*SQRT(PI())/2*ERFC(SQRT(LN(Simulations!$BY30/IF(Simulations!$J30="",1000,Simulations!$J30))))),PI()*IF(Simulations!$T30="",200,Simulations!$T30)^2/2*(LN(Simulations!$BY30/IF(Simulations!$J30="",1000,Simulations!$J30))+1))))</f>
        <v>0</v>
      </c>
      <c r="O30" s="0" t="n">
        <f aca="false">IF(OR(NOT(AND(Simulations!$A30&lt;&gt;"",OR(Simulations!$BV30&lt;&gt;"",N(Simulations!$BX30)&gt;0))),N(Simulations!$BZ30)&lt;=0,N(Simulations!$BX30)&lt;=0,2&gt;N(IF(Simulations!$O30="",1,Simulations!$O30))),0,IF(Simulations!$BZ30&lt;IF(Simulations!$J30="",1000,Simulations!$J30),Simulations!$BX30/(IF(Simulations!$G30="",5000,Simulations!$G30)*IF(Simulations!$H30="",5000,Simulations!$H30)*IF(IF(Simulations!$I30="",5000,Simulations!$I30)&gt;0,IF(Simulations!$I30="",5000,Simulations!$I30),1))*Simulations!$BZ30*(PI()/2*IF(Simulations!$U30="",200,Simulations!$U30)^2*IF(IF(Simulations!$I30="",5000,Simulations!$I30)&gt;0,SQRT(PI()/2)*IF(Simulations!$X30="",1000,Simulations!$X30),1)),Simulations!$BX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U30="",200,Simulations!$U30)^2*IF(Simulations!$X30="",1000,Simulations!$X30)/2^1.5*(2/3*LN(Simulations!$BZ30/IF(Simulations!$J30="",1000,Simulations!$J30))^1.5+SQRT(LN(Simulations!$BZ30/IF(Simulations!$J30="",1000,Simulations!$J30)))+Simulations!$BZ30/IF(Simulations!$J30="",1000,Simulations!$J30)*SQRT(PI())/2*ERFC(SQRT(LN(Simulations!$BZ30/IF(Simulations!$J30="",1000,Simulations!$J30))))),PI()*IF(Simulations!$U30="",200,Simulations!$U30)^2/2*(LN(Simulations!$BZ30/IF(Simulations!$J30="",1000,Simulations!$J30))+1))))</f>
        <v>0</v>
      </c>
      <c r="P30" s="0" t="n">
        <f aca="false">IF(OR(NOT(AND(Simulations!$A30&lt;&gt;"",OR(Simulations!$BV30&lt;&gt;"",N(Simulations!$BX30)&gt;0))),N(Simulations!$CA30)&lt;=0,N(Simulations!$BX30)&lt;=0,3&gt;N(IF(Simulations!$O30="",1,Simulations!$O30))),0,IF(Simulations!$CA30&lt;IF(Simulations!$J30="",1000,Simulations!$J30),Simulations!$BX30/(IF(Simulations!$G30="",5000,Simulations!$G30)*IF(Simulations!$H30="",5000,Simulations!$H30)*IF(IF(Simulations!$I30="",5000,Simulations!$I30)&gt;0,IF(Simulations!$I30="",5000,Simulations!$I30),1))*Simulations!$CA30*(PI()/2*IF(Simulations!$V30="",200,Simulations!$V30)^2*IF(IF(Simulations!$I30="",5000,Simulations!$I30)&gt;0,SQRT(PI()/2)*IF(Simulations!$Y30="",1000,Simulations!$Y30),1)),Simulations!$BX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V30="",200,Simulations!$V30)^2*IF(Simulations!$Y30="",1000,Simulations!$Y30)/2^1.5*(2/3*LN(Simulations!$CA30/IF(Simulations!$J30="",1000,Simulations!$J30))^1.5+SQRT(LN(Simulations!$CA30/IF(Simulations!$J30="",1000,Simulations!$J30)))+Simulations!$CA30/IF(Simulations!$J30="",1000,Simulations!$J30)*SQRT(PI())/2*ERFC(SQRT(LN(Simulations!$CA30/IF(Simulations!$J30="",1000,Simulations!$J30))))),PI()*IF(Simulations!$V30="",200,Simulations!$V30)^2/2*(LN(Simulations!$CA30/IF(Simulations!$J30="",1000,Simulations!$J30))+1))))</f>
        <v>0</v>
      </c>
      <c r="Q30" s="0" t="n">
        <f aca="false">IF(NOT(AND(Simulations!$A30&lt;&gt;"",OR(Simulations!$BV30&lt;&gt;"",N(Simulations!$BX30)&gt;0))),0,MAX(N(Simulations!$BY30),N(Simulations!$BZ30),N(Simulations!$CA30))/IF(Simulations!$J30="",1000,Simulations!$J30))</f>
        <v>0</v>
      </c>
      <c r="R30" s="0" t="n">
        <f aca="false">IF(OR(NOT(AND(Simulations!$A30&lt;&gt;"",OR(Simulations!$BV30&lt;&gt;"",N(Simulations!$BX30)&gt;0))),N(Simulations!$BW30)&lt;=0),0,SQRT(2*Simulations!$BW30*1000000/(IF(Simulations!$J30="",1000,Simulations!$J30)*1000))/MIN(IF(Simulations!$T30="",200,Simulations!$T30),IF(Simulations!$U30="",200,Simulations!$U30),IF(Simulations!$V30="",200,Simulations!$V30)))</f>
        <v>0</v>
      </c>
      <c r="S30" s="0" t="n">
        <f aca="false">IF(AND(Simulations!$A30&lt;&gt;"",OR(Simulations!$BV30&lt;&gt;"",N(Simulations!$BX30)&gt;0)),1,0)</f>
        <v>0</v>
      </c>
      <c r="T30" s="0" t="n">
        <f aca="false">IF(OR(NOT(AND(Simulations!$A30&lt;&gt;"",OR(Simulations!$CN30&lt;&gt;"",N(Simulations!$CP30)&gt;0))),N(Simulations!$CQ30)&lt;=0,N(Simulations!$CP30)&lt;=0,1&gt;N(IF(Simulations!$O30="",1,Simulations!$O30))),0,IF(Simulations!$CQ30&lt;IF(Simulations!$J30="",1000,Simulations!$J30),Simulations!$CP30/(IF(Simulations!$G30="",5000,Simulations!$G30)*IF(Simulations!$H30="",5000,Simulations!$H30)*IF(IF(Simulations!$I30="",5000,Simulations!$I30)&gt;0,IF(Simulations!$I30="",5000,Simulations!$I30),1))*Simulations!$CQ30*(PI()/2*IF(Simulations!$T30="",200,Simulations!$T30)^2*IF(IF(Simulations!$I30="",5000,Simulations!$I30)&gt;0,SQRT(PI()/2)*IF(Simulations!$W30="",1000,Simulations!$W30),1)),Simulations!$CP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T30="",200,Simulations!$T30)^2*IF(Simulations!$W30="",1000,Simulations!$W30)/2^1.5*(2/3*LN(Simulations!$CQ30/IF(Simulations!$J30="",1000,Simulations!$J30))^1.5+SQRT(LN(Simulations!$CQ30/IF(Simulations!$J30="",1000,Simulations!$J30)))+Simulations!$CQ30/IF(Simulations!$J30="",1000,Simulations!$J30)*SQRT(PI())/2*ERFC(SQRT(LN(Simulations!$CQ30/IF(Simulations!$J30="",1000,Simulations!$J30))))),PI()*IF(Simulations!$T30="",200,Simulations!$T30)^2/2*(LN(Simulations!$CQ30/IF(Simulations!$J30="",1000,Simulations!$J30))+1))))</f>
        <v>0</v>
      </c>
      <c r="U30" s="0" t="n">
        <f aca="false">IF(OR(NOT(AND(Simulations!$A30&lt;&gt;"",OR(Simulations!$CN30&lt;&gt;"",N(Simulations!$CP30)&gt;0))),N(Simulations!$CR30)&lt;=0,N(Simulations!$CP30)&lt;=0,2&gt;N(IF(Simulations!$O30="",1,Simulations!$O30))),0,IF(Simulations!$CR30&lt;IF(Simulations!$J30="",1000,Simulations!$J30),Simulations!$CP30/(IF(Simulations!$G30="",5000,Simulations!$G30)*IF(Simulations!$H30="",5000,Simulations!$H30)*IF(IF(Simulations!$I30="",5000,Simulations!$I30)&gt;0,IF(Simulations!$I30="",5000,Simulations!$I30),1))*Simulations!$CR30*(PI()/2*IF(Simulations!$U30="",200,Simulations!$U30)^2*IF(IF(Simulations!$I30="",5000,Simulations!$I30)&gt;0,SQRT(PI()/2)*IF(Simulations!$X30="",1000,Simulations!$X30),1)),Simulations!$CP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U30="",200,Simulations!$U30)^2*IF(Simulations!$X30="",1000,Simulations!$X30)/2^1.5*(2/3*LN(Simulations!$CR30/IF(Simulations!$J30="",1000,Simulations!$J30))^1.5+SQRT(LN(Simulations!$CR30/IF(Simulations!$J30="",1000,Simulations!$J30)))+Simulations!$CR30/IF(Simulations!$J30="",1000,Simulations!$J30)*SQRT(PI())/2*ERFC(SQRT(LN(Simulations!$CR30/IF(Simulations!$J30="",1000,Simulations!$J30))))),PI()*IF(Simulations!$U30="",200,Simulations!$U30)^2/2*(LN(Simulations!$CR30/IF(Simulations!$J30="",1000,Simulations!$J30))+1))))</f>
        <v>0</v>
      </c>
      <c r="V30" s="0" t="n">
        <f aca="false">IF(OR(NOT(AND(Simulations!$A30&lt;&gt;"",OR(Simulations!$CN30&lt;&gt;"",N(Simulations!$CP30)&gt;0))),N(Simulations!$CS30)&lt;=0,N(Simulations!$CP30)&lt;=0,3&gt;N(IF(Simulations!$O30="",1,Simulations!$O30))),0,IF(Simulations!$CS30&lt;IF(Simulations!$J30="",1000,Simulations!$J30),Simulations!$CP30/(IF(Simulations!$G30="",5000,Simulations!$G30)*IF(Simulations!$H30="",5000,Simulations!$H30)*IF(IF(Simulations!$I30="",5000,Simulations!$I30)&gt;0,IF(Simulations!$I30="",5000,Simulations!$I30),1))*Simulations!$CS30*(PI()/2*IF(Simulations!$V30="",200,Simulations!$V30)^2*IF(IF(Simulations!$I30="",5000,Simulations!$I30)&gt;0,SQRT(PI()/2)*IF(Simulations!$Y30="",1000,Simulations!$Y30),1)),Simulations!$CP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V30="",200,Simulations!$V30)^2*IF(Simulations!$Y30="",1000,Simulations!$Y30)/2^1.5*(2/3*LN(Simulations!$CS30/IF(Simulations!$J30="",1000,Simulations!$J30))^1.5+SQRT(LN(Simulations!$CS30/IF(Simulations!$J30="",1000,Simulations!$J30)))+Simulations!$CS30/IF(Simulations!$J30="",1000,Simulations!$J30)*SQRT(PI())/2*ERFC(SQRT(LN(Simulations!$CS30/IF(Simulations!$J30="",1000,Simulations!$J30))))),PI()*IF(Simulations!$V30="",200,Simulations!$V30)^2/2*(LN(Simulations!$CS30/IF(Simulations!$J30="",1000,Simulations!$J30))+1))))</f>
        <v>0</v>
      </c>
      <c r="W30" s="0" t="n">
        <f aca="false">IF(NOT(AND(Simulations!$A30&lt;&gt;"",OR(Simulations!$CN30&lt;&gt;"",N(Simulations!$CP30)&gt;0))),0,MAX(N(Simulations!$CQ30),N(Simulations!$CR30),N(Simulations!$CS30))/IF(Simulations!$J30="",1000,Simulations!$J30))</f>
        <v>0</v>
      </c>
      <c r="X30" s="0" t="n">
        <f aca="false">IF(OR(NOT(AND(Simulations!$A30&lt;&gt;"",OR(Simulations!$CN30&lt;&gt;"",N(Simulations!$CP30)&gt;0))),N(Simulations!$CO30)&lt;=0),0,SQRT(2*Simulations!$CO30*1000000/(IF(Simulations!$J30="",1000,Simulations!$J30)*1000))/MIN(IF(Simulations!$T30="",200,Simulations!$T30),IF(Simulations!$U30="",200,Simulations!$U30),IF(Simulations!$V30="",200,Simulations!$V30)))</f>
        <v>0</v>
      </c>
      <c r="Y30" s="0" t="n">
        <f aca="false">IF(AND(Simulations!$A30&lt;&gt;"",OR(Simulations!$CN30&lt;&gt;"",N(Simulations!$CP30)&gt;0)),1,0)</f>
        <v>0</v>
      </c>
      <c r="Z30" s="0" t="n">
        <f aca="false">IF(OR(NOT(AND(Simulations!$A30&lt;&gt;"",OR(Simulations!$DF30&lt;&gt;"",N(Simulations!$DH30)&gt;0))),N(Simulations!$DI30)&lt;=0,N(Simulations!$DH30)&lt;=0,1&gt;N(IF(Simulations!$O30="",1,Simulations!$O30))),0,IF(Simulations!$DI30&lt;IF(Simulations!$J30="",1000,Simulations!$J30),Simulations!$DH30/(IF(Simulations!$G30="",5000,Simulations!$G30)*IF(Simulations!$H30="",5000,Simulations!$H30)*IF(IF(Simulations!$I30="",5000,Simulations!$I30)&gt;0,IF(Simulations!$I30="",5000,Simulations!$I30),1))*Simulations!$DI30*(PI()/2*IF(Simulations!$T30="",200,Simulations!$T30)^2*IF(IF(Simulations!$I30="",5000,Simulations!$I30)&gt;0,SQRT(PI()/2)*IF(Simulations!$W30="",1000,Simulations!$W30),1)),Simulations!$DH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T30="",200,Simulations!$T30)^2*IF(Simulations!$W30="",1000,Simulations!$W30)/2^1.5*(2/3*LN(Simulations!$DI30/IF(Simulations!$J30="",1000,Simulations!$J30))^1.5+SQRT(LN(Simulations!$DI30/IF(Simulations!$J30="",1000,Simulations!$J30)))+Simulations!$DI30/IF(Simulations!$J30="",1000,Simulations!$J30)*SQRT(PI())/2*ERFC(SQRT(LN(Simulations!$DI30/IF(Simulations!$J30="",1000,Simulations!$J30))))),PI()*IF(Simulations!$T30="",200,Simulations!$T30)^2/2*(LN(Simulations!$DI30/IF(Simulations!$J30="",1000,Simulations!$J30))+1))))</f>
        <v>0</v>
      </c>
      <c r="AA30" s="0" t="n">
        <f aca="false">IF(OR(NOT(AND(Simulations!$A30&lt;&gt;"",OR(Simulations!$DF30&lt;&gt;"",N(Simulations!$DH30)&gt;0))),N(Simulations!$DJ30)&lt;=0,N(Simulations!$DH30)&lt;=0,2&gt;N(IF(Simulations!$O30="",1,Simulations!$O30))),0,IF(Simulations!$DJ30&lt;IF(Simulations!$J30="",1000,Simulations!$J30),Simulations!$DH30/(IF(Simulations!$G30="",5000,Simulations!$G30)*IF(Simulations!$H30="",5000,Simulations!$H30)*IF(IF(Simulations!$I30="",5000,Simulations!$I30)&gt;0,IF(Simulations!$I30="",5000,Simulations!$I30),1))*Simulations!$DJ30*(PI()/2*IF(Simulations!$U30="",200,Simulations!$U30)^2*IF(IF(Simulations!$I30="",5000,Simulations!$I30)&gt;0,SQRT(PI()/2)*IF(Simulations!$X30="",1000,Simulations!$X30),1)),Simulations!$DH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U30="",200,Simulations!$U30)^2*IF(Simulations!$X30="",1000,Simulations!$X30)/2^1.5*(2/3*LN(Simulations!$DJ30/IF(Simulations!$J30="",1000,Simulations!$J30))^1.5+SQRT(LN(Simulations!$DJ30/IF(Simulations!$J30="",1000,Simulations!$J30)))+Simulations!$DJ30/IF(Simulations!$J30="",1000,Simulations!$J30)*SQRT(PI())/2*ERFC(SQRT(LN(Simulations!$DJ30/IF(Simulations!$J30="",1000,Simulations!$J30))))),PI()*IF(Simulations!$U30="",200,Simulations!$U30)^2/2*(LN(Simulations!$DJ30/IF(Simulations!$J30="",1000,Simulations!$J30))+1))))</f>
        <v>0</v>
      </c>
      <c r="AB30" s="0" t="n">
        <f aca="false">IF(OR(NOT(AND(Simulations!$A30&lt;&gt;"",OR(Simulations!$DF30&lt;&gt;"",N(Simulations!$DH30)&gt;0))),N(Simulations!$DK30)&lt;=0,N(Simulations!$DH30)&lt;=0,3&gt;N(IF(Simulations!$O30="",1,Simulations!$O30))),0,IF(Simulations!$DK30&lt;IF(Simulations!$J30="",1000,Simulations!$J30),Simulations!$DH30/(IF(Simulations!$G30="",5000,Simulations!$G30)*IF(Simulations!$H30="",5000,Simulations!$H30)*IF(IF(Simulations!$I30="",5000,Simulations!$I30)&gt;0,IF(Simulations!$I30="",5000,Simulations!$I30),1))*Simulations!$DK30*(PI()/2*IF(Simulations!$V30="",200,Simulations!$V30)^2*IF(IF(Simulations!$I30="",5000,Simulations!$I30)&gt;0,SQRT(PI()/2)*IF(Simulations!$Y30="",1000,Simulations!$Y30),1)),Simulations!$DH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V30="",200,Simulations!$V30)^2*IF(Simulations!$Y30="",1000,Simulations!$Y30)/2^1.5*(2/3*LN(Simulations!$DK30/IF(Simulations!$J30="",1000,Simulations!$J30))^1.5+SQRT(LN(Simulations!$DK30/IF(Simulations!$J30="",1000,Simulations!$J30)))+Simulations!$DK30/IF(Simulations!$J30="",1000,Simulations!$J30)*SQRT(PI())/2*ERFC(SQRT(LN(Simulations!$DK30/IF(Simulations!$J30="",1000,Simulations!$J30))))),PI()*IF(Simulations!$V30="",200,Simulations!$V30)^2/2*(LN(Simulations!$DK30/IF(Simulations!$J30="",1000,Simulations!$J30))+1))))</f>
        <v>0</v>
      </c>
      <c r="AC30" s="0" t="n">
        <f aca="false">IF(NOT(AND(Simulations!$A30&lt;&gt;"",OR(Simulations!$DF30&lt;&gt;"",N(Simulations!$DH30)&gt;0))),0,MAX(N(Simulations!$DI30),N(Simulations!$DJ30),N(Simulations!$DK30))/IF(Simulations!$J30="",1000,Simulations!$J30))</f>
        <v>0</v>
      </c>
      <c r="AD30" s="0" t="n">
        <f aca="false">IF(OR(NOT(AND(Simulations!$A30&lt;&gt;"",OR(Simulations!$DF30&lt;&gt;"",N(Simulations!$DH30)&gt;0))),N(Simulations!$DG30)&lt;=0),0,SQRT(2*Simulations!$DG30*1000000/(IF(Simulations!$J30="",1000,Simulations!$J30)*1000))/MIN(IF(Simulations!$T30="",200,Simulations!$T30),IF(Simulations!$U30="",200,Simulations!$U30),IF(Simulations!$V30="",200,Simulations!$V30)))</f>
        <v>0</v>
      </c>
      <c r="AE30" s="0" t="n">
        <f aca="false">IF(AND(Simulations!$A30&lt;&gt;"",OR(Simulations!$DF30&lt;&gt;"",N(Simulations!$DH30)&gt;0)),1,0)</f>
        <v>0</v>
      </c>
      <c r="AF30" s="0" t="n">
        <f aca="false">IF(OR(NOT(AND(Simulations!$A30&lt;&gt;"",OR(Simulations!$DX30&lt;&gt;"",N(Simulations!$DZ30)&gt;0))),N(Simulations!$EA30)&lt;=0,N(Simulations!$DZ30)&lt;=0,1&gt;N(IF(Simulations!$O30="",1,Simulations!$O30))),0,IF(Simulations!$EA30&lt;IF(Simulations!$J30="",1000,Simulations!$J30),Simulations!$DZ30/(IF(Simulations!$G30="",5000,Simulations!$G30)*IF(Simulations!$H30="",5000,Simulations!$H30)*IF(IF(Simulations!$I30="",5000,Simulations!$I30)&gt;0,IF(Simulations!$I30="",5000,Simulations!$I30),1))*Simulations!$EA30*(PI()/2*IF(Simulations!$T30="",200,Simulations!$T30)^2*IF(IF(Simulations!$I30="",5000,Simulations!$I30)&gt;0,SQRT(PI()/2)*IF(Simulations!$W30="",1000,Simulations!$W30),1)),Simulations!$DZ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T30="",200,Simulations!$T30)^2*IF(Simulations!$W30="",1000,Simulations!$W30)/2^1.5*(2/3*LN(Simulations!$EA30/IF(Simulations!$J30="",1000,Simulations!$J30))^1.5+SQRT(LN(Simulations!$EA30/IF(Simulations!$J30="",1000,Simulations!$J30)))+Simulations!$EA30/IF(Simulations!$J30="",1000,Simulations!$J30)*SQRT(PI())/2*ERFC(SQRT(LN(Simulations!$EA30/IF(Simulations!$J30="",1000,Simulations!$J30))))),PI()*IF(Simulations!$T30="",200,Simulations!$T30)^2/2*(LN(Simulations!$EA30/IF(Simulations!$J30="",1000,Simulations!$J30))+1))))</f>
        <v>0</v>
      </c>
      <c r="AG30" s="0" t="n">
        <f aca="false">IF(OR(NOT(AND(Simulations!$A30&lt;&gt;"",OR(Simulations!$DX30&lt;&gt;"",N(Simulations!$DZ30)&gt;0))),N(Simulations!$EB30)&lt;=0,N(Simulations!$DZ30)&lt;=0,2&gt;N(IF(Simulations!$O30="",1,Simulations!$O30))),0,IF(Simulations!$EB30&lt;IF(Simulations!$J30="",1000,Simulations!$J30),Simulations!$DZ30/(IF(Simulations!$G30="",5000,Simulations!$G30)*IF(Simulations!$H30="",5000,Simulations!$H30)*IF(IF(Simulations!$I30="",5000,Simulations!$I30)&gt;0,IF(Simulations!$I30="",5000,Simulations!$I30),1))*Simulations!$EB30*(PI()/2*IF(Simulations!$U30="",200,Simulations!$U30)^2*IF(IF(Simulations!$I30="",5000,Simulations!$I30)&gt;0,SQRT(PI()/2)*IF(Simulations!$X30="",1000,Simulations!$X30),1)),Simulations!$DZ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U30="",200,Simulations!$U30)^2*IF(Simulations!$X30="",1000,Simulations!$X30)/2^1.5*(2/3*LN(Simulations!$EB30/IF(Simulations!$J30="",1000,Simulations!$J30))^1.5+SQRT(LN(Simulations!$EB30/IF(Simulations!$J30="",1000,Simulations!$J30)))+Simulations!$EB30/IF(Simulations!$J30="",1000,Simulations!$J30)*SQRT(PI())/2*ERFC(SQRT(LN(Simulations!$EB30/IF(Simulations!$J30="",1000,Simulations!$J30))))),PI()*IF(Simulations!$U30="",200,Simulations!$U30)^2/2*(LN(Simulations!$EB30/IF(Simulations!$J30="",1000,Simulations!$J30))+1))))</f>
        <v>0</v>
      </c>
      <c r="AH30" s="0" t="n">
        <f aca="false">IF(OR(NOT(AND(Simulations!$A30&lt;&gt;"",OR(Simulations!$DX30&lt;&gt;"",N(Simulations!$DZ30)&gt;0))),N(Simulations!$EC30)&lt;=0,N(Simulations!$DZ30)&lt;=0,3&gt;N(IF(Simulations!$O30="",1,Simulations!$O30))),0,IF(Simulations!$EC30&lt;IF(Simulations!$J30="",1000,Simulations!$J30),Simulations!$DZ30/(IF(Simulations!$G30="",5000,Simulations!$G30)*IF(Simulations!$H30="",5000,Simulations!$H30)*IF(IF(Simulations!$I30="",5000,Simulations!$I30)&gt;0,IF(Simulations!$I30="",5000,Simulations!$I30),1))*Simulations!$EC30*(PI()/2*IF(Simulations!$V30="",200,Simulations!$V30)^2*IF(IF(Simulations!$I30="",5000,Simulations!$I30)&gt;0,SQRT(PI()/2)*IF(Simulations!$Y30="",1000,Simulations!$Y30),1)),Simulations!$DZ30/(IF(Simulations!$G30="",5000,Simulations!$G30)*IF(Simulations!$H30="",5000,Simulations!$H30)*IF(IF(Simulations!$I30="",5000,Simulations!$I30)&gt;0,IF(Simulations!$I30="",5000,Simulations!$I30),1))*IF(Simulations!$J30="",1000,Simulations!$J30)*IF(IF(Simulations!$I30="",5000,Simulations!$I30)&gt;0,2*PI()*IF(Simulations!$V30="",200,Simulations!$V30)^2*IF(Simulations!$Y30="",1000,Simulations!$Y30)/2^1.5*(2/3*LN(Simulations!$EC30/IF(Simulations!$J30="",1000,Simulations!$J30))^1.5+SQRT(LN(Simulations!$EC30/IF(Simulations!$J30="",1000,Simulations!$J30)))+Simulations!$EC30/IF(Simulations!$J30="",1000,Simulations!$J30)*SQRT(PI())/2*ERFC(SQRT(LN(Simulations!$EC30/IF(Simulations!$J30="",1000,Simulations!$J30))))),PI()*IF(Simulations!$V30="",200,Simulations!$V30)^2/2*(LN(Simulations!$EC30/IF(Simulations!$J30="",1000,Simulations!$J30))+1))))</f>
        <v>0</v>
      </c>
      <c r="AI30" s="0" t="n">
        <f aca="false">IF(NOT(AND(Simulations!$A30&lt;&gt;"",OR(Simulations!$DX30&lt;&gt;"",N(Simulations!$DZ30)&gt;0))),0,MAX(N(Simulations!$EA30),N(Simulations!$EB30),N(Simulations!$EC30))/IF(Simulations!$J30="",1000,Simulations!$J30))</f>
        <v>0</v>
      </c>
      <c r="AJ30" s="0" t="n">
        <f aca="false">IF(OR(NOT(AND(Simulations!$A30&lt;&gt;"",OR(Simulations!$DX30&lt;&gt;"",N(Simulations!$DZ30)&gt;0))),N(Simulations!$DY30)&lt;=0),0,SQRT(2*Simulations!$DY30*1000000/(IF(Simulations!$J30="",1000,Simulations!$J30)*1000))/MIN(IF(Simulations!$T30="",200,Simulations!$T30),IF(Simulations!$U30="",200,Simulations!$U30),IF(Simulations!$V30="",200,Simulations!$V30)))</f>
        <v>0</v>
      </c>
      <c r="AK30" s="0" t="n">
        <f aca="false">IF(AND(Simulations!$A30&lt;&gt;"",OR(Simulations!$DX30&lt;&gt;"",N(Simulations!$DZ30)&gt;0)),1,0)</f>
        <v>0</v>
      </c>
    </row>
    <row r="31" customFormat="false" ht="15" hidden="false" customHeight="false" outlineLevel="0" collapsed="false">
      <c r="B31" s="0" t="n">
        <f aca="false">IF(OR(NOT(AND(Simulations!$A31&lt;&gt;"",OR(Simulations!$AL31&lt;&gt;"",N(Simulations!$AN31)&gt;0))),N(Simulations!$AO31)&lt;=0,N(Simulations!$AN31)&lt;=0,1&gt;N(IF(Simulations!$O31="",1,Simulations!$O31))),0,IF(Simulations!$AO31&lt;IF(Simulations!$J31="",1000,Simulations!$J31),Simulations!$AN31/(IF(Simulations!$G31="",5000,Simulations!$G31)*IF(Simulations!$H31="",5000,Simulations!$H31)*IF(IF(Simulations!$I31="",5000,Simulations!$I31)&gt;0,IF(Simulations!$I31="",5000,Simulations!$I31),1))*Simulations!$AO31*(PI()/2*IF(Simulations!$T31="",200,Simulations!$T31)^2*IF(IF(Simulations!$I31="",5000,Simulations!$I31)&gt;0,SQRT(PI()/2)*IF(Simulations!$W31="",1000,Simulations!$W31),1)),Simulations!$AN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T31="",200,Simulations!$T31)^2*IF(Simulations!$W31="",1000,Simulations!$W31)/2^1.5*(2/3*LN(Simulations!$AO31/IF(Simulations!$J31="",1000,Simulations!$J31))^1.5+SQRT(LN(Simulations!$AO31/IF(Simulations!$J31="",1000,Simulations!$J31)))+Simulations!$AO31/IF(Simulations!$J31="",1000,Simulations!$J31)*SQRT(PI())/2*ERFC(SQRT(LN(Simulations!$AO31/IF(Simulations!$J31="",1000,Simulations!$J31))))),PI()*IF(Simulations!$T31="",200,Simulations!$T31)^2/2*(LN(Simulations!$AO31/IF(Simulations!$J31="",1000,Simulations!$J31))+1))))</f>
        <v>0</v>
      </c>
      <c r="C31" s="0" t="n">
        <f aca="false">IF(OR(NOT(AND(Simulations!$A31&lt;&gt;"",OR(Simulations!$AL31&lt;&gt;"",N(Simulations!$AN31)&gt;0))),N(Simulations!$AP31)&lt;=0,N(Simulations!$AN31)&lt;=0,2&gt;N(IF(Simulations!$O31="",1,Simulations!$O31))),0,IF(Simulations!$AP31&lt;IF(Simulations!$J31="",1000,Simulations!$J31),Simulations!$AN31/(IF(Simulations!$G31="",5000,Simulations!$G31)*IF(Simulations!$H31="",5000,Simulations!$H31)*IF(IF(Simulations!$I31="",5000,Simulations!$I31)&gt;0,IF(Simulations!$I31="",5000,Simulations!$I31),1))*Simulations!$AP31*(PI()/2*IF(Simulations!$U31="",200,Simulations!$U31)^2*IF(IF(Simulations!$I31="",5000,Simulations!$I31)&gt;0,SQRT(PI()/2)*IF(Simulations!$X31="",1000,Simulations!$X31),1)),Simulations!$AN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U31="",200,Simulations!$U31)^2*IF(Simulations!$X31="",1000,Simulations!$X31)/2^1.5*(2/3*LN(Simulations!$AP31/IF(Simulations!$J31="",1000,Simulations!$J31))^1.5+SQRT(LN(Simulations!$AP31/IF(Simulations!$J31="",1000,Simulations!$J31)))+Simulations!$AP31/IF(Simulations!$J31="",1000,Simulations!$J31)*SQRT(PI())/2*ERFC(SQRT(LN(Simulations!$AP31/IF(Simulations!$J31="",1000,Simulations!$J31))))),PI()*IF(Simulations!$U31="",200,Simulations!$U31)^2/2*(LN(Simulations!$AP31/IF(Simulations!$J31="",1000,Simulations!$J31))+1))))</f>
        <v>0</v>
      </c>
      <c r="D31" s="0" t="n">
        <f aca="false">IF(OR(NOT(AND(Simulations!$A31&lt;&gt;"",OR(Simulations!$AL31&lt;&gt;"",N(Simulations!$AN31)&gt;0))),N(Simulations!$AQ31)&lt;=0,N(Simulations!$AN31)&lt;=0,3&gt;N(IF(Simulations!$O31="",1,Simulations!$O31))),0,IF(Simulations!$AQ31&lt;IF(Simulations!$J31="",1000,Simulations!$J31),Simulations!$AN31/(IF(Simulations!$G31="",5000,Simulations!$G31)*IF(Simulations!$H31="",5000,Simulations!$H31)*IF(IF(Simulations!$I31="",5000,Simulations!$I31)&gt;0,IF(Simulations!$I31="",5000,Simulations!$I31),1))*Simulations!$AQ31*(PI()/2*IF(Simulations!$V31="",200,Simulations!$V31)^2*IF(IF(Simulations!$I31="",5000,Simulations!$I31)&gt;0,SQRT(PI()/2)*IF(Simulations!$Y31="",1000,Simulations!$Y31),1)),Simulations!$AN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V31="",200,Simulations!$V31)^2*IF(Simulations!$Y31="",1000,Simulations!$Y31)/2^1.5*(2/3*LN(Simulations!$AQ31/IF(Simulations!$J31="",1000,Simulations!$J31))^1.5+SQRT(LN(Simulations!$AQ31/IF(Simulations!$J31="",1000,Simulations!$J31)))+Simulations!$AQ31/IF(Simulations!$J31="",1000,Simulations!$J31)*SQRT(PI())/2*ERFC(SQRT(LN(Simulations!$AQ31/IF(Simulations!$J31="",1000,Simulations!$J31))))),PI()*IF(Simulations!$V31="",200,Simulations!$V31)^2/2*(LN(Simulations!$AQ31/IF(Simulations!$J31="",1000,Simulations!$J31))+1))))</f>
        <v>0</v>
      </c>
      <c r="E31" s="0" t="n">
        <f aca="false">IF(NOT(AND(Simulations!$A31&lt;&gt;"",OR(Simulations!$AL31&lt;&gt;"",N(Simulations!$AN31)&gt;0))),0,MAX(N(Simulations!$AO31),N(Simulations!$AP31),N(Simulations!$AQ31))/IF(Simulations!$J31="",1000,Simulations!$J31))</f>
        <v>0</v>
      </c>
      <c r="F31" s="0" t="n">
        <f aca="false">IF(OR(NOT(AND(Simulations!$A31&lt;&gt;"",OR(Simulations!$AL31&lt;&gt;"",N(Simulations!$AN31)&gt;0))),N(Simulations!$AM31)&lt;=0),0,SQRT(2*Simulations!$AM31*1000000/(IF(Simulations!$J31="",1000,Simulations!$J31)*1000))/MIN(IF(Simulations!$T31="",200,Simulations!$T31),IF(Simulations!$U31="",200,Simulations!$U31),IF(Simulations!$V31="",200,Simulations!$V31)))</f>
        <v>0</v>
      </c>
      <c r="G31" s="0" t="n">
        <f aca="false">IF(AND(Simulations!$A31&lt;&gt;"",OR(Simulations!$AL31&lt;&gt;"",N(Simulations!$AN31)&gt;0)),1,0)</f>
        <v>0</v>
      </c>
      <c r="H31" s="0" t="n">
        <f aca="false">IF(OR(NOT(AND(Simulations!$A31&lt;&gt;"",OR(Simulations!$BD31&lt;&gt;"",N(Simulations!$BF31)&gt;0))),N(Simulations!$BG31)&lt;=0,N(Simulations!$BF31)&lt;=0,1&gt;N(IF(Simulations!$O31="",1,Simulations!$O31))),0,IF(Simulations!$BG31&lt;IF(Simulations!$J31="",1000,Simulations!$J31),Simulations!$BF31/(IF(Simulations!$G31="",5000,Simulations!$G31)*IF(Simulations!$H31="",5000,Simulations!$H31)*IF(IF(Simulations!$I31="",5000,Simulations!$I31)&gt;0,IF(Simulations!$I31="",5000,Simulations!$I31),1))*Simulations!$BG31*(PI()/2*IF(Simulations!$T31="",200,Simulations!$T31)^2*IF(IF(Simulations!$I31="",5000,Simulations!$I31)&gt;0,SQRT(PI()/2)*IF(Simulations!$W31="",1000,Simulations!$W31),1)),Simulations!$BF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T31="",200,Simulations!$T31)^2*IF(Simulations!$W31="",1000,Simulations!$W31)/2^1.5*(2/3*LN(Simulations!$BG31/IF(Simulations!$J31="",1000,Simulations!$J31))^1.5+SQRT(LN(Simulations!$BG31/IF(Simulations!$J31="",1000,Simulations!$J31)))+Simulations!$BG31/IF(Simulations!$J31="",1000,Simulations!$J31)*SQRT(PI())/2*ERFC(SQRT(LN(Simulations!$BG31/IF(Simulations!$J31="",1000,Simulations!$J31))))),PI()*IF(Simulations!$T31="",200,Simulations!$T31)^2/2*(LN(Simulations!$BG31/IF(Simulations!$J31="",1000,Simulations!$J31))+1))))</f>
        <v>0</v>
      </c>
      <c r="I31" s="0" t="n">
        <f aca="false">IF(OR(NOT(AND(Simulations!$A31&lt;&gt;"",OR(Simulations!$BD31&lt;&gt;"",N(Simulations!$BF31)&gt;0))),N(Simulations!$BH31)&lt;=0,N(Simulations!$BF31)&lt;=0,2&gt;N(IF(Simulations!$O31="",1,Simulations!$O31))),0,IF(Simulations!$BH31&lt;IF(Simulations!$J31="",1000,Simulations!$J31),Simulations!$BF31/(IF(Simulations!$G31="",5000,Simulations!$G31)*IF(Simulations!$H31="",5000,Simulations!$H31)*IF(IF(Simulations!$I31="",5000,Simulations!$I31)&gt;0,IF(Simulations!$I31="",5000,Simulations!$I31),1))*Simulations!$BH31*(PI()/2*IF(Simulations!$U31="",200,Simulations!$U31)^2*IF(IF(Simulations!$I31="",5000,Simulations!$I31)&gt;0,SQRT(PI()/2)*IF(Simulations!$X31="",1000,Simulations!$X31),1)),Simulations!$BF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U31="",200,Simulations!$U31)^2*IF(Simulations!$X31="",1000,Simulations!$X31)/2^1.5*(2/3*LN(Simulations!$BH31/IF(Simulations!$J31="",1000,Simulations!$J31))^1.5+SQRT(LN(Simulations!$BH31/IF(Simulations!$J31="",1000,Simulations!$J31)))+Simulations!$BH31/IF(Simulations!$J31="",1000,Simulations!$J31)*SQRT(PI())/2*ERFC(SQRT(LN(Simulations!$BH31/IF(Simulations!$J31="",1000,Simulations!$J31))))),PI()*IF(Simulations!$U31="",200,Simulations!$U31)^2/2*(LN(Simulations!$BH31/IF(Simulations!$J31="",1000,Simulations!$J31))+1))))</f>
        <v>0</v>
      </c>
      <c r="J31" s="0" t="n">
        <f aca="false">IF(OR(NOT(AND(Simulations!$A31&lt;&gt;"",OR(Simulations!$BD31&lt;&gt;"",N(Simulations!$BF31)&gt;0))),N(Simulations!$BI31)&lt;=0,N(Simulations!$BF31)&lt;=0,3&gt;N(IF(Simulations!$O31="",1,Simulations!$O31))),0,IF(Simulations!$BI31&lt;IF(Simulations!$J31="",1000,Simulations!$J31),Simulations!$BF31/(IF(Simulations!$G31="",5000,Simulations!$G31)*IF(Simulations!$H31="",5000,Simulations!$H31)*IF(IF(Simulations!$I31="",5000,Simulations!$I31)&gt;0,IF(Simulations!$I31="",5000,Simulations!$I31),1))*Simulations!$BI31*(PI()/2*IF(Simulations!$V31="",200,Simulations!$V31)^2*IF(IF(Simulations!$I31="",5000,Simulations!$I31)&gt;0,SQRT(PI()/2)*IF(Simulations!$Y31="",1000,Simulations!$Y31),1)),Simulations!$BF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V31="",200,Simulations!$V31)^2*IF(Simulations!$Y31="",1000,Simulations!$Y31)/2^1.5*(2/3*LN(Simulations!$BI31/IF(Simulations!$J31="",1000,Simulations!$J31))^1.5+SQRT(LN(Simulations!$BI31/IF(Simulations!$J31="",1000,Simulations!$J31)))+Simulations!$BI31/IF(Simulations!$J31="",1000,Simulations!$J31)*SQRT(PI())/2*ERFC(SQRT(LN(Simulations!$BI31/IF(Simulations!$J31="",1000,Simulations!$J31))))),PI()*IF(Simulations!$V31="",200,Simulations!$V31)^2/2*(LN(Simulations!$BI31/IF(Simulations!$J31="",1000,Simulations!$J31))+1))))</f>
        <v>0</v>
      </c>
      <c r="K31" s="0" t="n">
        <f aca="false">IF(NOT(AND(Simulations!$A31&lt;&gt;"",OR(Simulations!$BD31&lt;&gt;"",N(Simulations!$BF31)&gt;0))),0,MAX(N(Simulations!$BG31),N(Simulations!$BH31),N(Simulations!$BI31))/IF(Simulations!$J31="",1000,Simulations!$J31))</f>
        <v>0</v>
      </c>
      <c r="L31" s="0" t="n">
        <f aca="false">IF(OR(NOT(AND(Simulations!$A31&lt;&gt;"",OR(Simulations!$BD31&lt;&gt;"",N(Simulations!$BF31)&gt;0))),N(Simulations!$BE31)&lt;=0),0,SQRT(2*Simulations!$BE31*1000000/(IF(Simulations!$J31="",1000,Simulations!$J31)*1000))/MIN(IF(Simulations!$T31="",200,Simulations!$T31),IF(Simulations!$U31="",200,Simulations!$U31),IF(Simulations!$V31="",200,Simulations!$V31)))</f>
        <v>0</v>
      </c>
      <c r="M31" s="0" t="n">
        <f aca="false">IF(AND(Simulations!$A31&lt;&gt;"",OR(Simulations!$BD31&lt;&gt;"",N(Simulations!$BF31)&gt;0)),1,0)</f>
        <v>0</v>
      </c>
      <c r="N31" s="0" t="n">
        <f aca="false">IF(OR(NOT(AND(Simulations!$A31&lt;&gt;"",OR(Simulations!$BV31&lt;&gt;"",N(Simulations!$BX31)&gt;0))),N(Simulations!$BY31)&lt;=0,N(Simulations!$BX31)&lt;=0,1&gt;N(IF(Simulations!$O31="",1,Simulations!$O31))),0,IF(Simulations!$BY31&lt;IF(Simulations!$J31="",1000,Simulations!$J31),Simulations!$BX31/(IF(Simulations!$G31="",5000,Simulations!$G31)*IF(Simulations!$H31="",5000,Simulations!$H31)*IF(IF(Simulations!$I31="",5000,Simulations!$I31)&gt;0,IF(Simulations!$I31="",5000,Simulations!$I31),1))*Simulations!$BY31*(PI()/2*IF(Simulations!$T31="",200,Simulations!$T31)^2*IF(IF(Simulations!$I31="",5000,Simulations!$I31)&gt;0,SQRT(PI()/2)*IF(Simulations!$W31="",1000,Simulations!$W31),1)),Simulations!$BX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T31="",200,Simulations!$T31)^2*IF(Simulations!$W31="",1000,Simulations!$W31)/2^1.5*(2/3*LN(Simulations!$BY31/IF(Simulations!$J31="",1000,Simulations!$J31))^1.5+SQRT(LN(Simulations!$BY31/IF(Simulations!$J31="",1000,Simulations!$J31)))+Simulations!$BY31/IF(Simulations!$J31="",1000,Simulations!$J31)*SQRT(PI())/2*ERFC(SQRT(LN(Simulations!$BY31/IF(Simulations!$J31="",1000,Simulations!$J31))))),PI()*IF(Simulations!$T31="",200,Simulations!$T31)^2/2*(LN(Simulations!$BY31/IF(Simulations!$J31="",1000,Simulations!$J31))+1))))</f>
        <v>0</v>
      </c>
      <c r="O31" s="0" t="n">
        <f aca="false">IF(OR(NOT(AND(Simulations!$A31&lt;&gt;"",OR(Simulations!$BV31&lt;&gt;"",N(Simulations!$BX31)&gt;0))),N(Simulations!$BZ31)&lt;=0,N(Simulations!$BX31)&lt;=0,2&gt;N(IF(Simulations!$O31="",1,Simulations!$O31))),0,IF(Simulations!$BZ31&lt;IF(Simulations!$J31="",1000,Simulations!$J31),Simulations!$BX31/(IF(Simulations!$G31="",5000,Simulations!$G31)*IF(Simulations!$H31="",5000,Simulations!$H31)*IF(IF(Simulations!$I31="",5000,Simulations!$I31)&gt;0,IF(Simulations!$I31="",5000,Simulations!$I31),1))*Simulations!$BZ31*(PI()/2*IF(Simulations!$U31="",200,Simulations!$U31)^2*IF(IF(Simulations!$I31="",5000,Simulations!$I31)&gt;0,SQRT(PI()/2)*IF(Simulations!$X31="",1000,Simulations!$X31),1)),Simulations!$BX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U31="",200,Simulations!$U31)^2*IF(Simulations!$X31="",1000,Simulations!$X31)/2^1.5*(2/3*LN(Simulations!$BZ31/IF(Simulations!$J31="",1000,Simulations!$J31))^1.5+SQRT(LN(Simulations!$BZ31/IF(Simulations!$J31="",1000,Simulations!$J31)))+Simulations!$BZ31/IF(Simulations!$J31="",1000,Simulations!$J31)*SQRT(PI())/2*ERFC(SQRT(LN(Simulations!$BZ31/IF(Simulations!$J31="",1000,Simulations!$J31))))),PI()*IF(Simulations!$U31="",200,Simulations!$U31)^2/2*(LN(Simulations!$BZ31/IF(Simulations!$J31="",1000,Simulations!$J31))+1))))</f>
        <v>0</v>
      </c>
      <c r="P31" s="0" t="n">
        <f aca="false">IF(OR(NOT(AND(Simulations!$A31&lt;&gt;"",OR(Simulations!$BV31&lt;&gt;"",N(Simulations!$BX31)&gt;0))),N(Simulations!$CA31)&lt;=0,N(Simulations!$BX31)&lt;=0,3&gt;N(IF(Simulations!$O31="",1,Simulations!$O31))),0,IF(Simulations!$CA31&lt;IF(Simulations!$J31="",1000,Simulations!$J31),Simulations!$BX31/(IF(Simulations!$G31="",5000,Simulations!$G31)*IF(Simulations!$H31="",5000,Simulations!$H31)*IF(IF(Simulations!$I31="",5000,Simulations!$I31)&gt;0,IF(Simulations!$I31="",5000,Simulations!$I31),1))*Simulations!$CA31*(PI()/2*IF(Simulations!$V31="",200,Simulations!$V31)^2*IF(IF(Simulations!$I31="",5000,Simulations!$I31)&gt;0,SQRT(PI()/2)*IF(Simulations!$Y31="",1000,Simulations!$Y31),1)),Simulations!$BX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V31="",200,Simulations!$V31)^2*IF(Simulations!$Y31="",1000,Simulations!$Y31)/2^1.5*(2/3*LN(Simulations!$CA31/IF(Simulations!$J31="",1000,Simulations!$J31))^1.5+SQRT(LN(Simulations!$CA31/IF(Simulations!$J31="",1000,Simulations!$J31)))+Simulations!$CA31/IF(Simulations!$J31="",1000,Simulations!$J31)*SQRT(PI())/2*ERFC(SQRT(LN(Simulations!$CA31/IF(Simulations!$J31="",1000,Simulations!$J31))))),PI()*IF(Simulations!$V31="",200,Simulations!$V31)^2/2*(LN(Simulations!$CA31/IF(Simulations!$J31="",1000,Simulations!$J31))+1))))</f>
        <v>0</v>
      </c>
      <c r="Q31" s="0" t="n">
        <f aca="false">IF(NOT(AND(Simulations!$A31&lt;&gt;"",OR(Simulations!$BV31&lt;&gt;"",N(Simulations!$BX31)&gt;0))),0,MAX(N(Simulations!$BY31),N(Simulations!$BZ31),N(Simulations!$CA31))/IF(Simulations!$J31="",1000,Simulations!$J31))</f>
        <v>0</v>
      </c>
      <c r="R31" s="0" t="n">
        <f aca="false">IF(OR(NOT(AND(Simulations!$A31&lt;&gt;"",OR(Simulations!$BV31&lt;&gt;"",N(Simulations!$BX31)&gt;0))),N(Simulations!$BW31)&lt;=0),0,SQRT(2*Simulations!$BW31*1000000/(IF(Simulations!$J31="",1000,Simulations!$J31)*1000))/MIN(IF(Simulations!$T31="",200,Simulations!$T31),IF(Simulations!$U31="",200,Simulations!$U31),IF(Simulations!$V31="",200,Simulations!$V31)))</f>
        <v>0</v>
      </c>
      <c r="S31" s="0" t="n">
        <f aca="false">IF(AND(Simulations!$A31&lt;&gt;"",OR(Simulations!$BV31&lt;&gt;"",N(Simulations!$BX31)&gt;0)),1,0)</f>
        <v>0</v>
      </c>
      <c r="T31" s="0" t="n">
        <f aca="false">IF(OR(NOT(AND(Simulations!$A31&lt;&gt;"",OR(Simulations!$CN31&lt;&gt;"",N(Simulations!$CP31)&gt;0))),N(Simulations!$CQ31)&lt;=0,N(Simulations!$CP31)&lt;=0,1&gt;N(IF(Simulations!$O31="",1,Simulations!$O31))),0,IF(Simulations!$CQ31&lt;IF(Simulations!$J31="",1000,Simulations!$J31),Simulations!$CP31/(IF(Simulations!$G31="",5000,Simulations!$G31)*IF(Simulations!$H31="",5000,Simulations!$H31)*IF(IF(Simulations!$I31="",5000,Simulations!$I31)&gt;0,IF(Simulations!$I31="",5000,Simulations!$I31),1))*Simulations!$CQ31*(PI()/2*IF(Simulations!$T31="",200,Simulations!$T31)^2*IF(IF(Simulations!$I31="",5000,Simulations!$I31)&gt;0,SQRT(PI()/2)*IF(Simulations!$W31="",1000,Simulations!$W31),1)),Simulations!$CP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T31="",200,Simulations!$T31)^2*IF(Simulations!$W31="",1000,Simulations!$W31)/2^1.5*(2/3*LN(Simulations!$CQ31/IF(Simulations!$J31="",1000,Simulations!$J31))^1.5+SQRT(LN(Simulations!$CQ31/IF(Simulations!$J31="",1000,Simulations!$J31)))+Simulations!$CQ31/IF(Simulations!$J31="",1000,Simulations!$J31)*SQRT(PI())/2*ERFC(SQRT(LN(Simulations!$CQ31/IF(Simulations!$J31="",1000,Simulations!$J31))))),PI()*IF(Simulations!$T31="",200,Simulations!$T31)^2/2*(LN(Simulations!$CQ31/IF(Simulations!$J31="",1000,Simulations!$J31))+1))))</f>
        <v>0</v>
      </c>
      <c r="U31" s="0" t="n">
        <f aca="false">IF(OR(NOT(AND(Simulations!$A31&lt;&gt;"",OR(Simulations!$CN31&lt;&gt;"",N(Simulations!$CP31)&gt;0))),N(Simulations!$CR31)&lt;=0,N(Simulations!$CP31)&lt;=0,2&gt;N(IF(Simulations!$O31="",1,Simulations!$O31))),0,IF(Simulations!$CR31&lt;IF(Simulations!$J31="",1000,Simulations!$J31),Simulations!$CP31/(IF(Simulations!$G31="",5000,Simulations!$G31)*IF(Simulations!$H31="",5000,Simulations!$H31)*IF(IF(Simulations!$I31="",5000,Simulations!$I31)&gt;0,IF(Simulations!$I31="",5000,Simulations!$I31),1))*Simulations!$CR31*(PI()/2*IF(Simulations!$U31="",200,Simulations!$U31)^2*IF(IF(Simulations!$I31="",5000,Simulations!$I31)&gt;0,SQRT(PI()/2)*IF(Simulations!$X31="",1000,Simulations!$X31),1)),Simulations!$CP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U31="",200,Simulations!$U31)^2*IF(Simulations!$X31="",1000,Simulations!$X31)/2^1.5*(2/3*LN(Simulations!$CR31/IF(Simulations!$J31="",1000,Simulations!$J31))^1.5+SQRT(LN(Simulations!$CR31/IF(Simulations!$J31="",1000,Simulations!$J31)))+Simulations!$CR31/IF(Simulations!$J31="",1000,Simulations!$J31)*SQRT(PI())/2*ERFC(SQRT(LN(Simulations!$CR31/IF(Simulations!$J31="",1000,Simulations!$J31))))),PI()*IF(Simulations!$U31="",200,Simulations!$U31)^2/2*(LN(Simulations!$CR31/IF(Simulations!$J31="",1000,Simulations!$J31))+1))))</f>
        <v>0</v>
      </c>
      <c r="V31" s="0" t="n">
        <f aca="false">IF(OR(NOT(AND(Simulations!$A31&lt;&gt;"",OR(Simulations!$CN31&lt;&gt;"",N(Simulations!$CP31)&gt;0))),N(Simulations!$CS31)&lt;=0,N(Simulations!$CP31)&lt;=0,3&gt;N(IF(Simulations!$O31="",1,Simulations!$O31))),0,IF(Simulations!$CS31&lt;IF(Simulations!$J31="",1000,Simulations!$J31),Simulations!$CP31/(IF(Simulations!$G31="",5000,Simulations!$G31)*IF(Simulations!$H31="",5000,Simulations!$H31)*IF(IF(Simulations!$I31="",5000,Simulations!$I31)&gt;0,IF(Simulations!$I31="",5000,Simulations!$I31),1))*Simulations!$CS31*(PI()/2*IF(Simulations!$V31="",200,Simulations!$V31)^2*IF(IF(Simulations!$I31="",5000,Simulations!$I31)&gt;0,SQRT(PI()/2)*IF(Simulations!$Y31="",1000,Simulations!$Y31),1)),Simulations!$CP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V31="",200,Simulations!$V31)^2*IF(Simulations!$Y31="",1000,Simulations!$Y31)/2^1.5*(2/3*LN(Simulations!$CS31/IF(Simulations!$J31="",1000,Simulations!$J31))^1.5+SQRT(LN(Simulations!$CS31/IF(Simulations!$J31="",1000,Simulations!$J31)))+Simulations!$CS31/IF(Simulations!$J31="",1000,Simulations!$J31)*SQRT(PI())/2*ERFC(SQRT(LN(Simulations!$CS31/IF(Simulations!$J31="",1000,Simulations!$J31))))),PI()*IF(Simulations!$V31="",200,Simulations!$V31)^2/2*(LN(Simulations!$CS31/IF(Simulations!$J31="",1000,Simulations!$J31))+1))))</f>
        <v>0</v>
      </c>
      <c r="W31" s="0" t="n">
        <f aca="false">IF(NOT(AND(Simulations!$A31&lt;&gt;"",OR(Simulations!$CN31&lt;&gt;"",N(Simulations!$CP31)&gt;0))),0,MAX(N(Simulations!$CQ31),N(Simulations!$CR31),N(Simulations!$CS31))/IF(Simulations!$J31="",1000,Simulations!$J31))</f>
        <v>0</v>
      </c>
      <c r="X31" s="0" t="n">
        <f aca="false">IF(OR(NOT(AND(Simulations!$A31&lt;&gt;"",OR(Simulations!$CN31&lt;&gt;"",N(Simulations!$CP31)&gt;0))),N(Simulations!$CO31)&lt;=0),0,SQRT(2*Simulations!$CO31*1000000/(IF(Simulations!$J31="",1000,Simulations!$J31)*1000))/MIN(IF(Simulations!$T31="",200,Simulations!$T31),IF(Simulations!$U31="",200,Simulations!$U31),IF(Simulations!$V31="",200,Simulations!$V31)))</f>
        <v>0</v>
      </c>
      <c r="Y31" s="0" t="n">
        <f aca="false">IF(AND(Simulations!$A31&lt;&gt;"",OR(Simulations!$CN31&lt;&gt;"",N(Simulations!$CP31)&gt;0)),1,0)</f>
        <v>0</v>
      </c>
      <c r="Z31" s="0" t="n">
        <f aca="false">IF(OR(NOT(AND(Simulations!$A31&lt;&gt;"",OR(Simulations!$DF31&lt;&gt;"",N(Simulations!$DH31)&gt;0))),N(Simulations!$DI31)&lt;=0,N(Simulations!$DH31)&lt;=0,1&gt;N(IF(Simulations!$O31="",1,Simulations!$O31))),0,IF(Simulations!$DI31&lt;IF(Simulations!$J31="",1000,Simulations!$J31),Simulations!$DH31/(IF(Simulations!$G31="",5000,Simulations!$G31)*IF(Simulations!$H31="",5000,Simulations!$H31)*IF(IF(Simulations!$I31="",5000,Simulations!$I31)&gt;0,IF(Simulations!$I31="",5000,Simulations!$I31),1))*Simulations!$DI31*(PI()/2*IF(Simulations!$T31="",200,Simulations!$T31)^2*IF(IF(Simulations!$I31="",5000,Simulations!$I31)&gt;0,SQRT(PI()/2)*IF(Simulations!$W31="",1000,Simulations!$W31),1)),Simulations!$DH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T31="",200,Simulations!$T31)^2*IF(Simulations!$W31="",1000,Simulations!$W31)/2^1.5*(2/3*LN(Simulations!$DI31/IF(Simulations!$J31="",1000,Simulations!$J31))^1.5+SQRT(LN(Simulations!$DI31/IF(Simulations!$J31="",1000,Simulations!$J31)))+Simulations!$DI31/IF(Simulations!$J31="",1000,Simulations!$J31)*SQRT(PI())/2*ERFC(SQRT(LN(Simulations!$DI31/IF(Simulations!$J31="",1000,Simulations!$J31))))),PI()*IF(Simulations!$T31="",200,Simulations!$T31)^2/2*(LN(Simulations!$DI31/IF(Simulations!$J31="",1000,Simulations!$J31))+1))))</f>
        <v>0</v>
      </c>
      <c r="AA31" s="0" t="n">
        <f aca="false">IF(OR(NOT(AND(Simulations!$A31&lt;&gt;"",OR(Simulations!$DF31&lt;&gt;"",N(Simulations!$DH31)&gt;0))),N(Simulations!$DJ31)&lt;=0,N(Simulations!$DH31)&lt;=0,2&gt;N(IF(Simulations!$O31="",1,Simulations!$O31))),0,IF(Simulations!$DJ31&lt;IF(Simulations!$J31="",1000,Simulations!$J31),Simulations!$DH31/(IF(Simulations!$G31="",5000,Simulations!$G31)*IF(Simulations!$H31="",5000,Simulations!$H31)*IF(IF(Simulations!$I31="",5000,Simulations!$I31)&gt;0,IF(Simulations!$I31="",5000,Simulations!$I31),1))*Simulations!$DJ31*(PI()/2*IF(Simulations!$U31="",200,Simulations!$U31)^2*IF(IF(Simulations!$I31="",5000,Simulations!$I31)&gt;0,SQRT(PI()/2)*IF(Simulations!$X31="",1000,Simulations!$X31),1)),Simulations!$DH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U31="",200,Simulations!$U31)^2*IF(Simulations!$X31="",1000,Simulations!$X31)/2^1.5*(2/3*LN(Simulations!$DJ31/IF(Simulations!$J31="",1000,Simulations!$J31))^1.5+SQRT(LN(Simulations!$DJ31/IF(Simulations!$J31="",1000,Simulations!$J31)))+Simulations!$DJ31/IF(Simulations!$J31="",1000,Simulations!$J31)*SQRT(PI())/2*ERFC(SQRT(LN(Simulations!$DJ31/IF(Simulations!$J31="",1000,Simulations!$J31))))),PI()*IF(Simulations!$U31="",200,Simulations!$U31)^2/2*(LN(Simulations!$DJ31/IF(Simulations!$J31="",1000,Simulations!$J31))+1))))</f>
        <v>0</v>
      </c>
      <c r="AB31" s="0" t="n">
        <f aca="false">IF(OR(NOT(AND(Simulations!$A31&lt;&gt;"",OR(Simulations!$DF31&lt;&gt;"",N(Simulations!$DH31)&gt;0))),N(Simulations!$DK31)&lt;=0,N(Simulations!$DH31)&lt;=0,3&gt;N(IF(Simulations!$O31="",1,Simulations!$O31))),0,IF(Simulations!$DK31&lt;IF(Simulations!$J31="",1000,Simulations!$J31),Simulations!$DH31/(IF(Simulations!$G31="",5000,Simulations!$G31)*IF(Simulations!$H31="",5000,Simulations!$H31)*IF(IF(Simulations!$I31="",5000,Simulations!$I31)&gt;0,IF(Simulations!$I31="",5000,Simulations!$I31),1))*Simulations!$DK31*(PI()/2*IF(Simulations!$V31="",200,Simulations!$V31)^2*IF(IF(Simulations!$I31="",5000,Simulations!$I31)&gt;0,SQRT(PI()/2)*IF(Simulations!$Y31="",1000,Simulations!$Y31),1)),Simulations!$DH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V31="",200,Simulations!$V31)^2*IF(Simulations!$Y31="",1000,Simulations!$Y31)/2^1.5*(2/3*LN(Simulations!$DK31/IF(Simulations!$J31="",1000,Simulations!$J31))^1.5+SQRT(LN(Simulations!$DK31/IF(Simulations!$J31="",1000,Simulations!$J31)))+Simulations!$DK31/IF(Simulations!$J31="",1000,Simulations!$J31)*SQRT(PI())/2*ERFC(SQRT(LN(Simulations!$DK31/IF(Simulations!$J31="",1000,Simulations!$J31))))),PI()*IF(Simulations!$V31="",200,Simulations!$V31)^2/2*(LN(Simulations!$DK31/IF(Simulations!$J31="",1000,Simulations!$J31))+1))))</f>
        <v>0</v>
      </c>
      <c r="AC31" s="0" t="n">
        <f aca="false">IF(NOT(AND(Simulations!$A31&lt;&gt;"",OR(Simulations!$DF31&lt;&gt;"",N(Simulations!$DH31)&gt;0))),0,MAX(N(Simulations!$DI31),N(Simulations!$DJ31),N(Simulations!$DK31))/IF(Simulations!$J31="",1000,Simulations!$J31))</f>
        <v>0</v>
      </c>
      <c r="AD31" s="0" t="n">
        <f aca="false">IF(OR(NOT(AND(Simulations!$A31&lt;&gt;"",OR(Simulations!$DF31&lt;&gt;"",N(Simulations!$DH31)&gt;0))),N(Simulations!$DG31)&lt;=0),0,SQRT(2*Simulations!$DG31*1000000/(IF(Simulations!$J31="",1000,Simulations!$J31)*1000))/MIN(IF(Simulations!$T31="",200,Simulations!$T31),IF(Simulations!$U31="",200,Simulations!$U31),IF(Simulations!$V31="",200,Simulations!$V31)))</f>
        <v>0</v>
      </c>
      <c r="AE31" s="0" t="n">
        <f aca="false">IF(AND(Simulations!$A31&lt;&gt;"",OR(Simulations!$DF31&lt;&gt;"",N(Simulations!$DH31)&gt;0)),1,0)</f>
        <v>0</v>
      </c>
      <c r="AF31" s="0" t="n">
        <f aca="false">IF(OR(NOT(AND(Simulations!$A31&lt;&gt;"",OR(Simulations!$DX31&lt;&gt;"",N(Simulations!$DZ31)&gt;0))),N(Simulations!$EA31)&lt;=0,N(Simulations!$DZ31)&lt;=0,1&gt;N(IF(Simulations!$O31="",1,Simulations!$O31))),0,IF(Simulations!$EA31&lt;IF(Simulations!$J31="",1000,Simulations!$J31),Simulations!$DZ31/(IF(Simulations!$G31="",5000,Simulations!$G31)*IF(Simulations!$H31="",5000,Simulations!$H31)*IF(IF(Simulations!$I31="",5000,Simulations!$I31)&gt;0,IF(Simulations!$I31="",5000,Simulations!$I31),1))*Simulations!$EA31*(PI()/2*IF(Simulations!$T31="",200,Simulations!$T31)^2*IF(IF(Simulations!$I31="",5000,Simulations!$I31)&gt;0,SQRT(PI()/2)*IF(Simulations!$W31="",1000,Simulations!$W31),1)),Simulations!$DZ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T31="",200,Simulations!$T31)^2*IF(Simulations!$W31="",1000,Simulations!$W31)/2^1.5*(2/3*LN(Simulations!$EA31/IF(Simulations!$J31="",1000,Simulations!$J31))^1.5+SQRT(LN(Simulations!$EA31/IF(Simulations!$J31="",1000,Simulations!$J31)))+Simulations!$EA31/IF(Simulations!$J31="",1000,Simulations!$J31)*SQRT(PI())/2*ERFC(SQRT(LN(Simulations!$EA31/IF(Simulations!$J31="",1000,Simulations!$J31))))),PI()*IF(Simulations!$T31="",200,Simulations!$T31)^2/2*(LN(Simulations!$EA31/IF(Simulations!$J31="",1000,Simulations!$J31))+1))))</f>
        <v>0</v>
      </c>
      <c r="AG31" s="0" t="n">
        <f aca="false">IF(OR(NOT(AND(Simulations!$A31&lt;&gt;"",OR(Simulations!$DX31&lt;&gt;"",N(Simulations!$DZ31)&gt;0))),N(Simulations!$EB31)&lt;=0,N(Simulations!$DZ31)&lt;=0,2&gt;N(IF(Simulations!$O31="",1,Simulations!$O31))),0,IF(Simulations!$EB31&lt;IF(Simulations!$J31="",1000,Simulations!$J31),Simulations!$DZ31/(IF(Simulations!$G31="",5000,Simulations!$G31)*IF(Simulations!$H31="",5000,Simulations!$H31)*IF(IF(Simulations!$I31="",5000,Simulations!$I31)&gt;0,IF(Simulations!$I31="",5000,Simulations!$I31),1))*Simulations!$EB31*(PI()/2*IF(Simulations!$U31="",200,Simulations!$U31)^2*IF(IF(Simulations!$I31="",5000,Simulations!$I31)&gt;0,SQRT(PI()/2)*IF(Simulations!$X31="",1000,Simulations!$X31),1)),Simulations!$DZ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U31="",200,Simulations!$U31)^2*IF(Simulations!$X31="",1000,Simulations!$X31)/2^1.5*(2/3*LN(Simulations!$EB31/IF(Simulations!$J31="",1000,Simulations!$J31))^1.5+SQRT(LN(Simulations!$EB31/IF(Simulations!$J31="",1000,Simulations!$J31)))+Simulations!$EB31/IF(Simulations!$J31="",1000,Simulations!$J31)*SQRT(PI())/2*ERFC(SQRT(LN(Simulations!$EB31/IF(Simulations!$J31="",1000,Simulations!$J31))))),PI()*IF(Simulations!$U31="",200,Simulations!$U31)^2/2*(LN(Simulations!$EB31/IF(Simulations!$J31="",1000,Simulations!$J31))+1))))</f>
        <v>0</v>
      </c>
      <c r="AH31" s="0" t="n">
        <f aca="false">IF(OR(NOT(AND(Simulations!$A31&lt;&gt;"",OR(Simulations!$DX31&lt;&gt;"",N(Simulations!$DZ31)&gt;0))),N(Simulations!$EC31)&lt;=0,N(Simulations!$DZ31)&lt;=0,3&gt;N(IF(Simulations!$O31="",1,Simulations!$O31))),0,IF(Simulations!$EC31&lt;IF(Simulations!$J31="",1000,Simulations!$J31),Simulations!$DZ31/(IF(Simulations!$G31="",5000,Simulations!$G31)*IF(Simulations!$H31="",5000,Simulations!$H31)*IF(IF(Simulations!$I31="",5000,Simulations!$I31)&gt;0,IF(Simulations!$I31="",5000,Simulations!$I31),1))*Simulations!$EC31*(PI()/2*IF(Simulations!$V31="",200,Simulations!$V31)^2*IF(IF(Simulations!$I31="",5000,Simulations!$I31)&gt;0,SQRT(PI()/2)*IF(Simulations!$Y31="",1000,Simulations!$Y31),1)),Simulations!$DZ31/(IF(Simulations!$G31="",5000,Simulations!$G31)*IF(Simulations!$H31="",5000,Simulations!$H31)*IF(IF(Simulations!$I31="",5000,Simulations!$I31)&gt;0,IF(Simulations!$I31="",5000,Simulations!$I31),1))*IF(Simulations!$J31="",1000,Simulations!$J31)*IF(IF(Simulations!$I31="",5000,Simulations!$I31)&gt;0,2*PI()*IF(Simulations!$V31="",200,Simulations!$V31)^2*IF(Simulations!$Y31="",1000,Simulations!$Y31)/2^1.5*(2/3*LN(Simulations!$EC31/IF(Simulations!$J31="",1000,Simulations!$J31))^1.5+SQRT(LN(Simulations!$EC31/IF(Simulations!$J31="",1000,Simulations!$J31)))+Simulations!$EC31/IF(Simulations!$J31="",1000,Simulations!$J31)*SQRT(PI())/2*ERFC(SQRT(LN(Simulations!$EC31/IF(Simulations!$J31="",1000,Simulations!$J31))))),PI()*IF(Simulations!$V31="",200,Simulations!$V31)^2/2*(LN(Simulations!$EC31/IF(Simulations!$J31="",1000,Simulations!$J31))+1))))</f>
        <v>0</v>
      </c>
      <c r="AI31" s="0" t="n">
        <f aca="false">IF(NOT(AND(Simulations!$A31&lt;&gt;"",OR(Simulations!$DX31&lt;&gt;"",N(Simulations!$DZ31)&gt;0))),0,MAX(N(Simulations!$EA31),N(Simulations!$EB31),N(Simulations!$EC31))/IF(Simulations!$J31="",1000,Simulations!$J31))</f>
        <v>0</v>
      </c>
      <c r="AJ31" s="0" t="n">
        <f aca="false">IF(OR(NOT(AND(Simulations!$A31&lt;&gt;"",OR(Simulations!$DX31&lt;&gt;"",N(Simulations!$DZ31)&gt;0))),N(Simulations!$DY31)&lt;=0),0,SQRT(2*Simulations!$DY31*1000000/(IF(Simulations!$J31="",1000,Simulations!$J31)*1000))/MIN(IF(Simulations!$T31="",200,Simulations!$T31),IF(Simulations!$U31="",200,Simulations!$U31),IF(Simulations!$V31="",200,Simulations!$V31)))</f>
        <v>0</v>
      </c>
      <c r="AK31" s="0" t="n">
        <f aca="false">IF(AND(Simulations!$A31&lt;&gt;"",OR(Simulations!$DX31&lt;&gt;"",N(Simulations!$DZ31)&gt;0)),1,0)</f>
        <v>0</v>
      </c>
    </row>
    <row r="32" customFormat="false" ht="15" hidden="false" customHeight="false" outlineLevel="0" collapsed="false">
      <c r="B32" s="0" t="n">
        <f aca="false">IF(OR(NOT(AND(Simulations!$A32&lt;&gt;"",OR(Simulations!$AL32&lt;&gt;"",N(Simulations!$AN32)&gt;0))),N(Simulations!$AO32)&lt;=0,N(Simulations!$AN32)&lt;=0,1&gt;N(IF(Simulations!$O32="",1,Simulations!$O32))),0,IF(Simulations!$AO32&lt;IF(Simulations!$J32="",1000,Simulations!$J32),Simulations!$AN32/(IF(Simulations!$G32="",5000,Simulations!$G32)*IF(Simulations!$H32="",5000,Simulations!$H32)*IF(IF(Simulations!$I32="",5000,Simulations!$I32)&gt;0,IF(Simulations!$I32="",5000,Simulations!$I32),1))*Simulations!$AO32*(PI()/2*IF(Simulations!$T32="",200,Simulations!$T32)^2*IF(IF(Simulations!$I32="",5000,Simulations!$I32)&gt;0,SQRT(PI()/2)*IF(Simulations!$W32="",1000,Simulations!$W32),1)),Simulations!$AN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T32="",200,Simulations!$T32)^2*IF(Simulations!$W32="",1000,Simulations!$W32)/2^1.5*(2/3*LN(Simulations!$AO32/IF(Simulations!$J32="",1000,Simulations!$J32))^1.5+SQRT(LN(Simulations!$AO32/IF(Simulations!$J32="",1000,Simulations!$J32)))+Simulations!$AO32/IF(Simulations!$J32="",1000,Simulations!$J32)*SQRT(PI())/2*ERFC(SQRT(LN(Simulations!$AO32/IF(Simulations!$J32="",1000,Simulations!$J32))))),PI()*IF(Simulations!$T32="",200,Simulations!$T32)^2/2*(LN(Simulations!$AO32/IF(Simulations!$J32="",1000,Simulations!$J32))+1))))</f>
        <v>0</v>
      </c>
      <c r="C32" s="0" t="n">
        <f aca="false">IF(OR(NOT(AND(Simulations!$A32&lt;&gt;"",OR(Simulations!$AL32&lt;&gt;"",N(Simulations!$AN32)&gt;0))),N(Simulations!$AP32)&lt;=0,N(Simulations!$AN32)&lt;=0,2&gt;N(IF(Simulations!$O32="",1,Simulations!$O32))),0,IF(Simulations!$AP32&lt;IF(Simulations!$J32="",1000,Simulations!$J32),Simulations!$AN32/(IF(Simulations!$G32="",5000,Simulations!$G32)*IF(Simulations!$H32="",5000,Simulations!$H32)*IF(IF(Simulations!$I32="",5000,Simulations!$I32)&gt;0,IF(Simulations!$I32="",5000,Simulations!$I32),1))*Simulations!$AP32*(PI()/2*IF(Simulations!$U32="",200,Simulations!$U32)^2*IF(IF(Simulations!$I32="",5000,Simulations!$I32)&gt;0,SQRT(PI()/2)*IF(Simulations!$X32="",1000,Simulations!$X32),1)),Simulations!$AN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U32="",200,Simulations!$U32)^2*IF(Simulations!$X32="",1000,Simulations!$X32)/2^1.5*(2/3*LN(Simulations!$AP32/IF(Simulations!$J32="",1000,Simulations!$J32))^1.5+SQRT(LN(Simulations!$AP32/IF(Simulations!$J32="",1000,Simulations!$J32)))+Simulations!$AP32/IF(Simulations!$J32="",1000,Simulations!$J32)*SQRT(PI())/2*ERFC(SQRT(LN(Simulations!$AP32/IF(Simulations!$J32="",1000,Simulations!$J32))))),PI()*IF(Simulations!$U32="",200,Simulations!$U32)^2/2*(LN(Simulations!$AP32/IF(Simulations!$J32="",1000,Simulations!$J32))+1))))</f>
        <v>0</v>
      </c>
      <c r="D32" s="0" t="n">
        <f aca="false">IF(OR(NOT(AND(Simulations!$A32&lt;&gt;"",OR(Simulations!$AL32&lt;&gt;"",N(Simulations!$AN32)&gt;0))),N(Simulations!$AQ32)&lt;=0,N(Simulations!$AN32)&lt;=0,3&gt;N(IF(Simulations!$O32="",1,Simulations!$O32))),0,IF(Simulations!$AQ32&lt;IF(Simulations!$J32="",1000,Simulations!$J32),Simulations!$AN32/(IF(Simulations!$G32="",5000,Simulations!$G32)*IF(Simulations!$H32="",5000,Simulations!$H32)*IF(IF(Simulations!$I32="",5000,Simulations!$I32)&gt;0,IF(Simulations!$I32="",5000,Simulations!$I32),1))*Simulations!$AQ32*(PI()/2*IF(Simulations!$V32="",200,Simulations!$V32)^2*IF(IF(Simulations!$I32="",5000,Simulations!$I32)&gt;0,SQRT(PI()/2)*IF(Simulations!$Y32="",1000,Simulations!$Y32),1)),Simulations!$AN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V32="",200,Simulations!$V32)^2*IF(Simulations!$Y32="",1000,Simulations!$Y32)/2^1.5*(2/3*LN(Simulations!$AQ32/IF(Simulations!$J32="",1000,Simulations!$J32))^1.5+SQRT(LN(Simulations!$AQ32/IF(Simulations!$J32="",1000,Simulations!$J32)))+Simulations!$AQ32/IF(Simulations!$J32="",1000,Simulations!$J32)*SQRT(PI())/2*ERFC(SQRT(LN(Simulations!$AQ32/IF(Simulations!$J32="",1000,Simulations!$J32))))),PI()*IF(Simulations!$V32="",200,Simulations!$V32)^2/2*(LN(Simulations!$AQ32/IF(Simulations!$J32="",1000,Simulations!$J32))+1))))</f>
        <v>0</v>
      </c>
      <c r="E32" s="0" t="n">
        <f aca="false">IF(NOT(AND(Simulations!$A32&lt;&gt;"",OR(Simulations!$AL32&lt;&gt;"",N(Simulations!$AN32)&gt;0))),0,MAX(N(Simulations!$AO32),N(Simulations!$AP32),N(Simulations!$AQ32))/IF(Simulations!$J32="",1000,Simulations!$J32))</f>
        <v>0</v>
      </c>
      <c r="F32" s="0" t="n">
        <f aca="false">IF(OR(NOT(AND(Simulations!$A32&lt;&gt;"",OR(Simulations!$AL32&lt;&gt;"",N(Simulations!$AN32)&gt;0))),N(Simulations!$AM32)&lt;=0),0,SQRT(2*Simulations!$AM32*1000000/(IF(Simulations!$J32="",1000,Simulations!$J32)*1000))/MIN(IF(Simulations!$T32="",200,Simulations!$T32),IF(Simulations!$U32="",200,Simulations!$U32),IF(Simulations!$V32="",200,Simulations!$V32)))</f>
        <v>0</v>
      </c>
      <c r="G32" s="0" t="n">
        <f aca="false">IF(AND(Simulations!$A32&lt;&gt;"",OR(Simulations!$AL32&lt;&gt;"",N(Simulations!$AN32)&gt;0)),1,0)</f>
        <v>0</v>
      </c>
      <c r="H32" s="0" t="n">
        <f aca="false">IF(OR(NOT(AND(Simulations!$A32&lt;&gt;"",OR(Simulations!$BD32&lt;&gt;"",N(Simulations!$BF32)&gt;0))),N(Simulations!$BG32)&lt;=0,N(Simulations!$BF32)&lt;=0,1&gt;N(IF(Simulations!$O32="",1,Simulations!$O32))),0,IF(Simulations!$BG32&lt;IF(Simulations!$J32="",1000,Simulations!$J32),Simulations!$BF32/(IF(Simulations!$G32="",5000,Simulations!$G32)*IF(Simulations!$H32="",5000,Simulations!$H32)*IF(IF(Simulations!$I32="",5000,Simulations!$I32)&gt;0,IF(Simulations!$I32="",5000,Simulations!$I32),1))*Simulations!$BG32*(PI()/2*IF(Simulations!$T32="",200,Simulations!$T32)^2*IF(IF(Simulations!$I32="",5000,Simulations!$I32)&gt;0,SQRT(PI()/2)*IF(Simulations!$W32="",1000,Simulations!$W32),1)),Simulations!$BF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T32="",200,Simulations!$T32)^2*IF(Simulations!$W32="",1000,Simulations!$W32)/2^1.5*(2/3*LN(Simulations!$BG32/IF(Simulations!$J32="",1000,Simulations!$J32))^1.5+SQRT(LN(Simulations!$BG32/IF(Simulations!$J32="",1000,Simulations!$J32)))+Simulations!$BG32/IF(Simulations!$J32="",1000,Simulations!$J32)*SQRT(PI())/2*ERFC(SQRT(LN(Simulations!$BG32/IF(Simulations!$J32="",1000,Simulations!$J32))))),PI()*IF(Simulations!$T32="",200,Simulations!$T32)^2/2*(LN(Simulations!$BG32/IF(Simulations!$J32="",1000,Simulations!$J32))+1))))</f>
        <v>0</v>
      </c>
      <c r="I32" s="0" t="n">
        <f aca="false">IF(OR(NOT(AND(Simulations!$A32&lt;&gt;"",OR(Simulations!$BD32&lt;&gt;"",N(Simulations!$BF32)&gt;0))),N(Simulations!$BH32)&lt;=0,N(Simulations!$BF32)&lt;=0,2&gt;N(IF(Simulations!$O32="",1,Simulations!$O32))),0,IF(Simulations!$BH32&lt;IF(Simulations!$J32="",1000,Simulations!$J32),Simulations!$BF32/(IF(Simulations!$G32="",5000,Simulations!$G32)*IF(Simulations!$H32="",5000,Simulations!$H32)*IF(IF(Simulations!$I32="",5000,Simulations!$I32)&gt;0,IF(Simulations!$I32="",5000,Simulations!$I32),1))*Simulations!$BH32*(PI()/2*IF(Simulations!$U32="",200,Simulations!$U32)^2*IF(IF(Simulations!$I32="",5000,Simulations!$I32)&gt;0,SQRT(PI()/2)*IF(Simulations!$X32="",1000,Simulations!$X32),1)),Simulations!$BF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U32="",200,Simulations!$U32)^2*IF(Simulations!$X32="",1000,Simulations!$X32)/2^1.5*(2/3*LN(Simulations!$BH32/IF(Simulations!$J32="",1000,Simulations!$J32))^1.5+SQRT(LN(Simulations!$BH32/IF(Simulations!$J32="",1000,Simulations!$J32)))+Simulations!$BH32/IF(Simulations!$J32="",1000,Simulations!$J32)*SQRT(PI())/2*ERFC(SQRT(LN(Simulations!$BH32/IF(Simulations!$J32="",1000,Simulations!$J32))))),PI()*IF(Simulations!$U32="",200,Simulations!$U32)^2/2*(LN(Simulations!$BH32/IF(Simulations!$J32="",1000,Simulations!$J32))+1))))</f>
        <v>0</v>
      </c>
      <c r="J32" s="0" t="n">
        <f aca="false">IF(OR(NOT(AND(Simulations!$A32&lt;&gt;"",OR(Simulations!$BD32&lt;&gt;"",N(Simulations!$BF32)&gt;0))),N(Simulations!$BI32)&lt;=0,N(Simulations!$BF32)&lt;=0,3&gt;N(IF(Simulations!$O32="",1,Simulations!$O32))),0,IF(Simulations!$BI32&lt;IF(Simulations!$J32="",1000,Simulations!$J32),Simulations!$BF32/(IF(Simulations!$G32="",5000,Simulations!$G32)*IF(Simulations!$H32="",5000,Simulations!$H32)*IF(IF(Simulations!$I32="",5000,Simulations!$I32)&gt;0,IF(Simulations!$I32="",5000,Simulations!$I32),1))*Simulations!$BI32*(PI()/2*IF(Simulations!$V32="",200,Simulations!$V32)^2*IF(IF(Simulations!$I32="",5000,Simulations!$I32)&gt;0,SQRT(PI()/2)*IF(Simulations!$Y32="",1000,Simulations!$Y32),1)),Simulations!$BF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V32="",200,Simulations!$V32)^2*IF(Simulations!$Y32="",1000,Simulations!$Y32)/2^1.5*(2/3*LN(Simulations!$BI32/IF(Simulations!$J32="",1000,Simulations!$J32))^1.5+SQRT(LN(Simulations!$BI32/IF(Simulations!$J32="",1000,Simulations!$J32)))+Simulations!$BI32/IF(Simulations!$J32="",1000,Simulations!$J32)*SQRT(PI())/2*ERFC(SQRT(LN(Simulations!$BI32/IF(Simulations!$J32="",1000,Simulations!$J32))))),PI()*IF(Simulations!$V32="",200,Simulations!$V32)^2/2*(LN(Simulations!$BI32/IF(Simulations!$J32="",1000,Simulations!$J32))+1))))</f>
        <v>0</v>
      </c>
      <c r="K32" s="0" t="n">
        <f aca="false">IF(NOT(AND(Simulations!$A32&lt;&gt;"",OR(Simulations!$BD32&lt;&gt;"",N(Simulations!$BF32)&gt;0))),0,MAX(N(Simulations!$BG32),N(Simulations!$BH32),N(Simulations!$BI32))/IF(Simulations!$J32="",1000,Simulations!$J32))</f>
        <v>0</v>
      </c>
      <c r="L32" s="0" t="n">
        <f aca="false">IF(OR(NOT(AND(Simulations!$A32&lt;&gt;"",OR(Simulations!$BD32&lt;&gt;"",N(Simulations!$BF32)&gt;0))),N(Simulations!$BE32)&lt;=0),0,SQRT(2*Simulations!$BE32*1000000/(IF(Simulations!$J32="",1000,Simulations!$J32)*1000))/MIN(IF(Simulations!$T32="",200,Simulations!$T32),IF(Simulations!$U32="",200,Simulations!$U32),IF(Simulations!$V32="",200,Simulations!$V32)))</f>
        <v>0</v>
      </c>
      <c r="M32" s="0" t="n">
        <f aca="false">IF(AND(Simulations!$A32&lt;&gt;"",OR(Simulations!$BD32&lt;&gt;"",N(Simulations!$BF32)&gt;0)),1,0)</f>
        <v>0</v>
      </c>
      <c r="N32" s="0" t="n">
        <f aca="false">IF(OR(NOT(AND(Simulations!$A32&lt;&gt;"",OR(Simulations!$BV32&lt;&gt;"",N(Simulations!$BX32)&gt;0))),N(Simulations!$BY32)&lt;=0,N(Simulations!$BX32)&lt;=0,1&gt;N(IF(Simulations!$O32="",1,Simulations!$O32))),0,IF(Simulations!$BY32&lt;IF(Simulations!$J32="",1000,Simulations!$J32),Simulations!$BX32/(IF(Simulations!$G32="",5000,Simulations!$G32)*IF(Simulations!$H32="",5000,Simulations!$H32)*IF(IF(Simulations!$I32="",5000,Simulations!$I32)&gt;0,IF(Simulations!$I32="",5000,Simulations!$I32),1))*Simulations!$BY32*(PI()/2*IF(Simulations!$T32="",200,Simulations!$T32)^2*IF(IF(Simulations!$I32="",5000,Simulations!$I32)&gt;0,SQRT(PI()/2)*IF(Simulations!$W32="",1000,Simulations!$W32),1)),Simulations!$BX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T32="",200,Simulations!$T32)^2*IF(Simulations!$W32="",1000,Simulations!$W32)/2^1.5*(2/3*LN(Simulations!$BY32/IF(Simulations!$J32="",1000,Simulations!$J32))^1.5+SQRT(LN(Simulations!$BY32/IF(Simulations!$J32="",1000,Simulations!$J32)))+Simulations!$BY32/IF(Simulations!$J32="",1000,Simulations!$J32)*SQRT(PI())/2*ERFC(SQRT(LN(Simulations!$BY32/IF(Simulations!$J32="",1000,Simulations!$J32))))),PI()*IF(Simulations!$T32="",200,Simulations!$T32)^2/2*(LN(Simulations!$BY32/IF(Simulations!$J32="",1000,Simulations!$J32))+1))))</f>
        <v>0</v>
      </c>
      <c r="O32" s="0" t="n">
        <f aca="false">IF(OR(NOT(AND(Simulations!$A32&lt;&gt;"",OR(Simulations!$BV32&lt;&gt;"",N(Simulations!$BX32)&gt;0))),N(Simulations!$BZ32)&lt;=0,N(Simulations!$BX32)&lt;=0,2&gt;N(IF(Simulations!$O32="",1,Simulations!$O32))),0,IF(Simulations!$BZ32&lt;IF(Simulations!$J32="",1000,Simulations!$J32),Simulations!$BX32/(IF(Simulations!$G32="",5000,Simulations!$G32)*IF(Simulations!$H32="",5000,Simulations!$H32)*IF(IF(Simulations!$I32="",5000,Simulations!$I32)&gt;0,IF(Simulations!$I32="",5000,Simulations!$I32),1))*Simulations!$BZ32*(PI()/2*IF(Simulations!$U32="",200,Simulations!$U32)^2*IF(IF(Simulations!$I32="",5000,Simulations!$I32)&gt;0,SQRT(PI()/2)*IF(Simulations!$X32="",1000,Simulations!$X32),1)),Simulations!$BX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U32="",200,Simulations!$U32)^2*IF(Simulations!$X32="",1000,Simulations!$X32)/2^1.5*(2/3*LN(Simulations!$BZ32/IF(Simulations!$J32="",1000,Simulations!$J32))^1.5+SQRT(LN(Simulations!$BZ32/IF(Simulations!$J32="",1000,Simulations!$J32)))+Simulations!$BZ32/IF(Simulations!$J32="",1000,Simulations!$J32)*SQRT(PI())/2*ERFC(SQRT(LN(Simulations!$BZ32/IF(Simulations!$J32="",1000,Simulations!$J32))))),PI()*IF(Simulations!$U32="",200,Simulations!$U32)^2/2*(LN(Simulations!$BZ32/IF(Simulations!$J32="",1000,Simulations!$J32))+1))))</f>
        <v>0</v>
      </c>
      <c r="P32" s="0" t="n">
        <f aca="false">IF(OR(NOT(AND(Simulations!$A32&lt;&gt;"",OR(Simulations!$BV32&lt;&gt;"",N(Simulations!$BX32)&gt;0))),N(Simulations!$CA32)&lt;=0,N(Simulations!$BX32)&lt;=0,3&gt;N(IF(Simulations!$O32="",1,Simulations!$O32))),0,IF(Simulations!$CA32&lt;IF(Simulations!$J32="",1000,Simulations!$J32),Simulations!$BX32/(IF(Simulations!$G32="",5000,Simulations!$G32)*IF(Simulations!$H32="",5000,Simulations!$H32)*IF(IF(Simulations!$I32="",5000,Simulations!$I32)&gt;0,IF(Simulations!$I32="",5000,Simulations!$I32),1))*Simulations!$CA32*(PI()/2*IF(Simulations!$V32="",200,Simulations!$V32)^2*IF(IF(Simulations!$I32="",5000,Simulations!$I32)&gt;0,SQRT(PI()/2)*IF(Simulations!$Y32="",1000,Simulations!$Y32),1)),Simulations!$BX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V32="",200,Simulations!$V32)^2*IF(Simulations!$Y32="",1000,Simulations!$Y32)/2^1.5*(2/3*LN(Simulations!$CA32/IF(Simulations!$J32="",1000,Simulations!$J32))^1.5+SQRT(LN(Simulations!$CA32/IF(Simulations!$J32="",1000,Simulations!$J32)))+Simulations!$CA32/IF(Simulations!$J32="",1000,Simulations!$J32)*SQRT(PI())/2*ERFC(SQRT(LN(Simulations!$CA32/IF(Simulations!$J32="",1000,Simulations!$J32))))),PI()*IF(Simulations!$V32="",200,Simulations!$V32)^2/2*(LN(Simulations!$CA32/IF(Simulations!$J32="",1000,Simulations!$J32))+1))))</f>
        <v>0</v>
      </c>
      <c r="Q32" s="0" t="n">
        <f aca="false">IF(NOT(AND(Simulations!$A32&lt;&gt;"",OR(Simulations!$BV32&lt;&gt;"",N(Simulations!$BX32)&gt;0))),0,MAX(N(Simulations!$BY32),N(Simulations!$BZ32),N(Simulations!$CA32))/IF(Simulations!$J32="",1000,Simulations!$J32))</f>
        <v>0</v>
      </c>
      <c r="R32" s="0" t="n">
        <f aca="false">IF(OR(NOT(AND(Simulations!$A32&lt;&gt;"",OR(Simulations!$BV32&lt;&gt;"",N(Simulations!$BX32)&gt;0))),N(Simulations!$BW32)&lt;=0),0,SQRT(2*Simulations!$BW32*1000000/(IF(Simulations!$J32="",1000,Simulations!$J32)*1000))/MIN(IF(Simulations!$T32="",200,Simulations!$T32),IF(Simulations!$U32="",200,Simulations!$U32),IF(Simulations!$V32="",200,Simulations!$V32)))</f>
        <v>0</v>
      </c>
      <c r="S32" s="0" t="n">
        <f aca="false">IF(AND(Simulations!$A32&lt;&gt;"",OR(Simulations!$BV32&lt;&gt;"",N(Simulations!$BX32)&gt;0)),1,0)</f>
        <v>0</v>
      </c>
      <c r="T32" s="0" t="n">
        <f aca="false">IF(OR(NOT(AND(Simulations!$A32&lt;&gt;"",OR(Simulations!$CN32&lt;&gt;"",N(Simulations!$CP32)&gt;0))),N(Simulations!$CQ32)&lt;=0,N(Simulations!$CP32)&lt;=0,1&gt;N(IF(Simulations!$O32="",1,Simulations!$O32))),0,IF(Simulations!$CQ32&lt;IF(Simulations!$J32="",1000,Simulations!$J32),Simulations!$CP32/(IF(Simulations!$G32="",5000,Simulations!$G32)*IF(Simulations!$H32="",5000,Simulations!$H32)*IF(IF(Simulations!$I32="",5000,Simulations!$I32)&gt;0,IF(Simulations!$I32="",5000,Simulations!$I32),1))*Simulations!$CQ32*(PI()/2*IF(Simulations!$T32="",200,Simulations!$T32)^2*IF(IF(Simulations!$I32="",5000,Simulations!$I32)&gt;0,SQRT(PI()/2)*IF(Simulations!$W32="",1000,Simulations!$W32),1)),Simulations!$CP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T32="",200,Simulations!$T32)^2*IF(Simulations!$W32="",1000,Simulations!$W32)/2^1.5*(2/3*LN(Simulations!$CQ32/IF(Simulations!$J32="",1000,Simulations!$J32))^1.5+SQRT(LN(Simulations!$CQ32/IF(Simulations!$J32="",1000,Simulations!$J32)))+Simulations!$CQ32/IF(Simulations!$J32="",1000,Simulations!$J32)*SQRT(PI())/2*ERFC(SQRT(LN(Simulations!$CQ32/IF(Simulations!$J32="",1000,Simulations!$J32))))),PI()*IF(Simulations!$T32="",200,Simulations!$T32)^2/2*(LN(Simulations!$CQ32/IF(Simulations!$J32="",1000,Simulations!$J32))+1))))</f>
        <v>0</v>
      </c>
      <c r="U32" s="0" t="n">
        <f aca="false">IF(OR(NOT(AND(Simulations!$A32&lt;&gt;"",OR(Simulations!$CN32&lt;&gt;"",N(Simulations!$CP32)&gt;0))),N(Simulations!$CR32)&lt;=0,N(Simulations!$CP32)&lt;=0,2&gt;N(IF(Simulations!$O32="",1,Simulations!$O32))),0,IF(Simulations!$CR32&lt;IF(Simulations!$J32="",1000,Simulations!$J32),Simulations!$CP32/(IF(Simulations!$G32="",5000,Simulations!$G32)*IF(Simulations!$H32="",5000,Simulations!$H32)*IF(IF(Simulations!$I32="",5000,Simulations!$I32)&gt;0,IF(Simulations!$I32="",5000,Simulations!$I32),1))*Simulations!$CR32*(PI()/2*IF(Simulations!$U32="",200,Simulations!$U32)^2*IF(IF(Simulations!$I32="",5000,Simulations!$I32)&gt;0,SQRT(PI()/2)*IF(Simulations!$X32="",1000,Simulations!$X32),1)),Simulations!$CP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U32="",200,Simulations!$U32)^2*IF(Simulations!$X32="",1000,Simulations!$X32)/2^1.5*(2/3*LN(Simulations!$CR32/IF(Simulations!$J32="",1000,Simulations!$J32))^1.5+SQRT(LN(Simulations!$CR32/IF(Simulations!$J32="",1000,Simulations!$J32)))+Simulations!$CR32/IF(Simulations!$J32="",1000,Simulations!$J32)*SQRT(PI())/2*ERFC(SQRT(LN(Simulations!$CR32/IF(Simulations!$J32="",1000,Simulations!$J32))))),PI()*IF(Simulations!$U32="",200,Simulations!$U32)^2/2*(LN(Simulations!$CR32/IF(Simulations!$J32="",1000,Simulations!$J32))+1))))</f>
        <v>0</v>
      </c>
      <c r="V32" s="0" t="n">
        <f aca="false">IF(OR(NOT(AND(Simulations!$A32&lt;&gt;"",OR(Simulations!$CN32&lt;&gt;"",N(Simulations!$CP32)&gt;0))),N(Simulations!$CS32)&lt;=0,N(Simulations!$CP32)&lt;=0,3&gt;N(IF(Simulations!$O32="",1,Simulations!$O32))),0,IF(Simulations!$CS32&lt;IF(Simulations!$J32="",1000,Simulations!$J32),Simulations!$CP32/(IF(Simulations!$G32="",5000,Simulations!$G32)*IF(Simulations!$H32="",5000,Simulations!$H32)*IF(IF(Simulations!$I32="",5000,Simulations!$I32)&gt;0,IF(Simulations!$I32="",5000,Simulations!$I32),1))*Simulations!$CS32*(PI()/2*IF(Simulations!$V32="",200,Simulations!$V32)^2*IF(IF(Simulations!$I32="",5000,Simulations!$I32)&gt;0,SQRT(PI()/2)*IF(Simulations!$Y32="",1000,Simulations!$Y32),1)),Simulations!$CP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V32="",200,Simulations!$V32)^2*IF(Simulations!$Y32="",1000,Simulations!$Y32)/2^1.5*(2/3*LN(Simulations!$CS32/IF(Simulations!$J32="",1000,Simulations!$J32))^1.5+SQRT(LN(Simulations!$CS32/IF(Simulations!$J32="",1000,Simulations!$J32)))+Simulations!$CS32/IF(Simulations!$J32="",1000,Simulations!$J32)*SQRT(PI())/2*ERFC(SQRT(LN(Simulations!$CS32/IF(Simulations!$J32="",1000,Simulations!$J32))))),PI()*IF(Simulations!$V32="",200,Simulations!$V32)^2/2*(LN(Simulations!$CS32/IF(Simulations!$J32="",1000,Simulations!$J32))+1))))</f>
        <v>0</v>
      </c>
      <c r="W32" s="0" t="n">
        <f aca="false">IF(NOT(AND(Simulations!$A32&lt;&gt;"",OR(Simulations!$CN32&lt;&gt;"",N(Simulations!$CP32)&gt;0))),0,MAX(N(Simulations!$CQ32),N(Simulations!$CR32),N(Simulations!$CS32))/IF(Simulations!$J32="",1000,Simulations!$J32))</f>
        <v>0</v>
      </c>
      <c r="X32" s="0" t="n">
        <f aca="false">IF(OR(NOT(AND(Simulations!$A32&lt;&gt;"",OR(Simulations!$CN32&lt;&gt;"",N(Simulations!$CP32)&gt;0))),N(Simulations!$CO32)&lt;=0),0,SQRT(2*Simulations!$CO32*1000000/(IF(Simulations!$J32="",1000,Simulations!$J32)*1000))/MIN(IF(Simulations!$T32="",200,Simulations!$T32),IF(Simulations!$U32="",200,Simulations!$U32),IF(Simulations!$V32="",200,Simulations!$V32)))</f>
        <v>0</v>
      </c>
      <c r="Y32" s="0" t="n">
        <f aca="false">IF(AND(Simulations!$A32&lt;&gt;"",OR(Simulations!$CN32&lt;&gt;"",N(Simulations!$CP32)&gt;0)),1,0)</f>
        <v>0</v>
      </c>
      <c r="Z32" s="0" t="n">
        <f aca="false">IF(OR(NOT(AND(Simulations!$A32&lt;&gt;"",OR(Simulations!$DF32&lt;&gt;"",N(Simulations!$DH32)&gt;0))),N(Simulations!$DI32)&lt;=0,N(Simulations!$DH32)&lt;=0,1&gt;N(IF(Simulations!$O32="",1,Simulations!$O32))),0,IF(Simulations!$DI32&lt;IF(Simulations!$J32="",1000,Simulations!$J32),Simulations!$DH32/(IF(Simulations!$G32="",5000,Simulations!$G32)*IF(Simulations!$H32="",5000,Simulations!$H32)*IF(IF(Simulations!$I32="",5000,Simulations!$I32)&gt;0,IF(Simulations!$I32="",5000,Simulations!$I32),1))*Simulations!$DI32*(PI()/2*IF(Simulations!$T32="",200,Simulations!$T32)^2*IF(IF(Simulations!$I32="",5000,Simulations!$I32)&gt;0,SQRT(PI()/2)*IF(Simulations!$W32="",1000,Simulations!$W32),1)),Simulations!$DH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T32="",200,Simulations!$T32)^2*IF(Simulations!$W32="",1000,Simulations!$W32)/2^1.5*(2/3*LN(Simulations!$DI32/IF(Simulations!$J32="",1000,Simulations!$J32))^1.5+SQRT(LN(Simulations!$DI32/IF(Simulations!$J32="",1000,Simulations!$J32)))+Simulations!$DI32/IF(Simulations!$J32="",1000,Simulations!$J32)*SQRT(PI())/2*ERFC(SQRT(LN(Simulations!$DI32/IF(Simulations!$J32="",1000,Simulations!$J32))))),PI()*IF(Simulations!$T32="",200,Simulations!$T32)^2/2*(LN(Simulations!$DI32/IF(Simulations!$J32="",1000,Simulations!$J32))+1))))</f>
        <v>0</v>
      </c>
      <c r="AA32" s="0" t="n">
        <f aca="false">IF(OR(NOT(AND(Simulations!$A32&lt;&gt;"",OR(Simulations!$DF32&lt;&gt;"",N(Simulations!$DH32)&gt;0))),N(Simulations!$DJ32)&lt;=0,N(Simulations!$DH32)&lt;=0,2&gt;N(IF(Simulations!$O32="",1,Simulations!$O32))),0,IF(Simulations!$DJ32&lt;IF(Simulations!$J32="",1000,Simulations!$J32),Simulations!$DH32/(IF(Simulations!$G32="",5000,Simulations!$G32)*IF(Simulations!$H32="",5000,Simulations!$H32)*IF(IF(Simulations!$I32="",5000,Simulations!$I32)&gt;0,IF(Simulations!$I32="",5000,Simulations!$I32),1))*Simulations!$DJ32*(PI()/2*IF(Simulations!$U32="",200,Simulations!$U32)^2*IF(IF(Simulations!$I32="",5000,Simulations!$I32)&gt;0,SQRT(PI()/2)*IF(Simulations!$X32="",1000,Simulations!$X32),1)),Simulations!$DH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U32="",200,Simulations!$U32)^2*IF(Simulations!$X32="",1000,Simulations!$X32)/2^1.5*(2/3*LN(Simulations!$DJ32/IF(Simulations!$J32="",1000,Simulations!$J32))^1.5+SQRT(LN(Simulations!$DJ32/IF(Simulations!$J32="",1000,Simulations!$J32)))+Simulations!$DJ32/IF(Simulations!$J32="",1000,Simulations!$J32)*SQRT(PI())/2*ERFC(SQRT(LN(Simulations!$DJ32/IF(Simulations!$J32="",1000,Simulations!$J32))))),PI()*IF(Simulations!$U32="",200,Simulations!$U32)^2/2*(LN(Simulations!$DJ32/IF(Simulations!$J32="",1000,Simulations!$J32))+1))))</f>
        <v>0</v>
      </c>
      <c r="AB32" s="0" t="n">
        <f aca="false">IF(OR(NOT(AND(Simulations!$A32&lt;&gt;"",OR(Simulations!$DF32&lt;&gt;"",N(Simulations!$DH32)&gt;0))),N(Simulations!$DK32)&lt;=0,N(Simulations!$DH32)&lt;=0,3&gt;N(IF(Simulations!$O32="",1,Simulations!$O32))),0,IF(Simulations!$DK32&lt;IF(Simulations!$J32="",1000,Simulations!$J32),Simulations!$DH32/(IF(Simulations!$G32="",5000,Simulations!$G32)*IF(Simulations!$H32="",5000,Simulations!$H32)*IF(IF(Simulations!$I32="",5000,Simulations!$I32)&gt;0,IF(Simulations!$I32="",5000,Simulations!$I32),1))*Simulations!$DK32*(PI()/2*IF(Simulations!$V32="",200,Simulations!$V32)^2*IF(IF(Simulations!$I32="",5000,Simulations!$I32)&gt;0,SQRT(PI()/2)*IF(Simulations!$Y32="",1000,Simulations!$Y32),1)),Simulations!$DH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V32="",200,Simulations!$V32)^2*IF(Simulations!$Y32="",1000,Simulations!$Y32)/2^1.5*(2/3*LN(Simulations!$DK32/IF(Simulations!$J32="",1000,Simulations!$J32))^1.5+SQRT(LN(Simulations!$DK32/IF(Simulations!$J32="",1000,Simulations!$J32)))+Simulations!$DK32/IF(Simulations!$J32="",1000,Simulations!$J32)*SQRT(PI())/2*ERFC(SQRT(LN(Simulations!$DK32/IF(Simulations!$J32="",1000,Simulations!$J32))))),PI()*IF(Simulations!$V32="",200,Simulations!$V32)^2/2*(LN(Simulations!$DK32/IF(Simulations!$J32="",1000,Simulations!$J32))+1))))</f>
        <v>0</v>
      </c>
      <c r="AC32" s="0" t="n">
        <f aca="false">IF(NOT(AND(Simulations!$A32&lt;&gt;"",OR(Simulations!$DF32&lt;&gt;"",N(Simulations!$DH32)&gt;0))),0,MAX(N(Simulations!$DI32),N(Simulations!$DJ32),N(Simulations!$DK32))/IF(Simulations!$J32="",1000,Simulations!$J32))</f>
        <v>0</v>
      </c>
      <c r="AD32" s="0" t="n">
        <f aca="false">IF(OR(NOT(AND(Simulations!$A32&lt;&gt;"",OR(Simulations!$DF32&lt;&gt;"",N(Simulations!$DH32)&gt;0))),N(Simulations!$DG32)&lt;=0),0,SQRT(2*Simulations!$DG32*1000000/(IF(Simulations!$J32="",1000,Simulations!$J32)*1000))/MIN(IF(Simulations!$T32="",200,Simulations!$T32),IF(Simulations!$U32="",200,Simulations!$U32),IF(Simulations!$V32="",200,Simulations!$V32)))</f>
        <v>0</v>
      </c>
      <c r="AE32" s="0" t="n">
        <f aca="false">IF(AND(Simulations!$A32&lt;&gt;"",OR(Simulations!$DF32&lt;&gt;"",N(Simulations!$DH32)&gt;0)),1,0)</f>
        <v>0</v>
      </c>
      <c r="AF32" s="0" t="n">
        <f aca="false">IF(OR(NOT(AND(Simulations!$A32&lt;&gt;"",OR(Simulations!$DX32&lt;&gt;"",N(Simulations!$DZ32)&gt;0))),N(Simulations!$EA32)&lt;=0,N(Simulations!$DZ32)&lt;=0,1&gt;N(IF(Simulations!$O32="",1,Simulations!$O32))),0,IF(Simulations!$EA32&lt;IF(Simulations!$J32="",1000,Simulations!$J32),Simulations!$DZ32/(IF(Simulations!$G32="",5000,Simulations!$G32)*IF(Simulations!$H32="",5000,Simulations!$H32)*IF(IF(Simulations!$I32="",5000,Simulations!$I32)&gt;0,IF(Simulations!$I32="",5000,Simulations!$I32),1))*Simulations!$EA32*(PI()/2*IF(Simulations!$T32="",200,Simulations!$T32)^2*IF(IF(Simulations!$I32="",5000,Simulations!$I32)&gt;0,SQRT(PI()/2)*IF(Simulations!$W32="",1000,Simulations!$W32),1)),Simulations!$DZ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T32="",200,Simulations!$T32)^2*IF(Simulations!$W32="",1000,Simulations!$W32)/2^1.5*(2/3*LN(Simulations!$EA32/IF(Simulations!$J32="",1000,Simulations!$J32))^1.5+SQRT(LN(Simulations!$EA32/IF(Simulations!$J32="",1000,Simulations!$J32)))+Simulations!$EA32/IF(Simulations!$J32="",1000,Simulations!$J32)*SQRT(PI())/2*ERFC(SQRT(LN(Simulations!$EA32/IF(Simulations!$J32="",1000,Simulations!$J32))))),PI()*IF(Simulations!$T32="",200,Simulations!$T32)^2/2*(LN(Simulations!$EA32/IF(Simulations!$J32="",1000,Simulations!$J32))+1))))</f>
        <v>0</v>
      </c>
      <c r="AG32" s="0" t="n">
        <f aca="false">IF(OR(NOT(AND(Simulations!$A32&lt;&gt;"",OR(Simulations!$DX32&lt;&gt;"",N(Simulations!$DZ32)&gt;0))),N(Simulations!$EB32)&lt;=0,N(Simulations!$DZ32)&lt;=0,2&gt;N(IF(Simulations!$O32="",1,Simulations!$O32))),0,IF(Simulations!$EB32&lt;IF(Simulations!$J32="",1000,Simulations!$J32),Simulations!$DZ32/(IF(Simulations!$G32="",5000,Simulations!$G32)*IF(Simulations!$H32="",5000,Simulations!$H32)*IF(IF(Simulations!$I32="",5000,Simulations!$I32)&gt;0,IF(Simulations!$I32="",5000,Simulations!$I32),1))*Simulations!$EB32*(PI()/2*IF(Simulations!$U32="",200,Simulations!$U32)^2*IF(IF(Simulations!$I32="",5000,Simulations!$I32)&gt;0,SQRT(PI()/2)*IF(Simulations!$X32="",1000,Simulations!$X32),1)),Simulations!$DZ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U32="",200,Simulations!$U32)^2*IF(Simulations!$X32="",1000,Simulations!$X32)/2^1.5*(2/3*LN(Simulations!$EB32/IF(Simulations!$J32="",1000,Simulations!$J32))^1.5+SQRT(LN(Simulations!$EB32/IF(Simulations!$J32="",1000,Simulations!$J32)))+Simulations!$EB32/IF(Simulations!$J32="",1000,Simulations!$J32)*SQRT(PI())/2*ERFC(SQRT(LN(Simulations!$EB32/IF(Simulations!$J32="",1000,Simulations!$J32))))),PI()*IF(Simulations!$U32="",200,Simulations!$U32)^2/2*(LN(Simulations!$EB32/IF(Simulations!$J32="",1000,Simulations!$J32))+1))))</f>
        <v>0</v>
      </c>
      <c r="AH32" s="0" t="n">
        <f aca="false">IF(OR(NOT(AND(Simulations!$A32&lt;&gt;"",OR(Simulations!$DX32&lt;&gt;"",N(Simulations!$DZ32)&gt;0))),N(Simulations!$EC32)&lt;=0,N(Simulations!$DZ32)&lt;=0,3&gt;N(IF(Simulations!$O32="",1,Simulations!$O32))),0,IF(Simulations!$EC32&lt;IF(Simulations!$J32="",1000,Simulations!$J32),Simulations!$DZ32/(IF(Simulations!$G32="",5000,Simulations!$G32)*IF(Simulations!$H32="",5000,Simulations!$H32)*IF(IF(Simulations!$I32="",5000,Simulations!$I32)&gt;0,IF(Simulations!$I32="",5000,Simulations!$I32),1))*Simulations!$EC32*(PI()/2*IF(Simulations!$V32="",200,Simulations!$V32)^2*IF(IF(Simulations!$I32="",5000,Simulations!$I32)&gt;0,SQRT(PI()/2)*IF(Simulations!$Y32="",1000,Simulations!$Y32),1)),Simulations!$DZ32/(IF(Simulations!$G32="",5000,Simulations!$G32)*IF(Simulations!$H32="",5000,Simulations!$H32)*IF(IF(Simulations!$I32="",5000,Simulations!$I32)&gt;0,IF(Simulations!$I32="",5000,Simulations!$I32),1))*IF(Simulations!$J32="",1000,Simulations!$J32)*IF(IF(Simulations!$I32="",5000,Simulations!$I32)&gt;0,2*PI()*IF(Simulations!$V32="",200,Simulations!$V32)^2*IF(Simulations!$Y32="",1000,Simulations!$Y32)/2^1.5*(2/3*LN(Simulations!$EC32/IF(Simulations!$J32="",1000,Simulations!$J32))^1.5+SQRT(LN(Simulations!$EC32/IF(Simulations!$J32="",1000,Simulations!$J32)))+Simulations!$EC32/IF(Simulations!$J32="",1000,Simulations!$J32)*SQRT(PI())/2*ERFC(SQRT(LN(Simulations!$EC32/IF(Simulations!$J32="",1000,Simulations!$J32))))),PI()*IF(Simulations!$V32="",200,Simulations!$V32)^2/2*(LN(Simulations!$EC32/IF(Simulations!$J32="",1000,Simulations!$J32))+1))))</f>
        <v>0</v>
      </c>
      <c r="AI32" s="0" t="n">
        <f aca="false">IF(NOT(AND(Simulations!$A32&lt;&gt;"",OR(Simulations!$DX32&lt;&gt;"",N(Simulations!$DZ32)&gt;0))),0,MAX(N(Simulations!$EA32),N(Simulations!$EB32),N(Simulations!$EC32))/IF(Simulations!$J32="",1000,Simulations!$J32))</f>
        <v>0</v>
      </c>
      <c r="AJ32" s="0" t="n">
        <f aca="false">IF(OR(NOT(AND(Simulations!$A32&lt;&gt;"",OR(Simulations!$DX32&lt;&gt;"",N(Simulations!$DZ32)&gt;0))),N(Simulations!$DY32)&lt;=0),0,SQRT(2*Simulations!$DY32*1000000/(IF(Simulations!$J32="",1000,Simulations!$J32)*1000))/MIN(IF(Simulations!$T32="",200,Simulations!$T32),IF(Simulations!$U32="",200,Simulations!$U32),IF(Simulations!$V32="",200,Simulations!$V32)))</f>
        <v>0</v>
      </c>
      <c r="AK32" s="0" t="n">
        <f aca="false">IF(AND(Simulations!$A32&lt;&gt;"",OR(Simulations!$DX32&lt;&gt;"",N(Simulations!$DZ32)&gt;0)),1,0)</f>
        <v>0</v>
      </c>
    </row>
    <row r="33" customFormat="false" ht="15" hidden="false" customHeight="false" outlineLevel="0" collapsed="false">
      <c r="B33" s="0" t="n">
        <f aca="false">IF(OR(NOT(AND(Simulations!$A33&lt;&gt;"",OR(Simulations!$AL33&lt;&gt;"",N(Simulations!$AN33)&gt;0))),N(Simulations!$AO33)&lt;=0,N(Simulations!$AN33)&lt;=0,1&gt;N(IF(Simulations!$O33="",1,Simulations!$O33))),0,IF(Simulations!$AO33&lt;IF(Simulations!$J33="",1000,Simulations!$J33),Simulations!$AN33/(IF(Simulations!$G33="",5000,Simulations!$G33)*IF(Simulations!$H33="",5000,Simulations!$H33)*IF(IF(Simulations!$I33="",5000,Simulations!$I33)&gt;0,IF(Simulations!$I33="",5000,Simulations!$I33),1))*Simulations!$AO33*(PI()/2*IF(Simulations!$T33="",200,Simulations!$T33)^2*IF(IF(Simulations!$I33="",5000,Simulations!$I33)&gt;0,SQRT(PI()/2)*IF(Simulations!$W33="",1000,Simulations!$W33),1)),Simulations!$AN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T33="",200,Simulations!$T33)^2*IF(Simulations!$W33="",1000,Simulations!$W33)/2^1.5*(2/3*LN(Simulations!$AO33/IF(Simulations!$J33="",1000,Simulations!$J33))^1.5+SQRT(LN(Simulations!$AO33/IF(Simulations!$J33="",1000,Simulations!$J33)))+Simulations!$AO33/IF(Simulations!$J33="",1000,Simulations!$J33)*SQRT(PI())/2*ERFC(SQRT(LN(Simulations!$AO33/IF(Simulations!$J33="",1000,Simulations!$J33))))),PI()*IF(Simulations!$T33="",200,Simulations!$T33)^2/2*(LN(Simulations!$AO33/IF(Simulations!$J33="",1000,Simulations!$J33))+1))))</f>
        <v>0</v>
      </c>
      <c r="C33" s="0" t="n">
        <f aca="false">IF(OR(NOT(AND(Simulations!$A33&lt;&gt;"",OR(Simulations!$AL33&lt;&gt;"",N(Simulations!$AN33)&gt;0))),N(Simulations!$AP33)&lt;=0,N(Simulations!$AN33)&lt;=0,2&gt;N(IF(Simulations!$O33="",1,Simulations!$O33))),0,IF(Simulations!$AP33&lt;IF(Simulations!$J33="",1000,Simulations!$J33),Simulations!$AN33/(IF(Simulations!$G33="",5000,Simulations!$G33)*IF(Simulations!$H33="",5000,Simulations!$H33)*IF(IF(Simulations!$I33="",5000,Simulations!$I33)&gt;0,IF(Simulations!$I33="",5000,Simulations!$I33),1))*Simulations!$AP33*(PI()/2*IF(Simulations!$U33="",200,Simulations!$U33)^2*IF(IF(Simulations!$I33="",5000,Simulations!$I33)&gt;0,SQRT(PI()/2)*IF(Simulations!$X33="",1000,Simulations!$X33),1)),Simulations!$AN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U33="",200,Simulations!$U33)^2*IF(Simulations!$X33="",1000,Simulations!$X33)/2^1.5*(2/3*LN(Simulations!$AP33/IF(Simulations!$J33="",1000,Simulations!$J33))^1.5+SQRT(LN(Simulations!$AP33/IF(Simulations!$J33="",1000,Simulations!$J33)))+Simulations!$AP33/IF(Simulations!$J33="",1000,Simulations!$J33)*SQRT(PI())/2*ERFC(SQRT(LN(Simulations!$AP33/IF(Simulations!$J33="",1000,Simulations!$J33))))),PI()*IF(Simulations!$U33="",200,Simulations!$U33)^2/2*(LN(Simulations!$AP33/IF(Simulations!$J33="",1000,Simulations!$J33))+1))))</f>
        <v>0</v>
      </c>
      <c r="D33" s="0" t="n">
        <f aca="false">IF(OR(NOT(AND(Simulations!$A33&lt;&gt;"",OR(Simulations!$AL33&lt;&gt;"",N(Simulations!$AN33)&gt;0))),N(Simulations!$AQ33)&lt;=0,N(Simulations!$AN33)&lt;=0,3&gt;N(IF(Simulations!$O33="",1,Simulations!$O33))),0,IF(Simulations!$AQ33&lt;IF(Simulations!$J33="",1000,Simulations!$J33),Simulations!$AN33/(IF(Simulations!$G33="",5000,Simulations!$G33)*IF(Simulations!$H33="",5000,Simulations!$H33)*IF(IF(Simulations!$I33="",5000,Simulations!$I33)&gt;0,IF(Simulations!$I33="",5000,Simulations!$I33),1))*Simulations!$AQ33*(PI()/2*IF(Simulations!$V33="",200,Simulations!$V33)^2*IF(IF(Simulations!$I33="",5000,Simulations!$I33)&gt;0,SQRT(PI()/2)*IF(Simulations!$Y33="",1000,Simulations!$Y33),1)),Simulations!$AN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V33="",200,Simulations!$V33)^2*IF(Simulations!$Y33="",1000,Simulations!$Y33)/2^1.5*(2/3*LN(Simulations!$AQ33/IF(Simulations!$J33="",1000,Simulations!$J33))^1.5+SQRT(LN(Simulations!$AQ33/IF(Simulations!$J33="",1000,Simulations!$J33)))+Simulations!$AQ33/IF(Simulations!$J33="",1000,Simulations!$J33)*SQRT(PI())/2*ERFC(SQRT(LN(Simulations!$AQ33/IF(Simulations!$J33="",1000,Simulations!$J33))))),PI()*IF(Simulations!$V33="",200,Simulations!$V33)^2/2*(LN(Simulations!$AQ33/IF(Simulations!$J33="",1000,Simulations!$J33))+1))))</f>
        <v>0</v>
      </c>
      <c r="E33" s="0" t="n">
        <f aca="false">IF(NOT(AND(Simulations!$A33&lt;&gt;"",OR(Simulations!$AL33&lt;&gt;"",N(Simulations!$AN33)&gt;0))),0,MAX(N(Simulations!$AO33),N(Simulations!$AP33),N(Simulations!$AQ33))/IF(Simulations!$J33="",1000,Simulations!$J33))</f>
        <v>0</v>
      </c>
      <c r="F33" s="0" t="n">
        <f aca="false">IF(OR(NOT(AND(Simulations!$A33&lt;&gt;"",OR(Simulations!$AL33&lt;&gt;"",N(Simulations!$AN33)&gt;0))),N(Simulations!$AM33)&lt;=0),0,SQRT(2*Simulations!$AM33*1000000/(IF(Simulations!$J33="",1000,Simulations!$J33)*1000))/MIN(IF(Simulations!$T33="",200,Simulations!$T33),IF(Simulations!$U33="",200,Simulations!$U33),IF(Simulations!$V33="",200,Simulations!$V33)))</f>
        <v>0</v>
      </c>
      <c r="G33" s="0" t="n">
        <f aca="false">IF(AND(Simulations!$A33&lt;&gt;"",OR(Simulations!$AL33&lt;&gt;"",N(Simulations!$AN33)&gt;0)),1,0)</f>
        <v>0</v>
      </c>
      <c r="H33" s="0" t="n">
        <f aca="false">IF(OR(NOT(AND(Simulations!$A33&lt;&gt;"",OR(Simulations!$BD33&lt;&gt;"",N(Simulations!$BF33)&gt;0))),N(Simulations!$BG33)&lt;=0,N(Simulations!$BF33)&lt;=0,1&gt;N(IF(Simulations!$O33="",1,Simulations!$O33))),0,IF(Simulations!$BG33&lt;IF(Simulations!$J33="",1000,Simulations!$J33),Simulations!$BF33/(IF(Simulations!$G33="",5000,Simulations!$G33)*IF(Simulations!$H33="",5000,Simulations!$H33)*IF(IF(Simulations!$I33="",5000,Simulations!$I33)&gt;0,IF(Simulations!$I33="",5000,Simulations!$I33),1))*Simulations!$BG33*(PI()/2*IF(Simulations!$T33="",200,Simulations!$T33)^2*IF(IF(Simulations!$I33="",5000,Simulations!$I33)&gt;0,SQRT(PI()/2)*IF(Simulations!$W33="",1000,Simulations!$W33),1)),Simulations!$BF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T33="",200,Simulations!$T33)^2*IF(Simulations!$W33="",1000,Simulations!$W33)/2^1.5*(2/3*LN(Simulations!$BG33/IF(Simulations!$J33="",1000,Simulations!$J33))^1.5+SQRT(LN(Simulations!$BG33/IF(Simulations!$J33="",1000,Simulations!$J33)))+Simulations!$BG33/IF(Simulations!$J33="",1000,Simulations!$J33)*SQRT(PI())/2*ERFC(SQRT(LN(Simulations!$BG33/IF(Simulations!$J33="",1000,Simulations!$J33))))),PI()*IF(Simulations!$T33="",200,Simulations!$T33)^2/2*(LN(Simulations!$BG33/IF(Simulations!$J33="",1000,Simulations!$J33))+1))))</f>
        <v>0</v>
      </c>
      <c r="I33" s="0" t="n">
        <f aca="false">IF(OR(NOT(AND(Simulations!$A33&lt;&gt;"",OR(Simulations!$BD33&lt;&gt;"",N(Simulations!$BF33)&gt;0))),N(Simulations!$BH33)&lt;=0,N(Simulations!$BF33)&lt;=0,2&gt;N(IF(Simulations!$O33="",1,Simulations!$O33))),0,IF(Simulations!$BH33&lt;IF(Simulations!$J33="",1000,Simulations!$J33),Simulations!$BF33/(IF(Simulations!$G33="",5000,Simulations!$G33)*IF(Simulations!$H33="",5000,Simulations!$H33)*IF(IF(Simulations!$I33="",5000,Simulations!$I33)&gt;0,IF(Simulations!$I33="",5000,Simulations!$I33),1))*Simulations!$BH33*(PI()/2*IF(Simulations!$U33="",200,Simulations!$U33)^2*IF(IF(Simulations!$I33="",5000,Simulations!$I33)&gt;0,SQRT(PI()/2)*IF(Simulations!$X33="",1000,Simulations!$X33),1)),Simulations!$BF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U33="",200,Simulations!$U33)^2*IF(Simulations!$X33="",1000,Simulations!$X33)/2^1.5*(2/3*LN(Simulations!$BH33/IF(Simulations!$J33="",1000,Simulations!$J33))^1.5+SQRT(LN(Simulations!$BH33/IF(Simulations!$J33="",1000,Simulations!$J33)))+Simulations!$BH33/IF(Simulations!$J33="",1000,Simulations!$J33)*SQRT(PI())/2*ERFC(SQRT(LN(Simulations!$BH33/IF(Simulations!$J33="",1000,Simulations!$J33))))),PI()*IF(Simulations!$U33="",200,Simulations!$U33)^2/2*(LN(Simulations!$BH33/IF(Simulations!$J33="",1000,Simulations!$J33))+1))))</f>
        <v>0</v>
      </c>
      <c r="J33" s="0" t="n">
        <f aca="false">IF(OR(NOT(AND(Simulations!$A33&lt;&gt;"",OR(Simulations!$BD33&lt;&gt;"",N(Simulations!$BF33)&gt;0))),N(Simulations!$BI33)&lt;=0,N(Simulations!$BF33)&lt;=0,3&gt;N(IF(Simulations!$O33="",1,Simulations!$O33))),0,IF(Simulations!$BI33&lt;IF(Simulations!$J33="",1000,Simulations!$J33),Simulations!$BF33/(IF(Simulations!$G33="",5000,Simulations!$G33)*IF(Simulations!$H33="",5000,Simulations!$H33)*IF(IF(Simulations!$I33="",5000,Simulations!$I33)&gt;0,IF(Simulations!$I33="",5000,Simulations!$I33),1))*Simulations!$BI33*(PI()/2*IF(Simulations!$V33="",200,Simulations!$V33)^2*IF(IF(Simulations!$I33="",5000,Simulations!$I33)&gt;0,SQRT(PI()/2)*IF(Simulations!$Y33="",1000,Simulations!$Y33),1)),Simulations!$BF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V33="",200,Simulations!$V33)^2*IF(Simulations!$Y33="",1000,Simulations!$Y33)/2^1.5*(2/3*LN(Simulations!$BI33/IF(Simulations!$J33="",1000,Simulations!$J33))^1.5+SQRT(LN(Simulations!$BI33/IF(Simulations!$J33="",1000,Simulations!$J33)))+Simulations!$BI33/IF(Simulations!$J33="",1000,Simulations!$J33)*SQRT(PI())/2*ERFC(SQRT(LN(Simulations!$BI33/IF(Simulations!$J33="",1000,Simulations!$J33))))),PI()*IF(Simulations!$V33="",200,Simulations!$V33)^2/2*(LN(Simulations!$BI33/IF(Simulations!$J33="",1000,Simulations!$J33))+1))))</f>
        <v>0</v>
      </c>
      <c r="K33" s="0" t="n">
        <f aca="false">IF(NOT(AND(Simulations!$A33&lt;&gt;"",OR(Simulations!$BD33&lt;&gt;"",N(Simulations!$BF33)&gt;0))),0,MAX(N(Simulations!$BG33),N(Simulations!$BH33),N(Simulations!$BI33))/IF(Simulations!$J33="",1000,Simulations!$J33))</f>
        <v>0</v>
      </c>
      <c r="L33" s="0" t="n">
        <f aca="false">IF(OR(NOT(AND(Simulations!$A33&lt;&gt;"",OR(Simulations!$BD33&lt;&gt;"",N(Simulations!$BF33)&gt;0))),N(Simulations!$BE33)&lt;=0),0,SQRT(2*Simulations!$BE33*1000000/(IF(Simulations!$J33="",1000,Simulations!$J33)*1000))/MIN(IF(Simulations!$T33="",200,Simulations!$T33),IF(Simulations!$U33="",200,Simulations!$U33),IF(Simulations!$V33="",200,Simulations!$V33)))</f>
        <v>0</v>
      </c>
      <c r="M33" s="0" t="n">
        <f aca="false">IF(AND(Simulations!$A33&lt;&gt;"",OR(Simulations!$BD33&lt;&gt;"",N(Simulations!$BF33)&gt;0)),1,0)</f>
        <v>0</v>
      </c>
      <c r="N33" s="0" t="n">
        <f aca="false">IF(OR(NOT(AND(Simulations!$A33&lt;&gt;"",OR(Simulations!$BV33&lt;&gt;"",N(Simulations!$BX33)&gt;0))),N(Simulations!$BY33)&lt;=0,N(Simulations!$BX33)&lt;=0,1&gt;N(IF(Simulations!$O33="",1,Simulations!$O33))),0,IF(Simulations!$BY33&lt;IF(Simulations!$J33="",1000,Simulations!$J33),Simulations!$BX33/(IF(Simulations!$G33="",5000,Simulations!$G33)*IF(Simulations!$H33="",5000,Simulations!$H33)*IF(IF(Simulations!$I33="",5000,Simulations!$I33)&gt;0,IF(Simulations!$I33="",5000,Simulations!$I33),1))*Simulations!$BY33*(PI()/2*IF(Simulations!$T33="",200,Simulations!$T33)^2*IF(IF(Simulations!$I33="",5000,Simulations!$I33)&gt;0,SQRT(PI()/2)*IF(Simulations!$W33="",1000,Simulations!$W33),1)),Simulations!$BX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T33="",200,Simulations!$T33)^2*IF(Simulations!$W33="",1000,Simulations!$W33)/2^1.5*(2/3*LN(Simulations!$BY33/IF(Simulations!$J33="",1000,Simulations!$J33))^1.5+SQRT(LN(Simulations!$BY33/IF(Simulations!$J33="",1000,Simulations!$J33)))+Simulations!$BY33/IF(Simulations!$J33="",1000,Simulations!$J33)*SQRT(PI())/2*ERFC(SQRT(LN(Simulations!$BY33/IF(Simulations!$J33="",1000,Simulations!$J33))))),PI()*IF(Simulations!$T33="",200,Simulations!$T33)^2/2*(LN(Simulations!$BY33/IF(Simulations!$J33="",1000,Simulations!$J33))+1))))</f>
        <v>0</v>
      </c>
      <c r="O33" s="0" t="n">
        <f aca="false">IF(OR(NOT(AND(Simulations!$A33&lt;&gt;"",OR(Simulations!$BV33&lt;&gt;"",N(Simulations!$BX33)&gt;0))),N(Simulations!$BZ33)&lt;=0,N(Simulations!$BX33)&lt;=0,2&gt;N(IF(Simulations!$O33="",1,Simulations!$O33))),0,IF(Simulations!$BZ33&lt;IF(Simulations!$J33="",1000,Simulations!$J33),Simulations!$BX33/(IF(Simulations!$G33="",5000,Simulations!$G33)*IF(Simulations!$H33="",5000,Simulations!$H33)*IF(IF(Simulations!$I33="",5000,Simulations!$I33)&gt;0,IF(Simulations!$I33="",5000,Simulations!$I33),1))*Simulations!$BZ33*(PI()/2*IF(Simulations!$U33="",200,Simulations!$U33)^2*IF(IF(Simulations!$I33="",5000,Simulations!$I33)&gt;0,SQRT(PI()/2)*IF(Simulations!$X33="",1000,Simulations!$X33),1)),Simulations!$BX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U33="",200,Simulations!$U33)^2*IF(Simulations!$X33="",1000,Simulations!$X33)/2^1.5*(2/3*LN(Simulations!$BZ33/IF(Simulations!$J33="",1000,Simulations!$J33))^1.5+SQRT(LN(Simulations!$BZ33/IF(Simulations!$J33="",1000,Simulations!$J33)))+Simulations!$BZ33/IF(Simulations!$J33="",1000,Simulations!$J33)*SQRT(PI())/2*ERFC(SQRT(LN(Simulations!$BZ33/IF(Simulations!$J33="",1000,Simulations!$J33))))),PI()*IF(Simulations!$U33="",200,Simulations!$U33)^2/2*(LN(Simulations!$BZ33/IF(Simulations!$J33="",1000,Simulations!$J33))+1))))</f>
        <v>0</v>
      </c>
      <c r="P33" s="0" t="n">
        <f aca="false">IF(OR(NOT(AND(Simulations!$A33&lt;&gt;"",OR(Simulations!$BV33&lt;&gt;"",N(Simulations!$BX33)&gt;0))),N(Simulations!$CA33)&lt;=0,N(Simulations!$BX33)&lt;=0,3&gt;N(IF(Simulations!$O33="",1,Simulations!$O33))),0,IF(Simulations!$CA33&lt;IF(Simulations!$J33="",1000,Simulations!$J33),Simulations!$BX33/(IF(Simulations!$G33="",5000,Simulations!$G33)*IF(Simulations!$H33="",5000,Simulations!$H33)*IF(IF(Simulations!$I33="",5000,Simulations!$I33)&gt;0,IF(Simulations!$I33="",5000,Simulations!$I33),1))*Simulations!$CA33*(PI()/2*IF(Simulations!$V33="",200,Simulations!$V33)^2*IF(IF(Simulations!$I33="",5000,Simulations!$I33)&gt;0,SQRT(PI()/2)*IF(Simulations!$Y33="",1000,Simulations!$Y33),1)),Simulations!$BX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V33="",200,Simulations!$V33)^2*IF(Simulations!$Y33="",1000,Simulations!$Y33)/2^1.5*(2/3*LN(Simulations!$CA33/IF(Simulations!$J33="",1000,Simulations!$J33))^1.5+SQRT(LN(Simulations!$CA33/IF(Simulations!$J33="",1000,Simulations!$J33)))+Simulations!$CA33/IF(Simulations!$J33="",1000,Simulations!$J33)*SQRT(PI())/2*ERFC(SQRT(LN(Simulations!$CA33/IF(Simulations!$J33="",1000,Simulations!$J33))))),PI()*IF(Simulations!$V33="",200,Simulations!$V33)^2/2*(LN(Simulations!$CA33/IF(Simulations!$J33="",1000,Simulations!$J33))+1))))</f>
        <v>0</v>
      </c>
      <c r="Q33" s="0" t="n">
        <f aca="false">IF(NOT(AND(Simulations!$A33&lt;&gt;"",OR(Simulations!$BV33&lt;&gt;"",N(Simulations!$BX33)&gt;0))),0,MAX(N(Simulations!$BY33),N(Simulations!$BZ33),N(Simulations!$CA33))/IF(Simulations!$J33="",1000,Simulations!$J33))</f>
        <v>0</v>
      </c>
      <c r="R33" s="0" t="n">
        <f aca="false">IF(OR(NOT(AND(Simulations!$A33&lt;&gt;"",OR(Simulations!$BV33&lt;&gt;"",N(Simulations!$BX33)&gt;0))),N(Simulations!$BW33)&lt;=0),0,SQRT(2*Simulations!$BW33*1000000/(IF(Simulations!$J33="",1000,Simulations!$J33)*1000))/MIN(IF(Simulations!$T33="",200,Simulations!$T33),IF(Simulations!$U33="",200,Simulations!$U33),IF(Simulations!$V33="",200,Simulations!$V33)))</f>
        <v>0</v>
      </c>
      <c r="S33" s="0" t="n">
        <f aca="false">IF(AND(Simulations!$A33&lt;&gt;"",OR(Simulations!$BV33&lt;&gt;"",N(Simulations!$BX33)&gt;0)),1,0)</f>
        <v>0</v>
      </c>
      <c r="T33" s="0" t="n">
        <f aca="false">IF(OR(NOT(AND(Simulations!$A33&lt;&gt;"",OR(Simulations!$CN33&lt;&gt;"",N(Simulations!$CP33)&gt;0))),N(Simulations!$CQ33)&lt;=0,N(Simulations!$CP33)&lt;=0,1&gt;N(IF(Simulations!$O33="",1,Simulations!$O33))),0,IF(Simulations!$CQ33&lt;IF(Simulations!$J33="",1000,Simulations!$J33),Simulations!$CP33/(IF(Simulations!$G33="",5000,Simulations!$G33)*IF(Simulations!$H33="",5000,Simulations!$H33)*IF(IF(Simulations!$I33="",5000,Simulations!$I33)&gt;0,IF(Simulations!$I33="",5000,Simulations!$I33),1))*Simulations!$CQ33*(PI()/2*IF(Simulations!$T33="",200,Simulations!$T33)^2*IF(IF(Simulations!$I33="",5000,Simulations!$I33)&gt;0,SQRT(PI()/2)*IF(Simulations!$W33="",1000,Simulations!$W33),1)),Simulations!$CP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T33="",200,Simulations!$T33)^2*IF(Simulations!$W33="",1000,Simulations!$W33)/2^1.5*(2/3*LN(Simulations!$CQ33/IF(Simulations!$J33="",1000,Simulations!$J33))^1.5+SQRT(LN(Simulations!$CQ33/IF(Simulations!$J33="",1000,Simulations!$J33)))+Simulations!$CQ33/IF(Simulations!$J33="",1000,Simulations!$J33)*SQRT(PI())/2*ERFC(SQRT(LN(Simulations!$CQ33/IF(Simulations!$J33="",1000,Simulations!$J33))))),PI()*IF(Simulations!$T33="",200,Simulations!$T33)^2/2*(LN(Simulations!$CQ33/IF(Simulations!$J33="",1000,Simulations!$J33))+1))))</f>
        <v>0</v>
      </c>
      <c r="U33" s="0" t="n">
        <f aca="false">IF(OR(NOT(AND(Simulations!$A33&lt;&gt;"",OR(Simulations!$CN33&lt;&gt;"",N(Simulations!$CP33)&gt;0))),N(Simulations!$CR33)&lt;=0,N(Simulations!$CP33)&lt;=0,2&gt;N(IF(Simulations!$O33="",1,Simulations!$O33))),0,IF(Simulations!$CR33&lt;IF(Simulations!$J33="",1000,Simulations!$J33),Simulations!$CP33/(IF(Simulations!$G33="",5000,Simulations!$G33)*IF(Simulations!$H33="",5000,Simulations!$H33)*IF(IF(Simulations!$I33="",5000,Simulations!$I33)&gt;0,IF(Simulations!$I33="",5000,Simulations!$I33),1))*Simulations!$CR33*(PI()/2*IF(Simulations!$U33="",200,Simulations!$U33)^2*IF(IF(Simulations!$I33="",5000,Simulations!$I33)&gt;0,SQRT(PI()/2)*IF(Simulations!$X33="",1000,Simulations!$X33),1)),Simulations!$CP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U33="",200,Simulations!$U33)^2*IF(Simulations!$X33="",1000,Simulations!$X33)/2^1.5*(2/3*LN(Simulations!$CR33/IF(Simulations!$J33="",1000,Simulations!$J33))^1.5+SQRT(LN(Simulations!$CR33/IF(Simulations!$J33="",1000,Simulations!$J33)))+Simulations!$CR33/IF(Simulations!$J33="",1000,Simulations!$J33)*SQRT(PI())/2*ERFC(SQRT(LN(Simulations!$CR33/IF(Simulations!$J33="",1000,Simulations!$J33))))),PI()*IF(Simulations!$U33="",200,Simulations!$U33)^2/2*(LN(Simulations!$CR33/IF(Simulations!$J33="",1000,Simulations!$J33))+1))))</f>
        <v>0</v>
      </c>
      <c r="V33" s="0" t="n">
        <f aca="false">IF(OR(NOT(AND(Simulations!$A33&lt;&gt;"",OR(Simulations!$CN33&lt;&gt;"",N(Simulations!$CP33)&gt;0))),N(Simulations!$CS33)&lt;=0,N(Simulations!$CP33)&lt;=0,3&gt;N(IF(Simulations!$O33="",1,Simulations!$O33))),0,IF(Simulations!$CS33&lt;IF(Simulations!$J33="",1000,Simulations!$J33),Simulations!$CP33/(IF(Simulations!$G33="",5000,Simulations!$G33)*IF(Simulations!$H33="",5000,Simulations!$H33)*IF(IF(Simulations!$I33="",5000,Simulations!$I33)&gt;0,IF(Simulations!$I33="",5000,Simulations!$I33),1))*Simulations!$CS33*(PI()/2*IF(Simulations!$V33="",200,Simulations!$V33)^2*IF(IF(Simulations!$I33="",5000,Simulations!$I33)&gt;0,SQRT(PI()/2)*IF(Simulations!$Y33="",1000,Simulations!$Y33),1)),Simulations!$CP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V33="",200,Simulations!$V33)^2*IF(Simulations!$Y33="",1000,Simulations!$Y33)/2^1.5*(2/3*LN(Simulations!$CS33/IF(Simulations!$J33="",1000,Simulations!$J33))^1.5+SQRT(LN(Simulations!$CS33/IF(Simulations!$J33="",1000,Simulations!$J33)))+Simulations!$CS33/IF(Simulations!$J33="",1000,Simulations!$J33)*SQRT(PI())/2*ERFC(SQRT(LN(Simulations!$CS33/IF(Simulations!$J33="",1000,Simulations!$J33))))),PI()*IF(Simulations!$V33="",200,Simulations!$V33)^2/2*(LN(Simulations!$CS33/IF(Simulations!$J33="",1000,Simulations!$J33))+1))))</f>
        <v>0</v>
      </c>
      <c r="W33" s="0" t="n">
        <f aca="false">IF(NOT(AND(Simulations!$A33&lt;&gt;"",OR(Simulations!$CN33&lt;&gt;"",N(Simulations!$CP33)&gt;0))),0,MAX(N(Simulations!$CQ33),N(Simulations!$CR33),N(Simulations!$CS33))/IF(Simulations!$J33="",1000,Simulations!$J33))</f>
        <v>0</v>
      </c>
      <c r="X33" s="0" t="n">
        <f aca="false">IF(OR(NOT(AND(Simulations!$A33&lt;&gt;"",OR(Simulations!$CN33&lt;&gt;"",N(Simulations!$CP33)&gt;0))),N(Simulations!$CO33)&lt;=0),0,SQRT(2*Simulations!$CO33*1000000/(IF(Simulations!$J33="",1000,Simulations!$J33)*1000))/MIN(IF(Simulations!$T33="",200,Simulations!$T33),IF(Simulations!$U33="",200,Simulations!$U33),IF(Simulations!$V33="",200,Simulations!$V33)))</f>
        <v>0</v>
      </c>
      <c r="Y33" s="0" t="n">
        <f aca="false">IF(AND(Simulations!$A33&lt;&gt;"",OR(Simulations!$CN33&lt;&gt;"",N(Simulations!$CP33)&gt;0)),1,0)</f>
        <v>0</v>
      </c>
      <c r="Z33" s="0" t="n">
        <f aca="false">IF(OR(NOT(AND(Simulations!$A33&lt;&gt;"",OR(Simulations!$DF33&lt;&gt;"",N(Simulations!$DH33)&gt;0))),N(Simulations!$DI33)&lt;=0,N(Simulations!$DH33)&lt;=0,1&gt;N(IF(Simulations!$O33="",1,Simulations!$O33))),0,IF(Simulations!$DI33&lt;IF(Simulations!$J33="",1000,Simulations!$J33),Simulations!$DH33/(IF(Simulations!$G33="",5000,Simulations!$G33)*IF(Simulations!$H33="",5000,Simulations!$H33)*IF(IF(Simulations!$I33="",5000,Simulations!$I33)&gt;0,IF(Simulations!$I33="",5000,Simulations!$I33),1))*Simulations!$DI33*(PI()/2*IF(Simulations!$T33="",200,Simulations!$T33)^2*IF(IF(Simulations!$I33="",5000,Simulations!$I33)&gt;0,SQRT(PI()/2)*IF(Simulations!$W33="",1000,Simulations!$W33),1)),Simulations!$DH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T33="",200,Simulations!$T33)^2*IF(Simulations!$W33="",1000,Simulations!$W33)/2^1.5*(2/3*LN(Simulations!$DI33/IF(Simulations!$J33="",1000,Simulations!$J33))^1.5+SQRT(LN(Simulations!$DI33/IF(Simulations!$J33="",1000,Simulations!$J33)))+Simulations!$DI33/IF(Simulations!$J33="",1000,Simulations!$J33)*SQRT(PI())/2*ERFC(SQRT(LN(Simulations!$DI33/IF(Simulations!$J33="",1000,Simulations!$J33))))),PI()*IF(Simulations!$T33="",200,Simulations!$T33)^2/2*(LN(Simulations!$DI33/IF(Simulations!$J33="",1000,Simulations!$J33))+1))))</f>
        <v>0</v>
      </c>
      <c r="AA33" s="0" t="n">
        <f aca="false">IF(OR(NOT(AND(Simulations!$A33&lt;&gt;"",OR(Simulations!$DF33&lt;&gt;"",N(Simulations!$DH33)&gt;0))),N(Simulations!$DJ33)&lt;=0,N(Simulations!$DH33)&lt;=0,2&gt;N(IF(Simulations!$O33="",1,Simulations!$O33))),0,IF(Simulations!$DJ33&lt;IF(Simulations!$J33="",1000,Simulations!$J33),Simulations!$DH33/(IF(Simulations!$G33="",5000,Simulations!$G33)*IF(Simulations!$H33="",5000,Simulations!$H33)*IF(IF(Simulations!$I33="",5000,Simulations!$I33)&gt;0,IF(Simulations!$I33="",5000,Simulations!$I33),1))*Simulations!$DJ33*(PI()/2*IF(Simulations!$U33="",200,Simulations!$U33)^2*IF(IF(Simulations!$I33="",5000,Simulations!$I33)&gt;0,SQRT(PI()/2)*IF(Simulations!$X33="",1000,Simulations!$X33),1)),Simulations!$DH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U33="",200,Simulations!$U33)^2*IF(Simulations!$X33="",1000,Simulations!$X33)/2^1.5*(2/3*LN(Simulations!$DJ33/IF(Simulations!$J33="",1000,Simulations!$J33))^1.5+SQRT(LN(Simulations!$DJ33/IF(Simulations!$J33="",1000,Simulations!$J33)))+Simulations!$DJ33/IF(Simulations!$J33="",1000,Simulations!$J33)*SQRT(PI())/2*ERFC(SQRT(LN(Simulations!$DJ33/IF(Simulations!$J33="",1000,Simulations!$J33))))),PI()*IF(Simulations!$U33="",200,Simulations!$U33)^2/2*(LN(Simulations!$DJ33/IF(Simulations!$J33="",1000,Simulations!$J33))+1))))</f>
        <v>0</v>
      </c>
      <c r="AB33" s="0" t="n">
        <f aca="false">IF(OR(NOT(AND(Simulations!$A33&lt;&gt;"",OR(Simulations!$DF33&lt;&gt;"",N(Simulations!$DH33)&gt;0))),N(Simulations!$DK33)&lt;=0,N(Simulations!$DH33)&lt;=0,3&gt;N(IF(Simulations!$O33="",1,Simulations!$O33))),0,IF(Simulations!$DK33&lt;IF(Simulations!$J33="",1000,Simulations!$J33),Simulations!$DH33/(IF(Simulations!$G33="",5000,Simulations!$G33)*IF(Simulations!$H33="",5000,Simulations!$H33)*IF(IF(Simulations!$I33="",5000,Simulations!$I33)&gt;0,IF(Simulations!$I33="",5000,Simulations!$I33),1))*Simulations!$DK33*(PI()/2*IF(Simulations!$V33="",200,Simulations!$V33)^2*IF(IF(Simulations!$I33="",5000,Simulations!$I33)&gt;0,SQRT(PI()/2)*IF(Simulations!$Y33="",1000,Simulations!$Y33),1)),Simulations!$DH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V33="",200,Simulations!$V33)^2*IF(Simulations!$Y33="",1000,Simulations!$Y33)/2^1.5*(2/3*LN(Simulations!$DK33/IF(Simulations!$J33="",1000,Simulations!$J33))^1.5+SQRT(LN(Simulations!$DK33/IF(Simulations!$J33="",1000,Simulations!$J33)))+Simulations!$DK33/IF(Simulations!$J33="",1000,Simulations!$J33)*SQRT(PI())/2*ERFC(SQRT(LN(Simulations!$DK33/IF(Simulations!$J33="",1000,Simulations!$J33))))),PI()*IF(Simulations!$V33="",200,Simulations!$V33)^2/2*(LN(Simulations!$DK33/IF(Simulations!$J33="",1000,Simulations!$J33))+1))))</f>
        <v>0</v>
      </c>
      <c r="AC33" s="0" t="n">
        <f aca="false">IF(NOT(AND(Simulations!$A33&lt;&gt;"",OR(Simulations!$DF33&lt;&gt;"",N(Simulations!$DH33)&gt;0))),0,MAX(N(Simulations!$DI33),N(Simulations!$DJ33),N(Simulations!$DK33))/IF(Simulations!$J33="",1000,Simulations!$J33))</f>
        <v>0</v>
      </c>
      <c r="AD33" s="0" t="n">
        <f aca="false">IF(OR(NOT(AND(Simulations!$A33&lt;&gt;"",OR(Simulations!$DF33&lt;&gt;"",N(Simulations!$DH33)&gt;0))),N(Simulations!$DG33)&lt;=0),0,SQRT(2*Simulations!$DG33*1000000/(IF(Simulations!$J33="",1000,Simulations!$J33)*1000))/MIN(IF(Simulations!$T33="",200,Simulations!$T33),IF(Simulations!$U33="",200,Simulations!$U33),IF(Simulations!$V33="",200,Simulations!$V33)))</f>
        <v>0</v>
      </c>
      <c r="AE33" s="0" t="n">
        <f aca="false">IF(AND(Simulations!$A33&lt;&gt;"",OR(Simulations!$DF33&lt;&gt;"",N(Simulations!$DH33)&gt;0)),1,0)</f>
        <v>0</v>
      </c>
      <c r="AF33" s="0" t="n">
        <f aca="false">IF(OR(NOT(AND(Simulations!$A33&lt;&gt;"",OR(Simulations!$DX33&lt;&gt;"",N(Simulations!$DZ33)&gt;0))),N(Simulations!$EA33)&lt;=0,N(Simulations!$DZ33)&lt;=0,1&gt;N(IF(Simulations!$O33="",1,Simulations!$O33))),0,IF(Simulations!$EA33&lt;IF(Simulations!$J33="",1000,Simulations!$J33),Simulations!$DZ33/(IF(Simulations!$G33="",5000,Simulations!$G33)*IF(Simulations!$H33="",5000,Simulations!$H33)*IF(IF(Simulations!$I33="",5000,Simulations!$I33)&gt;0,IF(Simulations!$I33="",5000,Simulations!$I33),1))*Simulations!$EA33*(PI()/2*IF(Simulations!$T33="",200,Simulations!$T33)^2*IF(IF(Simulations!$I33="",5000,Simulations!$I33)&gt;0,SQRT(PI()/2)*IF(Simulations!$W33="",1000,Simulations!$W33),1)),Simulations!$DZ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T33="",200,Simulations!$T33)^2*IF(Simulations!$W33="",1000,Simulations!$W33)/2^1.5*(2/3*LN(Simulations!$EA33/IF(Simulations!$J33="",1000,Simulations!$J33))^1.5+SQRT(LN(Simulations!$EA33/IF(Simulations!$J33="",1000,Simulations!$J33)))+Simulations!$EA33/IF(Simulations!$J33="",1000,Simulations!$J33)*SQRT(PI())/2*ERFC(SQRT(LN(Simulations!$EA33/IF(Simulations!$J33="",1000,Simulations!$J33))))),PI()*IF(Simulations!$T33="",200,Simulations!$T33)^2/2*(LN(Simulations!$EA33/IF(Simulations!$J33="",1000,Simulations!$J33))+1))))</f>
        <v>0</v>
      </c>
      <c r="AG33" s="0" t="n">
        <f aca="false">IF(OR(NOT(AND(Simulations!$A33&lt;&gt;"",OR(Simulations!$DX33&lt;&gt;"",N(Simulations!$DZ33)&gt;0))),N(Simulations!$EB33)&lt;=0,N(Simulations!$DZ33)&lt;=0,2&gt;N(IF(Simulations!$O33="",1,Simulations!$O33))),0,IF(Simulations!$EB33&lt;IF(Simulations!$J33="",1000,Simulations!$J33),Simulations!$DZ33/(IF(Simulations!$G33="",5000,Simulations!$G33)*IF(Simulations!$H33="",5000,Simulations!$H33)*IF(IF(Simulations!$I33="",5000,Simulations!$I33)&gt;0,IF(Simulations!$I33="",5000,Simulations!$I33),1))*Simulations!$EB33*(PI()/2*IF(Simulations!$U33="",200,Simulations!$U33)^2*IF(IF(Simulations!$I33="",5000,Simulations!$I33)&gt;0,SQRT(PI()/2)*IF(Simulations!$X33="",1000,Simulations!$X33),1)),Simulations!$DZ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U33="",200,Simulations!$U33)^2*IF(Simulations!$X33="",1000,Simulations!$X33)/2^1.5*(2/3*LN(Simulations!$EB33/IF(Simulations!$J33="",1000,Simulations!$J33))^1.5+SQRT(LN(Simulations!$EB33/IF(Simulations!$J33="",1000,Simulations!$J33)))+Simulations!$EB33/IF(Simulations!$J33="",1000,Simulations!$J33)*SQRT(PI())/2*ERFC(SQRT(LN(Simulations!$EB33/IF(Simulations!$J33="",1000,Simulations!$J33))))),PI()*IF(Simulations!$U33="",200,Simulations!$U33)^2/2*(LN(Simulations!$EB33/IF(Simulations!$J33="",1000,Simulations!$J33))+1))))</f>
        <v>0</v>
      </c>
      <c r="AH33" s="0" t="n">
        <f aca="false">IF(OR(NOT(AND(Simulations!$A33&lt;&gt;"",OR(Simulations!$DX33&lt;&gt;"",N(Simulations!$DZ33)&gt;0))),N(Simulations!$EC33)&lt;=0,N(Simulations!$DZ33)&lt;=0,3&gt;N(IF(Simulations!$O33="",1,Simulations!$O33))),0,IF(Simulations!$EC33&lt;IF(Simulations!$J33="",1000,Simulations!$J33),Simulations!$DZ33/(IF(Simulations!$G33="",5000,Simulations!$G33)*IF(Simulations!$H33="",5000,Simulations!$H33)*IF(IF(Simulations!$I33="",5000,Simulations!$I33)&gt;0,IF(Simulations!$I33="",5000,Simulations!$I33),1))*Simulations!$EC33*(PI()/2*IF(Simulations!$V33="",200,Simulations!$V33)^2*IF(IF(Simulations!$I33="",5000,Simulations!$I33)&gt;0,SQRT(PI()/2)*IF(Simulations!$Y33="",1000,Simulations!$Y33),1)),Simulations!$DZ33/(IF(Simulations!$G33="",5000,Simulations!$G33)*IF(Simulations!$H33="",5000,Simulations!$H33)*IF(IF(Simulations!$I33="",5000,Simulations!$I33)&gt;0,IF(Simulations!$I33="",5000,Simulations!$I33),1))*IF(Simulations!$J33="",1000,Simulations!$J33)*IF(IF(Simulations!$I33="",5000,Simulations!$I33)&gt;0,2*PI()*IF(Simulations!$V33="",200,Simulations!$V33)^2*IF(Simulations!$Y33="",1000,Simulations!$Y33)/2^1.5*(2/3*LN(Simulations!$EC33/IF(Simulations!$J33="",1000,Simulations!$J33))^1.5+SQRT(LN(Simulations!$EC33/IF(Simulations!$J33="",1000,Simulations!$J33)))+Simulations!$EC33/IF(Simulations!$J33="",1000,Simulations!$J33)*SQRT(PI())/2*ERFC(SQRT(LN(Simulations!$EC33/IF(Simulations!$J33="",1000,Simulations!$J33))))),PI()*IF(Simulations!$V33="",200,Simulations!$V33)^2/2*(LN(Simulations!$EC33/IF(Simulations!$J33="",1000,Simulations!$J33))+1))))</f>
        <v>0</v>
      </c>
      <c r="AI33" s="0" t="n">
        <f aca="false">IF(NOT(AND(Simulations!$A33&lt;&gt;"",OR(Simulations!$DX33&lt;&gt;"",N(Simulations!$DZ33)&gt;0))),0,MAX(N(Simulations!$EA33),N(Simulations!$EB33),N(Simulations!$EC33))/IF(Simulations!$J33="",1000,Simulations!$J33))</f>
        <v>0</v>
      </c>
      <c r="AJ33" s="0" t="n">
        <f aca="false">IF(OR(NOT(AND(Simulations!$A33&lt;&gt;"",OR(Simulations!$DX33&lt;&gt;"",N(Simulations!$DZ33)&gt;0))),N(Simulations!$DY33)&lt;=0),0,SQRT(2*Simulations!$DY33*1000000/(IF(Simulations!$J33="",1000,Simulations!$J33)*1000))/MIN(IF(Simulations!$T33="",200,Simulations!$T33),IF(Simulations!$U33="",200,Simulations!$U33),IF(Simulations!$V33="",200,Simulations!$V33)))</f>
        <v>0</v>
      </c>
      <c r="AK33" s="0" t="n">
        <f aca="false">IF(AND(Simulations!$A33&lt;&gt;"",OR(Simulations!$DX33&lt;&gt;"",N(Simulations!$DZ33)&gt;0)),1,0)</f>
        <v>0</v>
      </c>
    </row>
    <row r="34" customFormat="false" ht="15" hidden="false" customHeight="false" outlineLevel="0" collapsed="false">
      <c r="B34" s="0" t="n">
        <f aca="false">IF(OR(NOT(AND(Simulations!$A34&lt;&gt;"",OR(Simulations!$AL34&lt;&gt;"",N(Simulations!$AN34)&gt;0))),N(Simulations!$AO34)&lt;=0,N(Simulations!$AN34)&lt;=0,1&gt;N(IF(Simulations!$O34="",1,Simulations!$O34))),0,IF(Simulations!$AO34&lt;IF(Simulations!$J34="",1000,Simulations!$J34),Simulations!$AN34/(IF(Simulations!$G34="",5000,Simulations!$G34)*IF(Simulations!$H34="",5000,Simulations!$H34)*IF(IF(Simulations!$I34="",5000,Simulations!$I34)&gt;0,IF(Simulations!$I34="",5000,Simulations!$I34),1))*Simulations!$AO34*(PI()/2*IF(Simulations!$T34="",200,Simulations!$T34)^2*IF(IF(Simulations!$I34="",5000,Simulations!$I34)&gt;0,SQRT(PI()/2)*IF(Simulations!$W34="",1000,Simulations!$W34),1)),Simulations!$AN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T34="",200,Simulations!$T34)^2*IF(Simulations!$W34="",1000,Simulations!$W34)/2^1.5*(2/3*LN(Simulations!$AO34/IF(Simulations!$J34="",1000,Simulations!$J34))^1.5+SQRT(LN(Simulations!$AO34/IF(Simulations!$J34="",1000,Simulations!$J34)))+Simulations!$AO34/IF(Simulations!$J34="",1000,Simulations!$J34)*SQRT(PI())/2*ERFC(SQRT(LN(Simulations!$AO34/IF(Simulations!$J34="",1000,Simulations!$J34))))),PI()*IF(Simulations!$T34="",200,Simulations!$T34)^2/2*(LN(Simulations!$AO34/IF(Simulations!$J34="",1000,Simulations!$J34))+1))))</f>
        <v>0</v>
      </c>
      <c r="C34" s="0" t="n">
        <f aca="false">IF(OR(NOT(AND(Simulations!$A34&lt;&gt;"",OR(Simulations!$AL34&lt;&gt;"",N(Simulations!$AN34)&gt;0))),N(Simulations!$AP34)&lt;=0,N(Simulations!$AN34)&lt;=0,2&gt;N(IF(Simulations!$O34="",1,Simulations!$O34))),0,IF(Simulations!$AP34&lt;IF(Simulations!$J34="",1000,Simulations!$J34),Simulations!$AN34/(IF(Simulations!$G34="",5000,Simulations!$G34)*IF(Simulations!$H34="",5000,Simulations!$H34)*IF(IF(Simulations!$I34="",5000,Simulations!$I34)&gt;0,IF(Simulations!$I34="",5000,Simulations!$I34),1))*Simulations!$AP34*(PI()/2*IF(Simulations!$U34="",200,Simulations!$U34)^2*IF(IF(Simulations!$I34="",5000,Simulations!$I34)&gt;0,SQRT(PI()/2)*IF(Simulations!$X34="",1000,Simulations!$X34),1)),Simulations!$AN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U34="",200,Simulations!$U34)^2*IF(Simulations!$X34="",1000,Simulations!$X34)/2^1.5*(2/3*LN(Simulations!$AP34/IF(Simulations!$J34="",1000,Simulations!$J34))^1.5+SQRT(LN(Simulations!$AP34/IF(Simulations!$J34="",1000,Simulations!$J34)))+Simulations!$AP34/IF(Simulations!$J34="",1000,Simulations!$J34)*SQRT(PI())/2*ERFC(SQRT(LN(Simulations!$AP34/IF(Simulations!$J34="",1000,Simulations!$J34))))),PI()*IF(Simulations!$U34="",200,Simulations!$U34)^2/2*(LN(Simulations!$AP34/IF(Simulations!$J34="",1000,Simulations!$J34))+1))))</f>
        <v>0</v>
      </c>
      <c r="D34" s="0" t="n">
        <f aca="false">IF(OR(NOT(AND(Simulations!$A34&lt;&gt;"",OR(Simulations!$AL34&lt;&gt;"",N(Simulations!$AN34)&gt;0))),N(Simulations!$AQ34)&lt;=0,N(Simulations!$AN34)&lt;=0,3&gt;N(IF(Simulations!$O34="",1,Simulations!$O34))),0,IF(Simulations!$AQ34&lt;IF(Simulations!$J34="",1000,Simulations!$J34),Simulations!$AN34/(IF(Simulations!$G34="",5000,Simulations!$G34)*IF(Simulations!$H34="",5000,Simulations!$H34)*IF(IF(Simulations!$I34="",5000,Simulations!$I34)&gt;0,IF(Simulations!$I34="",5000,Simulations!$I34),1))*Simulations!$AQ34*(PI()/2*IF(Simulations!$V34="",200,Simulations!$V34)^2*IF(IF(Simulations!$I34="",5000,Simulations!$I34)&gt;0,SQRT(PI()/2)*IF(Simulations!$Y34="",1000,Simulations!$Y34),1)),Simulations!$AN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V34="",200,Simulations!$V34)^2*IF(Simulations!$Y34="",1000,Simulations!$Y34)/2^1.5*(2/3*LN(Simulations!$AQ34/IF(Simulations!$J34="",1000,Simulations!$J34))^1.5+SQRT(LN(Simulations!$AQ34/IF(Simulations!$J34="",1000,Simulations!$J34)))+Simulations!$AQ34/IF(Simulations!$J34="",1000,Simulations!$J34)*SQRT(PI())/2*ERFC(SQRT(LN(Simulations!$AQ34/IF(Simulations!$J34="",1000,Simulations!$J34))))),PI()*IF(Simulations!$V34="",200,Simulations!$V34)^2/2*(LN(Simulations!$AQ34/IF(Simulations!$J34="",1000,Simulations!$J34))+1))))</f>
        <v>0</v>
      </c>
      <c r="E34" s="0" t="n">
        <f aca="false">IF(NOT(AND(Simulations!$A34&lt;&gt;"",OR(Simulations!$AL34&lt;&gt;"",N(Simulations!$AN34)&gt;0))),0,MAX(N(Simulations!$AO34),N(Simulations!$AP34),N(Simulations!$AQ34))/IF(Simulations!$J34="",1000,Simulations!$J34))</f>
        <v>0</v>
      </c>
      <c r="F34" s="0" t="n">
        <f aca="false">IF(OR(NOT(AND(Simulations!$A34&lt;&gt;"",OR(Simulations!$AL34&lt;&gt;"",N(Simulations!$AN34)&gt;0))),N(Simulations!$AM34)&lt;=0),0,SQRT(2*Simulations!$AM34*1000000/(IF(Simulations!$J34="",1000,Simulations!$J34)*1000))/MIN(IF(Simulations!$T34="",200,Simulations!$T34),IF(Simulations!$U34="",200,Simulations!$U34),IF(Simulations!$V34="",200,Simulations!$V34)))</f>
        <v>0</v>
      </c>
      <c r="G34" s="0" t="n">
        <f aca="false">IF(AND(Simulations!$A34&lt;&gt;"",OR(Simulations!$AL34&lt;&gt;"",N(Simulations!$AN34)&gt;0)),1,0)</f>
        <v>0</v>
      </c>
      <c r="H34" s="0" t="n">
        <f aca="false">IF(OR(NOT(AND(Simulations!$A34&lt;&gt;"",OR(Simulations!$BD34&lt;&gt;"",N(Simulations!$BF34)&gt;0))),N(Simulations!$BG34)&lt;=0,N(Simulations!$BF34)&lt;=0,1&gt;N(IF(Simulations!$O34="",1,Simulations!$O34))),0,IF(Simulations!$BG34&lt;IF(Simulations!$J34="",1000,Simulations!$J34),Simulations!$BF34/(IF(Simulations!$G34="",5000,Simulations!$G34)*IF(Simulations!$H34="",5000,Simulations!$H34)*IF(IF(Simulations!$I34="",5000,Simulations!$I34)&gt;0,IF(Simulations!$I34="",5000,Simulations!$I34),1))*Simulations!$BG34*(PI()/2*IF(Simulations!$T34="",200,Simulations!$T34)^2*IF(IF(Simulations!$I34="",5000,Simulations!$I34)&gt;0,SQRT(PI()/2)*IF(Simulations!$W34="",1000,Simulations!$W34),1)),Simulations!$BF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T34="",200,Simulations!$T34)^2*IF(Simulations!$W34="",1000,Simulations!$W34)/2^1.5*(2/3*LN(Simulations!$BG34/IF(Simulations!$J34="",1000,Simulations!$J34))^1.5+SQRT(LN(Simulations!$BG34/IF(Simulations!$J34="",1000,Simulations!$J34)))+Simulations!$BG34/IF(Simulations!$J34="",1000,Simulations!$J34)*SQRT(PI())/2*ERFC(SQRT(LN(Simulations!$BG34/IF(Simulations!$J34="",1000,Simulations!$J34))))),PI()*IF(Simulations!$T34="",200,Simulations!$T34)^2/2*(LN(Simulations!$BG34/IF(Simulations!$J34="",1000,Simulations!$J34))+1))))</f>
        <v>0</v>
      </c>
      <c r="I34" s="0" t="n">
        <f aca="false">IF(OR(NOT(AND(Simulations!$A34&lt;&gt;"",OR(Simulations!$BD34&lt;&gt;"",N(Simulations!$BF34)&gt;0))),N(Simulations!$BH34)&lt;=0,N(Simulations!$BF34)&lt;=0,2&gt;N(IF(Simulations!$O34="",1,Simulations!$O34))),0,IF(Simulations!$BH34&lt;IF(Simulations!$J34="",1000,Simulations!$J34),Simulations!$BF34/(IF(Simulations!$G34="",5000,Simulations!$G34)*IF(Simulations!$H34="",5000,Simulations!$H34)*IF(IF(Simulations!$I34="",5000,Simulations!$I34)&gt;0,IF(Simulations!$I34="",5000,Simulations!$I34),1))*Simulations!$BH34*(PI()/2*IF(Simulations!$U34="",200,Simulations!$U34)^2*IF(IF(Simulations!$I34="",5000,Simulations!$I34)&gt;0,SQRT(PI()/2)*IF(Simulations!$X34="",1000,Simulations!$X34),1)),Simulations!$BF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U34="",200,Simulations!$U34)^2*IF(Simulations!$X34="",1000,Simulations!$X34)/2^1.5*(2/3*LN(Simulations!$BH34/IF(Simulations!$J34="",1000,Simulations!$J34))^1.5+SQRT(LN(Simulations!$BH34/IF(Simulations!$J34="",1000,Simulations!$J34)))+Simulations!$BH34/IF(Simulations!$J34="",1000,Simulations!$J34)*SQRT(PI())/2*ERFC(SQRT(LN(Simulations!$BH34/IF(Simulations!$J34="",1000,Simulations!$J34))))),PI()*IF(Simulations!$U34="",200,Simulations!$U34)^2/2*(LN(Simulations!$BH34/IF(Simulations!$J34="",1000,Simulations!$J34))+1))))</f>
        <v>0</v>
      </c>
      <c r="J34" s="0" t="n">
        <f aca="false">IF(OR(NOT(AND(Simulations!$A34&lt;&gt;"",OR(Simulations!$BD34&lt;&gt;"",N(Simulations!$BF34)&gt;0))),N(Simulations!$BI34)&lt;=0,N(Simulations!$BF34)&lt;=0,3&gt;N(IF(Simulations!$O34="",1,Simulations!$O34))),0,IF(Simulations!$BI34&lt;IF(Simulations!$J34="",1000,Simulations!$J34),Simulations!$BF34/(IF(Simulations!$G34="",5000,Simulations!$G34)*IF(Simulations!$H34="",5000,Simulations!$H34)*IF(IF(Simulations!$I34="",5000,Simulations!$I34)&gt;0,IF(Simulations!$I34="",5000,Simulations!$I34),1))*Simulations!$BI34*(PI()/2*IF(Simulations!$V34="",200,Simulations!$V34)^2*IF(IF(Simulations!$I34="",5000,Simulations!$I34)&gt;0,SQRT(PI()/2)*IF(Simulations!$Y34="",1000,Simulations!$Y34),1)),Simulations!$BF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V34="",200,Simulations!$V34)^2*IF(Simulations!$Y34="",1000,Simulations!$Y34)/2^1.5*(2/3*LN(Simulations!$BI34/IF(Simulations!$J34="",1000,Simulations!$J34))^1.5+SQRT(LN(Simulations!$BI34/IF(Simulations!$J34="",1000,Simulations!$J34)))+Simulations!$BI34/IF(Simulations!$J34="",1000,Simulations!$J34)*SQRT(PI())/2*ERFC(SQRT(LN(Simulations!$BI34/IF(Simulations!$J34="",1000,Simulations!$J34))))),PI()*IF(Simulations!$V34="",200,Simulations!$V34)^2/2*(LN(Simulations!$BI34/IF(Simulations!$J34="",1000,Simulations!$J34))+1))))</f>
        <v>0</v>
      </c>
      <c r="K34" s="0" t="n">
        <f aca="false">IF(NOT(AND(Simulations!$A34&lt;&gt;"",OR(Simulations!$BD34&lt;&gt;"",N(Simulations!$BF34)&gt;0))),0,MAX(N(Simulations!$BG34),N(Simulations!$BH34),N(Simulations!$BI34))/IF(Simulations!$J34="",1000,Simulations!$J34))</f>
        <v>0</v>
      </c>
      <c r="L34" s="0" t="n">
        <f aca="false">IF(OR(NOT(AND(Simulations!$A34&lt;&gt;"",OR(Simulations!$BD34&lt;&gt;"",N(Simulations!$BF34)&gt;0))),N(Simulations!$BE34)&lt;=0),0,SQRT(2*Simulations!$BE34*1000000/(IF(Simulations!$J34="",1000,Simulations!$J34)*1000))/MIN(IF(Simulations!$T34="",200,Simulations!$T34),IF(Simulations!$U34="",200,Simulations!$U34),IF(Simulations!$V34="",200,Simulations!$V34)))</f>
        <v>0</v>
      </c>
      <c r="M34" s="0" t="n">
        <f aca="false">IF(AND(Simulations!$A34&lt;&gt;"",OR(Simulations!$BD34&lt;&gt;"",N(Simulations!$BF34)&gt;0)),1,0)</f>
        <v>0</v>
      </c>
      <c r="N34" s="0" t="n">
        <f aca="false">IF(OR(NOT(AND(Simulations!$A34&lt;&gt;"",OR(Simulations!$BV34&lt;&gt;"",N(Simulations!$BX34)&gt;0))),N(Simulations!$BY34)&lt;=0,N(Simulations!$BX34)&lt;=0,1&gt;N(IF(Simulations!$O34="",1,Simulations!$O34))),0,IF(Simulations!$BY34&lt;IF(Simulations!$J34="",1000,Simulations!$J34),Simulations!$BX34/(IF(Simulations!$G34="",5000,Simulations!$G34)*IF(Simulations!$H34="",5000,Simulations!$H34)*IF(IF(Simulations!$I34="",5000,Simulations!$I34)&gt;0,IF(Simulations!$I34="",5000,Simulations!$I34),1))*Simulations!$BY34*(PI()/2*IF(Simulations!$T34="",200,Simulations!$T34)^2*IF(IF(Simulations!$I34="",5000,Simulations!$I34)&gt;0,SQRT(PI()/2)*IF(Simulations!$W34="",1000,Simulations!$W34),1)),Simulations!$BX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T34="",200,Simulations!$T34)^2*IF(Simulations!$W34="",1000,Simulations!$W34)/2^1.5*(2/3*LN(Simulations!$BY34/IF(Simulations!$J34="",1000,Simulations!$J34))^1.5+SQRT(LN(Simulations!$BY34/IF(Simulations!$J34="",1000,Simulations!$J34)))+Simulations!$BY34/IF(Simulations!$J34="",1000,Simulations!$J34)*SQRT(PI())/2*ERFC(SQRT(LN(Simulations!$BY34/IF(Simulations!$J34="",1000,Simulations!$J34))))),PI()*IF(Simulations!$T34="",200,Simulations!$T34)^2/2*(LN(Simulations!$BY34/IF(Simulations!$J34="",1000,Simulations!$J34))+1))))</f>
        <v>0</v>
      </c>
      <c r="O34" s="0" t="n">
        <f aca="false">IF(OR(NOT(AND(Simulations!$A34&lt;&gt;"",OR(Simulations!$BV34&lt;&gt;"",N(Simulations!$BX34)&gt;0))),N(Simulations!$BZ34)&lt;=0,N(Simulations!$BX34)&lt;=0,2&gt;N(IF(Simulations!$O34="",1,Simulations!$O34))),0,IF(Simulations!$BZ34&lt;IF(Simulations!$J34="",1000,Simulations!$J34),Simulations!$BX34/(IF(Simulations!$G34="",5000,Simulations!$G34)*IF(Simulations!$H34="",5000,Simulations!$H34)*IF(IF(Simulations!$I34="",5000,Simulations!$I34)&gt;0,IF(Simulations!$I34="",5000,Simulations!$I34),1))*Simulations!$BZ34*(PI()/2*IF(Simulations!$U34="",200,Simulations!$U34)^2*IF(IF(Simulations!$I34="",5000,Simulations!$I34)&gt;0,SQRT(PI()/2)*IF(Simulations!$X34="",1000,Simulations!$X34),1)),Simulations!$BX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U34="",200,Simulations!$U34)^2*IF(Simulations!$X34="",1000,Simulations!$X34)/2^1.5*(2/3*LN(Simulations!$BZ34/IF(Simulations!$J34="",1000,Simulations!$J34))^1.5+SQRT(LN(Simulations!$BZ34/IF(Simulations!$J34="",1000,Simulations!$J34)))+Simulations!$BZ34/IF(Simulations!$J34="",1000,Simulations!$J34)*SQRT(PI())/2*ERFC(SQRT(LN(Simulations!$BZ34/IF(Simulations!$J34="",1000,Simulations!$J34))))),PI()*IF(Simulations!$U34="",200,Simulations!$U34)^2/2*(LN(Simulations!$BZ34/IF(Simulations!$J34="",1000,Simulations!$J34))+1))))</f>
        <v>0</v>
      </c>
      <c r="P34" s="0" t="n">
        <f aca="false">IF(OR(NOT(AND(Simulations!$A34&lt;&gt;"",OR(Simulations!$BV34&lt;&gt;"",N(Simulations!$BX34)&gt;0))),N(Simulations!$CA34)&lt;=0,N(Simulations!$BX34)&lt;=0,3&gt;N(IF(Simulations!$O34="",1,Simulations!$O34))),0,IF(Simulations!$CA34&lt;IF(Simulations!$J34="",1000,Simulations!$J34),Simulations!$BX34/(IF(Simulations!$G34="",5000,Simulations!$G34)*IF(Simulations!$H34="",5000,Simulations!$H34)*IF(IF(Simulations!$I34="",5000,Simulations!$I34)&gt;0,IF(Simulations!$I34="",5000,Simulations!$I34),1))*Simulations!$CA34*(PI()/2*IF(Simulations!$V34="",200,Simulations!$V34)^2*IF(IF(Simulations!$I34="",5000,Simulations!$I34)&gt;0,SQRT(PI()/2)*IF(Simulations!$Y34="",1000,Simulations!$Y34),1)),Simulations!$BX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V34="",200,Simulations!$V34)^2*IF(Simulations!$Y34="",1000,Simulations!$Y34)/2^1.5*(2/3*LN(Simulations!$CA34/IF(Simulations!$J34="",1000,Simulations!$J34))^1.5+SQRT(LN(Simulations!$CA34/IF(Simulations!$J34="",1000,Simulations!$J34)))+Simulations!$CA34/IF(Simulations!$J34="",1000,Simulations!$J34)*SQRT(PI())/2*ERFC(SQRT(LN(Simulations!$CA34/IF(Simulations!$J34="",1000,Simulations!$J34))))),PI()*IF(Simulations!$V34="",200,Simulations!$V34)^2/2*(LN(Simulations!$CA34/IF(Simulations!$J34="",1000,Simulations!$J34))+1))))</f>
        <v>0</v>
      </c>
      <c r="Q34" s="0" t="n">
        <f aca="false">IF(NOT(AND(Simulations!$A34&lt;&gt;"",OR(Simulations!$BV34&lt;&gt;"",N(Simulations!$BX34)&gt;0))),0,MAX(N(Simulations!$BY34),N(Simulations!$BZ34),N(Simulations!$CA34))/IF(Simulations!$J34="",1000,Simulations!$J34))</f>
        <v>0</v>
      </c>
      <c r="R34" s="0" t="n">
        <f aca="false">IF(OR(NOT(AND(Simulations!$A34&lt;&gt;"",OR(Simulations!$BV34&lt;&gt;"",N(Simulations!$BX34)&gt;0))),N(Simulations!$BW34)&lt;=0),0,SQRT(2*Simulations!$BW34*1000000/(IF(Simulations!$J34="",1000,Simulations!$J34)*1000))/MIN(IF(Simulations!$T34="",200,Simulations!$T34),IF(Simulations!$U34="",200,Simulations!$U34),IF(Simulations!$V34="",200,Simulations!$V34)))</f>
        <v>0</v>
      </c>
      <c r="S34" s="0" t="n">
        <f aca="false">IF(AND(Simulations!$A34&lt;&gt;"",OR(Simulations!$BV34&lt;&gt;"",N(Simulations!$BX34)&gt;0)),1,0)</f>
        <v>0</v>
      </c>
      <c r="T34" s="0" t="n">
        <f aca="false">IF(OR(NOT(AND(Simulations!$A34&lt;&gt;"",OR(Simulations!$CN34&lt;&gt;"",N(Simulations!$CP34)&gt;0))),N(Simulations!$CQ34)&lt;=0,N(Simulations!$CP34)&lt;=0,1&gt;N(IF(Simulations!$O34="",1,Simulations!$O34))),0,IF(Simulations!$CQ34&lt;IF(Simulations!$J34="",1000,Simulations!$J34),Simulations!$CP34/(IF(Simulations!$G34="",5000,Simulations!$G34)*IF(Simulations!$H34="",5000,Simulations!$H34)*IF(IF(Simulations!$I34="",5000,Simulations!$I34)&gt;0,IF(Simulations!$I34="",5000,Simulations!$I34),1))*Simulations!$CQ34*(PI()/2*IF(Simulations!$T34="",200,Simulations!$T34)^2*IF(IF(Simulations!$I34="",5000,Simulations!$I34)&gt;0,SQRT(PI()/2)*IF(Simulations!$W34="",1000,Simulations!$W34),1)),Simulations!$CP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T34="",200,Simulations!$T34)^2*IF(Simulations!$W34="",1000,Simulations!$W34)/2^1.5*(2/3*LN(Simulations!$CQ34/IF(Simulations!$J34="",1000,Simulations!$J34))^1.5+SQRT(LN(Simulations!$CQ34/IF(Simulations!$J34="",1000,Simulations!$J34)))+Simulations!$CQ34/IF(Simulations!$J34="",1000,Simulations!$J34)*SQRT(PI())/2*ERFC(SQRT(LN(Simulations!$CQ34/IF(Simulations!$J34="",1000,Simulations!$J34))))),PI()*IF(Simulations!$T34="",200,Simulations!$T34)^2/2*(LN(Simulations!$CQ34/IF(Simulations!$J34="",1000,Simulations!$J34))+1))))</f>
        <v>0</v>
      </c>
      <c r="U34" s="0" t="n">
        <f aca="false">IF(OR(NOT(AND(Simulations!$A34&lt;&gt;"",OR(Simulations!$CN34&lt;&gt;"",N(Simulations!$CP34)&gt;0))),N(Simulations!$CR34)&lt;=0,N(Simulations!$CP34)&lt;=0,2&gt;N(IF(Simulations!$O34="",1,Simulations!$O34))),0,IF(Simulations!$CR34&lt;IF(Simulations!$J34="",1000,Simulations!$J34),Simulations!$CP34/(IF(Simulations!$G34="",5000,Simulations!$G34)*IF(Simulations!$H34="",5000,Simulations!$H34)*IF(IF(Simulations!$I34="",5000,Simulations!$I34)&gt;0,IF(Simulations!$I34="",5000,Simulations!$I34),1))*Simulations!$CR34*(PI()/2*IF(Simulations!$U34="",200,Simulations!$U34)^2*IF(IF(Simulations!$I34="",5000,Simulations!$I34)&gt;0,SQRT(PI()/2)*IF(Simulations!$X34="",1000,Simulations!$X34),1)),Simulations!$CP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U34="",200,Simulations!$U34)^2*IF(Simulations!$X34="",1000,Simulations!$X34)/2^1.5*(2/3*LN(Simulations!$CR34/IF(Simulations!$J34="",1000,Simulations!$J34))^1.5+SQRT(LN(Simulations!$CR34/IF(Simulations!$J34="",1000,Simulations!$J34)))+Simulations!$CR34/IF(Simulations!$J34="",1000,Simulations!$J34)*SQRT(PI())/2*ERFC(SQRT(LN(Simulations!$CR34/IF(Simulations!$J34="",1000,Simulations!$J34))))),PI()*IF(Simulations!$U34="",200,Simulations!$U34)^2/2*(LN(Simulations!$CR34/IF(Simulations!$J34="",1000,Simulations!$J34))+1))))</f>
        <v>0</v>
      </c>
      <c r="V34" s="0" t="n">
        <f aca="false">IF(OR(NOT(AND(Simulations!$A34&lt;&gt;"",OR(Simulations!$CN34&lt;&gt;"",N(Simulations!$CP34)&gt;0))),N(Simulations!$CS34)&lt;=0,N(Simulations!$CP34)&lt;=0,3&gt;N(IF(Simulations!$O34="",1,Simulations!$O34))),0,IF(Simulations!$CS34&lt;IF(Simulations!$J34="",1000,Simulations!$J34),Simulations!$CP34/(IF(Simulations!$G34="",5000,Simulations!$G34)*IF(Simulations!$H34="",5000,Simulations!$H34)*IF(IF(Simulations!$I34="",5000,Simulations!$I34)&gt;0,IF(Simulations!$I34="",5000,Simulations!$I34),1))*Simulations!$CS34*(PI()/2*IF(Simulations!$V34="",200,Simulations!$V34)^2*IF(IF(Simulations!$I34="",5000,Simulations!$I34)&gt;0,SQRT(PI()/2)*IF(Simulations!$Y34="",1000,Simulations!$Y34),1)),Simulations!$CP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V34="",200,Simulations!$V34)^2*IF(Simulations!$Y34="",1000,Simulations!$Y34)/2^1.5*(2/3*LN(Simulations!$CS34/IF(Simulations!$J34="",1000,Simulations!$J34))^1.5+SQRT(LN(Simulations!$CS34/IF(Simulations!$J34="",1000,Simulations!$J34)))+Simulations!$CS34/IF(Simulations!$J34="",1000,Simulations!$J34)*SQRT(PI())/2*ERFC(SQRT(LN(Simulations!$CS34/IF(Simulations!$J34="",1000,Simulations!$J34))))),PI()*IF(Simulations!$V34="",200,Simulations!$V34)^2/2*(LN(Simulations!$CS34/IF(Simulations!$J34="",1000,Simulations!$J34))+1))))</f>
        <v>0</v>
      </c>
      <c r="W34" s="0" t="n">
        <f aca="false">IF(NOT(AND(Simulations!$A34&lt;&gt;"",OR(Simulations!$CN34&lt;&gt;"",N(Simulations!$CP34)&gt;0))),0,MAX(N(Simulations!$CQ34),N(Simulations!$CR34),N(Simulations!$CS34))/IF(Simulations!$J34="",1000,Simulations!$J34))</f>
        <v>0</v>
      </c>
      <c r="X34" s="0" t="n">
        <f aca="false">IF(OR(NOT(AND(Simulations!$A34&lt;&gt;"",OR(Simulations!$CN34&lt;&gt;"",N(Simulations!$CP34)&gt;0))),N(Simulations!$CO34)&lt;=0),0,SQRT(2*Simulations!$CO34*1000000/(IF(Simulations!$J34="",1000,Simulations!$J34)*1000))/MIN(IF(Simulations!$T34="",200,Simulations!$T34),IF(Simulations!$U34="",200,Simulations!$U34),IF(Simulations!$V34="",200,Simulations!$V34)))</f>
        <v>0</v>
      </c>
      <c r="Y34" s="0" t="n">
        <f aca="false">IF(AND(Simulations!$A34&lt;&gt;"",OR(Simulations!$CN34&lt;&gt;"",N(Simulations!$CP34)&gt;0)),1,0)</f>
        <v>0</v>
      </c>
      <c r="Z34" s="0" t="n">
        <f aca="false">IF(OR(NOT(AND(Simulations!$A34&lt;&gt;"",OR(Simulations!$DF34&lt;&gt;"",N(Simulations!$DH34)&gt;0))),N(Simulations!$DI34)&lt;=0,N(Simulations!$DH34)&lt;=0,1&gt;N(IF(Simulations!$O34="",1,Simulations!$O34))),0,IF(Simulations!$DI34&lt;IF(Simulations!$J34="",1000,Simulations!$J34),Simulations!$DH34/(IF(Simulations!$G34="",5000,Simulations!$G34)*IF(Simulations!$H34="",5000,Simulations!$H34)*IF(IF(Simulations!$I34="",5000,Simulations!$I34)&gt;0,IF(Simulations!$I34="",5000,Simulations!$I34),1))*Simulations!$DI34*(PI()/2*IF(Simulations!$T34="",200,Simulations!$T34)^2*IF(IF(Simulations!$I34="",5000,Simulations!$I34)&gt;0,SQRT(PI()/2)*IF(Simulations!$W34="",1000,Simulations!$W34),1)),Simulations!$DH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T34="",200,Simulations!$T34)^2*IF(Simulations!$W34="",1000,Simulations!$W34)/2^1.5*(2/3*LN(Simulations!$DI34/IF(Simulations!$J34="",1000,Simulations!$J34))^1.5+SQRT(LN(Simulations!$DI34/IF(Simulations!$J34="",1000,Simulations!$J34)))+Simulations!$DI34/IF(Simulations!$J34="",1000,Simulations!$J34)*SQRT(PI())/2*ERFC(SQRT(LN(Simulations!$DI34/IF(Simulations!$J34="",1000,Simulations!$J34))))),PI()*IF(Simulations!$T34="",200,Simulations!$T34)^2/2*(LN(Simulations!$DI34/IF(Simulations!$J34="",1000,Simulations!$J34))+1))))</f>
        <v>0</v>
      </c>
      <c r="AA34" s="0" t="n">
        <f aca="false">IF(OR(NOT(AND(Simulations!$A34&lt;&gt;"",OR(Simulations!$DF34&lt;&gt;"",N(Simulations!$DH34)&gt;0))),N(Simulations!$DJ34)&lt;=0,N(Simulations!$DH34)&lt;=0,2&gt;N(IF(Simulations!$O34="",1,Simulations!$O34))),0,IF(Simulations!$DJ34&lt;IF(Simulations!$J34="",1000,Simulations!$J34),Simulations!$DH34/(IF(Simulations!$G34="",5000,Simulations!$G34)*IF(Simulations!$H34="",5000,Simulations!$H34)*IF(IF(Simulations!$I34="",5000,Simulations!$I34)&gt;0,IF(Simulations!$I34="",5000,Simulations!$I34),1))*Simulations!$DJ34*(PI()/2*IF(Simulations!$U34="",200,Simulations!$U34)^2*IF(IF(Simulations!$I34="",5000,Simulations!$I34)&gt;0,SQRT(PI()/2)*IF(Simulations!$X34="",1000,Simulations!$X34),1)),Simulations!$DH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U34="",200,Simulations!$U34)^2*IF(Simulations!$X34="",1000,Simulations!$X34)/2^1.5*(2/3*LN(Simulations!$DJ34/IF(Simulations!$J34="",1000,Simulations!$J34))^1.5+SQRT(LN(Simulations!$DJ34/IF(Simulations!$J34="",1000,Simulations!$J34)))+Simulations!$DJ34/IF(Simulations!$J34="",1000,Simulations!$J34)*SQRT(PI())/2*ERFC(SQRT(LN(Simulations!$DJ34/IF(Simulations!$J34="",1000,Simulations!$J34))))),PI()*IF(Simulations!$U34="",200,Simulations!$U34)^2/2*(LN(Simulations!$DJ34/IF(Simulations!$J34="",1000,Simulations!$J34))+1))))</f>
        <v>0</v>
      </c>
      <c r="AB34" s="0" t="n">
        <f aca="false">IF(OR(NOT(AND(Simulations!$A34&lt;&gt;"",OR(Simulations!$DF34&lt;&gt;"",N(Simulations!$DH34)&gt;0))),N(Simulations!$DK34)&lt;=0,N(Simulations!$DH34)&lt;=0,3&gt;N(IF(Simulations!$O34="",1,Simulations!$O34))),0,IF(Simulations!$DK34&lt;IF(Simulations!$J34="",1000,Simulations!$J34),Simulations!$DH34/(IF(Simulations!$G34="",5000,Simulations!$G34)*IF(Simulations!$H34="",5000,Simulations!$H34)*IF(IF(Simulations!$I34="",5000,Simulations!$I34)&gt;0,IF(Simulations!$I34="",5000,Simulations!$I34),1))*Simulations!$DK34*(PI()/2*IF(Simulations!$V34="",200,Simulations!$V34)^2*IF(IF(Simulations!$I34="",5000,Simulations!$I34)&gt;0,SQRT(PI()/2)*IF(Simulations!$Y34="",1000,Simulations!$Y34),1)),Simulations!$DH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V34="",200,Simulations!$V34)^2*IF(Simulations!$Y34="",1000,Simulations!$Y34)/2^1.5*(2/3*LN(Simulations!$DK34/IF(Simulations!$J34="",1000,Simulations!$J34))^1.5+SQRT(LN(Simulations!$DK34/IF(Simulations!$J34="",1000,Simulations!$J34)))+Simulations!$DK34/IF(Simulations!$J34="",1000,Simulations!$J34)*SQRT(PI())/2*ERFC(SQRT(LN(Simulations!$DK34/IF(Simulations!$J34="",1000,Simulations!$J34))))),PI()*IF(Simulations!$V34="",200,Simulations!$V34)^2/2*(LN(Simulations!$DK34/IF(Simulations!$J34="",1000,Simulations!$J34))+1))))</f>
        <v>0</v>
      </c>
      <c r="AC34" s="0" t="n">
        <f aca="false">IF(NOT(AND(Simulations!$A34&lt;&gt;"",OR(Simulations!$DF34&lt;&gt;"",N(Simulations!$DH34)&gt;0))),0,MAX(N(Simulations!$DI34),N(Simulations!$DJ34),N(Simulations!$DK34))/IF(Simulations!$J34="",1000,Simulations!$J34))</f>
        <v>0</v>
      </c>
      <c r="AD34" s="0" t="n">
        <f aca="false">IF(OR(NOT(AND(Simulations!$A34&lt;&gt;"",OR(Simulations!$DF34&lt;&gt;"",N(Simulations!$DH34)&gt;0))),N(Simulations!$DG34)&lt;=0),0,SQRT(2*Simulations!$DG34*1000000/(IF(Simulations!$J34="",1000,Simulations!$J34)*1000))/MIN(IF(Simulations!$T34="",200,Simulations!$T34),IF(Simulations!$U34="",200,Simulations!$U34),IF(Simulations!$V34="",200,Simulations!$V34)))</f>
        <v>0</v>
      </c>
      <c r="AE34" s="0" t="n">
        <f aca="false">IF(AND(Simulations!$A34&lt;&gt;"",OR(Simulations!$DF34&lt;&gt;"",N(Simulations!$DH34)&gt;0)),1,0)</f>
        <v>0</v>
      </c>
      <c r="AF34" s="0" t="n">
        <f aca="false">IF(OR(NOT(AND(Simulations!$A34&lt;&gt;"",OR(Simulations!$DX34&lt;&gt;"",N(Simulations!$DZ34)&gt;0))),N(Simulations!$EA34)&lt;=0,N(Simulations!$DZ34)&lt;=0,1&gt;N(IF(Simulations!$O34="",1,Simulations!$O34))),0,IF(Simulations!$EA34&lt;IF(Simulations!$J34="",1000,Simulations!$J34),Simulations!$DZ34/(IF(Simulations!$G34="",5000,Simulations!$G34)*IF(Simulations!$H34="",5000,Simulations!$H34)*IF(IF(Simulations!$I34="",5000,Simulations!$I34)&gt;0,IF(Simulations!$I34="",5000,Simulations!$I34),1))*Simulations!$EA34*(PI()/2*IF(Simulations!$T34="",200,Simulations!$T34)^2*IF(IF(Simulations!$I34="",5000,Simulations!$I34)&gt;0,SQRT(PI()/2)*IF(Simulations!$W34="",1000,Simulations!$W34),1)),Simulations!$DZ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T34="",200,Simulations!$T34)^2*IF(Simulations!$W34="",1000,Simulations!$W34)/2^1.5*(2/3*LN(Simulations!$EA34/IF(Simulations!$J34="",1000,Simulations!$J34))^1.5+SQRT(LN(Simulations!$EA34/IF(Simulations!$J34="",1000,Simulations!$J34)))+Simulations!$EA34/IF(Simulations!$J34="",1000,Simulations!$J34)*SQRT(PI())/2*ERFC(SQRT(LN(Simulations!$EA34/IF(Simulations!$J34="",1000,Simulations!$J34))))),PI()*IF(Simulations!$T34="",200,Simulations!$T34)^2/2*(LN(Simulations!$EA34/IF(Simulations!$J34="",1000,Simulations!$J34))+1))))</f>
        <v>0</v>
      </c>
      <c r="AG34" s="0" t="n">
        <f aca="false">IF(OR(NOT(AND(Simulations!$A34&lt;&gt;"",OR(Simulations!$DX34&lt;&gt;"",N(Simulations!$DZ34)&gt;0))),N(Simulations!$EB34)&lt;=0,N(Simulations!$DZ34)&lt;=0,2&gt;N(IF(Simulations!$O34="",1,Simulations!$O34))),0,IF(Simulations!$EB34&lt;IF(Simulations!$J34="",1000,Simulations!$J34),Simulations!$DZ34/(IF(Simulations!$G34="",5000,Simulations!$G34)*IF(Simulations!$H34="",5000,Simulations!$H34)*IF(IF(Simulations!$I34="",5000,Simulations!$I34)&gt;0,IF(Simulations!$I34="",5000,Simulations!$I34),1))*Simulations!$EB34*(PI()/2*IF(Simulations!$U34="",200,Simulations!$U34)^2*IF(IF(Simulations!$I34="",5000,Simulations!$I34)&gt;0,SQRT(PI()/2)*IF(Simulations!$X34="",1000,Simulations!$X34),1)),Simulations!$DZ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U34="",200,Simulations!$U34)^2*IF(Simulations!$X34="",1000,Simulations!$X34)/2^1.5*(2/3*LN(Simulations!$EB34/IF(Simulations!$J34="",1000,Simulations!$J34))^1.5+SQRT(LN(Simulations!$EB34/IF(Simulations!$J34="",1000,Simulations!$J34)))+Simulations!$EB34/IF(Simulations!$J34="",1000,Simulations!$J34)*SQRT(PI())/2*ERFC(SQRT(LN(Simulations!$EB34/IF(Simulations!$J34="",1000,Simulations!$J34))))),PI()*IF(Simulations!$U34="",200,Simulations!$U34)^2/2*(LN(Simulations!$EB34/IF(Simulations!$J34="",1000,Simulations!$J34))+1))))</f>
        <v>0</v>
      </c>
      <c r="AH34" s="0" t="n">
        <f aca="false">IF(OR(NOT(AND(Simulations!$A34&lt;&gt;"",OR(Simulations!$DX34&lt;&gt;"",N(Simulations!$DZ34)&gt;0))),N(Simulations!$EC34)&lt;=0,N(Simulations!$DZ34)&lt;=0,3&gt;N(IF(Simulations!$O34="",1,Simulations!$O34))),0,IF(Simulations!$EC34&lt;IF(Simulations!$J34="",1000,Simulations!$J34),Simulations!$DZ34/(IF(Simulations!$G34="",5000,Simulations!$G34)*IF(Simulations!$H34="",5000,Simulations!$H34)*IF(IF(Simulations!$I34="",5000,Simulations!$I34)&gt;0,IF(Simulations!$I34="",5000,Simulations!$I34),1))*Simulations!$EC34*(PI()/2*IF(Simulations!$V34="",200,Simulations!$V34)^2*IF(IF(Simulations!$I34="",5000,Simulations!$I34)&gt;0,SQRT(PI()/2)*IF(Simulations!$Y34="",1000,Simulations!$Y34),1)),Simulations!$DZ34/(IF(Simulations!$G34="",5000,Simulations!$G34)*IF(Simulations!$H34="",5000,Simulations!$H34)*IF(IF(Simulations!$I34="",5000,Simulations!$I34)&gt;0,IF(Simulations!$I34="",5000,Simulations!$I34),1))*IF(Simulations!$J34="",1000,Simulations!$J34)*IF(IF(Simulations!$I34="",5000,Simulations!$I34)&gt;0,2*PI()*IF(Simulations!$V34="",200,Simulations!$V34)^2*IF(Simulations!$Y34="",1000,Simulations!$Y34)/2^1.5*(2/3*LN(Simulations!$EC34/IF(Simulations!$J34="",1000,Simulations!$J34))^1.5+SQRT(LN(Simulations!$EC34/IF(Simulations!$J34="",1000,Simulations!$J34)))+Simulations!$EC34/IF(Simulations!$J34="",1000,Simulations!$J34)*SQRT(PI())/2*ERFC(SQRT(LN(Simulations!$EC34/IF(Simulations!$J34="",1000,Simulations!$J34))))),PI()*IF(Simulations!$V34="",200,Simulations!$V34)^2/2*(LN(Simulations!$EC34/IF(Simulations!$J34="",1000,Simulations!$J34))+1))))</f>
        <v>0</v>
      </c>
      <c r="AI34" s="0" t="n">
        <f aca="false">IF(NOT(AND(Simulations!$A34&lt;&gt;"",OR(Simulations!$DX34&lt;&gt;"",N(Simulations!$DZ34)&gt;0))),0,MAX(N(Simulations!$EA34),N(Simulations!$EB34),N(Simulations!$EC34))/IF(Simulations!$J34="",1000,Simulations!$J34))</f>
        <v>0</v>
      </c>
      <c r="AJ34" s="0" t="n">
        <f aca="false">IF(OR(NOT(AND(Simulations!$A34&lt;&gt;"",OR(Simulations!$DX34&lt;&gt;"",N(Simulations!$DZ34)&gt;0))),N(Simulations!$DY34)&lt;=0),0,SQRT(2*Simulations!$DY34*1000000/(IF(Simulations!$J34="",1000,Simulations!$J34)*1000))/MIN(IF(Simulations!$T34="",200,Simulations!$T34),IF(Simulations!$U34="",200,Simulations!$U34),IF(Simulations!$V34="",200,Simulations!$V34)))</f>
        <v>0</v>
      </c>
      <c r="AK34" s="0" t="n">
        <f aca="false">IF(AND(Simulations!$A34&lt;&gt;"",OR(Simulations!$DX34&lt;&gt;"",N(Simulations!$DZ34)&gt;0)),1,0)</f>
        <v>0</v>
      </c>
    </row>
    <row r="35" customFormat="false" ht="15" hidden="false" customHeight="false" outlineLevel="0" collapsed="false">
      <c r="B35" s="0" t="n">
        <f aca="false">IF(OR(NOT(AND(Simulations!$A35&lt;&gt;"",OR(Simulations!$AL35&lt;&gt;"",N(Simulations!$AN35)&gt;0))),N(Simulations!$AO35)&lt;=0,N(Simulations!$AN35)&lt;=0,1&gt;N(IF(Simulations!$O35="",1,Simulations!$O35))),0,IF(Simulations!$AO35&lt;IF(Simulations!$J35="",1000,Simulations!$J35),Simulations!$AN35/(IF(Simulations!$G35="",5000,Simulations!$G35)*IF(Simulations!$H35="",5000,Simulations!$H35)*IF(IF(Simulations!$I35="",5000,Simulations!$I35)&gt;0,IF(Simulations!$I35="",5000,Simulations!$I35),1))*Simulations!$AO35*(PI()/2*IF(Simulations!$T35="",200,Simulations!$T35)^2*IF(IF(Simulations!$I35="",5000,Simulations!$I35)&gt;0,SQRT(PI()/2)*IF(Simulations!$W35="",1000,Simulations!$W35),1)),Simulations!$AN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T35="",200,Simulations!$T35)^2*IF(Simulations!$W35="",1000,Simulations!$W35)/2^1.5*(2/3*LN(Simulations!$AO35/IF(Simulations!$J35="",1000,Simulations!$J35))^1.5+SQRT(LN(Simulations!$AO35/IF(Simulations!$J35="",1000,Simulations!$J35)))+Simulations!$AO35/IF(Simulations!$J35="",1000,Simulations!$J35)*SQRT(PI())/2*ERFC(SQRT(LN(Simulations!$AO35/IF(Simulations!$J35="",1000,Simulations!$J35))))),PI()*IF(Simulations!$T35="",200,Simulations!$T35)^2/2*(LN(Simulations!$AO35/IF(Simulations!$J35="",1000,Simulations!$J35))+1))))</f>
        <v>0</v>
      </c>
      <c r="C35" s="0" t="n">
        <f aca="false">IF(OR(NOT(AND(Simulations!$A35&lt;&gt;"",OR(Simulations!$AL35&lt;&gt;"",N(Simulations!$AN35)&gt;0))),N(Simulations!$AP35)&lt;=0,N(Simulations!$AN35)&lt;=0,2&gt;N(IF(Simulations!$O35="",1,Simulations!$O35))),0,IF(Simulations!$AP35&lt;IF(Simulations!$J35="",1000,Simulations!$J35),Simulations!$AN35/(IF(Simulations!$G35="",5000,Simulations!$G35)*IF(Simulations!$H35="",5000,Simulations!$H35)*IF(IF(Simulations!$I35="",5000,Simulations!$I35)&gt;0,IF(Simulations!$I35="",5000,Simulations!$I35),1))*Simulations!$AP35*(PI()/2*IF(Simulations!$U35="",200,Simulations!$U35)^2*IF(IF(Simulations!$I35="",5000,Simulations!$I35)&gt;0,SQRT(PI()/2)*IF(Simulations!$X35="",1000,Simulations!$X35),1)),Simulations!$AN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U35="",200,Simulations!$U35)^2*IF(Simulations!$X35="",1000,Simulations!$X35)/2^1.5*(2/3*LN(Simulations!$AP35/IF(Simulations!$J35="",1000,Simulations!$J35))^1.5+SQRT(LN(Simulations!$AP35/IF(Simulations!$J35="",1000,Simulations!$J35)))+Simulations!$AP35/IF(Simulations!$J35="",1000,Simulations!$J35)*SQRT(PI())/2*ERFC(SQRT(LN(Simulations!$AP35/IF(Simulations!$J35="",1000,Simulations!$J35))))),PI()*IF(Simulations!$U35="",200,Simulations!$U35)^2/2*(LN(Simulations!$AP35/IF(Simulations!$J35="",1000,Simulations!$J35))+1))))</f>
        <v>0</v>
      </c>
      <c r="D35" s="0" t="n">
        <f aca="false">IF(OR(NOT(AND(Simulations!$A35&lt;&gt;"",OR(Simulations!$AL35&lt;&gt;"",N(Simulations!$AN35)&gt;0))),N(Simulations!$AQ35)&lt;=0,N(Simulations!$AN35)&lt;=0,3&gt;N(IF(Simulations!$O35="",1,Simulations!$O35))),0,IF(Simulations!$AQ35&lt;IF(Simulations!$J35="",1000,Simulations!$J35),Simulations!$AN35/(IF(Simulations!$G35="",5000,Simulations!$G35)*IF(Simulations!$H35="",5000,Simulations!$H35)*IF(IF(Simulations!$I35="",5000,Simulations!$I35)&gt;0,IF(Simulations!$I35="",5000,Simulations!$I35),1))*Simulations!$AQ35*(PI()/2*IF(Simulations!$V35="",200,Simulations!$V35)^2*IF(IF(Simulations!$I35="",5000,Simulations!$I35)&gt;0,SQRT(PI()/2)*IF(Simulations!$Y35="",1000,Simulations!$Y35),1)),Simulations!$AN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V35="",200,Simulations!$V35)^2*IF(Simulations!$Y35="",1000,Simulations!$Y35)/2^1.5*(2/3*LN(Simulations!$AQ35/IF(Simulations!$J35="",1000,Simulations!$J35))^1.5+SQRT(LN(Simulations!$AQ35/IF(Simulations!$J35="",1000,Simulations!$J35)))+Simulations!$AQ35/IF(Simulations!$J35="",1000,Simulations!$J35)*SQRT(PI())/2*ERFC(SQRT(LN(Simulations!$AQ35/IF(Simulations!$J35="",1000,Simulations!$J35))))),PI()*IF(Simulations!$V35="",200,Simulations!$V35)^2/2*(LN(Simulations!$AQ35/IF(Simulations!$J35="",1000,Simulations!$J35))+1))))</f>
        <v>0</v>
      </c>
      <c r="E35" s="0" t="n">
        <f aca="false">IF(NOT(AND(Simulations!$A35&lt;&gt;"",OR(Simulations!$AL35&lt;&gt;"",N(Simulations!$AN35)&gt;0))),0,MAX(N(Simulations!$AO35),N(Simulations!$AP35),N(Simulations!$AQ35))/IF(Simulations!$J35="",1000,Simulations!$J35))</f>
        <v>0</v>
      </c>
      <c r="F35" s="0" t="n">
        <f aca="false">IF(OR(NOT(AND(Simulations!$A35&lt;&gt;"",OR(Simulations!$AL35&lt;&gt;"",N(Simulations!$AN35)&gt;0))),N(Simulations!$AM35)&lt;=0),0,SQRT(2*Simulations!$AM35*1000000/(IF(Simulations!$J35="",1000,Simulations!$J35)*1000))/MIN(IF(Simulations!$T35="",200,Simulations!$T35),IF(Simulations!$U35="",200,Simulations!$U35),IF(Simulations!$V35="",200,Simulations!$V35)))</f>
        <v>0</v>
      </c>
      <c r="G35" s="0" t="n">
        <f aca="false">IF(AND(Simulations!$A35&lt;&gt;"",OR(Simulations!$AL35&lt;&gt;"",N(Simulations!$AN35)&gt;0)),1,0)</f>
        <v>0</v>
      </c>
      <c r="H35" s="0" t="n">
        <f aca="false">IF(OR(NOT(AND(Simulations!$A35&lt;&gt;"",OR(Simulations!$BD35&lt;&gt;"",N(Simulations!$BF35)&gt;0))),N(Simulations!$BG35)&lt;=0,N(Simulations!$BF35)&lt;=0,1&gt;N(IF(Simulations!$O35="",1,Simulations!$O35))),0,IF(Simulations!$BG35&lt;IF(Simulations!$J35="",1000,Simulations!$J35),Simulations!$BF35/(IF(Simulations!$G35="",5000,Simulations!$G35)*IF(Simulations!$H35="",5000,Simulations!$H35)*IF(IF(Simulations!$I35="",5000,Simulations!$I35)&gt;0,IF(Simulations!$I35="",5000,Simulations!$I35),1))*Simulations!$BG35*(PI()/2*IF(Simulations!$T35="",200,Simulations!$T35)^2*IF(IF(Simulations!$I35="",5000,Simulations!$I35)&gt;0,SQRT(PI()/2)*IF(Simulations!$W35="",1000,Simulations!$W35),1)),Simulations!$BF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T35="",200,Simulations!$T35)^2*IF(Simulations!$W35="",1000,Simulations!$W35)/2^1.5*(2/3*LN(Simulations!$BG35/IF(Simulations!$J35="",1000,Simulations!$J35))^1.5+SQRT(LN(Simulations!$BG35/IF(Simulations!$J35="",1000,Simulations!$J35)))+Simulations!$BG35/IF(Simulations!$J35="",1000,Simulations!$J35)*SQRT(PI())/2*ERFC(SQRT(LN(Simulations!$BG35/IF(Simulations!$J35="",1000,Simulations!$J35))))),PI()*IF(Simulations!$T35="",200,Simulations!$T35)^2/2*(LN(Simulations!$BG35/IF(Simulations!$J35="",1000,Simulations!$J35))+1))))</f>
        <v>0</v>
      </c>
      <c r="I35" s="0" t="n">
        <f aca="false">IF(OR(NOT(AND(Simulations!$A35&lt;&gt;"",OR(Simulations!$BD35&lt;&gt;"",N(Simulations!$BF35)&gt;0))),N(Simulations!$BH35)&lt;=0,N(Simulations!$BF35)&lt;=0,2&gt;N(IF(Simulations!$O35="",1,Simulations!$O35))),0,IF(Simulations!$BH35&lt;IF(Simulations!$J35="",1000,Simulations!$J35),Simulations!$BF35/(IF(Simulations!$G35="",5000,Simulations!$G35)*IF(Simulations!$H35="",5000,Simulations!$H35)*IF(IF(Simulations!$I35="",5000,Simulations!$I35)&gt;0,IF(Simulations!$I35="",5000,Simulations!$I35),1))*Simulations!$BH35*(PI()/2*IF(Simulations!$U35="",200,Simulations!$U35)^2*IF(IF(Simulations!$I35="",5000,Simulations!$I35)&gt;0,SQRT(PI()/2)*IF(Simulations!$X35="",1000,Simulations!$X35),1)),Simulations!$BF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U35="",200,Simulations!$U35)^2*IF(Simulations!$X35="",1000,Simulations!$X35)/2^1.5*(2/3*LN(Simulations!$BH35/IF(Simulations!$J35="",1000,Simulations!$J35))^1.5+SQRT(LN(Simulations!$BH35/IF(Simulations!$J35="",1000,Simulations!$J35)))+Simulations!$BH35/IF(Simulations!$J35="",1000,Simulations!$J35)*SQRT(PI())/2*ERFC(SQRT(LN(Simulations!$BH35/IF(Simulations!$J35="",1000,Simulations!$J35))))),PI()*IF(Simulations!$U35="",200,Simulations!$U35)^2/2*(LN(Simulations!$BH35/IF(Simulations!$J35="",1000,Simulations!$J35))+1))))</f>
        <v>0</v>
      </c>
      <c r="J35" s="0" t="n">
        <f aca="false">IF(OR(NOT(AND(Simulations!$A35&lt;&gt;"",OR(Simulations!$BD35&lt;&gt;"",N(Simulations!$BF35)&gt;0))),N(Simulations!$BI35)&lt;=0,N(Simulations!$BF35)&lt;=0,3&gt;N(IF(Simulations!$O35="",1,Simulations!$O35))),0,IF(Simulations!$BI35&lt;IF(Simulations!$J35="",1000,Simulations!$J35),Simulations!$BF35/(IF(Simulations!$G35="",5000,Simulations!$G35)*IF(Simulations!$H35="",5000,Simulations!$H35)*IF(IF(Simulations!$I35="",5000,Simulations!$I35)&gt;0,IF(Simulations!$I35="",5000,Simulations!$I35),1))*Simulations!$BI35*(PI()/2*IF(Simulations!$V35="",200,Simulations!$V35)^2*IF(IF(Simulations!$I35="",5000,Simulations!$I35)&gt;0,SQRT(PI()/2)*IF(Simulations!$Y35="",1000,Simulations!$Y35),1)),Simulations!$BF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V35="",200,Simulations!$V35)^2*IF(Simulations!$Y35="",1000,Simulations!$Y35)/2^1.5*(2/3*LN(Simulations!$BI35/IF(Simulations!$J35="",1000,Simulations!$J35))^1.5+SQRT(LN(Simulations!$BI35/IF(Simulations!$J35="",1000,Simulations!$J35)))+Simulations!$BI35/IF(Simulations!$J35="",1000,Simulations!$J35)*SQRT(PI())/2*ERFC(SQRT(LN(Simulations!$BI35/IF(Simulations!$J35="",1000,Simulations!$J35))))),PI()*IF(Simulations!$V35="",200,Simulations!$V35)^2/2*(LN(Simulations!$BI35/IF(Simulations!$J35="",1000,Simulations!$J35))+1))))</f>
        <v>0</v>
      </c>
      <c r="K35" s="0" t="n">
        <f aca="false">IF(NOT(AND(Simulations!$A35&lt;&gt;"",OR(Simulations!$BD35&lt;&gt;"",N(Simulations!$BF35)&gt;0))),0,MAX(N(Simulations!$BG35),N(Simulations!$BH35),N(Simulations!$BI35))/IF(Simulations!$J35="",1000,Simulations!$J35))</f>
        <v>0</v>
      </c>
      <c r="L35" s="0" t="n">
        <f aca="false">IF(OR(NOT(AND(Simulations!$A35&lt;&gt;"",OR(Simulations!$BD35&lt;&gt;"",N(Simulations!$BF35)&gt;0))),N(Simulations!$BE35)&lt;=0),0,SQRT(2*Simulations!$BE35*1000000/(IF(Simulations!$J35="",1000,Simulations!$J35)*1000))/MIN(IF(Simulations!$T35="",200,Simulations!$T35),IF(Simulations!$U35="",200,Simulations!$U35),IF(Simulations!$V35="",200,Simulations!$V35)))</f>
        <v>0</v>
      </c>
      <c r="M35" s="0" t="n">
        <f aca="false">IF(AND(Simulations!$A35&lt;&gt;"",OR(Simulations!$BD35&lt;&gt;"",N(Simulations!$BF35)&gt;0)),1,0)</f>
        <v>0</v>
      </c>
      <c r="N35" s="0" t="n">
        <f aca="false">IF(OR(NOT(AND(Simulations!$A35&lt;&gt;"",OR(Simulations!$BV35&lt;&gt;"",N(Simulations!$BX35)&gt;0))),N(Simulations!$BY35)&lt;=0,N(Simulations!$BX35)&lt;=0,1&gt;N(IF(Simulations!$O35="",1,Simulations!$O35))),0,IF(Simulations!$BY35&lt;IF(Simulations!$J35="",1000,Simulations!$J35),Simulations!$BX35/(IF(Simulations!$G35="",5000,Simulations!$G35)*IF(Simulations!$H35="",5000,Simulations!$H35)*IF(IF(Simulations!$I35="",5000,Simulations!$I35)&gt;0,IF(Simulations!$I35="",5000,Simulations!$I35),1))*Simulations!$BY35*(PI()/2*IF(Simulations!$T35="",200,Simulations!$T35)^2*IF(IF(Simulations!$I35="",5000,Simulations!$I35)&gt;0,SQRT(PI()/2)*IF(Simulations!$W35="",1000,Simulations!$W35),1)),Simulations!$BX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T35="",200,Simulations!$T35)^2*IF(Simulations!$W35="",1000,Simulations!$W35)/2^1.5*(2/3*LN(Simulations!$BY35/IF(Simulations!$J35="",1000,Simulations!$J35))^1.5+SQRT(LN(Simulations!$BY35/IF(Simulations!$J35="",1000,Simulations!$J35)))+Simulations!$BY35/IF(Simulations!$J35="",1000,Simulations!$J35)*SQRT(PI())/2*ERFC(SQRT(LN(Simulations!$BY35/IF(Simulations!$J35="",1000,Simulations!$J35))))),PI()*IF(Simulations!$T35="",200,Simulations!$T35)^2/2*(LN(Simulations!$BY35/IF(Simulations!$J35="",1000,Simulations!$J35))+1))))</f>
        <v>0</v>
      </c>
      <c r="O35" s="0" t="n">
        <f aca="false">IF(OR(NOT(AND(Simulations!$A35&lt;&gt;"",OR(Simulations!$BV35&lt;&gt;"",N(Simulations!$BX35)&gt;0))),N(Simulations!$BZ35)&lt;=0,N(Simulations!$BX35)&lt;=0,2&gt;N(IF(Simulations!$O35="",1,Simulations!$O35))),0,IF(Simulations!$BZ35&lt;IF(Simulations!$J35="",1000,Simulations!$J35),Simulations!$BX35/(IF(Simulations!$G35="",5000,Simulations!$G35)*IF(Simulations!$H35="",5000,Simulations!$H35)*IF(IF(Simulations!$I35="",5000,Simulations!$I35)&gt;0,IF(Simulations!$I35="",5000,Simulations!$I35),1))*Simulations!$BZ35*(PI()/2*IF(Simulations!$U35="",200,Simulations!$U35)^2*IF(IF(Simulations!$I35="",5000,Simulations!$I35)&gt;0,SQRT(PI()/2)*IF(Simulations!$X35="",1000,Simulations!$X35),1)),Simulations!$BX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U35="",200,Simulations!$U35)^2*IF(Simulations!$X35="",1000,Simulations!$X35)/2^1.5*(2/3*LN(Simulations!$BZ35/IF(Simulations!$J35="",1000,Simulations!$J35))^1.5+SQRT(LN(Simulations!$BZ35/IF(Simulations!$J35="",1000,Simulations!$J35)))+Simulations!$BZ35/IF(Simulations!$J35="",1000,Simulations!$J35)*SQRT(PI())/2*ERFC(SQRT(LN(Simulations!$BZ35/IF(Simulations!$J35="",1000,Simulations!$J35))))),PI()*IF(Simulations!$U35="",200,Simulations!$U35)^2/2*(LN(Simulations!$BZ35/IF(Simulations!$J35="",1000,Simulations!$J35))+1))))</f>
        <v>0</v>
      </c>
      <c r="P35" s="0" t="n">
        <f aca="false">IF(OR(NOT(AND(Simulations!$A35&lt;&gt;"",OR(Simulations!$BV35&lt;&gt;"",N(Simulations!$BX35)&gt;0))),N(Simulations!$CA35)&lt;=0,N(Simulations!$BX35)&lt;=0,3&gt;N(IF(Simulations!$O35="",1,Simulations!$O35))),0,IF(Simulations!$CA35&lt;IF(Simulations!$J35="",1000,Simulations!$J35),Simulations!$BX35/(IF(Simulations!$G35="",5000,Simulations!$G35)*IF(Simulations!$H35="",5000,Simulations!$H35)*IF(IF(Simulations!$I35="",5000,Simulations!$I35)&gt;0,IF(Simulations!$I35="",5000,Simulations!$I35),1))*Simulations!$CA35*(PI()/2*IF(Simulations!$V35="",200,Simulations!$V35)^2*IF(IF(Simulations!$I35="",5000,Simulations!$I35)&gt;0,SQRT(PI()/2)*IF(Simulations!$Y35="",1000,Simulations!$Y35),1)),Simulations!$BX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V35="",200,Simulations!$V35)^2*IF(Simulations!$Y35="",1000,Simulations!$Y35)/2^1.5*(2/3*LN(Simulations!$CA35/IF(Simulations!$J35="",1000,Simulations!$J35))^1.5+SQRT(LN(Simulations!$CA35/IF(Simulations!$J35="",1000,Simulations!$J35)))+Simulations!$CA35/IF(Simulations!$J35="",1000,Simulations!$J35)*SQRT(PI())/2*ERFC(SQRT(LN(Simulations!$CA35/IF(Simulations!$J35="",1000,Simulations!$J35))))),PI()*IF(Simulations!$V35="",200,Simulations!$V35)^2/2*(LN(Simulations!$CA35/IF(Simulations!$J35="",1000,Simulations!$J35))+1))))</f>
        <v>0</v>
      </c>
      <c r="Q35" s="0" t="n">
        <f aca="false">IF(NOT(AND(Simulations!$A35&lt;&gt;"",OR(Simulations!$BV35&lt;&gt;"",N(Simulations!$BX35)&gt;0))),0,MAX(N(Simulations!$BY35),N(Simulations!$BZ35),N(Simulations!$CA35))/IF(Simulations!$J35="",1000,Simulations!$J35))</f>
        <v>0</v>
      </c>
      <c r="R35" s="0" t="n">
        <f aca="false">IF(OR(NOT(AND(Simulations!$A35&lt;&gt;"",OR(Simulations!$BV35&lt;&gt;"",N(Simulations!$BX35)&gt;0))),N(Simulations!$BW35)&lt;=0),0,SQRT(2*Simulations!$BW35*1000000/(IF(Simulations!$J35="",1000,Simulations!$J35)*1000))/MIN(IF(Simulations!$T35="",200,Simulations!$T35),IF(Simulations!$U35="",200,Simulations!$U35),IF(Simulations!$V35="",200,Simulations!$V35)))</f>
        <v>0</v>
      </c>
      <c r="S35" s="0" t="n">
        <f aca="false">IF(AND(Simulations!$A35&lt;&gt;"",OR(Simulations!$BV35&lt;&gt;"",N(Simulations!$BX35)&gt;0)),1,0)</f>
        <v>0</v>
      </c>
      <c r="T35" s="0" t="n">
        <f aca="false">IF(OR(NOT(AND(Simulations!$A35&lt;&gt;"",OR(Simulations!$CN35&lt;&gt;"",N(Simulations!$CP35)&gt;0))),N(Simulations!$CQ35)&lt;=0,N(Simulations!$CP35)&lt;=0,1&gt;N(IF(Simulations!$O35="",1,Simulations!$O35))),0,IF(Simulations!$CQ35&lt;IF(Simulations!$J35="",1000,Simulations!$J35),Simulations!$CP35/(IF(Simulations!$G35="",5000,Simulations!$G35)*IF(Simulations!$H35="",5000,Simulations!$H35)*IF(IF(Simulations!$I35="",5000,Simulations!$I35)&gt;0,IF(Simulations!$I35="",5000,Simulations!$I35),1))*Simulations!$CQ35*(PI()/2*IF(Simulations!$T35="",200,Simulations!$T35)^2*IF(IF(Simulations!$I35="",5000,Simulations!$I35)&gt;0,SQRT(PI()/2)*IF(Simulations!$W35="",1000,Simulations!$W35),1)),Simulations!$CP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T35="",200,Simulations!$T35)^2*IF(Simulations!$W35="",1000,Simulations!$W35)/2^1.5*(2/3*LN(Simulations!$CQ35/IF(Simulations!$J35="",1000,Simulations!$J35))^1.5+SQRT(LN(Simulations!$CQ35/IF(Simulations!$J35="",1000,Simulations!$J35)))+Simulations!$CQ35/IF(Simulations!$J35="",1000,Simulations!$J35)*SQRT(PI())/2*ERFC(SQRT(LN(Simulations!$CQ35/IF(Simulations!$J35="",1000,Simulations!$J35))))),PI()*IF(Simulations!$T35="",200,Simulations!$T35)^2/2*(LN(Simulations!$CQ35/IF(Simulations!$J35="",1000,Simulations!$J35))+1))))</f>
        <v>0</v>
      </c>
      <c r="U35" s="0" t="n">
        <f aca="false">IF(OR(NOT(AND(Simulations!$A35&lt;&gt;"",OR(Simulations!$CN35&lt;&gt;"",N(Simulations!$CP35)&gt;0))),N(Simulations!$CR35)&lt;=0,N(Simulations!$CP35)&lt;=0,2&gt;N(IF(Simulations!$O35="",1,Simulations!$O35))),0,IF(Simulations!$CR35&lt;IF(Simulations!$J35="",1000,Simulations!$J35),Simulations!$CP35/(IF(Simulations!$G35="",5000,Simulations!$G35)*IF(Simulations!$H35="",5000,Simulations!$H35)*IF(IF(Simulations!$I35="",5000,Simulations!$I35)&gt;0,IF(Simulations!$I35="",5000,Simulations!$I35),1))*Simulations!$CR35*(PI()/2*IF(Simulations!$U35="",200,Simulations!$U35)^2*IF(IF(Simulations!$I35="",5000,Simulations!$I35)&gt;0,SQRT(PI()/2)*IF(Simulations!$X35="",1000,Simulations!$X35),1)),Simulations!$CP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U35="",200,Simulations!$U35)^2*IF(Simulations!$X35="",1000,Simulations!$X35)/2^1.5*(2/3*LN(Simulations!$CR35/IF(Simulations!$J35="",1000,Simulations!$J35))^1.5+SQRT(LN(Simulations!$CR35/IF(Simulations!$J35="",1000,Simulations!$J35)))+Simulations!$CR35/IF(Simulations!$J35="",1000,Simulations!$J35)*SQRT(PI())/2*ERFC(SQRT(LN(Simulations!$CR35/IF(Simulations!$J35="",1000,Simulations!$J35))))),PI()*IF(Simulations!$U35="",200,Simulations!$U35)^2/2*(LN(Simulations!$CR35/IF(Simulations!$J35="",1000,Simulations!$J35))+1))))</f>
        <v>0</v>
      </c>
      <c r="V35" s="0" t="n">
        <f aca="false">IF(OR(NOT(AND(Simulations!$A35&lt;&gt;"",OR(Simulations!$CN35&lt;&gt;"",N(Simulations!$CP35)&gt;0))),N(Simulations!$CS35)&lt;=0,N(Simulations!$CP35)&lt;=0,3&gt;N(IF(Simulations!$O35="",1,Simulations!$O35))),0,IF(Simulations!$CS35&lt;IF(Simulations!$J35="",1000,Simulations!$J35),Simulations!$CP35/(IF(Simulations!$G35="",5000,Simulations!$G35)*IF(Simulations!$H35="",5000,Simulations!$H35)*IF(IF(Simulations!$I35="",5000,Simulations!$I35)&gt;0,IF(Simulations!$I35="",5000,Simulations!$I35),1))*Simulations!$CS35*(PI()/2*IF(Simulations!$V35="",200,Simulations!$V35)^2*IF(IF(Simulations!$I35="",5000,Simulations!$I35)&gt;0,SQRT(PI()/2)*IF(Simulations!$Y35="",1000,Simulations!$Y35),1)),Simulations!$CP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V35="",200,Simulations!$V35)^2*IF(Simulations!$Y35="",1000,Simulations!$Y35)/2^1.5*(2/3*LN(Simulations!$CS35/IF(Simulations!$J35="",1000,Simulations!$J35))^1.5+SQRT(LN(Simulations!$CS35/IF(Simulations!$J35="",1000,Simulations!$J35)))+Simulations!$CS35/IF(Simulations!$J35="",1000,Simulations!$J35)*SQRT(PI())/2*ERFC(SQRT(LN(Simulations!$CS35/IF(Simulations!$J35="",1000,Simulations!$J35))))),PI()*IF(Simulations!$V35="",200,Simulations!$V35)^2/2*(LN(Simulations!$CS35/IF(Simulations!$J35="",1000,Simulations!$J35))+1))))</f>
        <v>0</v>
      </c>
      <c r="W35" s="0" t="n">
        <f aca="false">IF(NOT(AND(Simulations!$A35&lt;&gt;"",OR(Simulations!$CN35&lt;&gt;"",N(Simulations!$CP35)&gt;0))),0,MAX(N(Simulations!$CQ35),N(Simulations!$CR35),N(Simulations!$CS35))/IF(Simulations!$J35="",1000,Simulations!$J35))</f>
        <v>0</v>
      </c>
      <c r="X35" s="0" t="n">
        <f aca="false">IF(OR(NOT(AND(Simulations!$A35&lt;&gt;"",OR(Simulations!$CN35&lt;&gt;"",N(Simulations!$CP35)&gt;0))),N(Simulations!$CO35)&lt;=0),0,SQRT(2*Simulations!$CO35*1000000/(IF(Simulations!$J35="",1000,Simulations!$J35)*1000))/MIN(IF(Simulations!$T35="",200,Simulations!$T35),IF(Simulations!$U35="",200,Simulations!$U35),IF(Simulations!$V35="",200,Simulations!$V35)))</f>
        <v>0</v>
      </c>
      <c r="Y35" s="0" t="n">
        <f aca="false">IF(AND(Simulations!$A35&lt;&gt;"",OR(Simulations!$CN35&lt;&gt;"",N(Simulations!$CP35)&gt;0)),1,0)</f>
        <v>0</v>
      </c>
      <c r="Z35" s="0" t="n">
        <f aca="false">IF(OR(NOT(AND(Simulations!$A35&lt;&gt;"",OR(Simulations!$DF35&lt;&gt;"",N(Simulations!$DH35)&gt;0))),N(Simulations!$DI35)&lt;=0,N(Simulations!$DH35)&lt;=0,1&gt;N(IF(Simulations!$O35="",1,Simulations!$O35))),0,IF(Simulations!$DI35&lt;IF(Simulations!$J35="",1000,Simulations!$J35),Simulations!$DH35/(IF(Simulations!$G35="",5000,Simulations!$G35)*IF(Simulations!$H35="",5000,Simulations!$H35)*IF(IF(Simulations!$I35="",5000,Simulations!$I35)&gt;0,IF(Simulations!$I35="",5000,Simulations!$I35),1))*Simulations!$DI35*(PI()/2*IF(Simulations!$T35="",200,Simulations!$T35)^2*IF(IF(Simulations!$I35="",5000,Simulations!$I35)&gt;0,SQRT(PI()/2)*IF(Simulations!$W35="",1000,Simulations!$W35),1)),Simulations!$DH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T35="",200,Simulations!$T35)^2*IF(Simulations!$W35="",1000,Simulations!$W35)/2^1.5*(2/3*LN(Simulations!$DI35/IF(Simulations!$J35="",1000,Simulations!$J35))^1.5+SQRT(LN(Simulations!$DI35/IF(Simulations!$J35="",1000,Simulations!$J35)))+Simulations!$DI35/IF(Simulations!$J35="",1000,Simulations!$J35)*SQRT(PI())/2*ERFC(SQRT(LN(Simulations!$DI35/IF(Simulations!$J35="",1000,Simulations!$J35))))),PI()*IF(Simulations!$T35="",200,Simulations!$T35)^2/2*(LN(Simulations!$DI35/IF(Simulations!$J35="",1000,Simulations!$J35))+1))))</f>
        <v>0</v>
      </c>
      <c r="AA35" s="0" t="n">
        <f aca="false">IF(OR(NOT(AND(Simulations!$A35&lt;&gt;"",OR(Simulations!$DF35&lt;&gt;"",N(Simulations!$DH35)&gt;0))),N(Simulations!$DJ35)&lt;=0,N(Simulations!$DH35)&lt;=0,2&gt;N(IF(Simulations!$O35="",1,Simulations!$O35))),0,IF(Simulations!$DJ35&lt;IF(Simulations!$J35="",1000,Simulations!$J35),Simulations!$DH35/(IF(Simulations!$G35="",5000,Simulations!$G35)*IF(Simulations!$H35="",5000,Simulations!$H35)*IF(IF(Simulations!$I35="",5000,Simulations!$I35)&gt;0,IF(Simulations!$I35="",5000,Simulations!$I35),1))*Simulations!$DJ35*(PI()/2*IF(Simulations!$U35="",200,Simulations!$U35)^2*IF(IF(Simulations!$I35="",5000,Simulations!$I35)&gt;0,SQRT(PI()/2)*IF(Simulations!$X35="",1000,Simulations!$X35),1)),Simulations!$DH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U35="",200,Simulations!$U35)^2*IF(Simulations!$X35="",1000,Simulations!$X35)/2^1.5*(2/3*LN(Simulations!$DJ35/IF(Simulations!$J35="",1000,Simulations!$J35))^1.5+SQRT(LN(Simulations!$DJ35/IF(Simulations!$J35="",1000,Simulations!$J35)))+Simulations!$DJ35/IF(Simulations!$J35="",1000,Simulations!$J35)*SQRT(PI())/2*ERFC(SQRT(LN(Simulations!$DJ35/IF(Simulations!$J35="",1000,Simulations!$J35))))),PI()*IF(Simulations!$U35="",200,Simulations!$U35)^2/2*(LN(Simulations!$DJ35/IF(Simulations!$J35="",1000,Simulations!$J35))+1))))</f>
        <v>0</v>
      </c>
      <c r="AB35" s="0" t="n">
        <f aca="false">IF(OR(NOT(AND(Simulations!$A35&lt;&gt;"",OR(Simulations!$DF35&lt;&gt;"",N(Simulations!$DH35)&gt;0))),N(Simulations!$DK35)&lt;=0,N(Simulations!$DH35)&lt;=0,3&gt;N(IF(Simulations!$O35="",1,Simulations!$O35))),0,IF(Simulations!$DK35&lt;IF(Simulations!$J35="",1000,Simulations!$J35),Simulations!$DH35/(IF(Simulations!$G35="",5000,Simulations!$G35)*IF(Simulations!$H35="",5000,Simulations!$H35)*IF(IF(Simulations!$I35="",5000,Simulations!$I35)&gt;0,IF(Simulations!$I35="",5000,Simulations!$I35),1))*Simulations!$DK35*(PI()/2*IF(Simulations!$V35="",200,Simulations!$V35)^2*IF(IF(Simulations!$I35="",5000,Simulations!$I35)&gt;0,SQRT(PI()/2)*IF(Simulations!$Y35="",1000,Simulations!$Y35),1)),Simulations!$DH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V35="",200,Simulations!$V35)^2*IF(Simulations!$Y35="",1000,Simulations!$Y35)/2^1.5*(2/3*LN(Simulations!$DK35/IF(Simulations!$J35="",1000,Simulations!$J35))^1.5+SQRT(LN(Simulations!$DK35/IF(Simulations!$J35="",1000,Simulations!$J35)))+Simulations!$DK35/IF(Simulations!$J35="",1000,Simulations!$J35)*SQRT(PI())/2*ERFC(SQRT(LN(Simulations!$DK35/IF(Simulations!$J35="",1000,Simulations!$J35))))),PI()*IF(Simulations!$V35="",200,Simulations!$V35)^2/2*(LN(Simulations!$DK35/IF(Simulations!$J35="",1000,Simulations!$J35))+1))))</f>
        <v>0</v>
      </c>
      <c r="AC35" s="0" t="n">
        <f aca="false">IF(NOT(AND(Simulations!$A35&lt;&gt;"",OR(Simulations!$DF35&lt;&gt;"",N(Simulations!$DH35)&gt;0))),0,MAX(N(Simulations!$DI35),N(Simulations!$DJ35),N(Simulations!$DK35))/IF(Simulations!$J35="",1000,Simulations!$J35))</f>
        <v>0</v>
      </c>
      <c r="AD35" s="0" t="n">
        <f aca="false">IF(OR(NOT(AND(Simulations!$A35&lt;&gt;"",OR(Simulations!$DF35&lt;&gt;"",N(Simulations!$DH35)&gt;0))),N(Simulations!$DG35)&lt;=0),0,SQRT(2*Simulations!$DG35*1000000/(IF(Simulations!$J35="",1000,Simulations!$J35)*1000))/MIN(IF(Simulations!$T35="",200,Simulations!$T35),IF(Simulations!$U35="",200,Simulations!$U35),IF(Simulations!$V35="",200,Simulations!$V35)))</f>
        <v>0</v>
      </c>
      <c r="AE35" s="0" t="n">
        <f aca="false">IF(AND(Simulations!$A35&lt;&gt;"",OR(Simulations!$DF35&lt;&gt;"",N(Simulations!$DH35)&gt;0)),1,0)</f>
        <v>0</v>
      </c>
      <c r="AF35" s="0" t="n">
        <f aca="false">IF(OR(NOT(AND(Simulations!$A35&lt;&gt;"",OR(Simulations!$DX35&lt;&gt;"",N(Simulations!$DZ35)&gt;0))),N(Simulations!$EA35)&lt;=0,N(Simulations!$DZ35)&lt;=0,1&gt;N(IF(Simulations!$O35="",1,Simulations!$O35))),0,IF(Simulations!$EA35&lt;IF(Simulations!$J35="",1000,Simulations!$J35),Simulations!$DZ35/(IF(Simulations!$G35="",5000,Simulations!$G35)*IF(Simulations!$H35="",5000,Simulations!$H35)*IF(IF(Simulations!$I35="",5000,Simulations!$I35)&gt;0,IF(Simulations!$I35="",5000,Simulations!$I35),1))*Simulations!$EA35*(PI()/2*IF(Simulations!$T35="",200,Simulations!$T35)^2*IF(IF(Simulations!$I35="",5000,Simulations!$I35)&gt;0,SQRT(PI()/2)*IF(Simulations!$W35="",1000,Simulations!$W35),1)),Simulations!$DZ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T35="",200,Simulations!$T35)^2*IF(Simulations!$W35="",1000,Simulations!$W35)/2^1.5*(2/3*LN(Simulations!$EA35/IF(Simulations!$J35="",1000,Simulations!$J35))^1.5+SQRT(LN(Simulations!$EA35/IF(Simulations!$J35="",1000,Simulations!$J35)))+Simulations!$EA35/IF(Simulations!$J35="",1000,Simulations!$J35)*SQRT(PI())/2*ERFC(SQRT(LN(Simulations!$EA35/IF(Simulations!$J35="",1000,Simulations!$J35))))),PI()*IF(Simulations!$T35="",200,Simulations!$T35)^2/2*(LN(Simulations!$EA35/IF(Simulations!$J35="",1000,Simulations!$J35))+1))))</f>
        <v>0</v>
      </c>
      <c r="AG35" s="0" t="n">
        <f aca="false">IF(OR(NOT(AND(Simulations!$A35&lt;&gt;"",OR(Simulations!$DX35&lt;&gt;"",N(Simulations!$DZ35)&gt;0))),N(Simulations!$EB35)&lt;=0,N(Simulations!$DZ35)&lt;=0,2&gt;N(IF(Simulations!$O35="",1,Simulations!$O35))),0,IF(Simulations!$EB35&lt;IF(Simulations!$J35="",1000,Simulations!$J35),Simulations!$DZ35/(IF(Simulations!$G35="",5000,Simulations!$G35)*IF(Simulations!$H35="",5000,Simulations!$H35)*IF(IF(Simulations!$I35="",5000,Simulations!$I35)&gt;0,IF(Simulations!$I35="",5000,Simulations!$I35),1))*Simulations!$EB35*(PI()/2*IF(Simulations!$U35="",200,Simulations!$U35)^2*IF(IF(Simulations!$I35="",5000,Simulations!$I35)&gt;0,SQRT(PI()/2)*IF(Simulations!$X35="",1000,Simulations!$X35),1)),Simulations!$DZ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U35="",200,Simulations!$U35)^2*IF(Simulations!$X35="",1000,Simulations!$X35)/2^1.5*(2/3*LN(Simulations!$EB35/IF(Simulations!$J35="",1000,Simulations!$J35))^1.5+SQRT(LN(Simulations!$EB35/IF(Simulations!$J35="",1000,Simulations!$J35)))+Simulations!$EB35/IF(Simulations!$J35="",1000,Simulations!$J35)*SQRT(PI())/2*ERFC(SQRT(LN(Simulations!$EB35/IF(Simulations!$J35="",1000,Simulations!$J35))))),PI()*IF(Simulations!$U35="",200,Simulations!$U35)^2/2*(LN(Simulations!$EB35/IF(Simulations!$J35="",1000,Simulations!$J35))+1))))</f>
        <v>0</v>
      </c>
      <c r="AH35" s="0" t="n">
        <f aca="false">IF(OR(NOT(AND(Simulations!$A35&lt;&gt;"",OR(Simulations!$DX35&lt;&gt;"",N(Simulations!$DZ35)&gt;0))),N(Simulations!$EC35)&lt;=0,N(Simulations!$DZ35)&lt;=0,3&gt;N(IF(Simulations!$O35="",1,Simulations!$O35))),0,IF(Simulations!$EC35&lt;IF(Simulations!$J35="",1000,Simulations!$J35),Simulations!$DZ35/(IF(Simulations!$G35="",5000,Simulations!$G35)*IF(Simulations!$H35="",5000,Simulations!$H35)*IF(IF(Simulations!$I35="",5000,Simulations!$I35)&gt;0,IF(Simulations!$I35="",5000,Simulations!$I35),1))*Simulations!$EC35*(PI()/2*IF(Simulations!$V35="",200,Simulations!$V35)^2*IF(IF(Simulations!$I35="",5000,Simulations!$I35)&gt;0,SQRT(PI()/2)*IF(Simulations!$Y35="",1000,Simulations!$Y35),1)),Simulations!$DZ35/(IF(Simulations!$G35="",5000,Simulations!$G35)*IF(Simulations!$H35="",5000,Simulations!$H35)*IF(IF(Simulations!$I35="",5000,Simulations!$I35)&gt;0,IF(Simulations!$I35="",5000,Simulations!$I35),1))*IF(Simulations!$J35="",1000,Simulations!$J35)*IF(IF(Simulations!$I35="",5000,Simulations!$I35)&gt;0,2*PI()*IF(Simulations!$V35="",200,Simulations!$V35)^2*IF(Simulations!$Y35="",1000,Simulations!$Y35)/2^1.5*(2/3*LN(Simulations!$EC35/IF(Simulations!$J35="",1000,Simulations!$J35))^1.5+SQRT(LN(Simulations!$EC35/IF(Simulations!$J35="",1000,Simulations!$J35)))+Simulations!$EC35/IF(Simulations!$J35="",1000,Simulations!$J35)*SQRT(PI())/2*ERFC(SQRT(LN(Simulations!$EC35/IF(Simulations!$J35="",1000,Simulations!$J35))))),PI()*IF(Simulations!$V35="",200,Simulations!$V35)^2/2*(LN(Simulations!$EC35/IF(Simulations!$J35="",1000,Simulations!$J35))+1))))</f>
        <v>0</v>
      </c>
      <c r="AI35" s="0" t="n">
        <f aca="false">IF(NOT(AND(Simulations!$A35&lt;&gt;"",OR(Simulations!$DX35&lt;&gt;"",N(Simulations!$DZ35)&gt;0))),0,MAX(N(Simulations!$EA35),N(Simulations!$EB35),N(Simulations!$EC35))/IF(Simulations!$J35="",1000,Simulations!$J35))</f>
        <v>0</v>
      </c>
      <c r="AJ35" s="0" t="n">
        <f aca="false">IF(OR(NOT(AND(Simulations!$A35&lt;&gt;"",OR(Simulations!$DX35&lt;&gt;"",N(Simulations!$DZ35)&gt;0))),N(Simulations!$DY35)&lt;=0),0,SQRT(2*Simulations!$DY35*1000000/(IF(Simulations!$J35="",1000,Simulations!$J35)*1000))/MIN(IF(Simulations!$T35="",200,Simulations!$T35),IF(Simulations!$U35="",200,Simulations!$U35),IF(Simulations!$V35="",200,Simulations!$V35)))</f>
        <v>0</v>
      </c>
      <c r="AK35" s="0" t="n">
        <f aca="false">IF(AND(Simulations!$A35&lt;&gt;"",OR(Simulations!$DX35&lt;&gt;"",N(Simulations!$DZ35)&gt;0)),1,0)</f>
        <v>0</v>
      </c>
    </row>
    <row r="36" customFormat="false" ht="15" hidden="false" customHeight="false" outlineLevel="0" collapsed="false">
      <c r="B36" s="0" t="n">
        <f aca="false">IF(OR(NOT(AND(Simulations!$A36&lt;&gt;"",OR(Simulations!$AL36&lt;&gt;"",N(Simulations!$AN36)&gt;0))),N(Simulations!$AO36)&lt;=0,N(Simulations!$AN36)&lt;=0,1&gt;N(IF(Simulations!$O36="",1,Simulations!$O36))),0,IF(Simulations!$AO36&lt;IF(Simulations!$J36="",1000,Simulations!$J36),Simulations!$AN36/(IF(Simulations!$G36="",5000,Simulations!$G36)*IF(Simulations!$H36="",5000,Simulations!$H36)*IF(IF(Simulations!$I36="",5000,Simulations!$I36)&gt;0,IF(Simulations!$I36="",5000,Simulations!$I36),1))*Simulations!$AO36*(PI()/2*IF(Simulations!$T36="",200,Simulations!$T36)^2*IF(IF(Simulations!$I36="",5000,Simulations!$I36)&gt;0,SQRT(PI()/2)*IF(Simulations!$W36="",1000,Simulations!$W36),1)),Simulations!$AN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T36="",200,Simulations!$T36)^2*IF(Simulations!$W36="",1000,Simulations!$W36)/2^1.5*(2/3*LN(Simulations!$AO36/IF(Simulations!$J36="",1000,Simulations!$J36))^1.5+SQRT(LN(Simulations!$AO36/IF(Simulations!$J36="",1000,Simulations!$J36)))+Simulations!$AO36/IF(Simulations!$J36="",1000,Simulations!$J36)*SQRT(PI())/2*ERFC(SQRT(LN(Simulations!$AO36/IF(Simulations!$J36="",1000,Simulations!$J36))))),PI()*IF(Simulations!$T36="",200,Simulations!$T36)^2/2*(LN(Simulations!$AO36/IF(Simulations!$J36="",1000,Simulations!$J36))+1))))</f>
        <v>0</v>
      </c>
      <c r="C36" s="0" t="n">
        <f aca="false">IF(OR(NOT(AND(Simulations!$A36&lt;&gt;"",OR(Simulations!$AL36&lt;&gt;"",N(Simulations!$AN36)&gt;0))),N(Simulations!$AP36)&lt;=0,N(Simulations!$AN36)&lt;=0,2&gt;N(IF(Simulations!$O36="",1,Simulations!$O36))),0,IF(Simulations!$AP36&lt;IF(Simulations!$J36="",1000,Simulations!$J36),Simulations!$AN36/(IF(Simulations!$G36="",5000,Simulations!$G36)*IF(Simulations!$H36="",5000,Simulations!$H36)*IF(IF(Simulations!$I36="",5000,Simulations!$I36)&gt;0,IF(Simulations!$I36="",5000,Simulations!$I36),1))*Simulations!$AP36*(PI()/2*IF(Simulations!$U36="",200,Simulations!$U36)^2*IF(IF(Simulations!$I36="",5000,Simulations!$I36)&gt;0,SQRT(PI()/2)*IF(Simulations!$X36="",1000,Simulations!$X36),1)),Simulations!$AN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U36="",200,Simulations!$U36)^2*IF(Simulations!$X36="",1000,Simulations!$X36)/2^1.5*(2/3*LN(Simulations!$AP36/IF(Simulations!$J36="",1000,Simulations!$J36))^1.5+SQRT(LN(Simulations!$AP36/IF(Simulations!$J36="",1000,Simulations!$J36)))+Simulations!$AP36/IF(Simulations!$J36="",1000,Simulations!$J36)*SQRT(PI())/2*ERFC(SQRT(LN(Simulations!$AP36/IF(Simulations!$J36="",1000,Simulations!$J36))))),PI()*IF(Simulations!$U36="",200,Simulations!$U36)^2/2*(LN(Simulations!$AP36/IF(Simulations!$J36="",1000,Simulations!$J36))+1))))</f>
        <v>0</v>
      </c>
      <c r="D36" s="0" t="n">
        <f aca="false">IF(OR(NOT(AND(Simulations!$A36&lt;&gt;"",OR(Simulations!$AL36&lt;&gt;"",N(Simulations!$AN36)&gt;0))),N(Simulations!$AQ36)&lt;=0,N(Simulations!$AN36)&lt;=0,3&gt;N(IF(Simulations!$O36="",1,Simulations!$O36))),0,IF(Simulations!$AQ36&lt;IF(Simulations!$J36="",1000,Simulations!$J36),Simulations!$AN36/(IF(Simulations!$G36="",5000,Simulations!$G36)*IF(Simulations!$H36="",5000,Simulations!$H36)*IF(IF(Simulations!$I36="",5000,Simulations!$I36)&gt;0,IF(Simulations!$I36="",5000,Simulations!$I36),1))*Simulations!$AQ36*(PI()/2*IF(Simulations!$V36="",200,Simulations!$V36)^2*IF(IF(Simulations!$I36="",5000,Simulations!$I36)&gt;0,SQRT(PI()/2)*IF(Simulations!$Y36="",1000,Simulations!$Y36),1)),Simulations!$AN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V36="",200,Simulations!$V36)^2*IF(Simulations!$Y36="",1000,Simulations!$Y36)/2^1.5*(2/3*LN(Simulations!$AQ36/IF(Simulations!$J36="",1000,Simulations!$J36))^1.5+SQRT(LN(Simulations!$AQ36/IF(Simulations!$J36="",1000,Simulations!$J36)))+Simulations!$AQ36/IF(Simulations!$J36="",1000,Simulations!$J36)*SQRT(PI())/2*ERFC(SQRT(LN(Simulations!$AQ36/IF(Simulations!$J36="",1000,Simulations!$J36))))),PI()*IF(Simulations!$V36="",200,Simulations!$V36)^2/2*(LN(Simulations!$AQ36/IF(Simulations!$J36="",1000,Simulations!$J36))+1))))</f>
        <v>0</v>
      </c>
      <c r="E36" s="0" t="n">
        <f aca="false">IF(NOT(AND(Simulations!$A36&lt;&gt;"",OR(Simulations!$AL36&lt;&gt;"",N(Simulations!$AN36)&gt;0))),0,MAX(N(Simulations!$AO36),N(Simulations!$AP36),N(Simulations!$AQ36))/IF(Simulations!$J36="",1000,Simulations!$J36))</f>
        <v>0</v>
      </c>
      <c r="F36" s="0" t="n">
        <f aca="false">IF(OR(NOT(AND(Simulations!$A36&lt;&gt;"",OR(Simulations!$AL36&lt;&gt;"",N(Simulations!$AN36)&gt;0))),N(Simulations!$AM36)&lt;=0),0,SQRT(2*Simulations!$AM36*1000000/(IF(Simulations!$J36="",1000,Simulations!$J36)*1000))/MIN(IF(Simulations!$T36="",200,Simulations!$T36),IF(Simulations!$U36="",200,Simulations!$U36),IF(Simulations!$V36="",200,Simulations!$V36)))</f>
        <v>0</v>
      </c>
      <c r="G36" s="0" t="n">
        <f aca="false">IF(AND(Simulations!$A36&lt;&gt;"",OR(Simulations!$AL36&lt;&gt;"",N(Simulations!$AN36)&gt;0)),1,0)</f>
        <v>0</v>
      </c>
      <c r="H36" s="0" t="n">
        <f aca="false">IF(OR(NOT(AND(Simulations!$A36&lt;&gt;"",OR(Simulations!$BD36&lt;&gt;"",N(Simulations!$BF36)&gt;0))),N(Simulations!$BG36)&lt;=0,N(Simulations!$BF36)&lt;=0,1&gt;N(IF(Simulations!$O36="",1,Simulations!$O36))),0,IF(Simulations!$BG36&lt;IF(Simulations!$J36="",1000,Simulations!$J36),Simulations!$BF36/(IF(Simulations!$G36="",5000,Simulations!$G36)*IF(Simulations!$H36="",5000,Simulations!$H36)*IF(IF(Simulations!$I36="",5000,Simulations!$I36)&gt;0,IF(Simulations!$I36="",5000,Simulations!$I36),1))*Simulations!$BG36*(PI()/2*IF(Simulations!$T36="",200,Simulations!$T36)^2*IF(IF(Simulations!$I36="",5000,Simulations!$I36)&gt;0,SQRT(PI()/2)*IF(Simulations!$W36="",1000,Simulations!$W36),1)),Simulations!$BF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T36="",200,Simulations!$T36)^2*IF(Simulations!$W36="",1000,Simulations!$W36)/2^1.5*(2/3*LN(Simulations!$BG36/IF(Simulations!$J36="",1000,Simulations!$J36))^1.5+SQRT(LN(Simulations!$BG36/IF(Simulations!$J36="",1000,Simulations!$J36)))+Simulations!$BG36/IF(Simulations!$J36="",1000,Simulations!$J36)*SQRT(PI())/2*ERFC(SQRT(LN(Simulations!$BG36/IF(Simulations!$J36="",1000,Simulations!$J36))))),PI()*IF(Simulations!$T36="",200,Simulations!$T36)^2/2*(LN(Simulations!$BG36/IF(Simulations!$J36="",1000,Simulations!$J36))+1))))</f>
        <v>0</v>
      </c>
      <c r="I36" s="0" t="n">
        <f aca="false">IF(OR(NOT(AND(Simulations!$A36&lt;&gt;"",OR(Simulations!$BD36&lt;&gt;"",N(Simulations!$BF36)&gt;0))),N(Simulations!$BH36)&lt;=0,N(Simulations!$BF36)&lt;=0,2&gt;N(IF(Simulations!$O36="",1,Simulations!$O36))),0,IF(Simulations!$BH36&lt;IF(Simulations!$J36="",1000,Simulations!$J36),Simulations!$BF36/(IF(Simulations!$G36="",5000,Simulations!$G36)*IF(Simulations!$H36="",5000,Simulations!$H36)*IF(IF(Simulations!$I36="",5000,Simulations!$I36)&gt;0,IF(Simulations!$I36="",5000,Simulations!$I36),1))*Simulations!$BH36*(PI()/2*IF(Simulations!$U36="",200,Simulations!$U36)^2*IF(IF(Simulations!$I36="",5000,Simulations!$I36)&gt;0,SQRT(PI()/2)*IF(Simulations!$X36="",1000,Simulations!$X36),1)),Simulations!$BF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U36="",200,Simulations!$U36)^2*IF(Simulations!$X36="",1000,Simulations!$X36)/2^1.5*(2/3*LN(Simulations!$BH36/IF(Simulations!$J36="",1000,Simulations!$J36))^1.5+SQRT(LN(Simulations!$BH36/IF(Simulations!$J36="",1000,Simulations!$J36)))+Simulations!$BH36/IF(Simulations!$J36="",1000,Simulations!$J36)*SQRT(PI())/2*ERFC(SQRT(LN(Simulations!$BH36/IF(Simulations!$J36="",1000,Simulations!$J36))))),PI()*IF(Simulations!$U36="",200,Simulations!$U36)^2/2*(LN(Simulations!$BH36/IF(Simulations!$J36="",1000,Simulations!$J36))+1))))</f>
        <v>0</v>
      </c>
      <c r="J36" s="0" t="n">
        <f aca="false">IF(OR(NOT(AND(Simulations!$A36&lt;&gt;"",OR(Simulations!$BD36&lt;&gt;"",N(Simulations!$BF36)&gt;0))),N(Simulations!$BI36)&lt;=0,N(Simulations!$BF36)&lt;=0,3&gt;N(IF(Simulations!$O36="",1,Simulations!$O36))),0,IF(Simulations!$BI36&lt;IF(Simulations!$J36="",1000,Simulations!$J36),Simulations!$BF36/(IF(Simulations!$G36="",5000,Simulations!$G36)*IF(Simulations!$H36="",5000,Simulations!$H36)*IF(IF(Simulations!$I36="",5000,Simulations!$I36)&gt;0,IF(Simulations!$I36="",5000,Simulations!$I36),1))*Simulations!$BI36*(PI()/2*IF(Simulations!$V36="",200,Simulations!$V36)^2*IF(IF(Simulations!$I36="",5000,Simulations!$I36)&gt;0,SQRT(PI()/2)*IF(Simulations!$Y36="",1000,Simulations!$Y36),1)),Simulations!$BF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V36="",200,Simulations!$V36)^2*IF(Simulations!$Y36="",1000,Simulations!$Y36)/2^1.5*(2/3*LN(Simulations!$BI36/IF(Simulations!$J36="",1000,Simulations!$J36))^1.5+SQRT(LN(Simulations!$BI36/IF(Simulations!$J36="",1000,Simulations!$J36)))+Simulations!$BI36/IF(Simulations!$J36="",1000,Simulations!$J36)*SQRT(PI())/2*ERFC(SQRT(LN(Simulations!$BI36/IF(Simulations!$J36="",1000,Simulations!$J36))))),PI()*IF(Simulations!$V36="",200,Simulations!$V36)^2/2*(LN(Simulations!$BI36/IF(Simulations!$J36="",1000,Simulations!$J36))+1))))</f>
        <v>0</v>
      </c>
      <c r="K36" s="0" t="n">
        <f aca="false">IF(NOT(AND(Simulations!$A36&lt;&gt;"",OR(Simulations!$BD36&lt;&gt;"",N(Simulations!$BF36)&gt;0))),0,MAX(N(Simulations!$BG36),N(Simulations!$BH36),N(Simulations!$BI36))/IF(Simulations!$J36="",1000,Simulations!$J36))</f>
        <v>0</v>
      </c>
      <c r="L36" s="0" t="n">
        <f aca="false">IF(OR(NOT(AND(Simulations!$A36&lt;&gt;"",OR(Simulations!$BD36&lt;&gt;"",N(Simulations!$BF36)&gt;0))),N(Simulations!$BE36)&lt;=0),0,SQRT(2*Simulations!$BE36*1000000/(IF(Simulations!$J36="",1000,Simulations!$J36)*1000))/MIN(IF(Simulations!$T36="",200,Simulations!$T36),IF(Simulations!$U36="",200,Simulations!$U36),IF(Simulations!$V36="",200,Simulations!$V36)))</f>
        <v>0</v>
      </c>
      <c r="M36" s="0" t="n">
        <f aca="false">IF(AND(Simulations!$A36&lt;&gt;"",OR(Simulations!$BD36&lt;&gt;"",N(Simulations!$BF36)&gt;0)),1,0)</f>
        <v>0</v>
      </c>
      <c r="N36" s="0" t="n">
        <f aca="false">IF(OR(NOT(AND(Simulations!$A36&lt;&gt;"",OR(Simulations!$BV36&lt;&gt;"",N(Simulations!$BX36)&gt;0))),N(Simulations!$BY36)&lt;=0,N(Simulations!$BX36)&lt;=0,1&gt;N(IF(Simulations!$O36="",1,Simulations!$O36))),0,IF(Simulations!$BY36&lt;IF(Simulations!$J36="",1000,Simulations!$J36),Simulations!$BX36/(IF(Simulations!$G36="",5000,Simulations!$G36)*IF(Simulations!$H36="",5000,Simulations!$H36)*IF(IF(Simulations!$I36="",5000,Simulations!$I36)&gt;0,IF(Simulations!$I36="",5000,Simulations!$I36),1))*Simulations!$BY36*(PI()/2*IF(Simulations!$T36="",200,Simulations!$T36)^2*IF(IF(Simulations!$I36="",5000,Simulations!$I36)&gt;0,SQRT(PI()/2)*IF(Simulations!$W36="",1000,Simulations!$W36),1)),Simulations!$BX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T36="",200,Simulations!$T36)^2*IF(Simulations!$W36="",1000,Simulations!$W36)/2^1.5*(2/3*LN(Simulations!$BY36/IF(Simulations!$J36="",1000,Simulations!$J36))^1.5+SQRT(LN(Simulations!$BY36/IF(Simulations!$J36="",1000,Simulations!$J36)))+Simulations!$BY36/IF(Simulations!$J36="",1000,Simulations!$J36)*SQRT(PI())/2*ERFC(SQRT(LN(Simulations!$BY36/IF(Simulations!$J36="",1000,Simulations!$J36))))),PI()*IF(Simulations!$T36="",200,Simulations!$T36)^2/2*(LN(Simulations!$BY36/IF(Simulations!$J36="",1000,Simulations!$J36))+1))))</f>
        <v>0</v>
      </c>
      <c r="O36" s="0" t="n">
        <f aca="false">IF(OR(NOT(AND(Simulations!$A36&lt;&gt;"",OR(Simulations!$BV36&lt;&gt;"",N(Simulations!$BX36)&gt;0))),N(Simulations!$BZ36)&lt;=0,N(Simulations!$BX36)&lt;=0,2&gt;N(IF(Simulations!$O36="",1,Simulations!$O36))),0,IF(Simulations!$BZ36&lt;IF(Simulations!$J36="",1000,Simulations!$J36),Simulations!$BX36/(IF(Simulations!$G36="",5000,Simulations!$G36)*IF(Simulations!$H36="",5000,Simulations!$H36)*IF(IF(Simulations!$I36="",5000,Simulations!$I36)&gt;0,IF(Simulations!$I36="",5000,Simulations!$I36),1))*Simulations!$BZ36*(PI()/2*IF(Simulations!$U36="",200,Simulations!$U36)^2*IF(IF(Simulations!$I36="",5000,Simulations!$I36)&gt;0,SQRT(PI()/2)*IF(Simulations!$X36="",1000,Simulations!$X36),1)),Simulations!$BX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U36="",200,Simulations!$U36)^2*IF(Simulations!$X36="",1000,Simulations!$X36)/2^1.5*(2/3*LN(Simulations!$BZ36/IF(Simulations!$J36="",1000,Simulations!$J36))^1.5+SQRT(LN(Simulations!$BZ36/IF(Simulations!$J36="",1000,Simulations!$J36)))+Simulations!$BZ36/IF(Simulations!$J36="",1000,Simulations!$J36)*SQRT(PI())/2*ERFC(SQRT(LN(Simulations!$BZ36/IF(Simulations!$J36="",1000,Simulations!$J36))))),PI()*IF(Simulations!$U36="",200,Simulations!$U36)^2/2*(LN(Simulations!$BZ36/IF(Simulations!$J36="",1000,Simulations!$J36))+1))))</f>
        <v>0</v>
      </c>
      <c r="P36" s="0" t="n">
        <f aca="false">IF(OR(NOT(AND(Simulations!$A36&lt;&gt;"",OR(Simulations!$BV36&lt;&gt;"",N(Simulations!$BX36)&gt;0))),N(Simulations!$CA36)&lt;=0,N(Simulations!$BX36)&lt;=0,3&gt;N(IF(Simulations!$O36="",1,Simulations!$O36))),0,IF(Simulations!$CA36&lt;IF(Simulations!$J36="",1000,Simulations!$J36),Simulations!$BX36/(IF(Simulations!$G36="",5000,Simulations!$G36)*IF(Simulations!$H36="",5000,Simulations!$H36)*IF(IF(Simulations!$I36="",5000,Simulations!$I36)&gt;0,IF(Simulations!$I36="",5000,Simulations!$I36),1))*Simulations!$CA36*(PI()/2*IF(Simulations!$V36="",200,Simulations!$V36)^2*IF(IF(Simulations!$I36="",5000,Simulations!$I36)&gt;0,SQRT(PI()/2)*IF(Simulations!$Y36="",1000,Simulations!$Y36),1)),Simulations!$BX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V36="",200,Simulations!$V36)^2*IF(Simulations!$Y36="",1000,Simulations!$Y36)/2^1.5*(2/3*LN(Simulations!$CA36/IF(Simulations!$J36="",1000,Simulations!$J36))^1.5+SQRT(LN(Simulations!$CA36/IF(Simulations!$J36="",1000,Simulations!$J36)))+Simulations!$CA36/IF(Simulations!$J36="",1000,Simulations!$J36)*SQRT(PI())/2*ERFC(SQRT(LN(Simulations!$CA36/IF(Simulations!$J36="",1000,Simulations!$J36))))),PI()*IF(Simulations!$V36="",200,Simulations!$V36)^2/2*(LN(Simulations!$CA36/IF(Simulations!$J36="",1000,Simulations!$J36))+1))))</f>
        <v>0</v>
      </c>
      <c r="Q36" s="0" t="n">
        <f aca="false">IF(NOT(AND(Simulations!$A36&lt;&gt;"",OR(Simulations!$BV36&lt;&gt;"",N(Simulations!$BX36)&gt;0))),0,MAX(N(Simulations!$BY36),N(Simulations!$BZ36),N(Simulations!$CA36))/IF(Simulations!$J36="",1000,Simulations!$J36))</f>
        <v>0</v>
      </c>
      <c r="R36" s="0" t="n">
        <f aca="false">IF(OR(NOT(AND(Simulations!$A36&lt;&gt;"",OR(Simulations!$BV36&lt;&gt;"",N(Simulations!$BX36)&gt;0))),N(Simulations!$BW36)&lt;=0),0,SQRT(2*Simulations!$BW36*1000000/(IF(Simulations!$J36="",1000,Simulations!$J36)*1000))/MIN(IF(Simulations!$T36="",200,Simulations!$T36),IF(Simulations!$U36="",200,Simulations!$U36),IF(Simulations!$V36="",200,Simulations!$V36)))</f>
        <v>0</v>
      </c>
      <c r="S36" s="0" t="n">
        <f aca="false">IF(AND(Simulations!$A36&lt;&gt;"",OR(Simulations!$BV36&lt;&gt;"",N(Simulations!$BX36)&gt;0)),1,0)</f>
        <v>0</v>
      </c>
      <c r="T36" s="0" t="n">
        <f aca="false">IF(OR(NOT(AND(Simulations!$A36&lt;&gt;"",OR(Simulations!$CN36&lt;&gt;"",N(Simulations!$CP36)&gt;0))),N(Simulations!$CQ36)&lt;=0,N(Simulations!$CP36)&lt;=0,1&gt;N(IF(Simulations!$O36="",1,Simulations!$O36))),0,IF(Simulations!$CQ36&lt;IF(Simulations!$J36="",1000,Simulations!$J36),Simulations!$CP36/(IF(Simulations!$G36="",5000,Simulations!$G36)*IF(Simulations!$H36="",5000,Simulations!$H36)*IF(IF(Simulations!$I36="",5000,Simulations!$I36)&gt;0,IF(Simulations!$I36="",5000,Simulations!$I36),1))*Simulations!$CQ36*(PI()/2*IF(Simulations!$T36="",200,Simulations!$T36)^2*IF(IF(Simulations!$I36="",5000,Simulations!$I36)&gt;0,SQRT(PI()/2)*IF(Simulations!$W36="",1000,Simulations!$W36),1)),Simulations!$CP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T36="",200,Simulations!$T36)^2*IF(Simulations!$W36="",1000,Simulations!$W36)/2^1.5*(2/3*LN(Simulations!$CQ36/IF(Simulations!$J36="",1000,Simulations!$J36))^1.5+SQRT(LN(Simulations!$CQ36/IF(Simulations!$J36="",1000,Simulations!$J36)))+Simulations!$CQ36/IF(Simulations!$J36="",1000,Simulations!$J36)*SQRT(PI())/2*ERFC(SQRT(LN(Simulations!$CQ36/IF(Simulations!$J36="",1000,Simulations!$J36))))),PI()*IF(Simulations!$T36="",200,Simulations!$T36)^2/2*(LN(Simulations!$CQ36/IF(Simulations!$J36="",1000,Simulations!$J36))+1))))</f>
        <v>0</v>
      </c>
      <c r="U36" s="0" t="n">
        <f aca="false">IF(OR(NOT(AND(Simulations!$A36&lt;&gt;"",OR(Simulations!$CN36&lt;&gt;"",N(Simulations!$CP36)&gt;0))),N(Simulations!$CR36)&lt;=0,N(Simulations!$CP36)&lt;=0,2&gt;N(IF(Simulations!$O36="",1,Simulations!$O36))),0,IF(Simulations!$CR36&lt;IF(Simulations!$J36="",1000,Simulations!$J36),Simulations!$CP36/(IF(Simulations!$G36="",5000,Simulations!$G36)*IF(Simulations!$H36="",5000,Simulations!$H36)*IF(IF(Simulations!$I36="",5000,Simulations!$I36)&gt;0,IF(Simulations!$I36="",5000,Simulations!$I36),1))*Simulations!$CR36*(PI()/2*IF(Simulations!$U36="",200,Simulations!$U36)^2*IF(IF(Simulations!$I36="",5000,Simulations!$I36)&gt;0,SQRT(PI()/2)*IF(Simulations!$X36="",1000,Simulations!$X36),1)),Simulations!$CP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U36="",200,Simulations!$U36)^2*IF(Simulations!$X36="",1000,Simulations!$X36)/2^1.5*(2/3*LN(Simulations!$CR36/IF(Simulations!$J36="",1000,Simulations!$J36))^1.5+SQRT(LN(Simulations!$CR36/IF(Simulations!$J36="",1000,Simulations!$J36)))+Simulations!$CR36/IF(Simulations!$J36="",1000,Simulations!$J36)*SQRT(PI())/2*ERFC(SQRT(LN(Simulations!$CR36/IF(Simulations!$J36="",1000,Simulations!$J36))))),PI()*IF(Simulations!$U36="",200,Simulations!$U36)^2/2*(LN(Simulations!$CR36/IF(Simulations!$J36="",1000,Simulations!$J36))+1))))</f>
        <v>0</v>
      </c>
      <c r="V36" s="0" t="n">
        <f aca="false">IF(OR(NOT(AND(Simulations!$A36&lt;&gt;"",OR(Simulations!$CN36&lt;&gt;"",N(Simulations!$CP36)&gt;0))),N(Simulations!$CS36)&lt;=0,N(Simulations!$CP36)&lt;=0,3&gt;N(IF(Simulations!$O36="",1,Simulations!$O36))),0,IF(Simulations!$CS36&lt;IF(Simulations!$J36="",1000,Simulations!$J36),Simulations!$CP36/(IF(Simulations!$G36="",5000,Simulations!$G36)*IF(Simulations!$H36="",5000,Simulations!$H36)*IF(IF(Simulations!$I36="",5000,Simulations!$I36)&gt;0,IF(Simulations!$I36="",5000,Simulations!$I36),1))*Simulations!$CS36*(PI()/2*IF(Simulations!$V36="",200,Simulations!$V36)^2*IF(IF(Simulations!$I36="",5000,Simulations!$I36)&gt;0,SQRT(PI()/2)*IF(Simulations!$Y36="",1000,Simulations!$Y36),1)),Simulations!$CP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V36="",200,Simulations!$V36)^2*IF(Simulations!$Y36="",1000,Simulations!$Y36)/2^1.5*(2/3*LN(Simulations!$CS36/IF(Simulations!$J36="",1000,Simulations!$J36))^1.5+SQRT(LN(Simulations!$CS36/IF(Simulations!$J36="",1000,Simulations!$J36)))+Simulations!$CS36/IF(Simulations!$J36="",1000,Simulations!$J36)*SQRT(PI())/2*ERFC(SQRT(LN(Simulations!$CS36/IF(Simulations!$J36="",1000,Simulations!$J36))))),PI()*IF(Simulations!$V36="",200,Simulations!$V36)^2/2*(LN(Simulations!$CS36/IF(Simulations!$J36="",1000,Simulations!$J36))+1))))</f>
        <v>0</v>
      </c>
      <c r="W36" s="0" t="n">
        <f aca="false">IF(NOT(AND(Simulations!$A36&lt;&gt;"",OR(Simulations!$CN36&lt;&gt;"",N(Simulations!$CP36)&gt;0))),0,MAX(N(Simulations!$CQ36),N(Simulations!$CR36),N(Simulations!$CS36))/IF(Simulations!$J36="",1000,Simulations!$J36))</f>
        <v>0</v>
      </c>
      <c r="X36" s="0" t="n">
        <f aca="false">IF(OR(NOT(AND(Simulations!$A36&lt;&gt;"",OR(Simulations!$CN36&lt;&gt;"",N(Simulations!$CP36)&gt;0))),N(Simulations!$CO36)&lt;=0),0,SQRT(2*Simulations!$CO36*1000000/(IF(Simulations!$J36="",1000,Simulations!$J36)*1000))/MIN(IF(Simulations!$T36="",200,Simulations!$T36),IF(Simulations!$U36="",200,Simulations!$U36),IF(Simulations!$V36="",200,Simulations!$V36)))</f>
        <v>0</v>
      </c>
      <c r="Y36" s="0" t="n">
        <f aca="false">IF(AND(Simulations!$A36&lt;&gt;"",OR(Simulations!$CN36&lt;&gt;"",N(Simulations!$CP36)&gt;0)),1,0)</f>
        <v>0</v>
      </c>
      <c r="Z36" s="0" t="n">
        <f aca="false">IF(OR(NOT(AND(Simulations!$A36&lt;&gt;"",OR(Simulations!$DF36&lt;&gt;"",N(Simulations!$DH36)&gt;0))),N(Simulations!$DI36)&lt;=0,N(Simulations!$DH36)&lt;=0,1&gt;N(IF(Simulations!$O36="",1,Simulations!$O36))),0,IF(Simulations!$DI36&lt;IF(Simulations!$J36="",1000,Simulations!$J36),Simulations!$DH36/(IF(Simulations!$G36="",5000,Simulations!$G36)*IF(Simulations!$H36="",5000,Simulations!$H36)*IF(IF(Simulations!$I36="",5000,Simulations!$I36)&gt;0,IF(Simulations!$I36="",5000,Simulations!$I36),1))*Simulations!$DI36*(PI()/2*IF(Simulations!$T36="",200,Simulations!$T36)^2*IF(IF(Simulations!$I36="",5000,Simulations!$I36)&gt;0,SQRT(PI()/2)*IF(Simulations!$W36="",1000,Simulations!$W36),1)),Simulations!$DH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T36="",200,Simulations!$T36)^2*IF(Simulations!$W36="",1000,Simulations!$W36)/2^1.5*(2/3*LN(Simulations!$DI36/IF(Simulations!$J36="",1000,Simulations!$J36))^1.5+SQRT(LN(Simulations!$DI36/IF(Simulations!$J36="",1000,Simulations!$J36)))+Simulations!$DI36/IF(Simulations!$J36="",1000,Simulations!$J36)*SQRT(PI())/2*ERFC(SQRT(LN(Simulations!$DI36/IF(Simulations!$J36="",1000,Simulations!$J36))))),PI()*IF(Simulations!$T36="",200,Simulations!$T36)^2/2*(LN(Simulations!$DI36/IF(Simulations!$J36="",1000,Simulations!$J36))+1))))</f>
        <v>0</v>
      </c>
      <c r="AA36" s="0" t="n">
        <f aca="false">IF(OR(NOT(AND(Simulations!$A36&lt;&gt;"",OR(Simulations!$DF36&lt;&gt;"",N(Simulations!$DH36)&gt;0))),N(Simulations!$DJ36)&lt;=0,N(Simulations!$DH36)&lt;=0,2&gt;N(IF(Simulations!$O36="",1,Simulations!$O36))),0,IF(Simulations!$DJ36&lt;IF(Simulations!$J36="",1000,Simulations!$J36),Simulations!$DH36/(IF(Simulations!$G36="",5000,Simulations!$G36)*IF(Simulations!$H36="",5000,Simulations!$H36)*IF(IF(Simulations!$I36="",5000,Simulations!$I36)&gt;0,IF(Simulations!$I36="",5000,Simulations!$I36),1))*Simulations!$DJ36*(PI()/2*IF(Simulations!$U36="",200,Simulations!$U36)^2*IF(IF(Simulations!$I36="",5000,Simulations!$I36)&gt;0,SQRT(PI()/2)*IF(Simulations!$X36="",1000,Simulations!$X36),1)),Simulations!$DH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U36="",200,Simulations!$U36)^2*IF(Simulations!$X36="",1000,Simulations!$X36)/2^1.5*(2/3*LN(Simulations!$DJ36/IF(Simulations!$J36="",1000,Simulations!$J36))^1.5+SQRT(LN(Simulations!$DJ36/IF(Simulations!$J36="",1000,Simulations!$J36)))+Simulations!$DJ36/IF(Simulations!$J36="",1000,Simulations!$J36)*SQRT(PI())/2*ERFC(SQRT(LN(Simulations!$DJ36/IF(Simulations!$J36="",1000,Simulations!$J36))))),PI()*IF(Simulations!$U36="",200,Simulations!$U36)^2/2*(LN(Simulations!$DJ36/IF(Simulations!$J36="",1000,Simulations!$J36))+1))))</f>
        <v>0</v>
      </c>
      <c r="AB36" s="0" t="n">
        <f aca="false">IF(OR(NOT(AND(Simulations!$A36&lt;&gt;"",OR(Simulations!$DF36&lt;&gt;"",N(Simulations!$DH36)&gt;0))),N(Simulations!$DK36)&lt;=0,N(Simulations!$DH36)&lt;=0,3&gt;N(IF(Simulations!$O36="",1,Simulations!$O36))),0,IF(Simulations!$DK36&lt;IF(Simulations!$J36="",1000,Simulations!$J36),Simulations!$DH36/(IF(Simulations!$G36="",5000,Simulations!$G36)*IF(Simulations!$H36="",5000,Simulations!$H36)*IF(IF(Simulations!$I36="",5000,Simulations!$I36)&gt;0,IF(Simulations!$I36="",5000,Simulations!$I36),1))*Simulations!$DK36*(PI()/2*IF(Simulations!$V36="",200,Simulations!$V36)^2*IF(IF(Simulations!$I36="",5000,Simulations!$I36)&gt;0,SQRT(PI()/2)*IF(Simulations!$Y36="",1000,Simulations!$Y36),1)),Simulations!$DH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V36="",200,Simulations!$V36)^2*IF(Simulations!$Y36="",1000,Simulations!$Y36)/2^1.5*(2/3*LN(Simulations!$DK36/IF(Simulations!$J36="",1000,Simulations!$J36))^1.5+SQRT(LN(Simulations!$DK36/IF(Simulations!$J36="",1000,Simulations!$J36)))+Simulations!$DK36/IF(Simulations!$J36="",1000,Simulations!$J36)*SQRT(PI())/2*ERFC(SQRT(LN(Simulations!$DK36/IF(Simulations!$J36="",1000,Simulations!$J36))))),PI()*IF(Simulations!$V36="",200,Simulations!$V36)^2/2*(LN(Simulations!$DK36/IF(Simulations!$J36="",1000,Simulations!$J36))+1))))</f>
        <v>0</v>
      </c>
      <c r="AC36" s="0" t="n">
        <f aca="false">IF(NOT(AND(Simulations!$A36&lt;&gt;"",OR(Simulations!$DF36&lt;&gt;"",N(Simulations!$DH36)&gt;0))),0,MAX(N(Simulations!$DI36),N(Simulations!$DJ36),N(Simulations!$DK36))/IF(Simulations!$J36="",1000,Simulations!$J36))</f>
        <v>0</v>
      </c>
      <c r="AD36" s="0" t="n">
        <f aca="false">IF(OR(NOT(AND(Simulations!$A36&lt;&gt;"",OR(Simulations!$DF36&lt;&gt;"",N(Simulations!$DH36)&gt;0))),N(Simulations!$DG36)&lt;=0),0,SQRT(2*Simulations!$DG36*1000000/(IF(Simulations!$J36="",1000,Simulations!$J36)*1000))/MIN(IF(Simulations!$T36="",200,Simulations!$T36),IF(Simulations!$U36="",200,Simulations!$U36),IF(Simulations!$V36="",200,Simulations!$V36)))</f>
        <v>0</v>
      </c>
      <c r="AE36" s="0" t="n">
        <f aca="false">IF(AND(Simulations!$A36&lt;&gt;"",OR(Simulations!$DF36&lt;&gt;"",N(Simulations!$DH36)&gt;0)),1,0)</f>
        <v>0</v>
      </c>
      <c r="AF36" s="0" t="n">
        <f aca="false">IF(OR(NOT(AND(Simulations!$A36&lt;&gt;"",OR(Simulations!$DX36&lt;&gt;"",N(Simulations!$DZ36)&gt;0))),N(Simulations!$EA36)&lt;=0,N(Simulations!$DZ36)&lt;=0,1&gt;N(IF(Simulations!$O36="",1,Simulations!$O36))),0,IF(Simulations!$EA36&lt;IF(Simulations!$J36="",1000,Simulations!$J36),Simulations!$DZ36/(IF(Simulations!$G36="",5000,Simulations!$G36)*IF(Simulations!$H36="",5000,Simulations!$H36)*IF(IF(Simulations!$I36="",5000,Simulations!$I36)&gt;0,IF(Simulations!$I36="",5000,Simulations!$I36),1))*Simulations!$EA36*(PI()/2*IF(Simulations!$T36="",200,Simulations!$T36)^2*IF(IF(Simulations!$I36="",5000,Simulations!$I36)&gt;0,SQRT(PI()/2)*IF(Simulations!$W36="",1000,Simulations!$W36),1)),Simulations!$DZ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T36="",200,Simulations!$T36)^2*IF(Simulations!$W36="",1000,Simulations!$W36)/2^1.5*(2/3*LN(Simulations!$EA36/IF(Simulations!$J36="",1000,Simulations!$J36))^1.5+SQRT(LN(Simulations!$EA36/IF(Simulations!$J36="",1000,Simulations!$J36)))+Simulations!$EA36/IF(Simulations!$J36="",1000,Simulations!$J36)*SQRT(PI())/2*ERFC(SQRT(LN(Simulations!$EA36/IF(Simulations!$J36="",1000,Simulations!$J36))))),PI()*IF(Simulations!$T36="",200,Simulations!$T36)^2/2*(LN(Simulations!$EA36/IF(Simulations!$J36="",1000,Simulations!$J36))+1))))</f>
        <v>0</v>
      </c>
      <c r="AG36" s="0" t="n">
        <f aca="false">IF(OR(NOT(AND(Simulations!$A36&lt;&gt;"",OR(Simulations!$DX36&lt;&gt;"",N(Simulations!$DZ36)&gt;0))),N(Simulations!$EB36)&lt;=0,N(Simulations!$DZ36)&lt;=0,2&gt;N(IF(Simulations!$O36="",1,Simulations!$O36))),0,IF(Simulations!$EB36&lt;IF(Simulations!$J36="",1000,Simulations!$J36),Simulations!$DZ36/(IF(Simulations!$G36="",5000,Simulations!$G36)*IF(Simulations!$H36="",5000,Simulations!$H36)*IF(IF(Simulations!$I36="",5000,Simulations!$I36)&gt;0,IF(Simulations!$I36="",5000,Simulations!$I36),1))*Simulations!$EB36*(PI()/2*IF(Simulations!$U36="",200,Simulations!$U36)^2*IF(IF(Simulations!$I36="",5000,Simulations!$I36)&gt;0,SQRT(PI()/2)*IF(Simulations!$X36="",1000,Simulations!$X36),1)),Simulations!$DZ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U36="",200,Simulations!$U36)^2*IF(Simulations!$X36="",1000,Simulations!$X36)/2^1.5*(2/3*LN(Simulations!$EB36/IF(Simulations!$J36="",1000,Simulations!$J36))^1.5+SQRT(LN(Simulations!$EB36/IF(Simulations!$J36="",1000,Simulations!$J36)))+Simulations!$EB36/IF(Simulations!$J36="",1000,Simulations!$J36)*SQRT(PI())/2*ERFC(SQRT(LN(Simulations!$EB36/IF(Simulations!$J36="",1000,Simulations!$J36))))),PI()*IF(Simulations!$U36="",200,Simulations!$U36)^2/2*(LN(Simulations!$EB36/IF(Simulations!$J36="",1000,Simulations!$J36))+1))))</f>
        <v>0</v>
      </c>
      <c r="AH36" s="0" t="n">
        <f aca="false">IF(OR(NOT(AND(Simulations!$A36&lt;&gt;"",OR(Simulations!$DX36&lt;&gt;"",N(Simulations!$DZ36)&gt;0))),N(Simulations!$EC36)&lt;=0,N(Simulations!$DZ36)&lt;=0,3&gt;N(IF(Simulations!$O36="",1,Simulations!$O36))),0,IF(Simulations!$EC36&lt;IF(Simulations!$J36="",1000,Simulations!$J36),Simulations!$DZ36/(IF(Simulations!$G36="",5000,Simulations!$G36)*IF(Simulations!$H36="",5000,Simulations!$H36)*IF(IF(Simulations!$I36="",5000,Simulations!$I36)&gt;0,IF(Simulations!$I36="",5000,Simulations!$I36),1))*Simulations!$EC36*(PI()/2*IF(Simulations!$V36="",200,Simulations!$V36)^2*IF(IF(Simulations!$I36="",5000,Simulations!$I36)&gt;0,SQRT(PI()/2)*IF(Simulations!$Y36="",1000,Simulations!$Y36),1)),Simulations!$DZ36/(IF(Simulations!$G36="",5000,Simulations!$G36)*IF(Simulations!$H36="",5000,Simulations!$H36)*IF(IF(Simulations!$I36="",5000,Simulations!$I36)&gt;0,IF(Simulations!$I36="",5000,Simulations!$I36),1))*IF(Simulations!$J36="",1000,Simulations!$J36)*IF(IF(Simulations!$I36="",5000,Simulations!$I36)&gt;0,2*PI()*IF(Simulations!$V36="",200,Simulations!$V36)^2*IF(Simulations!$Y36="",1000,Simulations!$Y36)/2^1.5*(2/3*LN(Simulations!$EC36/IF(Simulations!$J36="",1000,Simulations!$J36))^1.5+SQRT(LN(Simulations!$EC36/IF(Simulations!$J36="",1000,Simulations!$J36)))+Simulations!$EC36/IF(Simulations!$J36="",1000,Simulations!$J36)*SQRT(PI())/2*ERFC(SQRT(LN(Simulations!$EC36/IF(Simulations!$J36="",1000,Simulations!$J36))))),PI()*IF(Simulations!$V36="",200,Simulations!$V36)^2/2*(LN(Simulations!$EC36/IF(Simulations!$J36="",1000,Simulations!$J36))+1))))</f>
        <v>0</v>
      </c>
      <c r="AI36" s="0" t="n">
        <f aca="false">IF(NOT(AND(Simulations!$A36&lt;&gt;"",OR(Simulations!$DX36&lt;&gt;"",N(Simulations!$DZ36)&gt;0))),0,MAX(N(Simulations!$EA36),N(Simulations!$EB36),N(Simulations!$EC36))/IF(Simulations!$J36="",1000,Simulations!$J36))</f>
        <v>0</v>
      </c>
      <c r="AJ36" s="0" t="n">
        <f aca="false">IF(OR(NOT(AND(Simulations!$A36&lt;&gt;"",OR(Simulations!$DX36&lt;&gt;"",N(Simulations!$DZ36)&gt;0))),N(Simulations!$DY36)&lt;=0),0,SQRT(2*Simulations!$DY36*1000000/(IF(Simulations!$J36="",1000,Simulations!$J36)*1000))/MIN(IF(Simulations!$T36="",200,Simulations!$T36),IF(Simulations!$U36="",200,Simulations!$U36),IF(Simulations!$V36="",200,Simulations!$V36)))</f>
        <v>0</v>
      </c>
      <c r="AK36" s="0" t="n">
        <f aca="false">IF(AND(Simulations!$A36&lt;&gt;"",OR(Simulations!$DX36&lt;&gt;"",N(Simulations!$DZ36)&gt;0)),1,0)</f>
        <v>0</v>
      </c>
    </row>
    <row r="37" customFormat="false" ht="15" hidden="false" customHeight="false" outlineLevel="0" collapsed="false">
      <c r="B37" s="0" t="n">
        <f aca="false">IF(OR(NOT(AND(Simulations!$A37&lt;&gt;"",OR(Simulations!$AL37&lt;&gt;"",N(Simulations!$AN37)&gt;0))),N(Simulations!$AO37)&lt;=0,N(Simulations!$AN37)&lt;=0,1&gt;N(IF(Simulations!$O37="",1,Simulations!$O37))),0,IF(Simulations!$AO37&lt;IF(Simulations!$J37="",1000,Simulations!$J37),Simulations!$AN37/(IF(Simulations!$G37="",5000,Simulations!$G37)*IF(Simulations!$H37="",5000,Simulations!$H37)*IF(IF(Simulations!$I37="",5000,Simulations!$I37)&gt;0,IF(Simulations!$I37="",5000,Simulations!$I37),1))*Simulations!$AO37*(PI()/2*IF(Simulations!$T37="",200,Simulations!$T37)^2*IF(IF(Simulations!$I37="",5000,Simulations!$I37)&gt;0,SQRT(PI()/2)*IF(Simulations!$W37="",1000,Simulations!$W37),1)),Simulations!$AN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T37="",200,Simulations!$T37)^2*IF(Simulations!$W37="",1000,Simulations!$W37)/2^1.5*(2/3*LN(Simulations!$AO37/IF(Simulations!$J37="",1000,Simulations!$J37))^1.5+SQRT(LN(Simulations!$AO37/IF(Simulations!$J37="",1000,Simulations!$J37)))+Simulations!$AO37/IF(Simulations!$J37="",1000,Simulations!$J37)*SQRT(PI())/2*ERFC(SQRT(LN(Simulations!$AO37/IF(Simulations!$J37="",1000,Simulations!$J37))))),PI()*IF(Simulations!$T37="",200,Simulations!$T37)^2/2*(LN(Simulations!$AO37/IF(Simulations!$J37="",1000,Simulations!$J37))+1))))</f>
        <v>0</v>
      </c>
      <c r="C37" s="0" t="n">
        <f aca="false">IF(OR(NOT(AND(Simulations!$A37&lt;&gt;"",OR(Simulations!$AL37&lt;&gt;"",N(Simulations!$AN37)&gt;0))),N(Simulations!$AP37)&lt;=0,N(Simulations!$AN37)&lt;=0,2&gt;N(IF(Simulations!$O37="",1,Simulations!$O37))),0,IF(Simulations!$AP37&lt;IF(Simulations!$J37="",1000,Simulations!$J37),Simulations!$AN37/(IF(Simulations!$G37="",5000,Simulations!$G37)*IF(Simulations!$H37="",5000,Simulations!$H37)*IF(IF(Simulations!$I37="",5000,Simulations!$I37)&gt;0,IF(Simulations!$I37="",5000,Simulations!$I37),1))*Simulations!$AP37*(PI()/2*IF(Simulations!$U37="",200,Simulations!$U37)^2*IF(IF(Simulations!$I37="",5000,Simulations!$I37)&gt;0,SQRT(PI()/2)*IF(Simulations!$X37="",1000,Simulations!$X37),1)),Simulations!$AN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U37="",200,Simulations!$U37)^2*IF(Simulations!$X37="",1000,Simulations!$X37)/2^1.5*(2/3*LN(Simulations!$AP37/IF(Simulations!$J37="",1000,Simulations!$J37))^1.5+SQRT(LN(Simulations!$AP37/IF(Simulations!$J37="",1000,Simulations!$J37)))+Simulations!$AP37/IF(Simulations!$J37="",1000,Simulations!$J37)*SQRT(PI())/2*ERFC(SQRT(LN(Simulations!$AP37/IF(Simulations!$J37="",1000,Simulations!$J37))))),PI()*IF(Simulations!$U37="",200,Simulations!$U37)^2/2*(LN(Simulations!$AP37/IF(Simulations!$J37="",1000,Simulations!$J37))+1))))</f>
        <v>0</v>
      </c>
      <c r="D37" s="0" t="n">
        <f aca="false">IF(OR(NOT(AND(Simulations!$A37&lt;&gt;"",OR(Simulations!$AL37&lt;&gt;"",N(Simulations!$AN37)&gt;0))),N(Simulations!$AQ37)&lt;=0,N(Simulations!$AN37)&lt;=0,3&gt;N(IF(Simulations!$O37="",1,Simulations!$O37))),0,IF(Simulations!$AQ37&lt;IF(Simulations!$J37="",1000,Simulations!$J37),Simulations!$AN37/(IF(Simulations!$G37="",5000,Simulations!$G37)*IF(Simulations!$H37="",5000,Simulations!$H37)*IF(IF(Simulations!$I37="",5000,Simulations!$I37)&gt;0,IF(Simulations!$I37="",5000,Simulations!$I37),1))*Simulations!$AQ37*(PI()/2*IF(Simulations!$V37="",200,Simulations!$V37)^2*IF(IF(Simulations!$I37="",5000,Simulations!$I37)&gt;0,SQRT(PI()/2)*IF(Simulations!$Y37="",1000,Simulations!$Y37),1)),Simulations!$AN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V37="",200,Simulations!$V37)^2*IF(Simulations!$Y37="",1000,Simulations!$Y37)/2^1.5*(2/3*LN(Simulations!$AQ37/IF(Simulations!$J37="",1000,Simulations!$J37))^1.5+SQRT(LN(Simulations!$AQ37/IF(Simulations!$J37="",1000,Simulations!$J37)))+Simulations!$AQ37/IF(Simulations!$J37="",1000,Simulations!$J37)*SQRT(PI())/2*ERFC(SQRT(LN(Simulations!$AQ37/IF(Simulations!$J37="",1000,Simulations!$J37))))),PI()*IF(Simulations!$V37="",200,Simulations!$V37)^2/2*(LN(Simulations!$AQ37/IF(Simulations!$J37="",1000,Simulations!$J37))+1))))</f>
        <v>0</v>
      </c>
      <c r="E37" s="0" t="n">
        <f aca="false">IF(NOT(AND(Simulations!$A37&lt;&gt;"",OR(Simulations!$AL37&lt;&gt;"",N(Simulations!$AN37)&gt;0))),0,MAX(N(Simulations!$AO37),N(Simulations!$AP37),N(Simulations!$AQ37))/IF(Simulations!$J37="",1000,Simulations!$J37))</f>
        <v>0</v>
      </c>
      <c r="F37" s="0" t="n">
        <f aca="false">IF(OR(NOT(AND(Simulations!$A37&lt;&gt;"",OR(Simulations!$AL37&lt;&gt;"",N(Simulations!$AN37)&gt;0))),N(Simulations!$AM37)&lt;=0),0,SQRT(2*Simulations!$AM37*1000000/(IF(Simulations!$J37="",1000,Simulations!$J37)*1000))/MIN(IF(Simulations!$T37="",200,Simulations!$T37),IF(Simulations!$U37="",200,Simulations!$U37),IF(Simulations!$V37="",200,Simulations!$V37)))</f>
        <v>0</v>
      </c>
      <c r="G37" s="0" t="n">
        <f aca="false">IF(AND(Simulations!$A37&lt;&gt;"",OR(Simulations!$AL37&lt;&gt;"",N(Simulations!$AN37)&gt;0)),1,0)</f>
        <v>0</v>
      </c>
      <c r="H37" s="0" t="n">
        <f aca="false">IF(OR(NOT(AND(Simulations!$A37&lt;&gt;"",OR(Simulations!$BD37&lt;&gt;"",N(Simulations!$BF37)&gt;0))),N(Simulations!$BG37)&lt;=0,N(Simulations!$BF37)&lt;=0,1&gt;N(IF(Simulations!$O37="",1,Simulations!$O37))),0,IF(Simulations!$BG37&lt;IF(Simulations!$J37="",1000,Simulations!$J37),Simulations!$BF37/(IF(Simulations!$G37="",5000,Simulations!$G37)*IF(Simulations!$H37="",5000,Simulations!$H37)*IF(IF(Simulations!$I37="",5000,Simulations!$I37)&gt;0,IF(Simulations!$I37="",5000,Simulations!$I37),1))*Simulations!$BG37*(PI()/2*IF(Simulations!$T37="",200,Simulations!$T37)^2*IF(IF(Simulations!$I37="",5000,Simulations!$I37)&gt;0,SQRT(PI()/2)*IF(Simulations!$W37="",1000,Simulations!$W37),1)),Simulations!$BF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T37="",200,Simulations!$T37)^2*IF(Simulations!$W37="",1000,Simulations!$W37)/2^1.5*(2/3*LN(Simulations!$BG37/IF(Simulations!$J37="",1000,Simulations!$J37))^1.5+SQRT(LN(Simulations!$BG37/IF(Simulations!$J37="",1000,Simulations!$J37)))+Simulations!$BG37/IF(Simulations!$J37="",1000,Simulations!$J37)*SQRT(PI())/2*ERFC(SQRT(LN(Simulations!$BG37/IF(Simulations!$J37="",1000,Simulations!$J37))))),PI()*IF(Simulations!$T37="",200,Simulations!$T37)^2/2*(LN(Simulations!$BG37/IF(Simulations!$J37="",1000,Simulations!$J37))+1))))</f>
        <v>0</v>
      </c>
      <c r="I37" s="0" t="n">
        <f aca="false">IF(OR(NOT(AND(Simulations!$A37&lt;&gt;"",OR(Simulations!$BD37&lt;&gt;"",N(Simulations!$BF37)&gt;0))),N(Simulations!$BH37)&lt;=0,N(Simulations!$BF37)&lt;=0,2&gt;N(IF(Simulations!$O37="",1,Simulations!$O37))),0,IF(Simulations!$BH37&lt;IF(Simulations!$J37="",1000,Simulations!$J37),Simulations!$BF37/(IF(Simulations!$G37="",5000,Simulations!$G37)*IF(Simulations!$H37="",5000,Simulations!$H37)*IF(IF(Simulations!$I37="",5000,Simulations!$I37)&gt;0,IF(Simulations!$I37="",5000,Simulations!$I37),1))*Simulations!$BH37*(PI()/2*IF(Simulations!$U37="",200,Simulations!$U37)^2*IF(IF(Simulations!$I37="",5000,Simulations!$I37)&gt;0,SQRT(PI()/2)*IF(Simulations!$X37="",1000,Simulations!$X37),1)),Simulations!$BF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U37="",200,Simulations!$U37)^2*IF(Simulations!$X37="",1000,Simulations!$X37)/2^1.5*(2/3*LN(Simulations!$BH37/IF(Simulations!$J37="",1000,Simulations!$J37))^1.5+SQRT(LN(Simulations!$BH37/IF(Simulations!$J37="",1000,Simulations!$J37)))+Simulations!$BH37/IF(Simulations!$J37="",1000,Simulations!$J37)*SQRT(PI())/2*ERFC(SQRT(LN(Simulations!$BH37/IF(Simulations!$J37="",1000,Simulations!$J37))))),PI()*IF(Simulations!$U37="",200,Simulations!$U37)^2/2*(LN(Simulations!$BH37/IF(Simulations!$J37="",1000,Simulations!$J37))+1))))</f>
        <v>0</v>
      </c>
      <c r="J37" s="0" t="n">
        <f aca="false">IF(OR(NOT(AND(Simulations!$A37&lt;&gt;"",OR(Simulations!$BD37&lt;&gt;"",N(Simulations!$BF37)&gt;0))),N(Simulations!$BI37)&lt;=0,N(Simulations!$BF37)&lt;=0,3&gt;N(IF(Simulations!$O37="",1,Simulations!$O37))),0,IF(Simulations!$BI37&lt;IF(Simulations!$J37="",1000,Simulations!$J37),Simulations!$BF37/(IF(Simulations!$G37="",5000,Simulations!$G37)*IF(Simulations!$H37="",5000,Simulations!$H37)*IF(IF(Simulations!$I37="",5000,Simulations!$I37)&gt;0,IF(Simulations!$I37="",5000,Simulations!$I37),1))*Simulations!$BI37*(PI()/2*IF(Simulations!$V37="",200,Simulations!$V37)^2*IF(IF(Simulations!$I37="",5000,Simulations!$I37)&gt;0,SQRT(PI()/2)*IF(Simulations!$Y37="",1000,Simulations!$Y37),1)),Simulations!$BF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V37="",200,Simulations!$V37)^2*IF(Simulations!$Y37="",1000,Simulations!$Y37)/2^1.5*(2/3*LN(Simulations!$BI37/IF(Simulations!$J37="",1000,Simulations!$J37))^1.5+SQRT(LN(Simulations!$BI37/IF(Simulations!$J37="",1000,Simulations!$J37)))+Simulations!$BI37/IF(Simulations!$J37="",1000,Simulations!$J37)*SQRT(PI())/2*ERFC(SQRT(LN(Simulations!$BI37/IF(Simulations!$J37="",1000,Simulations!$J37))))),PI()*IF(Simulations!$V37="",200,Simulations!$V37)^2/2*(LN(Simulations!$BI37/IF(Simulations!$J37="",1000,Simulations!$J37))+1))))</f>
        <v>0</v>
      </c>
      <c r="K37" s="0" t="n">
        <f aca="false">IF(NOT(AND(Simulations!$A37&lt;&gt;"",OR(Simulations!$BD37&lt;&gt;"",N(Simulations!$BF37)&gt;0))),0,MAX(N(Simulations!$BG37),N(Simulations!$BH37),N(Simulations!$BI37))/IF(Simulations!$J37="",1000,Simulations!$J37))</f>
        <v>0</v>
      </c>
      <c r="L37" s="0" t="n">
        <f aca="false">IF(OR(NOT(AND(Simulations!$A37&lt;&gt;"",OR(Simulations!$BD37&lt;&gt;"",N(Simulations!$BF37)&gt;0))),N(Simulations!$BE37)&lt;=0),0,SQRT(2*Simulations!$BE37*1000000/(IF(Simulations!$J37="",1000,Simulations!$J37)*1000))/MIN(IF(Simulations!$T37="",200,Simulations!$T37),IF(Simulations!$U37="",200,Simulations!$U37),IF(Simulations!$V37="",200,Simulations!$V37)))</f>
        <v>0</v>
      </c>
      <c r="M37" s="0" t="n">
        <f aca="false">IF(AND(Simulations!$A37&lt;&gt;"",OR(Simulations!$BD37&lt;&gt;"",N(Simulations!$BF37)&gt;0)),1,0)</f>
        <v>0</v>
      </c>
      <c r="N37" s="0" t="n">
        <f aca="false">IF(OR(NOT(AND(Simulations!$A37&lt;&gt;"",OR(Simulations!$BV37&lt;&gt;"",N(Simulations!$BX37)&gt;0))),N(Simulations!$BY37)&lt;=0,N(Simulations!$BX37)&lt;=0,1&gt;N(IF(Simulations!$O37="",1,Simulations!$O37))),0,IF(Simulations!$BY37&lt;IF(Simulations!$J37="",1000,Simulations!$J37),Simulations!$BX37/(IF(Simulations!$G37="",5000,Simulations!$G37)*IF(Simulations!$H37="",5000,Simulations!$H37)*IF(IF(Simulations!$I37="",5000,Simulations!$I37)&gt;0,IF(Simulations!$I37="",5000,Simulations!$I37),1))*Simulations!$BY37*(PI()/2*IF(Simulations!$T37="",200,Simulations!$T37)^2*IF(IF(Simulations!$I37="",5000,Simulations!$I37)&gt;0,SQRT(PI()/2)*IF(Simulations!$W37="",1000,Simulations!$W37),1)),Simulations!$BX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T37="",200,Simulations!$T37)^2*IF(Simulations!$W37="",1000,Simulations!$W37)/2^1.5*(2/3*LN(Simulations!$BY37/IF(Simulations!$J37="",1000,Simulations!$J37))^1.5+SQRT(LN(Simulations!$BY37/IF(Simulations!$J37="",1000,Simulations!$J37)))+Simulations!$BY37/IF(Simulations!$J37="",1000,Simulations!$J37)*SQRT(PI())/2*ERFC(SQRT(LN(Simulations!$BY37/IF(Simulations!$J37="",1000,Simulations!$J37))))),PI()*IF(Simulations!$T37="",200,Simulations!$T37)^2/2*(LN(Simulations!$BY37/IF(Simulations!$J37="",1000,Simulations!$J37))+1))))</f>
        <v>0</v>
      </c>
      <c r="O37" s="0" t="n">
        <f aca="false">IF(OR(NOT(AND(Simulations!$A37&lt;&gt;"",OR(Simulations!$BV37&lt;&gt;"",N(Simulations!$BX37)&gt;0))),N(Simulations!$BZ37)&lt;=0,N(Simulations!$BX37)&lt;=0,2&gt;N(IF(Simulations!$O37="",1,Simulations!$O37))),0,IF(Simulations!$BZ37&lt;IF(Simulations!$J37="",1000,Simulations!$J37),Simulations!$BX37/(IF(Simulations!$G37="",5000,Simulations!$G37)*IF(Simulations!$H37="",5000,Simulations!$H37)*IF(IF(Simulations!$I37="",5000,Simulations!$I37)&gt;0,IF(Simulations!$I37="",5000,Simulations!$I37),1))*Simulations!$BZ37*(PI()/2*IF(Simulations!$U37="",200,Simulations!$U37)^2*IF(IF(Simulations!$I37="",5000,Simulations!$I37)&gt;0,SQRT(PI()/2)*IF(Simulations!$X37="",1000,Simulations!$X37),1)),Simulations!$BX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U37="",200,Simulations!$U37)^2*IF(Simulations!$X37="",1000,Simulations!$X37)/2^1.5*(2/3*LN(Simulations!$BZ37/IF(Simulations!$J37="",1000,Simulations!$J37))^1.5+SQRT(LN(Simulations!$BZ37/IF(Simulations!$J37="",1000,Simulations!$J37)))+Simulations!$BZ37/IF(Simulations!$J37="",1000,Simulations!$J37)*SQRT(PI())/2*ERFC(SQRT(LN(Simulations!$BZ37/IF(Simulations!$J37="",1000,Simulations!$J37))))),PI()*IF(Simulations!$U37="",200,Simulations!$U37)^2/2*(LN(Simulations!$BZ37/IF(Simulations!$J37="",1000,Simulations!$J37))+1))))</f>
        <v>0</v>
      </c>
      <c r="P37" s="0" t="n">
        <f aca="false">IF(OR(NOT(AND(Simulations!$A37&lt;&gt;"",OR(Simulations!$BV37&lt;&gt;"",N(Simulations!$BX37)&gt;0))),N(Simulations!$CA37)&lt;=0,N(Simulations!$BX37)&lt;=0,3&gt;N(IF(Simulations!$O37="",1,Simulations!$O37))),0,IF(Simulations!$CA37&lt;IF(Simulations!$J37="",1000,Simulations!$J37),Simulations!$BX37/(IF(Simulations!$G37="",5000,Simulations!$G37)*IF(Simulations!$H37="",5000,Simulations!$H37)*IF(IF(Simulations!$I37="",5000,Simulations!$I37)&gt;0,IF(Simulations!$I37="",5000,Simulations!$I37),1))*Simulations!$CA37*(PI()/2*IF(Simulations!$V37="",200,Simulations!$V37)^2*IF(IF(Simulations!$I37="",5000,Simulations!$I37)&gt;0,SQRT(PI()/2)*IF(Simulations!$Y37="",1000,Simulations!$Y37),1)),Simulations!$BX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V37="",200,Simulations!$V37)^2*IF(Simulations!$Y37="",1000,Simulations!$Y37)/2^1.5*(2/3*LN(Simulations!$CA37/IF(Simulations!$J37="",1000,Simulations!$J37))^1.5+SQRT(LN(Simulations!$CA37/IF(Simulations!$J37="",1000,Simulations!$J37)))+Simulations!$CA37/IF(Simulations!$J37="",1000,Simulations!$J37)*SQRT(PI())/2*ERFC(SQRT(LN(Simulations!$CA37/IF(Simulations!$J37="",1000,Simulations!$J37))))),PI()*IF(Simulations!$V37="",200,Simulations!$V37)^2/2*(LN(Simulations!$CA37/IF(Simulations!$J37="",1000,Simulations!$J37))+1))))</f>
        <v>0</v>
      </c>
      <c r="Q37" s="0" t="n">
        <f aca="false">IF(NOT(AND(Simulations!$A37&lt;&gt;"",OR(Simulations!$BV37&lt;&gt;"",N(Simulations!$BX37)&gt;0))),0,MAX(N(Simulations!$BY37),N(Simulations!$BZ37),N(Simulations!$CA37))/IF(Simulations!$J37="",1000,Simulations!$J37))</f>
        <v>0</v>
      </c>
      <c r="R37" s="0" t="n">
        <f aca="false">IF(OR(NOT(AND(Simulations!$A37&lt;&gt;"",OR(Simulations!$BV37&lt;&gt;"",N(Simulations!$BX37)&gt;0))),N(Simulations!$BW37)&lt;=0),0,SQRT(2*Simulations!$BW37*1000000/(IF(Simulations!$J37="",1000,Simulations!$J37)*1000))/MIN(IF(Simulations!$T37="",200,Simulations!$T37),IF(Simulations!$U37="",200,Simulations!$U37),IF(Simulations!$V37="",200,Simulations!$V37)))</f>
        <v>0</v>
      </c>
      <c r="S37" s="0" t="n">
        <f aca="false">IF(AND(Simulations!$A37&lt;&gt;"",OR(Simulations!$BV37&lt;&gt;"",N(Simulations!$BX37)&gt;0)),1,0)</f>
        <v>0</v>
      </c>
      <c r="T37" s="0" t="n">
        <f aca="false">IF(OR(NOT(AND(Simulations!$A37&lt;&gt;"",OR(Simulations!$CN37&lt;&gt;"",N(Simulations!$CP37)&gt;0))),N(Simulations!$CQ37)&lt;=0,N(Simulations!$CP37)&lt;=0,1&gt;N(IF(Simulations!$O37="",1,Simulations!$O37))),0,IF(Simulations!$CQ37&lt;IF(Simulations!$J37="",1000,Simulations!$J37),Simulations!$CP37/(IF(Simulations!$G37="",5000,Simulations!$G37)*IF(Simulations!$H37="",5000,Simulations!$H37)*IF(IF(Simulations!$I37="",5000,Simulations!$I37)&gt;0,IF(Simulations!$I37="",5000,Simulations!$I37),1))*Simulations!$CQ37*(PI()/2*IF(Simulations!$T37="",200,Simulations!$T37)^2*IF(IF(Simulations!$I37="",5000,Simulations!$I37)&gt;0,SQRT(PI()/2)*IF(Simulations!$W37="",1000,Simulations!$W37),1)),Simulations!$CP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T37="",200,Simulations!$T37)^2*IF(Simulations!$W37="",1000,Simulations!$W37)/2^1.5*(2/3*LN(Simulations!$CQ37/IF(Simulations!$J37="",1000,Simulations!$J37))^1.5+SQRT(LN(Simulations!$CQ37/IF(Simulations!$J37="",1000,Simulations!$J37)))+Simulations!$CQ37/IF(Simulations!$J37="",1000,Simulations!$J37)*SQRT(PI())/2*ERFC(SQRT(LN(Simulations!$CQ37/IF(Simulations!$J37="",1000,Simulations!$J37))))),PI()*IF(Simulations!$T37="",200,Simulations!$T37)^2/2*(LN(Simulations!$CQ37/IF(Simulations!$J37="",1000,Simulations!$J37))+1))))</f>
        <v>0</v>
      </c>
      <c r="U37" s="0" t="n">
        <f aca="false">IF(OR(NOT(AND(Simulations!$A37&lt;&gt;"",OR(Simulations!$CN37&lt;&gt;"",N(Simulations!$CP37)&gt;0))),N(Simulations!$CR37)&lt;=0,N(Simulations!$CP37)&lt;=0,2&gt;N(IF(Simulations!$O37="",1,Simulations!$O37))),0,IF(Simulations!$CR37&lt;IF(Simulations!$J37="",1000,Simulations!$J37),Simulations!$CP37/(IF(Simulations!$G37="",5000,Simulations!$G37)*IF(Simulations!$H37="",5000,Simulations!$H37)*IF(IF(Simulations!$I37="",5000,Simulations!$I37)&gt;0,IF(Simulations!$I37="",5000,Simulations!$I37),1))*Simulations!$CR37*(PI()/2*IF(Simulations!$U37="",200,Simulations!$U37)^2*IF(IF(Simulations!$I37="",5000,Simulations!$I37)&gt;0,SQRT(PI()/2)*IF(Simulations!$X37="",1000,Simulations!$X37),1)),Simulations!$CP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U37="",200,Simulations!$U37)^2*IF(Simulations!$X37="",1000,Simulations!$X37)/2^1.5*(2/3*LN(Simulations!$CR37/IF(Simulations!$J37="",1000,Simulations!$J37))^1.5+SQRT(LN(Simulations!$CR37/IF(Simulations!$J37="",1000,Simulations!$J37)))+Simulations!$CR37/IF(Simulations!$J37="",1000,Simulations!$J37)*SQRT(PI())/2*ERFC(SQRT(LN(Simulations!$CR37/IF(Simulations!$J37="",1000,Simulations!$J37))))),PI()*IF(Simulations!$U37="",200,Simulations!$U37)^2/2*(LN(Simulations!$CR37/IF(Simulations!$J37="",1000,Simulations!$J37))+1))))</f>
        <v>0</v>
      </c>
      <c r="V37" s="0" t="n">
        <f aca="false">IF(OR(NOT(AND(Simulations!$A37&lt;&gt;"",OR(Simulations!$CN37&lt;&gt;"",N(Simulations!$CP37)&gt;0))),N(Simulations!$CS37)&lt;=0,N(Simulations!$CP37)&lt;=0,3&gt;N(IF(Simulations!$O37="",1,Simulations!$O37))),0,IF(Simulations!$CS37&lt;IF(Simulations!$J37="",1000,Simulations!$J37),Simulations!$CP37/(IF(Simulations!$G37="",5000,Simulations!$G37)*IF(Simulations!$H37="",5000,Simulations!$H37)*IF(IF(Simulations!$I37="",5000,Simulations!$I37)&gt;0,IF(Simulations!$I37="",5000,Simulations!$I37),1))*Simulations!$CS37*(PI()/2*IF(Simulations!$V37="",200,Simulations!$V37)^2*IF(IF(Simulations!$I37="",5000,Simulations!$I37)&gt;0,SQRT(PI()/2)*IF(Simulations!$Y37="",1000,Simulations!$Y37),1)),Simulations!$CP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V37="",200,Simulations!$V37)^2*IF(Simulations!$Y37="",1000,Simulations!$Y37)/2^1.5*(2/3*LN(Simulations!$CS37/IF(Simulations!$J37="",1000,Simulations!$J37))^1.5+SQRT(LN(Simulations!$CS37/IF(Simulations!$J37="",1000,Simulations!$J37)))+Simulations!$CS37/IF(Simulations!$J37="",1000,Simulations!$J37)*SQRT(PI())/2*ERFC(SQRT(LN(Simulations!$CS37/IF(Simulations!$J37="",1000,Simulations!$J37))))),PI()*IF(Simulations!$V37="",200,Simulations!$V37)^2/2*(LN(Simulations!$CS37/IF(Simulations!$J37="",1000,Simulations!$J37))+1))))</f>
        <v>0</v>
      </c>
      <c r="W37" s="0" t="n">
        <f aca="false">IF(NOT(AND(Simulations!$A37&lt;&gt;"",OR(Simulations!$CN37&lt;&gt;"",N(Simulations!$CP37)&gt;0))),0,MAX(N(Simulations!$CQ37),N(Simulations!$CR37),N(Simulations!$CS37))/IF(Simulations!$J37="",1000,Simulations!$J37))</f>
        <v>0</v>
      </c>
      <c r="X37" s="0" t="n">
        <f aca="false">IF(OR(NOT(AND(Simulations!$A37&lt;&gt;"",OR(Simulations!$CN37&lt;&gt;"",N(Simulations!$CP37)&gt;0))),N(Simulations!$CO37)&lt;=0),0,SQRT(2*Simulations!$CO37*1000000/(IF(Simulations!$J37="",1000,Simulations!$J37)*1000))/MIN(IF(Simulations!$T37="",200,Simulations!$T37),IF(Simulations!$U37="",200,Simulations!$U37),IF(Simulations!$V37="",200,Simulations!$V37)))</f>
        <v>0</v>
      </c>
      <c r="Y37" s="0" t="n">
        <f aca="false">IF(AND(Simulations!$A37&lt;&gt;"",OR(Simulations!$CN37&lt;&gt;"",N(Simulations!$CP37)&gt;0)),1,0)</f>
        <v>0</v>
      </c>
      <c r="Z37" s="0" t="n">
        <f aca="false">IF(OR(NOT(AND(Simulations!$A37&lt;&gt;"",OR(Simulations!$DF37&lt;&gt;"",N(Simulations!$DH37)&gt;0))),N(Simulations!$DI37)&lt;=0,N(Simulations!$DH37)&lt;=0,1&gt;N(IF(Simulations!$O37="",1,Simulations!$O37))),0,IF(Simulations!$DI37&lt;IF(Simulations!$J37="",1000,Simulations!$J37),Simulations!$DH37/(IF(Simulations!$G37="",5000,Simulations!$G37)*IF(Simulations!$H37="",5000,Simulations!$H37)*IF(IF(Simulations!$I37="",5000,Simulations!$I37)&gt;0,IF(Simulations!$I37="",5000,Simulations!$I37),1))*Simulations!$DI37*(PI()/2*IF(Simulations!$T37="",200,Simulations!$T37)^2*IF(IF(Simulations!$I37="",5000,Simulations!$I37)&gt;0,SQRT(PI()/2)*IF(Simulations!$W37="",1000,Simulations!$W37),1)),Simulations!$DH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T37="",200,Simulations!$T37)^2*IF(Simulations!$W37="",1000,Simulations!$W37)/2^1.5*(2/3*LN(Simulations!$DI37/IF(Simulations!$J37="",1000,Simulations!$J37))^1.5+SQRT(LN(Simulations!$DI37/IF(Simulations!$J37="",1000,Simulations!$J37)))+Simulations!$DI37/IF(Simulations!$J37="",1000,Simulations!$J37)*SQRT(PI())/2*ERFC(SQRT(LN(Simulations!$DI37/IF(Simulations!$J37="",1000,Simulations!$J37))))),PI()*IF(Simulations!$T37="",200,Simulations!$T37)^2/2*(LN(Simulations!$DI37/IF(Simulations!$J37="",1000,Simulations!$J37))+1))))</f>
        <v>0</v>
      </c>
      <c r="AA37" s="0" t="n">
        <f aca="false">IF(OR(NOT(AND(Simulations!$A37&lt;&gt;"",OR(Simulations!$DF37&lt;&gt;"",N(Simulations!$DH37)&gt;0))),N(Simulations!$DJ37)&lt;=0,N(Simulations!$DH37)&lt;=0,2&gt;N(IF(Simulations!$O37="",1,Simulations!$O37))),0,IF(Simulations!$DJ37&lt;IF(Simulations!$J37="",1000,Simulations!$J37),Simulations!$DH37/(IF(Simulations!$G37="",5000,Simulations!$G37)*IF(Simulations!$H37="",5000,Simulations!$H37)*IF(IF(Simulations!$I37="",5000,Simulations!$I37)&gt;0,IF(Simulations!$I37="",5000,Simulations!$I37),1))*Simulations!$DJ37*(PI()/2*IF(Simulations!$U37="",200,Simulations!$U37)^2*IF(IF(Simulations!$I37="",5000,Simulations!$I37)&gt;0,SQRT(PI()/2)*IF(Simulations!$X37="",1000,Simulations!$X37),1)),Simulations!$DH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U37="",200,Simulations!$U37)^2*IF(Simulations!$X37="",1000,Simulations!$X37)/2^1.5*(2/3*LN(Simulations!$DJ37/IF(Simulations!$J37="",1000,Simulations!$J37))^1.5+SQRT(LN(Simulations!$DJ37/IF(Simulations!$J37="",1000,Simulations!$J37)))+Simulations!$DJ37/IF(Simulations!$J37="",1000,Simulations!$J37)*SQRT(PI())/2*ERFC(SQRT(LN(Simulations!$DJ37/IF(Simulations!$J37="",1000,Simulations!$J37))))),PI()*IF(Simulations!$U37="",200,Simulations!$U37)^2/2*(LN(Simulations!$DJ37/IF(Simulations!$J37="",1000,Simulations!$J37))+1))))</f>
        <v>0</v>
      </c>
      <c r="AB37" s="0" t="n">
        <f aca="false">IF(OR(NOT(AND(Simulations!$A37&lt;&gt;"",OR(Simulations!$DF37&lt;&gt;"",N(Simulations!$DH37)&gt;0))),N(Simulations!$DK37)&lt;=0,N(Simulations!$DH37)&lt;=0,3&gt;N(IF(Simulations!$O37="",1,Simulations!$O37))),0,IF(Simulations!$DK37&lt;IF(Simulations!$J37="",1000,Simulations!$J37),Simulations!$DH37/(IF(Simulations!$G37="",5000,Simulations!$G37)*IF(Simulations!$H37="",5000,Simulations!$H37)*IF(IF(Simulations!$I37="",5000,Simulations!$I37)&gt;0,IF(Simulations!$I37="",5000,Simulations!$I37),1))*Simulations!$DK37*(PI()/2*IF(Simulations!$V37="",200,Simulations!$V37)^2*IF(IF(Simulations!$I37="",5000,Simulations!$I37)&gt;0,SQRT(PI()/2)*IF(Simulations!$Y37="",1000,Simulations!$Y37),1)),Simulations!$DH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V37="",200,Simulations!$V37)^2*IF(Simulations!$Y37="",1000,Simulations!$Y37)/2^1.5*(2/3*LN(Simulations!$DK37/IF(Simulations!$J37="",1000,Simulations!$J37))^1.5+SQRT(LN(Simulations!$DK37/IF(Simulations!$J37="",1000,Simulations!$J37)))+Simulations!$DK37/IF(Simulations!$J37="",1000,Simulations!$J37)*SQRT(PI())/2*ERFC(SQRT(LN(Simulations!$DK37/IF(Simulations!$J37="",1000,Simulations!$J37))))),PI()*IF(Simulations!$V37="",200,Simulations!$V37)^2/2*(LN(Simulations!$DK37/IF(Simulations!$J37="",1000,Simulations!$J37))+1))))</f>
        <v>0</v>
      </c>
      <c r="AC37" s="0" t="n">
        <f aca="false">IF(NOT(AND(Simulations!$A37&lt;&gt;"",OR(Simulations!$DF37&lt;&gt;"",N(Simulations!$DH37)&gt;0))),0,MAX(N(Simulations!$DI37),N(Simulations!$DJ37),N(Simulations!$DK37))/IF(Simulations!$J37="",1000,Simulations!$J37))</f>
        <v>0</v>
      </c>
      <c r="AD37" s="0" t="n">
        <f aca="false">IF(OR(NOT(AND(Simulations!$A37&lt;&gt;"",OR(Simulations!$DF37&lt;&gt;"",N(Simulations!$DH37)&gt;0))),N(Simulations!$DG37)&lt;=0),0,SQRT(2*Simulations!$DG37*1000000/(IF(Simulations!$J37="",1000,Simulations!$J37)*1000))/MIN(IF(Simulations!$T37="",200,Simulations!$T37),IF(Simulations!$U37="",200,Simulations!$U37),IF(Simulations!$V37="",200,Simulations!$V37)))</f>
        <v>0</v>
      </c>
      <c r="AE37" s="0" t="n">
        <f aca="false">IF(AND(Simulations!$A37&lt;&gt;"",OR(Simulations!$DF37&lt;&gt;"",N(Simulations!$DH37)&gt;0)),1,0)</f>
        <v>0</v>
      </c>
      <c r="AF37" s="0" t="n">
        <f aca="false">IF(OR(NOT(AND(Simulations!$A37&lt;&gt;"",OR(Simulations!$DX37&lt;&gt;"",N(Simulations!$DZ37)&gt;0))),N(Simulations!$EA37)&lt;=0,N(Simulations!$DZ37)&lt;=0,1&gt;N(IF(Simulations!$O37="",1,Simulations!$O37))),0,IF(Simulations!$EA37&lt;IF(Simulations!$J37="",1000,Simulations!$J37),Simulations!$DZ37/(IF(Simulations!$G37="",5000,Simulations!$G37)*IF(Simulations!$H37="",5000,Simulations!$H37)*IF(IF(Simulations!$I37="",5000,Simulations!$I37)&gt;0,IF(Simulations!$I37="",5000,Simulations!$I37),1))*Simulations!$EA37*(PI()/2*IF(Simulations!$T37="",200,Simulations!$T37)^2*IF(IF(Simulations!$I37="",5000,Simulations!$I37)&gt;0,SQRT(PI()/2)*IF(Simulations!$W37="",1000,Simulations!$W37),1)),Simulations!$DZ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T37="",200,Simulations!$T37)^2*IF(Simulations!$W37="",1000,Simulations!$W37)/2^1.5*(2/3*LN(Simulations!$EA37/IF(Simulations!$J37="",1000,Simulations!$J37))^1.5+SQRT(LN(Simulations!$EA37/IF(Simulations!$J37="",1000,Simulations!$J37)))+Simulations!$EA37/IF(Simulations!$J37="",1000,Simulations!$J37)*SQRT(PI())/2*ERFC(SQRT(LN(Simulations!$EA37/IF(Simulations!$J37="",1000,Simulations!$J37))))),PI()*IF(Simulations!$T37="",200,Simulations!$T37)^2/2*(LN(Simulations!$EA37/IF(Simulations!$J37="",1000,Simulations!$J37))+1))))</f>
        <v>0</v>
      </c>
      <c r="AG37" s="0" t="n">
        <f aca="false">IF(OR(NOT(AND(Simulations!$A37&lt;&gt;"",OR(Simulations!$DX37&lt;&gt;"",N(Simulations!$DZ37)&gt;0))),N(Simulations!$EB37)&lt;=0,N(Simulations!$DZ37)&lt;=0,2&gt;N(IF(Simulations!$O37="",1,Simulations!$O37))),0,IF(Simulations!$EB37&lt;IF(Simulations!$J37="",1000,Simulations!$J37),Simulations!$DZ37/(IF(Simulations!$G37="",5000,Simulations!$G37)*IF(Simulations!$H37="",5000,Simulations!$H37)*IF(IF(Simulations!$I37="",5000,Simulations!$I37)&gt;0,IF(Simulations!$I37="",5000,Simulations!$I37),1))*Simulations!$EB37*(PI()/2*IF(Simulations!$U37="",200,Simulations!$U37)^2*IF(IF(Simulations!$I37="",5000,Simulations!$I37)&gt;0,SQRT(PI()/2)*IF(Simulations!$X37="",1000,Simulations!$X37),1)),Simulations!$DZ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U37="",200,Simulations!$U37)^2*IF(Simulations!$X37="",1000,Simulations!$X37)/2^1.5*(2/3*LN(Simulations!$EB37/IF(Simulations!$J37="",1000,Simulations!$J37))^1.5+SQRT(LN(Simulations!$EB37/IF(Simulations!$J37="",1000,Simulations!$J37)))+Simulations!$EB37/IF(Simulations!$J37="",1000,Simulations!$J37)*SQRT(PI())/2*ERFC(SQRT(LN(Simulations!$EB37/IF(Simulations!$J37="",1000,Simulations!$J37))))),PI()*IF(Simulations!$U37="",200,Simulations!$U37)^2/2*(LN(Simulations!$EB37/IF(Simulations!$J37="",1000,Simulations!$J37))+1))))</f>
        <v>0</v>
      </c>
      <c r="AH37" s="0" t="n">
        <f aca="false">IF(OR(NOT(AND(Simulations!$A37&lt;&gt;"",OR(Simulations!$DX37&lt;&gt;"",N(Simulations!$DZ37)&gt;0))),N(Simulations!$EC37)&lt;=0,N(Simulations!$DZ37)&lt;=0,3&gt;N(IF(Simulations!$O37="",1,Simulations!$O37))),0,IF(Simulations!$EC37&lt;IF(Simulations!$J37="",1000,Simulations!$J37),Simulations!$DZ37/(IF(Simulations!$G37="",5000,Simulations!$G37)*IF(Simulations!$H37="",5000,Simulations!$H37)*IF(IF(Simulations!$I37="",5000,Simulations!$I37)&gt;0,IF(Simulations!$I37="",5000,Simulations!$I37),1))*Simulations!$EC37*(PI()/2*IF(Simulations!$V37="",200,Simulations!$V37)^2*IF(IF(Simulations!$I37="",5000,Simulations!$I37)&gt;0,SQRT(PI()/2)*IF(Simulations!$Y37="",1000,Simulations!$Y37),1)),Simulations!$DZ37/(IF(Simulations!$G37="",5000,Simulations!$G37)*IF(Simulations!$H37="",5000,Simulations!$H37)*IF(IF(Simulations!$I37="",5000,Simulations!$I37)&gt;0,IF(Simulations!$I37="",5000,Simulations!$I37),1))*IF(Simulations!$J37="",1000,Simulations!$J37)*IF(IF(Simulations!$I37="",5000,Simulations!$I37)&gt;0,2*PI()*IF(Simulations!$V37="",200,Simulations!$V37)^2*IF(Simulations!$Y37="",1000,Simulations!$Y37)/2^1.5*(2/3*LN(Simulations!$EC37/IF(Simulations!$J37="",1000,Simulations!$J37))^1.5+SQRT(LN(Simulations!$EC37/IF(Simulations!$J37="",1000,Simulations!$J37)))+Simulations!$EC37/IF(Simulations!$J37="",1000,Simulations!$J37)*SQRT(PI())/2*ERFC(SQRT(LN(Simulations!$EC37/IF(Simulations!$J37="",1000,Simulations!$J37))))),PI()*IF(Simulations!$V37="",200,Simulations!$V37)^2/2*(LN(Simulations!$EC37/IF(Simulations!$J37="",1000,Simulations!$J37))+1))))</f>
        <v>0</v>
      </c>
      <c r="AI37" s="0" t="n">
        <f aca="false">IF(NOT(AND(Simulations!$A37&lt;&gt;"",OR(Simulations!$DX37&lt;&gt;"",N(Simulations!$DZ37)&gt;0))),0,MAX(N(Simulations!$EA37),N(Simulations!$EB37),N(Simulations!$EC37))/IF(Simulations!$J37="",1000,Simulations!$J37))</f>
        <v>0</v>
      </c>
      <c r="AJ37" s="0" t="n">
        <f aca="false">IF(OR(NOT(AND(Simulations!$A37&lt;&gt;"",OR(Simulations!$DX37&lt;&gt;"",N(Simulations!$DZ37)&gt;0))),N(Simulations!$DY37)&lt;=0),0,SQRT(2*Simulations!$DY37*1000000/(IF(Simulations!$J37="",1000,Simulations!$J37)*1000))/MIN(IF(Simulations!$T37="",200,Simulations!$T37),IF(Simulations!$U37="",200,Simulations!$U37),IF(Simulations!$V37="",200,Simulations!$V37)))</f>
        <v>0</v>
      </c>
      <c r="AK37" s="0" t="n">
        <f aca="false">IF(AND(Simulations!$A37&lt;&gt;"",OR(Simulations!$DX37&lt;&gt;"",N(Simulations!$DZ37)&gt;0)),1,0)</f>
        <v>0</v>
      </c>
    </row>
    <row r="38" customFormat="false" ht="15" hidden="false" customHeight="false" outlineLevel="0" collapsed="false">
      <c r="B38" s="0" t="n">
        <f aca="false">IF(OR(NOT(AND(Simulations!$A38&lt;&gt;"",OR(Simulations!$AL38&lt;&gt;"",N(Simulations!$AN38)&gt;0))),N(Simulations!$AO38)&lt;=0,N(Simulations!$AN38)&lt;=0,1&gt;N(IF(Simulations!$O38="",1,Simulations!$O38))),0,IF(Simulations!$AO38&lt;IF(Simulations!$J38="",1000,Simulations!$J38),Simulations!$AN38/(IF(Simulations!$G38="",5000,Simulations!$G38)*IF(Simulations!$H38="",5000,Simulations!$H38)*IF(IF(Simulations!$I38="",5000,Simulations!$I38)&gt;0,IF(Simulations!$I38="",5000,Simulations!$I38),1))*Simulations!$AO38*(PI()/2*IF(Simulations!$T38="",200,Simulations!$T38)^2*IF(IF(Simulations!$I38="",5000,Simulations!$I38)&gt;0,SQRT(PI()/2)*IF(Simulations!$W38="",1000,Simulations!$W38),1)),Simulations!$AN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T38="",200,Simulations!$T38)^2*IF(Simulations!$W38="",1000,Simulations!$W38)/2^1.5*(2/3*LN(Simulations!$AO38/IF(Simulations!$J38="",1000,Simulations!$J38))^1.5+SQRT(LN(Simulations!$AO38/IF(Simulations!$J38="",1000,Simulations!$J38)))+Simulations!$AO38/IF(Simulations!$J38="",1000,Simulations!$J38)*SQRT(PI())/2*ERFC(SQRT(LN(Simulations!$AO38/IF(Simulations!$J38="",1000,Simulations!$J38))))),PI()*IF(Simulations!$T38="",200,Simulations!$T38)^2/2*(LN(Simulations!$AO38/IF(Simulations!$J38="",1000,Simulations!$J38))+1))))</f>
        <v>0</v>
      </c>
      <c r="C38" s="0" t="n">
        <f aca="false">IF(OR(NOT(AND(Simulations!$A38&lt;&gt;"",OR(Simulations!$AL38&lt;&gt;"",N(Simulations!$AN38)&gt;0))),N(Simulations!$AP38)&lt;=0,N(Simulations!$AN38)&lt;=0,2&gt;N(IF(Simulations!$O38="",1,Simulations!$O38))),0,IF(Simulations!$AP38&lt;IF(Simulations!$J38="",1000,Simulations!$J38),Simulations!$AN38/(IF(Simulations!$G38="",5000,Simulations!$G38)*IF(Simulations!$H38="",5000,Simulations!$H38)*IF(IF(Simulations!$I38="",5000,Simulations!$I38)&gt;0,IF(Simulations!$I38="",5000,Simulations!$I38),1))*Simulations!$AP38*(PI()/2*IF(Simulations!$U38="",200,Simulations!$U38)^2*IF(IF(Simulations!$I38="",5000,Simulations!$I38)&gt;0,SQRT(PI()/2)*IF(Simulations!$X38="",1000,Simulations!$X38),1)),Simulations!$AN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U38="",200,Simulations!$U38)^2*IF(Simulations!$X38="",1000,Simulations!$X38)/2^1.5*(2/3*LN(Simulations!$AP38/IF(Simulations!$J38="",1000,Simulations!$J38))^1.5+SQRT(LN(Simulations!$AP38/IF(Simulations!$J38="",1000,Simulations!$J38)))+Simulations!$AP38/IF(Simulations!$J38="",1000,Simulations!$J38)*SQRT(PI())/2*ERFC(SQRT(LN(Simulations!$AP38/IF(Simulations!$J38="",1000,Simulations!$J38))))),PI()*IF(Simulations!$U38="",200,Simulations!$U38)^2/2*(LN(Simulations!$AP38/IF(Simulations!$J38="",1000,Simulations!$J38))+1))))</f>
        <v>0</v>
      </c>
      <c r="D38" s="0" t="n">
        <f aca="false">IF(OR(NOT(AND(Simulations!$A38&lt;&gt;"",OR(Simulations!$AL38&lt;&gt;"",N(Simulations!$AN38)&gt;0))),N(Simulations!$AQ38)&lt;=0,N(Simulations!$AN38)&lt;=0,3&gt;N(IF(Simulations!$O38="",1,Simulations!$O38))),0,IF(Simulations!$AQ38&lt;IF(Simulations!$J38="",1000,Simulations!$J38),Simulations!$AN38/(IF(Simulations!$G38="",5000,Simulations!$G38)*IF(Simulations!$H38="",5000,Simulations!$H38)*IF(IF(Simulations!$I38="",5000,Simulations!$I38)&gt;0,IF(Simulations!$I38="",5000,Simulations!$I38),1))*Simulations!$AQ38*(PI()/2*IF(Simulations!$V38="",200,Simulations!$V38)^2*IF(IF(Simulations!$I38="",5000,Simulations!$I38)&gt;0,SQRT(PI()/2)*IF(Simulations!$Y38="",1000,Simulations!$Y38),1)),Simulations!$AN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V38="",200,Simulations!$V38)^2*IF(Simulations!$Y38="",1000,Simulations!$Y38)/2^1.5*(2/3*LN(Simulations!$AQ38/IF(Simulations!$J38="",1000,Simulations!$J38))^1.5+SQRT(LN(Simulations!$AQ38/IF(Simulations!$J38="",1000,Simulations!$J38)))+Simulations!$AQ38/IF(Simulations!$J38="",1000,Simulations!$J38)*SQRT(PI())/2*ERFC(SQRT(LN(Simulations!$AQ38/IF(Simulations!$J38="",1000,Simulations!$J38))))),PI()*IF(Simulations!$V38="",200,Simulations!$V38)^2/2*(LN(Simulations!$AQ38/IF(Simulations!$J38="",1000,Simulations!$J38))+1))))</f>
        <v>0</v>
      </c>
      <c r="E38" s="0" t="n">
        <f aca="false">IF(NOT(AND(Simulations!$A38&lt;&gt;"",OR(Simulations!$AL38&lt;&gt;"",N(Simulations!$AN38)&gt;0))),0,MAX(N(Simulations!$AO38),N(Simulations!$AP38),N(Simulations!$AQ38))/IF(Simulations!$J38="",1000,Simulations!$J38))</f>
        <v>0</v>
      </c>
      <c r="F38" s="0" t="n">
        <f aca="false">IF(OR(NOT(AND(Simulations!$A38&lt;&gt;"",OR(Simulations!$AL38&lt;&gt;"",N(Simulations!$AN38)&gt;0))),N(Simulations!$AM38)&lt;=0),0,SQRT(2*Simulations!$AM38*1000000/(IF(Simulations!$J38="",1000,Simulations!$J38)*1000))/MIN(IF(Simulations!$T38="",200,Simulations!$T38),IF(Simulations!$U38="",200,Simulations!$U38),IF(Simulations!$V38="",200,Simulations!$V38)))</f>
        <v>0</v>
      </c>
      <c r="G38" s="0" t="n">
        <f aca="false">IF(AND(Simulations!$A38&lt;&gt;"",OR(Simulations!$AL38&lt;&gt;"",N(Simulations!$AN38)&gt;0)),1,0)</f>
        <v>0</v>
      </c>
      <c r="H38" s="0" t="n">
        <f aca="false">IF(OR(NOT(AND(Simulations!$A38&lt;&gt;"",OR(Simulations!$BD38&lt;&gt;"",N(Simulations!$BF38)&gt;0))),N(Simulations!$BG38)&lt;=0,N(Simulations!$BF38)&lt;=0,1&gt;N(IF(Simulations!$O38="",1,Simulations!$O38))),0,IF(Simulations!$BG38&lt;IF(Simulations!$J38="",1000,Simulations!$J38),Simulations!$BF38/(IF(Simulations!$G38="",5000,Simulations!$G38)*IF(Simulations!$H38="",5000,Simulations!$H38)*IF(IF(Simulations!$I38="",5000,Simulations!$I38)&gt;0,IF(Simulations!$I38="",5000,Simulations!$I38),1))*Simulations!$BG38*(PI()/2*IF(Simulations!$T38="",200,Simulations!$T38)^2*IF(IF(Simulations!$I38="",5000,Simulations!$I38)&gt;0,SQRT(PI()/2)*IF(Simulations!$W38="",1000,Simulations!$W38),1)),Simulations!$BF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T38="",200,Simulations!$T38)^2*IF(Simulations!$W38="",1000,Simulations!$W38)/2^1.5*(2/3*LN(Simulations!$BG38/IF(Simulations!$J38="",1000,Simulations!$J38))^1.5+SQRT(LN(Simulations!$BG38/IF(Simulations!$J38="",1000,Simulations!$J38)))+Simulations!$BG38/IF(Simulations!$J38="",1000,Simulations!$J38)*SQRT(PI())/2*ERFC(SQRT(LN(Simulations!$BG38/IF(Simulations!$J38="",1000,Simulations!$J38))))),PI()*IF(Simulations!$T38="",200,Simulations!$T38)^2/2*(LN(Simulations!$BG38/IF(Simulations!$J38="",1000,Simulations!$J38))+1))))</f>
        <v>0</v>
      </c>
      <c r="I38" s="0" t="n">
        <f aca="false">IF(OR(NOT(AND(Simulations!$A38&lt;&gt;"",OR(Simulations!$BD38&lt;&gt;"",N(Simulations!$BF38)&gt;0))),N(Simulations!$BH38)&lt;=0,N(Simulations!$BF38)&lt;=0,2&gt;N(IF(Simulations!$O38="",1,Simulations!$O38))),0,IF(Simulations!$BH38&lt;IF(Simulations!$J38="",1000,Simulations!$J38),Simulations!$BF38/(IF(Simulations!$G38="",5000,Simulations!$G38)*IF(Simulations!$H38="",5000,Simulations!$H38)*IF(IF(Simulations!$I38="",5000,Simulations!$I38)&gt;0,IF(Simulations!$I38="",5000,Simulations!$I38),1))*Simulations!$BH38*(PI()/2*IF(Simulations!$U38="",200,Simulations!$U38)^2*IF(IF(Simulations!$I38="",5000,Simulations!$I38)&gt;0,SQRT(PI()/2)*IF(Simulations!$X38="",1000,Simulations!$X38),1)),Simulations!$BF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U38="",200,Simulations!$U38)^2*IF(Simulations!$X38="",1000,Simulations!$X38)/2^1.5*(2/3*LN(Simulations!$BH38/IF(Simulations!$J38="",1000,Simulations!$J38))^1.5+SQRT(LN(Simulations!$BH38/IF(Simulations!$J38="",1000,Simulations!$J38)))+Simulations!$BH38/IF(Simulations!$J38="",1000,Simulations!$J38)*SQRT(PI())/2*ERFC(SQRT(LN(Simulations!$BH38/IF(Simulations!$J38="",1000,Simulations!$J38))))),PI()*IF(Simulations!$U38="",200,Simulations!$U38)^2/2*(LN(Simulations!$BH38/IF(Simulations!$J38="",1000,Simulations!$J38))+1))))</f>
        <v>0</v>
      </c>
      <c r="J38" s="0" t="n">
        <f aca="false">IF(OR(NOT(AND(Simulations!$A38&lt;&gt;"",OR(Simulations!$BD38&lt;&gt;"",N(Simulations!$BF38)&gt;0))),N(Simulations!$BI38)&lt;=0,N(Simulations!$BF38)&lt;=0,3&gt;N(IF(Simulations!$O38="",1,Simulations!$O38))),0,IF(Simulations!$BI38&lt;IF(Simulations!$J38="",1000,Simulations!$J38),Simulations!$BF38/(IF(Simulations!$G38="",5000,Simulations!$G38)*IF(Simulations!$H38="",5000,Simulations!$H38)*IF(IF(Simulations!$I38="",5000,Simulations!$I38)&gt;0,IF(Simulations!$I38="",5000,Simulations!$I38),1))*Simulations!$BI38*(PI()/2*IF(Simulations!$V38="",200,Simulations!$V38)^2*IF(IF(Simulations!$I38="",5000,Simulations!$I38)&gt;0,SQRT(PI()/2)*IF(Simulations!$Y38="",1000,Simulations!$Y38),1)),Simulations!$BF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V38="",200,Simulations!$V38)^2*IF(Simulations!$Y38="",1000,Simulations!$Y38)/2^1.5*(2/3*LN(Simulations!$BI38/IF(Simulations!$J38="",1000,Simulations!$J38))^1.5+SQRT(LN(Simulations!$BI38/IF(Simulations!$J38="",1000,Simulations!$J38)))+Simulations!$BI38/IF(Simulations!$J38="",1000,Simulations!$J38)*SQRT(PI())/2*ERFC(SQRT(LN(Simulations!$BI38/IF(Simulations!$J38="",1000,Simulations!$J38))))),PI()*IF(Simulations!$V38="",200,Simulations!$V38)^2/2*(LN(Simulations!$BI38/IF(Simulations!$J38="",1000,Simulations!$J38))+1))))</f>
        <v>0</v>
      </c>
      <c r="K38" s="0" t="n">
        <f aca="false">IF(NOT(AND(Simulations!$A38&lt;&gt;"",OR(Simulations!$BD38&lt;&gt;"",N(Simulations!$BF38)&gt;0))),0,MAX(N(Simulations!$BG38),N(Simulations!$BH38),N(Simulations!$BI38))/IF(Simulations!$J38="",1000,Simulations!$J38))</f>
        <v>0</v>
      </c>
      <c r="L38" s="0" t="n">
        <f aca="false">IF(OR(NOT(AND(Simulations!$A38&lt;&gt;"",OR(Simulations!$BD38&lt;&gt;"",N(Simulations!$BF38)&gt;0))),N(Simulations!$BE38)&lt;=0),0,SQRT(2*Simulations!$BE38*1000000/(IF(Simulations!$J38="",1000,Simulations!$J38)*1000))/MIN(IF(Simulations!$T38="",200,Simulations!$T38),IF(Simulations!$U38="",200,Simulations!$U38),IF(Simulations!$V38="",200,Simulations!$V38)))</f>
        <v>0</v>
      </c>
      <c r="M38" s="0" t="n">
        <f aca="false">IF(AND(Simulations!$A38&lt;&gt;"",OR(Simulations!$BD38&lt;&gt;"",N(Simulations!$BF38)&gt;0)),1,0)</f>
        <v>0</v>
      </c>
      <c r="N38" s="0" t="n">
        <f aca="false">IF(OR(NOT(AND(Simulations!$A38&lt;&gt;"",OR(Simulations!$BV38&lt;&gt;"",N(Simulations!$BX38)&gt;0))),N(Simulations!$BY38)&lt;=0,N(Simulations!$BX38)&lt;=0,1&gt;N(IF(Simulations!$O38="",1,Simulations!$O38))),0,IF(Simulations!$BY38&lt;IF(Simulations!$J38="",1000,Simulations!$J38),Simulations!$BX38/(IF(Simulations!$G38="",5000,Simulations!$G38)*IF(Simulations!$H38="",5000,Simulations!$H38)*IF(IF(Simulations!$I38="",5000,Simulations!$I38)&gt;0,IF(Simulations!$I38="",5000,Simulations!$I38),1))*Simulations!$BY38*(PI()/2*IF(Simulations!$T38="",200,Simulations!$T38)^2*IF(IF(Simulations!$I38="",5000,Simulations!$I38)&gt;0,SQRT(PI()/2)*IF(Simulations!$W38="",1000,Simulations!$W38),1)),Simulations!$BX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T38="",200,Simulations!$T38)^2*IF(Simulations!$W38="",1000,Simulations!$W38)/2^1.5*(2/3*LN(Simulations!$BY38/IF(Simulations!$J38="",1000,Simulations!$J38))^1.5+SQRT(LN(Simulations!$BY38/IF(Simulations!$J38="",1000,Simulations!$J38)))+Simulations!$BY38/IF(Simulations!$J38="",1000,Simulations!$J38)*SQRT(PI())/2*ERFC(SQRT(LN(Simulations!$BY38/IF(Simulations!$J38="",1000,Simulations!$J38))))),PI()*IF(Simulations!$T38="",200,Simulations!$T38)^2/2*(LN(Simulations!$BY38/IF(Simulations!$J38="",1000,Simulations!$J38))+1))))</f>
        <v>0</v>
      </c>
      <c r="O38" s="0" t="n">
        <f aca="false">IF(OR(NOT(AND(Simulations!$A38&lt;&gt;"",OR(Simulations!$BV38&lt;&gt;"",N(Simulations!$BX38)&gt;0))),N(Simulations!$BZ38)&lt;=0,N(Simulations!$BX38)&lt;=0,2&gt;N(IF(Simulations!$O38="",1,Simulations!$O38))),0,IF(Simulations!$BZ38&lt;IF(Simulations!$J38="",1000,Simulations!$J38),Simulations!$BX38/(IF(Simulations!$G38="",5000,Simulations!$G38)*IF(Simulations!$H38="",5000,Simulations!$H38)*IF(IF(Simulations!$I38="",5000,Simulations!$I38)&gt;0,IF(Simulations!$I38="",5000,Simulations!$I38),1))*Simulations!$BZ38*(PI()/2*IF(Simulations!$U38="",200,Simulations!$U38)^2*IF(IF(Simulations!$I38="",5000,Simulations!$I38)&gt;0,SQRT(PI()/2)*IF(Simulations!$X38="",1000,Simulations!$X38),1)),Simulations!$BX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U38="",200,Simulations!$U38)^2*IF(Simulations!$X38="",1000,Simulations!$X38)/2^1.5*(2/3*LN(Simulations!$BZ38/IF(Simulations!$J38="",1000,Simulations!$J38))^1.5+SQRT(LN(Simulations!$BZ38/IF(Simulations!$J38="",1000,Simulations!$J38)))+Simulations!$BZ38/IF(Simulations!$J38="",1000,Simulations!$J38)*SQRT(PI())/2*ERFC(SQRT(LN(Simulations!$BZ38/IF(Simulations!$J38="",1000,Simulations!$J38))))),PI()*IF(Simulations!$U38="",200,Simulations!$U38)^2/2*(LN(Simulations!$BZ38/IF(Simulations!$J38="",1000,Simulations!$J38))+1))))</f>
        <v>0</v>
      </c>
      <c r="P38" s="0" t="n">
        <f aca="false">IF(OR(NOT(AND(Simulations!$A38&lt;&gt;"",OR(Simulations!$BV38&lt;&gt;"",N(Simulations!$BX38)&gt;0))),N(Simulations!$CA38)&lt;=0,N(Simulations!$BX38)&lt;=0,3&gt;N(IF(Simulations!$O38="",1,Simulations!$O38))),0,IF(Simulations!$CA38&lt;IF(Simulations!$J38="",1000,Simulations!$J38),Simulations!$BX38/(IF(Simulations!$G38="",5000,Simulations!$G38)*IF(Simulations!$H38="",5000,Simulations!$H38)*IF(IF(Simulations!$I38="",5000,Simulations!$I38)&gt;0,IF(Simulations!$I38="",5000,Simulations!$I38),1))*Simulations!$CA38*(PI()/2*IF(Simulations!$V38="",200,Simulations!$V38)^2*IF(IF(Simulations!$I38="",5000,Simulations!$I38)&gt;0,SQRT(PI()/2)*IF(Simulations!$Y38="",1000,Simulations!$Y38),1)),Simulations!$BX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V38="",200,Simulations!$V38)^2*IF(Simulations!$Y38="",1000,Simulations!$Y38)/2^1.5*(2/3*LN(Simulations!$CA38/IF(Simulations!$J38="",1000,Simulations!$J38))^1.5+SQRT(LN(Simulations!$CA38/IF(Simulations!$J38="",1000,Simulations!$J38)))+Simulations!$CA38/IF(Simulations!$J38="",1000,Simulations!$J38)*SQRT(PI())/2*ERFC(SQRT(LN(Simulations!$CA38/IF(Simulations!$J38="",1000,Simulations!$J38))))),PI()*IF(Simulations!$V38="",200,Simulations!$V38)^2/2*(LN(Simulations!$CA38/IF(Simulations!$J38="",1000,Simulations!$J38))+1))))</f>
        <v>0</v>
      </c>
      <c r="Q38" s="0" t="n">
        <f aca="false">IF(NOT(AND(Simulations!$A38&lt;&gt;"",OR(Simulations!$BV38&lt;&gt;"",N(Simulations!$BX38)&gt;0))),0,MAX(N(Simulations!$BY38),N(Simulations!$BZ38),N(Simulations!$CA38))/IF(Simulations!$J38="",1000,Simulations!$J38))</f>
        <v>0</v>
      </c>
      <c r="R38" s="0" t="n">
        <f aca="false">IF(OR(NOT(AND(Simulations!$A38&lt;&gt;"",OR(Simulations!$BV38&lt;&gt;"",N(Simulations!$BX38)&gt;0))),N(Simulations!$BW38)&lt;=0),0,SQRT(2*Simulations!$BW38*1000000/(IF(Simulations!$J38="",1000,Simulations!$J38)*1000))/MIN(IF(Simulations!$T38="",200,Simulations!$T38),IF(Simulations!$U38="",200,Simulations!$U38),IF(Simulations!$V38="",200,Simulations!$V38)))</f>
        <v>0</v>
      </c>
      <c r="S38" s="0" t="n">
        <f aca="false">IF(AND(Simulations!$A38&lt;&gt;"",OR(Simulations!$BV38&lt;&gt;"",N(Simulations!$BX38)&gt;0)),1,0)</f>
        <v>0</v>
      </c>
      <c r="T38" s="0" t="n">
        <f aca="false">IF(OR(NOT(AND(Simulations!$A38&lt;&gt;"",OR(Simulations!$CN38&lt;&gt;"",N(Simulations!$CP38)&gt;0))),N(Simulations!$CQ38)&lt;=0,N(Simulations!$CP38)&lt;=0,1&gt;N(IF(Simulations!$O38="",1,Simulations!$O38))),0,IF(Simulations!$CQ38&lt;IF(Simulations!$J38="",1000,Simulations!$J38),Simulations!$CP38/(IF(Simulations!$G38="",5000,Simulations!$G38)*IF(Simulations!$H38="",5000,Simulations!$H38)*IF(IF(Simulations!$I38="",5000,Simulations!$I38)&gt;0,IF(Simulations!$I38="",5000,Simulations!$I38),1))*Simulations!$CQ38*(PI()/2*IF(Simulations!$T38="",200,Simulations!$T38)^2*IF(IF(Simulations!$I38="",5000,Simulations!$I38)&gt;0,SQRT(PI()/2)*IF(Simulations!$W38="",1000,Simulations!$W38),1)),Simulations!$CP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T38="",200,Simulations!$T38)^2*IF(Simulations!$W38="",1000,Simulations!$W38)/2^1.5*(2/3*LN(Simulations!$CQ38/IF(Simulations!$J38="",1000,Simulations!$J38))^1.5+SQRT(LN(Simulations!$CQ38/IF(Simulations!$J38="",1000,Simulations!$J38)))+Simulations!$CQ38/IF(Simulations!$J38="",1000,Simulations!$J38)*SQRT(PI())/2*ERFC(SQRT(LN(Simulations!$CQ38/IF(Simulations!$J38="",1000,Simulations!$J38))))),PI()*IF(Simulations!$T38="",200,Simulations!$T38)^2/2*(LN(Simulations!$CQ38/IF(Simulations!$J38="",1000,Simulations!$J38))+1))))</f>
        <v>0</v>
      </c>
      <c r="U38" s="0" t="n">
        <f aca="false">IF(OR(NOT(AND(Simulations!$A38&lt;&gt;"",OR(Simulations!$CN38&lt;&gt;"",N(Simulations!$CP38)&gt;0))),N(Simulations!$CR38)&lt;=0,N(Simulations!$CP38)&lt;=0,2&gt;N(IF(Simulations!$O38="",1,Simulations!$O38))),0,IF(Simulations!$CR38&lt;IF(Simulations!$J38="",1000,Simulations!$J38),Simulations!$CP38/(IF(Simulations!$G38="",5000,Simulations!$G38)*IF(Simulations!$H38="",5000,Simulations!$H38)*IF(IF(Simulations!$I38="",5000,Simulations!$I38)&gt;0,IF(Simulations!$I38="",5000,Simulations!$I38),1))*Simulations!$CR38*(PI()/2*IF(Simulations!$U38="",200,Simulations!$U38)^2*IF(IF(Simulations!$I38="",5000,Simulations!$I38)&gt;0,SQRT(PI()/2)*IF(Simulations!$X38="",1000,Simulations!$X38),1)),Simulations!$CP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U38="",200,Simulations!$U38)^2*IF(Simulations!$X38="",1000,Simulations!$X38)/2^1.5*(2/3*LN(Simulations!$CR38/IF(Simulations!$J38="",1000,Simulations!$J38))^1.5+SQRT(LN(Simulations!$CR38/IF(Simulations!$J38="",1000,Simulations!$J38)))+Simulations!$CR38/IF(Simulations!$J38="",1000,Simulations!$J38)*SQRT(PI())/2*ERFC(SQRT(LN(Simulations!$CR38/IF(Simulations!$J38="",1000,Simulations!$J38))))),PI()*IF(Simulations!$U38="",200,Simulations!$U38)^2/2*(LN(Simulations!$CR38/IF(Simulations!$J38="",1000,Simulations!$J38))+1))))</f>
        <v>0</v>
      </c>
      <c r="V38" s="0" t="n">
        <f aca="false">IF(OR(NOT(AND(Simulations!$A38&lt;&gt;"",OR(Simulations!$CN38&lt;&gt;"",N(Simulations!$CP38)&gt;0))),N(Simulations!$CS38)&lt;=0,N(Simulations!$CP38)&lt;=0,3&gt;N(IF(Simulations!$O38="",1,Simulations!$O38))),0,IF(Simulations!$CS38&lt;IF(Simulations!$J38="",1000,Simulations!$J38),Simulations!$CP38/(IF(Simulations!$G38="",5000,Simulations!$G38)*IF(Simulations!$H38="",5000,Simulations!$H38)*IF(IF(Simulations!$I38="",5000,Simulations!$I38)&gt;0,IF(Simulations!$I38="",5000,Simulations!$I38),1))*Simulations!$CS38*(PI()/2*IF(Simulations!$V38="",200,Simulations!$V38)^2*IF(IF(Simulations!$I38="",5000,Simulations!$I38)&gt;0,SQRT(PI()/2)*IF(Simulations!$Y38="",1000,Simulations!$Y38),1)),Simulations!$CP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V38="",200,Simulations!$V38)^2*IF(Simulations!$Y38="",1000,Simulations!$Y38)/2^1.5*(2/3*LN(Simulations!$CS38/IF(Simulations!$J38="",1000,Simulations!$J38))^1.5+SQRT(LN(Simulations!$CS38/IF(Simulations!$J38="",1000,Simulations!$J38)))+Simulations!$CS38/IF(Simulations!$J38="",1000,Simulations!$J38)*SQRT(PI())/2*ERFC(SQRT(LN(Simulations!$CS38/IF(Simulations!$J38="",1000,Simulations!$J38))))),PI()*IF(Simulations!$V38="",200,Simulations!$V38)^2/2*(LN(Simulations!$CS38/IF(Simulations!$J38="",1000,Simulations!$J38))+1))))</f>
        <v>0</v>
      </c>
      <c r="W38" s="0" t="n">
        <f aca="false">IF(NOT(AND(Simulations!$A38&lt;&gt;"",OR(Simulations!$CN38&lt;&gt;"",N(Simulations!$CP38)&gt;0))),0,MAX(N(Simulations!$CQ38),N(Simulations!$CR38),N(Simulations!$CS38))/IF(Simulations!$J38="",1000,Simulations!$J38))</f>
        <v>0</v>
      </c>
      <c r="X38" s="0" t="n">
        <f aca="false">IF(OR(NOT(AND(Simulations!$A38&lt;&gt;"",OR(Simulations!$CN38&lt;&gt;"",N(Simulations!$CP38)&gt;0))),N(Simulations!$CO38)&lt;=0),0,SQRT(2*Simulations!$CO38*1000000/(IF(Simulations!$J38="",1000,Simulations!$J38)*1000))/MIN(IF(Simulations!$T38="",200,Simulations!$T38),IF(Simulations!$U38="",200,Simulations!$U38),IF(Simulations!$V38="",200,Simulations!$V38)))</f>
        <v>0</v>
      </c>
      <c r="Y38" s="0" t="n">
        <f aca="false">IF(AND(Simulations!$A38&lt;&gt;"",OR(Simulations!$CN38&lt;&gt;"",N(Simulations!$CP38)&gt;0)),1,0)</f>
        <v>0</v>
      </c>
      <c r="Z38" s="0" t="n">
        <f aca="false">IF(OR(NOT(AND(Simulations!$A38&lt;&gt;"",OR(Simulations!$DF38&lt;&gt;"",N(Simulations!$DH38)&gt;0))),N(Simulations!$DI38)&lt;=0,N(Simulations!$DH38)&lt;=0,1&gt;N(IF(Simulations!$O38="",1,Simulations!$O38))),0,IF(Simulations!$DI38&lt;IF(Simulations!$J38="",1000,Simulations!$J38),Simulations!$DH38/(IF(Simulations!$G38="",5000,Simulations!$G38)*IF(Simulations!$H38="",5000,Simulations!$H38)*IF(IF(Simulations!$I38="",5000,Simulations!$I38)&gt;0,IF(Simulations!$I38="",5000,Simulations!$I38),1))*Simulations!$DI38*(PI()/2*IF(Simulations!$T38="",200,Simulations!$T38)^2*IF(IF(Simulations!$I38="",5000,Simulations!$I38)&gt;0,SQRT(PI()/2)*IF(Simulations!$W38="",1000,Simulations!$W38),1)),Simulations!$DH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T38="",200,Simulations!$T38)^2*IF(Simulations!$W38="",1000,Simulations!$W38)/2^1.5*(2/3*LN(Simulations!$DI38/IF(Simulations!$J38="",1000,Simulations!$J38))^1.5+SQRT(LN(Simulations!$DI38/IF(Simulations!$J38="",1000,Simulations!$J38)))+Simulations!$DI38/IF(Simulations!$J38="",1000,Simulations!$J38)*SQRT(PI())/2*ERFC(SQRT(LN(Simulations!$DI38/IF(Simulations!$J38="",1000,Simulations!$J38))))),PI()*IF(Simulations!$T38="",200,Simulations!$T38)^2/2*(LN(Simulations!$DI38/IF(Simulations!$J38="",1000,Simulations!$J38))+1))))</f>
        <v>0</v>
      </c>
      <c r="AA38" s="0" t="n">
        <f aca="false">IF(OR(NOT(AND(Simulations!$A38&lt;&gt;"",OR(Simulations!$DF38&lt;&gt;"",N(Simulations!$DH38)&gt;0))),N(Simulations!$DJ38)&lt;=0,N(Simulations!$DH38)&lt;=0,2&gt;N(IF(Simulations!$O38="",1,Simulations!$O38))),0,IF(Simulations!$DJ38&lt;IF(Simulations!$J38="",1000,Simulations!$J38),Simulations!$DH38/(IF(Simulations!$G38="",5000,Simulations!$G38)*IF(Simulations!$H38="",5000,Simulations!$H38)*IF(IF(Simulations!$I38="",5000,Simulations!$I38)&gt;0,IF(Simulations!$I38="",5000,Simulations!$I38),1))*Simulations!$DJ38*(PI()/2*IF(Simulations!$U38="",200,Simulations!$U38)^2*IF(IF(Simulations!$I38="",5000,Simulations!$I38)&gt;0,SQRT(PI()/2)*IF(Simulations!$X38="",1000,Simulations!$X38),1)),Simulations!$DH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U38="",200,Simulations!$U38)^2*IF(Simulations!$X38="",1000,Simulations!$X38)/2^1.5*(2/3*LN(Simulations!$DJ38/IF(Simulations!$J38="",1000,Simulations!$J38))^1.5+SQRT(LN(Simulations!$DJ38/IF(Simulations!$J38="",1000,Simulations!$J38)))+Simulations!$DJ38/IF(Simulations!$J38="",1000,Simulations!$J38)*SQRT(PI())/2*ERFC(SQRT(LN(Simulations!$DJ38/IF(Simulations!$J38="",1000,Simulations!$J38))))),PI()*IF(Simulations!$U38="",200,Simulations!$U38)^2/2*(LN(Simulations!$DJ38/IF(Simulations!$J38="",1000,Simulations!$J38))+1))))</f>
        <v>0</v>
      </c>
      <c r="AB38" s="0" t="n">
        <f aca="false">IF(OR(NOT(AND(Simulations!$A38&lt;&gt;"",OR(Simulations!$DF38&lt;&gt;"",N(Simulations!$DH38)&gt;0))),N(Simulations!$DK38)&lt;=0,N(Simulations!$DH38)&lt;=0,3&gt;N(IF(Simulations!$O38="",1,Simulations!$O38))),0,IF(Simulations!$DK38&lt;IF(Simulations!$J38="",1000,Simulations!$J38),Simulations!$DH38/(IF(Simulations!$G38="",5000,Simulations!$G38)*IF(Simulations!$H38="",5000,Simulations!$H38)*IF(IF(Simulations!$I38="",5000,Simulations!$I38)&gt;0,IF(Simulations!$I38="",5000,Simulations!$I38),1))*Simulations!$DK38*(PI()/2*IF(Simulations!$V38="",200,Simulations!$V38)^2*IF(IF(Simulations!$I38="",5000,Simulations!$I38)&gt;0,SQRT(PI()/2)*IF(Simulations!$Y38="",1000,Simulations!$Y38),1)),Simulations!$DH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V38="",200,Simulations!$V38)^2*IF(Simulations!$Y38="",1000,Simulations!$Y38)/2^1.5*(2/3*LN(Simulations!$DK38/IF(Simulations!$J38="",1000,Simulations!$J38))^1.5+SQRT(LN(Simulations!$DK38/IF(Simulations!$J38="",1000,Simulations!$J38)))+Simulations!$DK38/IF(Simulations!$J38="",1000,Simulations!$J38)*SQRT(PI())/2*ERFC(SQRT(LN(Simulations!$DK38/IF(Simulations!$J38="",1000,Simulations!$J38))))),PI()*IF(Simulations!$V38="",200,Simulations!$V38)^2/2*(LN(Simulations!$DK38/IF(Simulations!$J38="",1000,Simulations!$J38))+1))))</f>
        <v>0</v>
      </c>
      <c r="AC38" s="0" t="n">
        <f aca="false">IF(NOT(AND(Simulations!$A38&lt;&gt;"",OR(Simulations!$DF38&lt;&gt;"",N(Simulations!$DH38)&gt;0))),0,MAX(N(Simulations!$DI38),N(Simulations!$DJ38),N(Simulations!$DK38))/IF(Simulations!$J38="",1000,Simulations!$J38))</f>
        <v>0</v>
      </c>
      <c r="AD38" s="0" t="n">
        <f aca="false">IF(OR(NOT(AND(Simulations!$A38&lt;&gt;"",OR(Simulations!$DF38&lt;&gt;"",N(Simulations!$DH38)&gt;0))),N(Simulations!$DG38)&lt;=0),0,SQRT(2*Simulations!$DG38*1000000/(IF(Simulations!$J38="",1000,Simulations!$J38)*1000))/MIN(IF(Simulations!$T38="",200,Simulations!$T38),IF(Simulations!$U38="",200,Simulations!$U38),IF(Simulations!$V38="",200,Simulations!$V38)))</f>
        <v>0</v>
      </c>
      <c r="AE38" s="0" t="n">
        <f aca="false">IF(AND(Simulations!$A38&lt;&gt;"",OR(Simulations!$DF38&lt;&gt;"",N(Simulations!$DH38)&gt;0)),1,0)</f>
        <v>0</v>
      </c>
      <c r="AF38" s="0" t="n">
        <f aca="false">IF(OR(NOT(AND(Simulations!$A38&lt;&gt;"",OR(Simulations!$DX38&lt;&gt;"",N(Simulations!$DZ38)&gt;0))),N(Simulations!$EA38)&lt;=0,N(Simulations!$DZ38)&lt;=0,1&gt;N(IF(Simulations!$O38="",1,Simulations!$O38))),0,IF(Simulations!$EA38&lt;IF(Simulations!$J38="",1000,Simulations!$J38),Simulations!$DZ38/(IF(Simulations!$G38="",5000,Simulations!$G38)*IF(Simulations!$H38="",5000,Simulations!$H38)*IF(IF(Simulations!$I38="",5000,Simulations!$I38)&gt;0,IF(Simulations!$I38="",5000,Simulations!$I38),1))*Simulations!$EA38*(PI()/2*IF(Simulations!$T38="",200,Simulations!$T38)^2*IF(IF(Simulations!$I38="",5000,Simulations!$I38)&gt;0,SQRT(PI()/2)*IF(Simulations!$W38="",1000,Simulations!$W38),1)),Simulations!$DZ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T38="",200,Simulations!$T38)^2*IF(Simulations!$W38="",1000,Simulations!$W38)/2^1.5*(2/3*LN(Simulations!$EA38/IF(Simulations!$J38="",1000,Simulations!$J38))^1.5+SQRT(LN(Simulations!$EA38/IF(Simulations!$J38="",1000,Simulations!$J38)))+Simulations!$EA38/IF(Simulations!$J38="",1000,Simulations!$J38)*SQRT(PI())/2*ERFC(SQRT(LN(Simulations!$EA38/IF(Simulations!$J38="",1000,Simulations!$J38))))),PI()*IF(Simulations!$T38="",200,Simulations!$T38)^2/2*(LN(Simulations!$EA38/IF(Simulations!$J38="",1000,Simulations!$J38))+1))))</f>
        <v>0</v>
      </c>
      <c r="AG38" s="0" t="n">
        <f aca="false">IF(OR(NOT(AND(Simulations!$A38&lt;&gt;"",OR(Simulations!$DX38&lt;&gt;"",N(Simulations!$DZ38)&gt;0))),N(Simulations!$EB38)&lt;=0,N(Simulations!$DZ38)&lt;=0,2&gt;N(IF(Simulations!$O38="",1,Simulations!$O38))),0,IF(Simulations!$EB38&lt;IF(Simulations!$J38="",1000,Simulations!$J38),Simulations!$DZ38/(IF(Simulations!$G38="",5000,Simulations!$G38)*IF(Simulations!$H38="",5000,Simulations!$H38)*IF(IF(Simulations!$I38="",5000,Simulations!$I38)&gt;0,IF(Simulations!$I38="",5000,Simulations!$I38),1))*Simulations!$EB38*(PI()/2*IF(Simulations!$U38="",200,Simulations!$U38)^2*IF(IF(Simulations!$I38="",5000,Simulations!$I38)&gt;0,SQRT(PI()/2)*IF(Simulations!$X38="",1000,Simulations!$X38),1)),Simulations!$DZ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U38="",200,Simulations!$U38)^2*IF(Simulations!$X38="",1000,Simulations!$X38)/2^1.5*(2/3*LN(Simulations!$EB38/IF(Simulations!$J38="",1000,Simulations!$J38))^1.5+SQRT(LN(Simulations!$EB38/IF(Simulations!$J38="",1000,Simulations!$J38)))+Simulations!$EB38/IF(Simulations!$J38="",1000,Simulations!$J38)*SQRT(PI())/2*ERFC(SQRT(LN(Simulations!$EB38/IF(Simulations!$J38="",1000,Simulations!$J38))))),PI()*IF(Simulations!$U38="",200,Simulations!$U38)^2/2*(LN(Simulations!$EB38/IF(Simulations!$J38="",1000,Simulations!$J38))+1))))</f>
        <v>0</v>
      </c>
      <c r="AH38" s="0" t="n">
        <f aca="false">IF(OR(NOT(AND(Simulations!$A38&lt;&gt;"",OR(Simulations!$DX38&lt;&gt;"",N(Simulations!$DZ38)&gt;0))),N(Simulations!$EC38)&lt;=0,N(Simulations!$DZ38)&lt;=0,3&gt;N(IF(Simulations!$O38="",1,Simulations!$O38))),0,IF(Simulations!$EC38&lt;IF(Simulations!$J38="",1000,Simulations!$J38),Simulations!$DZ38/(IF(Simulations!$G38="",5000,Simulations!$G38)*IF(Simulations!$H38="",5000,Simulations!$H38)*IF(IF(Simulations!$I38="",5000,Simulations!$I38)&gt;0,IF(Simulations!$I38="",5000,Simulations!$I38),1))*Simulations!$EC38*(PI()/2*IF(Simulations!$V38="",200,Simulations!$V38)^2*IF(IF(Simulations!$I38="",5000,Simulations!$I38)&gt;0,SQRT(PI()/2)*IF(Simulations!$Y38="",1000,Simulations!$Y38),1)),Simulations!$DZ38/(IF(Simulations!$G38="",5000,Simulations!$G38)*IF(Simulations!$H38="",5000,Simulations!$H38)*IF(IF(Simulations!$I38="",5000,Simulations!$I38)&gt;0,IF(Simulations!$I38="",5000,Simulations!$I38),1))*IF(Simulations!$J38="",1000,Simulations!$J38)*IF(IF(Simulations!$I38="",5000,Simulations!$I38)&gt;0,2*PI()*IF(Simulations!$V38="",200,Simulations!$V38)^2*IF(Simulations!$Y38="",1000,Simulations!$Y38)/2^1.5*(2/3*LN(Simulations!$EC38/IF(Simulations!$J38="",1000,Simulations!$J38))^1.5+SQRT(LN(Simulations!$EC38/IF(Simulations!$J38="",1000,Simulations!$J38)))+Simulations!$EC38/IF(Simulations!$J38="",1000,Simulations!$J38)*SQRT(PI())/2*ERFC(SQRT(LN(Simulations!$EC38/IF(Simulations!$J38="",1000,Simulations!$J38))))),PI()*IF(Simulations!$V38="",200,Simulations!$V38)^2/2*(LN(Simulations!$EC38/IF(Simulations!$J38="",1000,Simulations!$J38))+1))))</f>
        <v>0</v>
      </c>
      <c r="AI38" s="0" t="n">
        <f aca="false">IF(NOT(AND(Simulations!$A38&lt;&gt;"",OR(Simulations!$DX38&lt;&gt;"",N(Simulations!$DZ38)&gt;0))),0,MAX(N(Simulations!$EA38),N(Simulations!$EB38),N(Simulations!$EC38))/IF(Simulations!$J38="",1000,Simulations!$J38))</f>
        <v>0</v>
      </c>
      <c r="AJ38" s="0" t="n">
        <f aca="false">IF(OR(NOT(AND(Simulations!$A38&lt;&gt;"",OR(Simulations!$DX38&lt;&gt;"",N(Simulations!$DZ38)&gt;0))),N(Simulations!$DY38)&lt;=0),0,SQRT(2*Simulations!$DY38*1000000/(IF(Simulations!$J38="",1000,Simulations!$J38)*1000))/MIN(IF(Simulations!$T38="",200,Simulations!$T38),IF(Simulations!$U38="",200,Simulations!$U38),IF(Simulations!$V38="",200,Simulations!$V38)))</f>
        <v>0</v>
      </c>
      <c r="AK38" s="0" t="n">
        <f aca="false">IF(AND(Simulations!$A38&lt;&gt;"",OR(Simulations!$DX38&lt;&gt;"",N(Simulations!$DZ38)&gt;0)),1,0)</f>
        <v>0</v>
      </c>
    </row>
    <row r="39" customFormat="false" ht="15" hidden="false" customHeight="false" outlineLevel="0" collapsed="false">
      <c r="B39" s="0" t="n">
        <f aca="false">IF(OR(NOT(AND(Simulations!$A39&lt;&gt;"",OR(Simulations!$AL39&lt;&gt;"",N(Simulations!$AN39)&gt;0))),N(Simulations!$AO39)&lt;=0,N(Simulations!$AN39)&lt;=0,1&gt;N(IF(Simulations!$O39="",1,Simulations!$O39))),0,IF(Simulations!$AO39&lt;IF(Simulations!$J39="",1000,Simulations!$J39),Simulations!$AN39/(IF(Simulations!$G39="",5000,Simulations!$G39)*IF(Simulations!$H39="",5000,Simulations!$H39)*IF(IF(Simulations!$I39="",5000,Simulations!$I39)&gt;0,IF(Simulations!$I39="",5000,Simulations!$I39),1))*Simulations!$AO39*(PI()/2*IF(Simulations!$T39="",200,Simulations!$T39)^2*IF(IF(Simulations!$I39="",5000,Simulations!$I39)&gt;0,SQRT(PI()/2)*IF(Simulations!$W39="",1000,Simulations!$W39),1)),Simulations!$AN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T39="",200,Simulations!$T39)^2*IF(Simulations!$W39="",1000,Simulations!$W39)/2^1.5*(2/3*LN(Simulations!$AO39/IF(Simulations!$J39="",1000,Simulations!$J39))^1.5+SQRT(LN(Simulations!$AO39/IF(Simulations!$J39="",1000,Simulations!$J39)))+Simulations!$AO39/IF(Simulations!$J39="",1000,Simulations!$J39)*SQRT(PI())/2*ERFC(SQRT(LN(Simulations!$AO39/IF(Simulations!$J39="",1000,Simulations!$J39))))),PI()*IF(Simulations!$T39="",200,Simulations!$T39)^2/2*(LN(Simulations!$AO39/IF(Simulations!$J39="",1000,Simulations!$J39))+1))))</f>
        <v>0</v>
      </c>
      <c r="C39" s="0" t="n">
        <f aca="false">IF(OR(NOT(AND(Simulations!$A39&lt;&gt;"",OR(Simulations!$AL39&lt;&gt;"",N(Simulations!$AN39)&gt;0))),N(Simulations!$AP39)&lt;=0,N(Simulations!$AN39)&lt;=0,2&gt;N(IF(Simulations!$O39="",1,Simulations!$O39))),0,IF(Simulations!$AP39&lt;IF(Simulations!$J39="",1000,Simulations!$J39),Simulations!$AN39/(IF(Simulations!$G39="",5000,Simulations!$G39)*IF(Simulations!$H39="",5000,Simulations!$H39)*IF(IF(Simulations!$I39="",5000,Simulations!$I39)&gt;0,IF(Simulations!$I39="",5000,Simulations!$I39),1))*Simulations!$AP39*(PI()/2*IF(Simulations!$U39="",200,Simulations!$U39)^2*IF(IF(Simulations!$I39="",5000,Simulations!$I39)&gt;0,SQRT(PI()/2)*IF(Simulations!$X39="",1000,Simulations!$X39),1)),Simulations!$AN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U39="",200,Simulations!$U39)^2*IF(Simulations!$X39="",1000,Simulations!$X39)/2^1.5*(2/3*LN(Simulations!$AP39/IF(Simulations!$J39="",1000,Simulations!$J39))^1.5+SQRT(LN(Simulations!$AP39/IF(Simulations!$J39="",1000,Simulations!$J39)))+Simulations!$AP39/IF(Simulations!$J39="",1000,Simulations!$J39)*SQRT(PI())/2*ERFC(SQRT(LN(Simulations!$AP39/IF(Simulations!$J39="",1000,Simulations!$J39))))),PI()*IF(Simulations!$U39="",200,Simulations!$U39)^2/2*(LN(Simulations!$AP39/IF(Simulations!$J39="",1000,Simulations!$J39))+1))))</f>
        <v>0</v>
      </c>
      <c r="D39" s="0" t="n">
        <f aca="false">IF(OR(NOT(AND(Simulations!$A39&lt;&gt;"",OR(Simulations!$AL39&lt;&gt;"",N(Simulations!$AN39)&gt;0))),N(Simulations!$AQ39)&lt;=0,N(Simulations!$AN39)&lt;=0,3&gt;N(IF(Simulations!$O39="",1,Simulations!$O39))),0,IF(Simulations!$AQ39&lt;IF(Simulations!$J39="",1000,Simulations!$J39),Simulations!$AN39/(IF(Simulations!$G39="",5000,Simulations!$G39)*IF(Simulations!$H39="",5000,Simulations!$H39)*IF(IF(Simulations!$I39="",5000,Simulations!$I39)&gt;0,IF(Simulations!$I39="",5000,Simulations!$I39),1))*Simulations!$AQ39*(PI()/2*IF(Simulations!$V39="",200,Simulations!$V39)^2*IF(IF(Simulations!$I39="",5000,Simulations!$I39)&gt;0,SQRT(PI()/2)*IF(Simulations!$Y39="",1000,Simulations!$Y39),1)),Simulations!$AN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V39="",200,Simulations!$V39)^2*IF(Simulations!$Y39="",1000,Simulations!$Y39)/2^1.5*(2/3*LN(Simulations!$AQ39/IF(Simulations!$J39="",1000,Simulations!$J39))^1.5+SQRT(LN(Simulations!$AQ39/IF(Simulations!$J39="",1000,Simulations!$J39)))+Simulations!$AQ39/IF(Simulations!$J39="",1000,Simulations!$J39)*SQRT(PI())/2*ERFC(SQRT(LN(Simulations!$AQ39/IF(Simulations!$J39="",1000,Simulations!$J39))))),PI()*IF(Simulations!$V39="",200,Simulations!$V39)^2/2*(LN(Simulations!$AQ39/IF(Simulations!$J39="",1000,Simulations!$J39))+1))))</f>
        <v>0</v>
      </c>
      <c r="E39" s="0" t="n">
        <f aca="false">IF(NOT(AND(Simulations!$A39&lt;&gt;"",OR(Simulations!$AL39&lt;&gt;"",N(Simulations!$AN39)&gt;0))),0,MAX(N(Simulations!$AO39),N(Simulations!$AP39),N(Simulations!$AQ39))/IF(Simulations!$J39="",1000,Simulations!$J39))</f>
        <v>0</v>
      </c>
      <c r="F39" s="0" t="n">
        <f aca="false">IF(OR(NOT(AND(Simulations!$A39&lt;&gt;"",OR(Simulations!$AL39&lt;&gt;"",N(Simulations!$AN39)&gt;0))),N(Simulations!$AM39)&lt;=0),0,SQRT(2*Simulations!$AM39*1000000/(IF(Simulations!$J39="",1000,Simulations!$J39)*1000))/MIN(IF(Simulations!$T39="",200,Simulations!$T39),IF(Simulations!$U39="",200,Simulations!$U39),IF(Simulations!$V39="",200,Simulations!$V39)))</f>
        <v>0</v>
      </c>
      <c r="G39" s="0" t="n">
        <f aca="false">IF(AND(Simulations!$A39&lt;&gt;"",OR(Simulations!$AL39&lt;&gt;"",N(Simulations!$AN39)&gt;0)),1,0)</f>
        <v>0</v>
      </c>
      <c r="H39" s="0" t="n">
        <f aca="false">IF(OR(NOT(AND(Simulations!$A39&lt;&gt;"",OR(Simulations!$BD39&lt;&gt;"",N(Simulations!$BF39)&gt;0))),N(Simulations!$BG39)&lt;=0,N(Simulations!$BF39)&lt;=0,1&gt;N(IF(Simulations!$O39="",1,Simulations!$O39))),0,IF(Simulations!$BG39&lt;IF(Simulations!$J39="",1000,Simulations!$J39),Simulations!$BF39/(IF(Simulations!$G39="",5000,Simulations!$G39)*IF(Simulations!$H39="",5000,Simulations!$H39)*IF(IF(Simulations!$I39="",5000,Simulations!$I39)&gt;0,IF(Simulations!$I39="",5000,Simulations!$I39),1))*Simulations!$BG39*(PI()/2*IF(Simulations!$T39="",200,Simulations!$T39)^2*IF(IF(Simulations!$I39="",5000,Simulations!$I39)&gt;0,SQRT(PI()/2)*IF(Simulations!$W39="",1000,Simulations!$W39),1)),Simulations!$BF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T39="",200,Simulations!$T39)^2*IF(Simulations!$W39="",1000,Simulations!$W39)/2^1.5*(2/3*LN(Simulations!$BG39/IF(Simulations!$J39="",1000,Simulations!$J39))^1.5+SQRT(LN(Simulations!$BG39/IF(Simulations!$J39="",1000,Simulations!$J39)))+Simulations!$BG39/IF(Simulations!$J39="",1000,Simulations!$J39)*SQRT(PI())/2*ERFC(SQRT(LN(Simulations!$BG39/IF(Simulations!$J39="",1000,Simulations!$J39))))),PI()*IF(Simulations!$T39="",200,Simulations!$T39)^2/2*(LN(Simulations!$BG39/IF(Simulations!$J39="",1000,Simulations!$J39))+1))))</f>
        <v>0</v>
      </c>
      <c r="I39" s="0" t="n">
        <f aca="false">IF(OR(NOT(AND(Simulations!$A39&lt;&gt;"",OR(Simulations!$BD39&lt;&gt;"",N(Simulations!$BF39)&gt;0))),N(Simulations!$BH39)&lt;=0,N(Simulations!$BF39)&lt;=0,2&gt;N(IF(Simulations!$O39="",1,Simulations!$O39))),0,IF(Simulations!$BH39&lt;IF(Simulations!$J39="",1000,Simulations!$J39),Simulations!$BF39/(IF(Simulations!$G39="",5000,Simulations!$G39)*IF(Simulations!$H39="",5000,Simulations!$H39)*IF(IF(Simulations!$I39="",5000,Simulations!$I39)&gt;0,IF(Simulations!$I39="",5000,Simulations!$I39),1))*Simulations!$BH39*(PI()/2*IF(Simulations!$U39="",200,Simulations!$U39)^2*IF(IF(Simulations!$I39="",5000,Simulations!$I39)&gt;0,SQRT(PI()/2)*IF(Simulations!$X39="",1000,Simulations!$X39),1)),Simulations!$BF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U39="",200,Simulations!$U39)^2*IF(Simulations!$X39="",1000,Simulations!$X39)/2^1.5*(2/3*LN(Simulations!$BH39/IF(Simulations!$J39="",1000,Simulations!$J39))^1.5+SQRT(LN(Simulations!$BH39/IF(Simulations!$J39="",1000,Simulations!$J39)))+Simulations!$BH39/IF(Simulations!$J39="",1000,Simulations!$J39)*SQRT(PI())/2*ERFC(SQRT(LN(Simulations!$BH39/IF(Simulations!$J39="",1000,Simulations!$J39))))),PI()*IF(Simulations!$U39="",200,Simulations!$U39)^2/2*(LN(Simulations!$BH39/IF(Simulations!$J39="",1000,Simulations!$J39))+1))))</f>
        <v>0</v>
      </c>
      <c r="J39" s="0" t="n">
        <f aca="false">IF(OR(NOT(AND(Simulations!$A39&lt;&gt;"",OR(Simulations!$BD39&lt;&gt;"",N(Simulations!$BF39)&gt;0))),N(Simulations!$BI39)&lt;=0,N(Simulations!$BF39)&lt;=0,3&gt;N(IF(Simulations!$O39="",1,Simulations!$O39))),0,IF(Simulations!$BI39&lt;IF(Simulations!$J39="",1000,Simulations!$J39),Simulations!$BF39/(IF(Simulations!$G39="",5000,Simulations!$G39)*IF(Simulations!$H39="",5000,Simulations!$H39)*IF(IF(Simulations!$I39="",5000,Simulations!$I39)&gt;0,IF(Simulations!$I39="",5000,Simulations!$I39),1))*Simulations!$BI39*(PI()/2*IF(Simulations!$V39="",200,Simulations!$V39)^2*IF(IF(Simulations!$I39="",5000,Simulations!$I39)&gt;0,SQRT(PI()/2)*IF(Simulations!$Y39="",1000,Simulations!$Y39),1)),Simulations!$BF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V39="",200,Simulations!$V39)^2*IF(Simulations!$Y39="",1000,Simulations!$Y39)/2^1.5*(2/3*LN(Simulations!$BI39/IF(Simulations!$J39="",1000,Simulations!$J39))^1.5+SQRT(LN(Simulations!$BI39/IF(Simulations!$J39="",1000,Simulations!$J39)))+Simulations!$BI39/IF(Simulations!$J39="",1000,Simulations!$J39)*SQRT(PI())/2*ERFC(SQRT(LN(Simulations!$BI39/IF(Simulations!$J39="",1000,Simulations!$J39))))),PI()*IF(Simulations!$V39="",200,Simulations!$V39)^2/2*(LN(Simulations!$BI39/IF(Simulations!$J39="",1000,Simulations!$J39))+1))))</f>
        <v>0</v>
      </c>
      <c r="K39" s="0" t="n">
        <f aca="false">IF(NOT(AND(Simulations!$A39&lt;&gt;"",OR(Simulations!$BD39&lt;&gt;"",N(Simulations!$BF39)&gt;0))),0,MAX(N(Simulations!$BG39),N(Simulations!$BH39),N(Simulations!$BI39))/IF(Simulations!$J39="",1000,Simulations!$J39))</f>
        <v>0</v>
      </c>
      <c r="L39" s="0" t="n">
        <f aca="false">IF(OR(NOT(AND(Simulations!$A39&lt;&gt;"",OR(Simulations!$BD39&lt;&gt;"",N(Simulations!$BF39)&gt;0))),N(Simulations!$BE39)&lt;=0),0,SQRT(2*Simulations!$BE39*1000000/(IF(Simulations!$J39="",1000,Simulations!$J39)*1000))/MIN(IF(Simulations!$T39="",200,Simulations!$T39),IF(Simulations!$U39="",200,Simulations!$U39),IF(Simulations!$V39="",200,Simulations!$V39)))</f>
        <v>0</v>
      </c>
      <c r="M39" s="0" t="n">
        <f aca="false">IF(AND(Simulations!$A39&lt;&gt;"",OR(Simulations!$BD39&lt;&gt;"",N(Simulations!$BF39)&gt;0)),1,0)</f>
        <v>0</v>
      </c>
      <c r="N39" s="0" t="n">
        <f aca="false">IF(OR(NOT(AND(Simulations!$A39&lt;&gt;"",OR(Simulations!$BV39&lt;&gt;"",N(Simulations!$BX39)&gt;0))),N(Simulations!$BY39)&lt;=0,N(Simulations!$BX39)&lt;=0,1&gt;N(IF(Simulations!$O39="",1,Simulations!$O39))),0,IF(Simulations!$BY39&lt;IF(Simulations!$J39="",1000,Simulations!$J39),Simulations!$BX39/(IF(Simulations!$G39="",5000,Simulations!$G39)*IF(Simulations!$H39="",5000,Simulations!$H39)*IF(IF(Simulations!$I39="",5000,Simulations!$I39)&gt;0,IF(Simulations!$I39="",5000,Simulations!$I39),1))*Simulations!$BY39*(PI()/2*IF(Simulations!$T39="",200,Simulations!$T39)^2*IF(IF(Simulations!$I39="",5000,Simulations!$I39)&gt;0,SQRT(PI()/2)*IF(Simulations!$W39="",1000,Simulations!$W39),1)),Simulations!$BX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T39="",200,Simulations!$T39)^2*IF(Simulations!$W39="",1000,Simulations!$W39)/2^1.5*(2/3*LN(Simulations!$BY39/IF(Simulations!$J39="",1000,Simulations!$J39))^1.5+SQRT(LN(Simulations!$BY39/IF(Simulations!$J39="",1000,Simulations!$J39)))+Simulations!$BY39/IF(Simulations!$J39="",1000,Simulations!$J39)*SQRT(PI())/2*ERFC(SQRT(LN(Simulations!$BY39/IF(Simulations!$J39="",1000,Simulations!$J39))))),PI()*IF(Simulations!$T39="",200,Simulations!$T39)^2/2*(LN(Simulations!$BY39/IF(Simulations!$J39="",1000,Simulations!$J39))+1))))</f>
        <v>0</v>
      </c>
      <c r="O39" s="0" t="n">
        <f aca="false">IF(OR(NOT(AND(Simulations!$A39&lt;&gt;"",OR(Simulations!$BV39&lt;&gt;"",N(Simulations!$BX39)&gt;0))),N(Simulations!$BZ39)&lt;=0,N(Simulations!$BX39)&lt;=0,2&gt;N(IF(Simulations!$O39="",1,Simulations!$O39))),0,IF(Simulations!$BZ39&lt;IF(Simulations!$J39="",1000,Simulations!$J39),Simulations!$BX39/(IF(Simulations!$G39="",5000,Simulations!$G39)*IF(Simulations!$H39="",5000,Simulations!$H39)*IF(IF(Simulations!$I39="",5000,Simulations!$I39)&gt;0,IF(Simulations!$I39="",5000,Simulations!$I39),1))*Simulations!$BZ39*(PI()/2*IF(Simulations!$U39="",200,Simulations!$U39)^2*IF(IF(Simulations!$I39="",5000,Simulations!$I39)&gt;0,SQRT(PI()/2)*IF(Simulations!$X39="",1000,Simulations!$X39),1)),Simulations!$BX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U39="",200,Simulations!$U39)^2*IF(Simulations!$X39="",1000,Simulations!$X39)/2^1.5*(2/3*LN(Simulations!$BZ39/IF(Simulations!$J39="",1000,Simulations!$J39))^1.5+SQRT(LN(Simulations!$BZ39/IF(Simulations!$J39="",1000,Simulations!$J39)))+Simulations!$BZ39/IF(Simulations!$J39="",1000,Simulations!$J39)*SQRT(PI())/2*ERFC(SQRT(LN(Simulations!$BZ39/IF(Simulations!$J39="",1000,Simulations!$J39))))),PI()*IF(Simulations!$U39="",200,Simulations!$U39)^2/2*(LN(Simulations!$BZ39/IF(Simulations!$J39="",1000,Simulations!$J39))+1))))</f>
        <v>0</v>
      </c>
      <c r="P39" s="0" t="n">
        <f aca="false">IF(OR(NOT(AND(Simulations!$A39&lt;&gt;"",OR(Simulations!$BV39&lt;&gt;"",N(Simulations!$BX39)&gt;0))),N(Simulations!$CA39)&lt;=0,N(Simulations!$BX39)&lt;=0,3&gt;N(IF(Simulations!$O39="",1,Simulations!$O39))),0,IF(Simulations!$CA39&lt;IF(Simulations!$J39="",1000,Simulations!$J39),Simulations!$BX39/(IF(Simulations!$G39="",5000,Simulations!$G39)*IF(Simulations!$H39="",5000,Simulations!$H39)*IF(IF(Simulations!$I39="",5000,Simulations!$I39)&gt;0,IF(Simulations!$I39="",5000,Simulations!$I39),1))*Simulations!$CA39*(PI()/2*IF(Simulations!$V39="",200,Simulations!$V39)^2*IF(IF(Simulations!$I39="",5000,Simulations!$I39)&gt;0,SQRT(PI()/2)*IF(Simulations!$Y39="",1000,Simulations!$Y39),1)),Simulations!$BX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V39="",200,Simulations!$V39)^2*IF(Simulations!$Y39="",1000,Simulations!$Y39)/2^1.5*(2/3*LN(Simulations!$CA39/IF(Simulations!$J39="",1000,Simulations!$J39))^1.5+SQRT(LN(Simulations!$CA39/IF(Simulations!$J39="",1000,Simulations!$J39)))+Simulations!$CA39/IF(Simulations!$J39="",1000,Simulations!$J39)*SQRT(PI())/2*ERFC(SQRT(LN(Simulations!$CA39/IF(Simulations!$J39="",1000,Simulations!$J39))))),PI()*IF(Simulations!$V39="",200,Simulations!$V39)^2/2*(LN(Simulations!$CA39/IF(Simulations!$J39="",1000,Simulations!$J39))+1))))</f>
        <v>0</v>
      </c>
      <c r="Q39" s="0" t="n">
        <f aca="false">IF(NOT(AND(Simulations!$A39&lt;&gt;"",OR(Simulations!$BV39&lt;&gt;"",N(Simulations!$BX39)&gt;0))),0,MAX(N(Simulations!$BY39),N(Simulations!$BZ39),N(Simulations!$CA39))/IF(Simulations!$J39="",1000,Simulations!$J39))</f>
        <v>0</v>
      </c>
      <c r="R39" s="0" t="n">
        <f aca="false">IF(OR(NOT(AND(Simulations!$A39&lt;&gt;"",OR(Simulations!$BV39&lt;&gt;"",N(Simulations!$BX39)&gt;0))),N(Simulations!$BW39)&lt;=0),0,SQRT(2*Simulations!$BW39*1000000/(IF(Simulations!$J39="",1000,Simulations!$J39)*1000))/MIN(IF(Simulations!$T39="",200,Simulations!$T39),IF(Simulations!$U39="",200,Simulations!$U39),IF(Simulations!$V39="",200,Simulations!$V39)))</f>
        <v>0</v>
      </c>
      <c r="S39" s="0" t="n">
        <f aca="false">IF(AND(Simulations!$A39&lt;&gt;"",OR(Simulations!$BV39&lt;&gt;"",N(Simulations!$BX39)&gt;0)),1,0)</f>
        <v>0</v>
      </c>
      <c r="T39" s="0" t="n">
        <f aca="false">IF(OR(NOT(AND(Simulations!$A39&lt;&gt;"",OR(Simulations!$CN39&lt;&gt;"",N(Simulations!$CP39)&gt;0))),N(Simulations!$CQ39)&lt;=0,N(Simulations!$CP39)&lt;=0,1&gt;N(IF(Simulations!$O39="",1,Simulations!$O39))),0,IF(Simulations!$CQ39&lt;IF(Simulations!$J39="",1000,Simulations!$J39),Simulations!$CP39/(IF(Simulations!$G39="",5000,Simulations!$G39)*IF(Simulations!$H39="",5000,Simulations!$H39)*IF(IF(Simulations!$I39="",5000,Simulations!$I39)&gt;0,IF(Simulations!$I39="",5000,Simulations!$I39),1))*Simulations!$CQ39*(PI()/2*IF(Simulations!$T39="",200,Simulations!$T39)^2*IF(IF(Simulations!$I39="",5000,Simulations!$I39)&gt;0,SQRT(PI()/2)*IF(Simulations!$W39="",1000,Simulations!$W39),1)),Simulations!$CP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T39="",200,Simulations!$T39)^2*IF(Simulations!$W39="",1000,Simulations!$W39)/2^1.5*(2/3*LN(Simulations!$CQ39/IF(Simulations!$J39="",1000,Simulations!$J39))^1.5+SQRT(LN(Simulations!$CQ39/IF(Simulations!$J39="",1000,Simulations!$J39)))+Simulations!$CQ39/IF(Simulations!$J39="",1000,Simulations!$J39)*SQRT(PI())/2*ERFC(SQRT(LN(Simulations!$CQ39/IF(Simulations!$J39="",1000,Simulations!$J39))))),PI()*IF(Simulations!$T39="",200,Simulations!$T39)^2/2*(LN(Simulations!$CQ39/IF(Simulations!$J39="",1000,Simulations!$J39))+1))))</f>
        <v>0</v>
      </c>
      <c r="U39" s="0" t="n">
        <f aca="false">IF(OR(NOT(AND(Simulations!$A39&lt;&gt;"",OR(Simulations!$CN39&lt;&gt;"",N(Simulations!$CP39)&gt;0))),N(Simulations!$CR39)&lt;=0,N(Simulations!$CP39)&lt;=0,2&gt;N(IF(Simulations!$O39="",1,Simulations!$O39))),0,IF(Simulations!$CR39&lt;IF(Simulations!$J39="",1000,Simulations!$J39),Simulations!$CP39/(IF(Simulations!$G39="",5000,Simulations!$G39)*IF(Simulations!$H39="",5000,Simulations!$H39)*IF(IF(Simulations!$I39="",5000,Simulations!$I39)&gt;0,IF(Simulations!$I39="",5000,Simulations!$I39),1))*Simulations!$CR39*(PI()/2*IF(Simulations!$U39="",200,Simulations!$U39)^2*IF(IF(Simulations!$I39="",5000,Simulations!$I39)&gt;0,SQRT(PI()/2)*IF(Simulations!$X39="",1000,Simulations!$X39),1)),Simulations!$CP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U39="",200,Simulations!$U39)^2*IF(Simulations!$X39="",1000,Simulations!$X39)/2^1.5*(2/3*LN(Simulations!$CR39/IF(Simulations!$J39="",1000,Simulations!$J39))^1.5+SQRT(LN(Simulations!$CR39/IF(Simulations!$J39="",1000,Simulations!$J39)))+Simulations!$CR39/IF(Simulations!$J39="",1000,Simulations!$J39)*SQRT(PI())/2*ERFC(SQRT(LN(Simulations!$CR39/IF(Simulations!$J39="",1000,Simulations!$J39))))),PI()*IF(Simulations!$U39="",200,Simulations!$U39)^2/2*(LN(Simulations!$CR39/IF(Simulations!$J39="",1000,Simulations!$J39))+1))))</f>
        <v>0</v>
      </c>
      <c r="V39" s="0" t="n">
        <f aca="false">IF(OR(NOT(AND(Simulations!$A39&lt;&gt;"",OR(Simulations!$CN39&lt;&gt;"",N(Simulations!$CP39)&gt;0))),N(Simulations!$CS39)&lt;=0,N(Simulations!$CP39)&lt;=0,3&gt;N(IF(Simulations!$O39="",1,Simulations!$O39))),0,IF(Simulations!$CS39&lt;IF(Simulations!$J39="",1000,Simulations!$J39),Simulations!$CP39/(IF(Simulations!$G39="",5000,Simulations!$G39)*IF(Simulations!$H39="",5000,Simulations!$H39)*IF(IF(Simulations!$I39="",5000,Simulations!$I39)&gt;0,IF(Simulations!$I39="",5000,Simulations!$I39),1))*Simulations!$CS39*(PI()/2*IF(Simulations!$V39="",200,Simulations!$V39)^2*IF(IF(Simulations!$I39="",5000,Simulations!$I39)&gt;0,SQRT(PI()/2)*IF(Simulations!$Y39="",1000,Simulations!$Y39),1)),Simulations!$CP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V39="",200,Simulations!$V39)^2*IF(Simulations!$Y39="",1000,Simulations!$Y39)/2^1.5*(2/3*LN(Simulations!$CS39/IF(Simulations!$J39="",1000,Simulations!$J39))^1.5+SQRT(LN(Simulations!$CS39/IF(Simulations!$J39="",1000,Simulations!$J39)))+Simulations!$CS39/IF(Simulations!$J39="",1000,Simulations!$J39)*SQRT(PI())/2*ERFC(SQRT(LN(Simulations!$CS39/IF(Simulations!$J39="",1000,Simulations!$J39))))),PI()*IF(Simulations!$V39="",200,Simulations!$V39)^2/2*(LN(Simulations!$CS39/IF(Simulations!$J39="",1000,Simulations!$J39))+1))))</f>
        <v>0</v>
      </c>
      <c r="W39" s="0" t="n">
        <f aca="false">IF(NOT(AND(Simulations!$A39&lt;&gt;"",OR(Simulations!$CN39&lt;&gt;"",N(Simulations!$CP39)&gt;0))),0,MAX(N(Simulations!$CQ39),N(Simulations!$CR39),N(Simulations!$CS39))/IF(Simulations!$J39="",1000,Simulations!$J39))</f>
        <v>0</v>
      </c>
      <c r="X39" s="0" t="n">
        <f aca="false">IF(OR(NOT(AND(Simulations!$A39&lt;&gt;"",OR(Simulations!$CN39&lt;&gt;"",N(Simulations!$CP39)&gt;0))),N(Simulations!$CO39)&lt;=0),0,SQRT(2*Simulations!$CO39*1000000/(IF(Simulations!$J39="",1000,Simulations!$J39)*1000))/MIN(IF(Simulations!$T39="",200,Simulations!$T39),IF(Simulations!$U39="",200,Simulations!$U39),IF(Simulations!$V39="",200,Simulations!$V39)))</f>
        <v>0</v>
      </c>
      <c r="Y39" s="0" t="n">
        <f aca="false">IF(AND(Simulations!$A39&lt;&gt;"",OR(Simulations!$CN39&lt;&gt;"",N(Simulations!$CP39)&gt;0)),1,0)</f>
        <v>0</v>
      </c>
      <c r="Z39" s="0" t="n">
        <f aca="false">IF(OR(NOT(AND(Simulations!$A39&lt;&gt;"",OR(Simulations!$DF39&lt;&gt;"",N(Simulations!$DH39)&gt;0))),N(Simulations!$DI39)&lt;=0,N(Simulations!$DH39)&lt;=0,1&gt;N(IF(Simulations!$O39="",1,Simulations!$O39))),0,IF(Simulations!$DI39&lt;IF(Simulations!$J39="",1000,Simulations!$J39),Simulations!$DH39/(IF(Simulations!$G39="",5000,Simulations!$G39)*IF(Simulations!$H39="",5000,Simulations!$H39)*IF(IF(Simulations!$I39="",5000,Simulations!$I39)&gt;0,IF(Simulations!$I39="",5000,Simulations!$I39),1))*Simulations!$DI39*(PI()/2*IF(Simulations!$T39="",200,Simulations!$T39)^2*IF(IF(Simulations!$I39="",5000,Simulations!$I39)&gt;0,SQRT(PI()/2)*IF(Simulations!$W39="",1000,Simulations!$W39),1)),Simulations!$DH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T39="",200,Simulations!$T39)^2*IF(Simulations!$W39="",1000,Simulations!$W39)/2^1.5*(2/3*LN(Simulations!$DI39/IF(Simulations!$J39="",1000,Simulations!$J39))^1.5+SQRT(LN(Simulations!$DI39/IF(Simulations!$J39="",1000,Simulations!$J39)))+Simulations!$DI39/IF(Simulations!$J39="",1000,Simulations!$J39)*SQRT(PI())/2*ERFC(SQRT(LN(Simulations!$DI39/IF(Simulations!$J39="",1000,Simulations!$J39))))),PI()*IF(Simulations!$T39="",200,Simulations!$T39)^2/2*(LN(Simulations!$DI39/IF(Simulations!$J39="",1000,Simulations!$J39))+1))))</f>
        <v>0</v>
      </c>
      <c r="AA39" s="0" t="n">
        <f aca="false">IF(OR(NOT(AND(Simulations!$A39&lt;&gt;"",OR(Simulations!$DF39&lt;&gt;"",N(Simulations!$DH39)&gt;0))),N(Simulations!$DJ39)&lt;=0,N(Simulations!$DH39)&lt;=0,2&gt;N(IF(Simulations!$O39="",1,Simulations!$O39))),0,IF(Simulations!$DJ39&lt;IF(Simulations!$J39="",1000,Simulations!$J39),Simulations!$DH39/(IF(Simulations!$G39="",5000,Simulations!$G39)*IF(Simulations!$H39="",5000,Simulations!$H39)*IF(IF(Simulations!$I39="",5000,Simulations!$I39)&gt;0,IF(Simulations!$I39="",5000,Simulations!$I39),1))*Simulations!$DJ39*(PI()/2*IF(Simulations!$U39="",200,Simulations!$U39)^2*IF(IF(Simulations!$I39="",5000,Simulations!$I39)&gt;0,SQRT(PI()/2)*IF(Simulations!$X39="",1000,Simulations!$X39),1)),Simulations!$DH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U39="",200,Simulations!$U39)^2*IF(Simulations!$X39="",1000,Simulations!$X39)/2^1.5*(2/3*LN(Simulations!$DJ39/IF(Simulations!$J39="",1000,Simulations!$J39))^1.5+SQRT(LN(Simulations!$DJ39/IF(Simulations!$J39="",1000,Simulations!$J39)))+Simulations!$DJ39/IF(Simulations!$J39="",1000,Simulations!$J39)*SQRT(PI())/2*ERFC(SQRT(LN(Simulations!$DJ39/IF(Simulations!$J39="",1000,Simulations!$J39))))),PI()*IF(Simulations!$U39="",200,Simulations!$U39)^2/2*(LN(Simulations!$DJ39/IF(Simulations!$J39="",1000,Simulations!$J39))+1))))</f>
        <v>0</v>
      </c>
      <c r="AB39" s="0" t="n">
        <f aca="false">IF(OR(NOT(AND(Simulations!$A39&lt;&gt;"",OR(Simulations!$DF39&lt;&gt;"",N(Simulations!$DH39)&gt;0))),N(Simulations!$DK39)&lt;=0,N(Simulations!$DH39)&lt;=0,3&gt;N(IF(Simulations!$O39="",1,Simulations!$O39))),0,IF(Simulations!$DK39&lt;IF(Simulations!$J39="",1000,Simulations!$J39),Simulations!$DH39/(IF(Simulations!$G39="",5000,Simulations!$G39)*IF(Simulations!$H39="",5000,Simulations!$H39)*IF(IF(Simulations!$I39="",5000,Simulations!$I39)&gt;0,IF(Simulations!$I39="",5000,Simulations!$I39),1))*Simulations!$DK39*(PI()/2*IF(Simulations!$V39="",200,Simulations!$V39)^2*IF(IF(Simulations!$I39="",5000,Simulations!$I39)&gt;0,SQRT(PI()/2)*IF(Simulations!$Y39="",1000,Simulations!$Y39),1)),Simulations!$DH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V39="",200,Simulations!$V39)^2*IF(Simulations!$Y39="",1000,Simulations!$Y39)/2^1.5*(2/3*LN(Simulations!$DK39/IF(Simulations!$J39="",1000,Simulations!$J39))^1.5+SQRT(LN(Simulations!$DK39/IF(Simulations!$J39="",1000,Simulations!$J39)))+Simulations!$DK39/IF(Simulations!$J39="",1000,Simulations!$J39)*SQRT(PI())/2*ERFC(SQRT(LN(Simulations!$DK39/IF(Simulations!$J39="",1000,Simulations!$J39))))),PI()*IF(Simulations!$V39="",200,Simulations!$V39)^2/2*(LN(Simulations!$DK39/IF(Simulations!$J39="",1000,Simulations!$J39))+1))))</f>
        <v>0</v>
      </c>
      <c r="AC39" s="0" t="n">
        <f aca="false">IF(NOT(AND(Simulations!$A39&lt;&gt;"",OR(Simulations!$DF39&lt;&gt;"",N(Simulations!$DH39)&gt;0))),0,MAX(N(Simulations!$DI39),N(Simulations!$DJ39),N(Simulations!$DK39))/IF(Simulations!$J39="",1000,Simulations!$J39))</f>
        <v>0</v>
      </c>
      <c r="AD39" s="0" t="n">
        <f aca="false">IF(OR(NOT(AND(Simulations!$A39&lt;&gt;"",OR(Simulations!$DF39&lt;&gt;"",N(Simulations!$DH39)&gt;0))),N(Simulations!$DG39)&lt;=0),0,SQRT(2*Simulations!$DG39*1000000/(IF(Simulations!$J39="",1000,Simulations!$J39)*1000))/MIN(IF(Simulations!$T39="",200,Simulations!$T39),IF(Simulations!$U39="",200,Simulations!$U39),IF(Simulations!$V39="",200,Simulations!$V39)))</f>
        <v>0</v>
      </c>
      <c r="AE39" s="0" t="n">
        <f aca="false">IF(AND(Simulations!$A39&lt;&gt;"",OR(Simulations!$DF39&lt;&gt;"",N(Simulations!$DH39)&gt;0)),1,0)</f>
        <v>0</v>
      </c>
      <c r="AF39" s="0" t="n">
        <f aca="false">IF(OR(NOT(AND(Simulations!$A39&lt;&gt;"",OR(Simulations!$DX39&lt;&gt;"",N(Simulations!$DZ39)&gt;0))),N(Simulations!$EA39)&lt;=0,N(Simulations!$DZ39)&lt;=0,1&gt;N(IF(Simulations!$O39="",1,Simulations!$O39))),0,IF(Simulations!$EA39&lt;IF(Simulations!$J39="",1000,Simulations!$J39),Simulations!$DZ39/(IF(Simulations!$G39="",5000,Simulations!$G39)*IF(Simulations!$H39="",5000,Simulations!$H39)*IF(IF(Simulations!$I39="",5000,Simulations!$I39)&gt;0,IF(Simulations!$I39="",5000,Simulations!$I39),1))*Simulations!$EA39*(PI()/2*IF(Simulations!$T39="",200,Simulations!$T39)^2*IF(IF(Simulations!$I39="",5000,Simulations!$I39)&gt;0,SQRT(PI()/2)*IF(Simulations!$W39="",1000,Simulations!$W39),1)),Simulations!$DZ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T39="",200,Simulations!$T39)^2*IF(Simulations!$W39="",1000,Simulations!$W39)/2^1.5*(2/3*LN(Simulations!$EA39/IF(Simulations!$J39="",1000,Simulations!$J39))^1.5+SQRT(LN(Simulations!$EA39/IF(Simulations!$J39="",1000,Simulations!$J39)))+Simulations!$EA39/IF(Simulations!$J39="",1000,Simulations!$J39)*SQRT(PI())/2*ERFC(SQRT(LN(Simulations!$EA39/IF(Simulations!$J39="",1000,Simulations!$J39))))),PI()*IF(Simulations!$T39="",200,Simulations!$T39)^2/2*(LN(Simulations!$EA39/IF(Simulations!$J39="",1000,Simulations!$J39))+1))))</f>
        <v>0</v>
      </c>
      <c r="AG39" s="0" t="n">
        <f aca="false">IF(OR(NOT(AND(Simulations!$A39&lt;&gt;"",OR(Simulations!$DX39&lt;&gt;"",N(Simulations!$DZ39)&gt;0))),N(Simulations!$EB39)&lt;=0,N(Simulations!$DZ39)&lt;=0,2&gt;N(IF(Simulations!$O39="",1,Simulations!$O39))),0,IF(Simulations!$EB39&lt;IF(Simulations!$J39="",1000,Simulations!$J39),Simulations!$DZ39/(IF(Simulations!$G39="",5000,Simulations!$G39)*IF(Simulations!$H39="",5000,Simulations!$H39)*IF(IF(Simulations!$I39="",5000,Simulations!$I39)&gt;0,IF(Simulations!$I39="",5000,Simulations!$I39),1))*Simulations!$EB39*(PI()/2*IF(Simulations!$U39="",200,Simulations!$U39)^2*IF(IF(Simulations!$I39="",5000,Simulations!$I39)&gt;0,SQRT(PI()/2)*IF(Simulations!$X39="",1000,Simulations!$X39),1)),Simulations!$DZ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U39="",200,Simulations!$U39)^2*IF(Simulations!$X39="",1000,Simulations!$X39)/2^1.5*(2/3*LN(Simulations!$EB39/IF(Simulations!$J39="",1000,Simulations!$J39))^1.5+SQRT(LN(Simulations!$EB39/IF(Simulations!$J39="",1000,Simulations!$J39)))+Simulations!$EB39/IF(Simulations!$J39="",1000,Simulations!$J39)*SQRT(PI())/2*ERFC(SQRT(LN(Simulations!$EB39/IF(Simulations!$J39="",1000,Simulations!$J39))))),PI()*IF(Simulations!$U39="",200,Simulations!$U39)^2/2*(LN(Simulations!$EB39/IF(Simulations!$J39="",1000,Simulations!$J39))+1))))</f>
        <v>0</v>
      </c>
      <c r="AH39" s="0" t="n">
        <f aca="false">IF(OR(NOT(AND(Simulations!$A39&lt;&gt;"",OR(Simulations!$DX39&lt;&gt;"",N(Simulations!$DZ39)&gt;0))),N(Simulations!$EC39)&lt;=0,N(Simulations!$DZ39)&lt;=0,3&gt;N(IF(Simulations!$O39="",1,Simulations!$O39))),0,IF(Simulations!$EC39&lt;IF(Simulations!$J39="",1000,Simulations!$J39),Simulations!$DZ39/(IF(Simulations!$G39="",5000,Simulations!$G39)*IF(Simulations!$H39="",5000,Simulations!$H39)*IF(IF(Simulations!$I39="",5000,Simulations!$I39)&gt;0,IF(Simulations!$I39="",5000,Simulations!$I39),1))*Simulations!$EC39*(PI()/2*IF(Simulations!$V39="",200,Simulations!$V39)^2*IF(IF(Simulations!$I39="",5000,Simulations!$I39)&gt;0,SQRT(PI()/2)*IF(Simulations!$Y39="",1000,Simulations!$Y39),1)),Simulations!$DZ39/(IF(Simulations!$G39="",5000,Simulations!$G39)*IF(Simulations!$H39="",5000,Simulations!$H39)*IF(IF(Simulations!$I39="",5000,Simulations!$I39)&gt;0,IF(Simulations!$I39="",5000,Simulations!$I39),1))*IF(Simulations!$J39="",1000,Simulations!$J39)*IF(IF(Simulations!$I39="",5000,Simulations!$I39)&gt;0,2*PI()*IF(Simulations!$V39="",200,Simulations!$V39)^2*IF(Simulations!$Y39="",1000,Simulations!$Y39)/2^1.5*(2/3*LN(Simulations!$EC39/IF(Simulations!$J39="",1000,Simulations!$J39))^1.5+SQRT(LN(Simulations!$EC39/IF(Simulations!$J39="",1000,Simulations!$J39)))+Simulations!$EC39/IF(Simulations!$J39="",1000,Simulations!$J39)*SQRT(PI())/2*ERFC(SQRT(LN(Simulations!$EC39/IF(Simulations!$J39="",1000,Simulations!$J39))))),PI()*IF(Simulations!$V39="",200,Simulations!$V39)^2/2*(LN(Simulations!$EC39/IF(Simulations!$J39="",1000,Simulations!$J39))+1))))</f>
        <v>0</v>
      </c>
      <c r="AI39" s="0" t="n">
        <f aca="false">IF(NOT(AND(Simulations!$A39&lt;&gt;"",OR(Simulations!$DX39&lt;&gt;"",N(Simulations!$DZ39)&gt;0))),0,MAX(N(Simulations!$EA39),N(Simulations!$EB39),N(Simulations!$EC39))/IF(Simulations!$J39="",1000,Simulations!$J39))</f>
        <v>0</v>
      </c>
      <c r="AJ39" s="0" t="n">
        <f aca="false">IF(OR(NOT(AND(Simulations!$A39&lt;&gt;"",OR(Simulations!$DX39&lt;&gt;"",N(Simulations!$DZ39)&gt;0))),N(Simulations!$DY39)&lt;=0),0,SQRT(2*Simulations!$DY39*1000000/(IF(Simulations!$J39="",1000,Simulations!$J39)*1000))/MIN(IF(Simulations!$T39="",200,Simulations!$T39),IF(Simulations!$U39="",200,Simulations!$U39),IF(Simulations!$V39="",200,Simulations!$V39)))</f>
        <v>0</v>
      </c>
      <c r="AK39" s="0" t="n">
        <f aca="false">IF(AND(Simulations!$A39&lt;&gt;"",OR(Simulations!$DX39&lt;&gt;"",N(Simulations!$DZ39)&gt;0)),1,0)</f>
        <v>0</v>
      </c>
    </row>
    <row r="40" customFormat="false" ht="15" hidden="false" customHeight="false" outlineLevel="0" collapsed="false">
      <c r="B40" s="0" t="n">
        <f aca="false">IF(OR(NOT(AND(Simulations!$A40&lt;&gt;"",OR(Simulations!$AL40&lt;&gt;"",N(Simulations!$AN40)&gt;0))),N(Simulations!$AO40)&lt;=0,N(Simulations!$AN40)&lt;=0,1&gt;N(IF(Simulations!$O40="",1,Simulations!$O40))),0,IF(Simulations!$AO40&lt;IF(Simulations!$J40="",1000,Simulations!$J40),Simulations!$AN40/(IF(Simulations!$G40="",5000,Simulations!$G40)*IF(Simulations!$H40="",5000,Simulations!$H40)*IF(IF(Simulations!$I40="",5000,Simulations!$I40)&gt;0,IF(Simulations!$I40="",5000,Simulations!$I40),1))*Simulations!$AO40*(PI()/2*IF(Simulations!$T40="",200,Simulations!$T40)^2*IF(IF(Simulations!$I40="",5000,Simulations!$I40)&gt;0,SQRT(PI()/2)*IF(Simulations!$W40="",1000,Simulations!$W40),1)),Simulations!$AN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T40="",200,Simulations!$T40)^2*IF(Simulations!$W40="",1000,Simulations!$W40)/2^1.5*(2/3*LN(Simulations!$AO40/IF(Simulations!$J40="",1000,Simulations!$J40))^1.5+SQRT(LN(Simulations!$AO40/IF(Simulations!$J40="",1000,Simulations!$J40)))+Simulations!$AO40/IF(Simulations!$J40="",1000,Simulations!$J40)*SQRT(PI())/2*ERFC(SQRT(LN(Simulations!$AO40/IF(Simulations!$J40="",1000,Simulations!$J40))))),PI()*IF(Simulations!$T40="",200,Simulations!$T40)^2/2*(LN(Simulations!$AO40/IF(Simulations!$J40="",1000,Simulations!$J40))+1))))</f>
        <v>0</v>
      </c>
      <c r="C40" s="0" t="n">
        <f aca="false">IF(OR(NOT(AND(Simulations!$A40&lt;&gt;"",OR(Simulations!$AL40&lt;&gt;"",N(Simulations!$AN40)&gt;0))),N(Simulations!$AP40)&lt;=0,N(Simulations!$AN40)&lt;=0,2&gt;N(IF(Simulations!$O40="",1,Simulations!$O40))),0,IF(Simulations!$AP40&lt;IF(Simulations!$J40="",1000,Simulations!$J40),Simulations!$AN40/(IF(Simulations!$G40="",5000,Simulations!$G40)*IF(Simulations!$H40="",5000,Simulations!$H40)*IF(IF(Simulations!$I40="",5000,Simulations!$I40)&gt;0,IF(Simulations!$I40="",5000,Simulations!$I40),1))*Simulations!$AP40*(PI()/2*IF(Simulations!$U40="",200,Simulations!$U40)^2*IF(IF(Simulations!$I40="",5000,Simulations!$I40)&gt;0,SQRT(PI()/2)*IF(Simulations!$X40="",1000,Simulations!$X40),1)),Simulations!$AN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U40="",200,Simulations!$U40)^2*IF(Simulations!$X40="",1000,Simulations!$X40)/2^1.5*(2/3*LN(Simulations!$AP40/IF(Simulations!$J40="",1000,Simulations!$J40))^1.5+SQRT(LN(Simulations!$AP40/IF(Simulations!$J40="",1000,Simulations!$J40)))+Simulations!$AP40/IF(Simulations!$J40="",1000,Simulations!$J40)*SQRT(PI())/2*ERFC(SQRT(LN(Simulations!$AP40/IF(Simulations!$J40="",1000,Simulations!$J40))))),PI()*IF(Simulations!$U40="",200,Simulations!$U40)^2/2*(LN(Simulations!$AP40/IF(Simulations!$J40="",1000,Simulations!$J40))+1))))</f>
        <v>0</v>
      </c>
      <c r="D40" s="0" t="n">
        <f aca="false">IF(OR(NOT(AND(Simulations!$A40&lt;&gt;"",OR(Simulations!$AL40&lt;&gt;"",N(Simulations!$AN40)&gt;0))),N(Simulations!$AQ40)&lt;=0,N(Simulations!$AN40)&lt;=0,3&gt;N(IF(Simulations!$O40="",1,Simulations!$O40))),0,IF(Simulations!$AQ40&lt;IF(Simulations!$J40="",1000,Simulations!$J40),Simulations!$AN40/(IF(Simulations!$G40="",5000,Simulations!$G40)*IF(Simulations!$H40="",5000,Simulations!$H40)*IF(IF(Simulations!$I40="",5000,Simulations!$I40)&gt;0,IF(Simulations!$I40="",5000,Simulations!$I40),1))*Simulations!$AQ40*(PI()/2*IF(Simulations!$V40="",200,Simulations!$V40)^2*IF(IF(Simulations!$I40="",5000,Simulations!$I40)&gt;0,SQRT(PI()/2)*IF(Simulations!$Y40="",1000,Simulations!$Y40),1)),Simulations!$AN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V40="",200,Simulations!$V40)^2*IF(Simulations!$Y40="",1000,Simulations!$Y40)/2^1.5*(2/3*LN(Simulations!$AQ40/IF(Simulations!$J40="",1000,Simulations!$J40))^1.5+SQRT(LN(Simulations!$AQ40/IF(Simulations!$J40="",1000,Simulations!$J40)))+Simulations!$AQ40/IF(Simulations!$J40="",1000,Simulations!$J40)*SQRT(PI())/2*ERFC(SQRT(LN(Simulations!$AQ40/IF(Simulations!$J40="",1000,Simulations!$J40))))),PI()*IF(Simulations!$V40="",200,Simulations!$V40)^2/2*(LN(Simulations!$AQ40/IF(Simulations!$J40="",1000,Simulations!$J40))+1))))</f>
        <v>0</v>
      </c>
      <c r="E40" s="0" t="n">
        <f aca="false">IF(NOT(AND(Simulations!$A40&lt;&gt;"",OR(Simulations!$AL40&lt;&gt;"",N(Simulations!$AN40)&gt;0))),0,MAX(N(Simulations!$AO40),N(Simulations!$AP40),N(Simulations!$AQ40))/IF(Simulations!$J40="",1000,Simulations!$J40))</f>
        <v>0</v>
      </c>
      <c r="F40" s="0" t="n">
        <f aca="false">IF(OR(NOT(AND(Simulations!$A40&lt;&gt;"",OR(Simulations!$AL40&lt;&gt;"",N(Simulations!$AN40)&gt;0))),N(Simulations!$AM40)&lt;=0),0,SQRT(2*Simulations!$AM40*1000000/(IF(Simulations!$J40="",1000,Simulations!$J40)*1000))/MIN(IF(Simulations!$T40="",200,Simulations!$T40),IF(Simulations!$U40="",200,Simulations!$U40),IF(Simulations!$V40="",200,Simulations!$V40)))</f>
        <v>0</v>
      </c>
      <c r="G40" s="0" t="n">
        <f aca="false">IF(AND(Simulations!$A40&lt;&gt;"",OR(Simulations!$AL40&lt;&gt;"",N(Simulations!$AN40)&gt;0)),1,0)</f>
        <v>0</v>
      </c>
      <c r="H40" s="0" t="n">
        <f aca="false">IF(OR(NOT(AND(Simulations!$A40&lt;&gt;"",OR(Simulations!$BD40&lt;&gt;"",N(Simulations!$BF40)&gt;0))),N(Simulations!$BG40)&lt;=0,N(Simulations!$BF40)&lt;=0,1&gt;N(IF(Simulations!$O40="",1,Simulations!$O40))),0,IF(Simulations!$BG40&lt;IF(Simulations!$J40="",1000,Simulations!$J40),Simulations!$BF40/(IF(Simulations!$G40="",5000,Simulations!$G40)*IF(Simulations!$H40="",5000,Simulations!$H40)*IF(IF(Simulations!$I40="",5000,Simulations!$I40)&gt;0,IF(Simulations!$I40="",5000,Simulations!$I40),1))*Simulations!$BG40*(PI()/2*IF(Simulations!$T40="",200,Simulations!$T40)^2*IF(IF(Simulations!$I40="",5000,Simulations!$I40)&gt;0,SQRT(PI()/2)*IF(Simulations!$W40="",1000,Simulations!$W40),1)),Simulations!$BF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T40="",200,Simulations!$T40)^2*IF(Simulations!$W40="",1000,Simulations!$W40)/2^1.5*(2/3*LN(Simulations!$BG40/IF(Simulations!$J40="",1000,Simulations!$J40))^1.5+SQRT(LN(Simulations!$BG40/IF(Simulations!$J40="",1000,Simulations!$J40)))+Simulations!$BG40/IF(Simulations!$J40="",1000,Simulations!$J40)*SQRT(PI())/2*ERFC(SQRT(LN(Simulations!$BG40/IF(Simulations!$J40="",1000,Simulations!$J40))))),PI()*IF(Simulations!$T40="",200,Simulations!$T40)^2/2*(LN(Simulations!$BG40/IF(Simulations!$J40="",1000,Simulations!$J40))+1))))</f>
        <v>0</v>
      </c>
      <c r="I40" s="0" t="n">
        <f aca="false">IF(OR(NOT(AND(Simulations!$A40&lt;&gt;"",OR(Simulations!$BD40&lt;&gt;"",N(Simulations!$BF40)&gt;0))),N(Simulations!$BH40)&lt;=0,N(Simulations!$BF40)&lt;=0,2&gt;N(IF(Simulations!$O40="",1,Simulations!$O40))),0,IF(Simulations!$BH40&lt;IF(Simulations!$J40="",1000,Simulations!$J40),Simulations!$BF40/(IF(Simulations!$G40="",5000,Simulations!$G40)*IF(Simulations!$H40="",5000,Simulations!$H40)*IF(IF(Simulations!$I40="",5000,Simulations!$I40)&gt;0,IF(Simulations!$I40="",5000,Simulations!$I40),1))*Simulations!$BH40*(PI()/2*IF(Simulations!$U40="",200,Simulations!$U40)^2*IF(IF(Simulations!$I40="",5000,Simulations!$I40)&gt;0,SQRT(PI()/2)*IF(Simulations!$X40="",1000,Simulations!$X40),1)),Simulations!$BF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U40="",200,Simulations!$U40)^2*IF(Simulations!$X40="",1000,Simulations!$X40)/2^1.5*(2/3*LN(Simulations!$BH40/IF(Simulations!$J40="",1000,Simulations!$J40))^1.5+SQRT(LN(Simulations!$BH40/IF(Simulations!$J40="",1000,Simulations!$J40)))+Simulations!$BH40/IF(Simulations!$J40="",1000,Simulations!$J40)*SQRT(PI())/2*ERFC(SQRT(LN(Simulations!$BH40/IF(Simulations!$J40="",1000,Simulations!$J40))))),PI()*IF(Simulations!$U40="",200,Simulations!$U40)^2/2*(LN(Simulations!$BH40/IF(Simulations!$J40="",1000,Simulations!$J40))+1))))</f>
        <v>0</v>
      </c>
      <c r="J40" s="0" t="n">
        <f aca="false">IF(OR(NOT(AND(Simulations!$A40&lt;&gt;"",OR(Simulations!$BD40&lt;&gt;"",N(Simulations!$BF40)&gt;0))),N(Simulations!$BI40)&lt;=0,N(Simulations!$BF40)&lt;=0,3&gt;N(IF(Simulations!$O40="",1,Simulations!$O40))),0,IF(Simulations!$BI40&lt;IF(Simulations!$J40="",1000,Simulations!$J40),Simulations!$BF40/(IF(Simulations!$G40="",5000,Simulations!$G40)*IF(Simulations!$H40="",5000,Simulations!$H40)*IF(IF(Simulations!$I40="",5000,Simulations!$I40)&gt;0,IF(Simulations!$I40="",5000,Simulations!$I40),1))*Simulations!$BI40*(PI()/2*IF(Simulations!$V40="",200,Simulations!$V40)^2*IF(IF(Simulations!$I40="",5000,Simulations!$I40)&gt;0,SQRT(PI()/2)*IF(Simulations!$Y40="",1000,Simulations!$Y40),1)),Simulations!$BF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V40="",200,Simulations!$V40)^2*IF(Simulations!$Y40="",1000,Simulations!$Y40)/2^1.5*(2/3*LN(Simulations!$BI40/IF(Simulations!$J40="",1000,Simulations!$J40))^1.5+SQRT(LN(Simulations!$BI40/IF(Simulations!$J40="",1000,Simulations!$J40)))+Simulations!$BI40/IF(Simulations!$J40="",1000,Simulations!$J40)*SQRT(PI())/2*ERFC(SQRT(LN(Simulations!$BI40/IF(Simulations!$J40="",1000,Simulations!$J40))))),PI()*IF(Simulations!$V40="",200,Simulations!$V40)^2/2*(LN(Simulations!$BI40/IF(Simulations!$J40="",1000,Simulations!$J40))+1))))</f>
        <v>0</v>
      </c>
      <c r="K40" s="0" t="n">
        <f aca="false">IF(NOT(AND(Simulations!$A40&lt;&gt;"",OR(Simulations!$BD40&lt;&gt;"",N(Simulations!$BF40)&gt;0))),0,MAX(N(Simulations!$BG40),N(Simulations!$BH40),N(Simulations!$BI40))/IF(Simulations!$J40="",1000,Simulations!$J40))</f>
        <v>0</v>
      </c>
      <c r="L40" s="0" t="n">
        <f aca="false">IF(OR(NOT(AND(Simulations!$A40&lt;&gt;"",OR(Simulations!$BD40&lt;&gt;"",N(Simulations!$BF40)&gt;0))),N(Simulations!$BE40)&lt;=0),0,SQRT(2*Simulations!$BE40*1000000/(IF(Simulations!$J40="",1000,Simulations!$J40)*1000))/MIN(IF(Simulations!$T40="",200,Simulations!$T40),IF(Simulations!$U40="",200,Simulations!$U40),IF(Simulations!$V40="",200,Simulations!$V40)))</f>
        <v>0</v>
      </c>
      <c r="M40" s="0" t="n">
        <f aca="false">IF(AND(Simulations!$A40&lt;&gt;"",OR(Simulations!$BD40&lt;&gt;"",N(Simulations!$BF40)&gt;0)),1,0)</f>
        <v>0</v>
      </c>
      <c r="N40" s="0" t="n">
        <f aca="false">IF(OR(NOT(AND(Simulations!$A40&lt;&gt;"",OR(Simulations!$BV40&lt;&gt;"",N(Simulations!$BX40)&gt;0))),N(Simulations!$BY40)&lt;=0,N(Simulations!$BX40)&lt;=0,1&gt;N(IF(Simulations!$O40="",1,Simulations!$O40))),0,IF(Simulations!$BY40&lt;IF(Simulations!$J40="",1000,Simulations!$J40),Simulations!$BX40/(IF(Simulations!$G40="",5000,Simulations!$G40)*IF(Simulations!$H40="",5000,Simulations!$H40)*IF(IF(Simulations!$I40="",5000,Simulations!$I40)&gt;0,IF(Simulations!$I40="",5000,Simulations!$I40),1))*Simulations!$BY40*(PI()/2*IF(Simulations!$T40="",200,Simulations!$T40)^2*IF(IF(Simulations!$I40="",5000,Simulations!$I40)&gt;0,SQRT(PI()/2)*IF(Simulations!$W40="",1000,Simulations!$W40),1)),Simulations!$BX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T40="",200,Simulations!$T40)^2*IF(Simulations!$W40="",1000,Simulations!$W40)/2^1.5*(2/3*LN(Simulations!$BY40/IF(Simulations!$J40="",1000,Simulations!$J40))^1.5+SQRT(LN(Simulations!$BY40/IF(Simulations!$J40="",1000,Simulations!$J40)))+Simulations!$BY40/IF(Simulations!$J40="",1000,Simulations!$J40)*SQRT(PI())/2*ERFC(SQRT(LN(Simulations!$BY40/IF(Simulations!$J40="",1000,Simulations!$J40))))),PI()*IF(Simulations!$T40="",200,Simulations!$T40)^2/2*(LN(Simulations!$BY40/IF(Simulations!$J40="",1000,Simulations!$J40))+1))))</f>
        <v>0</v>
      </c>
      <c r="O40" s="0" t="n">
        <f aca="false">IF(OR(NOT(AND(Simulations!$A40&lt;&gt;"",OR(Simulations!$BV40&lt;&gt;"",N(Simulations!$BX40)&gt;0))),N(Simulations!$BZ40)&lt;=0,N(Simulations!$BX40)&lt;=0,2&gt;N(IF(Simulations!$O40="",1,Simulations!$O40))),0,IF(Simulations!$BZ40&lt;IF(Simulations!$J40="",1000,Simulations!$J40),Simulations!$BX40/(IF(Simulations!$G40="",5000,Simulations!$G40)*IF(Simulations!$H40="",5000,Simulations!$H40)*IF(IF(Simulations!$I40="",5000,Simulations!$I40)&gt;0,IF(Simulations!$I40="",5000,Simulations!$I40),1))*Simulations!$BZ40*(PI()/2*IF(Simulations!$U40="",200,Simulations!$U40)^2*IF(IF(Simulations!$I40="",5000,Simulations!$I40)&gt;0,SQRT(PI()/2)*IF(Simulations!$X40="",1000,Simulations!$X40),1)),Simulations!$BX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U40="",200,Simulations!$U40)^2*IF(Simulations!$X40="",1000,Simulations!$X40)/2^1.5*(2/3*LN(Simulations!$BZ40/IF(Simulations!$J40="",1000,Simulations!$J40))^1.5+SQRT(LN(Simulations!$BZ40/IF(Simulations!$J40="",1000,Simulations!$J40)))+Simulations!$BZ40/IF(Simulations!$J40="",1000,Simulations!$J40)*SQRT(PI())/2*ERFC(SQRT(LN(Simulations!$BZ40/IF(Simulations!$J40="",1000,Simulations!$J40))))),PI()*IF(Simulations!$U40="",200,Simulations!$U40)^2/2*(LN(Simulations!$BZ40/IF(Simulations!$J40="",1000,Simulations!$J40))+1))))</f>
        <v>0</v>
      </c>
      <c r="P40" s="0" t="n">
        <f aca="false">IF(OR(NOT(AND(Simulations!$A40&lt;&gt;"",OR(Simulations!$BV40&lt;&gt;"",N(Simulations!$BX40)&gt;0))),N(Simulations!$CA40)&lt;=0,N(Simulations!$BX40)&lt;=0,3&gt;N(IF(Simulations!$O40="",1,Simulations!$O40))),0,IF(Simulations!$CA40&lt;IF(Simulations!$J40="",1000,Simulations!$J40),Simulations!$BX40/(IF(Simulations!$G40="",5000,Simulations!$G40)*IF(Simulations!$H40="",5000,Simulations!$H40)*IF(IF(Simulations!$I40="",5000,Simulations!$I40)&gt;0,IF(Simulations!$I40="",5000,Simulations!$I40),1))*Simulations!$CA40*(PI()/2*IF(Simulations!$V40="",200,Simulations!$V40)^2*IF(IF(Simulations!$I40="",5000,Simulations!$I40)&gt;0,SQRT(PI()/2)*IF(Simulations!$Y40="",1000,Simulations!$Y40),1)),Simulations!$BX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V40="",200,Simulations!$V40)^2*IF(Simulations!$Y40="",1000,Simulations!$Y40)/2^1.5*(2/3*LN(Simulations!$CA40/IF(Simulations!$J40="",1000,Simulations!$J40))^1.5+SQRT(LN(Simulations!$CA40/IF(Simulations!$J40="",1000,Simulations!$J40)))+Simulations!$CA40/IF(Simulations!$J40="",1000,Simulations!$J40)*SQRT(PI())/2*ERFC(SQRT(LN(Simulations!$CA40/IF(Simulations!$J40="",1000,Simulations!$J40))))),PI()*IF(Simulations!$V40="",200,Simulations!$V40)^2/2*(LN(Simulations!$CA40/IF(Simulations!$J40="",1000,Simulations!$J40))+1))))</f>
        <v>0</v>
      </c>
      <c r="Q40" s="0" t="n">
        <f aca="false">IF(NOT(AND(Simulations!$A40&lt;&gt;"",OR(Simulations!$BV40&lt;&gt;"",N(Simulations!$BX40)&gt;0))),0,MAX(N(Simulations!$BY40),N(Simulations!$BZ40),N(Simulations!$CA40))/IF(Simulations!$J40="",1000,Simulations!$J40))</f>
        <v>0</v>
      </c>
      <c r="R40" s="0" t="n">
        <f aca="false">IF(OR(NOT(AND(Simulations!$A40&lt;&gt;"",OR(Simulations!$BV40&lt;&gt;"",N(Simulations!$BX40)&gt;0))),N(Simulations!$BW40)&lt;=0),0,SQRT(2*Simulations!$BW40*1000000/(IF(Simulations!$J40="",1000,Simulations!$J40)*1000))/MIN(IF(Simulations!$T40="",200,Simulations!$T40),IF(Simulations!$U40="",200,Simulations!$U40),IF(Simulations!$V40="",200,Simulations!$V40)))</f>
        <v>0</v>
      </c>
      <c r="S40" s="0" t="n">
        <f aca="false">IF(AND(Simulations!$A40&lt;&gt;"",OR(Simulations!$BV40&lt;&gt;"",N(Simulations!$BX40)&gt;0)),1,0)</f>
        <v>0</v>
      </c>
      <c r="T40" s="0" t="n">
        <f aca="false">IF(OR(NOT(AND(Simulations!$A40&lt;&gt;"",OR(Simulations!$CN40&lt;&gt;"",N(Simulations!$CP40)&gt;0))),N(Simulations!$CQ40)&lt;=0,N(Simulations!$CP40)&lt;=0,1&gt;N(IF(Simulations!$O40="",1,Simulations!$O40))),0,IF(Simulations!$CQ40&lt;IF(Simulations!$J40="",1000,Simulations!$J40),Simulations!$CP40/(IF(Simulations!$G40="",5000,Simulations!$G40)*IF(Simulations!$H40="",5000,Simulations!$H40)*IF(IF(Simulations!$I40="",5000,Simulations!$I40)&gt;0,IF(Simulations!$I40="",5000,Simulations!$I40),1))*Simulations!$CQ40*(PI()/2*IF(Simulations!$T40="",200,Simulations!$T40)^2*IF(IF(Simulations!$I40="",5000,Simulations!$I40)&gt;0,SQRT(PI()/2)*IF(Simulations!$W40="",1000,Simulations!$W40),1)),Simulations!$CP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T40="",200,Simulations!$T40)^2*IF(Simulations!$W40="",1000,Simulations!$W40)/2^1.5*(2/3*LN(Simulations!$CQ40/IF(Simulations!$J40="",1000,Simulations!$J40))^1.5+SQRT(LN(Simulations!$CQ40/IF(Simulations!$J40="",1000,Simulations!$J40)))+Simulations!$CQ40/IF(Simulations!$J40="",1000,Simulations!$J40)*SQRT(PI())/2*ERFC(SQRT(LN(Simulations!$CQ40/IF(Simulations!$J40="",1000,Simulations!$J40))))),PI()*IF(Simulations!$T40="",200,Simulations!$T40)^2/2*(LN(Simulations!$CQ40/IF(Simulations!$J40="",1000,Simulations!$J40))+1))))</f>
        <v>0</v>
      </c>
      <c r="U40" s="0" t="n">
        <f aca="false">IF(OR(NOT(AND(Simulations!$A40&lt;&gt;"",OR(Simulations!$CN40&lt;&gt;"",N(Simulations!$CP40)&gt;0))),N(Simulations!$CR40)&lt;=0,N(Simulations!$CP40)&lt;=0,2&gt;N(IF(Simulations!$O40="",1,Simulations!$O40))),0,IF(Simulations!$CR40&lt;IF(Simulations!$J40="",1000,Simulations!$J40),Simulations!$CP40/(IF(Simulations!$G40="",5000,Simulations!$G40)*IF(Simulations!$H40="",5000,Simulations!$H40)*IF(IF(Simulations!$I40="",5000,Simulations!$I40)&gt;0,IF(Simulations!$I40="",5000,Simulations!$I40),1))*Simulations!$CR40*(PI()/2*IF(Simulations!$U40="",200,Simulations!$U40)^2*IF(IF(Simulations!$I40="",5000,Simulations!$I40)&gt;0,SQRT(PI()/2)*IF(Simulations!$X40="",1000,Simulations!$X40),1)),Simulations!$CP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U40="",200,Simulations!$U40)^2*IF(Simulations!$X40="",1000,Simulations!$X40)/2^1.5*(2/3*LN(Simulations!$CR40/IF(Simulations!$J40="",1000,Simulations!$J40))^1.5+SQRT(LN(Simulations!$CR40/IF(Simulations!$J40="",1000,Simulations!$J40)))+Simulations!$CR40/IF(Simulations!$J40="",1000,Simulations!$J40)*SQRT(PI())/2*ERFC(SQRT(LN(Simulations!$CR40/IF(Simulations!$J40="",1000,Simulations!$J40))))),PI()*IF(Simulations!$U40="",200,Simulations!$U40)^2/2*(LN(Simulations!$CR40/IF(Simulations!$J40="",1000,Simulations!$J40))+1))))</f>
        <v>0</v>
      </c>
      <c r="V40" s="0" t="n">
        <f aca="false">IF(OR(NOT(AND(Simulations!$A40&lt;&gt;"",OR(Simulations!$CN40&lt;&gt;"",N(Simulations!$CP40)&gt;0))),N(Simulations!$CS40)&lt;=0,N(Simulations!$CP40)&lt;=0,3&gt;N(IF(Simulations!$O40="",1,Simulations!$O40))),0,IF(Simulations!$CS40&lt;IF(Simulations!$J40="",1000,Simulations!$J40),Simulations!$CP40/(IF(Simulations!$G40="",5000,Simulations!$G40)*IF(Simulations!$H40="",5000,Simulations!$H40)*IF(IF(Simulations!$I40="",5000,Simulations!$I40)&gt;0,IF(Simulations!$I40="",5000,Simulations!$I40),1))*Simulations!$CS40*(PI()/2*IF(Simulations!$V40="",200,Simulations!$V40)^2*IF(IF(Simulations!$I40="",5000,Simulations!$I40)&gt;0,SQRT(PI()/2)*IF(Simulations!$Y40="",1000,Simulations!$Y40),1)),Simulations!$CP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V40="",200,Simulations!$V40)^2*IF(Simulations!$Y40="",1000,Simulations!$Y40)/2^1.5*(2/3*LN(Simulations!$CS40/IF(Simulations!$J40="",1000,Simulations!$J40))^1.5+SQRT(LN(Simulations!$CS40/IF(Simulations!$J40="",1000,Simulations!$J40)))+Simulations!$CS40/IF(Simulations!$J40="",1000,Simulations!$J40)*SQRT(PI())/2*ERFC(SQRT(LN(Simulations!$CS40/IF(Simulations!$J40="",1000,Simulations!$J40))))),PI()*IF(Simulations!$V40="",200,Simulations!$V40)^2/2*(LN(Simulations!$CS40/IF(Simulations!$J40="",1000,Simulations!$J40))+1))))</f>
        <v>0</v>
      </c>
      <c r="W40" s="0" t="n">
        <f aca="false">IF(NOT(AND(Simulations!$A40&lt;&gt;"",OR(Simulations!$CN40&lt;&gt;"",N(Simulations!$CP40)&gt;0))),0,MAX(N(Simulations!$CQ40),N(Simulations!$CR40),N(Simulations!$CS40))/IF(Simulations!$J40="",1000,Simulations!$J40))</f>
        <v>0</v>
      </c>
      <c r="X40" s="0" t="n">
        <f aca="false">IF(OR(NOT(AND(Simulations!$A40&lt;&gt;"",OR(Simulations!$CN40&lt;&gt;"",N(Simulations!$CP40)&gt;0))),N(Simulations!$CO40)&lt;=0),0,SQRT(2*Simulations!$CO40*1000000/(IF(Simulations!$J40="",1000,Simulations!$J40)*1000))/MIN(IF(Simulations!$T40="",200,Simulations!$T40),IF(Simulations!$U40="",200,Simulations!$U40),IF(Simulations!$V40="",200,Simulations!$V40)))</f>
        <v>0</v>
      </c>
      <c r="Y40" s="0" t="n">
        <f aca="false">IF(AND(Simulations!$A40&lt;&gt;"",OR(Simulations!$CN40&lt;&gt;"",N(Simulations!$CP40)&gt;0)),1,0)</f>
        <v>0</v>
      </c>
      <c r="Z40" s="0" t="n">
        <f aca="false">IF(OR(NOT(AND(Simulations!$A40&lt;&gt;"",OR(Simulations!$DF40&lt;&gt;"",N(Simulations!$DH40)&gt;0))),N(Simulations!$DI40)&lt;=0,N(Simulations!$DH40)&lt;=0,1&gt;N(IF(Simulations!$O40="",1,Simulations!$O40))),0,IF(Simulations!$DI40&lt;IF(Simulations!$J40="",1000,Simulations!$J40),Simulations!$DH40/(IF(Simulations!$G40="",5000,Simulations!$G40)*IF(Simulations!$H40="",5000,Simulations!$H40)*IF(IF(Simulations!$I40="",5000,Simulations!$I40)&gt;0,IF(Simulations!$I40="",5000,Simulations!$I40),1))*Simulations!$DI40*(PI()/2*IF(Simulations!$T40="",200,Simulations!$T40)^2*IF(IF(Simulations!$I40="",5000,Simulations!$I40)&gt;0,SQRT(PI()/2)*IF(Simulations!$W40="",1000,Simulations!$W40),1)),Simulations!$DH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T40="",200,Simulations!$T40)^2*IF(Simulations!$W40="",1000,Simulations!$W40)/2^1.5*(2/3*LN(Simulations!$DI40/IF(Simulations!$J40="",1000,Simulations!$J40))^1.5+SQRT(LN(Simulations!$DI40/IF(Simulations!$J40="",1000,Simulations!$J40)))+Simulations!$DI40/IF(Simulations!$J40="",1000,Simulations!$J40)*SQRT(PI())/2*ERFC(SQRT(LN(Simulations!$DI40/IF(Simulations!$J40="",1000,Simulations!$J40))))),PI()*IF(Simulations!$T40="",200,Simulations!$T40)^2/2*(LN(Simulations!$DI40/IF(Simulations!$J40="",1000,Simulations!$J40))+1))))</f>
        <v>0</v>
      </c>
      <c r="AA40" s="0" t="n">
        <f aca="false">IF(OR(NOT(AND(Simulations!$A40&lt;&gt;"",OR(Simulations!$DF40&lt;&gt;"",N(Simulations!$DH40)&gt;0))),N(Simulations!$DJ40)&lt;=0,N(Simulations!$DH40)&lt;=0,2&gt;N(IF(Simulations!$O40="",1,Simulations!$O40))),0,IF(Simulations!$DJ40&lt;IF(Simulations!$J40="",1000,Simulations!$J40),Simulations!$DH40/(IF(Simulations!$G40="",5000,Simulations!$G40)*IF(Simulations!$H40="",5000,Simulations!$H40)*IF(IF(Simulations!$I40="",5000,Simulations!$I40)&gt;0,IF(Simulations!$I40="",5000,Simulations!$I40),1))*Simulations!$DJ40*(PI()/2*IF(Simulations!$U40="",200,Simulations!$U40)^2*IF(IF(Simulations!$I40="",5000,Simulations!$I40)&gt;0,SQRT(PI()/2)*IF(Simulations!$X40="",1000,Simulations!$X40),1)),Simulations!$DH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U40="",200,Simulations!$U40)^2*IF(Simulations!$X40="",1000,Simulations!$X40)/2^1.5*(2/3*LN(Simulations!$DJ40/IF(Simulations!$J40="",1000,Simulations!$J40))^1.5+SQRT(LN(Simulations!$DJ40/IF(Simulations!$J40="",1000,Simulations!$J40)))+Simulations!$DJ40/IF(Simulations!$J40="",1000,Simulations!$J40)*SQRT(PI())/2*ERFC(SQRT(LN(Simulations!$DJ40/IF(Simulations!$J40="",1000,Simulations!$J40))))),PI()*IF(Simulations!$U40="",200,Simulations!$U40)^2/2*(LN(Simulations!$DJ40/IF(Simulations!$J40="",1000,Simulations!$J40))+1))))</f>
        <v>0</v>
      </c>
      <c r="AB40" s="0" t="n">
        <f aca="false">IF(OR(NOT(AND(Simulations!$A40&lt;&gt;"",OR(Simulations!$DF40&lt;&gt;"",N(Simulations!$DH40)&gt;0))),N(Simulations!$DK40)&lt;=0,N(Simulations!$DH40)&lt;=0,3&gt;N(IF(Simulations!$O40="",1,Simulations!$O40))),0,IF(Simulations!$DK40&lt;IF(Simulations!$J40="",1000,Simulations!$J40),Simulations!$DH40/(IF(Simulations!$G40="",5000,Simulations!$G40)*IF(Simulations!$H40="",5000,Simulations!$H40)*IF(IF(Simulations!$I40="",5000,Simulations!$I40)&gt;0,IF(Simulations!$I40="",5000,Simulations!$I40),1))*Simulations!$DK40*(PI()/2*IF(Simulations!$V40="",200,Simulations!$V40)^2*IF(IF(Simulations!$I40="",5000,Simulations!$I40)&gt;0,SQRT(PI()/2)*IF(Simulations!$Y40="",1000,Simulations!$Y40),1)),Simulations!$DH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V40="",200,Simulations!$V40)^2*IF(Simulations!$Y40="",1000,Simulations!$Y40)/2^1.5*(2/3*LN(Simulations!$DK40/IF(Simulations!$J40="",1000,Simulations!$J40))^1.5+SQRT(LN(Simulations!$DK40/IF(Simulations!$J40="",1000,Simulations!$J40)))+Simulations!$DK40/IF(Simulations!$J40="",1000,Simulations!$J40)*SQRT(PI())/2*ERFC(SQRT(LN(Simulations!$DK40/IF(Simulations!$J40="",1000,Simulations!$J40))))),PI()*IF(Simulations!$V40="",200,Simulations!$V40)^2/2*(LN(Simulations!$DK40/IF(Simulations!$J40="",1000,Simulations!$J40))+1))))</f>
        <v>0</v>
      </c>
      <c r="AC40" s="0" t="n">
        <f aca="false">IF(NOT(AND(Simulations!$A40&lt;&gt;"",OR(Simulations!$DF40&lt;&gt;"",N(Simulations!$DH40)&gt;0))),0,MAX(N(Simulations!$DI40),N(Simulations!$DJ40),N(Simulations!$DK40))/IF(Simulations!$J40="",1000,Simulations!$J40))</f>
        <v>0</v>
      </c>
      <c r="AD40" s="0" t="n">
        <f aca="false">IF(OR(NOT(AND(Simulations!$A40&lt;&gt;"",OR(Simulations!$DF40&lt;&gt;"",N(Simulations!$DH40)&gt;0))),N(Simulations!$DG40)&lt;=0),0,SQRT(2*Simulations!$DG40*1000000/(IF(Simulations!$J40="",1000,Simulations!$J40)*1000))/MIN(IF(Simulations!$T40="",200,Simulations!$T40),IF(Simulations!$U40="",200,Simulations!$U40),IF(Simulations!$V40="",200,Simulations!$V40)))</f>
        <v>0</v>
      </c>
      <c r="AE40" s="0" t="n">
        <f aca="false">IF(AND(Simulations!$A40&lt;&gt;"",OR(Simulations!$DF40&lt;&gt;"",N(Simulations!$DH40)&gt;0)),1,0)</f>
        <v>0</v>
      </c>
      <c r="AF40" s="0" t="n">
        <f aca="false">IF(OR(NOT(AND(Simulations!$A40&lt;&gt;"",OR(Simulations!$DX40&lt;&gt;"",N(Simulations!$DZ40)&gt;0))),N(Simulations!$EA40)&lt;=0,N(Simulations!$DZ40)&lt;=0,1&gt;N(IF(Simulations!$O40="",1,Simulations!$O40))),0,IF(Simulations!$EA40&lt;IF(Simulations!$J40="",1000,Simulations!$J40),Simulations!$DZ40/(IF(Simulations!$G40="",5000,Simulations!$G40)*IF(Simulations!$H40="",5000,Simulations!$H40)*IF(IF(Simulations!$I40="",5000,Simulations!$I40)&gt;0,IF(Simulations!$I40="",5000,Simulations!$I40),1))*Simulations!$EA40*(PI()/2*IF(Simulations!$T40="",200,Simulations!$T40)^2*IF(IF(Simulations!$I40="",5000,Simulations!$I40)&gt;0,SQRT(PI()/2)*IF(Simulations!$W40="",1000,Simulations!$W40),1)),Simulations!$DZ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T40="",200,Simulations!$T40)^2*IF(Simulations!$W40="",1000,Simulations!$W40)/2^1.5*(2/3*LN(Simulations!$EA40/IF(Simulations!$J40="",1000,Simulations!$J40))^1.5+SQRT(LN(Simulations!$EA40/IF(Simulations!$J40="",1000,Simulations!$J40)))+Simulations!$EA40/IF(Simulations!$J40="",1000,Simulations!$J40)*SQRT(PI())/2*ERFC(SQRT(LN(Simulations!$EA40/IF(Simulations!$J40="",1000,Simulations!$J40))))),PI()*IF(Simulations!$T40="",200,Simulations!$T40)^2/2*(LN(Simulations!$EA40/IF(Simulations!$J40="",1000,Simulations!$J40))+1))))</f>
        <v>0</v>
      </c>
      <c r="AG40" s="0" t="n">
        <f aca="false">IF(OR(NOT(AND(Simulations!$A40&lt;&gt;"",OR(Simulations!$DX40&lt;&gt;"",N(Simulations!$DZ40)&gt;0))),N(Simulations!$EB40)&lt;=0,N(Simulations!$DZ40)&lt;=0,2&gt;N(IF(Simulations!$O40="",1,Simulations!$O40))),0,IF(Simulations!$EB40&lt;IF(Simulations!$J40="",1000,Simulations!$J40),Simulations!$DZ40/(IF(Simulations!$G40="",5000,Simulations!$G40)*IF(Simulations!$H40="",5000,Simulations!$H40)*IF(IF(Simulations!$I40="",5000,Simulations!$I40)&gt;0,IF(Simulations!$I40="",5000,Simulations!$I40),1))*Simulations!$EB40*(PI()/2*IF(Simulations!$U40="",200,Simulations!$U40)^2*IF(IF(Simulations!$I40="",5000,Simulations!$I40)&gt;0,SQRT(PI()/2)*IF(Simulations!$X40="",1000,Simulations!$X40),1)),Simulations!$DZ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U40="",200,Simulations!$U40)^2*IF(Simulations!$X40="",1000,Simulations!$X40)/2^1.5*(2/3*LN(Simulations!$EB40/IF(Simulations!$J40="",1000,Simulations!$J40))^1.5+SQRT(LN(Simulations!$EB40/IF(Simulations!$J40="",1000,Simulations!$J40)))+Simulations!$EB40/IF(Simulations!$J40="",1000,Simulations!$J40)*SQRT(PI())/2*ERFC(SQRT(LN(Simulations!$EB40/IF(Simulations!$J40="",1000,Simulations!$J40))))),PI()*IF(Simulations!$U40="",200,Simulations!$U40)^2/2*(LN(Simulations!$EB40/IF(Simulations!$J40="",1000,Simulations!$J40))+1))))</f>
        <v>0</v>
      </c>
      <c r="AH40" s="0" t="n">
        <f aca="false">IF(OR(NOT(AND(Simulations!$A40&lt;&gt;"",OR(Simulations!$DX40&lt;&gt;"",N(Simulations!$DZ40)&gt;0))),N(Simulations!$EC40)&lt;=0,N(Simulations!$DZ40)&lt;=0,3&gt;N(IF(Simulations!$O40="",1,Simulations!$O40))),0,IF(Simulations!$EC40&lt;IF(Simulations!$J40="",1000,Simulations!$J40),Simulations!$DZ40/(IF(Simulations!$G40="",5000,Simulations!$G40)*IF(Simulations!$H40="",5000,Simulations!$H40)*IF(IF(Simulations!$I40="",5000,Simulations!$I40)&gt;0,IF(Simulations!$I40="",5000,Simulations!$I40),1))*Simulations!$EC40*(PI()/2*IF(Simulations!$V40="",200,Simulations!$V40)^2*IF(IF(Simulations!$I40="",5000,Simulations!$I40)&gt;0,SQRT(PI()/2)*IF(Simulations!$Y40="",1000,Simulations!$Y40),1)),Simulations!$DZ40/(IF(Simulations!$G40="",5000,Simulations!$G40)*IF(Simulations!$H40="",5000,Simulations!$H40)*IF(IF(Simulations!$I40="",5000,Simulations!$I40)&gt;0,IF(Simulations!$I40="",5000,Simulations!$I40),1))*IF(Simulations!$J40="",1000,Simulations!$J40)*IF(IF(Simulations!$I40="",5000,Simulations!$I40)&gt;0,2*PI()*IF(Simulations!$V40="",200,Simulations!$V40)^2*IF(Simulations!$Y40="",1000,Simulations!$Y40)/2^1.5*(2/3*LN(Simulations!$EC40/IF(Simulations!$J40="",1000,Simulations!$J40))^1.5+SQRT(LN(Simulations!$EC40/IF(Simulations!$J40="",1000,Simulations!$J40)))+Simulations!$EC40/IF(Simulations!$J40="",1000,Simulations!$J40)*SQRT(PI())/2*ERFC(SQRT(LN(Simulations!$EC40/IF(Simulations!$J40="",1000,Simulations!$J40))))),PI()*IF(Simulations!$V40="",200,Simulations!$V40)^2/2*(LN(Simulations!$EC40/IF(Simulations!$J40="",1000,Simulations!$J40))+1))))</f>
        <v>0</v>
      </c>
      <c r="AI40" s="0" t="n">
        <f aca="false">IF(NOT(AND(Simulations!$A40&lt;&gt;"",OR(Simulations!$DX40&lt;&gt;"",N(Simulations!$DZ40)&gt;0))),0,MAX(N(Simulations!$EA40),N(Simulations!$EB40),N(Simulations!$EC40))/IF(Simulations!$J40="",1000,Simulations!$J40))</f>
        <v>0</v>
      </c>
      <c r="AJ40" s="0" t="n">
        <f aca="false">IF(OR(NOT(AND(Simulations!$A40&lt;&gt;"",OR(Simulations!$DX40&lt;&gt;"",N(Simulations!$DZ40)&gt;0))),N(Simulations!$DY40)&lt;=0),0,SQRT(2*Simulations!$DY40*1000000/(IF(Simulations!$J40="",1000,Simulations!$J40)*1000))/MIN(IF(Simulations!$T40="",200,Simulations!$T40),IF(Simulations!$U40="",200,Simulations!$U40),IF(Simulations!$V40="",200,Simulations!$V40)))</f>
        <v>0</v>
      </c>
      <c r="AK40" s="0" t="n">
        <f aca="false">IF(AND(Simulations!$A40&lt;&gt;"",OR(Simulations!$DX40&lt;&gt;"",N(Simulations!$DZ40)&gt;0)),1,0)</f>
        <v>0</v>
      </c>
    </row>
    <row r="41" customFormat="false" ht="15" hidden="false" customHeight="false" outlineLevel="0" collapsed="false">
      <c r="B41" s="0" t="n">
        <f aca="false">IF(OR(NOT(AND(Simulations!$A41&lt;&gt;"",OR(Simulations!$AL41&lt;&gt;"",N(Simulations!$AN41)&gt;0))),N(Simulations!$AO41)&lt;=0,N(Simulations!$AN41)&lt;=0,1&gt;N(IF(Simulations!$O41="",1,Simulations!$O41))),0,IF(Simulations!$AO41&lt;IF(Simulations!$J41="",1000,Simulations!$J41),Simulations!$AN41/(IF(Simulations!$G41="",5000,Simulations!$G41)*IF(Simulations!$H41="",5000,Simulations!$H41)*IF(IF(Simulations!$I41="",5000,Simulations!$I41)&gt;0,IF(Simulations!$I41="",5000,Simulations!$I41),1))*Simulations!$AO41*(PI()/2*IF(Simulations!$T41="",200,Simulations!$T41)^2*IF(IF(Simulations!$I41="",5000,Simulations!$I41)&gt;0,SQRT(PI()/2)*IF(Simulations!$W41="",1000,Simulations!$W41),1)),Simulations!$AN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T41="",200,Simulations!$T41)^2*IF(Simulations!$W41="",1000,Simulations!$W41)/2^1.5*(2/3*LN(Simulations!$AO41/IF(Simulations!$J41="",1000,Simulations!$J41))^1.5+SQRT(LN(Simulations!$AO41/IF(Simulations!$J41="",1000,Simulations!$J41)))+Simulations!$AO41/IF(Simulations!$J41="",1000,Simulations!$J41)*SQRT(PI())/2*ERFC(SQRT(LN(Simulations!$AO41/IF(Simulations!$J41="",1000,Simulations!$J41))))),PI()*IF(Simulations!$T41="",200,Simulations!$T41)^2/2*(LN(Simulations!$AO41/IF(Simulations!$J41="",1000,Simulations!$J41))+1))))</f>
        <v>0</v>
      </c>
      <c r="C41" s="0" t="n">
        <f aca="false">IF(OR(NOT(AND(Simulations!$A41&lt;&gt;"",OR(Simulations!$AL41&lt;&gt;"",N(Simulations!$AN41)&gt;0))),N(Simulations!$AP41)&lt;=0,N(Simulations!$AN41)&lt;=0,2&gt;N(IF(Simulations!$O41="",1,Simulations!$O41))),0,IF(Simulations!$AP41&lt;IF(Simulations!$J41="",1000,Simulations!$J41),Simulations!$AN41/(IF(Simulations!$G41="",5000,Simulations!$G41)*IF(Simulations!$H41="",5000,Simulations!$H41)*IF(IF(Simulations!$I41="",5000,Simulations!$I41)&gt;0,IF(Simulations!$I41="",5000,Simulations!$I41),1))*Simulations!$AP41*(PI()/2*IF(Simulations!$U41="",200,Simulations!$U41)^2*IF(IF(Simulations!$I41="",5000,Simulations!$I41)&gt;0,SQRT(PI()/2)*IF(Simulations!$X41="",1000,Simulations!$X41),1)),Simulations!$AN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U41="",200,Simulations!$U41)^2*IF(Simulations!$X41="",1000,Simulations!$X41)/2^1.5*(2/3*LN(Simulations!$AP41/IF(Simulations!$J41="",1000,Simulations!$J41))^1.5+SQRT(LN(Simulations!$AP41/IF(Simulations!$J41="",1000,Simulations!$J41)))+Simulations!$AP41/IF(Simulations!$J41="",1000,Simulations!$J41)*SQRT(PI())/2*ERFC(SQRT(LN(Simulations!$AP41/IF(Simulations!$J41="",1000,Simulations!$J41))))),PI()*IF(Simulations!$U41="",200,Simulations!$U41)^2/2*(LN(Simulations!$AP41/IF(Simulations!$J41="",1000,Simulations!$J41))+1))))</f>
        <v>0</v>
      </c>
      <c r="D41" s="0" t="n">
        <f aca="false">IF(OR(NOT(AND(Simulations!$A41&lt;&gt;"",OR(Simulations!$AL41&lt;&gt;"",N(Simulations!$AN41)&gt;0))),N(Simulations!$AQ41)&lt;=0,N(Simulations!$AN41)&lt;=0,3&gt;N(IF(Simulations!$O41="",1,Simulations!$O41))),0,IF(Simulations!$AQ41&lt;IF(Simulations!$J41="",1000,Simulations!$J41),Simulations!$AN41/(IF(Simulations!$G41="",5000,Simulations!$G41)*IF(Simulations!$H41="",5000,Simulations!$H41)*IF(IF(Simulations!$I41="",5000,Simulations!$I41)&gt;0,IF(Simulations!$I41="",5000,Simulations!$I41),1))*Simulations!$AQ41*(PI()/2*IF(Simulations!$V41="",200,Simulations!$V41)^2*IF(IF(Simulations!$I41="",5000,Simulations!$I41)&gt;0,SQRT(PI()/2)*IF(Simulations!$Y41="",1000,Simulations!$Y41),1)),Simulations!$AN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V41="",200,Simulations!$V41)^2*IF(Simulations!$Y41="",1000,Simulations!$Y41)/2^1.5*(2/3*LN(Simulations!$AQ41/IF(Simulations!$J41="",1000,Simulations!$J41))^1.5+SQRT(LN(Simulations!$AQ41/IF(Simulations!$J41="",1000,Simulations!$J41)))+Simulations!$AQ41/IF(Simulations!$J41="",1000,Simulations!$J41)*SQRT(PI())/2*ERFC(SQRT(LN(Simulations!$AQ41/IF(Simulations!$J41="",1000,Simulations!$J41))))),PI()*IF(Simulations!$V41="",200,Simulations!$V41)^2/2*(LN(Simulations!$AQ41/IF(Simulations!$J41="",1000,Simulations!$J41))+1))))</f>
        <v>0</v>
      </c>
      <c r="E41" s="0" t="n">
        <f aca="false">IF(NOT(AND(Simulations!$A41&lt;&gt;"",OR(Simulations!$AL41&lt;&gt;"",N(Simulations!$AN41)&gt;0))),0,MAX(N(Simulations!$AO41),N(Simulations!$AP41),N(Simulations!$AQ41))/IF(Simulations!$J41="",1000,Simulations!$J41))</f>
        <v>0</v>
      </c>
      <c r="F41" s="0" t="n">
        <f aca="false">IF(OR(NOT(AND(Simulations!$A41&lt;&gt;"",OR(Simulations!$AL41&lt;&gt;"",N(Simulations!$AN41)&gt;0))),N(Simulations!$AM41)&lt;=0),0,SQRT(2*Simulations!$AM41*1000000/(IF(Simulations!$J41="",1000,Simulations!$J41)*1000))/MIN(IF(Simulations!$T41="",200,Simulations!$T41),IF(Simulations!$U41="",200,Simulations!$U41),IF(Simulations!$V41="",200,Simulations!$V41)))</f>
        <v>0</v>
      </c>
      <c r="G41" s="0" t="n">
        <f aca="false">IF(AND(Simulations!$A41&lt;&gt;"",OR(Simulations!$AL41&lt;&gt;"",N(Simulations!$AN41)&gt;0)),1,0)</f>
        <v>0</v>
      </c>
      <c r="H41" s="0" t="n">
        <f aca="false">IF(OR(NOT(AND(Simulations!$A41&lt;&gt;"",OR(Simulations!$BD41&lt;&gt;"",N(Simulations!$BF41)&gt;0))),N(Simulations!$BG41)&lt;=0,N(Simulations!$BF41)&lt;=0,1&gt;N(IF(Simulations!$O41="",1,Simulations!$O41))),0,IF(Simulations!$BG41&lt;IF(Simulations!$J41="",1000,Simulations!$J41),Simulations!$BF41/(IF(Simulations!$G41="",5000,Simulations!$G41)*IF(Simulations!$H41="",5000,Simulations!$H41)*IF(IF(Simulations!$I41="",5000,Simulations!$I41)&gt;0,IF(Simulations!$I41="",5000,Simulations!$I41),1))*Simulations!$BG41*(PI()/2*IF(Simulations!$T41="",200,Simulations!$T41)^2*IF(IF(Simulations!$I41="",5000,Simulations!$I41)&gt;0,SQRT(PI()/2)*IF(Simulations!$W41="",1000,Simulations!$W41),1)),Simulations!$BF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T41="",200,Simulations!$T41)^2*IF(Simulations!$W41="",1000,Simulations!$W41)/2^1.5*(2/3*LN(Simulations!$BG41/IF(Simulations!$J41="",1000,Simulations!$J41))^1.5+SQRT(LN(Simulations!$BG41/IF(Simulations!$J41="",1000,Simulations!$J41)))+Simulations!$BG41/IF(Simulations!$J41="",1000,Simulations!$J41)*SQRT(PI())/2*ERFC(SQRT(LN(Simulations!$BG41/IF(Simulations!$J41="",1000,Simulations!$J41))))),PI()*IF(Simulations!$T41="",200,Simulations!$T41)^2/2*(LN(Simulations!$BG41/IF(Simulations!$J41="",1000,Simulations!$J41))+1))))</f>
        <v>0</v>
      </c>
      <c r="I41" s="0" t="n">
        <f aca="false">IF(OR(NOT(AND(Simulations!$A41&lt;&gt;"",OR(Simulations!$BD41&lt;&gt;"",N(Simulations!$BF41)&gt;0))),N(Simulations!$BH41)&lt;=0,N(Simulations!$BF41)&lt;=0,2&gt;N(IF(Simulations!$O41="",1,Simulations!$O41))),0,IF(Simulations!$BH41&lt;IF(Simulations!$J41="",1000,Simulations!$J41),Simulations!$BF41/(IF(Simulations!$G41="",5000,Simulations!$G41)*IF(Simulations!$H41="",5000,Simulations!$H41)*IF(IF(Simulations!$I41="",5000,Simulations!$I41)&gt;0,IF(Simulations!$I41="",5000,Simulations!$I41),1))*Simulations!$BH41*(PI()/2*IF(Simulations!$U41="",200,Simulations!$U41)^2*IF(IF(Simulations!$I41="",5000,Simulations!$I41)&gt;0,SQRT(PI()/2)*IF(Simulations!$X41="",1000,Simulations!$X41),1)),Simulations!$BF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U41="",200,Simulations!$U41)^2*IF(Simulations!$X41="",1000,Simulations!$X41)/2^1.5*(2/3*LN(Simulations!$BH41/IF(Simulations!$J41="",1000,Simulations!$J41))^1.5+SQRT(LN(Simulations!$BH41/IF(Simulations!$J41="",1000,Simulations!$J41)))+Simulations!$BH41/IF(Simulations!$J41="",1000,Simulations!$J41)*SQRT(PI())/2*ERFC(SQRT(LN(Simulations!$BH41/IF(Simulations!$J41="",1000,Simulations!$J41))))),PI()*IF(Simulations!$U41="",200,Simulations!$U41)^2/2*(LN(Simulations!$BH41/IF(Simulations!$J41="",1000,Simulations!$J41))+1))))</f>
        <v>0</v>
      </c>
      <c r="J41" s="0" t="n">
        <f aca="false">IF(OR(NOT(AND(Simulations!$A41&lt;&gt;"",OR(Simulations!$BD41&lt;&gt;"",N(Simulations!$BF41)&gt;0))),N(Simulations!$BI41)&lt;=0,N(Simulations!$BF41)&lt;=0,3&gt;N(IF(Simulations!$O41="",1,Simulations!$O41))),0,IF(Simulations!$BI41&lt;IF(Simulations!$J41="",1000,Simulations!$J41),Simulations!$BF41/(IF(Simulations!$G41="",5000,Simulations!$G41)*IF(Simulations!$H41="",5000,Simulations!$H41)*IF(IF(Simulations!$I41="",5000,Simulations!$I41)&gt;0,IF(Simulations!$I41="",5000,Simulations!$I41),1))*Simulations!$BI41*(PI()/2*IF(Simulations!$V41="",200,Simulations!$V41)^2*IF(IF(Simulations!$I41="",5000,Simulations!$I41)&gt;0,SQRT(PI()/2)*IF(Simulations!$Y41="",1000,Simulations!$Y41),1)),Simulations!$BF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V41="",200,Simulations!$V41)^2*IF(Simulations!$Y41="",1000,Simulations!$Y41)/2^1.5*(2/3*LN(Simulations!$BI41/IF(Simulations!$J41="",1000,Simulations!$J41))^1.5+SQRT(LN(Simulations!$BI41/IF(Simulations!$J41="",1000,Simulations!$J41)))+Simulations!$BI41/IF(Simulations!$J41="",1000,Simulations!$J41)*SQRT(PI())/2*ERFC(SQRT(LN(Simulations!$BI41/IF(Simulations!$J41="",1000,Simulations!$J41))))),PI()*IF(Simulations!$V41="",200,Simulations!$V41)^2/2*(LN(Simulations!$BI41/IF(Simulations!$J41="",1000,Simulations!$J41))+1))))</f>
        <v>0</v>
      </c>
      <c r="K41" s="0" t="n">
        <f aca="false">IF(NOT(AND(Simulations!$A41&lt;&gt;"",OR(Simulations!$BD41&lt;&gt;"",N(Simulations!$BF41)&gt;0))),0,MAX(N(Simulations!$BG41),N(Simulations!$BH41),N(Simulations!$BI41))/IF(Simulations!$J41="",1000,Simulations!$J41))</f>
        <v>0</v>
      </c>
      <c r="L41" s="0" t="n">
        <f aca="false">IF(OR(NOT(AND(Simulations!$A41&lt;&gt;"",OR(Simulations!$BD41&lt;&gt;"",N(Simulations!$BF41)&gt;0))),N(Simulations!$BE41)&lt;=0),0,SQRT(2*Simulations!$BE41*1000000/(IF(Simulations!$J41="",1000,Simulations!$J41)*1000))/MIN(IF(Simulations!$T41="",200,Simulations!$T41),IF(Simulations!$U41="",200,Simulations!$U41),IF(Simulations!$V41="",200,Simulations!$V41)))</f>
        <v>0</v>
      </c>
      <c r="M41" s="0" t="n">
        <f aca="false">IF(AND(Simulations!$A41&lt;&gt;"",OR(Simulations!$BD41&lt;&gt;"",N(Simulations!$BF41)&gt;0)),1,0)</f>
        <v>0</v>
      </c>
      <c r="N41" s="0" t="n">
        <f aca="false">IF(OR(NOT(AND(Simulations!$A41&lt;&gt;"",OR(Simulations!$BV41&lt;&gt;"",N(Simulations!$BX41)&gt;0))),N(Simulations!$BY41)&lt;=0,N(Simulations!$BX41)&lt;=0,1&gt;N(IF(Simulations!$O41="",1,Simulations!$O41))),0,IF(Simulations!$BY41&lt;IF(Simulations!$J41="",1000,Simulations!$J41),Simulations!$BX41/(IF(Simulations!$G41="",5000,Simulations!$G41)*IF(Simulations!$H41="",5000,Simulations!$H41)*IF(IF(Simulations!$I41="",5000,Simulations!$I41)&gt;0,IF(Simulations!$I41="",5000,Simulations!$I41),1))*Simulations!$BY41*(PI()/2*IF(Simulations!$T41="",200,Simulations!$T41)^2*IF(IF(Simulations!$I41="",5000,Simulations!$I41)&gt;0,SQRT(PI()/2)*IF(Simulations!$W41="",1000,Simulations!$W41),1)),Simulations!$BX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T41="",200,Simulations!$T41)^2*IF(Simulations!$W41="",1000,Simulations!$W41)/2^1.5*(2/3*LN(Simulations!$BY41/IF(Simulations!$J41="",1000,Simulations!$J41))^1.5+SQRT(LN(Simulations!$BY41/IF(Simulations!$J41="",1000,Simulations!$J41)))+Simulations!$BY41/IF(Simulations!$J41="",1000,Simulations!$J41)*SQRT(PI())/2*ERFC(SQRT(LN(Simulations!$BY41/IF(Simulations!$J41="",1000,Simulations!$J41))))),PI()*IF(Simulations!$T41="",200,Simulations!$T41)^2/2*(LN(Simulations!$BY41/IF(Simulations!$J41="",1000,Simulations!$J41))+1))))</f>
        <v>0</v>
      </c>
      <c r="O41" s="0" t="n">
        <f aca="false">IF(OR(NOT(AND(Simulations!$A41&lt;&gt;"",OR(Simulations!$BV41&lt;&gt;"",N(Simulations!$BX41)&gt;0))),N(Simulations!$BZ41)&lt;=0,N(Simulations!$BX41)&lt;=0,2&gt;N(IF(Simulations!$O41="",1,Simulations!$O41))),0,IF(Simulations!$BZ41&lt;IF(Simulations!$J41="",1000,Simulations!$J41),Simulations!$BX41/(IF(Simulations!$G41="",5000,Simulations!$G41)*IF(Simulations!$H41="",5000,Simulations!$H41)*IF(IF(Simulations!$I41="",5000,Simulations!$I41)&gt;0,IF(Simulations!$I41="",5000,Simulations!$I41),1))*Simulations!$BZ41*(PI()/2*IF(Simulations!$U41="",200,Simulations!$U41)^2*IF(IF(Simulations!$I41="",5000,Simulations!$I41)&gt;0,SQRT(PI()/2)*IF(Simulations!$X41="",1000,Simulations!$X41),1)),Simulations!$BX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U41="",200,Simulations!$U41)^2*IF(Simulations!$X41="",1000,Simulations!$X41)/2^1.5*(2/3*LN(Simulations!$BZ41/IF(Simulations!$J41="",1000,Simulations!$J41))^1.5+SQRT(LN(Simulations!$BZ41/IF(Simulations!$J41="",1000,Simulations!$J41)))+Simulations!$BZ41/IF(Simulations!$J41="",1000,Simulations!$J41)*SQRT(PI())/2*ERFC(SQRT(LN(Simulations!$BZ41/IF(Simulations!$J41="",1000,Simulations!$J41))))),PI()*IF(Simulations!$U41="",200,Simulations!$U41)^2/2*(LN(Simulations!$BZ41/IF(Simulations!$J41="",1000,Simulations!$J41))+1))))</f>
        <v>0</v>
      </c>
      <c r="P41" s="0" t="n">
        <f aca="false">IF(OR(NOT(AND(Simulations!$A41&lt;&gt;"",OR(Simulations!$BV41&lt;&gt;"",N(Simulations!$BX41)&gt;0))),N(Simulations!$CA41)&lt;=0,N(Simulations!$BX41)&lt;=0,3&gt;N(IF(Simulations!$O41="",1,Simulations!$O41))),0,IF(Simulations!$CA41&lt;IF(Simulations!$J41="",1000,Simulations!$J41),Simulations!$BX41/(IF(Simulations!$G41="",5000,Simulations!$G41)*IF(Simulations!$H41="",5000,Simulations!$H41)*IF(IF(Simulations!$I41="",5000,Simulations!$I41)&gt;0,IF(Simulations!$I41="",5000,Simulations!$I41),1))*Simulations!$CA41*(PI()/2*IF(Simulations!$V41="",200,Simulations!$V41)^2*IF(IF(Simulations!$I41="",5000,Simulations!$I41)&gt;0,SQRT(PI()/2)*IF(Simulations!$Y41="",1000,Simulations!$Y41),1)),Simulations!$BX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V41="",200,Simulations!$V41)^2*IF(Simulations!$Y41="",1000,Simulations!$Y41)/2^1.5*(2/3*LN(Simulations!$CA41/IF(Simulations!$J41="",1000,Simulations!$J41))^1.5+SQRT(LN(Simulations!$CA41/IF(Simulations!$J41="",1000,Simulations!$J41)))+Simulations!$CA41/IF(Simulations!$J41="",1000,Simulations!$J41)*SQRT(PI())/2*ERFC(SQRT(LN(Simulations!$CA41/IF(Simulations!$J41="",1000,Simulations!$J41))))),PI()*IF(Simulations!$V41="",200,Simulations!$V41)^2/2*(LN(Simulations!$CA41/IF(Simulations!$J41="",1000,Simulations!$J41))+1))))</f>
        <v>0</v>
      </c>
      <c r="Q41" s="0" t="n">
        <f aca="false">IF(NOT(AND(Simulations!$A41&lt;&gt;"",OR(Simulations!$BV41&lt;&gt;"",N(Simulations!$BX41)&gt;0))),0,MAX(N(Simulations!$BY41),N(Simulations!$BZ41),N(Simulations!$CA41))/IF(Simulations!$J41="",1000,Simulations!$J41))</f>
        <v>0</v>
      </c>
      <c r="R41" s="0" t="n">
        <f aca="false">IF(OR(NOT(AND(Simulations!$A41&lt;&gt;"",OR(Simulations!$BV41&lt;&gt;"",N(Simulations!$BX41)&gt;0))),N(Simulations!$BW41)&lt;=0),0,SQRT(2*Simulations!$BW41*1000000/(IF(Simulations!$J41="",1000,Simulations!$J41)*1000))/MIN(IF(Simulations!$T41="",200,Simulations!$T41),IF(Simulations!$U41="",200,Simulations!$U41),IF(Simulations!$V41="",200,Simulations!$V41)))</f>
        <v>0</v>
      </c>
      <c r="S41" s="0" t="n">
        <f aca="false">IF(AND(Simulations!$A41&lt;&gt;"",OR(Simulations!$BV41&lt;&gt;"",N(Simulations!$BX41)&gt;0)),1,0)</f>
        <v>0</v>
      </c>
      <c r="T41" s="0" t="n">
        <f aca="false">IF(OR(NOT(AND(Simulations!$A41&lt;&gt;"",OR(Simulations!$CN41&lt;&gt;"",N(Simulations!$CP41)&gt;0))),N(Simulations!$CQ41)&lt;=0,N(Simulations!$CP41)&lt;=0,1&gt;N(IF(Simulations!$O41="",1,Simulations!$O41))),0,IF(Simulations!$CQ41&lt;IF(Simulations!$J41="",1000,Simulations!$J41),Simulations!$CP41/(IF(Simulations!$G41="",5000,Simulations!$G41)*IF(Simulations!$H41="",5000,Simulations!$H41)*IF(IF(Simulations!$I41="",5000,Simulations!$I41)&gt;0,IF(Simulations!$I41="",5000,Simulations!$I41),1))*Simulations!$CQ41*(PI()/2*IF(Simulations!$T41="",200,Simulations!$T41)^2*IF(IF(Simulations!$I41="",5000,Simulations!$I41)&gt;0,SQRT(PI()/2)*IF(Simulations!$W41="",1000,Simulations!$W41),1)),Simulations!$CP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T41="",200,Simulations!$T41)^2*IF(Simulations!$W41="",1000,Simulations!$W41)/2^1.5*(2/3*LN(Simulations!$CQ41/IF(Simulations!$J41="",1000,Simulations!$J41))^1.5+SQRT(LN(Simulations!$CQ41/IF(Simulations!$J41="",1000,Simulations!$J41)))+Simulations!$CQ41/IF(Simulations!$J41="",1000,Simulations!$J41)*SQRT(PI())/2*ERFC(SQRT(LN(Simulations!$CQ41/IF(Simulations!$J41="",1000,Simulations!$J41))))),PI()*IF(Simulations!$T41="",200,Simulations!$T41)^2/2*(LN(Simulations!$CQ41/IF(Simulations!$J41="",1000,Simulations!$J41))+1))))</f>
        <v>0</v>
      </c>
      <c r="U41" s="0" t="n">
        <f aca="false">IF(OR(NOT(AND(Simulations!$A41&lt;&gt;"",OR(Simulations!$CN41&lt;&gt;"",N(Simulations!$CP41)&gt;0))),N(Simulations!$CR41)&lt;=0,N(Simulations!$CP41)&lt;=0,2&gt;N(IF(Simulations!$O41="",1,Simulations!$O41))),0,IF(Simulations!$CR41&lt;IF(Simulations!$J41="",1000,Simulations!$J41),Simulations!$CP41/(IF(Simulations!$G41="",5000,Simulations!$G41)*IF(Simulations!$H41="",5000,Simulations!$H41)*IF(IF(Simulations!$I41="",5000,Simulations!$I41)&gt;0,IF(Simulations!$I41="",5000,Simulations!$I41),1))*Simulations!$CR41*(PI()/2*IF(Simulations!$U41="",200,Simulations!$U41)^2*IF(IF(Simulations!$I41="",5000,Simulations!$I41)&gt;0,SQRT(PI()/2)*IF(Simulations!$X41="",1000,Simulations!$X41),1)),Simulations!$CP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U41="",200,Simulations!$U41)^2*IF(Simulations!$X41="",1000,Simulations!$X41)/2^1.5*(2/3*LN(Simulations!$CR41/IF(Simulations!$J41="",1000,Simulations!$J41))^1.5+SQRT(LN(Simulations!$CR41/IF(Simulations!$J41="",1000,Simulations!$J41)))+Simulations!$CR41/IF(Simulations!$J41="",1000,Simulations!$J41)*SQRT(PI())/2*ERFC(SQRT(LN(Simulations!$CR41/IF(Simulations!$J41="",1000,Simulations!$J41))))),PI()*IF(Simulations!$U41="",200,Simulations!$U41)^2/2*(LN(Simulations!$CR41/IF(Simulations!$J41="",1000,Simulations!$J41))+1))))</f>
        <v>0</v>
      </c>
      <c r="V41" s="0" t="n">
        <f aca="false">IF(OR(NOT(AND(Simulations!$A41&lt;&gt;"",OR(Simulations!$CN41&lt;&gt;"",N(Simulations!$CP41)&gt;0))),N(Simulations!$CS41)&lt;=0,N(Simulations!$CP41)&lt;=0,3&gt;N(IF(Simulations!$O41="",1,Simulations!$O41))),0,IF(Simulations!$CS41&lt;IF(Simulations!$J41="",1000,Simulations!$J41),Simulations!$CP41/(IF(Simulations!$G41="",5000,Simulations!$G41)*IF(Simulations!$H41="",5000,Simulations!$H41)*IF(IF(Simulations!$I41="",5000,Simulations!$I41)&gt;0,IF(Simulations!$I41="",5000,Simulations!$I41),1))*Simulations!$CS41*(PI()/2*IF(Simulations!$V41="",200,Simulations!$V41)^2*IF(IF(Simulations!$I41="",5000,Simulations!$I41)&gt;0,SQRT(PI()/2)*IF(Simulations!$Y41="",1000,Simulations!$Y41),1)),Simulations!$CP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V41="",200,Simulations!$V41)^2*IF(Simulations!$Y41="",1000,Simulations!$Y41)/2^1.5*(2/3*LN(Simulations!$CS41/IF(Simulations!$J41="",1000,Simulations!$J41))^1.5+SQRT(LN(Simulations!$CS41/IF(Simulations!$J41="",1000,Simulations!$J41)))+Simulations!$CS41/IF(Simulations!$J41="",1000,Simulations!$J41)*SQRT(PI())/2*ERFC(SQRT(LN(Simulations!$CS41/IF(Simulations!$J41="",1000,Simulations!$J41))))),PI()*IF(Simulations!$V41="",200,Simulations!$V41)^2/2*(LN(Simulations!$CS41/IF(Simulations!$J41="",1000,Simulations!$J41))+1))))</f>
        <v>0</v>
      </c>
      <c r="W41" s="0" t="n">
        <f aca="false">IF(NOT(AND(Simulations!$A41&lt;&gt;"",OR(Simulations!$CN41&lt;&gt;"",N(Simulations!$CP41)&gt;0))),0,MAX(N(Simulations!$CQ41),N(Simulations!$CR41),N(Simulations!$CS41))/IF(Simulations!$J41="",1000,Simulations!$J41))</f>
        <v>0</v>
      </c>
      <c r="X41" s="0" t="n">
        <f aca="false">IF(OR(NOT(AND(Simulations!$A41&lt;&gt;"",OR(Simulations!$CN41&lt;&gt;"",N(Simulations!$CP41)&gt;0))),N(Simulations!$CO41)&lt;=0),0,SQRT(2*Simulations!$CO41*1000000/(IF(Simulations!$J41="",1000,Simulations!$J41)*1000))/MIN(IF(Simulations!$T41="",200,Simulations!$T41),IF(Simulations!$U41="",200,Simulations!$U41),IF(Simulations!$V41="",200,Simulations!$V41)))</f>
        <v>0</v>
      </c>
      <c r="Y41" s="0" t="n">
        <f aca="false">IF(AND(Simulations!$A41&lt;&gt;"",OR(Simulations!$CN41&lt;&gt;"",N(Simulations!$CP41)&gt;0)),1,0)</f>
        <v>0</v>
      </c>
      <c r="Z41" s="0" t="n">
        <f aca="false">IF(OR(NOT(AND(Simulations!$A41&lt;&gt;"",OR(Simulations!$DF41&lt;&gt;"",N(Simulations!$DH41)&gt;0))),N(Simulations!$DI41)&lt;=0,N(Simulations!$DH41)&lt;=0,1&gt;N(IF(Simulations!$O41="",1,Simulations!$O41))),0,IF(Simulations!$DI41&lt;IF(Simulations!$J41="",1000,Simulations!$J41),Simulations!$DH41/(IF(Simulations!$G41="",5000,Simulations!$G41)*IF(Simulations!$H41="",5000,Simulations!$H41)*IF(IF(Simulations!$I41="",5000,Simulations!$I41)&gt;0,IF(Simulations!$I41="",5000,Simulations!$I41),1))*Simulations!$DI41*(PI()/2*IF(Simulations!$T41="",200,Simulations!$T41)^2*IF(IF(Simulations!$I41="",5000,Simulations!$I41)&gt;0,SQRT(PI()/2)*IF(Simulations!$W41="",1000,Simulations!$W41),1)),Simulations!$DH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T41="",200,Simulations!$T41)^2*IF(Simulations!$W41="",1000,Simulations!$W41)/2^1.5*(2/3*LN(Simulations!$DI41/IF(Simulations!$J41="",1000,Simulations!$J41))^1.5+SQRT(LN(Simulations!$DI41/IF(Simulations!$J41="",1000,Simulations!$J41)))+Simulations!$DI41/IF(Simulations!$J41="",1000,Simulations!$J41)*SQRT(PI())/2*ERFC(SQRT(LN(Simulations!$DI41/IF(Simulations!$J41="",1000,Simulations!$J41))))),PI()*IF(Simulations!$T41="",200,Simulations!$T41)^2/2*(LN(Simulations!$DI41/IF(Simulations!$J41="",1000,Simulations!$J41))+1))))</f>
        <v>0</v>
      </c>
      <c r="AA41" s="0" t="n">
        <f aca="false">IF(OR(NOT(AND(Simulations!$A41&lt;&gt;"",OR(Simulations!$DF41&lt;&gt;"",N(Simulations!$DH41)&gt;0))),N(Simulations!$DJ41)&lt;=0,N(Simulations!$DH41)&lt;=0,2&gt;N(IF(Simulations!$O41="",1,Simulations!$O41))),0,IF(Simulations!$DJ41&lt;IF(Simulations!$J41="",1000,Simulations!$J41),Simulations!$DH41/(IF(Simulations!$G41="",5000,Simulations!$G41)*IF(Simulations!$H41="",5000,Simulations!$H41)*IF(IF(Simulations!$I41="",5000,Simulations!$I41)&gt;0,IF(Simulations!$I41="",5000,Simulations!$I41),1))*Simulations!$DJ41*(PI()/2*IF(Simulations!$U41="",200,Simulations!$U41)^2*IF(IF(Simulations!$I41="",5000,Simulations!$I41)&gt;0,SQRT(PI()/2)*IF(Simulations!$X41="",1000,Simulations!$X41),1)),Simulations!$DH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U41="",200,Simulations!$U41)^2*IF(Simulations!$X41="",1000,Simulations!$X41)/2^1.5*(2/3*LN(Simulations!$DJ41/IF(Simulations!$J41="",1000,Simulations!$J41))^1.5+SQRT(LN(Simulations!$DJ41/IF(Simulations!$J41="",1000,Simulations!$J41)))+Simulations!$DJ41/IF(Simulations!$J41="",1000,Simulations!$J41)*SQRT(PI())/2*ERFC(SQRT(LN(Simulations!$DJ41/IF(Simulations!$J41="",1000,Simulations!$J41))))),PI()*IF(Simulations!$U41="",200,Simulations!$U41)^2/2*(LN(Simulations!$DJ41/IF(Simulations!$J41="",1000,Simulations!$J41))+1))))</f>
        <v>0</v>
      </c>
      <c r="AB41" s="0" t="n">
        <f aca="false">IF(OR(NOT(AND(Simulations!$A41&lt;&gt;"",OR(Simulations!$DF41&lt;&gt;"",N(Simulations!$DH41)&gt;0))),N(Simulations!$DK41)&lt;=0,N(Simulations!$DH41)&lt;=0,3&gt;N(IF(Simulations!$O41="",1,Simulations!$O41))),0,IF(Simulations!$DK41&lt;IF(Simulations!$J41="",1000,Simulations!$J41),Simulations!$DH41/(IF(Simulations!$G41="",5000,Simulations!$G41)*IF(Simulations!$H41="",5000,Simulations!$H41)*IF(IF(Simulations!$I41="",5000,Simulations!$I41)&gt;0,IF(Simulations!$I41="",5000,Simulations!$I41),1))*Simulations!$DK41*(PI()/2*IF(Simulations!$V41="",200,Simulations!$V41)^2*IF(IF(Simulations!$I41="",5000,Simulations!$I41)&gt;0,SQRT(PI()/2)*IF(Simulations!$Y41="",1000,Simulations!$Y41),1)),Simulations!$DH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V41="",200,Simulations!$V41)^2*IF(Simulations!$Y41="",1000,Simulations!$Y41)/2^1.5*(2/3*LN(Simulations!$DK41/IF(Simulations!$J41="",1000,Simulations!$J41))^1.5+SQRT(LN(Simulations!$DK41/IF(Simulations!$J41="",1000,Simulations!$J41)))+Simulations!$DK41/IF(Simulations!$J41="",1000,Simulations!$J41)*SQRT(PI())/2*ERFC(SQRT(LN(Simulations!$DK41/IF(Simulations!$J41="",1000,Simulations!$J41))))),PI()*IF(Simulations!$V41="",200,Simulations!$V41)^2/2*(LN(Simulations!$DK41/IF(Simulations!$J41="",1000,Simulations!$J41))+1))))</f>
        <v>0</v>
      </c>
      <c r="AC41" s="0" t="n">
        <f aca="false">IF(NOT(AND(Simulations!$A41&lt;&gt;"",OR(Simulations!$DF41&lt;&gt;"",N(Simulations!$DH41)&gt;0))),0,MAX(N(Simulations!$DI41),N(Simulations!$DJ41),N(Simulations!$DK41))/IF(Simulations!$J41="",1000,Simulations!$J41))</f>
        <v>0</v>
      </c>
      <c r="AD41" s="0" t="n">
        <f aca="false">IF(OR(NOT(AND(Simulations!$A41&lt;&gt;"",OR(Simulations!$DF41&lt;&gt;"",N(Simulations!$DH41)&gt;0))),N(Simulations!$DG41)&lt;=0),0,SQRT(2*Simulations!$DG41*1000000/(IF(Simulations!$J41="",1000,Simulations!$J41)*1000))/MIN(IF(Simulations!$T41="",200,Simulations!$T41),IF(Simulations!$U41="",200,Simulations!$U41),IF(Simulations!$V41="",200,Simulations!$V41)))</f>
        <v>0</v>
      </c>
      <c r="AE41" s="0" t="n">
        <f aca="false">IF(AND(Simulations!$A41&lt;&gt;"",OR(Simulations!$DF41&lt;&gt;"",N(Simulations!$DH41)&gt;0)),1,0)</f>
        <v>0</v>
      </c>
      <c r="AF41" s="0" t="n">
        <f aca="false">IF(OR(NOT(AND(Simulations!$A41&lt;&gt;"",OR(Simulations!$DX41&lt;&gt;"",N(Simulations!$DZ41)&gt;0))),N(Simulations!$EA41)&lt;=0,N(Simulations!$DZ41)&lt;=0,1&gt;N(IF(Simulations!$O41="",1,Simulations!$O41))),0,IF(Simulations!$EA41&lt;IF(Simulations!$J41="",1000,Simulations!$J41),Simulations!$DZ41/(IF(Simulations!$G41="",5000,Simulations!$G41)*IF(Simulations!$H41="",5000,Simulations!$H41)*IF(IF(Simulations!$I41="",5000,Simulations!$I41)&gt;0,IF(Simulations!$I41="",5000,Simulations!$I41),1))*Simulations!$EA41*(PI()/2*IF(Simulations!$T41="",200,Simulations!$T41)^2*IF(IF(Simulations!$I41="",5000,Simulations!$I41)&gt;0,SQRT(PI()/2)*IF(Simulations!$W41="",1000,Simulations!$W41),1)),Simulations!$DZ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T41="",200,Simulations!$T41)^2*IF(Simulations!$W41="",1000,Simulations!$W41)/2^1.5*(2/3*LN(Simulations!$EA41/IF(Simulations!$J41="",1000,Simulations!$J41))^1.5+SQRT(LN(Simulations!$EA41/IF(Simulations!$J41="",1000,Simulations!$J41)))+Simulations!$EA41/IF(Simulations!$J41="",1000,Simulations!$J41)*SQRT(PI())/2*ERFC(SQRT(LN(Simulations!$EA41/IF(Simulations!$J41="",1000,Simulations!$J41))))),PI()*IF(Simulations!$T41="",200,Simulations!$T41)^2/2*(LN(Simulations!$EA41/IF(Simulations!$J41="",1000,Simulations!$J41))+1))))</f>
        <v>0</v>
      </c>
      <c r="AG41" s="0" t="n">
        <f aca="false">IF(OR(NOT(AND(Simulations!$A41&lt;&gt;"",OR(Simulations!$DX41&lt;&gt;"",N(Simulations!$DZ41)&gt;0))),N(Simulations!$EB41)&lt;=0,N(Simulations!$DZ41)&lt;=0,2&gt;N(IF(Simulations!$O41="",1,Simulations!$O41))),0,IF(Simulations!$EB41&lt;IF(Simulations!$J41="",1000,Simulations!$J41),Simulations!$DZ41/(IF(Simulations!$G41="",5000,Simulations!$G41)*IF(Simulations!$H41="",5000,Simulations!$H41)*IF(IF(Simulations!$I41="",5000,Simulations!$I41)&gt;0,IF(Simulations!$I41="",5000,Simulations!$I41),1))*Simulations!$EB41*(PI()/2*IF(Simulations!$U41="",200,Simulations!$U41)^2*IF(IF(Simulations!$I41="",5000,Simulations!$I41)&gt;0,SQRT(PI()/2)*IF(Simulations!$X41="",1000,Simulations!$X41),1)),Simulations!$DZ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U41="",200,Simulations!$U41)^2*IF(Simulations!$X41="",1000,Simulations!$X41)/2^1.5*(2/3*LN(Simulations!$EB41/IF(Simulations!$J41="",1000,Simulations!$J41))^1.5+SQRT(LN(Simulations!$EB41/IF(Simulations!$J41="",1000,Simulations!$J41)))+Simulations!$EB41/IF(Simulations!$J41="",1000,Simulations!$J41)*SQRT(PI())/2*ERFC(SQRT(LN(Simulations!$EB41/IF(Simulations!$J41="",1000,Simulations!$J41))))),PI()*IF(Simulations!$U41="",200,Simulations!$U41)^2/2*(LN(Simulations!$EB41/IF(Simulations!$J41="",1000,Simulations!$J41))+1))))</f>
        <v>0</v>
      </c>
      <c r="AH41" s="0" t="n">
        <f aca="false">IF(OR(NOT(AND(Simulations!$A41&lt;&gt;"",OR(Simulations!$DX41&lt;&gt;"",N(Simulations!$DZ41)&gt;0))),N(Simulations!$EC41)&lt;=0,N(Simulations!$DZ41)&lt;=0,3&gt;N(IF(Simulations!$O41="",1,Simulations!$O41))),0,IF(Simulations!$EC41&lt;IF(Simulations!$J41="",1000,Simulations!$J41),Simulations!$DZ41/(IF(Simulations!$G41="",5000,Simulations!$G41)*IF(Simulations!$H41="",5000,Simulations!$H41)*IF(IF(Simulations!$I41="",5000,Simulations!$I41)&gt;0,IF(Simulations!$I41="",5000,Simulations!$I41),1))*Simulations!$EC41*(PI()/2*IF(Simulations!$V41="",200,Simulations!$V41)^2*IF(IF(Simulations!$I41="",5000,Simulations!$I41)&gt;0,SQRT(PI()/2)*IF(Simulations!$Y41="",1000,Simulations!$Y41),1)),Simulations!$DZ41/(IF(Simulations!$G41="",5000,Simulations!$G41)*IF(Simulations!$H41="",5000,Simulations!$H41)*IF(IF(Simulations!$I41="",5000,Simulations!$I41)&gt;0,IF(Simulations!$I41="",5000,Simulations!$I41),1))*IF(Simulations!$J41="",1000,Simulations!$J41)*IF(IF(Simulations!$I41="",5000,Simulations!$I41)&gt;0,2*PI()*IF(Simulations!$V41="",200,Simulations!$V41)^2*IF(Simulations!$Y41="",1000,Simulations!$Y41)/2^1.5*(2/3*LN(Simulations!$EC41/IF(Simulations!$J41="",1000,Simulations!$J41))^1.5+SQRT(LN(Simulations!$EC41/IF(Simulations!$J41="",1000,Simulations!$J41)))+Simulations!$EC41/IF(Simulations!$J41="",1000,Simulations!$J41)*SQRT(PI())/2*ERFC(SQRT(LN(Simulations!$EC41/IF(Simulations!$J41="",1000,Simulations!$J41))))),PI()*IF(Simulations!$V41="",200,Simulations!$V41)^2/2*(LN(Simulations!$EC41/IF(Simulations!$J41="",1000,Simulations!$J41))+1))))</f>
        <v>0</v>
      </c>
      <c r="AI41" s="0" t="n">
        <f aca="false">IF(NOT(AND(Simulations!$A41&lt;&gt;"",OR(Simulations!$DX41&lt;&gt;"",N(Simulations!$DZ41)&gt;0))),0,MAX(N(Simulations!$EA41),N(Simulations!$EB41),N(Simulations!$EC41))/IF(Simulations!$J41="",1000,Simulations!$J41))</f>
        <v>0</v>
      </c>
      <c r="AJ41" s="0" t="n">
        <f aca="false">IF(OR(NOT(AND(Simulations!$A41&lt;&gt;"",OR(Simulations!$DX41&lt;&gt;"",N(Simulations!$DZ41)&gt;0))),N(Simulations!$DY41)&lt;=0),0,SQRT(2*Simulations!$DY41*1000000/(IF(Simulations!$J41="",1000,Simulations!$J41)*1000))/MIN(IF(Simulations!$T41="",200,Simulations!$T41),IF(Simulations!$U41="",200,Simulations!$U41),IF(Simulations!$V41="",200,Simulations!$V41)))</f>
        <v>0</v>
      </c>
      <c r="AK41" s="0" t="n">
        <f aca="false">IF(AND(Simulations!$A41&lt;&gt;"",OR(Simulations!$DX41&lt;&gt;"",N(Simulations!$DZ41)&gt;0)),1,0)</f>
        <v>0</v>
      </c>
    </row>
    <row r="42" customFormat="false" ht="15" hidden="false" customHeight="false" outlineLevel="0" collapsed="false">
      <c r="B42" s="0" t="n">
        <f aca="false">IF(OR(NOT(AND(Simulations!$A42&lt;&gt;"",OR(Simulations!$AL42&lt;&gt;"",N(Simulations!$AN42)&gt;0))),N(Simulations!$AO42)&lt;=0,N(Simulations!$AN42)&lt;=0,1&gt;N(IF(Simulations!$O42="",1,Simulations!$O42))),0,IF(Simulations!$AO42&lt;IF(Simulations!$J42="",1000,Simulations!$J42),Simulations!$AN42/(IF(Simulations!$G42="",5000,Simulations!$G42)*IF(Simulations!$H42="",5000,Simulations!$H42)*IF(IF(Simulations!$I42="",5000,Simulations!$I42)&gt;0,IF(Simulations!$I42="",5000,Simulations!$I42),1))*Simulations!$AO42*(PI()/2*IF(Simulations!$T42="",200,Simulations!$T42)^2*IF(IF(Simulations!$I42="",5000,Simulations!$I42)&gt;0,SQRT(PI()/2)*IF(Simulations!$W42="",1000,Simulations!$W42),1)),Simulations!$AN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T42="",200,Simulations!$T42)^2*IF(Simulations!$W42="",1000,Simulations!$W42)/2^1.5*(2/3*LN(Simulations!$AO42/IF(Simulations!$J42="",1000,Simulations!$J42))^1.5+SQRT(LN(Simulations!$AO42/IF(Simulations!$J42="",1000,Simulations!$J42)))+Simulations!$AO42/IF(Simulations!$J42="",1000,Simulations!$J42)*SQRT(PI())/2*ERFC(SQRT(LN(Simulations!$AO42/IF(Simulations!$J42="",1000,Simulations!$J42))))),PI()*IF(Simulations!$T42="",200,Simulations!$T42)^2/2*(LN(Simulations!$AO42/IF(Simulations!$J42="",1000,Simulations!$J42))+1))))</f>
        <v>0</v>
      </c>
      <c r="C42" s="0" t="n">
        <f aca="false">IF(OR(NOT(AND(Simulations!$A42&lt;&gt;"",OR(Simulations!$AL42&lt;&gt;"",N(Simulations!$AN42)&gt;0))),N(Simulations!$AP42)&lt;=0,N(Simulations!$AN42)&lt;=0,2&gt;N(IF(Simulations!$O42="",1,Simulations!$O42))),0,IF(Simulations!$AP42&lt;IF(Simulations!$J42="",1000,Simulations!$J42),Simulations!$AN42/(IF(Simulations!$G42="",5000,Simulations!$G42)*IF(Simulations!$H42="",5000,Simulations!$H42)*IF(IF(Simulations!$I42="",5000,Simulations!$I42)&gt;0,IF(Simulations!$I42="",5000,Simulations!$I42),1))*Simulations!$AP42*(PI()/2*IF(Simulations!$U42="",200,Simulations!$U42)^2*IF(IF(Simulations!$I42="",5000,Simulations!$I42)&gt;0,SQRT(PI()/2)*IF(Simulations!$X42="",1000,Simulations!$X42),1)),Simulations!$AN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U42="",200,Simulations!$U42)^2*IF(Simulations!$X42="",1000,Simulations!$X42)/2^1.5*(2/3*LN(Simulations!$AP42/IF(Simulations!$J42="",1000,Simulations!$J42))^1.5+SQRT(LN(Simulations!$AP42/IF(Simulations!$J42="",1000,Simulations!$J42)))+Simulations!$AP42/IF(Simulations!$J42="",1000,Simulations!$J42)*SQRT(PI())/2*ERFC(SQRT(LN(Simulations!$AP42/IF(Simulations!$J42="",1000,Simulations!$J42))))),PI()*IF(Simulations!$U42="",200,Simulations!$U42)^2/2*(LN(Simulations!$AP42/IF(Simulations!$J42="",1000,Simulations!$J42))+1))))</f>
        <v>0</v>
      </c>
      <c r="D42" s="0" t="n">
        <f aca="false">IF(OR(NOT(AND(Simulations!$A42&lt;&gt;"",OR(Simulations!$AL42&lt;&gt;"",N(Simulations!$AN42)&gt;0))),N(Simulations!$AQ42)&lt;=0,N(Simulations!$AN42)&lt;=0,3&gt;N(IF(Simulations!$O42="",1,Simulations!$O42))),0,IF(Simulations!$AQ42&lt;IF(Simulations!$J42="",1000,Simulations!$J42),Simulations!$AN42/(IF(Simulations!$G42="",5000,Simulations!$G42)*IF(Simulations!$H42="",5000,Simulations!$H42)*IF(IF(Simulations!$I42="",5000,Simulations!$I42)&gt;0,IF(Simulations!$I42="",5000,Simulations!$I42),1))*Simulations!$AQ42*(PI()/2*IF(Simulations!$V42="",200,Simulations!$V42)^2*IF(IF(Simulations!$I42="",5000,Simulations!$I42)&gt;0,SQRT(PI()/2)*IF(Simulations!$Y42="",1000,Simulations!$Y42),1)),Simulations!$AN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V42="",200,Simulations!$V42)^2*IF(Simulations!$Y42="",1000,Simulations!$Y42)/2^1.5*(2/3*LN(Simulations!$AQ42/IF(Simulations!$J42="",1000,Simulations!$J42))^1.5+SQRT(LN(Simulations!$AQ42/IF(Simulations!$J42="",1000,Simulations!$J42)))+Simulations!$AQ42/IF(Simulations!$J42="",1000,Simulations!$J42)*SQRT(PI())/2*ERFC(SQRT(LN(Simulations!$AQ42/IF(Simulations!$J42="",1000,Simulations!$J42))))),PI()*IF(Simulations!$V42="",200,Simulations!$V42)^2/2*(LN(Simulations!$AQ42/IF(Simulations!$J42="",1000,Simulations!$J42))+1))))</f>
        <v>0</v>
      </c>
      <c r="E42" s="0" t="n">
        <f aca="false">IF(NOT(AND(Simulations!$A42&lt;&gt;"",OR(Simulations!$AL42&lt;&gt;"",N(Simulations!$AN42)&gt;0))),0,MAX(N(Simulations!$AO42),N(Simulations!$AP42),N(Simulations!$AQ42))/IF(Simulations!$J42="",1000,Simulations!$J42))</f>
        <v>0</v>
      </c>
      <c r="F42" s="0" t="n">
        <f aca="false">IF(OR(NOT(AND(Simulations!$A42&lt;&gt;"",OR(Simulations!$AL42&lt;&gt;"",N(Simulations!$AN42)&gt;0))),N(Simulations!$AM42)&lt;=0),0,SQRT(2*Simulations!$AM42*1000000/(IF(Simulations!$J42="",1000,Simulations!$J42)*1000))/MIN(IF(Simulations!$T42="",200,Simulations!$T42),IF(Simulations!$U42="",200,Simulations!$U42),IF(Simulations!$V42="",200,Simulations!$V42)))</f>
        <v>0</v>
      </c>
      <c r="G42" s="0" t="n">
        <f aca="false">IF(AND(Simulations!$A42&lt;&gt;"",OR(Simulations!$AL42&lt;&gt;"",N(Simulations!$AN42)&gt;0)),1,0)</f>
        <v>0</v>
      </c>
      <c r="H42" s="0" t="n">
        <f aca="false">IF(OR(NOT(AND(Simulations!$A42&lt;&gt;"",OR(Simulations!$BD42&lt;&gt;"",N(Simulations!$BF42)&gt;0))),N(Simulations!$BG42)&lt;=0,N(Simulations!$BF42)&lt;=0,1&gt;N(IF(Simulations!$O42="",1,Simulations!$O42))),0,IF(Simulations!$BG42&lt;IF(Simulations!$J42="",1000,Simulations!$J42),Simulations!$BF42/(IF(Simulations!$G42="",5000,Simulations!$G42)*IF(Simulations!$H42="",5000,Simulations!$H42)*IF(IF(Simulations!$I42="",5000,Simulations!$I42)&gt;0,IF(Simulations!$I42="",5000,Simulations!$I42),1))*Simulations!$BG42*(PI()/2*IF(Simulations!$T42="",200,Simulations!$T42)^2*IF(IF(Simulations!$I42="",5000,Simulations!$I42)&gt;0,SQRT(PI()/2)*IF(Simulations!$W42="",1000,Simulations!$W42),1)),Simulations!$BF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T42="",200,Simulations!$T42)^2*IF(Simulations!$W42="",1000,Simulations!$W42)/2^1.5*(2/3*LN(Simulations!$BG42/IF(Simulations!$J42="",1000,Simulations!$J42))^1.5+SQRT(LN(Simulations!$BG42/IF(Simulations!$J42="",1000,Simulations!$J42)))+Simulations!$BG42/IF(Simulations!$J42="",1000,Simulations!$J42)*SQRT(PI())/2*ERFC(SQRT(LN(Simulations!$BG42/IF(Simulations!$J42="",1000,Simulations!$J42))))),PI()*IF(Simulations!$T42="",200,Simulations!$T42)^2/2*(LN(Simulations!$BG42/IF(Simulations!$J42="",1000,Simulations!$J42))+1))))</f>
        <v>0</v>
      </c>
      <c r="I42" s="0" t="n">
        <f aca="false">IF(OR(NOT(AND(Simulations!$A42&lt;&gt;"",OR(Simulations!$BD42&lt;&gt;"",N(Simulations!$BF42)&gt;0))),N(Simulations!$BH42)&lt;=0,N(Simulations!$BF42)&lt;=0,2&gt;N(IF(Simulations!$O42="",1,Simulations!$O42))),0,IF(Simulations!$BH42&lt;IF(Simulations!$J42="",1000,Simulations!$J42),Simulations!$BF42/(IF(Simulations!$G42="",5000,Simulations!$G42)*IF(Simulations!$H42="",5000,Simulations!$H42)*IF(IF(Simulations!$I42="",5000,Simulations!$I42)&gt;0,IF(Simulations!$I42="",5000,Simulations!$I42),1))*Simulations!$BH42*(PI()/2*IF(Simulations!$U42="",200,Simulations!$U42)^2*IF(IF(Simulations!$I42="",5000,Simulations!$I42)&gt;0,SQRT(PI()/2)*IF(Simulations!$X42="",1000,Simulations!$X42),1)),Simulations!$BF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U42="",200,Simulations!$U42)^2*IF(Simulations!$X42="",1000,Simulations!$X42)/2^1.5*(2/3*LN(Simulations!$BH42/IF(Simulations!$J42="",1000,Simulations!$J42))^1.5+SQRT(LN(Simulations!$BH42/IF(Simulations!$J42="",1000,Simulations!$J42)))+Simulations!$BH42/IF(Simulations!$J42="",1000,Simulations!$J42)*SQRT(PI())/2*ERFC(SQRT(LN(Simulations!$BH42/IF(Simulations!$J42="",1000,Simulations!$J42))))),PI()*IF(Simulations!$U42="",200,Simulations!$U42)^2/2*(LN(Simulations!$BH42/IF(Simulations!$J42="",1000,Simulations!$J42))+1))))</f>
        <v>0</v>
      </c>
      <c r="J42" s="0" t="n">
        <f aca="false">IF(OR(NOT(AND(Simulations!$A42&lt;&gt;"",OR(Simulations!$BD42&lt;&gt;"",N(Simulations!$BF42)&gt;0))),N(Simulations!$BI42)&lt;=0,N(Simulations!$BF42)&lt;=0,3&gt;N(IF(Simulations!$O42="",1,Simulations!$O42))),0,IF(Simulations!$BI42&lt;IF(Simulations!$J42="",1000,Simulations!$J42),Simulations!$BF42/(IF(Simulations!$G42="",5000,Simulations!$G42)*IF(Simulations!$H42="",5000,Simulations!$H42)*IF(IF(Simulations!$I42="",5000,Simulations!$I42)&gt;0,IF(Simulations!$I42="",5000,Simulations!$I42),1))*Simulations!$BI42*(PI()/2*IF(Simulations!$V42="",200,Simulations!$V42)^2*IF(IF(Simulations!$I42="",5000,Simulations!$I42)&gt;0,SQRT(PI()/2)*IF(Simulations!$Y42="",1000,Simulations!$Y42),1)),Simulations!$BF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V42="",200,Simulations!$V42)^2*IF(Simulations!$Y42="",1000,Simulations!$Y42)/2^1.5*(2/3*LN(Simulations!$BI42/IF(Simulations!$J42="",1000,Simulations!$J42))^1.5+SQRT(LN(Simulations!$BI42/IF(Simulations!$J42="",1000,Simulations!$J42)))+Simulations!$BI42/IF(Simulations!$J42="",1000,Simulations!$J42)*SQRT(PI())/2*ERFC(SQRT(LN(Simulations!$BI42/IF(Simulations!$J42="",1000,Simulations!$J42))))),PI()*IF(Simulations!$V42="",200,Simulations!$V42)^2/2*(LN(Simulations!$BI42/IF(Simulations!$J42="",1000,Simulations!$J42))+1))))</f>
        <v>0</v>
      </c>
      <c r="K42" s="0" t="n">
        <f aca="false">IF(NOT(AND(Simulations!$A42&lt;&gt;"",OR(Simulations!$BD42&lt;&gt;"",N(Simulations!$BF42)&gt;0))),0,MAX(N(Simulations!$BG42),N(Simulations!$BH42),N(Simulations!$BI42))/IF(Simulations!$J42="",1000,Simulations!$J42))</f>
        <v>0</v>
      </c>
      <c r="L42" s="0" t="n">
        <f aca="false">IF(OR(NOT(AND(Simulations!$A42&lt;&gt;"",OR(Simulations!$BD42&lt;&gt;"",N(Simulations!$BF42)&gt;0))),N(Simulations!$BE42)&lt;=0),0,SQRT(2*Simulations!$BE42*1000000/(IF(Simulations!$J42="",1000,Simulations!$J42)*1000))/MIN(IF(Simulations!$T42="",200,Simulations!$T42),IF(Simulations!$U42="",200,Simulations!$U42),IF(Simulations!$V42="",200,Simulations!$V42)))</f>
        <v>0</v>
      </c>
      <c r="M42" s="0" t="n">
        <f aca="false">IF(AND(Simulations!$A42&lt;&gt;"",OR(Simulations!$BD42&lt;&gt;"",N(Simulations!$BF42)&gt;0)),1,0)</f>
        <v>0</v>
      </c>
      <c r="N42" s="0" t="n">
        <f aca="false">IF(OR(NOT(AND(Simulations!$A42&lt;&gt;"",OR(Simulations!$BV42&lt;&gt;"",N(Simulations!$BX42)&gt;0))),N(Simulations!$BY42)&lt;=0,N(Simulations!$BX42)&lt;=0,1&gt;N(IF(Simulations!$O42="",1,Simulations!$O42))),0,IF(Simulations!$BY42&lt;IF(Simulations!$J42="",1000,Simulations!$J42),Simulations!$BX42/(IF(Simulations!$G42="",5000,Simulations!$G42)*IF(Simulations!$H42="",5000,Simulations!$H42)*IF(IF(Simulations!$I42="",5000,Simulations!$I42)&gt;0,IF(Simulations!$I42="",5000,Simulations!$I42),1))*Simulations!$BY42*(PI()/2*IF(Simulations!$T42="",200,Simulations!$T42)^2*IF(IF(Simulations!$I42="",5000,Simulations!$I42)&gt;0,SQRT(PI()/2)*IF(Simulations!$W42="",1000,Simulations!$W42),1)),Simulations!$BX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T42="",200,Simulations!$T42)^2*IF(Simulations!$W42="",1000,Simulations!$W42)/2^1.5*(2/3*LN(Simulations!$BY42/IF(Simulations!$J42="",1000,Simulations!$J42))^1.5+SQRT(LN(Simulations!$BY42/IF(Simulations!$J42="",1000,Simulations!$J42)))+Simulations!$BY42/IF(Simulations!$J42="",1000,Simulations!$J42)*SQRT(PI())/2*ERFC(SQRT(LN(Simulations!$BY42/IF(Simulations!$J42="",1000,Simulations!$J42))))),PI()*IF(Simulations!$T42="",200,Simulations!$T42)^2/2*(LN(Simulations!$BY42/IF(Simulations!$J42="",1000,Simulations!$J42))+1))))</f>
        <v>0</v>
      </c>
      <c r="O42" s="0" t="n">
        <f aca="false">IF(OR(NOT(AND(Simulations!$A42&lt;&gt;"",OR(Simulations!$BV42&lt;&gt;"",N(Simulations!$BX42)&gt;0))),N(Simulations!$BZ42)&lt;=0,N(Simulations!$BX42)&lt;=0,2&gt;N(IF(Simulations!$O42="",1,Simulations!$O42))),0,IF(Simulations!$BZ42&lt;IF(Simulations!$J42="",1000,Simulations!$J42),Simulations!$BX42/(IF(Simulations!$G42="",5000,Simulations!$G42)*IF(Simulations!$H42="",5000,Simulations!$H42)*IF(IF(Simulations!$I42="",5000,Simulations!$I42)&gt;0,IF(Simulations!$I42="",5000,Simulations!$I42),1))*Simulations!$BZ42*(PI()/2*IF(Simulations!$U42="",200,Simulations!$U42)^2*IF(IF(Simulations!$I42="",5000,Simulations!$I42)&gt;0,SQRT(PI()/2)*IF(Simulations!$X42="",1000,Simulations!$X42),1)),Simulations!$BX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U42="",200,Simulations!$U42)^2*IF(Simulations!$X42="",1000,Simulations!$X42)/2^1.5*(2/3*LN(Simulations!$BZ42/IF(Simulations!$J42="",1000,Simulations!$J42))^1.5+SQRT(LN(Simulations!$BZ42/IF(Simulations!$J42="",1000,Simulations!$J42)))+Simulations!$BZ42/IF(Simulations!$J42="",1000,Simulations!$J42)*SQRT(PI())/2*ERFC(SQRT(LN(Simulations!$BZ42/IF(Simulations!$J42="",1000,Simulations!$J42))))),PI()*IF(Simulations!$U42="",200,Simulations!$U42)^2/2*(LN(Simulations!$BZ42/IF(Simulations!$J42="",1000,Simulations!$J42))+1))))</f>
        <v>0</v>
      </c>
      <c r="P42" s="0" t="n">
        <f aca="false">IF(OR(NOT(AND(Simulations!$A42&lt;&gt;"",OR(Simulations!$BV42&lt;&gt;"",N(Simulations!$BX42)&gt;0))),N(Simulations!$CA42)&lt;=0,N(Simulations!$BX42)&lt;=0,3&gt;N(IF(Simulations!$O42="",1,Simulations!$O42))),0,IF(Simulations!$CA42&lt;IF(Simulations!$J42="",1000,Simulations!$J42),Simulations!$BX42/(IF(Simulations!$G42="",5000,Simulations!$G42)*IF(Simulations!$H42="",5000,Simulations!$H42)*IF(IF(Simulations!$I42="",5000,Simulations!$I42)&gt;0,IF(Simulations!$I42="",5000,Simulations!$I42),1))*Simulations!$CA42*(PI()/2*IF(Simulations!$V42="",200,Simulations!$V42)^2*IF(IF(Simulations!$I42="",5000,Simulations!$I42)&gt;0,SQRT(PI()/2)*IF(Simulations!$Y42="",1000,Simulations!$Y42),1)),Simulations!$BX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V42="",200,Simulations!$V42)^2*IF(Simulations!$Y42="",1000,Simulations!$Y42)/2^1.5*(2/3*LN(Simulations!$CA42/IF(Simulations!$J42="",1000,Simulations!$J42))^1.5+SQRT(LN(Simulations!$CA42/IF(Simulations!$J42="",1000,Simulations!$J42)))+Simulations!$CA42/IF(Simulations!$J42="",1000,Simulations!$J42)*SQRT(PI())/2*ERFC(SQRT(LN(Simulations!$CA42/IF(Simulations!$J42="",1000,Simulations!$J42))))),PI()*IF(Simulations!$V42="",200,Simulations!$V42)^2/2*(LN(Simulations!$CA42/IF(Simulations!$J42="",1000,Simulations!$J42))+1))))</f>
        <v>0</v>
      </c>
      <c r="Q42" s="0" t="n">
        <f aca="false">IF(NOT(AND(Simulations!$A42&lt;&gt;"",OR(Simulations!$BV42&lt;&gt;"",N(Simulations!$BX42)&gt;0))),0,MAX(N(Simulations!$BY42),N(Simulations!$BZ42),N(Simulations!$CA42))/IF(Simulations!$J42="",1000,Simulations!$J42))</f>
        <v>0</v>
      </c>
      <c r="R42" s="0" t="n">
        <f aca="false">IF(OR(NOT(AND(Simulations!$A42&lt;&gt;"",OR(Simulations!$BV42&lt;&gt;"",N(Simulations!$BX42)&gt;0))),N(Simulations!$BW42)&lt;=0),0,SQRT(2*Simulations!$BW42*1000000/(IF(Simulations!$J42="",1000,Simulations!$J42)*1000))/MIN(IF(Simulations!$T42="",200,Simulations!$T42),IF(Simulations!$U42="",200,Simulations!$U42),IF(Simulations!$V42="",200,Simulations!$V42)))</f>
        <v>0</v>
      </c>
      <c r="S42" s="0" t="n">
        <f aca="false">IF(AND(Simulations!$A42&lt;&gt;"",OR(Simulations!$BV42&lt;&gt;"",N(Simulations!$BX42)&gt;0)),1,0)</f>
        <v>0</v>
      </c>
      <c r="T42" s="0" t="n">
        <f aca="false">IF(OR(NOT(AND(Simulations!$A42&lt;&gt;"",OR(Simulations!$CN42&lt;&gt;"",N(Simulations!$CP42)&gt;0))),N(Simulations!$CQ42)&lt;=0,N(Simulations!$CP42)&lt;=0,1&gt;N(IF(Simulations!$O42="",1,Simulations!$O42))),0,IF(Simulations!$CQ42&lt;IF(Simulations!$J42="",1000,Simulations!$J42),Simulations!$CP42/(IF(Simulations!$G42="",5000,Simulations!$G42)*IF(Simulations!$H42="",5000,Simulations!$H42)*IF(IF(Simulations!$I42="",5000,Simulations!$I42)&gt;0,IF(Simulations!$I42="",5000,Simulations!$I42),1))*Simulations!$CQ42*(PI()/2*IF(Simulations!$T42="",200,Simulations!$T42)^2*IF(IF(Simulations!$I42="",5000,Simulations!$I42)&gt;0,SQRT(PI()/2)*IF(Simulations!$W42="",1000,Simulations!$W42),1)),Simulations!$CP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T42="",200,Simulations!$T42)^2*IF(Simulations!$W42="",1000,Simulations!$W42)/2^1.5*(2/3*LN(Simulations!$CQ42/IF(Simulations!$J42="",1000,Simulations!$J42))^1.5+SQRT(LN(Simulations!$CQ42/IF(Simulations!$J42="",1000,Simulations!$J42)))+Simulations!$CQ42/IF(Simulations!$J42="",1000,Simulations!$J42)*SQRT(PI())/2*ERFC(SQRT(LN(Simulations!$CQ42/IF(Simulations!$J42="",1000,Simulations!$J42))))),PI()*IF(Simulations!$T42="",200,Simulations!$T42)^2/2*(LN(Simulations!$CQ42/IF(Simulations!$J42="",1000,Simulations!$J42))+1))))</f>
        <v>0</v>
      </c>
      <c r="U42" s="0" t="n">
        <f aca="false">IF(OR(NOT(AND(Simulations!$A42&lt;&gt;"",OR(Simulations!$CN42&lt;&gt;"",N(Simulations!$CP42)&gt;0))),N(Simulations!$CR42)&lt;=0,N(Simulations!$CP42)&lt;=0,2&gt;N(IF(Simulations!$O42="",1,Simulations!$O42))),0,IF(Simulations!$CR42&lt;IF(Simulations!$J42="",1000,Simulations!$J42),Simulations!$CP42/(IF(Simulations!$G42="",5000,Simulations!$G42)*IF(Simulations!$H42="",5000,Simulations!$H42)*IF(IF(Simulations!$I42="",5000,Simulations!$I42)&gt;0,IF(Simulations!$I42="",5000,Simulations!$I42),1))*Simulations!$CR42*(PI()/2*IF(Simulations!$U42="",200,Simulations!$U42)^2*IF(IF(Simulations!$I42="",5000,Simulations!$I42)&gt;0,SQRT(PI()/2)*IF(Simulations!$X42="",1000,Simulations!$X42),1)),Simulations!$CP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U42="",200,Simulations!$U42)^2*IF(Simulations!$X42="",1000,Simulations!$X42)/2^1.5*(2/3*LN(Simulations!$CR42/IF(Simulations!$J42="",1000,Simulations!$J42))^1.5+SQRT(LN(Simulations!$CR42/IF(Simulations!$J42="",1000,Simulations!$J42)))+Simulations!$CR42/IF(Simulations!$J42="",1000,Simulations!$J42)*SQRT(PI())/2*ERFC(SQRT(LN(Simulations!$CR42/IF(Simulations!$J42="",1000,Simulations!$J42))))),PI()*IF(Simulations!$U42="",200,Simulations!$U42)^2/2*(LN(Simulations!$CR42/IF(Simulations!$J42="",1000,Simulations!$J42))+1))))</f>
        <v>0</v>
      </c>
      <c r="V42" s="0" t="n">
        <f aca="false">IF(OR(NOT(AND(Simulations!$A42&lt;&gt;"",OR(Simulations!$CN42&lt;&gt;"",N(Simulations!$CP42)&gt;0))),N(Simulations!$CS42)&lt;=0,N(Simulations!$CP42)&lt;=0,3&gt;N(IF(Simulations!$O42="",1,Simulations!$O42))),0,IF(Simulations!$CS42&lt;IF(Simulations!$J42="",1000,Simulations!$J42),Simulations!$CP42/(IF(Simulations!$G42="",5000,Simulations!$G42)*IF(Simulations!$H42="",5000,Simulations!$H42)*IF(IF(Simulations!$I42="",5000,Simulations!$I42)&gt;0,IF(Simulations!$I42="",5000,Simulations!$I42),1))*Simulations!$CS42*(PI()/2*IF(Simulations!$V42="",200,Simulations!$V42)^2*IF(IF(Simulations!$I42="",5000,Simulations!$I42)&gt;0,SQRT(PI()/2)*IF(Simulations!$Y42="",1000,Simulations!$Y42),1)),Simulations!$CP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V42="",200,Simulations!$V42)^2*IF(Simulations!$Y42="",1000,Simulations!$Y42)/2^1.5*(2/3*LN(Simulations!$CS42/IF(Simulations!$J42="",1000,Simulations!$J42))^1.5+SQRT(LN(Simulations!$CS42/IF(Simulations!$J42="",1000,Simulations!$J42)))+Simulations!$CS42/IF(Simulations!$J42="",1000,Simulations!$J42)*SQRT(PI())/2*ERFC(SQRT(LN(Simulations!$CS42/IF(Simulations!$J42="",1000,Simulations!$J42))))),PI()*IF(Simulations!$V42="",200,Simulations!$V42)^2/2*(LN(Simulations!$CS42/IF(Simulations!$J42="",1000,Simulations!$J42))+1))))</f>
        <v>0</v>
      </c>
      <c r="W42" s="0" t="n">
        <f aca="false">IF(NOT(AND(Simulations!$A42&lt;&gt;"",OR(Simulations!$CN42&lt;&gt;"",N(Simulations!$CP42)&gt;0))),0,MAX(N(Simulations!$CQ42),N(Simulations!$CR42),N(Simulations!$CS42))/IF(Simulations!$J42="",1000,Simulations!$J42))</f>
        <v>0</v>
      </c>
      <c r="X42" s="0" t="n">
        <f aca="false">IF(OR(NOT(AND(Simulations!$A42&lt;&gt;"",OR(Simulations!$CN42&lt;&gt;"",N(Simulations!$CP42)&gt;0))),N(Simulations!$CO42)&lt;=0),0,SQRT(2*Simulations!$CO42*1000000/(IF(Simulations!$J42="",1000,Simulations!$J42)*1000))/MIN(IF(Simulations!$T42="",200,Simulations!$T42),IF(Simulations!$U42="",200,Simulations!$U42),IF(Simulations!$V42="",200,Simulations!$V42)))</f>
        <v>0</v>
      </c>
      <c r="Y42" s="0" t="n">
        <f aca="false">IF(AND(Simulations!$A42&lt;&gt;"",OR(Simulations!$CN42&lt;&gt;"",N(Simulations!$CP42)&gt;0)),1,0)</f>
        <v>0</v>
      </c>
      <c r="Z42" s="0" t="n">
        <f aca="false">IF(OR(NOT(AND(Simulations!$A42&lt;&gt;"",OR(Simulations!$DF42&lt;&gt;"",N(Simulations!$DH42)&gt;0))),N(Simulations!$DI42)&lt;=0,N(Simulations!$DH42)&lt;=0,1&gt;N(IF(Simulations!$O42="",1,Simulations!$O42))),0,IF(Simulations!$DI42&lt;IF(Simulations!$J42="",1000,Simulations!$J42),Simulations!$DH42/(IF(Simulations!$G42="",5000,Simulations!$G42)*IF(Simulations!$H42="",5000,Simulations!$H42)*IF(IF(Simulations!$I42="",5000,Simulations!$I42)&gt;0,IF(Simulations!$I42="",5000,Simulations!$I42),1))*Simulations!$DI42*(PI()/2*IF(Simulations!$T42="",200,Simulations!$T42)^2*IF(IF(Simulations!$I42="",5000,Simulations!$I42)&gt;0,SQRT(PI()/2)*IF(Simulations!$W42="",1000,Simulations!$W42),1)),Simulations!$DH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T42="",200,Simulations!$T42)^2*IF(Simulations!$W42="",1000,Simulations!$W42)/2^1.5*(2/3*LN(Simulations!$DI42/IF(Simulations!$J42="",1000,Simulations!$J42))^1.5+SQRT(LN(Simulations!$DI42/IF(Simulations!$J42="",1000,Simulations!$J42)))+Simulations!$DI42/IF(Simulations!$J42="",1000,Simulations!$J42)*SQRT(PI())/2*ERFC(SQRT(LN(Simulations!$DI42/IF(Simulations!$J42="",1000,Simulations!$J42))))),PI()*IF(Simulations!$T42="",200,Simulations!$T42)^2/2*(LN(Simulations!$DI42/IF(Simulations!$J42="",1000,Simulations!$J42))+1))))</f>
        <v>0</v>
      </c>
      <c r="AA42" s="0" t="n">
        <f aca="false">IF(OR(NOT(AND(Simulations!$A42&lt;&gt;"",OR(Simulations!$DF42&lt;&gt;"",N(Simulations!$DH42)&gt;0))),N(Simulations!$DJ42)&lt;=0,N(Simulations!$DH42)&lt;=0,2&gt;N(IF(Simulations!$O42="",1,Simulations!$O42))),0,IF(Simulations!$DJ42&lt;IF(Simulations!$J42="",1000,Simulations!$J42),Simulations!$DH42/(IF(Simulations!$G42="",5000,Simulations!$G42)*IF(Simulations!$H42="",5000,Simulations!$H42)*IF(IF(Simulations!$I42="",5000,Simulations!$I42)&gt;0,IF(Simulations!$I42="",5000,Simulations!$I42),1))*Simulations!$DJ42*(PI()/2*IF(Simulations!$U42="",200,Simulations!$U42)^2*IF(IF(Simulations!$I42="",5000,Simulations!$I42)&gt;0,SQRT(PI()/2)*IF(Simulations!$X42="",1000,Simulations!$X42),1)),Simulations!$DH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U42="",200,Simulations!$U42)^2*IF(Simulations!$X42="",1000,Simulations!$X42)/2^1.5*(2/3*LN(Simulations!$DJ42/IF(Simulations!$J42="",1000,Simulations!$J42))^1.5+SQRT(LN(Simulations!$DJ42/IF(Simulations!$J42="",1000,Simulations!$J42)))+Simulations!$DJ42/IF(Simulations!$J42="",1000,Simulations!$J42)*SQRT(PI())/2*ERFC(SQRT(LN(Simulations!$DJ42/IF(Simulations!$J42="",1000,Simulations!$J42))))),PI()*IF(Simulations!$U42="",200,Simulations!$U42)^2/2*(LN(Simulations!$DJ42/IF(Simulations!$J42="",1000,Simulations!$J42))+1))))</f>
        <v>0</v>
      </c>
      <c r="AB42" s="0" t="n">
        <f aca="false">IF(OR(NOT(AND(Simulations!$A42&lt;&gt;"",OR(Simulations!$DF42&lt;&gt;"",N(Simulations!$DH42)&gt;0))),N(Simulations!$DK42)&lt;=0,N(Simulations!$DH42)&lt;=0,3&gt;N(IF(Simulations!$O42="",1,Simulations!$O42))),0,IF(Simulations!$DK42&lt;IF(Simulations!$J42="",1000,Simulations!$J42),Simulations!$DH42/(IF(Simulations!$G42="",5000,Simulations!$G42)*IF(Simulations!$H42="",5000,Simulations!$H42)*IF(IF(Simulations!$I42="",5000,Simulations!$I42)&gt;0,IF(Simulations!$I42="",5000,Simulations!$I42),1))*Simulations!$DK42*(PI()/2*IF(Simulations!$V42="",200,Simulations!$V42)^2*IF(IF(Simulations!$I42="",5000,Simulations!$I42)&gt;0,SQRT(PI()/2)*IF(Simulations!$Y42="",1000,Simulations!$Y42),1)),Simulations!$DH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V42="",200,Simulations!$V42)^2*IF(Simulations!$Y42="",1000,Simulations!$Y42)/2^1.5*(2/3*LN(Simulations!$DK42/IF(Simulations!$J42="",1000,Simulations!$J42))^1.5+SQRT(LN(Simulations!$DK42/IF(Simulations!$J42="",1000,Simulations!$J42)))+Simulations!$DK42/IF(Simulations!$J42="",1000,Simulations!$J42)*SQRT(PI())/2*ERFC(SQRT(LN(Simulations!$DK42/IF(Simulations!$J42="",1000,Simulations!$J42))))),PI()*IF(Simulations!$V42="",200,Simulations!$V42)^2/2*(LN(Simulations!$DK42/IF(Simulations!$J42="",1000,Simulations!$J42))+1))))</f>
        <v>0</v>
      </c>
      <c r="AC42" s="0" t="n">
        <f aca="false">IF(NOT(AND(Simulations!$A42&lt;&gt;"",OR(Simulations!$DF42&lt;&gt;"",N(Simulations!$DH42)&gt;0))),0,MAX(N(Simulations!$DI42),N(Simulations!$DJ42),N(Simulations!$DK42))/IF(Simulations!$J42="",1000,Simulations!$J42))</f>
        <v>0</v>
      </c>
      <c r="AD42" s="0" t="n">
        <f aca="false">IF(OR(NOT(AND(Simulations!$A42&lt;&gt;"",OR(Simulations!$DF42&lt;&gt;"",N(Simulations!$DH42)&gt;0))),N(Simulations!$DG42)&lt;=0),0,SQRT(2*Simulations!$DG42*1000000/(IF(Simulations!$J42="",1000,Simulations!$J42)*1000))/MIN(IF(Simulations!$T42="",200,Simulations!$T42),IF(Simulations!$U42="",200,Simulations!$U42),IF(Simulations!$V42="",200,Simulations!$V42)))</f>
        <v>0</v>
      </c>
      <c r="AE42" s="0" t="n">
        <f aca="false">IF(AND(Simulations!$A42&lt;&gt;"",OR(Simulations!$DF42&lt;&gt;"",N(Simulations!$DH42)&gt;0)),1,0)</f>
        <v>0</v>
      </c>
      <c r="AF42" s="0" t="n">
        <f aca="false">IF(OR(NOT(AND(Simulations!$A42&lt;&gt;"",OR(Simulations!$DX42&lt;&gt;"",N(Simulations!$DZ42)&gt;0))),N(Simulations!$EA42)&lt;=0,N(Simulations!$DZ42)&lt;=0,1&gt;N(IF(Simulations!$O42="",1,Simulations!$O42))),0,IF(Simulations!$EA42&lt;IF(Simulations!$J42="",1000,Simulations!$J42),Simulations!$DZ42/(IF(Simulations!$G42="",5000,Simulations!$G42)*IF(Simulations!$H42="",5000,Simulations!$H42)*IF(IF(Simulations!$I42="",5000,Simulations!$I42)&gt;0,IF(Simulations!$I42="",5000,Simulations!$I42),1))*Simulations!$EA42*(PI()/2*IF(Simulations!$T42="",200,Simulations!$T42)^2*IF(IF(Simulations!$I42="",5000,Simulations!$I42)&gt;0,SQRT(PI()/2)*IF(Simulations!$W42="",1000,Simulations!$W42),1)),Simulations!$DZ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T42="",200,Simulations!$T42)^2*IF(Simulations!$W42="",1000,Simulations!$W42)/2^1.5*(2/3*LN(Simulations!$EA42/IF(Simulations!$J42="",1000,Simulations!$J42))^1.5+SQRT(LN(Simulations!$EA42/IF(Simulations!$J42="",1000,Simulations!$J42)))+Simulations!$EA42/IF(Simulations!$J42="",1000,Simulations!$J42)*SQRT(PI())/2*ERFC(SQRT(LN(Simulations!$EA42/IF(Simulations!$J42="",1000,Simulations!$J42))))),PI()*IF(Simulations!$T42="",200,Simulations!$T42)^2/2*(LN(Simulations!$EA42/IF(Simulations!$J42="",1000,Simulations!$J42))+1))))</f>
        <v>0</v>
      </c>
      <c r="AG42" s="0" t="n">
        <f aca="false">IF(OR(NOT(AND(Simulations!$A42&lt;&gt;"",OR(Simulations!$DX42&lt;&gt;"",N(Simulations!$DZ42)&gt;0))),N(Simulations!$EB42)&lt;=0,N(Simulations!$DZ42)&lt;=0,2&gt;N(IF(Simulations!$O42="",1,Simulations!$O42))),0,IF(Simulations!$EB42&lt;IF(Simulations!$J42="",1000,Simulations!$J42),Simulations!$DZ42/(IF(Simulations!$G42="",5000,Simulations!$G42)*IF(Simulations!$H42="",5000,Simulations!$H42)*IF(IF(Simulations!$I42="",5000,Simulations!$I42)&gt;0,IF(Simulations!$I42="",5000,Simulations!$I42),1))*Simulations!$EB42*(PI()/2*IF(Simulations!$U42="",200,Simulations!$U42)^2*IF(IF(Simulations!$I42="",5000,Simulations!$I42)&gt;0,SQRT(PI()/2)*IF(Simulations!$X42="",1000,Simulations!$X42),1)),Simulations!$DZ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U42="",200,Simulations!$U42)^2*IF(Simulations!$X42="",1000,Simulations!$X42)/2^1.5*(2/3*LN(Simulations!$EB42/IF(Simulations!$J42="",1000,Simulations!$J42))^1.5+SQRT(LN(Simulations!$EB42/IF(Simulations!$J42="",1000,Simulations!$J42)))+Simulations!$EB42/IF(Simulations!$J42="",1000,Simulations!$J42)*SQRT(PI())/2*ERFC(SQRT(LN(Simulations!$EB42/IF(Simulations!$J42="",1000,Simulations!$J42))))),PI()*IF(Simulations!$U42="",200,Simulations!$U42)^2/2*(LN(Simulations!$EB42/IF(Simulations!$J42="",1000,Simulations!$J42))+1))))</f>
        <v>0</v>
      </c>
      <c r="AH42" s="0" t="n">
        <f aca="false">IF(OR(NOT(AND(Simulations!$A42&lt;&gt;"",OR(Simulations!$DX42&lt;&gt;"",N(Simulations!$DZ42)&gt;0))),N(Simulations!$EC42)&lt;=0,N(Simulations!$DZ42)&lt;=0,3&gt;N(IF(Simulations!$O42="",1,Simulations!$O42))),0,IF(Simulations!$EC42&lt;IF(Simulations!$J42="",1000,Simulations!$J42),Simulations!$DZ42/(IF(Simulations!$G42="",5000,Simulations!$G42)*IF(Simulations!$H42="",5000,Simulations!$H42)*IF(IF(Simulations!$I42="",5000,Simulations!$I42)&gt;0,IF(Simulations!$I42="",5000,Simulations!$I42),1))*Simulations!$EC42*(PI()/2*IF(Simulations!$V42="",200,Simulations!$V42)^2*IF(IF(Simulations!$I42="",5000,Simulations!$I42)&gt;0,SQRT(PI()/2)*IF(Simulations!$Y42="",1000,Simulations!$Y42),1)),Simulations!$DZ42/(IF(Simulations!$G42="",5000,Simulations!$G42)*IF(Simulations!$H42="",5000,Simulations!$H42)*IF(IF(Simulations!$I42="",5000,Simulations!$I42)&gt;0,IF(Simulations!$I42="",5000,Simulations!$I42),1))*IF(Simulations!$J42="",1000,Simulations!$J42)*IF(IF(Simulations!$I42="",5000,Simulations!$I42)&gt;0,2*PI()*IF(Simulations!$V42="",200,Simulations!$V42)^2*IF(Simulations!$Y42="",1000,Simulations!$Y42)/2^1.5*(2/3*LN(Simulations!$EC42/IF(Simulations!$J42="",1000,Simulations!$J42))^1.5+SQRT(LN(Simulations!$EC42/IF(Simulations!$J42="",1000,Simulations!$J42)))+Simulations!$EC42/IF(Simulations!$J42="",1000,Simulations!$J42)*SQRT(PI())/2*ERFC(SQRT(LN(Simulations!$EC42/IF(Simulations!$J42="",1000,Simulations!$J42))))),PI()*IF(Simulations!$V42="",200,Simulations!$V42)^2/2*(LN(Simulations!$EC42/IF(Simulations!$J42="",1000,Simulations!$J42))+1))))</f>
        <v>0</v>
      </c>
      <c r="AI42" s="0" t="n">
        <f aca="false">IF(NOT(AND(Simulations!$A42&lt;&gt;"",OR(Simulations!$DX42&lt;&gt;"",N(Simulations!$DZ42)&gt;0))),0,MAX(N(Simulations!$EA42),N(Simulations!$EB42),N(Simulations!$EC42))/IF(Simulations!$J42="",1000,Simulations!$J42))</f>
        <v>0</v>
      </c>
      <c r="AJ42" s="0" t="n">
        <f aca="false">IF(OR(NOT(AND(Simulations!$A42&lt;&gt;"",OR(Simulations!$DX42&lt;&gt;"",N(Simulations!$DZ42)&gt;0))),N(Simulations!$DY42)&lt;=0),0,SQRT(2*Simulations!$DY42*1000000/(IF(Simulations!$J42="",1000,Simulations!$J42)*1000))/MIN(IF(Simulations!$T42="",200,Simulations!$T42),IF(Simulations!$U42="",200,Simulations!$U42),IF(Simulations!$V42="",200,Simulations!$V42)))</f>
        <v>0</v>
      </c>
      <c r="AK42" s="0" t="n">
        <f aca="false">IF(AND(Simulations!$A42&lt;&gt;"",OR(Simulations!$DX42&lt;&gt;"",N(Simulations!$DZ42)&gt;0)),1,0)</f>
        <v>0</v>
      </c>
    </row>
    <row r="43" customFormat="false" ht="15" hidden="false" customHeight="false" outlineLevel="0" collapsed="false">
      <c r="B43" s="0" t="n">
        <f aca="false">IF(OR(NOT(AND(Simulations!$A43&lt;&gt;"",OR(Simulations!$AL43&lt;&gt;"",N(Simulations!$AN43)&gt;0))),N(Simulations!$AO43)&lt;=0,N(Simulations!$AN43)&lt;=0,1&gt;N(IF(Simulations!$O43="",1,Simulations!$O43))),0,IF(Simulations!$AO43&lt;IF(Simulations!$J43="",1000,Simulations!$J43),Simulations!$AN43/(IF(Simulations!$G43="",5000,Simulations!$G43)*IF(Simulations!$H43="",5000,Simulations!$H43)*IF(IF(Simulations!$I43="",5000,Simulations!$I43)&gt;0,IF(Simulations!$I43="",5000,Simulations!$I43),1))*Simulations!$AO43*(PI()/2*IF(Simulations!$T43="",200,Simulations!$T43)^2*IF(IF(Simulations!$I43="",5000,Simulations!$I43)&gt;0,SQRT(PI()/2)*IF(Simulations!$W43="",1000,Simulations!$W43),1)),Simulations!$AN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T43="",200,Simulations!$T43)^2*IF(Simulations!$W43="",1000,Simulations!$W43)/2^1.5*(2/3*LN(Simulations!$AO43/IF(Simulations!$J43="",1000,Simulations!$J43))^1.5+SQRT(LN(Simulations!$AO43/IF(Simulations!$J43="",1000,Simulations!$J43)))+Simulations!$AO43/IF(Simulations!$J43="",1000,Simulations!$J43)*SQRT(PI())/2*ERFC(SQRT(LN(Simulations!$AO43/IF(Simulations!$J43="",1000,Simulations!$J43))))),PI()*IF(Simulations!$T43="",200,Simulations!$T43)^2/2*(LN(Simulations!$AO43/IF(Simulations!$J43="",1000,Simulations!$J43))+1))))</f>
        <v>0</v>
      </c>
      <c r="C43" s="0" t="n">
        <f aca="false">IF(OR(NOT(AND(Simulations!$A43&lt;&gt;"",OR(Simulations!$AL43&lt;&gt;"",N(Simulations!$AN43)&gt;0))),N(Simulations!$AP43)&lt;=0,N(Simulations!$AN43)&lt;=0,2&gt;N(IF(Simulations!$O43="",1,Simulations!$O43))),0,IF(Simulations!$AP43&lt;IF(Simulations!$J43="",1000,Simulations!$J43),Simulations!$AN43/(IF(Simulations!$G43="",5000,Simulations!$G43)*IF(Simulations!$H43="",5000,Simulations!$H43)*IF(IF(Simulations!$I43="",5000,Simulations!$I43)&gt;0,IF(Simulations!$I43="",5000,Simulations!$I43),1))*Simulations!$AP43*(PI()/2*IF(Simulations!$U43="",200,Simulations!$U43)^2*IF(IF(Simulations!$I43="",5000,Simulations!$I43)&gt;0,SQRT(PI()/2)*IF(Simulations!$X43="",1000,Simulations!$X43),1)),Simulations!$AN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U43="",200,Simulations!$U43)^2*IF(Simulations!$X43="",1000,Simulations!$X43)/2^1.5*(2/3*LN(Simulations!$AP43/IF(Simulations!$J43="",1000,Simulations!$J43))^1.5+SQRT(LN(Simulations!$AP43/IF(Simulations!$J43="",1000,Simulations!$J43)))+Simulations!$AP43/IF(Simulations!$J43="",1000,Simulations!$J43)*SQRT(PI())/2*ERFC(SQRT(LN(Simulations!$AP43/IF(Simulations!$J43="",1000,Simulations!$J43))))),PI()*IF(Simulations!$U43="",200,Simulations!$U43)^2/2*(LN(Simulations!$AP43/IF(Simulations!$J43="",1000,Simulations!$J43))+1))))</f>
        <v>0</v>
      </c>
      <c r="D43" s="0" t="n">
        <f aca="false">IF(OR(NOT(AND(Simulations!$A43&lt;&gt;"",OR(Simulations!$AL43&lt;&gt;"",N(Simulations!$AN43)&gt;0))),N(Simulations!$AQ43)&lt;=0,N(Simulations!$AN43)&lt;=0,3&gt;N(IF(Simulations!$O43="",1,Simulations!$O43))),0,IF(Simulations!$AQ43&lt;IF(Simulations!$J43="",1000,Simulations!$J43),Simulations!$AN43/(IF(Simulations!$G43="",5000,Simulations!$G43)*IF(Simulations!$H43="",5000,Simulations!$H43)*IF(IF(Simulations!$I43="",5000,Simulations!$I43)&gt;0,IF(Simulations!$I43="",5000,Simulations!$I43),1))*Simulations!$AQ43*(PI()/2*IF(Simulations!$V43="",200,Simulations!$V43)^2*IF(IF(Simulations!$I43="",5000,Simulations!$I43)&gt;0,SQRT(PI()/2)*IF(Simulations!$Y43="",1000,Simulations!$Y43),1)),Simulations!$AN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V43="",200,Simulations!$V43)^2*IF(Simulations!$Y43="",1000,Simulations!$Y43)/2^1.5*(2/3*LN(Simulations!$AQ43/IF(Simulations!$J43="",1000,Simulations!$J43))^1.5+SQRT(LN(Simulations!$AQ43/IF(Simulations!$J43="",1000,Simulations!$J43)))+Simulations!$AQ43/IF(Simulations!$J43="",1000,Simulations!$J43)*SQRT(PI())/2*ERFC(SQRT(LN(Simulations!$AQ43/IF(Simulations!$J43="",1000,Simulations!$J43))))),PI()*IF(Simulations!$V43="",200,Simulations!$V43)^2/2*(LN(Simulations!$AQ43/IF(Simulations!$J43="",1000,Simulations!$J43))+1))))</f>
        <v>0</v>
      </c>
      <c r="E43" s="0" t="n">
        <f aca="false">IF(NOT(AND(Simulations!$A43&lt;&gt;"",OR(Simulations!$AL43&lt;&gt;"",N(Simulations!$AN43)&gt;0))),0,MAX(N(Simulations!$AO43),N(Simulations!$AP43),N(Simulations!$AQ43))/IF(Simulations!$J43="",1000,Simulations!$J43))</f>
        <v>0</v>
      </c>
      <c r="F43" s="0" t="n">
        <f aca="false">IF(OR(NOT(AND(Simulations!$A43&lt;&gt;"",OR(Simulations!$AL43&lt;&gt;"",N(Simulations!$AN43)&gt;0))),N(Simulations!$AM43)&lt;=0),0,SQRT(2*Simulations!$AM43*1000000/(IF(Simulations!$J43="",1000,Simulations!$J43)*1000))/MIN(IF(Simulations!$T43="",200,Simulations!$T43),IF(Simulations!$U43="",200,Simulations!$U43),IF(Simulations!$V43="",200,Simulations!$V43)))</f>
        <v>0</v>
      </c>
      <c r="G43" s="0" t="n">
        <f aca="false">IF(AND(Simulations!$A43&lt;&gt;"",OR(Simulations!$AL43&lt;&gt;"",N(Simulations!$AN43)&gt;0)),1,0)</f>
        <v>0</v>
      </c>
      <c r="H43" s="0" t="n">
        <f aca="false">IF(OR(NOT(AND(Simulations!$A43&lt;&gt;"",OR(Simulations!$BD43&lt;&gt;"",N(Simulations!$BF43)&gt;0))),N(Simulations!$BG43)&lt;=0,N(Simulations!$BF43)&lt;=0,1&gt;N(IF(Simulations!$O43="",1,Simulations!$O43))),0,IF(Simulations!$BG43&lt;IF(Simulations!$J43="",1000,Simulations!$J43),Simulations!$BF43/(IF(Simulations!$G43="",5000,Simulations!$G43)*IF(Simulations!$H43="",5000,Simulations!$H43)*IF(IF(Simulations!$I43="",5000,Simulations!$I43)&gt;0,IF(Simulations!$I43="",5000,Simulations!$I43),1))*Simulations!$BG43*(PI()/2*IF(Simulations!$T43="",200,Simulations!$T43)^2*IF(IF(Simulations!$I43="",5000,Simulations!$I43)&gt;0,SQRT(PI()/2)*IF(Simulations!$W43="",1000,Simulations!$W43),1)),Simulations!$BF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T43="",200,Simulations!$T43)^2*IF(Simulations!$W43="",1000,Simulations!$W43)/2^1.5*(2/3*LN(Simulations!$BG43/IF(Simulations!$J43="",1000,Simulations!$J43))^1.5+SQRT(LN(Simulations!$BG43/IF(Simulations!$J43="",1000,Simulations!$J43)))+Simulations!$BG43/IF(Simulations!$J43="",1000,Simulations!$J43)*SQRT(PI())/2*ERFC(SQRT(LN(Simulations!$BG43/IF(Simulations!$J43="",1000,Simulations!$J43))))),PI()*IF(Simulations!$T43="",200,Simulations!$T43)^2/2*(LN(Simulations!$BG43/IF(Simulations!$J43="",1000,Simulations!$J43))+1))))</f>
        <v>0</v>
      </c>
      <c r="I43" s="0" t="n">
        <f aca="false">IF(OR(NOT(AND(Simulations!$A43&lt;&gt;"",OR(Simulations!$BD43&lt;&gt;"",N(Simulations!$BF43)&gt;0))),N(Simulations!$BH43)&lt;=0,N(Simulations!$BF43)&lt;=0,2&gt;N(IF(Simulations!$O43="",1,Simulations!$O43))),0,IF(Simulations!$BH43&lt;IF(Simulations!$J43="",1000,Simulations!$J43),Simulations!$BF43/(IF(Simulations!$G43="",5000,Simulations!$G43)*IF(Simulations!$H43="",5000,Simulations!$H43)*IF(IF(Simulations!$I43="",5000,Simulations!$I43)&gt;0,IF(Simulations!$I43="",5000,Simulations!$I43),1))*Simulations!$BH43*(PI()/2*IF(Simulations!$U43="",200,Simulations!$U43)^2*IF(IF(Simulations!$I43="",5000,Simulations!$I43)&gt;0,SQRT(PI()/2)*IF(Simulations!$X43="",1000,Simulations!$X43),1)),Simulations!$BF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U43="",200,Simulations!$U43)^2*IF(Simulations!$X43="",1000,Simulations!$X43)/2^1.5*(2/3*LN(Simulations!$BH43/IF(Simulations!$J43="",1000,Simulations!$J43))^1.5+SQRT(LN(Simulations!$BH43/IF(Simulations!$J43="",1000,Simulations!$J43)))+Simulations!$BH43/IF(Simulations!$J43="",1000,Simulations!$J43)*SQRT(PI())/2*ERFC(SQRT(LN(Simulations!$BH43/IF(Simulations!$J43="",1000,Simulations!$J43))))),PI()*IF(Simulations!$U43="",200,Simulations!$U43)^2/2*(LN(Simulations!$BH43/IF(Simulations!$J43="",1000,Simulations!$J43))+1))))</f>
        <v>0</v>
      </c>
      <c r="J43" s="0" t="n">
        <f aca="false">IF(OR(NOT(AND(Simulations!$A43&lt;&gt;"",OR(Simulations!$BD43&lt;&gt;"",N(Simulations!$BF43)&gt;0))),N(Simulations!$BI43)&lt;=0,N(Simulations!$BF43)&lt;=0,3&gt;N(IF(Simulations!$O43="",1,Simulations!$O43))),0,IF(Simulations!$BI43&lt;IF(Simulations!$J43="",1000,Simulations!$J43),Simulations!$BF43/(IF(Simulations!$G43="",5000,Simulations!$G43)*IF(Simulations!$H43="",5000,Simulations!$H43)*IF(IF(Simulations!$I43="",5000,Simulations!$I43)&gt;0,IF(Simulations!$I43="",5000,Simulations!$I43),1))*Simulations!$BI43*(PI()/2*IF(Simulations!$V43="",200,Simulations!$V43)^2*IF(IF(Simulations!$I43="",5000,Simulations!$I43)&gt;0,SQRT(PI()/2)*IF(Simulations!$Y43="",1000,Simulations!$Y43),1)),Simulations!$BF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V43="",200,Simulations!$V43)^2*IF(Simulations!$Y43="",1000,Simulations!$Y43)/2^1.5*(2/3*LN(Simulations!$BI43/IF(Simulations!$J43="",1000,Simulations!$J43))^1.5+SQRT(LN(Simulations!$BI43/IF(Simulations!$J43="",1000,Simulations!$J43)))+Simulations!$BI43/IF(Simulations!$J43="",1000,Simulations!$J43)*SQRT(PI())/2*ERFC(SQRT(LN(Simulations!$BI43/IF(Simulations!$J43="",1000,Simulations!$J43))))),PI()*IF(Simulations!$V43="",200,Simulations!$V43)^2/2*(LN(Simulations!$BI43/IF(Simulations!$J43="",1000,Simulations!$J43))+1))))</f>
        <v>0</v>
      </c>
      <c r="K43" s="0" t="n">
        <f aca="false">IF(NOT(AND(Simulations!$A43&lt;&gt;"",OR(Simulations!$BD43&lt;&gt;"",N(Simulations!$BF43)&gt;0))),0,MAX(N(Simulations!$BG43),N(Simulations!$BH43),N(Simulations!$BI43))/IF(Simulations!$J43="",1000,Simulations!$J43))</f>
        <v>0</v>
      </c>
      <c r="L43" s="0" t="n">
        <f aca="false">IF(OR(NOT(AND(Simulations!$A43&lt;&gt;"",OR(Simulations!$BD43&lt;&gt;"",N(Simulations!$BF43)&gt;0))),N(Simulations!$BE43)&lt;=0),0,SQRT(2*Simulations!$BE43*1000000/(IF(Simulations!$J43="",1000,Simulations!$J43)*1000))/MIN(IF(Simulations!$T43="",200,Simulations!$T43),IF(Simulations!$U43="",200,Simulations!$U43),IF(Simulations!$V43="",200,Simulations!$V43)))</f>
        <v>0</v>
      </c>
      <c r="M43" s="0" t="n">
        <f aca="false">IF(AND(Simulations!$A43&lt;&gt;"",OR(Simulations!$BD43&lt;&gt;"",N(Simulations!$BF43)&gt;0)),1,0)</f>
        <v>0</v>
      </c>
      <c r="N43" s="0" t="n">
        <f aca="false">IF(OR(NOT(AND(Simulations!$A43&lt;&gt;"",OR(Simulations!$BV43&lt;&gt;"",N(Simulations!$BX43)&gt;0))),N(Simulations!$BY43)&lt;=0,N(Simulations!$BX43)&lt;=0,1&gt;N(IF(Simulations!$O43="",1,Simulations!$O43))),0,IF(Simulations!$BY43&lt;IF(Simulations!$J43="",1000,Simulations!$J43),Simulations!$BX43/(IF(Simulations!$G43="",5000,Simulations!$G43)*IF(Simulations!$H43="",5000,Simulations!$H43)*IF(IF(Simulations!$I43="",5000,Simulations!$I43)&gt;0,IF(Simulations!$I43="",5000,Simulations!$I43),1))*Simulations!$BY43*(PI()/2*IF(Simulations!$T43="",200,Simulations!$T43)^2*IF(IF(Simulations!$I43="",5000,Simulations!$I43)&gt;0,SQRT(PI()/2)*IF(Simulations!$W43="",1000,Simulations!$W43),1)),Simulations!$BX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T43="",200,Simulations!$T43)^2*IF(Simulations!$W43="",1000,Simulations!$W43)/2^1.5*(2/3*LN(Simulations!$BY43/IF(Simulations!$J43="",1000,Simulations!$J43))^1.5+SQRT(LN(Simulations!$BY43/IF(Simulations!$J43="",1000,Simulations!$J43)))+Simulations!$BY43/IF(Simulations!$J43="",1000,Simulations!$J43)*SQRT(PI())/2*ERFC(SQRT(LN(Simulations!$BY43/IF(Simulations!$J43="",1000,Simulations!$J43))))),PI()*IF(Simulations!$T43="",200,Simulations!$T43)^2/2*(LN(Simulations!$BY43/IF(Simulations!$J43="",1000,Simulations!$J43))+1))))</f>
        <v>0</v>
      </c>
      <c r="O43" s="0" t="n">
        <f aca="false">IF(OR(NOT(AND(Simulations!$A43&lt;&gt;"",OR(Simulations!$BV43&lt;&gt;"",N(Simulations!$BX43)&gt;0))),N(Simulations!$BZ43)&lt;=0,N(Simulations!$BX43)&lt;=0,2&gt;N(IF(Simulations!$O43="",1,Simulations!$O43))),0,IF(Simulations!$BZ43&lt;IF(Simulations!$J43="",1000,Simulations!$J43),Simulations!$BX43/(IF(Simulations!$G43="",5000,Simulations!$G43)*IF(Simulations!$H43="",5000,Simulations!$H43)*IF(IF(Simulations!$I43="",5000,Simulations!$I43)&gt;0,IF(Simulations!$I43="",5000,Simulations!$I43),1))*Simulations!$BZ43*(PI()/2*IF(Simulations!$U43="",200,Simulations!$U43)^2*IF(IF(Simulations!$I43="",5000,Simulations!$I43)&gt;0,SQRT(PI()/2)*IF(Simulations!$X43="",1000,Simulations!$X43),1)),Simulations!$BX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U43="",200,Simulations!$U43)^2*IF(Simulations!$X43="",1000,Simulations!$X43)/2^1.5*(2/3*LN(Simulations!$BZ43/IF(Simulations!$J43="",1000,Simulations!$J43))^1.5+SQRT(LN(Simulations!$BZ43/IF(Simulations!$J43="",1000,Simulations!$J43)))+Simulations!$BZ43/IF(Simulations!$J43="",1000,Simulations!$J43)*SQRT(PI())/2*ERFC(SQRT(LN(Simulations!$BZ43/IF(Simulations!$J43="",1000,Simulations!$J43))))),PI()*IF(Simulations!$U43="",200,Simulations!$U43)^2/2*(LN(Simulations!$BZ43/IF(Simulations!$J43="",1000,Simulations!$J43))+1))))</f>
        <v>0</v>
      </c>
      <c r="P43" s="0" t="n">
        <f aca="false">IF(OR(NOT(AND(Simulations!$A43&lt;&gt;"",OR(Simulations!$BV43&lt;&gt;"",N(Simulations!$BX43)&gt;0))),N(Simulations!$CA43)&lt;=0,N(Simulations!$BX43)&lt;=0,3&gt;N(IF(Simulations!$O43="",1,Simulations!$O43))),0,IF(Simulations!$CA43&lt;IF(Simulations!$J43="",1000,Simulations!$J43),Simulations!$BX43/(IF(Simulations!$G43="",5000,Simulations!$G43)*IF(Simulations!$H43="",5000,Simulations!$H43)*IF(IF(Simulations!$I43="",5000,Simulations!$I43)&gt;0,IF(Simulations!$I43="",5000,Simulations!$I43),1))*Simulations!$CA43*(PI()/2*IF(Simulations!$V43="",200,Simulations!$V43)^2*IF(IF(Simulations!$I43="",5000,Simulations!$I43)&gt;0,SQRT(PI()/2)*IF(Simulations!$Y43="",1000,Simulations!$Y43),1)),Simulations!$BX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V43="",200,Simulations!$V43)^2*IF(Simulations!$Y43="",1000,Simulations!$Y43)/2^1.5*(2/3*LN(Simulations!$CA43/IF(Simulations!$J43="",1000,Simulations!$J43))^1.5+SQRT(LN(Simulations!$CA43/IF(Simulations!$J43="",1000,Simulations!$J43)))+Simulations!$CA43/IF(Simulations!$J43="",1000,Simulations!$J43)*SQRT(PI())/2*ERFC(SQRT(LN(Simulations!$CA43/IF(Simulations!$J43="",1000,Simulations!$J43))))),PI()*IF(Simulations!$V43="",200,Simulations!$V43)^2/2*(LN(Simulations!$CA43/IF(Simulations!$J43="",1000,Simulations!$J43))+1))))</f>
        <v>0</v>
      </c>
      <c r="Q43" s="0" t="n">
        <f aca="false">IF(NOT(AND(Simulations!$A43&lt;&gt;"",OR(Simulations!$BV43&lt;&gt;"",N(Simulations!$BX43)&gt;0))),0,MAX(N(Simulations!$BY43),N(Simulations!$BZ43),N(Simulations!$CA43))/IF(Simulations!$J43="",1000,Simulations!$J43))</f>
        <v>0</v>
      </c>
      <c r="R43" s="0" t="n">
        <f aca="false">IF(OR(NOT(AND(Simulations!$A43&lt;&gt;"",OR(Simulations!$BV43&lt;&gt;"",N(Simulations!$BX43)&gt;0))),N(Simulations!$BW43)&lt;=0),0,SQRT(2*Simulations!$BW43*1000000/(IF(Simulations!$J43="",1000,Simulations!$J43)*1000))/MIN(IF(Simulations!$T43="",200,Simulations!$T43),IF(Simulations!$U43="",200,Simulations!$U43),IF(Simulations!$V43="",200,Simulations!$V43)))</f>
        <v>0</v>
      </c>
      <c r="S43" s="0" t="n">
        <f aca="false">IF(AND(Simulations!$A43&lt;&gt;"",OR(Simulations!$BV43&lt;&gt;"",N(Simulations!$BX43)&gt;0)),1,0)</f>
        <v>0</v>
      </c>
      <c r="T43" s="0" t="n">
        <f aca="false">IF(OR(NOT(AND(Simulations!$A43&lt;&gt;"",OR(Simulations!$CN43&lt;&gt;"",N(Simulations!$CP43)&gt;0))),N(Simulations!$CQ43)&lt;=0,N(Simulations!$CP43)&lt;=0,1&gt;N(IF(Simulations!$O43="",1,Simulations!$O43))),0,IF(Simulations!$CQ43&lt;IF(Simulations!$J43="",1000,Simulations!$J43),Simulations!$CP43/(IF(Simulations!$G43="",5000,Simulations!$G43)*IF(Simulations!$H43="",5000,Simulations!$H43)*IF(IF(Simulations!$I43="",5000,Simulations!$I43)&gt;0,IF(Simulations!$I43="",5000,Simulations!$I43),1))*Simulations!$CQ43*(PI()/2*IF(Simulations!$T43="",200,Simulations!$T43)^2*IF(IF(Simulations!$I43="",5000,Simulations!$I43)&gt;0,SQRT(PI()/2)*IF(Simulations!$W43="",1000,Simulations!$W43),1)),Simulations!$CP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T43="",200,Simulations!$T43)^2*IF(Simulations!$W43="",1000,Simulations!$W43)/2^1.5*(2/3*LN(Simulations!$CQ43/IF(Simulations!$J43="",1000,Simulations!$J43))^1.5+SQRT(LN(Simulations!$CQ43/IF(Simulations!$J43="",1000,Simulations!$J43)))+Simulations!$CQ43/IF(Simulations!$J43="",1000,Simulations!$J43)*SQRT(PI())/2*ERFC(SQRT(LN(Simulations!$CQ43/IF(Simulations!$J43="",1000,Simulations!$J43))))),PI()*IF(Simulations!$T43="",200,Simulations!$T43)^2/2*(LN(Simulations!$CQ43/IF(Simulations!$J43="",1000,Simulations!$J43))+1))))</f>
        <v>0</v>
      </c>
      <c r="U43" s="0" t="n">
        <f aca="false">IF(OR(NOT(AND(Simulations!$A43&lt;&gt;"",OR(Simulations!$CN43&lt;&gt;"",N(Simulations!$CP43)&gt;0))),N(Simulations!$CR43)&lt;=0,N(Simulations!$CP43)&lt;=0,2&gt;N(IF(Simulations!$O43="",1,Simulations!$O43))),0,IF(Simulations!$CR43&lt;IF(Simulations!$J43="",1000,Simulations!$J43),Simulations!$CP43/(IF(Simulations!$G43="",5000,Simulations!$G43)*IF(Simulations!$H43="",5000,Simulations!$H43)*IF(IF(Simulations!$I43="",5000,Simulations!$I43)&gt;0,IF(Simulations!$I43="",5000,Simulations!$I43),1))*Simulations!$CR43*(PI()/2*IF(Simulations!$U43="",200,Simulations!$U43)^2*IF(IF(Simulations!$I43="",5000,Simulations!$I43)&gt;0,SQRT(PI()/2)*IF(Simulations!$X43="",1000,Simulations!$X43),1)),Simulations!$CP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U43="",200,Simulations!$U43)^2*IF(Simulations!$X43="",1000,Simulations!$X43)/2^1.5*(2/3*LN(Simulations!$CR43/IF(Simulations!$J43="",1000,Simulations!$J43))^1.5+SQRT(LN(Simulations!$CR43/IF(Simulations!$J43="",1000,Simulations!$J43)))+Simulations!$CR43/IF(Simulations!$J43="",1000,Simulations!$J43)*SQRT(PI())/2*ERFC(SQRT(LN(Simulations!$CR43/IF(Simulations!$J43="",1000,Simulations!$J43))))),PI()*IF(Simulations!$U43="",200,Simulations!$U43)^2/2*(LN(Simulations!$CR43/IF(Simulations!$J43="",1000,Simulations!$J43))+1))))</f>
        <v>0</v>
      </c>
      <c r="V43" s="0" t="n">
        <f aca="false">IF(OR(NOT(AND(Simulations!$A43&lt;&gt;"",OR(Simulations!$CN43&lt;&gt;"",N(Simulations!$CP43)&gt;0))),N(Simulations!$CS43)&lt;=0,N(Simulations!$CP43)&lt;=0,3&gt;N(IF(Simulations!$O43="",1,Simulations!$O43))),0,IF(Simulations!$CS43&lt;IF(Simulations!$J43="",1000,Simulations!$J43),Simulations!$CP43/(IF(Simulations!$G43="",5000,Simulations!$G43)*IF(Simulations!$H43="",5000,Simulations!$H43)*IF(IF(Simulations!$I43="",5000,Simulations!$I43)&gt;0,IF(Simulations!$I43="",5000,Simulations!$I43),1))*Simulations!$CS43*(PI()/2*IF(Simulations!$V43="",200,Simulations!$V43)^2*IF(IF(Simulations!$I43="",5000,Simulations!$I43)&gt;0,SQRT(PI()/2)*IF(Simulations!$Y43="",1000,Simulations!$Y43),1)),Simulations!$CP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V43="",200,Simulations!$V43)^2*IF(Simulations!$Y43="",1000,Simulations!$Y43)/2^1.5*(2/3*LN(Simulations!$CS43/IF(Simulations!$J43="",1000,Simulations!$J43))^1.5+SQRT(LN(Simulations!$CS43/IF(Simulations!$J43="",1000,Simulations!$J43)))+Simulations!$CS43/IF(Simulations!$J43="",1000,Simulations!$J43)*SQRT(PI())/2*ERFC(SQRT(LN(Simulations!$CS43/IF(Simulations!$J43="",1000,Simulations!$J43))))),PI()*IF(Simulations!$V43="",200,Simulations!$V43)^2/2*(LN(Simulations!$CS43/IF(Simulations!$J43="",1000,Simulations!$J43))+1))))</f>
        <v>0</v>
      </c>
      <c r="W43" s="0" t="n">
        <f aca="false">IF(NOT(AND(Simulations!$A43&lt;&gt;"",OR(Simulations!$CN43&lt;&gt;"",N(Simulations!$CP43)&gt;0))),0,MAX(N(Simulations!$CQ43),N(Simulations!$CR43),N(Simulations!$CS43))/IF(Simulations!$J43="",1000,Simulations!$J43))</f>
        <v>0</v>
      </c>
      <c r="X43" s="0" t="n">
        <f aca="false">IF(OR(NOT(AND(Simulations!$A43&lt;&gt;"",OR(Simulations!$CN43&lt;&gt;"",N(Simulations!$CP43)&gt;0))),N(Simulations!$CO43)&lt;=0),0,SQRT(2*Simulations!$CO43*1000000/(IF(Simulations!$J43="",1000,Simulations!$J43)*1000))/MIN(IF(Simulations!$T43="",200,Simulations!$T43),IF(Simulations!$U43="",200,Simulations!$U43),IF(Simulations!$V43="",200,Simulations!$V43)))</f>
        <v>0</v>
      </c>
      <c r="Y43" s="0" t="n">
        <f aca="false">IF(AND(Simulations!$A43&lt;&gt;"",OR(Simulations!$CN43&lt;&gt;"",N(Simulations!$CP43)&gt;0)),1,0)</f>
        <v>0</v>
      </c>
      <c r="Z43" s="0" t="n">
        <f aca="false">IF(OR(NOT(AND(Simulations!$A43&lt;&gt;"",OR(Simulations!$DF43&lt;&gt;"",N(Simulations!$DH43)&gt;0))),N(Simulations!$DI43)&lt;=0,N(Simulations!$DH43)&lt;=0,1&gt;N(IF(Simulations!$O43="",1,Simulations!$O43))),0,IF(Simulations!$DI43&lt;IF(Simulations!$J43="",1000,Simulations!$J43),Simulations!$DH43/(IF(Simulations!$G43="",5000,Simulations!$G43)*IF(Simulations!$H43="",5000,Simulations!$H43)*IF(IF(Simulations!$I43="",5000,Simulations!$I43)&gt;0,IF(Simulations!$I43="",5000,Simulations!$I43),1))*Simulations!$DI43*(PI()/2*IF(Simulations!$T43="",200,Simulations!$T43)^2*IF(IF(Simulations!$I43="",5000,Simulations!$I43)&gt;0,SQRT(PI()/2)*IF(Simulations!$W43="",1000,Simulations!$W43),1)),Simulations!$DH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T43="",200,Simulations!$T43)^2*IF(Simulations!$W43="",1000,Simulations!$W43)/2^1.5*(2/3*LN(Simulations!$DI43/IF(Simulations!$J43="",1000,Simulations!$J43))^1.5+SQRT(LN(Simulations!$DI43/IF(Simulations!$J43="",1000,Simulations!$J43)))+Simulations!$DI43/IF(Simulations!$J43="",1000,Simulations!$J43)*SQRT(PI())/2*ERFC(SQRT(LN(Simulations!$DI43/IF(Simulations!$J43="",1000,Simulations!$J43))))),PI()*IF(Simulations!$T43="",200,Simulations!$T43)^2/2*(LN(Simulations!$DI43/IF(Simulations!$J43="",1000,Simulations!$J43))+1))))</f>
        <v>0</v>
      </c>
      <c r="AA43" s="0" t="n">
        <f aca="false">IF(OR(NOT(AND(Simulations!$A43&lt;&gt;"",OR(Simulations!$DF43&lt;&gt;"",N(Simulations!$DH43)&gt;0))),N(Simulations!$DJ43)&lt;=0,N(Simulations!$DH43)&lt;=0,2&gt;N(IF(Simulations!$O43="",1,Simulations!$O43))),0,IF(Simulations!$DJ43&lt;IF(Simulations!$J43="",1000,Simulations!$J43),Simulations!$DH43/(IF(Simulations!$G43="",5000,Simulations!$G43)*IF(Simulations!$H43="",5000,Simulations!$H43)*IF(IF(Simulations!$I43="",5000,Simulations!$I43)&gt;0,IF(Simulations!$I43="",5000,Simulations!$I43),1))*Simulations!$DJ43*(PI()/2*IF(Simulations!$U43="",200,Simulations!$U43)^2*IF(IF(Simulations!$I43="",5000,Simulations!$I43)&gt;0,SQRT(PI()/2)*IF(Simulations!$X43="",1000,Simulations!$X43),1)),Simulations!$DH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U43="",200,Simulations!$U43)^2*IF(Simulations!$X43="",1000,Simulations!$X43)/2^1.5*(2/3*LN(Simulations!$DJ43/IF(Simulations!$J43="",1000,Simulations!$J43))^1.5+SQRT(LN(Simulations!$DJ43/IF(Simulations!$J43="",1000,Simulations!$J43)))+Simulations!$DJ43/IF(Simulations!$J43="",1000,Simulations!$J43)*SQRT(PI())/2*ERFC(SQRT(LN(Simulations!$DJ43/IF(Simulations!$J43="",1000,Simulations!$J43))))),PI()*IF(Simulations!$U43="",200,Simulations!$U43)^2/2*(LN(Simulations!$DJ43/IF(Simulations!$J43="",1000,Simulations!$J43))+1))))</f>
        <v>0</v>
      </c>
      <c r="AB43" s="0" t="n">
        <f aca="false">IF(OR(NOT(AND(Simulations!$A43&lt;&gt;"",OR(Simulations!$DF43&lt;&gt;"",N(Simulations!$DH43)&gt;0))),N(Simulations!$DK43)&lt;=0,N(Simulations!$DH43)&lt;=0,3&gt;N(IF(Simulations!$O43="",1,Simulations!$O43))),0,IF(Simulations!$DK43&lt;IF(Simulations!$J43="",1000,Simulations!$J43),Simulations!$DH43/(IF(Simulations!$G43="",5000,Simulations!$G43)*IF(Simulations!$H43="",5000,Simulations!$H43)*IF(IF(Simulations!$I43="",5000,Simulations!$I43)&gt;0,IF(Simulations!$I43="",5000,Simulations!$I43),1))*Simulations!$DK43*(PI()/2*IF(Simulations!$V43="",200,Simulations!$V43)^2*IF(IF(Simulations!$I43="",5000,Simulations!$I43)&gt;0,SQRT(PI()/2)*IF(Simulations!$Y43="",1000,Simulations!$Y43),1)),Simulations!$DH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V43="",200,Simulations!$V43)^2*IF(Simulations!$Y43="",1000,Simulations!$Y43)/2^1.5*(2/3*LN(Simulations!$DK43/IF(Simulations!$J43="",1000,Simulations!$J43))^1.5+SQRT(LN(Simulations!$DK43/IF(Simulations!$J43="",1000,Simulations!$J43)))+Simulations!$DK43/IF(Simulations!$J43="",1000,Simulations!$J43)*SQRT(PI())/2*ERFC(SQRT(LN(Simulations!$DK43/IF(Simulations!$J43="",1000,Simulations!$J43))))),PI()*IF(Simulations!$V43="",200,Simulations!$V43)^2/2*(LN(Simulations!$DK43/IF(Simulations!$J43="",1000,Simulations!$J43))+1))))</f>
        <v>0</v>
      </c>
      <c r="AC43" s="0" t="n">
        <f aca="false">IF(NOT(AND(Simulations!$A43&lt;&gt;"",OR(Simulations!$DF43&lt;&gt;"",N(Simulations!$DH43)&gt;0))),0,MAX(N(Simulations!$DI43),N(Simulations!$DJ43),N(Simulations!$DK43))/IF(Simulations!$J43="",1000,Simulations!$J43))</f>
        <v>0</v>
      </c>
      <c r="AD43" s="0" t="n">
        <f aca="false">IF(OR(NOT(AND(Simulations!$A43&lt;&gt;"",OR(Simulations!$DF43&lt;&gt;"",N(Simulations!$DH43)&gt;0))),N(Simulations!$DG43)&lt;=0),0,SQRT(2*Simulations!$DG43*1000000/(IF(Simulations!$J43="",1000,Simulations!$J43)*1000))/MIN(IF(Simulations!$T43="",200,Simulations!$T43),IF(Simulations!$U43="",200,Simulations!$U43),IF(Simulations!$V43="",200,Simulations!$V43)))</f>
        <v>0</v>
      </c>
      <c r="AE43" s="0" t="n">
        <f aca="false">IF(AND(Simulations!$A43&lt;&gt;"",OR(Simulations!$DF43&lt;&gt;"",N(Simulations!$DH43)&gt;0)),1,0)</f>
        <v>0</v>
      </c>
      <c r="AF43" s="0" t="n">
        <f aca="false">IF(OR(NOT(AND(Simulations!$A43&lt;&gt;"",OR(Simulations!$DX43&lt;&gt;"",N(Simulations!$DZ43)&gt;0))),N(Simulations!$EA43)&lt;=0,N(Simulations!$DZ43)&lt;=0,1&gt;N(IF(Simulations!$O43="",1,Simulations!$O43))),0,IF(Simulations!$EA43&lt;IF(Simulations!$J43="",1000,Simulations!$J43),Simulations!$DZ43/(IF(Simulations!$G43="",5000,Simulations!$G43)*IF(Simulations!$H43="",5000,Simulations!$H43)*IF(IF(Simulations!$I43="",5000,Simulations!$I43)&gt;0,IF(Simulations!$I43="",5000,Simulations!$I43),1))*Simulations!$EA43*(PI()/2*IF(Simulations!$T43="",200,Simulations!$T43)^2*IF(IF(Simulations!$I43="",5000,Simulations!$I43)&gt;0,SQRT(PI()/2)*IF(Simulations!$W43="",1000,Simulations!$W43),1)),Simulations!$DZ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T43="",200,Simulations!$T43)^2*IF(Simulations!$W43="",1000,Simulations!$W43)/2^1.5*(2/3*LN(Simulations!$EA43/IF(Simulations!$J43="",1000,Simulations!$J43))^1.5+SQRT(LN(Simulations!$EA43/IF(Simulations!$J43="",1000,Simulations!$J43)))+Simulations!$EA43/IF(Simulations!$J43="",1000,Simulations!$J43)*SQRT(PI())/2*ERFC(SQRT(LN(Simulations!$EA43/IF(Simulations!$J43="",1000,Simulations!$J43))))),PI()*IF(Simulations!$T43="",200,Simulations!$T43)^2/2*(LN(Simulations!$EA43/IF(Simulations!$J43="",1000,Simulations!$J43))+1))))</f>
        <v>0</v>
      </c>
      <c r="AG43" s="0" t="n">
        <f aca="false">IF(OR(NOT(AND(Simulations!$A43&lt;&gt;"",OR(Simulations!$DX43&lt;&gt;"",N(Simulations!$DZ43)&gt;0))),N(Simulations!$EB43)&lt;=0,N(Simulations!$DZ43)&lt;=0,2&gt;N(IF(Simulations!$O43="",1,Simulations!$O43))),0,IF(Simulations!$EB43&lt;IF(Simulations!$J43="",1000,Simulations!$J43),Simulations!$DZ43/(IF(Simulations!$G43="",5000,Simulations!$G43)*IF(Simulations!$H43="",5000,Simulations!$H43)*IF(IF(Simulations!$I43="",5000,Simulations!$I43)&gt;0,IF(Simulations!$I43="",5000,Simulations!$I43),1))*Simulations!$EB43*(PI()/2*IF(Simulations!$U43="",200,Simulations!$U43)^2*IF(IF(Simulations!$I43="",5000,Simulations!$I43)&gt;0,SQRT(PI()/2)*IF(Simulations!$X43="",1000,Simulations!$X43),1)),Simulations!$DZ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U43="",200,Simulations!$U43)^2*IF(Simulations!$X43="",1000,Simulations!$X43)/2^1.5*(2/3*LN(Simulations!$EB43/IF(Simulations!$J43="",1000,Simulations!$J43))^1.5+SQRT(LN(Simulations!$EB43/IF(Simulations!$J43="",1000,Simulations!$J43)))+Simulations!$EB43/IF(Simulations!$J43="",1000,Simulations!$J43)*SQRT(PI())/2*ERFC(SQRT(LN(Simulations!$EB43/IF(Simulations!$J43="",1000,Simulations!$J43))))),PI()*IF(Simulations!$U43="",200,Simulations!$U43)^2/2*(LN(Simulations!$EB43/IF(Simulations!$J43="",1000,Simulations!$J43))+1))))</f>
        <v>0</v>
      </c>
      <c r="AH43" s="0" t="n">
        <f aca="false">IF(OR(NOT(AND(Simulations!$A43&lt;&gt;"",OR(Simulations!$DX43&lt;&gt;"",N(Simulations!$DZ43)&gt;0))),N(Simulations!$EC43)&lt;=0,N(Simulations!$DZ43)&lt;=0,3&gt;N(IF(Simulations!$O43="",1,Simulations!$O43))),0,IF(Simulations!$EC43&lt;IF(Simulations!$J43="",1000,Simulations!$J43),Simulations!$DZ43/(IF(Simulations!$G43="",5000,Simulations!$G43)*IF(Simulations!$H43="",5000,Simulations!$H43)*IF(IF(Simulations!$I43="",5000,Simulations!$I43)&gt;0,IF(Simulations!$I43="",5000,Simulations!$I43),1))*Simulations!$EC43*(PI()/2*IF(Simulations!$V43="",200,Simulations!$V43)^2*IF(IF(Simulations!$I43="",5000,Simulations!$I43)&gt;0,SQRT(PI()/2)*IF(Simulations!$Y43="",1000,Simulations!$Y43),1)),Simulations!$DZ43/(IF(Simulations!$G43="",5000,Simulations!$G43)*IF(Simulations!$H43="",5000,Simulations!$H43)*IF(IF(Simulations!$I43="",5000,Simulations!$I43)&gt;0,IF(Simulations!$I43="",5000,Simulations!$I43),1))*IF(Simulations!$J43="",1000,Simulations!$J43)*IF(IF(Simulations!$I43="",5000,Simulations!$I43)&gt;0,2*PI()*IF(Simulations!$V43="",200,Simulations!$V43)^2*IF(Simulations!$Y43="",1000,Simulations!$Y43)/2^1.5*(2/3*LN(Simulations!$EC43/IF(Simulations!$J43="",1000,Simulations!$J43))^1.5+SQRT(LN(Simulations!$EC43/IF(Simulations!$J43="",1000,Simulations!$J43)))+Simulations!$EC43/IF(Simulations!$J43="",1000,Simulations!$J43)*SQRT(PI())/2*ERFC(SQRT(LN(Simulations!$EC43/IF(Simulations!$J43="",1000,Simulations!$J43))))),PI()*IF(Simulations!$V43="",200,Simulations!$V43)^2/2*(LN(Simulations!$EC43/IF(Simulations!$J43="",1000,Simulations!$J43))+1))))</f>
        <v>0</v>
      </c>
      <c r="AI43" s="0" t="n">
        <f aca="false">IF(NOT(AND(Simulations!$A43&lt;&gt;"",OR(Simulations!$DX43&lt;&gt;"",N(Simulations!$DZ43)&gt;0))),0,MAX(N(Simulations!$EA43),N(Simulations!$EB43),N(Simulations!$EC43))/IF(Simulations!$J43="",1000,Simulations!$J43))</f>
        <v>0</v>
      </c>
      <c r="AJ43" s="0" t="n">
        <f aca="false">IF(OR(NOT(AND(Simulations!$A43&lt;&gt;"",OR(Simulations!$DX43&lt;&gt;"",N(Simulations!$DZ43)&gt;0))),N(Simulations!$DY43)&lt;=0),0,SQRT(2*Simulations!$DY43*1000000/(IF(Simulations!$J43="",1000,Simulations!$J43)*1000))/MIN(IF(Simulations!$T43="",200,Simulations!$T43),IF(Simulations!$U43="",200,Simulations!$U43),IF(Simulations!$V43="",200,Simulations!$V43)))</f>
        <v>0</v>
      </c>
      <c r="AK43" s="0" t="n">
        <f aca="false">IF(AND(Simulations!$A43&lt;&gt;"",OR(Simulations!$DX43&lt;&gt;"",N(Simulations!$DZ43)&gt;0)),1,0)</f>
        <v>0</v>
      </c>
    </row>
    <row r="44" customFormat="false" ht="15" hidden="false" customHeight="false" outlineLevel="0" collapsed="false">
      <c r="B44" s="0" t="n">
        <f aca="false">IF(OR(NOT(AND(Simulations!$A44&lt;&gt;"",OR(Simulations!$AL44&lt;&gt;"",N(Simulations!$AN44)&gt;0))),N(Simulations!$AO44)&lt;=0,N(Simulations!$AN44)&lt;=0,1&gt;N(IF(Simulations!$O44="",1,Simulations!$O44))),0,IF(Simulations!$AO44&lt;IF(Simulations!$J44="",1000,Simulations!$J44),Simulations!$AN44/(IF(Simulations!$G44="",5000,Simulations!$G44)*IF(Simulations!$H44="",5000,Simulations!$H44)*IF(IF(Simulations!$I44="",5000,Simulations!$I44)&gt;0,IF(Simulations!$I44="",5000,Simulations!$I44),1))*Simulations!$AO44*(PI()/2*IF(Simulations!$T44="",200,Simulations!$T44)^2*IF(IF(Simulations!$I44="",5000,Simulations!$I44)&gt;0,SQRT(PI()/2)*IF(Simulations!$W44="",1000,Simulations!$W44),1)),Simulations!$AN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T44="",200,Simulations!$T44)^2*IF(Simulations!$W44="",1000,Simulations!$W44)/2^1.5*(2/3*LN(Simulations!$AO44/IF(Simulations!$J44="",1000,Simulations!$J44))^1.5+SQRT(LN(Simulations!$AO44/IF(Simulations!$J44="",1000,Simulations!$J44)))+Simulations!$AO44/IF(Simulations!$J44="",1000,Simulations!$J44)*SQRT(PI())/2*ERFC(SQRT(LN(Simulations!$AO44/IF(Simulations!$J44="",1000,Simulations!$J44))))),PI()*IF(Simulations!$T44="",200,Simulations!$T44)^2/2*(LN(Simulations!$AO44/IF(Simulations!$J44="",1000,Simulations!$J44))+1))))</f>
        <v>0</v>
      </c>
      <c r="C44" s="0" t="n">
        <f aca="false">IF(OR(NOT(AND(Simulations!$A44&lt;&gt;"",OR(Simulations!$AL44&lt;&gt;"",N(Simulations!$AN44)&gt;0))),N(Simulations!$AP44)&lt;=0,N(Simulations!$AN44)&lt;=0,2&gt;N(IF(Simulations!$O44="",1,Simulations!$O44))),0,IF(Simulations!$AP44&lt;IF(Simulations!$J44="",1000,Simulations!$J44),Simulations!$AN44/(IF(Simulations!$G44="",5000,Simulations!$G44)*IF(Simulations!$H44="",5000,Simulations!$H44)*IF(IF(Simulations!$I44="",5000,Simulations!$I44)&gt;0,IF(Simulations!$I44="",5000,Simulations!$I44),1))*Simulations!$AP44*(PI()/2*IF(Simulations!$U44="",200,Simulations!$U44)^2*IF(IF(Simulations!$I44="",5000,Simulations!$I44)&gt;0,SQRT(PI()/2)*IF(Simulations!$X44="",1000,Simulations!$X44),1)),Simulations!$AN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U44="",200,Simulations!$U44)^2*IF(Simulations!$X44="",1000,Simulations!$X44)/2^1.5*(2/3*LN(Simulations!$AP44/IF(Simulations!$J44="",1000,Simulations!$J44))^1.5+SQRT(LN(Simulations!$AP44/IF(Simulations!$J44="",1000,Simulations!$J44)))+Simulations!$AP44/IF(Simulations!$J44="",1000,Simulations!$J44)*SQRT(PI())/2*ERFC(SQRT(LN(Simulations!$AP44/IF(Simulations!$J44="",1000,Simulations!$J44))))),PI()*IF(Simulations!$U44="",200,Simulations!$U44)^2/2*(LN(Simulations!$AP44/IF(Simulations!$J44="",1000,Simulations!$J44))+1))))</f>
        <v>0</v>
      </c>
      <c r="D44" s="0" t="n">
        <f aca="false">IF(OR(NOT(AND(Simulations!$A44&lt;&gt;"",OR(Simulations!$AL44&lt;&gt;"",N(Simulations!$AN44)&gt;0))),N(Simulations!$AQ44)&lt;=0,N(Simulations!$AN44)&lt;=0,3&gt;N(IF(Simulations!$O44="",1,Simulations!$O44))),0,IF(Simulations!$AQ44&lt;IF(Simulations!$J44="",1000,Simulations!$J44),Simulations!$AN44/(IF(Simulations!$G44="",5000,Simulations!$G44)*IF(Simulations!$H44="",5000,Simulations!$H44)*IF(IF(Simulations!$I44="",5000,Simulations!$I44)&gt;0,IF(Simulations!$I44="",5000,Simulations!$I44),1))*Simulations!$AQ44*(PI()/2*IF(Simulations!$V44="",200,Simulations!$V44)^2*IF(IF(Simulations!$I44="",5000,Simulations!$I44)&gt;0,SQRT(PI()/2)*IF(Simulations!$Y44="",1000,Simulations!$Y44),1)),Simulations!$AN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V44="",200,Simulations!$V44)^2*IF(Simulations!$Y44="",1000,Simulations!$Y44)/2^1.5*(2/3*LN(Simulations!$AQ44/IF(Simulations!$J44="",1000,Simulations!$J44))^1.5+SQRT(LN(Simulations!$AQ44/IF(Simulations!$J44="",1000,Simulations!$J44)))+Simulations!$AQ44/IF(Simulations!$J44="",1000,Simulations!$J44)*SQRT(PI())/2*ERFC(SQRT(LN(Simulations!$AQ44/IF(Simulations!$J44="",1000,Simulations!$J44))))),PI()*IF(Simulations!$V44="",200,Simulations!$V44)^2/2*(LN(Simulations!$AQ44/IF(Simulations!$J44="",1000,Simulations!$J44))+1))))</f>
        <v>0</v>
      </c>
      <c r="E44" s="0" t="n">
        <f aca="false">IF(NOT(AND(Simulations!$A44&lt;&gt;"",OR(Simulations!$AL44&lt;&gt;"",N(Simulations!$AN44)&gt;0))),0,MAX(N(Simulations!$AO44),N(Simulations!$AP44),N(Simulations!$AQ44))/IF(Simulations!$J44="",1000,Simulations!$J44))</f>
        <v>0</v>
      </c>
      <c r="F44" s="0" t="n">
        <f aca="false">IF(OR(NOT(AND(Simulations!$A44&lt;&gt;"",OR(Simulations!$AL44&lt;&gt;"",N(Simulations!$AN44)&gt;0))),N(Simulations!$AM44)&lt;=0),0,SQRT(2*Simulations!$AM44*1000000/(IF(Simulations!$J44="",1000,Simulations!$J44)*1000))/MIN(IF(Simulations!$T44="",200,Simulations!$T44),IF(Simulations!$U44="",200,Simulations!$U44),IF(Simulations!$V44="",200,Simulations!$V44)))</f>
        <v>0</v>
      </c>
      <c r="G44" s="0" t="n">
        <f aca="false">IF(AND(Simulations!$A44&lt;&gt;"",OR(Simulations!$AL44&lt;&gt;"",N(Simulations!$AN44)&gt;0)),1,0)</f>
        <v>0</v>
      </c>
      <c r="H44" s="0" t="n">
        <f aca="false">IF(OR(NOT(AND(Simulations!$A44&lt;&gt;"",OR(Simulations!$BD44&lt;&gt;"",N(Simulations!$BF44)&gt;0))),N(Simulations!$BG44)&lt;=0,N(Simulations!$BF44)&lt;=0,1&gt;N(IF(Simulations!$O44="",1,Simulations!$O44))),0,IF(Simulations!$BG44&lt;IF(Simulations!$J44="",1000,Simulations!$J44),Simulations!$BF44/(IF(Simulations!$G44="",5000,Simulations!$G44)*IF(Simulations!$H44="",5000,Simulations!$H44)*IF(IF(Simulations!$I44="",5000,Simulations!$I44)&gt;0,IF(Simulations!$I44="",5000,Simulations!$I44),1))*Simulations!$BG44*(PI()/2*IF(Simulations!$T44="",200,Simulations!$T44)^2*IF(IF(Simulations!$I44="",5000,Simulations!$I44)&gt;0,SQRT(PI()/2)*IF(Simulations!$W44="",1000,Simulations!$W44),1)),Simulations!$BF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T44="",200,Simulations!$T44)^2*IF(Simulations!$W44="",1000,Simulations!$W44)/2^1.5*(2/3*LN(Simulations!$BG44/IF(Simulations!$J44="",1000,Simulations!$J44))^1.5+SQRT(LN(Simulations!$BG44/IF(Simulations!$J44="",1000,Simulations!$J44)))+Simulations!$BG44/IF(Simulations!$J44="",1000,Simulations!$J44)*SQRT(PI())/2*ERFC(SQRT(LN(Simulations!$BG44/IF(Simulations!$J44="",1000,Simulations!$J44))))),PI()*IF(Simulations!$T44="",200,Simulations!$T44)^2/2*(LN(Simulations!$BG44/IF(Simulations!$J44="",1000,Simulations!$J44))+1))))</f>
        <v>0</v>
      </c>
      <c r="I44" s="0" t="n">
        <f aca="false">IF(OR(NOT(AND(Simulations!$A44&lt;&gt;"",OR(Simulations!$BD44&lt;&gt;"",N(Simulations!$BF44)&gt;0))),N(Simulations!$BH44)&lt;=0,N(Simulations!$BF44)&lt;=0,2&gt;N(IF(Simulations!$O44="",1,Simulations!$O44))),0,IF(Simulations!$BH44&lt;IF(Simulations!$J44="",1000,Simulations!$J44),Simulations!$BF44/(IF(Simulations!$G44="",5000,Simulations!$G44)*IF(Simulations!$H44="",5000,Simulations!$H44)*IF(IF(Simulations!$I44="",5000,Simulations!$I44)&gt;0,IF(Simulations!$I44="",5000,Simulations!$I44),1))*Simulations!$BH44*(PI()/2*IF(Simulations!$U44="",200,Simulations!$U44)^2*IF(IF(Simulations!$I44="",5000,Simulations!$I44)&gt;0,SQRT(PI()/2)*IF(Simulations!$X44="",1000,Simulations!$X44),1)),Simulations!$BF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U44="",200,Simulations!$U44)^2*IF(Simulations!$X44="",1000,Simulations!$X44)/2^1.5*(2/3*LN(Simulations!$BH44/IF(Simulations!$J44="",1000,Simulations!$J44))^1.5+SQRT(LN(Simulations!$BH44/IF(Simulations!$J44="",1000,Simulations!$J44)))+Simulations!$BH44/IF(Simulations!$J44="",1000,Simulations!$J44)*SQRT(PI())/2*ERFC(SQRT(LN(Simulations!$BH44/IF(Simulations!$J44="",1000,Simulations!$J44))))),PI()*IF(Simulations!$U44="",200,Simulations!$U44)^2/2*(LN(Simulations!$BH44/IF(Simulations!$J44="",1000,Simulations!$J44))+1))))</f>
        <v>0</v>
      </c>
      <c r="J44" s="0" t="n">
        <f aca="false">IF(OR(NOT(AND(Simulations!$A44&lt;&gt;"",OR(Simulations!$BD44&lt;&gt;"",N(Simulations!$BF44)&gt;0))),N(Simulations!$BI44)&lt;=0,N(Simulations!$BF44)&lt;=0,3&gt;N(IF(Simulations!$O44="",1,Simulations!$O44))),0,IF(Simulations!$BI44&lt;IF(Simulations!$J44="",1000,Simulations!$J44),Simulations!$BF44/(IF(Simulations!$G44="",5000,Simulations!$G44)*IF(Simulations!$H44="",5000,Simulations!$H44)*IF(IF(Simulations!$I44="",5000,Simulations!$I44)&gt;0,IF(Simulations!$I44="",5000,Simulations!$I44),1))*Simulations!$BI44*(PI()/2*IF(Simulations!$V44="",200,Simulations!$V44)^2*IF(IF(Simulations!$I44="",5000,Simulations!$I44)&gt;0,SQRT(PI()/2)*IF(Simulations!$Y44="",1000,Simulations!$Y44),1)),Simulations!$BF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V44="",200,Simulations!$V44)^2*IF(Simulations!$Y44="",1000,Simulations!$Y44)/2^1.5*(2/3*LN(Simulations!$BI44/IF(Simulations!$J44="",1000,Simulations!$J44))^1.5+SQRT(LN(Simulations!$BI44/IF(Simulations!$J44="",1000,Simulations!$J44)))+Simulations!$BI44/IF(Simulations!$J44="",1000,Simulations!$J44)*SQRT(PI())/2*ERFC(SQRT(LN(Simulations!$BI44/IF(Simulations!$J44="",1000,Simulations!$J44))))),PI()*IF(Simulations!$V44="",200,Simulations!$V44)^2/2*(LN(Simulations!$BI44/IF(Simulations!$J44="",1000,Simulations!$J44))+1))))</f>
        <v>0</v>
      </c>
      <c r="K44" s="0" t="n">
        <f aca="false">IF(NOT(AND(Simulations!$A44&lt;&gt;"",OR(Simulations!$BD44&lt;&gt;"",N(Simulations!$BF44)&gt;0))),0,MAX(N(Simulations!$BG44),N(Simulations!$BH44),N(Simulations!$BI44))/IF(Simulations!$J44="",1000,Simulations!$J44))</f>
        <v>0</v>
      </c>
      <c r="L44" s="0" t="n">
        <f aca="false">IF(OR(NOT(AND(Simulations!$A44&lt;&gt;"",OR(Simulations!$BD44&lt;&gt;"",N(Simulations!$BF44)&gt;0))),N(Simulations!$BE44)&lt;=0),0,SQRT(2*Simulations!$BE44*1000000/(IF(Simulations!$J44="",1000,Simulations!$J44)*1000))/MIN(IF(Simulations!$T44="",200,Simulations!$T44),IF(Simulations!$U44="",200,Simulations!$U44),IF(Simulations!$V44="",200,Simulations!$V44)))</f>
        <v>0</v>
      </c>
      <c r="M44" s="0" t="n">
        <f aca="false">IF(AND(Simulations!$A44&lt;&gt;"",OR(Simulations!$BD44&lt;&gt;"",N(Simulations!$BF44)&gt;0)),1,0)</f>
        <v>0</v>
      </c>
      <c r="N44" s="0" t="n">
        <f aca="false">IF(OR(NOT(AND(Simulations!$A44&lt;&gt;"",OR(Simulations!$BV44&lt;&gt;"",N(Simulations!$BX44)&gt;0))),N(Simulations!$BY44)&lt;=0,N(Simulations!$BX44)&lt;=0,1&gt;N(IF(Simulations!$O44="",1,Simulations!$O44))),0,IF(Simulations!$BY44&lt;IF(Simulations!$J44="",1000,Simulations!$J44),Simulations!$BX44/(IF(Simulations!$G44="",5000,Simulations!$G44)*IF(Simulations!$H44="",5000,Simulations!$H44)*IF(IF(Simulations!$I44="",5000,Simulations!$I44)&gt;0,IF(Simulations!$I44="",5000,Simulations!$I44),1))*Simulations!$BY44*(PI()/2*IF(Simulations!$T44="",200,Simulations!$T44)^2*IF(IF(Simulations!$I44="",5000,Simulations!$I44)&gt;0,SQRT(PI()/2)*IF(Simulations!$W44="",1000,Simulations!$W44),1)),Simulations!$BX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T44="",200,Simulations!$T44)^2*IF(Simulations!$W44="",1000,Simulations!$W44)/2^1.5*(2/3*LN(Simulations!$BY44/IF(Simulations!$J44="",1000,Simulations!$J44))^1.5+SQRT(LN(Simulations!$BY44/IF(Simulations!$J44="",1000,Simulations!$J44)))+Simulations!$BY44/IF(Simulations!$J44="",1000,Simulations!$J44)*SQRT(PI())/2*ERFC(SQRT(LN(Simulations!$BY44/IF(Simulations!$J44="",1000,Simulations!$J44))))),PI()*IF(Simulations!$T44="",200,Simulations!$T44)^2/2*(LN(Simulations!$BY44/IF(Simulations!$J44="",1000,Simulations!$J44))+1))))</f>
        <v>0</v>
      </c>
      <c r="O44" s="0" t="n">
        <f aca="false">IF(OR(NOT(AND(Simulations!$A44&lt;&gt;"",OR(Simulations!$BV44&lt;&gt;"",N(Simulations!$BX44)&gt;0))),N(Simulations!$BZ44)&lt;=0,N(Simulations!$BX44)&lt;=0,2&gt;N(IF(Simulations!$O44="",1,Simulations!$O44))),0,IF(Simulations!$BZ44&lt;IF(Simulations!$J44="",1000,Simulations!$J44),Simulations!$BX44/(IF(Simulations!$G44="",5000,Simulations!$G44)*IF(Simulations!$H44="",5000,Simulations!$H44)*IF(IF(Simulations!$I44="",5000,Simulations!$I44)&gt;0,IF(Simulations!$I44="",5000,Simulations!$I44),1))*Simulations!$BZ44*(PI()/2*IF(Simulations!$U44="",200,Simulations!$U44)^2*IF(IF(Simulations!$I44="",5000,Simulations!$I44)&gt;0,SQRT(PI()/2)*IF(Simulations!$X44="",1000,Simulations!$X44),1)),Simulations!$BX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U44="",200,Simulations!$U44)^2*IF(Simulations!$X44="",1000,Simulations!$X44)/2^1.5*(2/3*LN(Simulations!$BZ44/IF(Simulations!$J44="",1000,Simulations!$J44))^1.5+SQRT(LN(Simulations!$BZ44/IF(Simulations!$J44="",1000,Simulations!$J44)))+Simulations!$BZ44/IF(Simulations!$J44="",1000,Simulations!$J44)*SQRT(PI())/2*ERFC(SQRT(LN(Simulations!$BZ44/IF(Simulations!$J44="",1000,Simulations!$J44))))),PI()*IF(Simulations!$U44="",200,Simulations!$U44)^2/2*(LN(Simulations!$BZ44/IF(Simulations!$J44="",1000,Simulations!$J44))+1))))</f>
        <v>0</v>
      </c>
      <c r="P44" s="0" t="n">
        <f aca="false">IF(OR(NOT(AND(Simulations!$A44&lt;&gt;"",OR(Simulations!$BV44&lt;&gt;"",N(Simulations!$BX44)&gt;0))),N(Simulations!$CA44)&lt;=0,N(Simulations!$BX44)&lt;=0,3&gt;N(IF(Simulations!$O44="",1,Simulations!$O44))),0,IF(Simulations!$CA44&lt;IF(Simulations!$J44="",1000,Simulations!$J44),Simulations!$BX44/(IF(Simulations!$G44="",5000,Simulations!$G44)*IF(Simulations!$H44="",5000,Simulations!$H44)*IF(IF(Simulations!$I44="",5000,Simulations!$I44)&gt;0,IF(Simulations!$I44="",5000,Simulations!$I44),1))*Simulations!$CA44*(PI()/2*IF(Simulations!$V44="",200,Simulations!$V44)^2*IF(IF(Simulations!$I44="",5000,Simulations!$I44)&gt;0,SQRT(PI()/2)*IF(Simulations!$Y44="",1000,Simulations!$Y44),1)),Simulations!$BX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V44="",200,Simulations!$V44)^2*IF(Simulations!$Y44="",1000,Simulations!$Y44)/2^1.5*(2/3*LN(Simulations!$CA44/IF(Simulations!$J44="",1000,Simulations!$J44))^1.5+SQRT(LN(Simulations!$CA44/IF(Simulations!$J44="",1000,Simulations!$J44)))+Simulations!$CA44/IF(Simulations!$J44="",1000,Simulations!$J44)*SQRT(PI())/2*ERFC(SQRT(LN(Simulations!$CA44/IF(Simulations!$J44="",1000,Simulations!$J44))))),PI()*IF(Simulations!$V44="",200,Simulations!$V44)^2/2*(LN(Simulations!$CA44/IF(Simulations!$J44="",1000,Simulations!$J44))+1))))</f>
        <v>0</v>
      </c>
      <c r="Q44" s="0" t="n">
        <f aca="false">IF(NOT(AND(Simulations!$A44&lt;&gt;"",OR(Simulations!$BV44&lt;&gt;"",N(Simulations!$BX44)&gt;0))),0,MAX(N(Simulations!$BY44),N(Simulations!$BZ44),N(Simulations!$CA44))/IF(Simulations!$J44="",1000,Simulations!$J44))</f>
        <v>0</v>
      </c>
      <c r="R44" s="0" t="n">
        <f aca="false">IF(OR(NOT(AND(Simulations!$A44&lt;&gt;"",OR(Simulations!$BV44&lt;&gt;"",N(Simulations!$BX44)&gt;0))),N(Simulations!$BW44)&lt;=0),0,SQRT(2*Simulations!$BW44*1000000/(IF(Simulations!$J44="",1000,Simulations!$J44)*1000))/MIN(IF(Simulations!$T44="",200,Simulations!$T44),IF(Simulations!$U44="",200,Simulations!$U44),IF(Simulations!$V44="",200,Simulations!$V44)))</f>
        <v>0</v>
      </c>
      <c r="S44" s="0" t="n">
        <f aca="false">IF(AND(Simulations!$A44&lt;&gt;"",OR(Simulations!$BV44&lt;&gt;"",N(Simulations!$BX44)&gt;0)),1,0)</f>
        <v>0</v>
      </c>
      <c r="T44" s="0" t="n">
        <f aca="false">IF(OR(NOT(AND(Simulations!$A44&lt;&gt;"",OR(Simulations!$CN44&lt;&gt;"",N(Simulations!$CP44)&gt;0))),N(Simulations!$CQ44)&lt;=0,N(Simulations!$CP44)&lt;=0,1&gt;N(IF(Simulations!$O44="",1,Simulations!$O44))),0,IF(Simulations!$CQ44&lt;IF(Simulations!$J44="",1000,Simulations!$J44),Simulations!$CP44/(IF(Simulations!$G44="",5000,Simulations!$G44)*IF(Simulations!$H44="",5000,Simulations!$H44)*IF(IF(Simulations!$I44="",5000,Simulations!$I44)&gt;0,IF(Simulations!$I44="",5000,Simulations!$I44),1))*Simulations!$CQ44*(PI()/2*IF(Simulations!$T44="",200,Simulations!$T44)^2*IF(IF(Simulations!$I44="",5000,Simulations!$I44)&gt;0,SQRT(PI()/2)*IF(Simulations!$W44="",1000,Simulations!$W44),1)),Simulations!$CP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T44="",200,Simulations!$T44)^2*IF(Simulations!$W44="",1000,Simulations!$W44)/2^1.5*(2/3*LN(Simulations!$CQ44/IF(Simulations!$J44="",1000,Simulations!$J44))^1.5+SQRT(LN(Simulations!$CQ44/IF(Simulations!$J44="",1000,Simulations!$J44)))+Simulations!$CQ44/IF(Simulations!$J44="",1000,Simulations!$J44)*SQRT(PI())/2*ERFC(SQRT(LN(Simulations!$CQ44/IF(Simulations!$J44="",1000,Simulations!$J44))))),PI()*IF(Simulations!$T44="",200,Simulations!$T44)^2/2*(LN(Simulations!$CQ44/IF(Simulations!$J44="",1000,Simulations!$J44))+1))))</f>
        <v>0</v>
      </c>
      <c r="U44" s="0" t="n">
        <f aca="false">IF(OR(NOT(AND(Simulations!$A44&lt;&gt;"",OR(Simulations!$CN44&lt;&gt;"",N(Simulations!$CP44)&gt;0))),N(Simulations!$CR44)&lt;=0,N(Simulations!$CP44)&lt;=0,2&gt;N(IF(Simulations!$O44="",1,Simulations!$O44))),0,IF(Simulations!$CR44&lt;IF(Simulations!$J44="",1000,Simulations!$J44),Simulations!$CP44/(IF(Simulations!$G44="",5000,Simulations!$G44)*IF(Simulations!$H44="",5000,Simulations!$H44)*IF(IF(Simulations!$I44="",5000,Simulations!$I44)&gt;0,IF(Simulations!$I44="",5000,Simulations!$I44),1))*Simulations!$CR44*(PI()/2*IF(Simulations!$U44="",200,Simulations!$U44)^2*IF(IF(Simulations!$I44="",5000,Simulations!$I44)&gt;0,SQRT(PI()/2)*IF(Simulations!$X44="",1000,Simulations!$X44),1)),Simulations!$CP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U44="",200,Simulations!$U44)^2*IF(Simulations!$X44="",1000,Simulations!$X44)/2^1.5*(2/3*LN(Simulations!$CR44/IF(Simulations!$J44="",1000,Simulations!$J44))^1.5+SQRT(LN(Simulations!$CR44/IF(Simulations!$J44="",1000,Simulations!$J44)))+Simulations!$CR44/IF(Simulations!$J44="",1000,Simulations!$J44)*SQRT(PI())/2*ERFC(SQRT(LN(Simulations!$CR44/IF(Simulations!$J44="",1000,Simulations!$J44))))),PI()*IF(Simulations!$U44="",200,Simulations!$U44)^2/2*(LN(Simulations!$CR44/IF(Simulations!$J44="",1000,Simulations!$J44))+1))))</f>
        <v>0</v>
      </c>
      <c r="V44" s="0" t="n">
        <f aca="false">IF(OR(NOT(AND(Simulations!$A44&lt;&gt;"",OR(Simulations!$CN44&lt;&gt;"",N(Simulations!$CP44)&gt;0))),N(Simulations!$CS44)&lt;=0,N(Simulations!$CP44)&lt;=0,3&gt;N(IF(Simulations!$O44="",1,Simulations!$O44))),0,IF(Simulations!$CS44&lt;IF(Simulations!$J44="",1000,Simulations!$J44),Simulations!$CP44/(IF(Simulations!$G44="",5000,Simulations!$G44)*IF(Simulations!$H44="",5000,Simulations!$H44)*IF(IF(Simulations!$I44="",5000,Simulations!$I44)&gt;0,IF(Simulations!$I44="",5000,Simulations!$I44),1))*Simulations!$CS44*(PI()/2*IF(Simulations!$V44="",200,Simulations!$V44)^2*IF(IF(Simulations!$I44="",5000,Simulations!$I44)&gt;0,SQRT(PI()/2)*IF(Simulations!$Y44="",1000,Simulations!$Y44),1)),Simulations!$CP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V44="",200,Simulations!$V44)^2*IF(Simulations!$Y44="",1000,Simulations!$Y44)/2^1.5*(2/3*LN(Simulations!$CS44/IF(Simulations!$J44="",1000,Simulations!$J44))^1.5+SQRT(LN(Simulations!$CS44/IF(Simulations!$J44="",1000,Simulations!$J44)))+Simulations!$CS44/IF(Simulations!$J44="",1000,Simulations!$J44)*SQRT(PI())/2*ERFC(SQRT(LN(Simulations!$CS44/IF(Simulations!$J44="",1000,Simulations!$J44))))),PI()*IF(Simulations!$V44="",200,Simulations!$V44)^2/2*(LN(Simulations!$CS44/IF(Simulations!$J44="",1000,Simulations!$J44))+1))))</f>
        <v>0</v>
      </c>
      <c r="W44" s="0" t="n">
        <f aca="false">IF(NOT(AND(Simulations!$A44&lt;&gt;"",OR(Simulations!$CN44&lt;&gt;"",N(Simulations!$CP44)&gt;0))),0,MAX(N(Simulations!$CQ44),N(Simulations!$CR44),N(Simulations!$CS44))/IF(Simulations!$J44="",1000,Simulations!$J44))</f>
        <v>0</v>
      </c>
      <c r="X44" s="0" t="n">
        <f aca="false">IF(OR(NOT(AND(Simulations!$A44&lt;&gt;"",OR(Simulations!$CN44&lt;&gt;"",N(Simulations!$CP44)&gt;0))),N(Simulations!$CO44)&lt;=0),0,SQRT(2*Simulations!$CO44*1000000/(IF(Simulations!$J44="",1000,Simulations!$J44)*1000))/MIN(IF(Simulations!$T44="",200,Simulations!$T44),IF(Simulations!$U44="",200,Simulations!$U44),IF(Simulations!$V44="",200,Simulations!$V44)))</f>
        <v>0</v>
      </c>
      <c r="Y44" s="0" t="n">
        <f aca="false">IF(AND(Simulations!$A44&lt;&gt;"",OR(Simulations!$CN44&lt;&gt;"",N(Simulations!$CP44)&gt;0)),1,0)</f>
        <v>0</v>
      </c>
      <c r="Z44" s="0" t="n">
        <f aca="false">IF(OR(NOT(AND(Simulations!$A44&lt;&gt;"",OR(Simulations!$DF44&lt;&gt;"",N(Simulations!$DH44)&gt;0))),N(Simulations!$DI44)&lt;=0,N(Simulations!$DH44)&lt;=0,1&gt;N(IF(Simulations!$O44="",1,Simulations!$O44))),0,IF(Simulations!$DI44&lt;IF(Simulations!$J44="",1000,Simulations!$J44),Simulations!$DH44/(IF(Simulations!$G44="",5000,Simulations!$G44)*IF(Simulations!$H44="",5000,Simulations!$H44)*IF(IF(Simulations!$I44="",5000,Simulations!$I44)&gt;0,IF(Simulations!$I44="",5000,Simulations!$I44),1))*Simulations!$DI44*(PI()/2*IF(Simulations!$T44="",200,Simulations!$T44)^2*IF(IF(Simulations!$I44="",5000,Simulations!$I44)&gt;0,SQRT(PI()/2)*IF(Simulations!$W44="",1000,Simulations!$W44),1)),Simulations!$DH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T44="",200,Simulations!$T44)^2*IF(Simulations!$W44="",1000,Simulations!$W44)/2^1.5*(2/3*LN(Simulations!$DI44/IF(Simulations!$J44="",1000,Simulations!$J44))^1.5+SQRT(LN(Simulations!$DI44/IF(Simulations!$J44="",1000,Simulations!$J44)))+Simulations!$DI44/IF(Simulations!$J44="",1000,Simulations!$J44)*SQRT(PI())/2*ERFC(SQRT(LN(Simulations!$DI44/IF(Simulations!$J44="",1000,Simulations!$J44))))),PI()*IF(Simulations!$T44="",200,Simulations!$T44)^2/2*(LN(Simulations!$DI44/IF(Simulations!$J44="",1000,Simulations!$J44))+1))))</f>
        <v>0</v>
      </c>
      <c r="AA44" s="0" t="n">
        <f aca="false">IF(OR(NOT(AND(Simulations!$A44&lt;&gt;"",OR(Simulations!$DF44&lt;&gt;"",N(Simulations!$DH44)&gt;0))),N(Simulations!$DJ44)&lt;=0,N(Simulations!$DH44)&lt;=0,2&gt;N(IF(Simulations!$O44="",1,Simulations!$O44))),0,IF(Simulations!$DJ44&lt;IF(Simulations!$J44="",1000,Simulations!$J44),Simulations!$DH44/(IF(Simulations!$G44="",5000,Simulations!$G44)*IF(Simulations!$H44="",5000,Simulations!$H44)*IF(IF(Simulations!$I44="",5000,Simulations!$I44)&gt;0,IF(Simulations!$I44="",5000,Simulations!$I44),1))*Simulations!$DJ44*(PI()/2*IF(Simulations!$U44="",200,Simulations!$U44)^2*IF(IF(Simulations!$I44="",5000,Simulations!$I44)&gt;0,SQRT(PI()/2)*IF(Simulations!$X44="",1000,Simulations!$X44),1)),Simulations!$DH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U44="",200,Simulations!$U44)^2*IF(Simulations!$X44="",1000,Simulations!$X44)/2^1.5*(2/3*LN(Simulations!$DJ44/IF(Simulations!$J44="",1000,Simulations!$J44))^1.5+SQRT(LN(Simulations!$DJ44/IF(Simulations!$J44="",1000,Simulations!$J44)))+Simulations!$DJ44/IF(Simulations!$J44="",1000,Simulations!$J44)*SQRT(PI())/2*ERFC(SQRT(LN(Simulations!$DJ44/IF(Simulations!$J44="",1000,Simulations!$J44))))),PI()*IF(Simulations!$U44="",200,Simulations!$U44)^2/2*(LN(Simulations!$DJ44/IF(Simulations!$J44="",1000,Simulations!$J44))+1))))</f>
        <v>0</v>
      </c>
      <c r="AB44" s="0" t="n">
        <f aca="false">IF(OR(NOT(AND(Simulations!$A44&lt;&gt;"",OR(Simulations!$DF44&lt;&gt;"",N(Simulations!$DH44)&gt;0))),N(Simulations!$DK44)&lt;=0,N(Simulations!$DH44)&lt;=0,3&gt;N(IF(Simulations!$O44="",1,Simulations!$O44))),0,IF(Simulations!$DK44&lt;IF(Simulations!$J44="",1000,Simulations!$J44),Simulations!$DH44/(IF(Simulations!$G44="",5000,Simulations!$G44)*IF(Simulations!$H44="",5000,Simulations!$H44)*IF(IF(Simulations!$I44="",5000,Simulations!$I44)&gt;0,IF(Simulations!$I44="",5000,Simulations!$I44),1))*Simulations!$DK44*(PI()/2*IF(Simulations!$V44="",200,Simulations!$V44)^2*IF(IF(Simulations!$I44="",5000,Simulations!$I44)&gt;0,SQRT(PI()/2)*IF(Simulations!$Y44="",1000,Simulations!$Y44),1)),Simulations!$DH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V44="",200,Simulations!$V44)^2*IF(Simulations!$Y44="",1000,Simulations!$Y44)/2^1.5*(2/3*LN(Simulations!$DK44/IF(Simulations!$J44="",1000,Simulations!$J44))^1.5+SQRT(LN(Simulations!$DK44/IF(Simulations!$J44="",1000,Simulations!$J44)))+Simulations!$DK44/IF(Simulations!$J44="",1000,Simulations!$J44)*SQRT(PI())/2*ERFC(SQRT(LN(Simulations!$DK44/IF(Simulations!$J44="",1000,Simulations!$J44))))),PI()*IF(Simulations!$V44="",200,Simulations!$V44)^2/2*(LN(Simulations!$DK44/IF(Simulations!$J44="",1000,Simulations!$J44))+1))))</f>
        <v>0</v>
      </c>
      <c r="AC44" s="0" t="n">
        <f aca="false">IF(NOT(AND(Simulations!$A44&lt;&gt;"",OR(Simulations!$DF44&lt;&gt;"",N(Simulations!$DH44)&gt;0))),0,MAX(N(Simulations!$DI44),N(Simulations!$DJ44),N(Simulations!$DK44))/IF(Simulations!$J44="",1000,Simulations!$J44))</f>
        <v>0</v>
      </c>
      <c r="AD44" s="0" t="n">
        <f aca="false">IF(OR(NOT(AND(Simulations!$A44&lt;&gt;"",OR(Simulations!$DF44&lt;&gt;"",N(Simulations!$DH44)&gt;0))),N(Simulations!$DG44)&lt;=0),0,SQRT(2*Simulations!$DG44*1000000/(IF(Simulations!$J44="",1000,Simulations!$J44)*1000))/MIN(IF(Simulations!$T44="",200,Simulations!$T44),IF(Simulations!$U44="",200,Simulations!$U44),IF(Simulations!$V44="",200,Simulations!$V44)))</f>
        <v>0</v>
      </c>
      <c r="AE44" s="0" t="n">
        <f aca="false">IF(AND(Simulations!$A44&lt;&gt;"",OR(Simulations!$DF44&lt;&gt;"",N(Simulations!$DH44)&gt;0)),1,0)</f>
        <v>0</v>
      </c>
      <c r="AF44" s="0" t="n">
        <f aca="false">IF(OR(NOT(AND(Simulations!$A44&lt;&gt;"",OR(Simulations!$DX44&lt;&gt;"",N(Simulations!$DZ44)&gt;0))),N(Simulations!$EA44)&lt;=0,N(Simulations!$DZ44)&lt;=0,1&gt;N(IF(Simulations!$O44="",1,Simulations!$O44))),0,IF(Simulations!$EA44&lt;IF(Simulations!$J44="",1000,Simulations!$J44),Simulations!$DZ44/(IF(Simulations!$G44="",5000,Simulations!$G44)*IF(Simulations!$H44="",5000,Simulations!$H44)*IF(IF(Simulations!$I44="",5000,Simulations!$I44)&gt;0,IF(Simulations!$I44="",5000,Simulations!$I44),1))*Simulations!$EA44*(PI()/2*IF(Simulations!$T44="",200,Simulations!$T44)^2*IF(IF(Simulations!$I44="",5000,Simulations!$I44)&gt;0,SQRT(PI()/2)*IF(Simulations!$W44="",1000,Simulations!$W44),1)),Simulations!$DZ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T44="",200,Simulations!$T44)^2*IF(Simulations!$W44="",1000,Simulations!$W44)/2^1.5*(2/3*LN(Simulations!$EA44/IF(Simulations!$J44="",1000,Simulations!$J44))^1.5+SQRT(LN(Simulations!$EA44/IF(Simulations!$J44="",1000,Simulations!$J44)))+Simulations!$EA44/IF(Simulations!$J44="",1000,Simulations!$J44)*SQRT(PI())/2*ERFC(SQRT(LN(Simulations!$EA44/IF(Simulations!$J44="",1000,Simulations!$J44))))),PI()*IF(Simulations!$T44="",200,Simulations!$T44)^2/2*(LN(Simulations!$EA44/IF(Simulations!$J44="",1000,Simulations!$J44))+1))))</f>
        <v>0</v>
      </c>
      <c r="AG44" s="0" t="n">
        <f aca="false">IF(OR(NOT(AND(Simulations!$A44&lt;&gt;"",OR(Simulations!$DX44&lt;&gt;"",N(Simulations!$DZ44)&gt;0))),N(Simulations!$EB44)&lt;=0,N(Simulations!$DZ44)&lt;=0,2&gt;N(IF(Simulations!$O44="",1,Simulations!$O44))),0,IF(Simulations!$EB44&lt;IF(Simulations!$J44="",1000,Simulations!$J44),Simulations!$DZ44/(IF(Simulations!$G44="",5000,Simulations!$G44)*IF(Simulations!$H44="",5000,Simulations!$H44)*IF(IF(Simulations!$I44="",5000,Simulations!$I44)&gt;0,IF(Simulations!$I44="",5000,Simulations!$I44),1))*Simulations!$EB44*(PI()/2*IF(Simulations!$U44="",200,Simulations!$U44)^2*IF(IF(Simulations!$I44="",5000,Simulations!$I44)&gt;0,SQRT(PI()/2)*IF(Simulations!$X44="",1000,Simulations!$X44),1)),Simulations!$DZ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U44="",200,Simulations!$U44)^2*IF(Simulations!$X44="",1000,Simulations!$X44)/2^1.5*(2/3*LN(Simulations!$EB44/IF(Simulations!$J44="",1000,Simulations!$J44))^1.5+SQRT(LN(Simulations!$EB44/IF(Simulations!$J44="",1000,Simulations!$J44)))+Simulations!$EB44/IF(Simulations!$J44="",1000,Simulations!$J44)*SQRT(PI())/2*ERFC(SQRT(LN(Simulations!$EB44/IF(Simulations!$J44="",1000,Simulations!$J44))))),PI()*IF(Simulations!$U44="",200,Simulations!$U44)^2/2*(LN(Simulations!$EB44/IF(Simulations!$J44="",1000,Simulations!$J44))+1))))</f>
        <v>0</v>
      </c>
      <c r="AH44" s="0" t="n">
        <f aca="false">IF(OR(NOT(AND(Simulations!$A44&lt;&gt;"",OR(Simulations!$DX44&lt;&gt;"",N(Simulations!$DZ44)&gt;0))),N(Simulations!$EC44)&lt;=0,N(Simulations!$DZ44)&lt;=0,3&gt;N(IF(Simulations!$O44="",1,Simulations!$O44))),0,IF(Simulations!$EC44&lt;IF(Simulations!$J44="",1000,Simulations!$J44),Simulations!$DZ44/(IF(Simulations!$G44="",5000,Simulations!$G44)*IF(Simulations!$H44="",5000,Simulations!$H44)*IF(IF(Simulations!$I44="",5000,Simulations!$I44)&gt;0,IF(Simulations!$I44="",5000,Simulations!$I44),1))*Simulations!$EC44*(PI()/2*IF(Simulations!$V44="",200,Simulations!$V44)^2*IF(IF(Simulations!$I44="",5000,Simulations!$I44)&gt;0,SQRT(PI()/2)*IF(Simulations!$Y44="",1000,Simulations!$Y44),1)),Simulations!$DZ44/(IF(Simulations!$G44="",5000,Simulations!$G44)*IF(Simulations!$H44="",5000,Simulations!$H44)*IF(IF(Simulations!$I44="",5000,Simulations!$I44)&gt;0,IF(Simulations!$I44="",5000,Simulations!$I44),1))*IF(Simulations!$J44="",1000,Simulations!$J44)*IF(IF(Simulations!$I44="",5000,Simulations!$I44)&gt;0,2*PI()*IF(Simulations!$V44="",200,Simulations!$V44)^2*IF(Simulations!$Y44="",1000,Simulations!$Y44)/2^1.5*(2/3*LN(Simulations!$EC44/IF(Simulations!$J44="",1000,Simulations!$J44))^1.5+SQRT(LN(Simulations!$EC44/IF(Simulations!$J44="",1000,Simulations!$J44)))+Simulations!$EC44/IF(Simulations!$J44="",1000,Simulations!$J44)*SQRT(PI())/2*ERFC(SQRT(LN(Simulations!$EC44/IF(Simulations!$J44="",1000,Simulations!$J44))))),PI()*IF(Simulations!$V44="",200,Simulations!$V44)^2/2*(LN(Simulations!$EC44/IF(Simulations!$J44="",1000,Simulations!$J44))+1))))</f>
        <v>0</v>
      </c>
      <c r="AI44" s="0" t="n">
        <f aca="false">IF(NOT(AND(Simulations!$A44&lt;&gt;"",OR(Simulations!$DX44&lt;&gt;"",N(Simulations!$DZ44)&gt;0))),0,MAX(N(Simulations!$EA44),N(Simulations!$EB44),N(Simulations!$EC44))/IF(Simulations!$J44="",1000,Simulations!$J44))</f>
        <v>0</v>
      </c>
      <c r="AJ44" s="0" t="n">
        <f aca="false">IF(OR(NOT(AND(Simulations!$A44&lt;&gt;"",OR(Simulations!$DX44&lt;&gt;"",N(Simulations!$DZ44)&gt;0))),N(Simulations!$DY44)&lt;=0),0,SQRT(2*Simulations!$DY44*1000000/(IF(Simulations!$J44="",1000,Simulations!$J44)*1000))/MIN(IF(Simulations!$T44="",200,Simulations!$T44),IF(Simulations!$U44="",200,Simulations!$U44),IF(Simulations!$V44="",200,Simulations!$V44)))</f>
        <v>0</v>
      </c>
      <c r="AK44" s="0" t="n">
        <f aca="false">IF(AND(Simulations!$A44&lt;&gt;"",OR(Simulations!$DX44&lt;&gt;"",N(Simulations!$DZ44)&gt;0)),1,0)</f>
        <v>0</v>
      </c>
    </row>
    <row r="45" customFormat="false" ht="15" hidden="false" customHeight="false" outlineLevel="0" collapsed="false">
      <c r="B45" s="0" t="n">
        <f aca="false">IF(OR(NOT(AND(Simulations!$A45&lt;&gt;"",OR(Simulations!$AL45&lt;&gt;"",N(Simulations!$AN45)&gt;0))),N(Simulations!$AO45)&lt;=0,N(Simulations!$AN45)&lt;=0,1&gt;N(IF(Simulations!$O45="",1,Simulations!$O45))),0,IF(Simulations!$AO45&lt;IF(Simulations!$J45="",1000,Simulations!$J45),Simulations!$AN45/(IF(Simulations!$G45="",5000,Simulations!$G45)*IF(Simulations!$H45="",5000,Simulations!$H45)*IF(IF(Simulations!$I45="",5000,Simulations!$I45)&gt;0,IF(Simulations!$I45="",5000,Simulations!$I45),1))*Simulations!$AO45*(PI()/2*IF(Simulations!$T45="",200,Simulations!$T45)^2*IF(IF(Simulations!$I45="",5000,Simulations!$I45)&gt;0,SQRT(PI()/2)*IF(Simulations!$W45="",1000,Simulations!$W45),1)),Simulations!$AN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T45="",200,Simulations!$T45)^2*IF(Simulations!$W45="",1000,Simulations!$W45)/2^1.5*(2/3*LN(Simulations!$AO45/IF(Simulations!$J45="",1000,Simulations!$J45))^1.5+SQRT(LN(Simulations!$AO45/IF(Simulations!$J45="",1000,Simulations!$J45)))+Simulations!$AO45/IF(Simulations!$J45="",1000,Simulations!$J45)*SQRT(PI())/2*ERFC(SQRT(LN(Simulations!$AO45/IF(Simulations!$J45="",1000,Simulations!$J45))))),PI()*IF(Simulations!$T45="",200,Simulations!$T45)^2/2*(LN(Simulations!$AO45/IF(Simulations!$J45="",1000,Simulations!$J45))+1))))</f>
        <v>0</v>
      </c>
      <c r="C45" s="0" t="n">
        <f aca="false">IF(OR(NOT(AND(Simulations!$A45&lt;&gt;"",OR(Simulations!$AL45&lt;&gt;"",N(Simulations!$AN45)&gt;0))),N(Simulations!$AP45)&lt;=0,N(Simulations!$AN45)&lt;=0,2&gt;N(IF(Simulations!$O45="",1,Simulations!$O45))),0,IF(Simulations!$AP45&lt;IF(Simulations!$J45="",1000,Simulations!$J45),Simulations!$AN45/(IF(Simulations!$G45="",5000,Simulations!$G45)*IF(Simulations!$H45="",5000,Simulations!$H45)*IF(IF(Simulations!$I45="",5000,Simulations!$I45)&gt;0,IF(Simulations!$I45="",5000,Simulations!$I45),1))*Simulations!$AP45*(PI()/2*IF(Simulations!$U45="",200,Simulations!$U45)^2*IF(IF(Simulations!$I45="",5000,Simulations!$I45)&gt;0,SQRT(PI()/2)*IF(Simulations!$X45="",1000,Simulations!$X45),1)),Simulations!$AN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U45="",200,Simulations!$U45)^2*IF(Simulations!$X45="",1000,Simulations!$X45)/2^1.5*(2/3*LN(Simulations!$AP45/IF(Simulations!$J45="",1000,Simulations!$J45))^1.5+SQRT(LN(Simulations!$AP45/IF(Simulations!$J45="",1000,Simulations!$J45)))+Simulations!$AP45/IF(Simulations!$J45="",1000,Simulations!$J45)*SQRT(PI())/2*ERFC(SQRT(LN(Simulations!$AP45/IF(Simulations!$J45="",1000,Simulations!$J45))))),PI()*IF(Simulations!$U45="",200,Simulations!$U45)^2/2*(LN(Simulations!$AP45/IF(Simulations!$J45="",1000,Simulations!$J45))+1))))</f>
        <v>0</v>
      </c>
      <c r="D45" s="0" t="n">
        <f aca="false">IF(OR(NOT(AND(Simulations!$A45&lt;&gt;"",OR(Simulations!$AL45&lt;&gt;"",N(Simulations!$AN45)&gt;0))),N(Simulations!$AQ45)&lt;=0,N(Simulations!$AN45)&lt;=0,3&gt;N(IF(Simulations!$O45="",1,Simulations!$O45))),0,IF(Simulations!$AQ45&lt;IF(Simulations!$J45="",1000,Simulations!$J45),Simulations!$AN45/(IF(Simulations!$G45="",5000,Simulations!$G45)*IF(Simulations!$H45="",5000,Simulations!$H45)*IF(IF(Simulations!$I45="",5000,Simulations!$I45)&gt;0,IF(Simulations!$I45="",5000,Simulations!$I45),1))*Simulations!$AQ45*(PI()/2*IF(Simulations!$V45="",200,Simulations!$V45)^2*IF(IF(Simulations!$I45="",5000,Simulations!$I45)&gt;0,SQRT(PI()/2)*IF(Simulations!$Y45="",1000,Simulations!$Y45),1)),Simulations!$AN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V45="",200,Simulations!$V45)^2*IF(Simulations!$Y45="",1000,Simulations!$Y45)/2^1.5*(2/3*LN(Simulations!$AQ45/IF(Simulations!$J45="",1000,Simulations!$J45))^1.5+SQRT(LN(Simulations!$AQ45/IF(Simulations!$J45="",1000,Simulations!$J45)))+Simulations!$AQ45/IF(Simulations!$J45="",1000,Simulations!$J45)*SQRT(PI())/2*ERFC(SQRT(LN(Simulations!$AQ45/IF(Simulations!$J45="",1000,Simulations!$J45))))),PI()*IF(Simulations!$V45="",200,Simulations!$V45)^2/2*(LN(Simulations!$AQ45/IF(Simulations!$J45="",1000,Simulations!$J45))+1))))</f>
        <v>0</v>
      </c>
      <c r="E45" s="0" t="n">
        <f aca="false">IF(NOT(AND(Simulations!$A45&lt;&gt;"",OR(Simulations!$AL45&lt;&gt;"",N(Simulations!$AN45)&gt;0))),0,MAX(N(Simulations!$AO45),N(Simulations!$AP45),N(Simulations!$AQ45))/IF(Simulations!$J45="",1000,Simulations!$J45))</f>
        <v>0</v>
      </c>
      <c r="F45" s="0" t="n">
        <f aca="false">IF(OR(NOT(AND(Simulations!$A45&lt;&gt;"",OR(Simulations!$AL45&lt;&gt;"",N(Simulations!$AN45)&gt;0))),N(Simulations!$AM45)&lt;=0),0,SQRT(2*Simulations!$AM45*1000000/(IF(Simulations!$J45="",1000,Simulations!$J45)*1000))/MIN(IF(Simulations!$T45="",200,Simulations!$T45),IF(Simulations!$U45="",200,Simulations!$U45),IF(Simulations!$V45="",200,Simulations!$V45)))</f>
        <v>0</v>
      </c>
      <c r="G45" s="0" t="n">
        <f aca="false">IF(AND(Simulations!$A45&lt;&gt;"",OR(Simulations!$AL45&lt;&gt;"",N(Simulations!$AN45)&gt;0)),1,0)</f>
        <v>0</v>
      </c>
      <c r="H45" s="0" t="n">
        <f aca="false">IF(OR(NOT(AND(Simulations!$A45&lt;&gt;"",OR(Simulations!$BD45&lt;&gt;"",N(Simulations!$BF45)&gt;0))),N(Simulations!$BG45)&lt;=0,N(Simulations!$BF45)&lt;=0,1&gt;N(IF(Simulations!$O45="",1,Simulations!$O45))),0,IF(Simulations!$BG45&lt;IF(Simulations!$J45="",1000,Simulations!$J45),Simulations!$BF45/(IF(Simulations!$G45="",5000,Simulations!$G45)*IF(Simulations!$H45="",5000,Simulations!$H45)*IF(IF(Simulations!$I45="",5000,Simulations!$I45)&gt;0,IF(Simulations!$I45="",5000,Simulations!$I45),1))*Simulations!$BG45*(PI()/2*IF(Simulations!$T45="",200,Simulations!$T45)^2*IF(IF(Simulations!$I45="",5000,Simulations!$I45)&gt;0,SQRT(PI()/2)*IF(Simulations!$W45="",1000,Simulations!$W45),1)),Simulations!$BF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T45="",200,Simulations!$T45)^2*IF(Simulations!$W45="",1000,Simulations!$W45)/2^1.5*(2/3*LN(Simulations!$BG45/IF(Simulations!$J45="",1000,Simulations!$J45))^1.5+SQRT(LN(Simulations!$BG45/IF(Simulations!$J45="",1000,Simulations!$J45)))+Simulations!$BG45/IF(Simulations!$J45="",1000,Simulations!$J45)*SQRT(PI())/2*ERFC(SQRT(LN(Simulations!$BG45/IF(Simulations!$J45="",1000,Simulations!$J45))))),PI()*IF(Simulations!$T45="",200,Simulations!$T45)^2/2*(LN(Simulations!$BG45/IF(Simulations!$J45="",1000,Simulations!$J45))+1))))</f>
        <v>0</v>
      </c>
      <c r="I45" s="0" t="n">
        <f aca="false">IF(OR(NOT(AND(Simulations!$A45&lt;&gt;"",OR(Simulations!$BD45&lt;&gt;"",N(Simulations!$BF45)&gt;0))),N(Simulations!$BH45)&lt;=0,N(Simulations!$BF45)&lt;=0,2&gt;N(IF(Simulations!$O45="",1,Simulations!$O45))),0,IF(Simulations!$BH45&lt;IF(Simulations!$J45="",1000,Simulations!$J45),Simulations!$BF45/(IF(Simulations!$G45="",5000,Simulations!$G45)*IF(Simulations!$H45="",5000,Simulations!$H45)*IF(IF(Simulations!$I45="",5000,Simulations!$I45)&gt;0,IF(Simulations!$I45="",5000,Simulations!$I45),1))*Simulations!$BH45*(PI()/2*IF(Simulations!$U45="",200,Simulations!$U45)^2*IF(IF(Simulations!$I45="",5000,Simulations!$I45)&gt;0,SQRT(PI()/2)*IF(Simulations!$X45="",1000,Simulations!$X45),1)),Simulations!$BF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U45="",200,Simulations!$U45)^2*IF(Simulations!$X45="",1000,Simulations!$X45)/2^1.5*(2/3*LN(Simulations!$BH45/IF(Simulations!$J45="",1000,Simulations!$J45))^1.5+SQRT(LN(Simulations!$BH45/IF(Simulations!$J45="",1000,Simulations!$J45)))+Simulations!$BH45/IF(Simulations!$J45="",1000,Simulations!$J45)*SQRT(PI())/2*ERFC(SQRT(LN(Simulations!$BH45/IF(Simulations!$J45="",1000,Simulations!$J45))))),PI()*IF(Simulations!$U45="",200,Simulations!$U45)^2/2*(LN(Simulations!$BH45/IF(Simulations!$J45="",1000,Simulations!$J45))+1))))</f>
        <v>0</v>
      </c>
      <c r="J45" s="0" t="n">
        <f aca="false">IF(OR(NOT(AND(Simulations!$A45&lt;&gt;"",OR(Simulations!$BD45&lt;&gt;"",N(Simulations!$BF45)&gt;0))),N(Simulations!$BI45)&lt;=0,N(Simulations!$BF45)&lt;=0,3&gt;N(IF(Simulations!$O45="",1,Simulations!$O45))),0,IF(Simulations!$BI45&lt;IF(Simulations!$J45="",1000,Simulations!$J45),Simulations!$BF45/(IF(Simulations!$G45="",5000,Simulations!$G45)*IF(Simulations!$H45="",5000,Simulations!$H45)*IF(IF(Simulations!$I45="",5000,Simulations!$I45)&gt;0,IF(Simulations!$I45="",5000,Simulations!$I45),1))*Simulations!$BI45*(PI()/2*IF(Simulations!$V45="",200,Simulations!$V45)^2*IF(IF(Simulations!$I45="",5000,Simulations!$I45)&gt;0,SQRT(PI()/2)*IF(Simulations!$Y45="",1000,Simulations!$Y45),1)),Simulations!$BF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V45="",200,Simulations!$V45)^2*IF(Simulations!$Y45="",1000,Simulations!$Y45)/2^1.5*(2/3*LN(Simulations!$BI45/IF(Simulations!$J45="",1000,Simulations!$J45))^1.5+SQRT(LN(Simulations!$BI45/IF(Simulations!$J45="",1000,Simulations!$J45)))+Simulations!$BI45/IF(Simulations!$J45="",1000,Simulations!$J45)*SQRT(PI())/2*ERFC(SQRT(LN(Simulations!$BI45/IF(Simulations!$J45="",1000,Simulations!$J45))))),PI()*IF(Simulations!$V45="",200,Simulations!$V45)^2/2*(LN(Simulations!$BI45/IF(Simulations!$J45="",1000,Simulations!$J45))+1))))</f>
        <v>0</v>
      </c>
      <c r="K45" s="0" t="n">
        <f aca="false">IF(NOT(AND(Simulations!$A45&lt;&gt;"",OR(Simulations!$BD45&lt;&gt;"",N(Simulations!$BF45)&gt;0))),0,MAX(N(Simulations!$BG45),N(Simulations!$BH45),N(Simulations!$BI45))/IF(Simulations!$J45="",1000,Simulations!$J45))</f>
        <v>0</v>
      </c>
      <c r="L45" s="0" t="n">
        <f aca="false">IF(OR(NOT(AND(Simulations!$A45&lt;&gt;"",OR(Simulations!$BD45&lt;&gt;"",N(Simulations!$BF45)&gt;0))),N(Simulations!$BE45)&lt;=0),0,SQRT(2*Simulations!$BE45*1000000/(IF(Simulations!$J45="",1000,Simulations!$J45)*1000))/MIN(IF(Simulations!$T45="",200,Simulations!$T45),IF(Simulations!$U45="",200,Simulations!$U45),IF(Simulations!$V45="",200,Simulations!$V45)))</f>
        <v>0</v>
      </c>
      <c r="M45" s="0" t="n">
        <f aca="false">IF(AND(Simulations!$A45&lt;&gt;"",OR(Simulations!$BD45&lt;&gt;"",N(Simulations!$BF45)&gt;0)),1,0)</f>
        <v>0</v>
      </c>
      <c r="N45" s="0" t="n">
        <f aca="false">IF(OR(NOT(AND(Simulations!$A45&lt;&gt;"",OR(Simulations!$BV45&lt;&gt;"",N(Simulations!$BX45)&gt;0))),N(Simulations!$BY45)&lt;=0,N(Simulations!$BX45)&lt;=0,1&gt;N(IF(Simulations!$O45="",1,Simulations!$O45))),0,IF(Simulations!$BY45&lt;IF(Simulations!$J45="",1000,Simulations!$J45),Simulations!$BX45/(IF(Simulations!$G45="",5000,Simulations!$G45)*IF(Simulations!$H45="",5000,Simulations!$H45)*IF(IF(Simulations!$I45="",5000,Simulations!$I45)&gt;0,IF(Simulations!$I45="",5000,Simulations!$I45),1))*Simulations!$BY45*(PI()/2*IF(Simulations!$T45="",200,Simulations!$T45)^2*IF(IF(Simulations!$I45="",5000,Simulations!$I45)&gt;0,SQRT(PI()/2)*IF(Simulations!$W45="",1000,Simulations!$W45),1)),Simulations!$BX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T45="",200,Simulations!$T45)^2*IF(Simulations!$W45="",1000,Simulations!$W45)/2^1.5*(2/3*LN(Simulations!$BY45/IF(Simulations!$J45="",1000,Simulations!$J45))^1.5+SQRT(LN(Simulations!$BY45/IF(Simulations!$J45="",1000,Simulations!$J45)))+Simulations!$BY45/IF(Simulations!$J45="",1000,Simulations!$J45)*SQRT(PI())/2*ERFC(SQRT(LN(Simulations!$BY45/IF(Simulations!$J45="",1000,Simulations!$J45))))),PI()*IF(Simulations!$T45="",200,Simulations!$T45)^2/2*(LN(Simulations!$BY45/IF(Simulations!$J45="",1000,Simulations!$J45))+1))))</f>
        <v>0</v>
      </c>
      <c r="O45" s="0" t="n">
        <f aca="false">IF(OR(NOT(AND(Simulations!$A45&lt;&gt;"",OR(Simulations!$BV45&lt;&gt;"",N(Simulations!$BX45)&gt;0))),N(Simulations!$BZ45)&lt;=0,N(Simulations!$BX45)&lt;=0,2&gt;N(IF(Simulations!$O45="",1,Simulations!$O45))),0,IF(Simulations!$BZ45&lt;IF(Simulations!$J45="",1000,Simulations!$J45),Simulations!$BX45/(IF(Simulations!$G45="",5000,Simulations!$G45)*IF(Simulations!$H45="",5000,Simulations!$H45)*IF(IF(Simulations!$I45="",5000,Simulations!$I45)&gt;0,IF(Simulations!$I45="",5000,Simulations!$I45),1))*Simulations!$BZ45*(PI()/2*IF(Simulations!$U45="",200,Simulations!$U45)^2*IF(IF(Simulations!$I45="",5000,Simulations!$I45)&gt;0,SQRT(PI()/2)*IF(Simulations!$X45="",1000,Simulations!$X45),1)),Simulations!$BX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U45="",200,Simulations!$U45)^2*IF(Simulations!$X45="",1000,Simulations!$X45)/2^1.5*(2/3*LN(Simulations!$BZ45/IF(Simulations!$J45="",1000,Simulations!$J45))^1.5+SQRT(LN(Simulations!$BZ45/IF(Simulations!$J45="",1000,Simulations!$J45)))+Simulations!$BZ45/IF(Simulations!$J45="",1000,Simulations!$J45)*SQRT(PI())/2*ERFC(SQRT(LN(Simulations!$BZ45/IF(Simulations!$J45="",1000,Simulations!$J45))))),PI()*IF(Simulations!$U45="",200,Simulations!$U45)^2/2*(LN(Simulations!$BZ45/IF(Simulations!$J45="",1000,Simulations!$J45))+1))))</f>
        <v>0</v>
      </c>
      <c r="P45" s="0" t="n">
        <f aca="false">IF(OR(NOT(AND(Simulations!$A45&lt;&gt;"",OR(Simulations!$BV45&lt;&gt;"",N(Simulations!$BX45)&gt;0))),N(Simulations!$CA45)&lt;=0,N(Simulations!$BX45)&lt;=0,3&gt;N(IF(Simulations!$O45="",1,Simulations!$O45))),0,IF(Simulations!$CA45&lt;IF(Simulations!$J45="",1000,Simulations!$J45),Simulations!$BX45/(IF(Simulations!$G45="",5000,Simulations!$G45)*IF(Simulations!$H45="",5000,Simulations!$H45)*IF(IF(Simulations!$I45="",5000,Simulations!$I45)&gt;0,IF(Simulations!$I45="",5000,Simulations!$I45),1))*Simulations!$CA45*(PI()/2*IF(Simulations!$V45="",200,Simulations!$V45)^2*IF(IF(Simulations!$I45="",5000,Simulations!$I45)&gt;0,SQRT(PI()/2)*IF(Simulations!$Y45="",1000,Simulations!$Y45),1)),Simulations!$BX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V45="",200,Simulations!$V45)^2*IF(Simulations!$Y45="",1000,Simulations!$Y45)/2^1.5*(2/3*LN(Simulations!$CA45/IF(Simulations!$J45="",1000,Simulations!$J45))^1.5+SQRT(LN(Simulations!$CA45/IF(Simulations!$J45="",1000,Simulations!$J45)))+Simulations!$CA45/IF(Simulations!$J45="",1000,Simulations!$J45)*SQRT(PI())/2*ERFC(SQRT(LN(Simulations!$CA45/IF(Simulations!$J45="",1000,Simulations!$J45))))),PI()*IF(Simulations!$V45="",200,Simulations!$V45)^2/2*(LN(Simulations!$CA45/IF(Simulations!$J45="",1000,Simulations!$J45))+1))))</f>
        <v>0</v>
      </c>
      <c r="Q45" s="0" t="n">
        <f aca="false">IF(NOT(AND(Simulations!$A45&lt;&gt;"",OR(Simulations!$BV45&lt;&gt;"",N(Simulations!$BX45)&gt;0))),0,MAX(N(Simulations!$BY45),N(Simulations!$BZ45),N(Simulations!$CA45))/IF(Simulations!$J45="",1000,Simulations!$J45))</f>
        <v>0</v>
      </c>
      <c r="R45" s="0" t="n">
        <f aca="false">IF(OR(NOT(AND(Simulations!$A45&lt;&gt;"",OR(Simulations!$BV45&lt;&gt;"",N(Simulations!$BX45)&gt;0))),N(Simulations!$BW45)&lt;=0),0,SQRT(2*Simulations!$BW45*1000000/(IF(Simulations!$J45="",1000,Simulations!$J45)*1000))/MIN(IF(Simulations!$T45="",200,Simulations!$T45),IF(Simulations!$U45="",200,Simulations!$U45),IF(Simulations!$V45="",200,Simulations!$V45)))</f>
        <v>0</v>
      </c>
      <c r="S45" s="0" t="n">
        <f aca="false">IF(AND(Simulations!$A45&lt;&gt;"",OR(Simulations!$BV45&lt;&gt;"",N(Simulations!$BX45)&gt;0)),1,0)</f>
        <v>0</v>
      </c>
      <c r="T45" s="0" t="n">
        <f aca="false">IF(OR(NOT(AND(Simulations!$A45&lt;&gt;"",OR(Simulations!$CN45&lt;&gt;"",N(Simulations!$CP45)&gt;0))),N(Simulations!$CQ45)&lt;=0,N(Simulations!$CP45)&lt;=0,1&gt;N(IF(Simulations!$O45="",1,Simulations!$O45))),0,IF(Simulations!$CQ45&lt;IF(Simulations!$J45="",1000,Simulations!$J45),Simulations!$CP45/(IF(Simulations!$G45="",5000,Simulations!$G45)*IF(Simulations!$H45="",5000,Simulations!$H45)*IF(IF(Simulations!$I45="",5000,Simulations!$I45)&gt;0,IF(Simulations!$I45="",5000,Simulations!$I45),1))*Simulations!$CQ45*(PI()/2*IF(Simulations!$T45="",200,Simulations!$T45)^2*IF(IF(Simulations!$I45="",5000,Simulations!$I45)&gt;0,SQRT(PI()/2)*IF(Simulations!$W45="",1000,Simulations!$W45),1)),Simulations!$CP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T45="",200,Simulations!$T45)^2*IF(Simulations!$W45="",1000,Simulations!$W45)/2^1.5*(2/3*LN(Simulations!$CQ45/IF(Simulations!$J45="",1000,Simulations!$J45))^1.5+SQRT(LN(Simulations!$CQ45/IF(Simulations!$J45="",1000,Simulations!$J45)))+Simulations!$CQ45/IF(Simulations!$J45="",1000,Simulations!$J45)*SQRT(PI())/2*ERFC(SQRT(LN(Simulations!$CQ45/IF(Simulations!$J45="",1000,Simulations!$J45))))),PI()*IF(Simulations!$T45="",200,Simulations!$T45)^2/2*(LN(Simulations!$CQ45/IF(Simulations!$J45="",1000,Simulations!$J45))+1))))</f>
        <v>0</v>
      </c>
      <c r="U45" s="0" t="n">
        <f aca="false">IF(OR(NOT(AND(Simulations!$A45&lt;&gt;"",OR(Simulations!$CN45&lt;&gt;"",N(Simulations!$CP45)&gt;0))),N(Simulations!$CR45)&lt;=0,N(Simulations!$CP45)&lt;=0,2&gt;N(IF(Simulations!$O45="",1,Simulations!$O45))),0,IF(Simulations!$CR45&lt;IF(Simulations!$J45="",1000,Simulations!$J45),Simulations!$CP45/(IF(Simulations!$G45="",5000,Simulations!$G45)*IF(Simulations!$H45="",5000,Simulations!$H45)*IF(IF(Simulations!$I45="",5000,Simulations!$I45)&gt;0,IF(Simulations!$I45="",5000,Simulations!$I45),1))*Simulations!$CR45*(PI()/2*IF(Simulations!$U45="",200,Simulations!$U45)^2*IF(IF(Simulations!$I45="",5000,Simulations!$I45)&gt;0,SQRT(PI()/2)*IF(Simulations!$X45="",1000,Simulations!$X45),1)),Simulations!$CP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U45="",200,Simulations!$U45)^2*IF(Simulations!$X45="",1000,Simulations!$X45)/2^1.5*(2/3*LN(Simulations!$CR45/IF(Simulations!$J45="",1000,Simulations!$J45))^1.5+SQRT(LN(Simulations!$CR45/IF(Simulations!$J45="",1000,Simulations!$J45)))+Simulations!$CR45/IF(Simulations!$J45="",1000,Simulations!$J45)*SQRT(PI())/2*ERFC(SQRT(LN(Simulations!$CR45/IF(Simulations!$J45="",1000,Simulations!$J45))))),PI()*IF(Simulations!$U45="",200,Simulations!$U45)^2/2*(LN(Simulations!$CR45/IF(Simulations!$J45="",1000,Simulations!$J45))+1))))</f>
        <v>0</v>
      </c>
      <c r="V45" s="0" t="n">
        <f aca="false">IF(OR(NOT(AND(Simulations!$A45&lt;&gt;"",OR(Simulations!$CN45&lt;&gt;"",N(Simulations!$CP45)&gt;0))),N(Simulations!$CS45)&lt;=0,N(Simulations!$CP45)&lt;=0,3&gt;N(IF(Simulations!$O45="",1,Simulations!$O45))),0,IF(Simulations!$CS45&lt;IF(Simulations!$J45="",1000,Simulations!$J45),Simulations!$CP45/(IF(Simulations!$G45="",5000,Simulations!$G45)*IF(Simulations!$H45="",5000,Simulations!$H45)*IF(IF(Simulations!$I45="",5000,Simulations!$I45)&gt;0,IF(Simulations!$I45="",5000,Simulations!$I45),1))*Simulations!$CS45*(PI()/2*IF(Simulations!$V45="",200,Simulations!$V45)^2*IF(IF(Simulations!$I45="",5000,Simulations!$I45)&gt;0,SQRT(PI()/2)*IF(Simulations!$Y45="",1000,Simulations!$Y45),1)),Simulations!$CP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V45="",200,Simulations!$V45)^2*IF(Simulations!$Y45="",1000,Simulations!$Y45)/2^1.5*(2/3*LN(Simulations!$CS45/IF(Simulations!$J45="",1000,Simulations!$J45))^1.5+SQRT(LN(Simulations!$CS45/IF(Simulations!$J45="",1000,Simulations!$J45)))+Simulations!$CS45/IF(Simulations!$J45="",1000,Simulations!$J45)*SQRT(PI())/2*ERFC(SQRT(LN(Simulations!$CS45/IF(Simulations!$J45="",1000,Simulations!$J45))))),PI()*IF(Simulations!$V45="",200,Simulations!$V45)^2/2*(LN(Simulations!$CS45/IF(Simulations!$J45="",1000,Simulations!$J45))+1))))</f>
        <v>0</v>
      </c>
      <c r="W45" s="0" t="n">
        <f aca="false">IF(NOT(AND(Simulations!$A45&lt;&gt;"",OR(Simulations!$CN45&lt;&gt;"",N(Simulations!$CP45)&gt;0))),0,MAX(N(Simulations!$CQ45),N(Simulations!$CR45),N(Simulations!$CS45))/IF(Simulations!$J45="",1000,Simulations!$J45))</f>
        <v>0</v>
      </c>
      <c r="X45" s="0" t="n">
        <f aca="false">IF(OR(NOT(AND(Simulations!$A45&lt;&gt;"",OR(Simulations!$CN45&lt;&gt;"",N(Simulations!$CP45)&gt;0))),N(Simulations!$CO45)&lt;=0),0,SQRT(2*Simulations!$CO45*1000000/(IF(Simulations!$J45="",1000,Simulations!$J45)*1000))/MIN(IF(Simulations!$T45="",200,Simulations!$T45),IF(Simulations!$U45="",200,Simulations!$U45),IF(Simulations!$V45="",200,Simulations!$V45)))</f>
        <v>0</v>
      </c>
      <c r="Y45" s="0" t="n">
        <f aca="false">IF(AND(Simulations!$A45&lt;&gt;"",OR(Simulations!$CN45&lt;&gt;"",N(Simulations!$CP45)&gt;0)),1,0)</f>
        <v>0</v>
      </c>
      <c r="Z45" s="0" t="n">
        <f aca="false">IF(OR(NOT(AND(Simulations!$A45&lt;&gt;"",OR(Simulations!$DF45&lt;&gt;"",N(Simulations!$DH45)&gt;0))),N(Simulations!$DI45)&lt;=0,N(Simulations!$DH45)&lt;=0,1&gt;N(IF(Simulations!$O45="",1,Simulations!$O45))),0,IF(Simulations!$DI45&lt;IF(Simulations!$J45="",1000,Simulations!$J45),Simulations!$DH45/(IF(Simulations!$G45="",5000,Simulations!$G45)*IF(Simulations!$H45="",5000,Simulations!$H45)*IF(IF(Simulations!$I45="",5000,Simulations!$I45)&gt;0,IF(Simulations!$I45="",5000,Simulations!$I45),1))*Simulations!$DI45*(PI()/2*IF(Simulations!$T45="",200,Simulations!$T45)^2*IF(IF(Simulations!$I45="",5000,Simulations!$I45)&gt;0,SQRT(PI()/2)*IF(Simulations!$W45="",1000,Simulations!$W45),1)),Simulations!$DH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T45="",200,Simulations!$T45)^2*IF(Simulations!$W45="",1000,Simulations!$W45)/2^1.5*(2/3*LN(Simulations!$DI45/IF(Simulations!$J45="",1000,Simulations!$J45))^1.5+SQRT(LN(Simulations!$DI45/IF(Simulations!$J45="",1000,Simulations!$J45)))+Simulations!$DI45/IF(Simulations!$J45="",1000,Simulations!$J45)*SQRT(PI())/2*ERFC(SQRT(LN(Simulations!$DI45/IF(Simulations!$J45="",1000,Simulations!$J45))))),PI()*IF(Simulations!$T45="",200,Simulations!$T45)^2/2*(LN(Simulations!$DI45/IF(Simulations!$J45="",1000,Simulations!$J45))+1))))</f>
        <v>0</v>
      </c>
      <c r="AA45" s="0" t="n">
        <f aca="false">IF(OR(NOT(AND(Simulations!$A45&lt;&gt;"",OR(Simulations!$DF45&lt;&gt;"",N(Simulations!$DH45)&gt;0))),N(Simulations!$DJ45)&lt;=0,N(Simulations!$DH45)&lt;=0,2&gt;N(IF(Simulations!$O45="",1,Simulations!$O45))),0,IF(Simulations!$DJ45&lt;IF(Simulations!$J45="",1000,Simulations!$J45),Simulations!$DH45/(IF(Simulations!$G45="",5000,Simulations!$G45)*IF(Simulations!$H45="",5000,Simulations!$H45)*IF(IF(Simulations!$I45="",5000,Simulations!$I45)&gt;0,IF(Simulations!$I45="",5000,Simulations!$I45),1))*Simulations!$DJ45*(PI()/2*IF(Simulations!$U45="",200,Simulations!$U45)^2*IF(IF(Simulations!$I45="",5000,Simulations!$I45)&gt;0,SQRT(PI()/2)*IF(Simulations!$X45="",1000,Simulations!$X45),1)),Simulations!$DH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U45="",200,Simulations!$U45)^2*IF(Simulations!$X45="",1000,Simulations!$X45)/2^1.5*(2/3*LN(Simulations!$DJ45/IF(Simulations!$J45="",1000,Simulations!$J45))^1.5+SQRT(LN(Simulations!$DJ45/IF(Simulations!$J45="",1000,Simulations!$J45)))+Simulations!$DJ45/IF(Simulations!$J45="",1000,Simulations!$J45)*SQRT(PI())/2*ERFC(SQRT(LN(Simulations!$DJ45/IF(Simulations!$J45="",1000,Simulations!$J45))))),PI()*IF(Simulations!$U45="",200,Simulations!$U45)^2/2*(LN(Simulations!$DJ45/IF(Simulations!$J45="",1000,Simulations!$J45))+1))))</f>
        <v>0</v>
      </c>
      <c r="AB45" s="0" t="n">
        <f aca="false">IF(OR(NOT(AND(Simulations!$A45&lt;&gt;"",OR(Simulations!$DF45&lt;&gt;"",N(Simulations!$DH45)&gt;0))),N(Simulations!$DK45)&lt;=0,N(Simulations!$DH45)&lt;=0,3&gt;N(IF(Simulations!$O45="",1,Simulations!$O45))),0,IF(Simulations!$DK45&lt;IF(Simulations!$J45="",1000,Simulations!$J45),Simulations!$DH45/(IF(Simulations!$G45="",5000,Simulations!$G45)*IF(Simulations!$H45="",5000,Simulations!$H45)*IF(IF(Simulations!$I45="",5000,Simulations!$I45)&gt;0,IF(Simulations!$I45="",5000,Simulations!$I45),1))*Simulations!$DK45*(PI()/2*IF(Simulations!$V45="",200,Simulations!$V45)^2*IF(IF(Simulations!$I45="",5000,Simulations!$I45)&gt;0,SQRT(PI()/2)*IF(Simulations!$Y45="",1000,Simulations!$Y45),1)),Simulations!$DH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V45="",200,Simulations!$V45)^2*IF(Simulations!$Y45="",1000,Simulations!$Y45)/2^1.5*(2/3*LN(Simulations!$DK45/IF(Simulations!$J45="",1000,Simulations!$J45))^1.5+SQRT(LN(Simulations!$DK45/IF(Simulations!$J45="",1000,Simulations!$J45)))+Simulations!$DK45/IF(Simulations!$J45="",1000,Simulations!$J45)*SQRT(PI())/2*ERFC(SQRT(LN(Simulations!$DK45/IF(Simulations!$J45="",1000,Simulations!$J45))))),PI()*IF(Simulations!$V45="",200,Simulations!$V45)^2/2*(LN(Simulations!$DK45/IF(Simulations!$J45="",1000,Simulations!$J45))+1))))</f>
        <v>0</v>
      </c>
      <c r="AC45" s="0" t="n">
        <f aca="false">IF(NOT(AND(Simulations!$A45&lt;&gt;"",OR(Simulations!$DF45&lt;&gt;"",N(Simulations!$DH45)&gt;0))),0,MAX(N(Simulations!$DI45),N(Simulations!$DJ45),N(Simulations!$DK45))/IF(Simulations!$J45="",1000,Simulations!$J45))</f>
        <v>0</v>
      </c>
      <c r="AD45" s="0" t="n">
        <f aca="false">IF(OR(NOT(AND(Simulations!$A45&lt;&gt;"",OR(Simulations!$DF45&lt;&gt;"",N(Simulations!$DH45)&gt;0))),N(Simulations!$DG45)&lt;=0),0,SQRT(2*Simulations!$DG45*1000000/(IF(Simulations!$J45="",1000,Simulations!$J45)*1000))/MIN(IF(Simulations!$T45="",200,Simulations!$T45),IF(Simulations!$U45="",200,Simulations!$U45),IF(Simulations!$V45="",200,Simulations!$V45)))</f>
        <v>0</v>
      </c>
      <c r="AE45" s="0" t="n">
        <f aca="false">IF(AND(Simulations!$A45&lt;&gt;"",OR(Simulations!$DF45&lt;&gt;"",N(Simulations!$DH45)&gt;0)),1,0)</f>
        <v>0</v>
      </c>
      <c r="AF45" s="0" t="n">
        <f aca="false">IF(OR(NOT(AND(Simulations!$A45&lt;&gt;"",OR(Simulations!$DX45&lt;&gt;"",N(Simulations!$DZ45)&gt;0))),N(Simulations!$EA45)&lt;=0,N(Simulations!$DZ45)&lt;=0,1&gt;N(IF(Simulations!$O45="",1,Simulations!$O45))),0,IF(Simulations!$EA45&lt;IF(Simulations!$J45="",1000,Simulations!$J45),Simulations!$DZ45/(IF(Simulations!$G45="",5000,Simulations!$G45)*IF(Simulations!$H45="",5000,Simulations!$H45)*IF(IF(Simulations!$I45="",5000,Simulations!$I45)&gt;0,IF(Simulations!$I45="",5000,Simulations!$I45),1))*Simulations!$EA45*(PI()/2*IF(Simulations!$T45="",200,Simulations!$T45)^2*IF(IF(Simulations!$I45="",5000,Simulations!$I45)&gt;0,SQRT(PI()/2)*IF(Simulations!$W45="",1000,Simulations!$W45),1)),Simulations!$DZ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T45="",200,Simulations!$T45)^2*IF(Simulations!$W45="",1000,Simulations!$W45)/2^1.5*(2/3*LN(Simulations!$EA45/IF(Simulations!$J45="",1000,Simulations!$J45))^1.5+SQRT(LN(Simulations!$EA45/IF(Simulations!$J45="",1000,Simulations!$J45)))+Simulations!$EA45/IF(Simulations!$J45="",1000,Simulations!$J45)*SQRT(PI())/2*ERFC(SQRT(LN(Simulations!$EA45/IF(Simulations!$J45="",1000,Simulations!$J45))))),PI()*IF(Simulations!$T45="",200,Simulations!$T45)^2/2*(LN(Simulations!$EA45/IF(Simulations!$J45="",1000,Simulations!$J45))+1))))</f>
        <v>0</v>
      </c>
      <c r="AG45" s="0" t="n">
        <f aca="false">IF(OR(NOT(AND(Simulations!$A45&lt;&gt;"",OR(Simulations!$DX45&lt;&gt;"",N(Simulations!$DZ45)&gt;0))),N(Simulations!$EB45)&lt;=0,N(Simulations!$DZ45)&lt;=0,2&gt;N(IF(Simulations!$O45="",1,Simulations!$O45))),0,IF(Simulations!$EB45&lt;IF(Simulations!$J45="",1000,Simulations!$J45),Simulations!$DZ45/(IF(Simulations!$G45="",5000,Simulations!$G45)*IF(Simulations!$H45="",5000,Simulations!$H45)*IF(IF(Simulations!$I45="",5000,Simulations!$I45)&gt;0,IF(Simulations!$I45="",5000,Simulations!$I45),1))*Simulations!$EB45*(PI()/2*IF(Simulations!$U45="",200,Simulations!$U45)^2*IF(IF(Simulations!$I45="",5000,Simulations!$I45)&gt;0,SQRT(PI()/2)*IF(Simulations!$X45="",1000,Simulations!$X45),1)),Simulations!$DZ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U45="",200,Simulations!$U45)^2*IF(Simulations!$X45="",1000,Simulations!$X45)/2^1.5*(2/3*LN(Simulations!$EB45/IF(Simulations!$J45="",1000,Simulations!$J45))^1.5+SQRT(LN(Simulations!$EB45/IF(Simulations!$J45="",1000,Simulations!$J45)))+Simulations!$EB45/IF(Simulations!$J45="",1000,Simulations!$J45)*SQRT(PI())/2*ERFC(SQRT(LN(Simulations!$EB45/IF(Simulations!$J45="",1000,Simulations!$J45))))),PI()*IF(Simulations!$U45="",200,Simulations!$U45)^2/2*(LN(Simulations!$EB45/IF(Simulations!$J45="",1000,Simulations!$J45))+1))))</f>
        <v>0</v>
      </c>
      <c r="AH45" s="0" t="n">
        <f aca="false">IF(OR(NOT(AND(Simulations!$A45&lt;&gt;"",OR(Simulations!$DX45&lt;&gt;"",N(Simulations!$DZ45)&gt;0))),N(Simulations!$EC45)&lt;=0,N(Simulations!$DZ45)&lt;=0,3&gt;N(IF(Simulations!$O45="",1,Simulations!$O45))),0,IF(Simulations!$EC45&lt;IF(Simulations!$J45="",1000,Simulations!$J45),Simulations!$DZ45/(IF(Simulations!$G45="",5000,Simulations!$G45)*IF(Simulations!$H45="",5000,Simulations!$H45)*IF(IF(Simulations!$I45="",5000,Simulations!$I45)&gt;0,IF(Simulations!$I45="",5000,Simulations!$I45),1))*Simulations!$EC45*(PI()/2*IF(Simulations!$V45="",200,Simulations!$V45)^2*IF(IF(Simulations!$I45="",5000,Simulations!$I45)&gt;0,SQRT(PI()/2)*IF(Simulations!$Y45="",1000,Simulations!$Y45),1)),Simulations!$DZ45/(IF(Simulations!$G45="",5000,Simulations!$G45)*IF(Simulations!$H45="",5000,Simulations!$H45)*IF(IF(Simulations!$I45="",5000,Simulations!$I45)&gt;0,IF(Simulations!$I45="",5000,Simulations!$I45),1))*IF(Simulations!$J45="",1000,Simulations!$J45)*IF(IF(Simulations!$I45="",5000,Simulations!$I45)&gt;0,2*PI()*IF(Simulations!$V45="",200,Simulations!$V45)^2*IF(Simulations!$Y45="",1000,Simulations!$Y45)/2^1.5*(2/3*LN(Simulations!$EC45/IF(Simulations!$J45="",1000,Simulations!$J45))^1.5+SQRT(LN(Simulations!$EC45/IF(Simulations!$J45="",1000,Simulations!$J45)))+Simulations!$EC45/IF(Simulations!$J45="",1000,Simulations!$J45)*SQRT(PI())/2*ERFC(SQRT(LN(Simulations!$EC45/IF(Simulations!$J45="",1000,Simulations!$J45))))),PI()*IF(Simulations!$V45="",200,Simulations!$V45)^2/2*(LN(Simulations!$EC45/IF(Simulations!$J45="",1000,Simulations!$J45))+1))))</f>
        <v>0</v>
      </c>
      <c r="AI45" s="0" t="n">
        <f aca="false">IF(NOT(AND(Simulations!$A45&lt;&gt;"",OR(Simulations!$DX45&lt;&gt;"",N(Simulations!$DZ45)&gt;0))),0,MAX(N(Simulations!$EA45),N(Simulations!$EB45),N(Simulations!$EC45))/IF(Simulations!$J45="",1000,Simulations!$J45))</f>
        <v>0</v>
      </c>
      <c r="AJ45" s="0" t="n">
        <f aca="false">IF(OR(NOT(AND(Simulations!$A45&lt;&gt;"",OR(Simulations!$DX45&lt;&gt;"",N(Simulations!$DZ45)&gt;0))),N(Simulations!$DY45)&lt;=0),0,SQRT(2*Simulations!$DY45*1000000/(IF(Simulations!$J45="",1000,Simulations!$J45)*1000))/MIN(IF(Simulations!$T45="",200,Simulations!$T45),IF(Simulations!$U45="",200,Simulations!$U45),IF(Simulations!$V45="",200,Simulations!$V45)))</f>
        <v>0</v>
      </c>
      <c r="AK45" s="0" t="n">
        <f aca="false">IF(AND(Simulations!$A45&lt;&gt;"",OR(Simulations!$DX45&lt;&gt;"",N(Simulations!$DZ45)&gt;0)),1,0)</f>
        <v>0</v>
      </c>
    </row>
    <row r="46" customFormat="false" ht="15" hidden="false" customHeight="false" outlineLevel="0" collapsed="false">
      <c r="B46" s="0" t="n">
        <f aca="false">IF(OR(NOT(AND(Simulations!$A46&lt;&gt;"",OR(Simulations!$AL46&lt;&gt;"",N(Simulations!$AN46)&gt;0))),N(Simulations!$AO46)&lt;=0,N(Simulations!$AN46)&lt;=0,1&gt;N(IF(Simulations!$O46="",1,Simulations!$O46))),0,IF(Simulations!$AO46&lt;IF(Simulations!$J46="",1000,Simulations!$J46),Simulations!$AN46/(IF(Simulations!$G46="",5000,Simulations!$G46)*IF(Simulations!$H46="",5000,Simulations!$H46)*IF(IF(Simulations!$I46="",5000,Simulations!$I46)&gt;0,IF(Simulations!$I46="",5000,Simulations!$I46),1))*Simulations!$AO46*(PI()/2*IF(Simulations!$T46="",200,Simulations!$T46)^2*IF(IF(Simulations!$I46="",5000,Simulations!$I46)&gt;0,SQRT(PI()/2)*IF(Simulations!$W46="",1000,Simulations!$W46),1)),Simulations!$AN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T46="",200,Simulations!$T46)^2*IF(Simulations!$W46="",1000,Simulations!$W46)/2^1.5*(2/3*LN(Simulations!$AO46/IF(Simulations!$J46="",1000,Simulations!$J46))^1.5+SQRT(LN(Simulations!$AO46/IF(Simulations!$J46="",1000,Simulations!$J46)))+Simulations!$AO46/IF(Simulations!$J46="",1000,Simulations!$J46)*SQRT(PI())/2*ERFC(SQRT(LN(Simulations!$AO46/IF(Simulations!$J46="",1000,Simulations!$J46))))),PI()*IF(Simulations!$T46="",200,Simulations!$T46)^2/2*(LN(Simulations!$AO46/IF(Simulations!$J46="",1000,Simulations!$J46))+1))))</f>
        <v>0</v>
      </c>
      <c r="C46" s="0" t="n">
        <f aca="false">IF(OR(NOT(AND(Simulations!$A46&lt;&gt;"",OR(Simulations!$AL46&lt;&gt;"",N(Simulations!$AN46)&gt;0))),N(Simulations!$AP46)&lt;=0,N(Simulations!$AN46)&lt;=0,2&gt;N(IF(Simulations!$O46="",1,Simulations!$O46))),0,IF(Simulations!$AP46&lt;IF(Simulations!$J46="",1000,Simulations!$J46),Simulations!$AN46/(IF(Simulations!$G46="",5000,Simulations!$G46)*IF(Simulations!$H46="",5000,Simulations!$H46)*IF(IF(Simulations!$I46="",5000,Simulations!$I46)&gt;0,IF(Simulations!$I46="",5000,Simulations!$I46),1))*Simulations!$AP46*(PI()/2*IF(Simulations!$U46="",200,Simulations!$U46)^2*IF(IF(Simulations!$I46="",5000,Simulations!$I46)&gt;0,SQRT(PI()/2)*IF(Simulations!$X46="",1000,Simulations!$X46),1)),Simulations!$AN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U46="",200,Simulations!$U46)^2*IF(Simulations!$X46="",1000,Simulations!$X46)/2^1.5*(2/3*LN(Simulations!$AP46/IF(Simulations!$J46="",1000,Simulations!$J46))^1.5+SQRT(LN(Simulations!$AP46/IF(Simulations!$J46="",1000,Simulations!$J46)))+Simulations!$AP46/IF(Simulations!$J46="",1000,Simulations!$J46)*SQRT(PI())/2*ERFC(SQRT(LN(Simulations!$AP46/IF(Simulations!$J46="",1000,Simulations!$J46))))),PI()*IF(Simulations!$U46="",200,Simulations!$U46)^2/2*(LN(Simulations!$AP46/IF(Simulations!$J46="",1000,Simulations!$J46))+1))))</f>
        <v>0</v>
      </c>
      <c r="D46" s="0" t="n">
        <f aca="false">IF(OR(NOT(AND(Simulations!$A46&lt;&gt;"",OR(Simulations!$AL46&lt;&gt;"",N(Simulations!$AN46)&gt;0))),N(Simulations!$AQ46)&lt;=0,N(Simulations!$AN46)&lt;=0,3&gt;N(IF(Simulations!$O46="",1,Simulations!$O46))),0,IF(Simulations!$AQ46&lt;IF(Simulations!$J46="",1000,Simulations!$J46),Simulations!$AN46/(IF(Simulations!$G46="",5000,Simulations!$G46)*IF(Simulations!$H46="",5000,Simulations!$H46)*IF(IF(Simulations!$I46="",5000,Simulations!$I46)&gt;0,IF(Simulations!$I46="",5000,Simulations!$I46),1))*Simulations!$AQ46*(PI()/2*IF(Simulations!$V46="",200,Simulations!$V46)^2*IF(IF(Simulations!$I46="",5000,Simulations!$I46)&gt;0,SQRT(PI()/2)*IF(Simulations!$Y46="",1000,Simulations!$Y46),1)),Simulations!$AN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V46="",200,Simulations!$V46)^2*IF(Simulations!$Y46="",1000,Simulations!$Y46)/2^1.5*(2/3*LN(Simulations!$AQ46/IF(Simulations!$J46="",1000,Simulations!$J46))^1.5+SQRT(LN(Simulations!$AQ46/IF(Simulations!$J46="",1000,Simulations!$J46)))+Simulations!$AQ46/IF(Simulations!$J46="",1000,Simulations!$J46)*SQRT(PI())/2*ERFC(SQRT(LN(Simulations!$AQ46/IF(Simulations!$J46="",1000,Simulations!$J46))))),PI()*IF(Simulations!$V46="",200,Simulations!$V46)^2/2*(LN(Simulations!$AQ46/IF(Simulations!$J46="",1000,Simulations!$J46))+1))))</f>
        <v>0</v>
      </c>
      <c r="E46" s="0" t="n">
        <f aca="false">IF(NOT(AND(Simulations!$A46&lt;&gt;"",OR(Simulations!$AL46&lt;&gt;"",N(Simulations!$AN46)&gt;0))),0,MAX(N(Simulations!$AO46),N(Simulations!$AP46),N(Simulations!$AQ46))/IF(Simulations!$J46="",1000,Simulations!$J46))</f>
        <v>0</v>
      </c>
      <c r="F46" s="0" t="n">
        <f aca="false">IF(OR(NOT(AND(Simulations!$A46&lt;&gt;"",OR(Simulations!$AL46&lt;&gt;"",N(Simulations!$AN46)&gt;0))),N(Simulations!$AM46)&lt;=0),0,SQRT(2*Simulations!$AM46*1000000/(IF(Simulations!$J46="",1000,Simulations!$J46)*1000))/MIN(IF(Simulations!$T46="",200,Simulations!$T46),IF(Simulations!$U46="",200,Simulations!$U46),IF(Simulations!$V46="",200,Simulations!$V46)))</f>
        <v>0</v>
      </c>
      <c r="G46" s="0" t="n">
        <f aca="false">IF(AND(Simulations!$A46&lt;&gt;"",OR(Simulations!$AL46&lt;&gt;"",N(Simulations!$AN46)&gt;0)),1,0)</f>
        <v>0</v>
      </c>
      <c r="H46" s="0" t="n">
        <f aca="false">IF(OR(NOT(AND(Simulations!$A46&lt;&gt;"",OR(Simulations!$BD46&lt;&gt;"",N(Simulations!$BF46)&gt;0))),N(Simulations!$BG46)&lt;=0,N(Simulations!$BF46)&lt;=0,1&gt;N(IF(Simulations!$O46="",1,Simulations!$O46))),0,IF(Simulations!$BG46&lt;IF(Simulations!$J46="",1000,Simulations!$J46),Simulations!$BF46/(IF(Simulations!$G46="",5000,Simulations!$G46)*IF(Simulations!$H46="",5000,Simulations!$H46)*IF(IF(Simulations!$I46="",5000,Simulations!$I46)&gt;0,IF(Simulations!$I46="",5000,Simulations!$I46),1))*Simulations!$BG46*(PI()/2*IF(Simulations!$T46="",200,Simulations!$T46)^2*IF(IF(Simulations!$I46="",5000,Simulations!$I46)&gt;0,SQRT(PI()/2)*IF(Simulations!$W46="",1000,Simulations!$W46),1)),Simulations!$BF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T46="",200,Simulations!$T46)^2*IF(Simulations!$W46="",1000,Simulations!$W46)/2^1.5*(2/3*LN(Simulations!$BG46/IF(Simulations!$J46="",1000,Simulations!$J46))^1.5+SQRT(LN(Simulations!$BG46/IF(Simulations!$J46="",1000,Simulations!$J46)))+Simulations!$BG46/IF(Simulations!$J46="",1000,Simulations!$J46)*SQRT(PI())/2*ERFC(SQRT(LN(Simulations!$BG46/IF(Simulations!$J46="",1000,Simulations!$J46))))),PI()*IF(Simulations!$T46="",200,Simulations!$T46)^2/2*(LN(Simulations!$BG46/IF(Simulations!$J46="",1000,Simulations!$J46))+1))))</f>
        <v>0</v>
      </c>
      <c r="I46" s="0" t="n">
        <f aca="false">IF(OR(NOT(AND(Simulations!$A46&lt;&gt;"",OR(Simulations!$BD46&lt;&gt;"",N(Simulations!$BF46)&gt;0))),N(Simulations!$BH46)&lt;=0,N(Simulations!$BF46)&lt;=0,2&gt;N(IF(Simulations!$O46="",1,Simulations!$O46))),0,IF(Simulations!$BH46&lt;IF(Simulations!$J46="",1000,Simulations!$J46),Simulations!$BF46/(IF(Simulations!$G46="",5000,Simulations!$G46)*IF(Simulations!$H46="",5000,Simulations!$H46)*IF(IF(Simulations!$I46="",5000,Simulations!$I46)&gt;0,IF(Simulations!$I46="",5000,Simulations!$I46),1))*Simulations!$BH46*(PI()/2*IF(Simulations!$U46="",200,Simulations!$U46)^2*IF(IF(Simulations!$I46="",5000,Simulations!$I46)&gt;0,SQRT(PI()/2)*IF(Simulations!$X46="",1000,Simulations!$X46),1)),Simulations!$BF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U46="",200,Simulations!$U46)^2*IF(Simulations!$X46="",1000,Simulations!$X46)/2^1.5*(2/3*LN(Simulations!$BH46/IF(Simulations!$J46="",1000,Simulations!$J46))^1.5+SQRT(LN(Simulations!$BH46/IF(Simulations!$J46="",1000,Simulations!$J46)))+Simulations!$BH46/IF(Simulations!$J46="",1000,Simulations!$J46)*SQRT(PI())/2*ERFC(SQRT(LN(Simulations!$BH46/IF(Simulations!$J46="",1000,Simulations!$J46))))),PI()*IF(Simulations!$U46="",200,Simulations!$U46)^2/2*(LN(Simulations!$BH46/IF(Simulations!$J46="",1000,Simulations!$J46))+1))))</f>
        <v>0</v>
      </c>
      <c r="J46" s="0" t="n">
        <f aca="false">IF(OR(NOT(AND(Simulations!$A46&lt;&gt;"",OR(Simulations!$BD46&lt;&gt;"",N(Simulations!$BF46)&gt;0))),N(Simulations!$BI46)&lt;=0,N(Simulations!$BF46)&lt;=0,3&gt;N(IF(Simulations!$O46="",1,Simulations!$O46))),0,IF(Simulations!$BI46&lt;IF(Simulations!$J46="",1000,Simulations!$J46),Simulations!$BF46/(IF(Simulations!$G46="",5000,Simulations!$G46)*IF(Simulations!$H46="",5000,Simulations!$H46)*IF(IF(Simulations!$I46="",5000,Simulations!$I46)&gt;0,IF(Simulations!$I46="",5000,Simulations!$I46),1))*Simulations!$BI46*(PI()/2*IF(Simulations!$V46="",200,Simulations!$V46)^2*IF(IF(Simulations!$I46="",5000,Simulations!$I46)&gt;0,SQRT(PI()/2)*IF(Simulations!$Y46="",1000,Simulations!$Y46),1)),Simulations!$BF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V46="",200,Simulations!$V46)^2*IF(Simulations!$Y46="",1000,Simulations!$Y46)/2^1.5*(2/3*LN(Simulations!$BI46/IF(Simulations!$J46="",1000,Simulations!$J46))^1.5+SQRT(LN(Simulations!$BI46/IF(Simulations!$J46="",1000,Simulations!$J46)))+Simulations!$BI46/IF(Simulations!$J46="",1000,Simulations!$J46)*SQRT(PI())/2*ERFC(SQRT(LN(Simulations!$BI46/IF(Simulations!$J46="",1000,Simulations!$J46))))),PI()*IF(Simulations!$V46="",200,Simulations!$V46)^2/2*(LN(Simulations!$BI46/IF(Simulations!$J46="",1000,Simulations!$J46))+1))))</f>
        <v>0</v>
      </c>
      <c r="K46" s="0" t="n">
        <f aca="false">IF(NOT(AND(Simulations!$A46&lt;&gt;"",OR(Simulations!$BD46&lt;&gt;"",N(Simulations!$BF46)&gt;0))),0,MAX(N(Simulations!$BG46),N(Simulations!$BH46),N(Simulations!$BI46))/IF(Simulations!$J46="",1000,Simulations!$J46))</f>
        <v>0</v>
      </c>
      <c r="L46" s="0" t="n">
        <f aca="false">IF(OR(NOT(AND(Simulations!$A46&lt;&gt;"",OR(Simulations!$BD46&lt;&gt;"",N(Simulations!$BF46)&gt;0))),N(Simulations!$BE46)&lt;=0),0,SQRT(2*Simulations!$BE46*1000000/(IF(Simulations!$J46="",1000,Simulations!$J46)*1000))/MIN(IF(Simulations!$T46="",200,Simulations!$T46),IF(Simulations!$U46="",200,Simulations!$U46),IF(Simulations!$V46="",200,Simulations!$V46)))</f>
        <v>0</v>
      </c>
      <c r="M46" s="0" t="n">
        <f aca="false">IF(AND(Simulations!$A46&lt;&gt;"",OR(Simulations!$BD46&lt;&gt;"",N(Simulations!$BF46)&gt;0)),1,0)</f>
        <v>0</v>
      </c>
      <c r="N46" s="0" t="n">
        <f aca="false">IF(OR(NOT(AND(Simulations!$A46&lt;&gt;"",OR(Simulations!$BV46&lt;&gt;"",N(Simulations!$BX46)&gt;0))),N(Simulations!$BY46)&lt;=0,N(Simulations!$BX46)&lt;=0,1&gt;N(IF(Simulations!$O46="",1,Simulations!$O46))),0,IF(Simulations!$BY46&lt;IF(Simulations!$J46="",1000,Simulations!$J46),Simulations!$BX46/(IF(Simulations!$G46="",5000,Simulations!$G46)*IF(Simulations!$H46="",5000,Simulations!$H46)*IF(IF(Simulations!$I46="",5000,Simulations!$I46)&gt;0,IF(Simulations!$I46="",5000,Simulations!$I46),1))*Simulations!$BY46*(PI()/2*IF(Simulations!$T46="",200,Simulations!$T46)^2*IF(IF(Simulations!$I46="",5000,Simulations!$I46)&gt;0,SQRT(PI()/2)*IF(Simulations!$W46="",1000,Simulations!$W46),1)),Simulations!$BX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T46="",200,Simulations!$T46)^2*IF(Simulations!$W46="",1000,Simulations!$W46)/2^1.5*(2/3*LN(Simulations!$BY46/IF(Simulations!$J46="",1000,Simulations!$J46))^1.5+SQRT(LN(Simulations!$BY46/IF(Simulations!$J46="",1000,Simulations!$J46)))+Simulations!$BY46/IF(Simulations!$J46="",1000,Simulations!$J46)*SQRT(PI())/2*ERFC(SQRT(LN(Simulations!$BY46/IF(Simulations!$J46="",1000,Simulations!$J46))))),PI()*IF(Simulations!$T46="",200,Simulations!$T46)^2/2*(LN(Simulations!$BY46/IF(Simulations!$J46="",1000,Simulations!$J46))+1))))</f>
        <v>0</v>
      </c>
      <c r="O46" s="0" t="n">
        <f aca="false">IF(OR(NOT(AND(Simulations!$A46&lt;&gt;"",OR(Simulations!$BV46&lt;&gt;"",N(Simulations!$BX46)&gt;0))),N(Simulations!$BZ46)&lt;=0,N(Simulations!$BX46)&lt;=0,2&gt;N(IF(Simulations!$O46="",1,Simulations!$O46))),0,IF(Simulations!$BZ46&lt;IF(Simulations!$J46="",1000,Simulations!$J46),Simulations!$BX46/(IF(Simulations!$G46="",5000,Simulations!$G46)*IF(Simulations!$H46="",5000,Simulations!$H46)*IF(IF(Simulations!$I46="",5000,Simulations!$I46)&gt;0,IF(Simulations!$I46="",5000,Simulations!$I46),1))*Simulations!$BZ46*(PI()/2*IF(Simulations!$U46="",200,Simulations!$U46)^2*IF(IF(Simulations!$I46="",5000,Simulations!$I46)&gt;0,SQRT(PI()/2)*IF(Simulations!$X46="",1000,Simulations!$X46),1)),Simulations!$BX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U46="",200,Simulations!$U46)^2*IF(Simulations!$X46="",1000,Simulations!$X46)/2^1.5*(2/3*LN(Simulations!$BZ46/IF(Simulations!$J46="",1000,Simulations!$J46))^1.5+SQRT(LN(Simulations!$BZ46/IF(Simulations!$J46="",1000,Simulations!$J46)))+Simulations!$BZ46/IF(Simulations!$J46="",1000,Simulations!$J46)*SQRT(PI())/2*ERFC(SQRT(LN(Simulations!$BZ46/IF(Simulations!$J46="",1000,Simulations!$J46))))),PI()*IF(Simulations!$U46="",200,Simulations!$U46)^2/2*(LN(Simulations!$BZ46/IF(Simulations!$J46="",1000,Simulations!$J46))+1))))</f>
        <v>0</v>
      </c>
      <c r="P46" s="0" t="n">
        <f aca="false">IF(OR(NOT(AND(Simulations!$A46&lt;&gt;"",OR(Simulations!$BV46&lt;&gt;"",N(Simulations!$BX46)&gt;0))),N(Simulations!$CA46)&lt;=0,N(Simulations!$BX46)&lt;=0,3&gt;N(IF(Simulations!$O46="",1,Simulations!$O46))),0,IF(Simulations!$CA46&lt;IF(Simulations!$J46="",1000,Simulations!$J46),Simulations!$BX46/(IF(Simulations!$G46="",5000,Simulations!$G46)*IF(Simulations!$H46="",5000,Simulations!$H46)*IF(IF(Simulations!$I46="",5000,Simulations!$I46)&gt;0,IF(Simulations!$I46="",5000,Simulations!$I46),1))*Simulations!$CA46*(PI()/2*IF(Simulations!$V46="",200,Simulations!$V46)^2*IF(IF(Simulations!$I46="",5000,Simulations!$I46)&gt;0,SQRT(PI()/2)*IF(Simulations!$Y46="",1000,Simulations!$Y46),1)),Simulations!$BX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V46="",200,Simulations!$V46)^2*IF(Simulations!$Y46="",1000,Simulations!$Y46)/2^1.5*(2/3*LN(Simulations!$CA46/IF(Simulations!$J46="",1000,Simulations!$J46))^1.5+SQRT(LN(Simulations!$CA46/IF(Simulations!$J46="",1000,Simulations!$J46)))+Simulations!$CA46/IF(Simulations!$J46="",1000,Simulations!$J46)*SQRT(PI())/2*ERFC(SQRT(LN(Simulations!$CA46/IF(Simulations!$J46="",1000,Simulations!$J46))))),PI()*IF(Simulations!$V46="",200,Simulations!$V46)^2/2*(LN(Simulations!$CA46/IF(Simulations!$J46="",1000,Simulations!$J46))+1))))</f>
        <v>0</v>
      </c>
      <c r="Q46" s="0" t="n">
        <f aca="false">IF(NOT(AND(Simulations!$A46&lt;&gt;"",OR(Simulations!$BV46&lt;&gt;"",N(Simulations!$BX46)&gt;0))),0,MAX(N(Simulations!$BY46),N(Simulations!$BZ46),N(Simulations!$CA46))/IF(Simulations!$J46="",1000,Simulations!$J46))</f>
        <v>0</v>
      </c>
      <c r="R46" s="0" t="n">
        <f aca="false">IF(OR(NOT(AND(Simulations!$A46&lt;&gt;"",OR(Simulations!$BV46&lt;&gt;"",N(Simulations!$BX46)&gt;0))),N(Simulations!$BW46)&lt;=0),0,SQRT(2*Simulations!$BW46*1000000/(IF(Simulations!$J46="",1000,Simulations!$J46)*1000))/MIN(IF(Simulations!$T46="",200,Simulations!$T46),IF(Simulations!$U46="",200,Simulations!$U46),IF(Simulations!$V46="",200,Simulations!$V46)))</f>
        <v>0</v>
      </c>
      <c r="S46" s="0" t="n">
        <f aca="false">IF(AND(Simulations!$A46&lt;&gt;"",OR(Simulations!$BV46&lt;&gt;"",N(Simulations!$BX46)&gt;0)),1,0)</f>
        <v>0</v>
      </c>
      <c r="T46" s="0" t="n">
        <f aca="false">IF(OR(NOT(AND(Simulations!$A46&lt;&gt;"",OR(Simulations!$CN46&lt;&gt;"",N(Simulations!$CP46)&gt;0))),N(Simulations!$CQ46)&lt;=0,N(Simulations!$CP46)&lt;=0,1&gt;N(IF(Simulations!$O46="",1,Simulations!$O46))),0,IF(Simulations!$CQ46&lt;IF(Simulations!$J46="",1000,Simulations!$J46),Simulations!$CP46/(IF(Simulations!$G46="",5000,Simulations!$G46)*IF(Simulations!$H46="",5000,Simulations!$H46)*IF(IF(Simulations!$I46="",5000,Simulations!$I46)&gt;0,IF(Simulations!$I46="",5000,Simulations!$I46),1))*Simulations!$CQ46*(PI()/2*IF(Simulations!$T46="",200,Simulations!$T46)^2*IF(IF(Simulations!$I46="",5000,Simulations!$I46)&gt;0,SQRT(PI()/2)*IF(Simulations!$W46="",1000,Simulations!$W46),1)),Simulations!$CP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T46="",200,Simulations!$T46)^2*IF(Simulations!$W46="",1000,Simulations!$W46)/2^1.5*(2/3*LN(Simulations!$CQ46/IF(Simulations!$J46="",1000,Simulations!$J46))^1.5+SQRT(LN(Simulations!$CQ46/IF(Simulations!$J46="",1000,Simulations!$J46)))+Simulations!$CQ46/IF(Simulations!$J46="",1000,Simulations!$J46)*SQRT(PI())/2*ERFC(SQRT(LN(Simulations!$CQ46/IF(Simulations!$J46="",1000,Simulations!$J46))))),PI()*IF(Simulations!$T46="",200,Simulations!$T46)^2/2*(LN(Simulations!$CQ46/IF(Simulations!$J46="",1000,Simulations!$J46))+1))))</f>
        <v>0</v>
      </c>
      <c r="U46" s="0" t="n">
        <f aca="false">IF(OR(NOT(AND(Simulations!$A46&lt;&gt;"",OR(Simulations!$CN46&lt;&gt;"",N(Simulations!$CP46)&gt;0))),N(Simulations!$CR46)&lt;=0,N(Simulations!$CP46)&lt;=0,2&gt;N(IF(Simulations!$O46="",1,Simulations!$O46))),0,IF(Simulations!$CR46&lt;IF(Simulations!$J46="",1000,Simulations!$J46),Simulations!$CP46/(IF(Simulations!$G46="",5000,Simulations!$G46)*IF(Simulations!$H46="",5000,Simulations!$H46)*IF(IF(Simulations!$I46="",5000,Simulations!$I46)&gt;0,IF(Simulations!$I46="",5000,Simulations!$I46),1))*Simulations!$CR46*(PI()/2*IF(Simulations!$U46="",200,Simulations!$U46)^2*IF(IF(Simulations!$I46="",5000,Simulations!$I46)&gt;0,SQRT(PI()/2)*IF(Simulations!$X46="",1000,Simulations!$X46),1)),Simulations!$CP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U46="",200,Simulations!$U46)^2*IF(Simulations!$X46="",1000,Simulations!$X46)/2^1.5*(2/3*LN(Simulations!$CR46/IF(Simulations!$J46="",1000,Simulations!$J46))^1.5+SQRT(LN(Simulations!$CR46/IF(Simulations!$J46="",1000,Simulations!$J46)))+Simulations!$CR46/IF(Simulations!$J46="",1000,Simulations!$J46)*SQRT(PI())/2*ERFC(SQRT(LN(Simulations!$CR46/IF(Simulations!$J46="",1000,Simulations!$J46))))),PI()*IF(Simulations!$U46="",200,Simulations!$U46)^2/2*(LN(Simulations!$CR46/IF(Simulations!$J46="",1000,Simulations!$J46))+1))))</f>
        <v>0</v>
      </c>
      <c r="V46" s="0" t="n">
        <f aca="false">IF(OR(NOT(AND(Simulations!$A46&lt;&gt;"",OR(Simulations!$CN46&lt;&gt;"",N(Simulations!$CP46)&gt;0))),N(Simulations!$CS46)&lt;=0,N(Simulations!$CP46)&lt;=0,3&gt;N(IF(Simulations!$O46="",1,Simulations!$O46))),0,IF(Simulations!$CS46&lt;IF(Simulations!$J46="",1000,Simulations!$J46),Simulations!$CP46/(IF(Simulations!$G46="",5000,Simulations!$G46)*IF(Simulations!$H46="",5000,Simulations!$H46)*IF(IF(Simulations!$I46="",5000,Simulations!$I46)&gt;0,IF(Simulations!$I46="",5000,Simulations!$I46),1))*Simulations!$CS46*(PI()/2*IF(Simulations!$V46="",200,Simulations!$V46)^2*IF(IF(Simulations!$I46="",5000,Simulations!$I46)&gt;0,SQRT(PI()/2)*IF(Simulations!$Y46="",1000,Simulations!$Y46),1)),Simulations!$CP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V46="",200,Simulations!$V46)^2*IF(Simulations!$Y46="",1000,Simulations!$Y46)/2^1.5*(2/3*LN(Simulations!$CS46/IF(Simulations!$J46="",1000,Simulations!$J46))^1.5+SQRT(LN(Simulations!$CS46/IF(Simulations!$J46="",1000,Simulations!$J46)))+Simulations!$CS46/IF(Simulations!$J46="",1000,Simulations!$J46)*SQRT(PI())/2*ERFC(SQRT(LN(Simulations!$CS46/IF(Simulations!$J46="",1000,Simulations!$J46))))),PI()*IF(Simulations!$V46="",200,Simulations!$V46)^2/2*(LN(Simulations!$CS46/IF(Simulations!$J46="",1000,Simulations!$J46))+1))))</f>
        <v>0</v>
      </c>
      <c r="W46" s="0" t="n">
        <f aca="false">IF(NOT(AND(Simulations!$A46&lt;&gt;"",OR(Simulations!$CN46&lt;&gt;"",N(Simulations!$CP46)&gt;0))),0,MAX(N(Simulations!$CQ46),N(Simulations!$CR46),N(Simulations!$CS46))/IF(Simulations!$J46="",1000,Simulations!$J46))</f>
        <v>0</v>
      </c>
      <c r="X46" s="0" t="n">
        <f aca="false">IF(OR(NOT(AND(Simulations!$A46&lt;&gt;"",OR(Simulations!$CN46&lt;&gt;"",N(Simulations!$CP46)&gt;0))),N(Simulations!$CO46)&lt;=0),0,SQRT(2*Simulations!$CO46*1000000/(IF(Simulations!$J46="",1000,Simulations!$J46)*1000))/MIN(IF(Simulations!$T46="",200,Simulations!$T46),IF(Simulations!$U46="",200,Simulations!$U46),IF(Simulations!$V46="",200,Simulations!$V46)))</f>
        <v>0</v>
      </c>
      <c r="Y46" s="0" t="n">
        <f aca="false">IF(AND(Simulations!$A46&lt;&gt;"",OR(Simulations!$CN46&lt;&gt;"",N(Simulations!$CP46)&gt;0)),1,0)</f>
        <v>0</v>
      </c>
      <c r="Z46" s="0" t="n">
        <f aca="false">IF(OR(NOT(AND(Simulations!$A46&lt;&gt;"",OR(Simulations!$DF46&lt;&gt;"",N(Simulations!$DH46)&gt;0))),N(Simulations!$DI46)&lt;=0,N(Simulations!$DH46)&lt;=0,1&gt;N(IF(Simulations!$O46="",1,Simulations!$O46))),0,IF(Simulations!$DI46&lt;IF(Simulations!$J46="",1000,Simulations!$J46),Simulations!$DH46/(IF(Simulations!$G46="",5000,Simulations!$G46)*IF(Simulations!$H46="",5000,Simulations!$H46)*IF(IF(Simulations!$I46="",5000,Simulations!$I46)&gt;0,IF(Simulations!$I46="",5000,Simulations!$I46),1))*Simulations!$DI46*(PI()/2*IF(Simulations!$T46="",200,Simulations!$T46)^2*IF(IF(Simulations!$I46="",5000,Simulations!$I46)&gt;0,SQRT(PI()/2)*IF(Simulations!$W46="",1000,Simulations!$W46),1)),Simulations!$DH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T46="",200,Simulations!$T46)^2*IF(Simulations!$W46="",1000,Simulations!$W46)/2^1.5*(2/3*LN(Simulations!$DI46/IF(Simulations!$J46="",1000,Simulations!$J46))^1.5+SQRT(LN(Simulations!$DI46/IF(Simulations!$J46="",1000,Simulations!$J46)))+Simulations!$DI46/IF(Simulations!$J46="",1000,Simulations!$J46)*SQRT(PI())/2*ERFC(SQRT(LN(Simulations!$DI46/IF(Simulations!$J46="",1000,Simulations!$J46))))),PI()*IF(Simulations!$T46="",200,Simulations!$T46)^2/2*(LN(Simulations!$DI46/IF(Simulations!$J46="",1000,Simulations!$J46))+1))))</f>
        <v>0</v>
      </c>
      <c r="AA46" s="0" t="n">
        <f aca="false">IF(OR(NOT(AND(Simulations!$A46&lt;&gt;"",OR(Simulations!$DF46&lt;&gt;"",N(Simulations!$DH46)&gt;0))),N(Simulations!$DJ46)&lt;=0,N(Simulations!$DH46)&lt;=0,2&gt;N(IF(Simulations!$O46="",1,Simulations!$O46))),0,IF(Simulations!$DJ46&lt;IF(Simulations!$J46="",1000,Simulations!$J46),Simulations!$DH46/(IF(Simulations!$G46="",5000,Simulations!$G46)*IF(Simulations!$H46="",5000,Simulations!$H46)*IF(IF(Simulations!$I46="",5000,Simulations!$I46)&gt;0,IF(Simulations!$I46="",5000,Simulations!$I46),1))*Simulations!$DJ46*(PI()/2*IF(Simulations!$U46="",200,Simulations!$U46)^2*IF(IF(Simulations!$I46="",5000,Simulations!$I46)&gt;0,SQRT(PI()/2)*IF(Simulations!$X46="",1000,Simulations!$X46),1)),Simulations!$DH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U46="",200,Simulations!$U46)^2*IF(Simulations!$X46="",1000,Simulations!$X46)/2^1.5*(2/3*LN(Simulations!$DJ46/IF(Simulations!$J46="",1000,Simulations!$J46))^1.5+SQRT(LN(Simulations!$DJ46/IF(Simulations!$J46="",1000,Simulations!$J46)))+Simulations!$DJ46/IF(Simulations!$J46="",1000,Simulations!$J46)*SQRT(PI())/2*ERFC(SQRT(LN(Simulations!$DJ46/IF(Simulations!$J46="",1000,Simulations!$J46))))),PI()*IF(Simulations!$U46="",200,Simulations!$U46)^2/2*(LN(Simulations!$DJ46/IF(Simulations!$J46="",1000,Simulations!$J46))+1))))</f>
        <v>0</v>
      </c>
      <c r="AB46" s="0" t="n">
        <f aca="false">IF(OR(NOT(AND(Simulations!$A46&lt;&gt;"",OR(Simulations!$DF46&lt;&gt;"",N(Simulations!$DH46)&gt;0))),N(Simulations!$DK46)&lt;=0,N(Simulations!$DH46)&lt;=0,3&gt;N(IF(Simulations!$O46="",1,Simulations!$O46))),0,IF(Simulations!$DK46&lt;IF(Simulations!$J46="",1000,Simulations!$J46),Simulations!$DH46/(IF(Simulations!$G46="",5000,Simulations!$G46)*IF(Simulations!$H46="",5000,Simulations!$H46)*IF(IF(Simulations!$I46="",5000,Simulations!$I46)&gt;0,IF(Simulations!$I46="",5000,Simulations!$I46),1))*Simulations!$DK46*(PI()/2*IF(Simulations!$V46="",200,Simulations!$V46)^2*IF(IF(Simulations!$I46="",5000,Simulations!$I46)&gt;0,SQRT(PI()/2)*IF(Simulations!$Y46="",1000,Simulations!$Y46),1)),Simulations!$DH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V46="",200,Simulations!$V46)^2*IF(Simulations!$Y46="",1000,Simulations!$Y46)/2^1.5*(2/3*LN(Simulations!$DK46/IF(Simulations!$J46="",1000,Simulations!$J46))^1.5+SQRT(LN(Simulations!$DK46/IF(Simulations!$J46="",1000,Simulations!$J46)))+Simulations!$DK46/IF(Simulations!$J46="",1000,Simulations!$J46)*SQRT(PI())/2*ERFC(SQRT(LN(Simulations!$DK46/IF(Simulations!$J46="",1000,Simulations!$J46))))),PI()*IF(Simulations!$V46="",200,Simulations!$V46)^2/2*(LN(Simulations!$DK46/IF(Simulations!$J46="",1000,Simulations!$J46))+1))))</f>
        <v>0</v>
      </c>
      <c r="AC46" s="0" t="n">
        <f aca="false">IF(NOT(AND(Simulations!$A46&lt;&gt;"",OR(Simulations!$DF46&lt;&gt;"",N(Simulations!$DH46)&gt;0))),0,MAX(N(Simulations!$DI46),N(Simulations!$DJ46),N(Simulations!$DK46))/IF(Simulations!$J46="",1000,Simulations!$J46))</f>
        <v>0</v>
      </c>
      <c r="AD46" s="0" t="n">
        <f aca="false">IF(OR(NOT(AND(Simulations!$A46&lt;&gt;"",OR(Simulations!$DF46&lt;&gt;"",N(Simulations!$DH46)&gt;0))),N(Simulations!$DG46)&lt;=0),0,SQRT(2*Simulations!$DG46*1000000/(IF(Simulations!$J46="",1000,Simulations!$J46)*1000))/MIN(IF(Simulations!$T46="",200,Simulations!$T46),IF(Simulations!$U46="",200,Simulations!$U46),IF(Simulations!$V46="",200,Simulations!$V46)))</f>
        <v>0</v>
      </c>
      <c r="AE46" s="0" t="n">
        <f aca="false">IF(AND(Simulations!$A46&lt;&gt;"",OR(Simulations!$DF46&lt;&gt;"",N(Simulations!$DH46)&gt;0)),1,0)</f>
        <v>0</v>
      </c>
      <c r="AF46" s="0" t="n">
        <f aca="false">IF(OR(NOT(AND(Simulations!$A46&lt;&gt;"",OR(Simulations!$DX46&lt;&gt;"",N(Simulations!$DZ46)&gt;0))),N(Simulations!$EA46)&lt;=0,N(Simulations!$DZ46)&lt;=0,1&gt;N(IF(Simulations!$O46="",1,Simulations!$O46))),0,IF(Simulations!$EA46&lt;IF(Simulations!$J46="",1000,Simulations!$J46),Simulations!$DZ46/(IF(Simulations!$G46="",5000,Simulations!$G46)*IF(Simulations!$H46="",5000,Simulations!$H46)*IF(IF(Simulations!$I46="",5000,Simulations!$I46)&gt;0,IF(Simulations!$I46="",5000,Simulations!$I46),1))*Simulations!$EA46*(PI()/2*IF(Simulations!$T46="",200,Simulations!$T46)^2*IF(IF(Simulations!$I46="",5000,Simulations!$I46)&gt;0,SQRT(PI()/2)*IF(Simulations!$W46="",1000,Simulations!$W46),1)),Simulations!$DZ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T46="",200,Simulations!$T46)^2*IF(Simulations!$W46="",1000,Simulations!$W46)/2^1.5*(2/3*LN(Simulations!$EA46/IF(Simulations!$J46="",1000,Simulations!$J46))^1.5+SQRT(LN(Simulations!$EA46/IF(Simulations!$J46="",1000,Simulations!$J46)))+Simulations!$EA46/IF(Simulations!$J46="",1000,Simulations!$J46)*SQRT(PI())/2*ERFC(SQRT(LN(Simulations!$EA46/IF(Simulations!$J46="",1000,Simulations!$J46))))),PI()*IF(Simulations!$T46="",200,Simulations!$T46)^2/2*(LN(Simulations!$EA46/IF(Simulations!$J46="",1000,Simulations!$J46))+1))))</f>
        <v>0</v>
      </c>
      <c r="AG46" s="0" t="n">
        <f aca="false">IF(OR(NOT(AND(Simulations!$A46&lt;&gt;"",OR(Simulations!$DX46&lt;&gt;"",N(Simulations!$DZ46)&gt;0))),N(Simulations!$EB46)&lt;=0,N(Simulations!$DZ46)&lt;=0,2&gt;N(IF(Simulations!$O46="",1,Simulations!$O46))),0,IF(Simulations!$EB46&lt;IF(Simulations!$J46="",1000,Simulations!$J46),Simulations!$DZ46/(IF(Simulations!$G46="",5000,Simulations!$G46)*IF(Simulations!$H46="",5000,Simulations!$H46)*IF(IF(Simulations!$I46="",5000,Simulations!$I46)&gt;0,IF(Simulations!$I46="",5000,Simulations!$I46),1))*Simulations!$EB46*(PI()/2*IF(Simulations!$U46="",200,Simulations!$U46)^2*IF(IF(Simulations!$I46="",5000,Simulations!$I46)&gt;0,SQRT(PI()/2)*IF(Simulations!$X46="",1000,Simulations!$X46),1)),Simulations!$DZ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U46="",200,Simulations!$U46)^2*IF(Simulations!$X46="",1000,Simulations!$X46)/2^1.5*(2/3*LN(Simulations!$EB46/IF(Simulations!$J46="",1000,Simulations!$J46))^1.5+SQRT(LN(Simulations!$EB46/IF(Simulations!$J46="",1000,Simulations!$J46)))+Simulations!$EB46/IF(Simulations!$J46="",1000,Simulations!$J46)*SQRT(PI())/2*ERFC(SQRT(LN(Simulations!$EB46/IF(Simulations!$J46="",1000,Simulations!$J46))))),PI()*IF(Simulations!$U46="",200,Simulations!$U46)^2/2*(LN(Simulations!$EB46/IF(Simulations!$J46="",1000,Simulations!$J46))+1))))</f>
        <v>0</v>
      </c>
      <c r="AH46" s="0" t="n">
        <f aca="false">IF(OR(NOT(AND(Simulations!$A46&lt;&gt;"",OR(Simulations!$DX46&lt;&gt;"",N(Simulations!$DZ46)&gt;0))),N(Simulations!$EC46)&lt;=0,N(Simulations!$DZ46)&lt;=0,3&gt;N(IF(Simulations!$O46="",1,Simulations!$O46))),0,IF(Simulations!$EC46&lt;IF(Simulations!$J46="",1000,Simulations!$J46),Simulations!$DZ46/(IF(Simulations!$G46="",5000,Simulations!$G46)*IF(Simulations!$H46="",5000,Simulations!$H46)*IF(IF(Simulations!$I46="",5000,Simulations!$I46)&gt;0,IF(Simulations!$I46="",5000,Simulations!$I46),1))*Simulations!$EC46*(PI()/2*IF(Simulations!$V46="",200,Simulations!$V46)^2*IF(IF(Simulations!$I46="",5000,Simulations!$I46)&gt;0,SQRT(PI()/2)*IF(Simulations!$Y46="",1000,Simulations!$Y46),1)),Simulations!$DZ46/(IF(Simulations!$G46="",5000,Simulations!$G46)*IF(Simulations!$H46="",5000,Simulations!$H46)*IF(IF(Simulations!$I46="",5000,Simulations!$I46)&gt;0,IF(Simulations!$I46="",5000,Simulations!$I46),1))*IF(Simulations!$J46="",1000,Simulations!$J46)*IF(IF(Simulations!$I46="",5000,Simulations!$I46)&gt;0,2*PI()*IF(Simulations!$V46="",200,Simulations!$V46)^2*IF(Simulations!$Y46="",1000,Simulations!$Y46)/2^1.5*(2/3*LN(Simulations!$EC46/IF(Simulations!$J46="",1000,Simulations!$J46))^1.5+SQRT(LN(Simulations!$EC46/IF(Simulations!$J46="",1000,Simulations!$J46)))+Simulations!$EC46/IF(Simulations!$J46="",1000,Simulations!$J46)*SQRT(PI())/2*ERFC(SQRT(LN(Simulations!$EC46/IF(Simulations!$J46="",1000,Simulations!$J46))))),PI()*IF(Simulations!$V46="",200,Simulations!$V46)^2/2*(LN(Simulations!$EC46/IF(Simulations!$J46="",1000,Simulations!$J46))+1))))</f>
        <v>0</v>
      </c>
      <c r="AI46" s="0" t="n">
        <f aca="false">IF(NOT(AND(Simulations!$A46&lt;&gt;"",OR(Simulations!$DX46&lt;&gt;"",N(Simulations!$DZ46)&gt;0))),0,MAX(N(Simulations!$EA46),N(Simulations!$EB46),N(Simulations!$EC46))/IF(Simulations!$J46="",1000,Simulations!$J46))</f>
        <v>0</v>
      </c>
      <c r="AJ46" s="0" t="n">
        <f aca="false">IF(OR(NOT(AND(Simulations!$A46&lt;&gt;"",OR(Simulations!$DX46&lt;&gt;"",N(Simulations!$DZ46)&gt;0))),N(Simulations!$DY46)&lt;=0),0,SQRT(2*Simulations!$DY46*1000000/(IF(Simulations!$J46="",1000,Simulations!$J46)*1000))/MIN(IF(Simulations!$T46="",200,Simulations!$T46),IF(Simulations!$U46="",200,Simulations!$U46),IF(Simulations!$V46="",200,Simulations!$V46)))</f>
        <v>0</v>
      </c>
      <c r="AK46" s="0" t="n">
        <f aca="false">IF(AND(Simulations!$A46&lt;&gt;"",OR(Simulations!$DX46&lt;&gt;"",N(Simulations!$DZ46)&gt;0)),1,0)</f>
        <v>0</v>
      </c>
    </row>
    <row r="47" customFormat="false" ht="15" hidden="false" customHeight="false" outlineLevel="0" collapsed="false">
      <c r="B47" s="0" t="n">
        <f aca="false">IF(OR(NOT(AND(Simulations!$A47&lt;&gt;"",OR(Simulations!$AL47&lt;&gt;"",N(Simulations!$AN47)&gt;0))),N(Simulations!$AO47)&lt;=0,N(Simulations!$AN47)&lt;=0,1&gt;N(IF(Simulations!$O47="",1,Simulations!$O47))),0,IF(Simulations!$AO47&lt;IF(Simulations!$J47="",1000,Simulations!$J47),Simulations!$AN47/(IF(Simulations!$G47="",5000,Simulations!$G47)*IF(Simulations!$H47="",5000,Simulations!$H47)*IF(IF(Simulations!$I47="",5000,Simulations!$I47)&gt;0,IF(Simulations!$I47="",5000,Simulations!$I47),1))*Simulations!$AO47*(PI()/2*IF(Simulations!$T47="",200,Simulations!$T47)^2*IF(IF(Simulations!$I47="",5000,Simulations!$I47)&gt;0,SQRT(PI()/2)*IF(Simulations!$W47="",1000,Simulations!$W47),1)),Simulations!$AN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T47="",200,Simulations!$T47)^2*IF(Simulations!$W47="",1000,Simulations!$W47)/2^1.5*(2/3*LN(Simulations!$AO47/IF(Simulations!$J47="",1000,Simulations!$J47))^1.5+SQRT(LN(Simulations!$AO47/IF(Simulations!$J47="",1000,Simulations!$J47)))+Simulations!$AO47/IF(Simulations!$J47="",1000,Simulations!$J47)*SQRT(PI())/2*ERFC(SQRT(LN(Simulations!$AO47/IF(Simulations!$J47="",1000,Simulations!$J47))))),PI()*IF(Simulations!$T47="",200,Simulations!$T47)^2/2*(LN(Simulations!$AO47/IF(Simulations!$J47="",1000,Simulations!$J47))+1))))</f>
        <v>0</v>
      </c>
      <c r="C47" s="0" t="n">
        <f aca="false">IF(OR(NOT(AND(Simulations!$A47&lt;&gt;"",OR(Simulations!$AL47&lt;&gt;"",N(Simulations!$AN47)&gt;0))),N(Simulations!$AP47)&lt;=0,N(Simulations!$AN47)&lt;=0,2&gt;N(IF(Simulations!$O47="",1,Simulations!$O47))),0,IF(Simulations!$AP47&lt;IF(Simulations!$J47="",1000,Simulations!$J47),Simulations!$AN47/(IF(Simulations!$G47="",5000,Simulations!$G47)*IF(Simulations!$H47="",5000,Simulations!$H47)*IF(IF(Simulations!$I47="",5000,Simulations!$I47)&gt;0,IF(Simulations!$I47="",5000,Simulations!$I47),1))*Simulations!$AP47*(PI()/2*IF(Simulations!$U47="",200,Simulations!$U47)^2*IF(IF(Simulations!$I47="",5000,Simulations!$I47)&gt;0,SQRT(PI()/2)*IF(Simulations!$X47="",1000,Simulations!$X47),1)),Simulations!$AN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U47="",200,Simulations!$U47)^2*IF(Simulations!$X47="",1000,Simulations!$X47)/2^1.5*(2/3*LN(Simulations!$AP47/IF(Simulations!$J47="",1000,Simulations!$J47))^1.5+SQRT(LN(Simulations!$AP47/IF(Simulations!$J47="",1000,Simulations!$J47)))+Simulations!$AP47/IF(Simulations!$J47="",1000,Simulations!$J47)*SQRT(PI())/2*ERFC(SQRT(LN(Simulations!$AP47/IF(Simulations!$J47="",1000,Simulations!$J47))))),PI()*IF(Simulations!$U47="",200,Simulations!$U47)^2/2*(LN(Simulations!$AP47/IF(Simulations!$J47="",1000,Simulations!$J47))+1))))</f>
        <v>0</v>
      </c>
      <c r="D47" s="0" t="n">
        <f aca="false">IF(OR(NOT(AND(Simulations!$A47&lt;&gt;"",OR(Simulations!$AL47&lt;&gt;"",N(Simulations!$AN47)&gt;0))),N(Simulations!$AQ47)&lt;=0,N(Simulations!$AN47)&lt;=0,3&gt;N(IF(Simulations!$O47="",1,Simulations!$O47))),0,IF(Simulations!$AQ47&lt;IF(Simulations!$J47="",1000,Simulations!$J47),Simulations!$AN47/(IF(Simulations!$G47="",5000,Simulations!$G47)*IF(Simulations!$H47="",5000,Simulations!$H47)*IF(IF(Simulations!$I47="",5000,Simulations!$I47)&gt;0,IF(Simulations!$I47="",5000,Simulations!$I47),1))*Simulations!$AQ47*(PI()/2*IF(Simulations!$V47="",200,Simulations!$V47)^2*IF(IF(Simulations!$I47="",5000,Simulations!$I47)&gt;0,SQRT(PI()/2)*IF(Simulations!$Y47="",1000,Simulations!$Y47),1)),Simulations!$AN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V47="",200,Simulations!$V47)^2*IF(Simulations!$Y47="",1000,Simulations!$Y47)/2^1.5*(2/3*LN(Simulations!$AQ47/IF(Simulations!$J47="",1000,Simulations!$J47))^1.5+SQRT(LN(Simulations!$AQ47/IF(Simulations!$J47="",1000,Simulations!$J47)))+Simulations!$AQ47/IF(Simulations!$J47="",1000,Simulations!$J47)*SQRT(PI())/2*ERFC(SQRT(LN(Simulations!$AQ47/IF(Simulations!$J47="",1000,Simulations!$J47))))),PI()*IF(Simulations!$V47="",200,Simulations!$V47)^2/2*(LN(Simulations!$AQ47/IF(Simulations!$J47="",1000,Simulations!$J47))+1))))</f>
        <v>0</v>
      </c>
      <c r="E47" s="0" t="n">
        <f aca="false">IF(NOT(AND(Simulations!$A47&lt;&gt;"",OR(Simulations!$AL47&lt;&gt;"",N(Simulations!$AN47)&gt;0))),0,MAX(N(Simulations!$AO47),N(Simulations!$AP47),N(Simulations!$AQ47))/IF(Simulations!$J47="",1000,Simulations!$J47))</f>
        <v>0</v>
      </c>
      <c r="F47" s="0" t="n">
        <f aca="false">IF(OR(NOT(AND(Simulations!$A47&lt;&gt;"",OR(Simulations!$AL47&lt;&gt;"",N(Simulations!$AN47)&gt;0))),N(Simulations!$AM47)&lt;=0),0,SQRT(2*Simulations!$AM47*1000000/(IF(Simulations!$J47="",1000,Simulations!$J47)*1000))/MIN(IF(Simulations!$T47="",200,Simulations!$T47),IF(Simulations!$U47="",200,Simulations!$U47),IF(Simulations!$V47="",200,Simulations!$V47)))</f>
        <v>0</v>
      </c>
      <c r="G47" s="0" t="n">
        <f aca="false">IF(AND(Simulations!$A47&lt;&gt;"",OR(Simulations!$AL47&lt;&gt;"",N(Simulations!$AN47)&gt;0)),1,0)</f>
        <v>0</v>
      </c>
      <c r="H47" s="0" t="n">
        <f aca="false">IF(OR(NOT(AND(Simulations!$A47&lt;&gt;"",OR(Simulations!$BD47&lt;&gt;"",N(Simulations!$BF47)&gt;0))),N(Simulations!$BG47)&lt;=0,N(Simulations!$BF47)&lt;=0,1&gt;N(IF(Simulations!$O47="",1,Simulations!$O47))),0,IF(Simulations!$BG47&lt;IF(Simulations!$J47="",1000,Simulations!$J47),Simulations!$BF47/(IF(Simulations!$G47="",5000,Simulations!$G47)*IF(Simulations!$H47="",5000,Simulations!$H47)*IF(IF(Simulations!$I47="",5000,Simulations!$I47)&gt;0,IF(Simulations!$I47="",5000,Simulations!$I47),1))*Simulations!$BG47*(PI()/2*IF(Simulations!$T47="",200,Simulations!$T47)^2*IF(IF(Simulations!$I47="",5000,Simulations!$I47)&gt;0,SQRT(PI()/2)*IF(Simulations!$W47="",1000,Simulations!$W47),1)),Simulations!$BF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T47="",200,Simulations!$T47)^2*IF(Simulations!$W47="",1000,Simulations!$W47)/2^1.5*(2/3*LN(Simulations!$BG47/IF(Simulations!$J47="",1000,Simulations!$J47))^1.5+SQRT(LN(Simulations!$BG47/IF(Simulations!$J47="",1000,Simulations!$J47)))+Simulations!$BG47/IF(Simulations!$J47="",1000,Simulations!$J47)*SQRT(PI())/2*ERFC(SQRT(LN(Simulations!$BG47/IF(Simulations!$J47="",1000,Simulations!$J47))))),PI()*IF(Simulations!$T47="",200,Simulations!$T47)^2/2*(LN(Simulations!$BG47/IF(Simulations!$J47="",1000,Simulations!$J47))+1))))</f>
        <v>0</v>
      </c>
      <c r="I47" s="0" t="n">
        <f aca="false">IF(OR(NOT(AND(Simulations!$A47&lt;&gt;"",OR(Simulations!$BD47&lt;&gt;"",N(Simulations!$BF47)&gt;0))),N(Simulations!$BH47)&lt;=0,N(Simulations!$BF47)&lt;=0,2&gt;N(IF(Simulations!$O47="",1,Simulations!$O47))),0,IF(Simulations!$BH47&lt;IF(Simulations!$J47="",1000,Simulations!$J47),Simulations!$BF47/(IF(Simulations!$G47="",5000,Simulations!$G47)*IF(Simulations!$H47="",5000,Simulations!$H47)*IF(IF(Simulations!$I47="",5000,Simulations!$I47)&gt;0,IF(Simulations!$I47="",5000,Simulations!$I47),1))*Simulations!$BH47*(PI()/2*IF(Simulations!$U47="",200,Simulations!$U47)^2*IF(IF(Simulations!$I47="",5000,Simulations!$I47)&gt;0,SQRT(PI()/2)*IF(Simulations!$X47="",1000,Simulations!$X47),1)),Simulations!$BF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U47="",200,Simulations!$U47)^2*IF(Simulations!$X47="",1000,Simulations!$X47)/2^1.5*(2/3*LN(Simulations!$BH47/IF(Simulations!$J47="",1000,Simulations!$J47))^1.5+SQRT(LN(Simulations!$BH47/IF(Simulations!$J47="",1000,Simulations!$J47)))+Simulations!$BH47/IF(Simulations!$J47="",1000,Simulations!$J47)*SQRT(PI())/2*ERFC(SQRT(LN(Simulations!$BH47/IF(Simulations!$J47="",1000,Simulations!$J47))))),PI()*IF(Simulations!$U47="",200,Simulations!$U47)^2/2*(LN(Simulations!$BH47/IF(Simulations!$J47="",1000,Simulations!$J47))+1))))</f>
        <v>0</v>
      </c>
      <c r="J47" s="0" t="n">
        <f aca="false">IF(OR(NOT(AND(Simulations!$A47&lt;&gt;"",OR(Simulations!$BD47&lt;&gt;"",N(Simulations!$BF47)&gt;0))),N(Simulations!$BI47)&lt;=0,N(Simulations!$BF47)&lt;=0,3&gt;N(IF(Simulations!$O47="",1,Simulations!$O47))),0,IF(Simulations!$BI47&lt;IF(Simulations!$J47="",1000,Simulations!$J47),Simulations!$BF47/(IF(Simulations!$G47="",5000,Simulations!$G47)*IF(Simulations!$H47="",5000,Simulations!$H47)*IF(IF(Simulations!$I47="",5000,Simulations!$I47)&gt;0,IF(Simulations!$I47="",5000,Simulations!$I47),1))*Simulations!$BI47*(PI()/2*IF(Simulations!$V47="",200,Simulations!$V47)^2*IF(IF(Simulations!$I47="",5000,Simulations!$I47)&gt;0,SQRT(PI()/2)*IF(Simulations!$Y47="",1000,Simulations!$Y47),1)),Simulations!$BF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V47="",200,Simulations!$V47)^2*IF(Simulations!$Y47="",1000,Simulations!$Y47)/2^1.5*(2/3*LN(Simulations!$BI47/IF(Simulations!$J47="",1000,Simulations!$J47))^1.5+SQRT(LN(Simulations!$BI47/IF(Simulations!$J47="",1000,Simulations!$J47)))+Simulations!$BI47/IF(Simulations!$J47="",1000,Simulations!$J47)*SQRT(PI())/2*ERFC(SQRT(LN(Simulations!$BI47/IF(Simulations!$J47="",1000,Simulations!$J47))))),PI()*IF(Simulations!$V47="",200,Simulations!$V47)^2/2*(LN(Simulations!$BI47/IF(Simulations!$J47="",1000,Simulations!$J47))+1))))</f>
        <v>0</v>
      </c>
      <c r="K47" s="0" t="n">
        <f aca="false">IF(NOT(AND(Simulations!$A47&lt;&gt;"",OR(Simulations!$BD47&lt;&gt;"",N(Simulations!$BF47)&gt;0))),0,MAX(N(Simulations!$BG47),N(Simulations!$BH47),N(Simulations!$BI47))/IF(Simulations!$J47="",1000,Simulations!$J47))</f>
        <v>0</v>
      </c>
      <c r="L47" s="0" t="n">
        <f aca="false">IF(OR(NOT(AND(Simulations!$A47&lt;&gt;"",OR(Simulations!$BD47&lt;&gt;"",N(Simulations!$BF47)&gt;0))),N(Simulations!$BE47)&lt;=0),0,SQRT(2*Simulations!$BE47*1000000/(IF(Simulations!$J47="",1000,Simulations!$J47)*1000))/MIN(IF(Simulations!$T47="",200,Simulations!$T47),IF(Simulations!$U47="",200,Simulations!$U47),IF(Simulations!$V47="",200,Simulations!$V47)))</f>
        <v>0</v>
      </c>
      <c r="M47" s="0" t="n">
        <f aca="false">IF(AND(Simulations!$A47&lt;&gt;"",OR(Simulations!$BD47&lt;&gt;"",N(Simulations!$BF47)&gt;0)),1,0)</f>
        <v>0</v>
      </c>
      <c r="N47" s="0" t="n">
        <f aca="false">IF(OR(NOT(AND(Simulations!$A47&lt;&gt;"",OR(Simulations!$BV47&lt;&gt;"",N(Simulations!$BX47)&gt;0))),N(Simulations!$BY47)&lt;=0,N(Simulations!$BX47)&lt;=0,1&gt;N(IF(Simulations!$O47="",1,Simulations!$O47))),0,IF(Simulations!$BY47&lt;IF(Simulations!$J47="",1000,Simulations!$J47),Simulations!$BX47/(IF(Simulations!$G47="",5000,Simulations!$G47)*IF(Simulations!$H47="",5000,Simulations!$H47)*IF(IF(Simulations!$I47="",5000,Simulations!$I47)&gt;0,IF(Simulations!$I47="",5000,Simulations!$I47),1))*Simulations!$BY47*(PI()/2*IF(Simulations!$T47="",200,Simulations!$T47)^2*IF(IF(Simulations!$I47="",5000,Simulations!$I47)&gt;0,SQRT(PI()/2)*IF(Simulations!$W47="",1000,Simulations!$W47),1)),Simulations!$BX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T47="",200,Simulations!$T47)^2*IF(Simulations!$W47="",1000,Simulations!$W47)/2^1.5*(2/3*LN(Simulations!$BY47/IF(Simulations!$J47="",1000,Simulations!$J47))^1.5+SQRT(LN(Simulations!$BY47/IF(Simulations!$J47="",1000,Simulations!$J47)))+Simulations!$BY47/IF(Simulations!$J47="",1000,Simulations!$J47)*SQRT(PI())/2*ERFC(SQRT(LN(Simulations!$BY47/IF(Simulations!$J47="",1000,Simulations!$J47))))),PI()*IF(Simulations!$T47="",200,Simulations!$T47)^2/2*(LN(Simulations!$BY47/IF(Simulations!$J47="",1000,Simulations!$J47))+1))))</f>
        <v>0</v>
      </c>
      <c r="O47" s="0" t="n">
        <f aca="false">IF(OR(NOT(AND(Simulations!$A47&lt;&gt;"",OR(Simulations!$BV47&lt;&gt;"",N(Simulations!$BX47)&gt;0))),N(Simulations!$BZ47)&lt;=0,N(Simulations!$BX47)&lt;=0,2&gt;N(IF(Simulations!$O47="",1,Simulations!$O47))),0,IF(Simulations!$BZ47&lt;IF(Simulations!$J47="",1000,Simulations!$J47),Simulations!$BX47/(IF(Simulations!$G47="",5000,Simulations!$G47)*IF(Simulations!$H47="",5000,Simulations!$H47)*IF(IF(Simulations!$I47="",5000,Simulations!$I47)&gt;0,IF(Simulations!$I47="",5000,Simulations!$I47),1))*Simulations!$BZ47*(PI()/2*IF(Simulations!$U47="",200,Simulations!$U47)^2*IF(IF(Simulations!$I47="",5000,Simulations!$I47)&gt;0,SQRT(PI()/2)*IF(Simulations!$X47="",1000,Simulations!$X47),1)),Simulations!$BX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U47="",200,Simulations!$U47)^2*IF(Simulations!$X47="",1000,Simulations!$X47)/2^1.5*(2/3*LN(Simulations!$BZ47/IF(Simulations!$J47="",1000,Simulations!$J47))^1.5+SQRT(LN(Simulations!$BZ47/IF(Simulations!$J47="",1000,Simulations!$J47)))+Simulations!$BZ47/IF(Simulations!$J47="",1000,Simulations!$J47)*SQRT(PI())/2*ERFC(SQRT(LN(Simulations!$BZ47/IF(Simulations!$J47="",1000,Simulations!$J47))))),PI()*IF(Simulations!$U47="",200,Simulations!$U47)^2/2*(LN(Simulations!$BZ47/IF(Simulations!$J47="",1000,Simulations!$J47))+1))))</f>
        <v>0</v>
      </c>
      <c r="P47" s="0" t="n">
        <f aca="false">IF(OR(NOT(AND(Simulations!$A47&lt;&gt;"",OR(Simulations!$BV47&lt;&gt;"",N(Simulations!$BX47)&gt;0))),N(Simulations!$CA47)&lt;=0,N(Simulations!$BX47)&lt;=0,3&gt;N(IF(Simulations!$O47="",1,Simulations!$O47))),0,IF(Simulations!$CA47&lt;IF(Simulations!$J47="",1000,Simulations!$J47),Simulations!$BX47/(IF(Simulations!$G47="",5000,Simulations!$G47)*IF(Simulations!$H47="",5000,Simulations!$H47)*IF(IF(Simulations!$I47="",5000,Simulations!$I47)&gt;0,IF(Simulations!$I47="",5000,Simulations!$I47),1))*Simulations!$CA47*(PI()/2*IF(Simulations!$V47="",200,Simulations!$V47)^2*IF(IF(Simulations!$I47="",5000,Simulations!$I47)&gt;0,SQRT(PI()/2)*IF(Simulations!$Y47="",1000,Simulations!$Y47),1)),Simulations!$BX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V47="",200,Simulations!$V47)^2*IF(Simulations!$Y47="",1000,Simulations!$Y47)/2^1.5*(2/3*LN(Simulations!$CA47/IF(Simulations!$J47="",1000,Simulations!$J47))^1.5+SQRT(LN(Simulations!$CA47/IF(Simulations!$J47="",1000,Simulations!$J47)))+Simulations!$CA47/IF(Simulations!$J47="",1000,Simulations!$J47)*SQRT(PI())/2*ERFC(SQRT(LN(Simulations!$CA47/IF(Simulations!$J47="",1000,Simulations!$J47))))),PI()*IF(Simulations!$V47="",200,Simulations!$V47)^2/2*(LN(Simulations!$CA47/IF(Simulations!$J47="",1000,Simulations!$J47))+1))))</f>
        <v>0</v>
      </c>
      <c r="Q47" s="0" t="n">
        <f aca="false">IF(NOT(AND(Simulations!$A47&lt;&gt;"",OR(Simulations!$BV47&lt;&gt;"",N(Simulations!$BX47)&gt;0))),0,MAX(N(Simulations!$BY47),N(Simulations!$BZ47),N(Simulations!$CA47))/IF(Simulations!$J47="",1000,Simulations!$J47))</f>
        <v>0</v>
      </c>
      <c r="R47" s="0" t="n">
        <f aca="false">IF(OR(NOT(AND(Simulations!$A47&lt;&gt;"",OR(Simulations!$BV47&lt;&gt;"",N(Simulations!$BX47)&gt;0))),N(Simulations!$BW47)&lt;=0),0,SQRT(2*Simulations!$BW47*1000000/(IF(Simulations!$J47="",1000,Simulations!$J47)*1000))/MIN(IF(Simulations!$T47="",200,Simulations!$T47),IF(Simulations!$U47="",200,Simulations!$U47),IF(Simulations!$V47="",200,Simulations!$V47)))</f>
        <v>0</v>
      </c>
      <c r="S47" s="0" t="n">
        <f aca="false">IF(AND(Simulations!$A47&lt;&gt;"",OR(Simulations!$BV47&lt;&gt;"",N(Simulations!$BX47)&gt;0)),1,0)</f>
        <v>0</v>
      </c>
      <c r="T47" s="0" t="n">
        <f aca="false">IF(OR(NOT(AND(Simulations!$A47&lt;&gt;"",OR(Simulations!$CN47&lt;&gt;"",N(Simulations!$CP47)&gt;0))),N(Simulations!$CQ47)&lt;=0,N(Simulations!$CP47)&lt;=0,1&gt;N(IF(Simulations!$O47="",1,Simulations!$O47))),0,IF(Simulations!$CQ47&lt;IF(Simulations!$J47="",1000,Simulations!$J47),Simulations!$CP47/(IF(Simulations!$G47="",5000,Simulations!$G47)*IF(Simulations!$H47="",5000,Simulations!$H47)*IF(IF(Simulations!$I47="",5000,Simulations!$I47)&gt;0,IF(Simulations!$I47="",5000,Simulations!$I47),1))*Simulations!$CQ47*(PI()/2*IF(Simulations!$T47="",200,Simulations!$T47)^2*IF(IF(Simulations!$I47="",5000,Simulations!$I47)&gt;0,SQRT(PI()/2)*IF(Simulations!$W47="",1000,Simulations!$W47),1)),Simulations!$CP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T47="",200,Simulations!$T47)^2*IF(Simulations!$W47="",1000,Simulations!$W47)/2^1.5*(2/3*LN(Simulations!$CQ47/IF(Simulations!$J47="",1000,Simulations!$J47))^1.5+SQRT(LN(Simulations!$CQ47/IF(Simulations!$J47="",1000,Simulations!$J47)))+Simulations!$CQ47/IF(Simulations!$J47="",1000,Simulations!$J47)*SQRT(PI())/2*ERFC(SQRT(LN(Simulations!$CQ47/IF(Simulations!$J47="",1000,Simulations!$J47))))),PI()*IF(Simulations!$T47="",200,Simulations!$T47)^2/2*(LN(Simulations!$CQ47/IF(Simulations!$J47="",1000,Simulations!$J47))+1))))</f>
        <v>0</v>
      </c>
      <c r="U47" s="0" t="n">
        <f aca="false">IF(OR(NOT(AND(Simulations!$A47&lt;&gt;"",OR(Simulations!$CN47&lt;&gt;"",N(Simulations!$CP47)&gt;0))),N(Simulations!$CR47)&lt;=0,N(Simulations!$CP47)&lt;=0,2&gt;N(IF(Simulations!$O47="",1,Simulations!$O47))),0,IF(Simulations!$CR47&lt;IF(Simulations!$J47="",1000,Simulations!$J47),Simulations!$CP47/(IF(Simulations!$G47="",5000,Simulations!$G47)*IF(Simulations!$H47="",5000,Simulations!$H47)*IF(IF(Simulations!$I47="",5000,Simulations!$I47)&gt;0,IF(Simulations!$I47="",5000,Simulations!$I47),1))*Simulations!$CR47*(PI()/2*IF(Simulations!$U47="",200,Simulations!$U47)^2*IF(IF(Simulations!$I47="",5000,Simulations!$I47)&gt;0,SQRT(PI()/2)*IF(Simulations!$X47="",1000,Simulations!$X47),1)),Simulations!$CP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U47="",200,Simulations!$U47)^2*IF(Simulations!$X47="",1000,Simulations!$X47)/2^1.5*(2/3*LN(Simulations!$CR47/IF(Simulations!$J47="",1000,Simulations!$J47))^1.5+SQRT(LN(Simulations!$CR47/IF(Simulations!$J47="",1000,Simulations!$J47)))+Simulations!$CR47/IF(Simulations!$J47="",1000,Simulations!$J47)*SQRT(PI())/2*ERFC(SQRT(LN(Simulations!$CR47/IF(Simulations!$J47="",1000,Simulations!$J47))))),PI()*IF(Simulations!$U47="",200,Simulations!$U47)^2/2*(LN(Simulations!$CR47/IF(Simulations!$J47="",1000,Simulations!$J47))+1))))</f>
        <v>0</v>
      </c>
      <c r="V47" s="0" t="n">
        <f aca="false">IF(OR(NOT(AND(Simulations!$A47&lt;&gt;"",OR(Simulations!$CN47&lt;&gt;"",N(Simulations!$CP47)&gt;0))),N(Simulations!$CS47)&lt;=0,N(Simulations!$CP47)&lt;=0,3&gt;N(IF(Simulations!$O47="",1,Simulations!$O47))),0,IF(Simulations!$CS47&lt;IF(Simulations!$J47="",1000,Simulations!$J47),Simulations!$CP47/(IF(Simulations!$G47="",5000,Simulations!$G47)*IF(Simulations!$H47="",5000,Simulations!$H47)*IF(IF(Simulations!$I47="",5000,Simulations!$I47)&gt;0,IF(Simulations!$I47="",5000,Simulations!$I47),1))*Simulations!$CS47*(PI()/2*IF(Simulations!$V47="",200,Simulations!$V47)^2*IF(IF(Simulations!$I47="",5000,Simulations!$I47)&gt;0,SQRT(PI()/2)*IF(Simulations!$Y47="",1000,Simulations!$Y47),1)),Simulations!$CP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V47="",200,Simulations!$V47)^2*IF(Simulations!$Y47="",1000,Simulations!$Y47)/2^1.5*(2/3*LN(Simulations!$CS47/IF(Simulations!$J47="",1000,Simulations!$J47))^1.5+SQRT(LN(Simulations!$CS47/IF(Simulations!$J47="",1000,Simulations!$J47)))+Simulations!$CS47/IF(Simulations!$J47="",1000,Simulations!$J47)*SQRT(PI())/2*ERFC(SQRT(LN(Simulations!$CS47/IF(Simulations!$J47="",1000,Simulations!$J47))))),PI()*IF(Simulations!$V47="",200,Simulations!$V47)^2/2*(LN(Simulations!$CS47/IF(Simulations!$J47="",1000,Simulations!$J47))+1))))</f>
        <v>0</v>
      </c>
      <c r="W47" s="0" t="n">
        <f aca="false">IF(NOT(AND(Simulations!$A47&lt;&gt;"",OR(Simulations!$CN47&lt;&gt;"",N(Simulations!$CP47)&gt;0))),0,MAX(N(Simulations!$CQ47),N(Simulations!$CR47),N(Simulations!$CS47))/IF(Simulations!$J47="",1000,Simulations!$J47))</f>
        <v>0</v>
      </c>
      <c r="X47" s="0" t="n">
        <f aca="false">IF(OR(NOT(AND(Simulations!$A47&lt;&gt;"",OR(Simulations!$CN47&lt;&gt;"",N(Simulations!$CP47)&gt;0))),N(Simulations!$CO47)&lt;=0),0,SQRT(2*Simulations!$CO47*1000000/(IF(Simulations!$J47="",1000,Simulations!$J47)*1000))/MIN(IF(Simulations!$T47="",200,Simulations!$T47),IF(Simulations!$U47="",200,Simulations!$U47),IF(Simulations!$V47="",200,Simulations!$V47)))</f>
        <v>0</v>
      </c>
      <c r="Y47" s="0" t="n">
        <f aca="false">IF(AND(Simulations!$A47&lt;&gt;"",OR(Simulations!$CN47&lt;&gt;"",N(Simulations!$CP47)&gt;0)),1,0)</f>
        <v>0</v>
      </c>
      <c r="Z47" s="0" t="n">
        <f aca="false">IF(OR(NOT(AND(Simulations!$A47&lt;&gt;"",OR(Simulations!$DF47&lt;&gt;"",N(Simulations!$DH47)&gt;0))),N(Simulations!$DI47)&lt;=0,N(Simulations!$DH47)&lt;=0,1&gt;N(IF(Simulations!$O47="",1,Simulations!$O47))),0,IF(Simulations!$DI47&lt;IF(Simulations!$J47="",1000,Simulations!$J47),Simulations!$DH47/(IF(Simulations!$G47="",5000,Simulations!$G47)*IF(Simulations!$H47="",5000,Simulations!$H47)*IF(IF(Simulations!$I47="",5000,Simulations!$I47)&gt;0,IF(Simulations!$I47="",5000,Simulations!$I47),1))*Simulations!$DI47*(PI()/2*IF(Simulations!$T47="",200,Simulations!$T47)^2*IF(IF(Simulations!$I47="",5000,Simulations!$I47)&gt;0,SQRT(PI()/2)*IF(Simulations!$W47="",1000,Simulations!$W47),1)),Simulations!$DH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T47="",200,Simulations!$T47)^2*IF(Simulations!$W47="",1000,Simulations!$W47)/2^1.5*(2/3*LN(Simulations!$DI47/IF(Simulations!$J47="",1000,Simulations!$J47))^1.5+SQRT(LN(Simulations!$DI47/IF(Simulations!$J47="",1000,Simulations!$J47)))+Simulations!$DI47/IF(Simulations!$J47="",1000,Simulations!$J47)*SQRT(PI())/2*ERFC(SQRT(LN(Simulations!$DI47/IF(Simulations!$J47="",1000,Simulations!$J47))))),PI()*IF(Simulations!$T47="",200,Simulations!$T47)^2/2*(LN(Simulations!$DI47/IF(Simulations!$J47="",1000,Simulations!$J47))+1))))</f>
        <v>0</v>
      </c>
      <c r="AA47" s="0" t="n">
        <f aca="false">IF(OR(NOT(AND(Simulations!$A47&lt;&gt;"",OR(Simulations!$DF47&lt;&gt;"",N(Simulations!$DH47)&gt;0))),N(Simulations!$DJ47)&lt;=0,N(Simulations!$DH47)&lt;=0,2&gt;N(IF(Simulations!$O47="",1,Simulations!$O47))),0,IF(Simulations!$DJ47&lt;IF(Simulations!$J47="",1000,Simulations!$J47),Simulations!$DH47/(IF(Simulations!$G47="",5000,Simulations!$G47)*IF(Simulations!$H47="",5000,Simulations!$H47)*IF(IF(Simulations!$I47="",5000,Simulations!$I47)&gt;0,IF(Simulations!$I47="",5000,Simulations!$I47),1))*Simulations!$DJ47*(PI()/2*IF(Simulations!$U47="",200,Simulations!$U47)^2*IF(IF(Simulations!$I47="",5000,Simulations!$I47)&gt;0,SQRT(PI()/2)*IF(Simulations!$X47="",1000,Simulations!$X47),1)),Simulations!$DH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U47="",200,Simulations!$U47)^2*IF(Simulations!$X47="",1000,Simulations!$X47)/2^1.5*(2/3*LN(Simulations!$DJ47/IF(Simulations!$J47="",1000,Simulations!$J47))^1.5+SQRT(LN(Simulations!$DJ47/IF(Simulations!$J47="",1000,Simulations!$J47)))+Simulations!$DJ47/IF(Simulations!$J47="",1000,Simulations!$J47)*SQRT(PI())/2*ERFC(SQRT(LN(Simulations!$DJ47/IF(Simulations!$J47="",1000,Simulations!$J47))))),PI()*IF(Simulations!$U47="",200,Simulations!$U47)^2/2*(LN(Simulations!$DJ47/IF(Simulations!$J47="",1000,Simulations!$J47))+1))))</f>
        <v>0</v>
      </c>
      <c r="AB47" s="0" t="n">
        <f aca="false">IF(OR(NOT(AND(Simulations!$A47&lt;&gt;"",OR(Simulations!$DF47&lt;&gt;"",N(Simulations!$DH47)&gt;0))),N(Simulations!$DK47)&lt;=0,N(Simulations!$DH47)&lt;=0,3&gt;N(IF(Simulations!$O47="",1,Simulations!$O47))),0,IF(Simulations!$DK47&lt;IF(Simulations!$J47="",1000,Simulations!$J47),Simulations!$DH47/(IF(Simulations!$G47="",5000,Simulations!$G47)*IF(Simulations!$H47="",5000,Simulations!$H47)*IF(IF(Simulations!$I47="",5000,Simulations!$I47)&gt;0,IF(Simulations!$I47="",5000,Simulations!$I47),1))*Simulations!$DK47*(PI()/2*IF(Simulations!$V47="",200,Simulations!$V47)^2*IF(IF(Simulations!$I47="",5000,Simulations!$I47)&gt;0,SQRT(PI()/2)*IF(Simulations!$Y47="",1000,Simulations!$Y47),1)),Simulations!$DH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V47="",200,Simulations!$V47)^2*IF(Simulations!$Y47="",1000,Simulations!$Y47)/2^1.5*(2/3*LN(Simulations!$DK47/IF(Simulations!$J47="",1000,Simulations!$J47))^1.5+SQRT(LN(Simulations!$DK47/IF(Simulations!$J47="",1000,Simulations!$J47)))+Simulations!$DK47/IF(Simulations!$J47="",1000,Simulations!$J47)*SQRT(PI())/2*ERFC(SQRT(LN(Simulations!$DK47/IF(Simulations!$J47="",1000,Simulations!$J47))))),PI()*IF(Simulations!$V47="",200,Simulations!$V47)^2/2*(LN(Simulations!$DK47/IF(Simulations!$J47="",1000,Simulations!$J47))+1))))</f>
        <v>0</v>
      </c>
      <c r="AC47" s="0" t="n">
        <f aca="false">IF(NOT(AND(Simulations!$A47&lt;&gt;"",OR(Simulations!$DF47&lt;&gt;"",N(Simulations!$DH47)&gt;0))),0,MAX(N(Simulations!$DI47),N(Simulations!$DJ47),N(Simulations!$DK47))/IF(Simulations!$J47="",1000,Simulations!$J47))</f>
        <v>0</v>
      </c>
      <c r="AD47" s="0" t="n">
        <f aca="false">IF(OR(NOT(AND(Simulations!$A47&lt;&gt;"",OR(Simulations!$DF47&lt;&gt;"",N(Simulations!$DH47)&gt;0))),N(Simulations!$DG47)&lt;=0),0,SQRT(2*Simulations!$DG47*1000000/(IF(Simulations!$J47="",1000,Simulations!$J47)*1000))/MIN(IF(Simulations!$T47="",200,Simulations!$T47),IF(Simulations!$U47="",200,Simulations!$U47),IF(Simulations!$V47="",200,Simulations!$V47)))</f>
        <v>0</v>
      </c>
      <c r="AE47" s="0" t="n">
        <f aca="false">IF(AND(Simulations!$A47&lt;&gt;"",OR(Simulations!$DF47&lt;&gt;"",N(Simulations!$DH47)&gt;0)),1,0)</f>
        <v>0</v>
      </c>
      <c r="AF47" s="0" t="n">
        <f aca="false">IF(OR(NOT(AND(Simulations!$A47&lt;&gt;"",OR(Simulations!$DX47&lt;&gt;"",N(Simulations!$DZ47)&gt;0))),N(Simulations!$EA47)&lt;=0,N(Simulations!$DZ47)&lt;=0,1&gt;N(IF(Simulations!$O47="",1,Simulations!$O47))),0,IF(Simulations!$EA47&lt;IF(Simulations!$J47="",1000,Simulations!$J47),Simulations!$DZ47/(IF(Simulations!$G47="",5000,Simulations!$G47)*IF(Simulations!$H47="",5000,Simulations!$H47)*IF(IF(Simulations!$I47="",5000,Simulations!$I47)&gt;0,IF(Simulations!$I47="",5000,Simulations!$I47),1))*Simulations!$EA47*(PI()/2*IF(Simulations!$T47="",200,Simulations!$T47)^2*IF(IF(Simulations!$I47="",5000,Simulations!$I47)&gt;0,SQRT(PI()/2)*IF(Simulations!$W47="",1000,Simulations!$W47),1)),Simulations!$DZ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T47="",200,Simulations!$T47)^2*IF(Simulations!$W47="",1000,Simulations!$W47)/2^1.5*(2/3*LN(Simulations!$EA47/IF(Simulations!$J47="",1000,Simulations!$J47))^1.5+SQRT(LN(Simulations!$EA47/IF(Simulations!$J47="",1000,Simulations!$J47)))+Simulations!$EA47/IF(Simulations!$J47="",1000,Simulations!$J47)*SQRT(PI())/2*ERFC(SQRT(LN(Simulations!$EA47/IF(Simulations!$J47="",1000,Simulations!$J47))))),PI()*IF(Simulations!$T47="",200,Simulations!$T47)^2/2*(LN(Simulations!$EA47/IF(Simulations!$J47="",1000,Simulations!$J47))+1))))</f>
        <v>0</v>
      </c>
      <c r="AG47" s="0" t="n">
        <f aca="false">IF(OR(NOT(AND(Simulations!$A47&lt;&gt;"",OR(Simulations!$DX47&lt;&gt;"",N(Simulations!$DZ47)&gt;0))),N(Simulations!$EB47)&lt;=0,N(Simulations!$DZ47)&lt;=0,2&gt;N(IF(Simulations!$O47="",1,Simulations!$O47))),0,IF(Simulations!$EB47&lt;IF(Simulations!$J47="",1000,Simulations!$J47),Simulations!$DZ47/(IF(Simulations!$G47="",5000,Simulations!$G47)*IF(Simulations!$H47="",5000,Simulations!$H47)*IF(IF(Simulations!$I47="",5000,Simulations!$I47)&gt;0,IF(Simulations!$I47="",5000,Simulations!$I47),1))*Simulations!$EB47*(PI()/2*IF(Simulations!$U47="",200,Simulations!$U47)^2*IF(IF(Simulations!$I47="",5000,Simulations!$I47)&gt;0,SQRT(PI()/2)*IF(Simulations!$X47="",1000,Simulations!$X47),1)),Simulations!$DZ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U47="",200,Simulations!$U47)^2*IF(Simulations!$X47="",1000,Simulations!$X47)/2^1.5*(2/3*LN(Simulations!$EB47/IF(Simulations!$J47="",1000,Simulations!$J47))^1.5+SQRT(LN(Simulations!$EB47/IF(Simulations!$J47="",1000,Simulations!$J47)))+Simulations!$EB47/IF(Simulations!$J47="",1000,Simulations!$J47)*SQRT(PI())/2*ERFC(SQRT(LN(Simulations!$EB47/IF(Simulations!$J47="",1000,Simulations!$J47))))),PI()*IF(Simulations!$U47="",200,Simulations!$U47)^2/2*(LN(Simulations!$EB47/IF(Simulations!$J47="",1000,Simulations!$J47))+1))))</f>
        <v>0</v>
      </c>
      <c r="AH47" s="0" t="n">
        <f aca="false">IF(OR(NOT(AND(Simulations!$A47&lt;&gt;"",OR(Simulations!$DX47&lt;&gt;"",N(Simulations!$DZ47)&gt;0))),N(Simulations!$EC47)&lt;=0,N(Simulations!$DZ47)&lt;=0,3&gt;N(IF(Simulations!$O47="",1,Simulations!$O47))),0,IF(Simulations!$EC47&lt;IF(Simulations!$J47="",1000,Simulations!$J47),Simulations!$DZ47/(IF(Simulations!$G47="",5000,Simulations!$G47)*IF(Simulations!$H47="",5000,Simulations!$H47)*IF(IF(Simulations!$I47="",5000,Simulations!$I47)&gt;0,IF(Simulations!$I47="",5000,Simulations!$I47),1))*Simulations!$EC47*(PI()/2*IF(Simulations!$V47="",200,Simulations!$V47)^2*IF(IF(Simulations!$I47="",5000,Simulations!$I47)&gt;0,SQRT(PI()/2)*IF(Simulations!$Y47="",1000,Simulations!$Y47),1)),Simulations!$DZ47/(IF(Simulations!$G47="",5000,Simulations!$G47)*IF(Simulations!$H47="",5000,Simulations!$H47)*IF(IF(Simulations!$I47="",5000,Simulations!$I47)&gt;0,IF(Simulations!$I47="",5000,Simulations!$I47),1))*IF(Simulations!$J47="",1000,Simulations!$J47)*IF(IF(Simulations!$I47="",5000,Simulations!$I47)&gt;0,2*PI()*IF(Simulations!$V47="",200,Simulations!$V47)^2*IF(Simulations!$Y47="",1000,Simulations!$Y47)/2^1.5*(2/3*LN(Simulations!$EC47/IF(Simulations!$J47="",1000,Simulations!$J47))^1.5+SQRT(LN(Simulations!$EC47/IF(Simulations!$J47="",1000,Simulations!$J47)))+Simulations!$EC47/IF(Simulations!$J47="",1000,Simulations!$J47)*SQRT(PI())/2*ERFC(SQRT(LN(Simulations!$EC47/IF(Simulations!$J47="",1000,Simulations!$J47))))),PI()*IF(Simulations!$V47="",200,Simulations!$V47)^2/2*(LN(Simulations!$EC47/IF(Simulations!$J47="",1000,Simulations!$J47))+1))))</f>
        <v>0</v>
      </c>
      <c r="AI47" s="0" t="n">
        <f aca="false">IF(NOT(AND(Simulations!$A47&lt;&gt;"",OR(Simulations!$DX47&lt;&gt;"",N(Simulations!$DZ47)&gt;0))),0,MAX(N(Simulations!$EA47),N(Simulations!$EB47),N(Simulations!$EC47))/IF(Simulations!$J47="",1000,Simulations!$J47))</f>
        <v>0</v>
      </c>
      <c r="AJ47" s="0" t="n">
        <f aca="false">IF(OR(NOT(AND(Simulations!$A47&lt;&gt;"",OR(Simulations!$DX47&lt;&gt;"",N(Simulations!$DZ47)&gt;0))),N(Simulations!$DY47)&lt;=0),0,SQRT(2*Simulations!$DY47*1000000/(IF(Simulations!$J47="",1000,Simulations!$J47)*1000))/MIN(IF(Simulations!$T47="",200,Simulations!$T47),IF(Simulations!$U47="",200,Simulations!$U47),IF(Simulations!$V47="",200,Simulations!$V47)))</f>
        <v>0</v>
      </c>
      <c r="AK47" s="0" t="n">
        <f aca="false">IF(AND(Simulations!$A47&lt;&gt;"",OR(Simulations!$DX47&lt;&gt;"",N(Simulations!$DZ47)&gt;0)),1,0)</f>
        <v>0</v>
      </c>
    </row>
    <row r="48" customFormat="false" ht="15" hidden="false" customHeight="false" outlineLevel="0" collapsed="false">
      <c r="B48" s="0" t="n">
        <f aca="false">IF(OR(NOT(AND(Simulations!$A48&lt;&gt;"",OR(Simulations!$AL48&lt;&gt;"",N(Simulations!$AN48)&gt;0))),N(Simulations!$AO48)&lt;=0,N(Simulations!$AN48)&lt;=0,1&gt;N(IF(Simulations!$O48="",1,Simulations!$O48))),0,IF(Simulations!$AO48&lt;IF(Simulations!$J48="",1000,Simulations!$J48),Simulations!$AN48/(IF(Simulations!$G48="",5000,Simulations!$G48)*IF(Simulations!$H48="",5000,Simulations!$H48)*IF(IF(Simulations!$I48="",5000,Simulations!$I48)&gt;0,IF(Simulations!$I48="",5000,Simulations!$I48),1))*Simulations!$AO48*(PI()/2*IF(Simulations!$T48="",200,Simulations!$T48)^2*IF(IF(Simulations!$I48="",5000,Simulations!$I48)&gt;0,SQRT(PI()/2)*IF(Simulations!$W48="",1000,Simulations!$W48),1)),Simulations!$AN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T48="",200,Simulations!$T48)^2*IF(Simulations!$W48="",1000,Simulations!$W48)/2^1.5*(2/3*LN(Simulations!$AO48/IF(Simulations!$J48="",1000,Simulations!$J48))^1.5+SQRT(LN(Simulations!$AO48/IF(Simulations!$J48="",1000,Simulations!$J48)))+Simulations!$AO48/IF(Simulations!$J48="",1000,Simulations!$J48)*SQRT(PI())/2*ERFC(SQRT(LN(Simulations!$AO48/IF(Simulations!$J48="",1000,Simulations!$J48))))),PI()*IF(Simulations!$T48="",200,Simulations!$T48)^2/2*(LN(Simulations!$AO48/IF(Simulations!$J48="",1000,Simulations!$J48))+1))))</f>
        <v>0</v>
      </c>
      <c r="C48" s="0" t="n">
        <f aca="false">IF(OR(NOT(AND(Simulations!$A48&lt;&gt;"",OR(Simulations!$AL48&lt;&gt;"",N(Simulations!$AN48)&gt;0))),N(Simulations!$AP48)&lt;=0,N(Simulations!$AN48)&lt;=0,2&gt;N(IF(Simulations!$O48="",1,Simulations!$O48))),0,IF(Simulations!$AP48&lt;IF(Simulations!$J48="",1000,Simulations!$J48),Simulations!$AN48/(IF(Simulations!$G48="",5000,Simulations!$G48)*IF(Simulations!$H48="",5000,Simulations!$H48)*IF(IF(Simulations!$I48="",5000,Simulations!$I48)&gt;0,IF(Simulations!$I48="",5000,Simulations!$I48),1))*Simulations!$AP48*(PI()/2*IF(Simulations!$U48="",200,Simulations!$U48)^2*IF(IF(Simulations!$I48="",5000,Simulations!$I48)&gt;0,SQRT(PI()/2)*IF(Simulations!$X48="",1000,Simulations!$X48),1)),Simulations!$AN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U48="",200,Simulations!$U48)^2*IF(Simulations!$X48="",1000,Simulations!$X48)/2^1.5*(2/3*LN(Simulations!$AP48/IF(Simulations!$J48="",1000,Simulations!$J48))^1.5+SQRT(LN(Simulations!$AP48/IF(Simulations!$J48="",1000,Simulations!$J48)))+Simulations!$AP48/IF(Simulations!$J48="",1000,Simulations!$J48)*SQRT(PI())/2*ERFC(SQRT(LN(Simulations!$AP48/IF(Simulations!$J48="",1000,Simulations!$J48))))),PI()*IF(Simulations!$U48="",200,Simulations!$U48)^2/2*(LN(Simulations!$AP48/IF(Simulations!$J48="",1000,Simulations!$J48))+1))))</f>
        <v>0</v>
      </c>
      <c r="D48" s="0" t="n">
        <f aca="false">IF(OR(NOT(AND(Simulations!$A48&lt;&gt;"",OR(Simulations!$AL48&lt;&gt;"",N(Simulations!$AN48)&gt;0))),N(Simulations!$AQ48)&lt;=0,N(Simulations!$AN48)&lt;=0,3&gt;N(IF(Simulations!$O48="",1,Simulations!$O48))),0,IF(Simulations!$AQ48&lt;IF(Simulations!$J48="",1000,Simulations!$J48),Simulations!$AN48/(IF(Simulations!$G48="",5000,Simulations!$G48)*IF(Simulations!$H48="",5000,Simulations!$H48)*IF(IF(Simulations!$I48="",5000,Simulations!$I48)&gt;0,IF(Simulations!$I48="",5000,Simulations!$I48),1))*Simulations!$AQ48*(PI()/2*IF(Simulations!$V48="",200,Simulations!$V48)^2*IF(IF(Simulations!$I48="",5000,Simulations!$I48)&gt;0,SQRT(PI()/2)*IF(Simulations!$Y48="",1000,Simulations!$Y48),1)),Simulations!$AN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V48="",200,Simulations!$V48)^2*IF(Simulations!$Y48="",1000,Simulations!$Y48)/2^1.5*(2/3*LN(Simulations!$AQ48/IF(Simulations!$J48="",1000,Simulations!$J48))^1.5+SQRT(LN(Simulations!$AQ48/IF(Simulations!$J48="",1000,Simulations!$J48)))+Simulations!$AQ48/IF(Simulations!$J48="",1000,Simulations!$J48)*SQRT(PI())/2*ERFC(SQRT(LN(Simulations!$AQ48/IF(Simulations!$J48="",1000,Simulations!$J48))))),PI()*IF(Simulations!$V48="",200,Simulations!$V48)^2/2*(LN(Simulations!$AQ48/IF(Simulations!$J48="",1000,Simulations!$J48))+1))))</f>
        <v>0</v>
      </c>
      <c r="E48" s="0" t="n">
        <f aca="false">IF(NOT(AND(Simulations!$A48&lt;&gt;"",OR(Simulations!$AL48&lt;&gt;"",N(Simulations!$AN48)&gt;0))),0,MAX(N(Simulations!$AO48),N(Simulations!$AP48),N(Simulations!$AQ48))/IF(Simulations!$J48="",1000,Simulations!$J48))</f>
        <v>0</v>
      </c>
      <c r="F48" s="0" t="n">
        <f aca="false">IF(OR(NOT(AND(Simulations!$A48&lt;&gt;"",OR(Simulations!$AL48&lt;&gt;"",N(Simulations!$AN48)&gt;0))),N(Simulations!$AM48)&lt;=0),0,SQRT(2*Simulations!$AM48*1000000/(IF(Simulations!$J48="",1000,Simulations!$J48)*1000))/MIN(IF(Simulations!$T48="",200,Simulations!$T48),IF(Simulations!$U48="",200,Simulations!$U48),IF(Simulations!$V48="",200,Simulations!$V48)))</f>
        <v>0</v>
      </c>
      <c r="G48" s="0" t="n">
        <f aca="false">IF(AND(Simulations!$A48&lt;&gt;"",OR(Simulations!$AL48&lt;&gt;"",N(Simulations!$AN48)&gt;0)),1,0)</f>
        <v>0</v>
      </c>
      <c r="H48" s="0" t="n">
        <f aca="false">IF(OR(NOT(AND(Simulations!$A48&lt;&gt;"",OR(Simulations!$BD48&lt;&gt;"",N(Simulations!$BF48)&gt;0))),N(Simulations!$BG48)&lt;=0,N(Simulations!$BF48)&lt;=0,1&gt;N(IF(Simulations!$O48="",1,Simulations!$O48))),0,IF(Simulations!$BG48&lt;IF(Simulations!$J48="",1000,Simulations!$J48),Simulations!$BF48/(IF(Simulations!$G48="",5000,Simulations!$G48)*IF(Simulations!$H48="",5000,Simulations!$H48)*IF(IF(Simulations!$I48="",5000,Simulations!$I48)&gt;0,IF(Simulations!$I48="",5000,Simulations!$I48),1))*Simulations!$BG48*(PI()/2*IF(Simulations!$T48="",200,Simulations!$T48)^2*IF(IF(Simulations!$I48="",5000,Simulations!$I48)&gt;0,SQRT(PI()/2)*IF(Simulations!$W48="",1000,Simulations!$W48),1)),Simulations!$BF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T48="",200,Simulations!$T48)^2*IF(Simulations!$W48="",1000,Simulations!$W48)/2^1.5*(2/3*LN(Simulations!$BG48/IF(Simulations!$J48="",1000,Simulations!$J48))^1.5+SQRT(LN(Simulations!$BG48/IF(Simulations!$J48="",1000,Simulations!$J48)))+Simulations!$BG48/IF(Simulations!$J48="",1000,Simulations!$J48)*SQRT(PI())/2*ERFC(SQRT(LN(Simulations!$BG48/IF(Simulations!$J48="",1000,Simulations!$J48))))),PI()*IF(Simulations!$T48="",200,Simulations!$T48)^2/2*(LN(Simulations!$BG48/IF(Simulations!$J48="",1000,Simulations!$J48))+1))))</f>
        <v>0</v>
      </c>
      <c r="I48" s="0" t="n">
        <f aca="false">IF(OR(NOT(AND(Simulations!$A48&lt;&gt;"",OR(Simulations!$BD48&lt;&gt;"",N(Simulations!$BF48)&gt;0))),N(Simulations!$BH48)&lt;=0,N(Simulations!$BF48)&lt;=0,2&gt;N(IF(Simulations!$O48="",1,Simulations!$O48))),0,IF(Simulations!$BH48&lt;IF(Simulations!$J48="",1000,Simulations!$J48),Simulations!$BF48/(IF(Simulations!$G48="",5000,Simulations!$G48)*IF(Simulations!$H48="",5000,Simulations!$H48)*IF(IF(Simulations!$I48="",5000,Simulations!$I48)&gt;0,IF(Simulations!$I48="",5000,Simulations!$I48),1))*Simulations!$BH48*(PI()/2*IF(Simulations!$U48="",200,Simulations!$U48)^2*IF(IF(Simulations!$I48="",5000,Simulations!$I48)&gt;0,SQRT(PI()/2)*IF(Simulations!$X48="",1000,Simulations!$X48),1)),Simulations!$BF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U48="",200,Simulations!$U48)^2*IF(Simulations!$X48="",1000,Simulations!$X48)/2^1.5*(2/3*LN(Simulations!$BH48/IF(Simulations!$J48="",1000,Simulations!$J48))^1.5+SQRT(LN(Simulations!$BH48/IF(Simulations!$J48="",1000,Simulations!$J48)))+Simulations!$BH48/IF(Simulations!$J48="",1000,Simulations!$J48)*SQRT(PI())/2*ERFC(SQRT(LN(Simulations!$BH48/IF(Simulations!$J48="",1000,Simulations!$J48))))),PI()*IF(Simulations!$U48="",200,Simulations!$U48)^2/2*(LN(Simulations!$BH48/IF(Simulations!$J48="",1000,Simulations!$J48))+1))))</f>
        <v>0</v>
      </c>
      <c r="J48" s="0" t="n">
        <f aca="false">IF(OR(NOT(AND(Simulations!$A48&lt;&gt;"",OR(Simulations!$BD48&lt;&gt;"",N(Simulations!$BF48)&gt;0))),N(Simulations!$BI48)&lt;=0,N(Simulations!$BF48)&lt;=0,3&gt;N(IF(Simulations!$O48="",1,Simulations!$O48))),0,IF(Simulations!$BI48&lt;IF(Simulations!$J48="",1000,Simulations!$J48),Simulations!$BF48/(IF(Simulations!$G48="",5000,Simulations!$G48)*IF(Simulations!$H48="",5000,Simulations!$H48)*IF(IF(Simulations!$I48="",5000,Simulations!$I48)&gt;0,IF(Simulations!$I48="",5000,Simulations!$I48),1))*Simulations!$BI48*(PI()/2*IF(Simulations!$V48="",200,Simulations!$V48)^2*IF(IF(Simulations!$I48="",5000,Simulations!$I48)&gt;0,SQRT(PI()/2)*IF(Simulations!$Y48="",1000,Simulations!$Y48),1)),Simulations!$BF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V48="",200,Simulations!$V48)^2*IF(Simulations!$Y48="",1000,Simulations!$Y48)/2^1.5*(2/3*LN(Simulations!$BI48/IF(Simulations!$J48="",1000,Simulations!$J48))^1.5+SQRT(LN(Simulations!$BI48/IF(Simulations!$J48="",1000,Simulations!$J48)))+Simulations!$BI48/IF(Simulations!$J48="",1000,Simulations!$J48)*SQRT(PI())/2*ERFC(SQRT(LN(Simulations!$BI48/IF(Simulations!$J48="",1000,Simulations!$J48))))),PI()*IF(Simulations!$V48="",200,Simulations!$V48)^2/2*(LN(Simulations!$BI48/IF(Simulations!$J48="",1000,Simulations!$J48))+1))))</f>
        <v>0</v>
      </c>
      <c r="K48" s="0" t="n">
        <f aca="false">IF(NOT(AND(Simulations!$A48&lt;&gt;"",OR(Simulations!$BD48&lt;&gt;"",N(Simulations!$BF48)&gt;0))),0,MAX(N(Simulations!$BG48),N(Simulations!$BH48),N(Simulations!$BI48))/IF(Simulations!$J48="",1000,Simulations!$J48))</f>
        <v>0</v>
      </c>
      <c r="L48" s="0" t="n">
        <f aca="false">IF(OR(NOT(AND(Simulations!$A48&lt;&gt;"",OR(Simulations!$BD48&lt;&gt;"",N(Simulations!$BF48)&gt;0))),N(Simulations!$BE48)&lt;=0),0,SQRT(2*Simulations!$BE48*1000000/(IF(Simulations!$J48="",1000,Simulations!$J48)*1000))/MIN(IF(Simulations!$T48="",200,Simulations!$T48),IF(Simulations!$U48="",200,Simulations!$U48),IF(Simulations!$V48="",200,Simulations!$V48)))</f>
        <v>0</v>
      </c>
      <c r="M48" s="0" t="n">
        <f aca="false">IF(AND(Simulations!$A48&lt;&gt;"",OR(Simulations!$BD48&lt;&gt;"",N(Simulations!$BF48)&gt;0)),1,0)</f>
        <v>0</v>
      </c>
      <c r="N48" s="0" t="n">
        <f aca="false">IF(OR(NOT(AND(Simulations!$A48&lt;&gt;"",OR(Simulations!$BV48&lt;&gt;"",N(Simulations!$BX48)&gt;0))),N(Simulations!$BY48)&lt;=0,N(Simulations!$BX48)&lt;=0,1&gt;N(IF(Simulations!$O48="",1,Simulations!$O48))),0,IF(Simulations!$BY48&lt;IF(Simulations!$J48="",1000,Simulations!$J48),Simulations!$BX48/(IF(Simulations!$G48="",5000,Simulations!$G48)*IF(Simulations!$H48="",5000,Simulations!$H48)*IF(IF(Simulations!$I48="",5000,Simulations!$I48)&gt;0,IF(Simulations!$I48="",5000,Simulations!$I48),1))*Simulations!$BY48*(PI()/2*IF(Simulations!$T48="",200,Simulations!$T48)^2*IF(IF(Simulations!$I48="",5000,Simulations!$I48)&gt;0,SQRT(PI()/2)*IF(Simulations!$W48="",1000,Simulations!$W48),1)),Simulations!$BX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T48="",200,Simulations!$T48)^2*IF(Simulations!$W48="",1000,Simulations!$W48)/2^1.5*(2/3*LN(Simulations!$BY48/IF(Simulations!$J48="",1000,Simulations!$J48))^1.5+SQRT(LN(Simulations!$BY48/IF(Simulations!$J48="",1000,Simulations!$J48)))+Simulations!$BY48/IF(Simulations!$J48="",1000,Simulations!$J48)*SQRT(PI())/2*ERFC(SQRT(LN(Simulations!$BY48/IF(Simulations!$J48="",1000,Simulations!$J48))))),PI()*IF(Simulations!$T48="",200,Simulations!$T48)^2/2*(LN(Simulations!$BY48/IF(Simulations!$J48="",1000,Simulations!$J48))+1))))</f>
        <v>0</v>
      </c>
      <c r="O48" s="0" t="n">
        <f aca="false">IF(OR(NOT(AND(Simulations!$A48&lt;&gt;"",OR(Simulations!$BV48&lt;&gt;"",N(Simulations!$BX48)&gt;0))),N(Simulations!$BZ48)&lt;=0,N(Simulations!$BX48)&lt;=0,2&gt;N(IF(Simulations!$O48="",1,Simulations!$O48))),0,IF(Simulations!$BZ48&lt;IF(Simulations!$J48="",1000,Simulations!$J48),Simulations!$BX48/(IF(Simulations!$G48="",5000,Simulations!$G48)*IF(Simulations!$H48="",5000,Simulations!$H48)*IF(IF(Simulations!$I48="",5000,Simulations!$I48)&gt;0,IF(Simulations!$I48="",5000,Simulations!$I48),1))*Simulations!$BZ48*(PI()/2*IF(Simulations!$U48="",200,Simulations!$U48)^2*IF(IF(Simulations!$I48="",5000,Simulations!$I48)&gt;0,SQRT(PI()/2)*IF(Simulations!$X48="",1000,Simulations!$X48),1)),Simulations!$BX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U48="",200,Simulations!$U48)^2*IF(Simulations!$X48="",1000,Simulations!$X48)/2^1.5*(2/3*LN(Simulations!$BZ48/IF(Simulations!$J48="",1000,Simulations!$J48))^1.5+SQRT(LN(Simulations!$BZ48/IF(Simulations!$J48="",1000,Simulations!$J48)))+Simulations!$BZ48/IF(Simulations!$J48="",1000,Simulations!$J48)*SQRT(PI())/2*ERFC(SQRT(LN(Simulations!$BZ48/IF(Simulations!$J48="",1000,Simulations!$J48))))),PI()*IF(Simulations!$U48="",200,Simulations!$U48)^2/2*(LN(Simulations!$BZ48/IF(Simulations!$J48="",1000,Simulations!$J48))+1))))</f>
        <v>0</v>
      </c>
      <c r="P48" s="0" t="n">
        <f aca="false">IF(OR(NOT(AND(Simulations!$A48&lt;&gt;"",OR(Simulations!$BV48&lt;&gt;"",N(Simulations!$BX48)&gt;0))),N(Simulations!$CA48)&lt;=0,N(Simulations!$BX48)&lt;=0,3&gt;N(IF(Simulations!$O48="",1,Simulations!$O48))),0,IF(Simulations!$CA48&lt;IF(Simulations!$J48="",1000,Simulations!$J48),Simulations!$BX48/(IF(Simulations!$G48="",5000,Simulations!$G48)*IF(Simulations!$H48="",5000,Simulations!$H48)*IF(IF(Simulations!$I48="",5000,Simulations!$I48)&gt;0,IF(Simulations!$I48="",5000,Simulations!$I48),1))*Simulations!$CA48*(PI()/2*IF(Simulations!$V48="",200,Simulations!$V48)^2*IF(IF(Simulations!$I48="",5000,Simulations!$I48)&gt;0,SQRT(PI()/2)*IF(Simulations!$Y48="",1000,Simulations!$Y48),1)),Simulations!$BX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V48="",200,Simulations!$V48)^2*IF(Simulations!$Y48="",1000,Simulations!$Y48)/2^1.5*(2/3*LN(Simulations!$CA48/IF(Simulations!$J48="",1000,Simulations!$J48))^1.5+SQRT(LN(Simulations!$CA48/IF(Simulations!$J48="",1000,Simulations!$J48)))+Simulations!$CA48/IF(Simulations!$J48="",1000,Simulations!$J48)*SQRT(PI())/2*ERFC(SQRT(LN(Simulations!$CA48/IF(Simulations!$J48="",1000,Simulations!$J48))))),PI()*IF(Simulations!$V48="",200,Simulations!$V48)^2/2*(LN(Simulations!$CA48/IF(Simulations!$J48="",1000,Simulations!$J48))+1))))</f>
        <v>0</v>
      </c>
      <c r="Q48" s="0" t="n">
        <f aca="false">IF(NOT(AND(Simulations!$A48&lt;&gt;"",OR(Simulations!$BV48&lt;&gt;"",N(Simulations!$BX48)&gt;0))),0,MAX(N(Simulations!$BY48),N(Simulations!$BZ48),N(Simulations!$CA48))/IF(Simulations!$J48="",1000,Simulations!$J48))</f>
        <v>0</v>
      </c>
      <c r="R48" s="0" t="n">
        <f aca="false">IF(OR(NOT(AND(Simulations!$A48&lt;&gt;"",OR(Simulations!$BV48&lt;&gt;"",N(Simulations!$BX48)&gt;0))),N(Simulations!$BW48)&lt;=0),0,SQRT(2*Simulations!$BW48*1000000/(IF(Simulations!$J48="",1000,Simulations!$J48)*1000))/MIN(IF(Simulations!$T48="",200,Simulations!$T48),IF(Simulations!$U48="",200,Simulations!$U48),IF(Simulations!$V48="",200,Simulations!$V48)))</f>
        <v>0</v>
      </c>
      <c r="S48" s="0" t="n">
        <f aca="false">IF(AND(Simulations!$A48&lt;&gt;"",OR(Simulations!$BV48&lt;&gt;"",N(Simulations!$BX48)&gt;0)),1,0)</f>
        <v>0</v>
      </c>
      <c r="T48" s="0" t="n">
        <f aca="false">IF(OR(NOT(AND(Simulations!$A48&lt;&gt;"",OR(Simulations!$CN48&lt;&gt;"",N(Simulations!$CP48)&gt;0))),N(Simulations!$CQ48)&lt;=0,N(Simulations!$CP48)&lt;=0,1&gt;N(IF(Simulations!$O48="",1,Simulations!$O48))),0,IF(Simulations!$CQ48&lt;IF(Simulations!$J48="",1000,Simulations!$J48),Simulations!$CP48/(IF(Simulations!$G48="",5000,Simulations!$G48)*IF(Simulations!$H48="",5000,Simulations!$H48)*IF(IF(Simulations!$I48="",5000,Simulations!$I48)&gt;0,IF(Simulations!$I48="",5000,Simulations!$I48),1))*Simulations!$CQ48*(PI()/2*IF(Simulations!$T48="",200,Simulations!$T48)^2*IF(IF(Simulations!$I48="",5000,Simulations!$I48)&gt;0,SQRT(PI()/2)*IF(Simulations!$W48="",1000,Simulations!$W48),1)),Simulations!$CP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T48="",200,Simulations!$T48)^2*IF(Simulations!$W48="",1000,Simulations!$W48)/2^1.5*(2/3*LN(Simulations!$CQ48/IF(Simulations!$J48="",1000,Simulations!$J48))^1.5+SQRT(LN(Simulations!$CQ48/IF(Simulations!$J48="",1000,Simulations!$J48)))+Simulations!$CQ48/IF(Simulations!$J48="",1000,Simulations!$J48)*SQRT(PI())/2*ERFC(SQRT(LN(Simulations!$CQ48/IF(Simulations!$J48="",1000,Simulations!$J48))))),PI()*IF(Simulations!$T48="",200,Simulations!$T48)^2/2*(LN(Simulations!$CQ48/IF(Simulations!$J48="",1000,Simulations!$J48))+1))))</f>
        <v>0</v>
      </c>
      <c r="U48" s="0" t="n">
        <f aca="false">IF(OR(NOT(AND(Simulations!$A48&lt;&gt;"",OR(Simulations!$CN48&lt;&gt;"",N(Simulations!$CP48)&gt;0))),N(Simulations!$CR48)&lt;=0,N(Simulations!$CP48)&lt;=0,2&gt;N(IF(Simulations!$O48="",1,Simulations!$O48))),0,IF(Simulations!$CR48&lt;IF(Simulations!$J48="",1000,Simulations!$J48),Simulations!$CP48/(IF(Simulations!$G48="",5000,Simulations!$G48)*IF(Simulations!$H48="",5000,Simulations!$H48)*IF(IF(Simulations!$I48="",5000,Simulations!$I48)&gt;0,IF(Simulations!$I48="",5000,Simulations!$I48),1))*Simulations!$CR48*(PI()/2*IF(Simulations!$U48="",200,Simulations!$U48)^2*IF(IF(Simulations!$I48="",5000,Simulations!$I48)&gt;0,SQRT(PI()/2)*IF(Simulations!$X48="",1000,Simulations!$X48),1)),Simulations!$CP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U48="",200,Simulations!$U48)^2*IF(Simulations!$X48="",1000,Simulations!$X48)/2^1.5*(2/3*LN(Simulations!$CR48/IF(Simulations!$J48="",1000,Simulations!$J48))^1.5+SQRT(LN(Simulations!$CR48/IF(Simulations!$J48="",1000,Simulations!$J48)))+Simulations!$CR48/IF(Simulations!$J48="",1000,Simulations!$J48)*SQRT(PI())/2*ERFC(SQRT(LN(Simulations!$CR48/IF(Simulations!$J48="",1000,Simulations!$J48))))),PI()*IF(Simulations!$U48="",200,Simulations!$U48)^2/2*(LN(Simulations!$CR48/IF(Simulations!$J48="",1000,Simulations!$J48))+1))))</f>
        <v>0</v>
      </c>
      <c r="V48" s="0" t="n">
        <f aca="false">IF(OR(NOT(AND(Simulations!$A48&lt;&gt;"",OR(Simulations!$CN48&lt;&gt;"",N(Simulations!$CP48)&gt;0))),N(Simulations!$CS48)&lt;=0,N(Simulations!$CP48)&lt;=0,3&gt;N(IF(Simulations!$O48="",1,Simulations!$O48))),0,IF(Simulations!$CS48&lt;IF(Simulations!$J48="",1000,Simulations!$J48),Simulations!$CP48/(IF(Simulations!$G48="",5000,Simulations!$G48)*IF(Simulations!$H48="",5000,Simulations!$H48)*IF(IF(Simulations!$I48="",5000,Simulations!$I48)&gt;0,IF(Simulations!$I48="",5000,Simulations!$I48),1))*Simulations!$CS48*(PI()/2*IF(Simulations!$V48="",200,Simulations!$V48)^2*IF(IF(Simulations!$I48="",5000,Simulations!$I48)&gt;0,SQRT(PI()/2)*IF(Simulations!$Y48="",1000,Simulations!$Y48),1)),Simulations!$CP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V48="",200,Simulations!$V48)^2*IF(Simulations!$Y48="",1000,Simulations!$Y48)/2^1.5*(2/3*LN(Simulations!$CS48/IF(Simulations!$J48="",1000,Simulations!$J48))^1.5+SQRT(LN(Simulations!$CS48/IF(Simulations!$J48="",1000,Simulations!$J48)))+Simulations!$CS48/IF(Simulations!$J48="",1000,Simulations!$J48)*SQRT(PI())/2*ERFC(SQRT(LN(Simulations!$CS48/IF(Simulations!$J48="",1000,Simulations!$J48))))),PI()*IF(Simulations!$V48="",200,Simulations!$V48)^2/2*(LN(Simulations!$CS48/IF(Simulations!$J48="",1000,Simulations!$J48))+1))))</f>
        <v>0</v>
      </c>
      <c r="W48" s="0" t="n">
        <f aca="false">IF(NOT(AND(Simulations!$A48&lt;&gt;"",OR(Simulations!$CN48&lt;&gt;"",N(Simulations!$CP48)&gt;0))),0,MAX(N(Simulations!$CQ48),N(Simulations!$CR48),N(Simulations!$CS48))/IF(Simulations!$J48="",1000,Simulations!$J48))</f>
        <v>0</v>
      </c>
      <c r="X48" s="0" t="n">
        <f aca="false">IF(OR(NOT(AND(Simulations!$A48&lt;&gt;"",OR(Simulations!$CN48&lt;&gt;"",N(Simulations!$CP48)&gt;0))),N(Simulations!$CO48)&lt;=0),0,SQRT(2*Simulations!$CO48*1000000/(IF(Simulations!$J48="",1000,Simulations!$J48)*1000))/MIN(IF(Simulations!$T48="",200,Simulations!$T48),IF(Simulations!$U48="",200,Simulations!$U48),IF(Simulations!$V48="",200,Simulations!$V48)))</f>
        <v>0</v>
      </c>
      <c r="Y48" s="0" t="n">
        <f aca="false">IF(AND(Simulations!$A48&lt;&gt;"",OR(Simulations!$CN48&lt;&gt;"",N(Simulations!$CP48)&gt;0)),1,0)</f>
        <v>0</v>
      </c>
      <c r="Z48" s="0" t="n">
        <f aca="false">IF(OR(NOT(AND(Simulations!$A48&lt;&gt;"",OR(Simulations!$DF48&lt;&gt;"",N(Simulations!$DH48)&gt;0))),N(Simulations!$DI48)&lt;=0,N(Simulations!$DH48)&lt;=0,1&gt;N(IF(Simulations!$O48="",1,Simulations!$O48))),0,IF(Simulations!$DI48&lt;IF(Simulations!$J48="",1000,Simulations!$J48),Simulations!$DH48/(IF(Simulations!$G48="",5000,Simulations!$G48)*IF(Simulations!$H48="",5000,Simulations!$H48)*IF(IF(Simulations!$I48="",5000,Simulations!$I48)&gt;0,IF(Simulations!$I48="",5000,Simulations!$I48),1))*Simulations!$DI48*(PI()/2*IF(Simulations!$T48="",200,Simulations!$T48)^2*IF(IF(Simulations!$I48="",5000,Simulations!$I48)&gt;0,SQRT(PI()/2)*IF(Simulations!$W48="",1000,Simulations!$W48),1)),Simulations!$DH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T48="",200,Simulations!$T48)^2*IF(Simulations!$W48="",1000,Simulations!$W48)/2^1.5*(2/3*LN(Simulations!$DI48/IF(Simulations!$J48="",1000,Simulations!$J48))^1.5+SQRT(LN(Simulations!$DI48/IF(Simulations!$J48="",1000,Simulations!$J48)))+Simulations!$DI48/IF(Simulations!$J48="",1000,Simulations!$J48)*SQRT(PI())/2*ERFC(SQRT(LN(Simulations!$DI48/IF(Simulations!$J48="",1000,Simulations!$J48))))),PI()*IF(Simulations!$T48="",200,Simulations!$T48)^2/2*(LN(Simulations!$DI48/IF(Simulations!$J48="",1000,Simulations!$J48))+1))))</f>
        <v>0</v>
      </c>
      <c r="AA48" s="0" t="n">
        <f aca="false">IF(OR(NOT(AND(Simulations!$A48&lt;&gt;"",OR(Simulations!$DF48&lt;&gt;"",N(Simulations!$DH48)&gt;0))),N(Simulations!$DJ48)&lt;=0,N(Simulations!$DH48)&lt;=0,2&gt;N(IF(Simulations!$O48="",1,Simulations!$O48))),0,IF(Simulations!$DJ48&lt;IF(Simulations!$J48="",1000,Simulations!$J48),Simulations!$DH48/(IF(Simulations!$G48="",5000,Simulations!$G48)*IF(Simulations!$H48="",5000,Simulations!$H48)*IF(IF(Simulations!$I48="",5000,Simulations!$I48)&gt;0,IF(Simulations!$I48="",5000,Simulations!$I48),1))*Simulations!$DJ48*(PI()/2*IF(Simulations!$U48="",200,Simulations!$U48)^2*IF(IF(Simulations!$I48="",5000,Simulations!$I48)&gt;0,SQRT(PI()/2)*IF(Simulations!$X48="",1000,Simulations!$X48),1)),Simulations!$DH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U48="",200,Simulations!$U48)^2*IF(Simulations!$X48="",1000,Simulations!$X48)/2^1.5*(2/3*LN(Simulations!$DJ48/IF(Simulations!$J48="",1000,Simulations!$J48))^1.5+SQRT(LN(Simulations!$DJ48/IF(Simulations!$J48="",1000,Simulations!$J48)))+Simulations!$DJ48/IF(Simulations!$J48="",1000,Simulations!$J48)*SQRT(PI())/2*ERFC(SQRT(LN(Simulations!$DJ48/IF(Simulations!$J48="",1000,Simulations!$J48))))),PI()*IF(Simulations!$U48="",200,Simulations!$U48)^2/2*(LN(Simulations!$DJ48/IF(Simulations!$J48="",1000,Simulations!$J48))+1))))</f>
        <v>0</v>
      </c>
      <c r="AB48" s="0" t="n">
        <f aca="false">IF(OR(NOT(AND(Simulations!$A48&lt;&gt;"",OR(Simulations!$DF48&lt;&gt;"",N(Simulations!$DH48)&gt;0))),N(Simulations!$DK48)&lt;=0,N(Simulations!$DH48)&lt;=0,3&gt;N(IF(Simulations!$O48="",1,Simulations!$O48))),0,IF(Simulations!$DK48&lt;IF(Simulations!$J48="",1000,Simulations!$J48),Simulations!$DH48/(IF(Simulations!$G48="",5000,Simulations!$G48)*IF(Simulations!$H48="",5000,Simulations!$H48)*IF(IF(Simulations!$I48="",5000,Simulations!$I48)&gt;0,IF(Simulations!$I48="",5000,Simulations!$I48),1))*Simulations!$DK48*(PI()/2*IF(Simulations!$V48="",200,Simulations!$V48)^2*IF(IF(Simulations!$I48="",5000,Simulations!$I48)&gt;0,SQRT(PI()/2)*IF(Simulations!$Y48="",1000,Simulations!$Y48),1)),Simulations!$DH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V48="",200,Simulations!$V48)^2*IF(Simulations!$Y48="",1000,Simulations!$Y48)/2^1.5*(2/3*LN(Simulations!$DK48/IF(Simulations!$J48="",1000,Simulations!$J48))^1.5+SQRT(LN(Simulations!$DK48/IF(Simulations!$J48="",1000,Simulations!$J48)))+Simulations!$DK48/IF(Simulations!$J48="",1000,Simulations!$J48)*SQRT(PI())/2*ERFC(SQRT(LN(Simulations!$DK48/IF(Simulations!$J48="",1000,Simulations!$J48))))),PI()*IF(Simulations!$V48="",200,Simulations!$V48)^2/2*(LN(Simulations!$DK48/IF(Simulations!$J48="",1000,Simulations!$J48))+1))))</f>
        <v>0</v>
      </c>
      <c r="AC48" s="0" t="n">
        <f aca="false">IF(NOT(AND(Simulations!$A48&lt;&gt;"",OR(Simulations!$DF48&lt;&gt;"",N(Simulations!$DH48)&gt;0))),0,MAX(N(Simulations!$DI48),N(Simulations!$DJ48),N(Simulations!$DK48))/IF(Simulations!$J48="",1000,Simulations!$J48))</f>
        <v>0</v>
      </c>
      <c r="AD48" s="0" t="n">
        <f aca="false">IF(OR(NOT(AND(Simulations!$A48&lt;&gt;"",OR(Simulations!$DF48&lt;&gt;"",N(Simulations!$DH48)&gt;0))),N(Simulations!$DG48)&lt;=0),0,SQRT(2*Simulations!$DG48*1000000/(IF(Simulations!$J48="",1000,Simulations!$J48)*1000))/MIN(IF(Simulations!$T48="",200,Simulations!$T48),IF(Simulations!$U48="",200,Simulations!$U48),IF(Simulations!$V48="",200,Simulations!$V48)))</f>
        <v>0</v>
      </c>
      <c r="AE48" s="0" t="n">
        <f aca="false">IF(AND(Simulations!$A48&lt;&gt;"",OR(Simulations!$DF48&lt;&gt;"",N(Simulations!$DH48)&gt;0)),1,0)</f>
        <v>0</v>
      </c>
      <c r="AF48" s="0" t="n">
        <f aca="false">IF(OR(NOT(AND(Simulations!$A48&lt;&gt;"",OR(Simulations!$DX48&lt;&gt;"",N(Simulations!$DZ48)&gt;0))),N(Simulations!$EA48)&lt;=0,N(Simulations!$DZ48)&lt;=0,1&gt;N(IF(Simulations!$O48="",1,Simulations!$O48))),0,IF(Simulations!$EA48&lt;IF(Simulations!$J48="",1000,Simulations!$J48),Simulations!$DZ48/(IF(Simulations!$G48="",5000,Simulations!$G48)*IF(Simulations!$H48="",5000,Simulations!$H48)*IF(IF(Simulations!$I48="",5000,Simulations!$I48)&gt;0,IF(Simulations!$I48="",5000,Simulations!$I48),1))*Simulations!$EA48*(PI()/2*IF(Simulations!$T48="",200,Simulations!$T48)^2*IF(IF(Simulations!$I48="",5000,Simulations!$I48)&gt;0,SQRT(PI()/2)*IF(Simulations!$W48="",1000,Simulations!$W48),1)),Simulations!$DZ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T48="",200,Simulations!$T48)^2*IF(Simulations!$W48="",1000,Simulations!$W48)/2^1.5*(2/3*LN(Simulations!$EA48/IF(Simulations!$J48="",1000,Simulations!$J48))^1.5+SQRT(LN(Simulations!$EA48/IF(Simulations!$J48="",1000,Simulations!$J48)))+Simulations!$EA48/IF(Simulations!$J48="",1000,Simulations!$J48)*SQRT(PI())/2*ERFC(SQRT(LN(Simulations!$EA48/IF(Simulations!$J48="",1000,Simulations!$J48))))),PI()*IF(Simulations!$T48="",200,Simulations!$T48)^2/2*(LN(Simulations!$EA48/IF(Simulations!$J48="",1000,Simulations!$J48))+1))))</f>
        <v>0</v>
      </c>
      <c r="AG48" s="0" t="n">
        <f aca="false">IF(OR(NOT(AND(Simulations!$A48&lt;&gt;"",OR(Simulations!$DX48&lt;&gt;"",N(Simulations!$DZ48)&gt;0))),N(Simulations!$EB48)&lt;=0,N(Simulations!$DZ48)&lt;=0,2&gt;N(IF(Simulations!$O48="",1,Simulations!$O48))),0,IF(Simulations!$EB48&lt;IF(Simulations!$J48="",1000,Simulations!$J48),Simulations!$DZ48/(IF(Simulations!$G48="",5000,Simulations!$G48)*IF(Simulations!$H48="",5000,Simulations!$H48)*IF(IF(Simulations!$I48="",5000,Simulations!$I48)&gt;0,IF(Simulations!$I48="",5000,Simulations!$I48),1))*Simulations!$EB48*(PI()/2*IF(Simulations!$U48="",200,Simulations!$U48)^2*IF(IF(Simulations!$I48="",5000,Simulations!$I48)&gt;0,SQRT(PI()/2)*IF(Simulations!$X48="",1000,Simulations!$X48),1)),Simulations!$DZ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U48="",200,Simulations!$U48)^2*IF(Simulations!$X48="",1000,Simulations!$X48)/2^1.5*(2/3*LN(Simulations!$EB48/IF(Simulations!$J48="",1000,Simulations!$J48))^1.5+SQRT(LN(Simulations!$EB48/IF(Simulations!$J48="",1000,Simulations!$J48)))+Simulations!$EB48/IF(Simulations!$J48="",1000,Simulations!$J48)*SQRT(PI())/2*ERFC(SQRT(LN(Simulations!$EB48/IF(Simulations!$J48="",1000,Simulations!$J48))))),PI()*IF(Simulations!$U48="",200,Simulations!$U48)^2/2*(LN(Simulations!$EB48/IF(Simulations!$J48="",1000,Simulations!$J48))+1))))</f>
        <v>0</v>
      </c>
      <c r="AH48" s="0" t="n">
        <f aca="false">IF(OR(NOT(AND(Simulations!$A48&lt;&gt;"",OR(Simulations!$DX48&lt;&gt;"",N(Simulations!$DZ48)&gt;0))),N(Simulations!$EC48)&lt;=0,N(Simulations!$DZ48)&lt;=0,3&gt;N(IF(Simulations!$O48="",1,Simulations!$O48))),0,IF(Simulations!$EC48&lt;IF(Simulations!$J48="",1000,Simulations!$J48),Simulations!$DZ48/(IF(Simulations!$G48="",5000,Simulations!$G48)*IF(Simulations!$H48="",5000,Simulations!$H48)*IF(IF(Simulations!$I48="",5000,Simulations!$I48)&gt;0,IF(Simulations!$I48="",5000,Simulations!$I48),1))*Simulations!$EC48*(PI()/2*IF(Simulations!$V48="",200,Simulations!$V48)^2*IF(IF(Simulations!$I48="",5000,Simulations!$I48)&gt;0,SQRT(PI()/2)*IF(Simulations!$Y48="",1000,Simulations!$Y48),1)),Simulations!$DZ48/(IF(Simulations!$G48="",5000,Simulations!$G48)*IF(Simulations!$H48="",5000,Simulations!$H48)*IF(IF(Simulations!$I48="",5000,Simulations!$I48)&gt;0,IF(Simulations!$I48="",5000,Simulations!$I48),1))*IF(Simulations!$J48="",1000,Simulations!$J48)*IF(IF(Simulations!$I48="",5000,Simulations!$I48)&gt;0,2*PI()*IF(Simulations!$V48="",200,Simulations!$V48)^2*IF(Simulations!$Y48="",1000,Simulations!$Y48)/2^1.5*(2/3*LN(Simulations!$EC48/IF(Simulations!$J48="",1000,Simulations!$J48))^1.5+SQRT(LN(Simulations!$EC48/IF(Simulations!$J48="",1000,Simulations!$J48)))+Simulations!$EC48/IF(Simulations!$J48="",1000,Simulations!$J48)*SQRT(PI())/2*ERFC(SQRT(LN(Simulations!$EC48/IF(Simulations!$J48="",1000,Simulations!$J48))))),PI()*IF(Simulations!$V48="",200,Simulations!$V48)^2/2*(LN(Simulations!$EC48/IF(Simulations!$J48="",1000,Simulations!$J48))+1))))</f>
        <v>0</v>
      </c>
      <c r="AI48" s="0" t="n">
        <f aca="false">IF(NOT(AND(Simulations!$A48&lt;&gt;"",OR(Simulations!$DX48&lt;&gt;"",N(Simulations!$DZ48)&gt;0))),0,MAX(N(Simulations!$EA48),N(Simulations!$EB48),N(Simulations!$EC48))/IF(Simulations!$J48="",1000,Simulations!$J48))</f>
        <v>0</v>
      </c>
      <c r="AJ48" s="0" t="n">
        <f aca="false">IF(OR(NOT(AND(Simulations!$A48&lt;&gt;"",OR(Simulations!$DX48&lt;&gt;"",N(Simulations!$DZ48)&gt;0))),N(Simulations!$DY48)&lt;=0),0,SQRT(2*Simulations!$DY48*1000000/(IF(Simulations!$J48="",1000,Simulations!$J48)*1000))/MIN(IF(Simulations!$T48="",200,Simulations!$T48),IF(Simulations!$U48="",200,Simulations!$U48),IF(Simulations!$V48="",200,Simulations!$V48)))</f>
        <v>0</v>
      </c>
      <c r="AK48" s="0" t="n">
        <f aca="false">IF(AND(Simulations!$A48&lt;&gt;"",OR(Simulations!$DX48&lt;&gt;"",N(Simulations!$DZ48)&gt;0)),1,0)</f>
        <v>0</v>
      </c>
    </row>
    <row r="49" customFormat="false" ht="15" hidden="false" customHeight="false" outlineLevel="0" collapsed="false">
      <c r="B49" s="0" t="n">
        <f aca="false">IF(OR(NOT(AND(Simulations!$A49&lt;&gt;"",OR(Simulations!$AL49&lt;&gt;"",N(Simulations!$AN49)&gt;0))),N(Simulations!$AO49)&lt;=0,N(Simulations!$AN49)&lt;=0,1&gt;N(IF(Simulations!$O49="",1,Simulations!$O49))),0,IF(Simulations!$AO49&lt;IF(Simulations!$J49="",1000,Simulations!$J49),Simulations!$AN49/(IF(Simulations!$G49="",5000,Simulations!$G49)*IF(Simulations!$H49="",5000,Simulations!$H49)*IF(IF(Simulations!$I49="",5000,Simulations!$I49)&gt;0,IF(Simulations!$I49="",5000,Simulations!$I49),1))*Simulations!$AO49*(PI()/2*IF(Simulations!$T49="",200,Simulations!$T49)^2*IF(IF(Simulations!$I49="",5000,Simulations!$I49)&gt;0,SQRT(PI()/2)*IF(Simulations!$W49="",1000,Simulations!$W49),1)),Simulations!$AN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T49="",200,Simulations!$T49)^2*IF(Simulations!$W49="",1000,Simulations!$W49)/2^1.5*(2/3*LN(Simulations!$AO49/IF(Simulations!$J49="",1000,Simulations!$J49))^1.5+SQRT(LN(Simulations!$AO49/IF(Simulations!$J49="",1000,Simulations!$J49)))+Simulations!$AO49/IF(Simulations!$J49="",1000,Simulations!$J49)*SQRT(PI())/2*ERFC(SQRT(LN(Simulations!$AO49/IF(Simulations!$J49="",1000,Simulations!$J49))))),PI()*IF(Simulations!$T49="",200,Simulations!$T49)^2/2*(LN(Simulations!$AO49/IF(Simulations!$J49="",1000,Simulations!$J49))+1))))</f>
        <v>0</v>
      </c>
      <c r="C49" s="0" t="n">
        <f aca="false">IF(OR(NOT(AND(Simulations!$A49&lt;&gt;"",OR(Simulations!$AL49&lt;&gt;"",N(Simulations!$AN49)&gt;0))),N(Simulations!$AP49)&lt;=0,N(Simulations!$AN49)&lt;=0,2&gt;N(IF(Simulations!$O49="",1,Simulations!$O49))),0,IF(Simulations!$AP49&lt;IF(Simulations!$J49="",1000,Simulations!$J49),Simulations!$AN49/(IF(Simulations!$G49="",5000,Simulations!$G49)*IF(Simulations!$H49="",5000,Simulations!$H49)*IF(IF(Simulations!$I49="",5000,Simulations!$I49)&gt;0,IF(Simulations!$I49="",5000,Simulations!$I49),1))*Simulations!$AP49*(PI()/2*IF(Simulations!$U49="",200,Simulations!$U49)^2*IF(IF(Simulations!$I49="",5000,Simulations!$I49)&gt;0,SQRT(PI()/2)*IF(Simulations!$X49="",1000,Simulations!$X49),1)),Simulations!$AN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U49="",200,Simulations!$U49)^2*IF(Simulations!$X49="",1000,Simulations!$X49)/2^1.5*(2/3*LN(Simulations!$AP49/IF(Simulations!$J49="",1000,Simulations!$J49))^1.5+SQRT(LN(Simulations!$AP49/IF(Simulations!$J49="",1000,Simulations!$J49)))+Simulations!$AP49/IF(Simulations!$J49="",1000,Simulations!$J49)*SQRT(PI())/2*ERFC(SQRT(LN(Simulations!$AP49/IF(Simulations!$J49="",1000,Simulations!$J49))))),PI()*IF(Simulations!$U49="",200,Simulations!$U49)^2/2*(LN(Simulations!$AP49/IF(Simulations!$J49="",1000,Simulations!$J49))+1))))</f>
        <v>0</v>
      </c>
      <c r="D49" s="0" t="n">
        <f aca="false">IF(OR(NOT(AND(Simulations!$A49&lt;&gt;"",OR(Simulations!$AL49&lt;&gt;"",N(Simulations!$AN49)&gt;0))),N(Simulations!$AQ49)&lt;=0,N(Simulations!$AN49)&lt;=0,3&gt;N(IF(Simulations!$O49="",1,Simulations!$O49))),0,IF(Simulations!$AQ49&lt;IF(Simulations!$J49="",1000,Simulations!$J49),Simulations!$AN49/(IF(Simulations!$G49="",5000,Simulations!$G49)*IF(Simulations!$H49="",5000,Simulations!$H49)*IF(IF(Simulations!$I49="",5000,Simulations!$I49)&gt;0,IF(Simulations!$I49="",5000,Simulations!$I49),1))*Simulations!$AQ49*(PI()/2*IF(Simulations!$V49="",200,Simulations!$V49)^2*IF(IF(Simulations!$I49="",5000,Simulations!$I49)&gt;0,SQRT(PI()/2)*IF(Simulations!$Y49="",1000,Simulations!$Y49),1)),Simulations!$AN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V49="",200,Simulations!$V49)^2*IF(Simulations!$Y49="",1000,Simulations!$Y49)/2^1.5*(2/3*LN(Simulations!$AQ49/IF(Simulations!$J49="",1000,Simulations!$J49))^1.5+SQRT(LN(Simulations!$AQ49/IF(Simulations!$J49="",1000,Simulations!$J49)))+Simulations!$AQ49/IF(Simulations!$J49="",1000,Simulations!$J49)*SQRT(PI())/2*ERFC(SQRT(LN(Simulations!$AQ49/IF(Simulations!$J49="",1000,Simulations!$J49))))),PI()*IF(Simulations!$V49="",200,Simulations!$V49)^2/2*(LN(Simulations!$AQ49/IF(Simulations!$J49="",1000,Simulations!$J49))+1))))</f>
        <v>0</v>
      </c>
      <c r="E49" s="0" t="n">
        <f aca="false">IF(NOT(AND(Simulations!$A49&lt;&gt;"",OR(Simulations!$AL49&lt;&gt;"",N(Simulations!$AN49)&gt;0))),0,MAX(N(Simulations!$AO49),N(Simulations!$AP49),N(Simulations!$AQ49))/IF(Simulations!$J49="",1000,Simulations!$J49))</f>
        <v>0</v>
      </c>
      <c r="F49" s="0" t="n">
        <f aca="false">IF(OR(NOT(AND(Simulations!$A49&lt;&gt;"",OR(Simulations!$AL49&lt;&gt;"",N(Simulations!$AN49)&gt;0))),N(Simulations!$AM49)&lt;=0),0,SQRT(2*Simulations!$AM49*1000000/(IF(Simulations!$J49="",1000,Simulations!$J49)*1000))/MIN(IF(Simulations!$T49="",200,Simulations!$T49),IF(Simulations!$U49="",200,Simulations!$U49),IF(Simulations!$V49="",200,Simulations!$V49)))</f>
        <v>0</v>
      </c>
      <c r="G49" s="0" t="n">
        <f aca="false">IF(AND(Simulations!$A49&lt;&gt;"",OR(Simulations!$AL49&lt;&gt;"",N(Simulations!$AN49)&gt;0)),1,0)</f>
        <v>0</v>
      </c>
      <c r="H49" s="0" t="n">
        <f aca="false">IF(OR(NOT(AND(Simulations!$A49&lt;&gt;"",OR(Simulations!$BD49&lt;&gt;"",N(Simulations!$BF49)&gt;0))),N(Simulations!$BG49)&lt;=0,N(Simulations!$BF49)&lt;=0,1&gt;N(IF(Simulations!$O49="",1,Simulations!$O49))),0,IF(Simulations!$BG49&lt;IF(Simulations!$J49="",1000,Simulations!$J49),Simulations!$BF49/(IF(Simulations!$G49="",5000,Simulations!$G49)*IF(Simulations!$H49="",5000,Simulations!$H49)*IF(IF(Simulations!$I49="",5000,Simulations!$I49)&gt;0,IF(Simulations!$I49="",5000,Simulations!$I49),1))*Simulations!$BG49*(PI()/2*IF(Simulations!$T49="",200,Simulations!$T49)^2*IF(IF(Simulations!$I49="",5000,Simulations!$I49)&gt;0,SQRT(PI()/2)*IF(Simulations!$W49="",1000,Simulations!$W49),1)),Simulations!$BF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T49="",200,Simulations!$T49)^2*IF(Simulations!$W49="",1000,Simulations!$W49)/2^1.5*(2/3*LN(Simulations!$BG49/IF(Simulations!$J49="",1000,Simulations!$J49))^1.5+SQRT(LN(Simulations!$BG49/IF(Simulations!$J49="",1000,Simulations!$J49)))+Simulations!$BG49/IF(Simulations!$J49="",1000,Simulations!$J49)*SQRT(PI())/2*ERFC(SQRT(LN(Simulations!$BG49/IF(Simulations!$J49="",1000,Simulations!$J49))))),PI()*IF(Simulations!$T49="",200,Simulations!$T49)^2/2*(LN(Simulations!$BG49/IF(Simulations!$J49="",1000,Simulations!$J49))+1))))</f>
        <v>0</v>
      </c>
      <c r="I49" s="0" t="n">
        <f aca="false">IF(OR(NOT(AND(Simulations!$A49&lt;&gt;"",OR(Simulations!$BD49&lt;&gt;"",N(Simulations!$BF49)&gt;0))),N(Simulations!$BH49)&lt;=0,N(Simulations!$BF49)&lt;=0,2&gt;N(IF(Simulations!$O49="",1,Simulations!$O49))),0,IF(Simulations!$BH49&lt;IF(Simulations!$J49="",1000,Simulations!$J49),Simulations!$BF49/(IF(Simulations!$G49="",5000,Simulations!$G49)*IF(Simulations!$H49="",5000,Simulations!$H49)*IF(IF(Simulations!$I49="",5000,Simulations!$I49)&gt;0,IF(Simulations!$I49="",5000,Simulations!$I49),1))*Simulations!$BH49*(PI()/2*IF(Simulations!$U49="",200,Simulations!$U49)^2*IF(IF(Simulations!$I49="",5000,Simulations!$I49)&gt;0,SQRT(PI()/2)*IF(Simulations!$X49="",1000,Simulations!$X49),1)),Simulations!$BF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U49="",200,Simulations!$U49)^2*IF(Simulations!$X49="",1000,Simulations!$X49)/2^1.5*(2/3*LN(Simulations!$BH49/IF(Simulations!$J49="",1000,Simulations!$J49))^1.5+SQRT(LN(Simulations!$BH49/IF(Simulations!$J49="",1000,Simulations!$J49)))+Simulations!$BH49/IF(Simulations!$J49="",1000,Simulations!$J49)*SQRT(PI())/2*ERFC(SQRT(LN(Simulations!$BH49/IF(Simulations!$J49="",1000,Simulations!$J49))))),PI()*IF(Simulations!$U49="",200,Simulations!$U49)^2/2*(LN(Simulations!$BH49/IF(Simulations!$J49="",1000,Simulations!$J49))+1))))</f>
        <v>0</v>
      </c>
      <c r="J49" s="0" t="n">
        <f aca="false">IF(OR(NOT(AND(Simulations!$A49&lt;&gt;"",OR(Simulations!$BD49&lt;&gt;"",N(Simulations!$BF49)&gt;0))),N(Simulations!$BI49)&lt;=0,N(Simulations!$BF49)&lt;=0,3&gt;N(IF(Simulations!$O49="",1,Simulations!$O49))),0,IF(Simulations!$BI49&lt;IF(Simulations!$J49="",1000,Simulations!$J49),Simulations!$BF49/(IF(Simulations!$G49="",5000,Simulations!$G49)*IF(Simulations!$H49="",5000,Simulations!$H49)*IF(IF(Simulations!$I49="",5000,Simulations!$I49)&gt;0,IF(Simulations!$I49="",5000,Simulations!$I49),1))*Simulations!$BI49*(PI()/2*IF(Simulations!$V49="",200,Simulations!$V49)^2*IF(IF(Simulations!$I49="",5000,Simulations!$I49)&gt;0,SQRT(PI()/2)*IF(Simulations!$Y49="",1000,Simulations!$Y49),1)),Simulations!$BF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V49="",200,Simulations!$V49)^2*IF(Simulations!$Y49="",1000,Simulations!$Y49)/2^1.5*(2/3*LN(Simulations!$BI49/IF(Simulations!$J49="",1000,Simulations!$J49))^1.5+SQRT(LN(Simulations!$BI49/IF(Simulations!$J49="",1000,Simulations!$J49)))+Simulations!$BI49/IF(Simulations!$J49="",1000,Simulations!$J49)*SQRT(PI())/2*ERFC(SQRT(LN(Simulations!$BI49/IF(Simulations!$J49="",1000,Simulations!$J49))))),PI()*IF(Simulations!$V49="",200,Simulations!$V49)^2/2*(LN(Simulations!$BI49/IF(Simulations!$J49="",1000,Simulations!$J49))+1))))</f>
        <v>0</v>
      </c>
      <c r="K49" s="0" t="n">
        <f aca="false">IF(NOT(AND(Simulations!$A49&lt;&gt;"",OR(Simulations!$BD49&lt;&gt;"",N(Simulations!$BF49)&gt;0))),0,MAX(N(Simulations!$BG49),N(Simulations!$BH49),N(Simulations!$BI49))/IF(Simulations!$J49="",1000,Simulations!$J49))</f>
        <v>0</v>
      </c>
      <c r="L49" s="0" t="n">
        <f aca="false">IF(OR(NOT(AND(Simulations!$A49&lt;&gt;"",OR(Simulations!$BD49&lt;&gt;"",N(Simulations!$BF49)&gt;0))),N(Simulations!$BE49)&lt;=0),0,SQRT(2*Simulations!$BE49*1000000/(IF(Simulations!$J49="",1000,Simulations!$J49)*1000))/MIN(IF(Simulations!$T49="",200,Simulations!$T49),IF(Simulations!$U49="",200,Simulations!$U49),IF(Simulations!$V49="",200,Simulations!$V49)))</f>
        <v>0</v>
      </c>
      <c r="M49" s="0" t="n">
        <f aca="false">IF(AND(Simulations!$A49&lt;&gt;"",OR(Simulations!$BD49&lt;&gt;"",N(Simulations!$BF49)&gt;0)),1,0)</f>
        <v>0</v>
      </c>
      <c r="N49" s="0" t="n">
        <f aca="false">IF(OR(NOT(AND(Simulations!$A49&lt;&gt;"",OR(Simulations!$BV49&lt;&gt;"",N(Simulations!$BX49)&gt;0))),N(Simulations!$BY49)&lt;=0,N(Simulations!$BX49)&lt;=0,1&gt;N(IF(Simulations!$O49="",1,Simulations!$O49))),0,IF(Simulations!$BY49&lt;IF(Simulations!$J49="",1000,Simulations!$J49),Simulations!$BX49/(IF(Simulations!$G49="",5000,Simulations!$G49)*IF(Simulations!$H49="",5000,Simulations!$H49)*IF(IF(Simulations!$I49="",5000,Simulations!$I49)&gt;0,IF(Simulations!$I49="",5000,Simulations!$I49),1))*Simulations!$BY49*(PI()/2*IF(Simulations!$T49="",200,Simulations!$T49)^2*IF(IF(Simulations!$I49="",5000,Simulations!$I49)&gt;0,SQRT(PI()/2)*IF(Simulations!$W49="",1000,Simulations!$W49),1)),Simulations!$BX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T49="",200,Simulations!$T49)^2*IF(Simulations!$W49="",1000,Simulations!$W49)/2^1.5*(2/3*LN(Simulations!$BY49/IF(Simulations!$J49="",1000,Simulations!$J49))^1.5+SQRT(LN(Simulations!$BY49/IF(Simulations!$J49="",1000,Simulations!$J49)))+Simulations!$BY49/IF(Simulations!$J49="",1000,Simulations!$J49)*SQRT(PI())/2*ERFC(SQRT(LN(Simulations!$BY49/IF(Simulations!$J49="",1000,Simulations!$J49))))),PI()*IF(Simulations!$T49="",200,Simulations!$T49)^2/2*(LN(Simulations!$BY49/IF(Simulations!$J49="",1000,Simulations!$J49))+1))))</f>
        <v>0</v>
      </c>
      <c r="O49" s="0" t="n">
        <f aca="false">IF(OR(NOT(AND(Simulations!$A49&lt;&gt;"",OR(Simulations!$BV49&lt;&gt;"",N(Simulations!$BX49)&gt;0))),N(Simulations!$BZ49)&lt;=0,N(Simulations!$BX49)&lt;=0,2&gt;N(IF(Simulations!$O49="",1,Simulations!$O49))),0,IF(Simulations!$BZ49&lt;IF(Simulations!$J49="",1000,Simulations!$J49),Simulations!$BX49/(IF(Simulations!$G49="",5000,Simulations!$G49)*IF(Simulations!$H49="",5000,Simulations!$H49)*IF(IF(Simulations!$I49="",5000,Simulations!$I49)&gt;0,IF(Simulations!$I49="",5000,Simulations!$I49),1))*Simulations!$BZ49*(PI()/2*IF(Simulations!$U49="",200,Simulations!$U49)^2*IF(IF(Simulations!$I49="",5000,Simulations!$I49)&gt;0,SQRT(PI()/2)*IF(Simulations!$X49="",1000,Simulations!$X49),1)),Simulations!$BX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U49="",200,Simulations!$U49)^2*IF(Simulations!$X49="",1000,Simulations!$X49)/2^1.5*(2/3*LN(Simulations!$BZ49/IF(Simulations!$J49="",1000,Simulations!$J49))^1.5+SQRT(LN(Simulations!$BZ49/IF(Simulations!$J49="",1000,Simulations!$J49)))+Simulations!$BZ49/IF(Simulations!$J49="",1000,Simulations!$J49)*SQRT(PI())/2*ERFC(SQRT(LN(Simulations!$BZ49/IF(Simulations!$J49="",1000,Simulations!$J49))))),PI()*IF(Simulations!$U49="",200,Simulations!$U49)^2/2*(LN(Simulations!$BZ49/IF(Simulations!$J49="",1000,Simulations!$J49))+1))))</f>
        <v>0</v>
      </c>
      <c r="P49" s="0" t="n">
        <f aca="false">IF(OR(NOT(AND(Simulations!$A49&lt;&gt;"",OR(Simulations!$BV49&lt;&gt;"",N(Simulations!$BX49)&gt;0))),N(Simulations!$CA49)&lt;=0,N(Simulations!$BX49)&lt;=0,3&gt;N(IF(Simulations!$O49="",1,Simulations!$O49))),0,IF(Simulations!$CA49&lt;IF(Simulations!$J49="",1000,Simulations!$J49),Simulations!$BX49/(IF(Simulations!$G49="",5000,Simulations!$G49)*IF(Simulations!$H49="",5000,Simulations!$H49)*IF(IF(Simulations!$I49="",5000,Simulations!$I49)&gt;0,IF(Simulations!$I49="",5000,Simulations!$I49),1))*Simulations!$CA49*(PI()/2*IF(Simulations!$V49="",200,Simulations!$V49)^2*IF(IF(Simulations!$I49="",5000,Simulations!$I49)&gt;0,SQRT(PI()/2)*IF(Simulations!$Y49="",1000,Simulations!$Y49),1)),Simulations!$BX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V49="",200,Simulations!$V49)^2*IF(Simulations!$Y49="",1000,Simulations!$Y49)/2^1.5*(2/3*LN(Simulations!$CA49/IF(Simulations!$J49="",1000,Simulations!$J49))^1.5+SQRT(LN(Simulations!$CA49/IF(Simulations!$J49="",1000,Simulations!$J49)))+Simulations!$CA49/IF(Simulations!$J49="",1000,Simulations!$J49)*SQRT(PI())/2*ERFC(SQRT(LN(Simulations!$CA49/IF(Simulations!$J49="",1000,Simulations!$J49))))),PI()*IF(Simulations!$V49="",200,Simulations!$V49)^2/2*(LN(Simulations!$CA49/IF(Simulations!$J49="",1000,Simulations!$J49))+1))))</f>
        <v>0</v>
      </c>
      <c r="Q49" s="0" t="n">
        <f aca="false">IF(NOT(AND(Simulations!$A49&lt;&gt;"",OR(Simulations!$BV49&lt;&gt;"",N(Simulations!$BX49)&gt;0))),0,MAX(N(Simulations!$BY49),N(Simulations!$BZ49),N(Simulations!$CA49))/IF(Simulations!$J49="",1000,Simulations!$J49))</f>
        <v>0</v>
      </c>
      <c r="R49" s="0" t="n">
        <f aca="false">IF(OR(NOT(AND(Simulations!$A49&lt;&gt;"",OR(Simulations!$BV49&lt;&gt;"",N(Simulations!$BX49)&gt;0))),N(Simulations!$BW49)&lt;=0),0,SQRT(2*Simulations!$BW49*1000000/(IF(Simulations!$J49="",1000,Simulations!$J49)*1000))/MIN(IF(Simulations!$T49="",200,Simulations!$T49),IF(Simulations!$U49="",200,Simulations!$U49),IF(Simulations!$V49="",200,Simulations!$V49)))</f>
        <v>0</v>
      </c>
      <c r="S49" s="0" t="n">
        <f aca="false">IF(AND(Simulations!$A49&lt;&gt;"",OR(Simulations!$BV49&lt;&gt;"",N(Simulations!$BX49)&gt;0)),1,0)</f>
        <v>0</v>
      </c>
      <c r="T49" s="0" t="n">
        <f aca="false">IF(OR(NOT(AND(Simulations!$A49&lt;&gt;"",OR(Simulations!$CN49&lt;&gt;"",N(Simulations!$CP49)&gt;0))),N(Simulations!$CQ49)&lt;=0,N(Simulations!$CP49)&lt;=0,1&gt;N(IF(Simulations!$O49="",1,Simulations!$O49))),0,IF(Simulations!$CQ49&lt;IF(Simulations!$J49="",1000,Simulations!$J49),Simulations!$CP49/(IF(Simulations!$G49="",5000,Simulations!$G49)*IF(Simulations!$H49="",5000,Simulations!$H49)*IF(IF(Simulations!$I49="",5000,Simulations!$I49)&gt;0,IF(Simulations!$I49="",5000,Simulations!$I49),1))*Simulations!$CQ49*(PI()/2*IF(Simulations!$T49="",200,Simulations!$T49)^2*IF(IF(Simulations!$I49="",5000,Simulations!$I49)&gt;0,SQRT(PI()/2)*IF(Simulations!$W49="",1000,Simulations!$W49),1)),Simulations!$CP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T49="",200,Simulations!$T49)^2*IF(Simulations!$W49="",1000,Simulations!$W49)/2^1.5*(2/3*LN(Simulations!$CQ49/IF(Simulations!$J49="",1000,Simulations!$J49))^1.5+SQRT(LN(Simulations!$CQ49/IF(Simulations!$J49="",1000,Simulations!$J49)))+Simulations!$CQ49/IF(Simulations!$J49="",1000,Simulations!$J49)*SQRT(PI())/2*ERFC(SQRT(LN(Simulations!$CQ49/IF(Simulations!$J49="",1000,Simulations!$J49))))),PI()*IF(Simulations!$T49="",200,Simulations!$T49)^2/2*(LN(Simulations!$CQ49/IF(Simulations!$J49="",1000,Simulations!$J49))+1))))</f>
        <v>0</v>
      </c>
      <c r="U49" s="0" t="n">
        <f aca="false">IF(OR(NOT(AND(Simulations!$A49&lt;&gt;"",OR(Simulations!$CN49&lt;&gt;"",N(Simulations!$CP49)&gt;0))),N(Simulations!$CR49)&lt;=0,N(Simulations!$CP49)&lt;=0,2&gt;N(IF(Simulations!$O49="",1,Simulations!$O49))),0,IF(Simulations!$CR49&lt;IF(Simulations!$J49="",1000,Simulations!$J49),Simulations!$CP49/(IF(Simulations!$G49="",5000,Simulations!$G49)*IF(Simulations!$H49="",5000,Simulations!$H49)*IF(IF(Simulations!$I49="",5000,Simulations!$I49)&gt;0,IF(Simulations!$I49="",5000,Simulations!$I49),1))*Simulations!$CR49*(PI()/2*IF(Simulations!$U49="",200,Simulations!$U49)^2*IF(IF(Simulations!$I49="",5000,Simulations!$I49)&gt;0,SQRT(PI()/2)*IF(Simulations!$X49="",1000,Simulations!$X49),1)),Simulations!$CP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U49="",200,Simulations!$U49)^2*IF(Simulations!$X49="",1000,Simulations!$X49)/2^1.5*(2/3*LN(Simulations!$CR49/IF(Simulations!$J49="",1000,Simulations!$J49))^1.5+SQRT(LN(Simulations!$CR49/IF(Simulations!$J49="",1000,Simulations!$J49)))+Simulations!$CR49/IF(Simulations!$J49="",1000,Simulations!$J49)*SQRT(PI())/2*ERFC(SQRT(LN(Simulations!$CR49/IF(Simulations!$J49="",1000,Simulations!$J49))))),PI()*IF(Simulations!$U49="",200,Simulations!$U49)^2/2*(LN(Simulations!$CR49/IF(Simulations!$J49="",1000,Simulations!$J49))+1))))</f>
        <v>0</v>
      </c>
      <c r="V49" s="0" t="n">
        <f aca="false">IF(OR(NOT(AND(Simulations!$A49&lt;&gt;"",OR(Simulations!$CN49&lt;&gt;"",N(Simulations!$CP49)&gt;0))),N(Simulations!$CS49)&lt;=0,N(Simulations!$CP49)&lt;=0,3&gt;N(IF(Simulations!$O49="",1,Simulations!$O49))),0,IF(Simulations!$CS49&lt;IF(Simulations!$J49="",1000,Simulations!$J49),Simulations!$CP49/(IF(Simulations!$G49="",5000,Simulations!$G49)*IF(Simulations!$H49="",5000,Simulations!$H49)*IF(IF(Simulations!$I49="",5000,Simulations!$I49)&gt;0,IF(Simulations!$I49="",5000,Simulations!$I49),1))*Simulations!$CS49*(PI()/2*IF(Simulations!$V49="",200,Simulations!$V49)^2*IF(IF(Simulations!$I49="",5000,Simulations!$I49)&gt;0,SQRT(PI()/2)*IF(Simulations!$Y49="",1000,Simulations!$Y49),1)),Simulations!$CP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V49="",200,Simulations!$V49)^2*IF(Simulations!$Y49="",1000,Simulations!$Y49)/2^1.5*(2/3*LN(Simulations!$CS49/IF(Simulations!$J49="",1000,Simulations!$J49))^1.5+SQRT(LN(Simulations!$CS49/IF(Simulations!$J49="",1000,Simulations!$J49)))+Simulations!$CS49/IF(Simulations!$J49="",1000,Simulations!$J49)*SQRT(PI())/2*ERFC(SQRT(LN(Simulations!$CS49/IF(Simulations!$J49="",1000,Simulations!$J49))))),PI()*IF(Simulations!$V49="",200,Simulations!$V49)^2/2*(LN(Simulations!$CS49/IF(Simulations!$J49="",1000,Simulations!$J49))+1))))</f>
        <v>0</v>
      </c>
      <c r="W49" s="0" t="n">
        <f aca="false">IF(NOT(AND(Simulations!$A49&lt;&gt;"",OR(Simulations!$CN49&lt;&gt;"",N(Simulations!$CP49)&gt;0))),0,MAX(N(Simulations!$CQ49),N(Simulations!$CR49),N(Simulations!$CS49))/IF(Simulations!$J49="",1000,Simulations!$J49))</f>
        <v>0</v>
      </c>
      <c r="X49" s="0" t="n">
        <f aca="false">IF(OR(NOT(AND(Simulations!$A49&lt;&gt;"",OR(Simulations!$CN49&lt;&gt;"",N(Simulations!$CP49)&gt;0))),N(Simulations!$CO49)&lt;=0),0,SQRT(2*Simulations!$CO49*1000000/(IF(Simulations!$J49="",1000,Simulations!$J49)*1000))/MIN(IF(Simulations!$T49="",200,Simulations!$T49),IF(Simulations!$U49="",200,Simulations!$U49),IF(Simulations!$V49="",200,Simulations!$V49)))</f>
        <v>0</v>
      </c>
      <c r="Y49" s="0" t="n">
        <f aca="false">IF(AND(Simulations!$A49&lt;&gt;"",OR(Simulations!$CN49&lt;&gt;"",N(Simulations!$CP49)&gt;0)),1,0)</f>
        <v>0</v>
      </c>
      <c r="Z49" s="0" t="n">
        <f aca="false">IF(OR(NOT(AND(Simulations!$A49&lt;&gt;"",OR(Simulations!$DF49&lt;&gt;"",N(Simulations!$DH49)&gt;0))),N(Simulations!$DI49)&lt;=0,N(Simulations!$DH49)&lt;=0,1&gt;N(IF(Simulations!$O49="",1,Simulations!$O49))),0,IF(Simulations!$DI49&lt;IF(Simulations!$J49="",1000,Simulations!$J49),Simulations!$DH49/(IF(Simulations!$G49="",5000,Simulations!$G49)*IF(Simulations!$H49="",5000,Simulations!$H49)*IF(IF(Simulations!$I49="",5000,Simulations!$I49)&gt;0,IF(Simulations!$I49="",5000,Simulations!$I49),1))*Simulations!$DI49*(PI()/2*IF(Simulations!$T49="",200,Simulations!$T49)^2*IF(IF(Simulations!$I49="",5000,Simulations!$I49)&gt;0,SQRT(PI()/2)*IF(Simulations!$W49="",1000,Simulations!$W49),1)),Simulations!$DH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T49="",200,Simulations!$T49)^2*IF(Simulations!$W49="",1000,Simulations!$W49)/2^1.5*(2/3*LN(Simulations!$DI49/IF(Simulations!$J49="",1000,Simulations!$J49))^1.5+SQRT(LN(Simulations!$DI49/IF(Simulations!$J49="",1000,Simulations!$J49)))+Simulations!$DI49/IF(Simulations!$J49="",1000,Simulations!$J49)*SQRT(PI())/2*ERFC(SQRT(LN(Simulations!$DI49/IF(Simulations!$J49="",1000,Simulations!$J49))))),PI()*IF(Simulations!$T49="",200,Simulations!$T49)^2/2*(LN(Simulations!$DI49/IF(Simulations!$J49="",1000,Simulations!$J49))+1))))</f>
        <v>0</v>
      </c>
      <c r="AA49" s="0" t="n">
        <f aca="false">IF(OR(NOT(AND(Simulations!$A49&lt;&gt;"",OR(Simulations!$DF49&lt;&gt;"",N(Simulations!$DH49)&gt;0))),N(Simulations!$DJ49)&lt;=0,N(Simulations!$DH49)&lt;=0,2&gt;N(IF(Simulations!$O49="",1,Simulations!$O49))),0,IF(Simulations!$DJ49&lt;IF(Simulations!$J49="",1000,Simulations!$J49),Simulations!$DH49/(IF(Simulations!$G49="",5000,Simulations!$G49)*IF(Simulations!$H49="",5000,Simulations!$H49)*IF(IF(Simulations!$I49="",5000,Simulations!$I49)&gt;0,IF(Simulations!$I49="",5000,Simulations!$I49),1))*Simulations!$DJ49*(PI()/2*IF(Simulations!$U49="",200,Simulations!$U49)^2*IF(IF(Simulations!$I49="",5000,Simulations!$I49)&gt;0,SQRT(PI()/2)*IF(Simulations!$X49="",1000,Simulations!$X49),1)),Simulations!$DH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U49="",200,Simulations!$U49)^2*IF(Simulations!$X49="",1000,Simulations!$X49)/2^1.5*(2/3*LN(Simulations!$DJ49/IF(Simulations!$J49="",1000,Simulations!$J49))^1.5+SQRT(LN(Simulations!$DJ49/IF(Simulations!$J49="",1000,Simulations!$J49)))+Simulations!$DJ49/IF(Simulations!$J49="",1000,Simulations!$J49)*SQRT(PI())/2*ERFC(SQRT(LN(Simulations!$DJ49/IF(Simulations!$J49="",1000,Simulations!$J49))))),PI()*IF(Simulations!$U49="",200,Simulations!$U49)^2/2*(LN(Simulations!$DJ49/IF(Simulations!$J49="",1000,Simulations!$J49))+1))))</f>
        <v>0</v>
      </c>
      <c r="AB49" s="0" t="n">
        <f aca="false">IF(OR(NOT(AND(Simulations!$A49&lt;&gt;"",OR(Simulations!$DF49&lt;&gt;"",N(Simulations!$DH49)&gt;0))),N(Simulations!$DK49)&lt;=0,N(Simulations!$DH49)&lt;=0,3&gt;N(IF(Simulations!$O49="",1,Simulations!$O49))),0,IF(Simulations!$DK49&lt;IF(Simulations!$J49="",1000,Simulations!$J49),Simulations!$DH49/(IF(Simulations!$G49="",5000,Simulations!$G49)*IF(Simulations!$H49="",5000,Simulations!$H49)*IF(IF(Simulations!$I49="",5000,Simulations!$I49)&gt;0,IF(Simulations!$I49="",5000,Simulations!$I49),1))*Simulations!$DK49*(PI()/2*IF(Simulations!$V49="",200,Simulations!$V49)^2*IF(IF(Simulations!$I49="",5000,Simulations!$I49)&gt;0,SQRT(PI()/2)*IF(Simulations!$Y49="",1000,Simulations!$Y49),1)),Simulations!$DH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V49="",200,Simulations!$V49)^2*IF(Simulations!$Y49="",1000,Simulations!$Y49)/2^1.5*(2/3*LN(Simulations!$DK49/IF(Simulations!$J49="",1000,Simulations!$J49))^1.5+SQRT(LN(Simulations!$DK49/IF(Simulations!$J49="",1000,Simulations!$J49)))+Simulations!$DK49/IF(Simulations!$J49="",1000,Simulations!$J49)*SQRT(PI())/2*ERFC(SQRT(LN(Simulations!$DK49/IF(Simulations!$J49="",1000,Simulations!$J49))))),PI()*IF(Simulations!$V49="",200,Simulations!$V49)^2/2*(LN(Simulations!$DK49/IF(Simulations!$J49="",1000,Simulations!$J49))+1))))</f>
        <v>0</v>
      </c>
      <c r="AC49" s="0" t="n">
        <f aca="false">IF(NOT(AND(Simulations!$A49&lt;&gt;"",OR(Simulations!$DF49&lt;&gt;"",N(Simulations!$DH49)&gt;0))),0,MAX(N(Simulations!$DI49),N(Simulations!$DJ49),N(Simulations!$DK49))/IF(Simulations!$J49="",1000,Simulations!$J49))</f>
        <v>0</v>
      </c>
      <c r="AD49" s="0" t="n">
        <f aca="false">IF(OR(NOT(AND(Simulations!$A49&lt;&gt;"",OR(Simulations!$DF49&lt;&gt;"",N(Simulations!$DH49)&gt;0))),N(Simulations!$DG49)&lt;=0),0,SQRT(2*Simulations!$DG49*1000000/(IF(Simulations!$J49="",1000,Simulations!$J49)*1000))/MIN(IF(Simulations!$T49="",200,Simulations!$T49),IF(Simulations!$U49="",200,Simulations!$U49),IF(Simulations!$V49="",200,Simulations!$V49)))</f>
        <v>0</v>
      </c>
      <c r="AE49" s="0" t="n">
        <f aca="false">IF(AND(Simulations!$A49&lt;&gt;"",OR(Simulations!$DF49&lt;&gt;"",N(Simulations!$DH49)&gt;0)),1,0)</f>
        <v>0</v>
      </c>
      <c r="AF49" s="0" t="n">
        <f aca="false">IF(OR(NOT(AND(Simulations!$A49&lt;&gt;"",OR(Simulations!$DX49&lt;&gt;"",N(Simulations!$DZ49)&gt;0))),N(Simulations!$EA49)&lt;=0,N(Simulations!$DZ49)&lt;=0,1&gt;N(IF(Simulations!$O49="",1,Simulations!$O49))),0,IF(Simulations!$EA49&lt;IF(Simulations!$J49="",1000,Simulations!$J49),Simulations!$DZ49/(IF(Simulations!$G49="",5000,Simulations!$G49)*IF(Simulations!$H49="",5000,Simulations!$H49)*IF(IF(Simulations!$I49="",5000,Simulations!$I49)&gt;0,IF(Simulations!$I49="",5000,Simulations!$I49),1))*Simulations!$EA49*(PI()/2*IF(Simulations!$T49="",200,Simulations!$T49)^2*IF(IF(Simulations!$I49="",5000,Simulations!$I49)&gt;0,SQRT(PI()/2)*IF(Simulations!$W49="",1000,Simulations!$W49),1)),Simulations!$DZ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T49="",200,Simulations!$T49)^2*IF(Simulations!$W49="",1000,Simulations!$W49)/2^1.5*(2/3*LN(Simulations!$EA49/IF(Simulations!$J49="",1000,Simulations!$J49))^1.5+SQRT(LN(Simulations!$EA49/IF(Simulations!$J49="",1000,Simulations!$J49)))+Simulations!$EA49/IF(Simulations!$J49="",1000,Simulations!$J49)*SQRT(PI())/2*ERFC(SQRT(LN(Simulations!$EA49/IF(Simulations!$J49="",1000,Simulations!$J49))))),PI()*IF(Simulations!$T49="",200,Simulations!$T49)^2/2*(LN(Simulations!$EA49/IF(Simulations!$J49="",1000,Simulations!$J49))+1))))</f>
        <v>0</v>
      </c>
      <c r="AG49" s="0" t="n">
        <f aca="false">IF(OR(NOT(AND(Simulations!$A49&lt;&gt;"",OR(Simulations!$DX49&lt;&gt;"",N(Simulations!$DZ49)&gt;0))),N(Simulations!$EB49)&lt;=0,N(Simulations!$DZ49)&lt;=0,2&gt;N(IF(Simulations!$O49="",1,Simulations!$O49))),0,IF(Simulations!$EB49&lt;IF(Simulations!$J49="",1000,Simulations!$J49),Simulations!$DZ49/(IF(Simulations!$G49="",5000,Simulations!$G49)*IF(Simulations!$H49="",5000,Simulations!$H49)*IF(IF(Simulations!$I49="",5000,Simulations!$I49)&gt;0,IF(Simulations!$I49="",5000,Simulations!$I49),1))*Simulations!$EB49*(PI()/2*IF(Simulations!$U49="",200,Simulations!$U49)^2*IF(IF(Simulations!$I49="",5000,Simulations!$I49)&gt;0,SQRT(PI()/2)*IF(Simulations!$X49="",1000,Simulations!$X49),1)),Simulations!$DZ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U49="",200,Simulations!$U49)^2*IF(Simulations!$X49="",1000,Simulations!$X49)/2^1.5*(2/3*LN(Simulations!$EB49/IF(Simulations!$J49="",1000,Simulations!$J49))^1.5+SQRT(LN(Simulations!$EB49/IF(Simulations!$J49="",1000,Simulations!$J49)))+Simulations!$EB49/IF(Simulations!$J49="",1000,Simulations!$J49)*SQRT(PI())/2*ERFC(SQRT(LN(Simulations!$EB49/IF(Simulations!$J49="",1000,Simulations!$J49))))),PI()*IF(Simulations!$U49="",200,Simulations!$U49)^2/2*(LN(Simulations!$EB49/IF(Simulations!$J49="",1000,Simulations!$J49))+1))))</f>
        <v>0</v>
      </c>
      <c r="AH49" s="0" t="n">
        <f aca="false">IF(OR(NOT(AND(Simulations!$A49&lt;&gt;"",OR(Simulations!$DX49&lt;&gt;"",N(Simulations!$DZ49)&gt;0))),N(Simulations!$EC49)&lt;=0,N(Simulations!$DZ49)&lt;=0,3&gt;N(IF(Simulations!$O49="",1,Simulations!$O49))),0,IF(Simulations!$EC49&lt;IF(Simulations!$J49="",1000,Simulations!$J49),Simulations!$DZ49/(IF(Simulations!$G49="",5000,Simulations!$G49)*IF(Simulations!$H49="",5000,Simulations!$H49)*IF(IF(Simulations!$I49="",5000,Simulations!$I49)&gt;0,IF(Simulations!$I49="",5000,Simulations!$I49),1))*Simulations!$EC49*(PI()/2*IF(Simulations!$V49="",200,Simulations!$V49)^2*IF(IF(Simulations!$I49="",5000,Simulations!$I49)&gt;0,SQRT(PI()/2)*IF(Simulations!$Y49="",1000,Simulations!$Y49),1)),Simulations!$DZ49/(IF(Simulations!$G49="",5000,Simulations!$G49)*IF(Simulations!$H49="",5000,Simulations!$H49)*IF(IF(Simulations!$I49="",5000,Simulations!$I49)&gt;0,IF(Simulations!$I49="",5000,Simulations!$I49),1))*IF(Simulations!$J49="",1000,Simulations!$J49)*IF(IF(Simulations!$I49="",5000,Simulations!$I49)&gt;0,2*PI()*IF(Simulations!$V49="",200,Simulations!$V49)^2*IF(Simulations!$Y49="",1000,Simulations!$Y49)/2^1.5*(2/3*LN(Simulations!$EC49/IF(Simulations!$J49="",1000,Simulations!$J49))^1.5+SQRT(LN(Simulations!$EC49/IF(Simulations!$J49="",1000,Simulations!$J49)))+Simulations!$EC49/IF(Simulations!$J49="",1000,Simulations!$J49)*SQRT(PI())/2*ERFC(SQRT(LN(Simulations!$EC49/IF(Simulations!$J49="",1000,Simulations!$J49))))),PI()*IF(Simulations!$V49="",200,Simulations!$V49)^2/2*(LN(Simulations!$EC49/IF(Simulations!$J49="",1000,Simulations!$J49))+1))))</f>
        <v>0</v>
      </c>
      <c r="AI49" s="0" t="n">
        <f aca="false">IF(NOT(AND(Simulations!$A49&lt;&gt;"",OR(Simulations!$DX49&lt;&gt;"",N(Simulations!$DZ49)&gt;0))),0,MAX(N(Simulations!$EA49),N(Simulations!$EB49),N(Simulations!$EC49))/IF(Simulations!$J49="",1000,Simulations!$J49))</f>
        <v>0</v>
      </c>
      <c r="AJ49" s="0" t="n">
        <f aca="false">IF(OR(NOT(AND(Simulations!$A49&lt;&gt;"",OR(Simulations!$DX49&lt;&gt;"",N(Simulations!$DZ49)&gt;0))),N(Simulations!$DY49)&lt;=0),0,SQRT(2*Simulations!$DY49*1000000/(IF(Simulations!$J49="",1000,Simulations!$J49)*1000))/MIN(IF(Simulations!$T49="",200,Simulations!$T49),IF(Simulations!$U49="",200,Simulations!$U49),IF(Simulations!$V49="",200,Simulations!$V49)))</f>
        <v>0</v>
      </c>
      <c r="AK49" s="0" t="n">
        <f aca="false">IF(AND(Simulations!$A49&lt;&gt;"",OR(Simulations!$DX49&lt;&gt;"",N(Simulations!$DZ49)&gt;0)),1,0)</f>
        <v>0</v>
      </c>
    </row>
    <row r="50" customFormat="false" ht="15" hidden="false" customHeight="false" outlineLevel="0" collapsed="false">
      <c r="B50" s="0" t="n">
        <f aca="false">IF(OR(NOT(AND(Simulations!$A50&lt;&gt;"",OR(Simulations!$AL50&lt;&gt;"",N(Simulations!$AN50)&gt;0))),N(Simulations!$AO50)&lt;=0,N(Simulations!$AN50)&lt;=0,1&gt;N(IF(Simulations!$O50="",1,Simulations!$O50))),0,IF(Simulations!$AO50&lt;IF(Simulations!$J50="",1000,Simulations!$J50),Simulations!$AN50/(IF(Simulations!$G50="",5000,Simulations!$G50)*IF(Simulations!$H50="",5000,Simulations!$H50)*IF(IF(Simulations!$I50="",5000,Simulations!$I50)&gt;0,IF(Simulations!$I50="",5000,Simulations!$I50),1))*Simulations!$AO50*(PI()/2*IF(Simulations!$T50="",200,Simulations!$T50)^2*IF(IF(Simulations!$I50="",5000,Simulations!$I50)&gt;0,SQRT(PI()/2)*IF(Simulations!$W50="",1000,Simulations!$W50),1)),Simulations!$AN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T50="",200,Simulations!$T50)^2*IF(Simulations!$W50="",1000,Simulations!$W50)/2^1.5*(2/3*LN(Simulations!$AO50/IF(Simulations!$J50="",1000,Simulations!$J50))^1.5+SQRT(LN(Simulations!$AO50/IF(Simulations!$J50="",1000,Simulations!$J50)))+Simulations!$AO50/IF(Simulations!$J50="",1000,Simulations!$J50)*SQRT(PI())/2*ERFC(SQRT(LN(Simulations!$AO50/IF(Simulations!$J50="",1000,Simulations!$J50))))),PI()*IF(Simulations!$T50="",200,Simulations!$T50)^2/2*(LN(Simulations!$AO50/IF(Simulations!$J50="",1000,Simulations!$J50))+1))))</f>
        <v>0</v>
      </c>
      <c r="C50" s="0" t="n">
        <f aca="false">IF(OR(NOT(AND(Simulations!$A50&lt;&gt;"",OR(Simulations!$AL50&lt;&gt;"",N(Simulations!$AN50)&gt;0))),N(Simulations!$AP50)&lt;=0,N(Simulations!$AN50)&lt;=0,2&gt;N(IF(Simulations!$O50="",1,Simulations!$O50))),0,IF(Simulations!$AP50&lt;IF(Simulations!$J50="",1000,Simulations!$J50),Simulations!$AN50/(IF(Simulations!$G50="",5000,Simulations!$G50)*IF(Simulations!$H50="",5000,Simulations!$H50)*IF(IF(Simulations!$I50="",5000,Simulations!$I50)&gt;0,IF(Simulations!$I50="",5000,Simulations!$I50),1))*Simulations!$AP50*(PI()/2*IF(Simulations!$U50="",200,Simulations!$U50)^2*IF(IF(Simulations!$I50="",5000,Simulations!$I50)&gt;0,SQRT(PI()/2)*IF(Simulations!$X50="",1000,Simulations!$X50),1)),Simulations!$AN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U50="",200,Simulations!$U50)^2*IF(Simulations!$X50="",1000,Simulations!$X50)/2^1.5*(2/3*LN(Simulations!$AP50/IF(Simulations!$J50="",1000,Simulations!$J50))^1.5+SQRT(LN(Simulations!$AP50/IF(Simulations!$J50="",1000,Simulations!$J50)))+Simulations!$AP50/IF(Simulations!$J50="",1000,Simulations!$J50)*SQRT(PI())/2*ERFC(SQRT(LN(Simulations!$AP50/IF(Simulations!$J50="",1000,Simulations!$J50))))),PI()*IF(Simulations!$U50="",200,Simulations!$U50)^2/2*(LN(Simulations!$AP50/IF(Simulations!$J50="",1000,Simulations!$J50))+1))))</f>
        <v>0</v>
      </c>
      <c r="D50" s="0" t="n">
        <f aca="false">IF(OR(NOT(AND(Simulations!$A50&lt;&gt;"",OR(Simulations!$AL50&lt;&gt;"",N(Simulations!$AN50)&gt;0))),N(Simulations!$AQ50)&lt;=0,N(Simulations!$AN50)&lt;=0,3&gt;N(IF(Simulations!$O50="",1,Simulations!$O50))),0,IF(Simulations!$AQ50&lt;IF(Simulations!$J50="",1000,Simulations!$J50),Simulations!$AN50/(IF(Simulations!$G50="",5000,Simulations!$G50)*IF(Simulations!$H50="",5000,Simulations!$H50)*IF(IF(Simulations!$I50="",5000,Simulations!$I50)&gt;0,IF(Simulations!$I50="",5000,Simulations!$I50),1))*Simulations!$AQ50*(PI()/2*IF(Simulations!$V50="",200,Simulations!$V50)^2*IF(IF(Simulations!$I50="",5000,Simulations!$I50)&gt;0,SQRT(PI()/2)*IF(Simulations!$Y50="",1000,Simulations!$Y50),1)),Simulations!$AN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V50="",200,Simulations!$V50)^2*IF(Simulations!$Y50="",1000,Simulations!$Y50)/2^1.5*(2/3*LN(Simulations!$AQ50/IF(Simulations!$J50="",1000,Simulations!$J50))^1.5+SQRT(LN(Simulations!$AQ50/IF(Simulations!$J50="",1000,Simulations!$J50)))+Simulations!$AQ50/IF(Simulations!$J50="",1000,Simulations!$J50)*SQRT(PI())/2*ERFC(SQRT(LN(Simulations!$AQ50/IF(Simulations!$J50="",1000,Simulations!$J50))))),PI()*IF(Simulations!$V50="",200,Simulations!$V50)^2/2*(LN(Simulations!$AQ50/IF(Simulations!$J50="",1000,Simulations!$J50))+1))))</f>
        <v>0</v>
      </c>
      <c r="E50" s="0" t="n">
        <f aca="false">IF(NOT(AND(Simulations!$A50&lt;&gt;"",OR(Simulations!$AL50&lt;&gt;"",N(Simulations!$AN50)&gt;0))),0,MAX(N(Simulations!$AO50),N(Simulations!$AP50),N(Simulations!$AQ50))/IF(Simulations!$J50="",1000,Simulations!$J50))</f>
        <v>0</v>
      </c>
      <c r="F50" s="0" t="n">
        <f aca="false">IF(OR(NOT(AND(Simulations!$A50&lt;&gt;"",OR(Simulations!$AL50&lt;&gt;"",N(Simulations!$AN50)&gt;0))),N(Simulations!$AM50)&lt;=0),0,SQRT(2*Simulations!$AM50*1000000/(IF(Simulations!$J50="",1000,Simulations!$J50)*1000))/MIN(IF(Simulations!$T50="",200,Simulations!$T50),IF(Simulations!$U50="",200,Simulations!$U50),IF(Simulations!$V50="",200,Simulations!$V50)))</f>
        <v>0</v>
      </c>
      <c r="G50" s="0" t="n">
        <f aca="false">IF(AND(Simulations!$A50&lt;&gt;"",OR(Simulations!$AL50&lt;&gt;"",N(Simulations!$AN50)&gt;0)),1,0)</f>
        <v>0</v>
      </c>
      <c r="H50" s="0" t="n">
        <f aca="false">IF(OR(NOT(AND(Simulations!$A50&lt;&gt;"",OR(Simulations!$BD50&lt;&gt;"",N(Simulations!$BF50)&gt;0))),N(Simulations!$BG50)&lt;=0,N(Simulations!$BF50)&lt;=0,1&gt;N(IF(Simulations!$O50="",1,Simulations!$O50))),0,IF(Simulations!$BG50&lt;IF(Simulations!$J50="",1000,Simulations!$J50),Simulations!$BF50/(IF(Simulations!$G50="",5000,Simulations!$G50)*IF(Simulations!$H50="",5000,Simulations!$H50)*IF(IF(Simulations!$I50="",5000,Simulations!$I50)&gt;0,IF(Simulations!$I50="",5000,Simulations!$I50),1))*Simulations!$BG50*(PI()/2*IF(Simulations!$T50="",200,Simulations!$T50)^2*IF(IF(Simulations!$I50="",5000,Simulations!$I50)&gt;0,SQRT(PI()/2)*IF(Simulations!$W50="",1000,Simulations!$W50),1)),Simulations!$BF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T50="",200,Simulations!$T50)^2*IF(Simulations!$W50="",1000,Simulations!$W50)/2^1.5*(2/3*LN(Simulations!$BG50/IF(Simulations!$J50="",1000,Simulations!$J50))^1.5+SQRT(LN(Simulations!$BG50/IF(Simulations!$J50="",1000,Simulations!$J50)))+Simulations!$BG50/IF(Simulations!$J50="",1000,Simulations!$J50)*SQRT(PI())/2*ERFC(SQRT(LN(Simulations!$BG50/IF(Simulations!$J50="",1000,Simulations!$J50))))),PI()*IF(Simulations!$T50="",200,Simulations!$T50)^2/2*(LN(Simulations!$BG50/IF(Simulations!$J50="",1000,Simulations!$J50))+1))))</f>
        <v>0</v>
      </c>
      <c r="I50" s="0" t="n">
        <f aca="false">IF(OR(NOT(AND(Simulations!$A50&lt;&gt;"",OR(Simulations!$BD50&lt;&gt;"",N(Simulations!$BF50)&gt;0))),N(Simulations!$BH50)&lt;=0,N(Simulations!$BF50)&lt;=0,2&gt;N(IF(Simulations!$O50="",1,Simulations!$O50))),0,IF(Simulations!$BH50&lt;IF(Simulations!$J50="",1000,Simulations!$J50),Simulations!$BF50/(IF(Simulations!$G50="",5000,Simulations!$G50)*IF(Simulations!$H50="",5000,Simulations!$H50)*IF(IF(Simulations!$I50="",5000,Simulations!$I50)&gt;0,IF(Simulations!$I50="",5000,Simulations!$I50),1))*Simulations!$BH50*(PI()/2*IF(Simulations!$U50="",200,Simulations!$U50)^2*IF(IF(Simulations!$I50="",5000,Simulations!$I50)&gt;0,SQRT(PI()/2)*IF(Simulations!$X50="",1000,Simulations!$X50),1)),Simulations!$BF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U50="",200,Simulations!$U50)^2*IF(Simulations!$X50="",1000,Simulations!$X50)/2^1.5*(2/3*LN(Simulations!$BH50/IF(Simulations!$J50="",1000,Simulations!$J50))^1.5+SQRT(LN(Simulations!$BH50/IF(Simulations!$J50="",1000,Simulations!$J50)))+Simulations!$BH50/IF(Simulations!$J50="",1000,Simulations!$J50)*SQRT(PI())/2*ERFC(SQRT(LN(Simulations!$BH50/IF(Simulations!$J50="",1000,Simulations!$J50))))),PI()*IF(Simulations!$U50="",200,Simulations!$U50)^2/2*(LN(Simulations!$BH50/IF(Simulations!$J50="",1000,Simulations!$J50))+1))))</f>
        <v>0</v>
      </c>
      <c r="J50" s="0" t="n">
        <f aca="false">IF(OR(NOT(AND(Simulations!$A50&lt;&gt;"",OR(Simulations!$BD50&lt;&gt;"",N(Simulations!$BF50)&gt;0))),N(Simulations!$BI50)&lt;=0,N(Simulations!$BF50)&lt;=0,3&gt;N(IF(Simulations!$O50="",1,Simulations!$O50))),0,IF(Simulations!$BI50&lt;IF(Simulations!$J50="",1000,Simulations!$J50),Simulations!$BF50/(IF(Simulations!$G50="",5000,Simulations!$G50)*IF(Simulations!$H50="",5000,Simulations!$H50)*IF(IF(Simulations!$I50="",5000,Simulations!$I50)&gt;0,IF(Simulations!$I50="",5000,Simulations!$I50),1))*Simulations!$BI50*(PI()/2*IF(Simulations!$V50="",200,Simulations!$V50)^2*IF(IF(Simulations!$I50="",5000,Simulations!$I50)&gt;0,SQRT(PI()/2)*IF(Simulations!$Y50="",1000,Simulations!$Y50),1)),Simulations!$BF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V50="",200,Simulations!$V50)^2*IF(Simulations!$Y50="",1000,Simulations!$Y50)/2^1.5*(2/3*LN(Simulations!$BI50/IF(Simulations!$J50="",1000,Simulations!$J50))^1.5+SQRT(LN(Simulations!$BI50/IF(Simulations!$J50="",1000,Simulations!$J50)))+Simulations!$BI50/IF(Simulations!$J50="",1000,Simulations!$J50)*SQRT(PI())/2*ERFC(SQRT(LN(Simulations!$BI50/IF(Simulations!$J50="",1000,Simulations!$J50))))),PI()*IF(Simulations!$V50="",200,Simulations!$V50)^2/2*(LN(Simulations!$BI50/IF(Simulations!$J50="",1000,Simulations!$J50))+1))))</f>
        <v>0</v>
      </c>
      <c r="K50" s="0" t="n">
        <f aca="false">IF(NOT(AND(Simulations!$A50&lt;&gt;"",OR(Simulations!$BD50&lt;&gt;"",N(Simulations!$BF50)&gt;0))),0,MAX(N(Simulations!$BG50),N(Simulations!$BH50),N(Simulations!$BI50))/IF(Simulations!$J50="",1000,Simulations!$J50))</f>
        <v>0</v>
      </c>
      <c r="L50" s="0" t="n">
        <f aca="false">IF(OR(NOT(AND(Simulations!$A50&lt;&gt;"",OR(Simulations!$BD50&lt;&gt;"",N(Simulations!$BF50)&gt;0))),N(Simulations!$BE50)&lt;=0),0,SQRT(2*Simulations!$BE50*1000000/(IF(Simulations!$J50="",1000,Simulations!$J50)*1000))/MIN(IF(Simulations!$T50="",200,Simulations!$T50),IF(Simulations!$U50="",200,Simulations!$U50),IF(Simulations!$V50="",200,Simulations!$V50)))</f>
        <v>0</v>
      </c>
      <c r="M50" s="0" t="n">
        <f aca="false">IF(AND(Simulations!$A50&lt;&gt;"",OR(Simulations!$BD50&lt;&gt;"",N(Simulations!$BF50)&gt;0)),1,0)</f>
        <v>0</v>
      </c>
      <c r="N50" s="0" t="n">
        <f aca="false">IF(OR(NOT(AND(Simulations!$A50&lt;&gt;"",OR(Simulations!$BV50&lt;&gt;"",N(Simulations!$BX50)&gt;0))),N(Simulations!$BY50)&lt;=0,N(Simulations!$BX50)&lt;=0,1&gt;N(IF(Simulations!$O50="",1,Simulations!$O50))),0,IF(Simulations!$BY50&lt;IF(Simulations!$J50="",1000,Simulations!$J50),Simulations!$BX50/(IF(Simulations!$G50="",5000,Simulations!$G50)*IF(Simulations!$H50="",5000,Simulations!$H50)*IF(IF(Simulations!$I50="",5000,Simulations!$I50)&gt;0,IF(Simulations!$I50="",5000,Simulations!$I50),1))*Simulations!$BY50*(PI()/2*IF(Simulations!$T50="",200,Simulations!$T50)^2*IF(IF(Simulations!$I50="",5000,Simulations!$I50)&gt;0,SQRT(PI()/2)*IF(Simulations!$W50="",1000,Simulations!$W50),1)),Simulations!$BX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T50="",200,Simulations!$T50)^2*IF(Simulations!$W50="",1000,Simulations!$W50)/2^1.5*(2/3*LN(Simulations!$BY50/IF(Simulations!$J50="",1000,Simulations!$J50))^1.5+SQRT(LN(Simulations!$BY50/IF(Simulations!$J50="",1000,Simulations!$J50)))+Simulations!$BY50/IF(Simulations!$J50="",1000,Simulations!$J50)*SQRT(PI())/2*ERFC(SQRT(LN(Simulations!$BY50/IF(Simulations!$J50="",1000,Simulations!$J50))))),PI()*IF(Simulations!$T50="",200,Simulations!$T50)^2/2*(LN(Simulations!$BY50/IF(Simulations!$J50="",1000,Simulations!$J50))+1))))</f>
        <v>0</v>
      </c>
      <c r="O50" s="0" t="n">
        <f aca="false">IF(OR(NOT(AND(Simulations!$A50&lt;&gt;"",OR(Simulations!$BV50&lt;&gt;"",N(Simulations!$BX50)&gt;0))),N(Simulations!$BZ50)&lt;=0,N(Simulations!$BX50)&lt;=0,2&gt;N(IF(Simulations!$O50="",1,Simulations!$O50))),0,IF(Simulations!$BZ50&lt;IF(Simulations!$J50="",1000,Simulations!$J50),Simulations!$BX50/(IF(Simulations!$G50="",5000,Simulations!$G50)*IF(Simulations!$H50="",5000,Simulations!$H50)*IF(IF(Simulations!$I50="",5000,Simulations!$I50)&gt;0,IF(Simulations!$I50="",5000,Simulations!$I50),1))*Simulations!$BZ50*(PI()/2*IF(Simulations!$U50="",200,Simulations!$U50)^2*IF(IF(Simulations!$I50="",5000,Simulations!$I50)&gt;0,SQRT(PI()/2)*IF(Simulations!$X50="",1000,Simulations!$X50),1)),Simulations!$BX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U50="",200,Simulations!$U50)^2*IF(Simulations!$X50="",1000,Simulations!$X50)/2^1.5*(2/3*LN(Simulations!$BZ50/IF(Simulations!$J50="",1000,Simulations!$J50))^1.5+SQRT(LN(Simulations!$BZ50/IF(Simulations!$J50="",1000,Simulations!$J50)))+Simulations!$BZ50/IF(Simulations!$J50="",1000,Simulations!$J50)*SQRT(PI())/2*ERFC(SQRT(LN(Simulations!$BZ50/IF(Simulations!$J50="",1000,Simulations!$J50))))),PI()*IF(Simulations!$U50="",200,Simulations!$U50)^2/2*(LN(Simulations!$BZ50/IF(Simulations!$J50="",1000,Simulations!$J50))+1))))</f>
        <v>0</v>
      </c>
      <c r="P50" s="0" t="n">
        <f aca="false">IF(OR(NOT(AND(Simulations!$A50&lt;&gt;"",OR(Simulations!$BV50&lt;&gt;"",N(Simulations!$BX50)&gt;0))),N(Simulations!$CA50)&lt;=0,N(Simulations!$BX50)&lt;=0,3&gt;N(IF(Simulations!$O50="",1,Simulations!$O50))),0,IF(Simulations!$CA50&lt;IF(Simulations!$J50="",1000,Simulations!$J50),Simulations!$BX50/(IF(Simulations!$G50="",5000,Simulations!$G50)*IF(Simulations!$H50="",5000,Simulations!$H50)*IF(IF(Simulations!$I50="",5000,Simulations!$I50)&gt;0,IF(Simulations!$I50="",5000,Simulations!$I50),1))*Simulations!$CA50*(PI()/2*IF(Simulations!$V50="",200,Simulations!$V50)^2*IF(IF(Simulations!$I50="",5000,Simulations!$I50)&gt;0,SQRT(PI()/2)*IF(Simulations!$Y50="",1000,Simulations!$Y50),1)),Simulations!$BX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V50="",200,Simulations!$V50)^2*IF(Simulations!$Y50="",1000,Simulations!$Y50)/2^1.5*(2/3*LN(Simulations!$CA50/IF(Simulations!$J50="",1000,Simulations!$J50))^1.5+SQRT(LN(Simulations!$CA50/IF(Simulations!$J50="",1000,Simulations!$J50)))+Simulations!$CA50/IF(Simulations!$J50="",1000,Simulations!$J50)*SQRT(PI())/2*ERFC(SQRT(LN(Simulations!$CA50/IF(Simulations!$J50="",1000,Simulations!$J50))))),PI()*IF(Simulations!$V50="",200,Simulations!$V50)^2/2*(LN(Simulations!$CA50/IF(Simulations!$J50="",1000,Simulations!$J50))+1))))</f>
        <v>0</v>
      </c>
      <c r="Q50" s="0" t="n">
        <f aca="false">IF(NOT(AND(Simulations!$A50&lt;&gt;"",OR(Simulations!$BV50&lt;&gt;"",N(Simulations!$BX50)&gt;0))),0,MAX(N(Simulations!$BY50),N(Simulations!$BZ50),N(Simulations!$CA50))/IF(Simulations!$J50="",1000,Simulations!$J50))</f>
        <v>0</v>
      </c>
      <c r="R50" s="0" t="n">
        <f aca="false">IF(OR(NOT(AND(Simulations!$A50&lt;&gt;"",OR(Simulations!$BV50&lt;&gt;"",N(Simulations!$BX50)&gt;0))),N(Simulations!$BW50)&lt;=0),0,SQRT(2*Simulations!$BW50*1000000/(IF(Simulations!$J50="",1000,Simulations!$J50)*1000))/MIN(IF(Simulations!$T50="",200,Simulations!$T50),IF(Simulations!$U50="",200,Simulations!$U50),IF(Simulations!$V50="",200,Simulations!$V50)))</f>
        <v>0</v>
      </c>
      <c r="S50" s="0" t="n">
        <f aca="false">IF(AND(Simulations!$A50&lt;&gt;"",OR(Simulations!$BV50&lt;&gt;"",N(Simulations!$BX50)&gt;0)),1,0)</f>
        <v>0</v>
      </c>
      <c r="T50" s="0" t="n">
        <f aca="false">IF(OR(NOT(AND(Simulations!$A50&lt;&gt;"",OR(Simulations!$CN50&lt;&gt;"",N(Simulations!$CP50)&gt;0))),N(Simulations!$CQ50)&lt;=0,N(Simulations!$CP50)&lt;=0,1&gt;N(IF(Simulations!$O50="",1,Simulations!$O50))),0,IF(Simulations!$CQ50&lt;IF(Simulations!$J50="",1000,Simulations!$J50),Simulations!$CP50/(IF(Simulations!$G50="",5000,Simulations!$G50)*IF(Simulations!$H50="",5000,Simulations!$H50)*IF(IF(Simulations!$I50="",5000,Simulations!$I50)&gt;0,IF(Simulations!$I50="",5000,Simulations!$I50),1))*Simulations!$CQ50*(PI()/2*IF(Simulations!$T50="",200,Simulations!$T50)^2*IF(IF(Simulations!$I50="",5000,Simulations!$I50)&gt;0,SQRT(PI()/2)*IF(Simulations!$W50="",1000,Simulations!$W50),1)),Simulations!$CP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T50="",200,Simulations!$T50)^2*IF(Simulations!$W50="",1000,Simulations!$W50)/2^1.5*(2/3*LN(Simulations!$CQ50/IF(Simulations!$J50="",1000,Simulations!$J50))^1.5+SQRT(LN(Simulations!$CQ50/IF(Simulations!$J50="",1000,Simulations!$J50)))+Simulations!$CQ50/IF(Simulations!$J50="",1000,Simulations!$J50)*SQRT(PI())/2*ERFC(SQRT(LN(Simulations!$CQ50/IF(Simulations!$J50="",1000,Simulations!$J50))))),PI()*IF(Simulations!$T50="",200,Simulations!$T50)^2/2*(LN(Simulations!$CQ50/IF(Simulations!$J50="",1000,Simulations!$J50))+1))))</f>
        <v>0</v>
      </c>
      <c r="U50" s="0" t="n">
        <f aca="false">IF(OR(NOT(AND(Simulations!$A50&lt;&gt;"",OR(Simulations!$CN50&lt;&gt;"",N(Simulations!$CP50)&gt;0))),N(Simulations!$CR50)&lt;=0,N(Simulations!$CP50)&lt;=0,2&gt;N(IF(Simulations!$O50="",1,Simulations!$O50))),0,IF(Simulations!$CR50&lt;IF(Simulations!$J50="",1000,Simulations!$J50),Simulations!$CP50/(IF(Simulations!$G50="",5000,Simulations!$G50)*IF(Simulations!$H50="",5000,Simulations!$H50)*IF(IF(Simulations!$I50="",5000,Simulations!$I50)&gt;0,IF(Simulations!$I50="",5000,Simulations!$I50),1))*Simulations!$CR50*(PI()/2*IF(Simulations!$U50="",200,Simulations!$U50)^2*IF(IF(Simulations!$I50="",5000,Simulations!$I50)&gt;0,SQRT(PI()/2)*IF(Simulations!$X50="",1000,Simulations!$X50),1)),Simulations!$CP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U50="",200,Simulations!$U50)^2*IF(Simulations!$X50="",1000,Simulations!$X50)/2^1.5*(2/3*LN(Simulations!$CR50/IF(Simulations!$J50="",1000,Simulations!$J50))^1.5+SQRT(LN(Simulations!$CR50/IF(Simulations!$J50="",1000,Simulations!$J50)))+Simulations!$CR50/IF(Simulations!$J50="",1000,Simulations!$J50)*SQRT(PI())/2*ERFC(SQRT(LN(Simulations!$CR50/IF(Simulations!$J50="",1000,Simulations!$J50))))),PI()*IF(Simulations!$U50="",200,Simulations!$U50)^2/2*(LN(Simulations!$CR50/IF(Simulations!$J50="",1000,Simulations!$J50))+1))))</f>
        <v>0</v>
      </c>
      <c r="V50" s="0" t="n">
        <f aca="false">IF(OR(NOT(AND(Simulations!$A50&lt;&gt;"",OR(Simulations!$CN50&lt;&gt;"",N(Simulations!$CP50)&gt;0))),N(Simulations!$CS50)&lt;=0,N(Simulations!$CP50)&lt;=0,3&gt;N(IF(Simulations!$O50="",1,Simulations!$O50))),0,IF(Simulations!$CS50&lt;IF(Simulations!$J50="",1000,Simulations!$J50),Simulations!$CP50/(IF(Simulations!$G50="",5000,Simulations!$G50)*IF(Simulations!$H50="",5000,Simulations!$H50)*IF(IF(Simulations!$I50="",5000,Simulations!$I50)&gt;0,IF(Simulations!$I50="",5000,Simulations!$I50),1))*Simulations!$CS50*(PI()/2*IF(Simulations!$V50="",200,Simulations!$V50)^2*IF(IF(Simulations!$I50="",5000,Simulations!$I50)&gt;0,SQRT(PI()/2)*IF(Simulations!$Y50="",1000,Simulations!$Y50),1)),Simulations!$CP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V50="",200,Simulations!$V50)^2*IF(Simulations!$Y50="",1000,Simulations!$Y50)/2^1.5*(2/3*LN(Simulations!$CS50/IF(Simulations!$J50="",1000,Simulations!$J50))^1.5+SQRT(LN(Simulations!$CS50/IF(Simulations!$J50="",1000,Simulations!$J50)))+Simulations!$CS50/IF(Simulations!$J50="",1000,Simulations!$J50)*SQRT(PI())/2*ERFC(SQRT(LN(Simulations!$CS50/IF(Simulations!$J50="",1000,Simulations!$J50))))),PI()*IF(Simulations!$V50="",200,Simulations!$V50)^2/2*(LN(Simulations!$CS50/IF(Simulations!$J50="",1000,Simulations!$J50))+1))))</f>
        <v>0</v>
      </c>
      <c r="W50" s="0" t="n">
        <f aca="false">IF(NOT(AND(Simulations!$A50&lt;&gt;"",OR(Simulations!$CN50&lt;&gt;"",N(Simulations!$CP50)&gt;0))),0,MAX(N(Simulations!$CQ50),N(Simulations!$CR50),N(Simulations!$CS50))/IF(Simulations!$J50="",1000,Simulations!$J50))</f>
        <v>0</v>
      </c>
      <c r="X50" s="0" t="n">
        <f aca="false">IF(OR(NOT(AND(Simulations!$A50&lt;&gt;"",OR(Simulations!$CN50&lt;&gt;"",N(Simulations!$CP50)&gt;0))),N(Simulations!$CO50)&lt;=0),0,SQRT(2*Simulations!$CO50*1000000/(IF(Simulations!$J50="",1000,Simulations!$J50)*1000))/MIN(IF(Simulations!$T50="",200,Simulations!$T50),IF(Simulations!$U50="",200,Simulations!$U50),IF(Simulations!$V50="",200,Simulations!$V50)))</f>
        <v>0</v>
      </c>
      <c r="Y50" s="0" t="n">
        <f aca="false">IF(AND(Simulations!$A50&lt;&gt;"",OR(Simulations!$CN50&lt;&gt;"",N(Simulations!$CP50)&gt;0)),1,0)</f>
        <v>0</v>
      </c>
      <c r="Z50" s="0" t="n">
        <f aca="false">IF(OR(NOT(AND(Simulations!$A50&lt;&gt;"",OR(Simulations!$DF50&lt;&gt;"",N(Simulations!$DH50)&gt;0))),N(Simulations!$DI50)&lt;=0,N(Simulations!$DH50)&lt;=0,1&gt;N(IF(Simulations!$O50="",1,Simulations!$O50))),0,IF(Simulations!$DI50&lt;IF(Simulations!$J50="",1000,Simulations!$J50),Simulations!$DH50/(IF(Simulations!$G50="",5000,Simulations!$G50)*IF(Simulations!$H50="",5000,Simulations!$H50)*IF(IF(Simulations!$I50="",5000,Simulations!$I50)&gt;0,IF(Simulations!$I50="",5000,Simulations!$I50),1))*Simulations!$DI50*(PI()/2*IF(Simulations!$T50="",200,Simulations!$T50)^2*IF(IF(Simulations!$I50="",5000,Simulations!$I50)&gt;0,SQRT(PI()/2)*IF(Simulations!$W50="",1000,Simulations!$W50),1)),Simulations!$DH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T50="",200,Simulations!$T50)^2*IF(Simulations!$W50="",1000,Simulations!$W50)/2^1.5*(2/3*LN(Simulations!$DI50/IF(Simulations!$J50="",1000,Simulations!$J50))^1.5+SQRT(LN(Simulations!$DI50/IF(Simulations!$J50="",1000,Simulations!$J50)))+Simulations!$DI50/IF(Simulations!$J50="",1000,Simulations!$J50)*SQRT(PI())/2*ERFC(SQRT(LN(Simulations!$DI50/IF(Simulations!$J50="",1000,Simulations!$J50))))),PI()*IF(Simulations!$T50="",200,Simulations!$T50)^2/2*(LN(Simulations!$DI50/IF(Simulations!$J50="",1000,Simulations!$J50))+1))))</f>
        <v>0</v>
      </c>
      <c r="AA50" s="0" t="n">
        <f aca="false">IF(OR(NOT(AND(Simulations!$A50&lt;&gt;"",OR(Simulations!$DF50&lt;&gt;"",N(Simulations!$DH50)&gt;0))),N(Simulations!$DJ50)&lt;=0,N(Simulations!$DH50)&lt;=0,2&gt;N(IF(Simulations!$O50="",1,Simulations!$O50))),0,IF(Simulations!$DJ50&lt;IF(Simulations!$J50="",1000,Simulations!$J50),Simulations!$DH50/(IF(Simulations!$G50="",5000,Simulations!$G50)*IF(Simulations!$H50="",5000,Simulations!$H50)*IF(IF(Simulations!$I50="",5000,Simulations!$I50)&gt;0,IF(Simulations!$I50="",5000,Simulations!$I50),1))*Simulations!$DJ50*(PI()/2*IF(Simulations!$U50="",200,Simulations!$U50)^2*IF(IF(Simulations!$I50="",5000,Simulations!$I50)&gt;0,SQRT(PI()/2)*IF(Simulations!$X50="",1000,Simulations!$X50),1)),Simulations!$DH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U50="",200,Simulations!$U50)^2*IF(Simulations!$X50="",1000,Simulations!$X50)/2^1.5*(2/3*LN(Simulations!$DJ50/IF(Simulations!$J50="",1000,Simulations!$J50))^1.5+SQRT(LN(Simulations!$DJ50/IF(Simulations!$J50="",1000,Simulations!$J50)))+Simulations!$DJ50/IF(Simulations!$J50="",1000,Simulations!$J50)*SQRT(PI())/2*ERFC(SQRT(LN(Simulations!$DJ50/IF(Simulations!$J50="",1000,Simulations!$J50))))),PI()*IF(Simulations!$U50="",200,Simulations!$U50)^2/2*(LN(Simulations!$DJ50/IF(Simulations!$J50="",1000,Simulations!$J50))+1))))</f>
        <v>0</v>
      </c>
      <c r="AB50" s="0" t="n">
        <f aca="false">IF(OR(NOT(AND(Simulations!$A50&lt;&gt;"",OR(Simulations!$DF50&lt;&gt;"",N(Simulations!$DH50)&gt;0))),N(Simulations!$DK50)&lt;=0,N(Simulations!$DH50)&lt;=0,3&gt;N(IF(Simulations!$O50="",1,Simulations!$O50))),0,IF(Simulations!$DK50&lt;IF(Simulations!$J50="",1000,Simulations!$J50),Simulations!$DH50/(IF(Simulations!$G50="",5000,Simulations!$G50)*IF(Simulations!$H50="",5000,Simulations!$H50)*IF(IF(Simulations!$I50="",5000,Simulations!$I50)&gt;0,IF(Simulations!$I50="",5000,Simulations!$I50),1))*Simulations!$DK50*(PI()/2*IF(Simulations!$V50="",200,Simulations!$V50)^2*IF(IF(Simulations!$I50="",5000,Simulations!$I50)&gt;0,SQRT(PI()/2)*IF(Simulations!$Y50="",1000,Simulations!$Y50),1)),Simulations!$DH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V50="",200,Simulations!$V50)^2*IF(Simulations!$Y50="",1000,Simulations!$Y50)/2^1.5*(2/3*LN(Simulations!$DK50/IF(Simulations!$J50="",1000,Simulations!$J50))^1.5+SQRT(LN(Simulations!$DK50/IF(Simulations!$J50="",1000,Simulations!$J50)))+Simulations!$DK50/IF(Simulations!$J50="",1000,Simulations!$J50)*SQRT(PI())/2*ERFC(SQRT(LN(Simulations!$DK50/IF(Simulations!$J50="",1000,Simulations!$J50))))),PI()*IF(Simulations!$V50="",200,Simulations!$V50)^2/2*(LN(Simulations!$DK50/IF(Simulations!$J50="",1000,Simulations!$J50))+1))))</f>
        <v>0</v>
      </c>
      <c r="AC50" s="0" t="n">
        <f aca="false">IF(NOT(AND(Simulations!$A50&lt;&gt;"",OR(Simulations!$DF50&lt;&gt;"",N(Simulations!$DH50)&gt;0))),0,MAX(N(Simulations!$DI50),N(Simulations!$DJ50),N(Simulations!$DK50))/IF(Simulations!$J50="",1000,Simulations!$J50))</f>
        <v>0</v>
      </c>
      <c r="AD50" s="0" t="n">
        <f aca="false">IF(OR(NOT(AND(Simulations!$A50&lt;&gt;"",OR(Simulations!$DF50&lt;&gt;"",N(Simulations!$DH50)&gt;0))),N(Simulations!$DG50)&lt;=0),0,SQRT(2*Simulations!$DG50*1000000/(IF(Simulations!$J50="",1000,Simulations!$J50)*1000))/MIN(IF(Simulations!$T50="",200,Simulations!$T50),IF(Simulations!$U50="",200,Simulations!$U50),IF(Simulations!$V50="",200,Simulations!$V50)))</f>
        <v>0</v>
      </c>
      <c r="AE50" s="0" t="n">
        <f aca="false">IF(AND(Simulations!$A50&lt;&gt;"",OR(Simulations!$DF50&lt;&gt;"",N(Simulations!$DH50)&gt;0)),1,0)</f>
        <v>0</v>
      </c>
      <c r="AF50" s="0" t="n">
        <f aca="false">IF(OR(NOT(AND(Simulations!$A50&lt;&gt;"",OR(Simulations!$DX50&lt;&gt;"",N(Simulations!$DZ50)&gt;0))),N(Simulations!$EA50)&lt;=0,N(Simulations!$DZ50)&lt;=0,1&gt;N(IF(Simulations!$O50="",1,Simulations!$O50))),0,IF(Simulations!$EA50&lt;IF(Simulations!$J50="",1000,Simulations!$J50),Simulations!$DZ50/(IF(Simulations!$G50="",5000,Simulations!$G50)*IF(Simulations!$H50="",5000,Simulations!$H50)*IF(IF(Simulations!$I50="",5000,Simulations!$I50)&gt;0,IF(Simulations!$I50="",5000,Simulations!$I50),1))*Simulations!$EA50*(PI()/2*IF(Simulations!$T50="",200,Simulations!$T50)^2*IF(IF(Simulations!$I50="",5000,Simulations!$I50)&gt;0,SQRT(PI()/2)*IF(Simulations!$W50="",1000,Simulations!$W50),1)),Simulations!$DZ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T50="",200,Simulations!$T50)^2*IF(Simulations!$W50="",1000,Simulations!$W50)/2^1.5*(2/3*LN(Simulations!$EA50/IF(Simulations!$J50="",1000,Simulations!$J50))^1.5+SQRT(LN(Simulations!$EA50/IF(Simulations!$J50="",1000,Simulations!$J50)))+Simulations!$EA50/IF(Simulations!$J50="",1000,Simulations!$J50)*SQRT(PI())/2*ERFC(SQRT(LN(Simulations!$EA50/IF(Simulations!$J50="",1000,Simulations!$J50))))),PI()*IF(Simulations!$T50="",200,Simulations!$T50)^2/2*(LN(Simulations!$EA50/IF(Simulations!$J50="",1000,Simulations!$J50))+1))))</f>
        <v>0</v>
      </c>
      <c r="AG50" s="0" t="n">
        <f aca="false">IF(OR(NOT(AND(Simulations!$A50&lt;&gt;"",OR(Simulations!$DX50&lt;&gt;"",N(Simulations!$DZ50)&gt;0))),N(Simulations!$EB50)&lt;=0,N(Simulations!$DZ50)&lt;=0,2&gt;N(IF(Simulations!$O50="",1,Simulations!$O50))),0,IF(Simulations!$EB50&lt;IF(Simulations!$J50="",1000,Simulations!$J50),Simulations!$DZ50/(IF(Simulations!$G50="",5000,Simulations!$G50)*IF(Simulations!$H50="",5000,Simulations!$H50)*IF(IF(Simulations!$I50="",5000,Simulations!$I50)&gt;0,IF(Simulations!$I50="",5000,Simulations!$I50),1))*Simulations!$EB50*(PI()/2*IF(Simulations!$U50="",200,Simulations!$U50)^2*IF(IF(Simulations!$I50="",5000,Simulations!$I50)&gt;0,SQRT(PI()/2)*IF(Simulations!$X50="",1000,Simulations!$X50),1)),Simulations!$DZ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U50="",200,Simulations!$U50)^2*IF(Simulations!$X50="",1000,Simulations!$X50)/2^1.5*(2/3*LN(Simulations!$EB50/IF(Simulations!$J50="",1000,Simulations!$J50))^1.5+SQRT(LN(Simulations!$EB50/IF(Simulations!$J50="",1000,Simulations!$J50)))+Simulations!$EB50/IF(Simulations!$J50="",1000,Simulations!$J50)*SQRT(PI())/2*ERFC(SQRT(LN(Simulations!$EB50/IF(Simulations!$J50="",1000,Simulations!$J50))))),PI()*IF(Simulations!$U50="",200,Simulations!$U50)^2/2*(LN(Simulations!$EB50/IF(Simulations!$J50="",1000,Simulations!$J50))+1))))</f>
        <v>0</v>
      </c>
      <c r="AH50" s="0" t="n">
        <f aca="false">IF(OR(NOT(AND(Simulations!$A50&lt;&gt;"",OR(Simulations!$DX50&lt;&gt;"",N(Simulations!$DZ50)&gt;0))),N(Simulations!$EC50)&lt;=0,N(Simulations!$DZ50)&lt;=0,3&gt;N(IF(Simulations!$O50="",1,Simulations!$O50))),0,IF(Simulations!$EC50&lt;IF(Simulations!$J50="",1000,Simulations!$J50),Simulations!$DZ50/(IF(Simulations!$G50="",5000,Simulations!$G50)*IF(Simulations!$H50="",5000,Simulations!$H50)*IF(IF(Simulations!$I50="",5000,Simulations!$I50)&gt;0,IF(Simulations!$I50="",5000,Simulations!$I50),1))*Simulations!$EC50*(PI()/2*IF(Simulations!$V50="",200,Simulations!$V50)^2*IF(IF(Simulations!$I50="",5000,Simulations!$I50)&gt;0,SQRT(PI()/2)*IF(Simulations!$Y50="",1000,Simulations!$Y50),1)),Simulations!$DZ50/(IF(Simulations!$G50="",5000,Simulations!$G50)*IF(Simulations!$H50="",5000,Simulations!$H50)*IF(IF(Simulations!$I50="",5000,Simulations!$I50)&gt;0,IF(Simulations!$I50="",5000,Simulations!$I50),1))*IF(Simulations!$J50="",1000,Simulations!$J50)*IF(IF(Simulations!$I50="",5000,Simulations!$I50)&gt;0,2*PI()*IF(Simulations!$V50="",200,Simulations!$V50)^2*IF(Simulations!$Y50="",1000,Simulations!$Y50)/2^1.5*(2/3*LN(Simulations!$EC50/IF(Simulations!$J50="",1000,Simulations!$J50))^1.5+SQRT(LN(Simulations!$EC50/IF(Simulations!$J50="",1000,Simulations!$J50)))+Simulations!$EC50/IF(Simulations!$J50="",1000,Simulations!$J50)*SQRT(PI())/2*ERFC(SQRT(LN(Simulations!$EC50/IF(Simulations!$J50="",1000,Simulations!$J50))))),PI()*IF(Simulations!$V50="",200,Simulations!$V50)^2/2*(LN(Simulations!$EC50/IF(Simulations!$J50="",1000,Simulations!$J50))+1))))</f>
        <v>0</v>
      </c>
      <c r="AI50" s="0" t="n">
        <f aca="false">IF(NOT(AND(Simulations!$A50&lt;&gt;"",OR(Simulations!$DX50&lt;&gt;"",N(Simulations!$DZ50)&gt;0))),0,MAX(N(Simulations!$EA50),N(Simulations!$EB50),N(Simulations!$EC50))/IF(Simulations!$J50="",1000,Simulations!$J50))</f>
        <v>0</v>
      </c>
      <c r="AJ50" s="0" t="n">
        <f aca="false">IF(OR(NOT(AND(Simulations!$A50&lt;&gt;"",OR(Simulations!$DX50&lt;&gt;"",N(Simulations!$DZ50)&gt;0))),N(Simulations!$DY50)&lt;=0),0,SQRT(2*Simulations!$DY50*1000000/(IF(Simulations!$J50="",1000,Simulations!$J50)*1000))/MIN(IF(Simulations!$T50="",200,Simulations!$T50),IF(Simulations!$U50="",200,Simulations!$U50),IF(Simulations!$V50="",200,Simulations!$V50)))</f>
        <v>0</v>
      </c>
      <c r="AK50" s="0" t="n">
        <f aca="false">IF(AND(Simulations!$A50&lt;&gt;"",OR(Simulations!$DX50&lt;&gt;"",N(Simulations!$DZ50)&gt;0)),1,0)</f>
        <v>0</v>
      </c>
    </row>
    <row r="51" customFormat="false" ht="15" hidden="false" customHeight="false" outlineLevel="0" collapsed="false">
      <c r="B51" s="0" t="n">
        <f aca="false">IF(OR(NOT(AND(Simulations!$A51&lt;&gt;"",OR(Simulations!$AL51&lt;&gt;"",N(Simulations!$AN51)&gt;0))),N(Simulations!$AO51)&lt;=0,N(Simulations!$AN51)&lt;=0,1&gt;N(IF(Simulations!$O51="",1,Simulations!$O51))),0,IF(Simulations!$AO51&lt;IF(Simulations!$J51="",1000,Simulations!$J51),Simulations!$AN51/(IF(Simulations!$G51="",5000,Simulations!$G51)*IF(Simulations!$H51="",5000,Simulations!$H51)*IF(IF(Simulations!$I51="",5000,Simulations!$I51)&gt;0,IF(Simulations!$I51="",5000,Simulations!$I51),1))*Simulations!$AO51*(PI()/2*IF(Simulations!$T51="",200,Simulations!$T51)^2*IF(IF(Simulations!$I51="",5000,Simulations!$I51)&gt;0,SQRT(PI()/2)*IF(Simulations!$W51="",1000,Simulations!$W51),1)),Simulations!$AN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T51="",200,Simulations!$T51)^2*IF(Simulations!$W51="",1000,Simulations!$W51)/2^1.5*(2/3*LN(Simulations!$AO51/IF(Simulations!$J51="",1000,Simulations!$J51))^1.5+SQRT(LN(Simulations!$AO51/IF(Simulations!$J51="",1000,Simulations!$J51)))+Simulations!$AO51/IF(Simulations!$J51="",1000,Simulations!$J51)*SQRT(PI())/2*ERFC(SQRT(LN(Simulations!$AO51/IF(Simulations!$J51="",1000,Simulations!$J51))))),PI()*IF(Simulations!$T51="",200,Simulations!$T51)^2/2*(LN(Simulations!$AO51/IF(Simulations!$J51="",1000,Simulations!$J51))+1))))</f>
        <v>0</v>
      </c>
      <c r="C51" s="0" t="n">
        <f aca="false">IF(OR(NOT(AND(Simulations!$A51&lt;&gt;"",OR(Simulations!$AL51&lt;&gt;"",N(Simulations!$AN51)&gt;0))),N(Simulations!$AP51)&lt;=0,N(Simulations!$AN51)&lt;=0,2&gt;N(IF(Simulations!$O51="",1,Simulations!$O51))),0,IF(Simulations!$AP51&lt;IF(Simulations!$J51="",1000,Simulations!$J51),Simulations!$AN51/(IF(Simulations!$G51="",5000,Simulations!$G51)*IF(Simulations!$H51="",5000,Simulations!$H51)*IF(IF(Simulations!$I51="",5000,Simulations!$I51)&gt;0,IF(Simulations!$I51="",5000,Simulations!$I51),1))*Simulations!$AP51*(PI()/2*IF(Simulations!$U51="",200,Simulations!$U51)^2*IF(IF(Simulations!$I51="",5000,Simulations!$I51)&gt;0,SQRT(PI()/2)*IF(Simulations!$X51="",1000,Simulations!$X51),1)),Simulations!$AN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U51="",200,Simulations!$U51)^2*IF(Simulations!$X51="",1000,Simulations!$X51)/2^1.5*(2/3*LN(Simulations!$AP51/IF(Simulations!$J51="",1000,Simulations!$J51))^1.5+SQRT(LN(Simulations!$AP51/IF(Simulations!$J51="",1000,Simulations!$J51)))+Simulations!$AP51/IF(Simulations!$J51="",1000,Simulations!$J51)*SQRT(PI())/2*ERFC(SQRT(LN(Simulations!$AP51/IF(Simulations!$J51="",1000,Simulations!$J51))))),PI()*IF(Simulations!$U51="",200,Simulations!$U51)^2/2*(LN(Simulations!$AP51/IF(Simulations!$J51="",1000,Simulations!$J51))+1))))</f>
        <v>0</v>
      </c>
      <c r="D51" s="0" t="n">
        <f aca="false">IF(OR(NOT(AND(Simulations!$A51&lt;&gt;"",OR(Simulations!$AL51&lt;&gt;"",N(Simulations!$AN51)&gt;0))),N(Simulations!$AQ51)&lt;=0,N(Simulations!$AN51)&lt;=0,3&gt;N(IF(Simulations!$O51="",1,Simulations!$O51))),0,IF(Simulations!$AQ51&lt;IF(Simulations!$J51="",1000,Simulations!$J51),Simulations!$AN51/(IF(Simulations!$G51="",5000,Simulations!$G51)*IF(Simulations!$H51="",5000,Simulations!$H51)*IF(IF(Simulations!$I51="",5000,Simulations!$I51)&gt;0,IF(Simulations!$I51="",5000,Simulations!$I51),1))*Simulations!$AQ51*(PI()/2*IF(Simulations!$V51="",200,Simulations!$V51)^2*IF(IF(Simulations!$I51="",5000,Simulations!$I51)&gt;0,SQRT(PI()/2)*IF(Simulations!$Y51="",1000,Simulations!$Y51),1)),Simulations!$AN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V51="",200,Simulations!$V51)^2*IF(Simulations!$Y51="",1000,Simulations!$Y51)/2^1.5*(2/3*LN(Simulations!$AQ51/IF(Simulations!$J51="",1000,Simulations!$J51))^1.5+SQRT(LN(Simulations!$AQ51/IF(Simulations!$J51="",1000,Simulations!$J51)))+Simulations!$AQ51/IF(Simulations!$J51="",1000,Simulations!$J51)*SQRT(PI())/2*ERFC(SQRT(LN(Simulations!$AQ51/IF(Simulations!$J51="",1000,Simulations!$J51))))),PI()*IF(Simulations!$V51="",200,Simulations!$V51)^2/2*(LN(Simulations!$AQ51/IF(Simulations!$J51="",1000,Simulations!$J51))+1))))</f>
        <v>0</v>
      </c>
      <c r="E51" s="0" t="n">
        <f aca="false">IF(NOT(AND(Simulations!$A51&lt;&gt;"",OR(Simulations!$AL51&lt;&gt;"",N(Simulations!$AN51)&gt;0))),0,MAX(N(Simulations!$AO51),N(Simulations!$AP51),N(Simulations!$AQ51))/IF(Simulations!$J51="",1000,Simulations!$J51))</f>
        <v>0</v>
      </c>
      <c r="F51" s="0" t="n">
        <f aca="false">IF(OR(NOT(AND(Simulations!$A51&lt;&gt;"",OR(Simulations!$AL51&lt;&gt;"",N(Simulations!$AN51)&gt;0))),N(Simulations!$AM51)&lt;=0),0,SQRT(2*Simulations!$AM51*1000000/(IF(Simulations!$J51="",1000,Simulations!$J51)*1000))/MIN(IF(Simulations!$T51="",200,Simulations!$T51),IF(Simulations!$U51="",200,Simulations!$U51),IF(Simulations!$V51="",200,Simulations!$V51)))</f>
        <v>0</v>
      </c>
      <c r="G51" s="0" t="n">
        <f aca="false">IF(AND(Simulations!$A51&lt;&gt;"",OR(Simulations!$AL51&lt;&gt;"",N(Simulations!$AN51)&gt;0)),1,0)</f>
        <v>0</v>
      </c>
      <c r="H51" s="0" t="n">
        <f aca="false">IF(OR(NOT(AND(Simulations!$A51&lt;&gt;"",OR(Simulations!$BD51&lt;&gt;"",N(Simulations!$BF51)&gt;0))),N(Simulations!$BG51)&lt;=0,N(Simulations!$BF51)&lt;=0,1&gt;N(IF(Simulations!$O51="",1,Simulations!$O51))),0,IF(Simulations!$BG51&lt;IF(Simulations!$J51="",1000,Simulations!$J51),Simulations!$BF51/(IF(Simulations!$G51="",5000,Simulations!$G51)*IF(Simulations!$H51="",5000,Simulations!$H51)*IF(IF(Simulations!$I51="",5000,Simulations!$I51)&gt;0,IF(Simulations!$I51="",5000,Simulations!$I51),1))*Simulations!$BG51*(PI()/2*IF(Simulations!$T51="",200,Simulations!$T51)^2*IF(IF(Simulations!$I51="",5000,Simulations!$I51)&gt;0,SQRT(PI()/2)*IF(Simulations!$W51="",1000,Simulations!$W51),1)),Simulations!$BF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T51="",200,Simulations!$T51)^2*IF(Simulations!$W51="",1000,Simulations!$W51)/2^1.5*(2/3*LN(Simulations!$BG51/IF(Simulations!$J51="",1000,Simulations!$J51))^1.5+SQRT(LN(Simulations!$BG51/IF(Simulations!$J51="",1000,Simulations!$J51)))+Simulations!$BG51/IF(Simulations!$J51="",1000,Simulations!$J51)*SQRT(PI())/2*ERFC(SQRT(LN(Simulations!$BG51/IF(Simulations!$J51="",1000,Simulations!$J51))))),PI()*IF(Simulations!$T51="",200,Simulations!$T51)^2/2*(LN(Simulations!$BG51/IF(Simulations!$J51="",1000,Simulations!$J51))+1))))</f>
        <v>0</v>
      </c>
      <c r="I51" s="0" t="n">
        <f aca="false">IF(OR(NOT(AND(Simulations!$A51&lt;&gt;"",OR(Simulations!$BD51&lt;&gt;"",N(Simulations!$BF51)&gt;0))),N(Simulations!$BH51)&lt;=0,N(Simulations!$BF51)&lt;=0,2&gt;N(IF(Simulations!$O51="",1,Simulations!$O51))),0,IF(Simulations!$BH51&lt;IF(Simulations!$J51="",1000,Simulations!$J51),Simulations!$BF51/(IF(Simulations!$G51="",5000,Simulations!$G51)*IF(Simulations!$H51="",5000,Simulations!$H51)*IF(IF(Simulations!$I51="",5000,Simulations!$I51)&gt;0,IF(Simulations!$I51="",5000,Simulations!$I51),1))*Simulations!$BH51*(PI()/2*IF(Simulations!$U51="",200,Simulations!$U51)^2*IF(IF(Simulations!$I51="",5000,Simulations!$I51)&gt;0,SQRT(PI()/2)*IF(Simulations!$X51="",1000,Simulations!$X51),1)),Simulations!$BF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U51="",200,Simulations!$U51)^2*IF(Simulations!$X51="",1000,Simulations!$X51)/2^1.5*(2/3*LN(Simulations!$BH51/IF(Simulations!$J51="",1000,Simulations!$J51))^1.5+SQRT(LN(Simulations!$BH51/IF(Simulations!$J51="",1000,Simulations!$J51)))+Simulations!$BH51/IF(Simulations!$J51="",1000,Simulations!$J51)*SQRT(PI())/2*ERFC(SQRT(LN(Simulations!$BH51/IF(Simulations!$J51="",1000,Simulations!$J51))))),PI()*IF(Simulations!$U51="",200,Simulations!$U51)^2/2*(LN(Simulations!$BH51/IF(Simulations!$J51="",1000,Simulations!$J51))+1))))</f>
        <v>0</v>
      </c>
      <c r="J51" s="0" t="n">
        <f aca="false">IF(OR(NOT(AND(Simulations!$A51&lt;&gt;"",OR(Simulations!$BD51&lt;&gt;"",N(Simulations!$BF51)&gt;0))),N(Simulations!$BI51)&lt;=0,N(Simulations!$BF51)&lt;=0,3&gt;N(IF(Simulations!$O51="",1,Simulations!$O51))),0,IF(Simulations!$BI51&lt;IF(Simulations!$J51="",1000,Simulations!$J51),Simulations!$BF51/(IF(Simulations!$G51="",5000,Simulations!$G51)*IF(Simulations!$H51="",5000,Simulations!$H51)*IF(IF(Simulations!$I51="",5000,Simulations!$I51)&gt;0,IF(Simulations!$I51="",5000,Simulations!$I51),1))*Simulations!$BI51*(PI()/2*IF(Simulations!$V51="",200,Simulations!$V51)^2*IF(IF(Simulations!$I51="",5000,Simulations!$I51)&gt;0,SQRT(PI()/2)*IF(Simulations!$Y51="",1000,Simulations!$Y51),1)),Simulations!$BF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V51="",200,Simulations!$V51)^2*IF(Simulations!$Y51="",1000,Simulations!$Y51)/2^1.5*(2/3*LN(Simulations!$BI51/IF(Simulations!$J51="",1000,Simulations!$J51))^1.5+SQRT(LN(Simulations!$BI51/IF(Simulations!$J51="",1000,Simulations!$J51)))+Simulations!$BI51/IF(Simulations!$J51="",1000,Simulations!$J51)*SQRT(PI())/2*ERFC(SQRT(LN(Simulations!$BI51/IF(Simulations!$J51="",1000,Simulations!$J51))))),PI()*IF(Simulations!$V51="",200,Simulations!$V51)^2/2*(LN(Simulations!$BI51/IF(Simulations!$J51="",1000,Simulations!$J51))+1))))</f>
        <v>0</v>
      </c>
      <c r="K51" s="0" t="n">
        <f aca="false">IF(NOT(AND(Simulations!$A51&lt;&gt;"",OR(Simulations!$BD51&lt;&gt;"",N(Simulations!$BF51)&gt;0))),0,MAX(N(Simulations!$BG51),N(Simulations!$BH51),N(Simulations!$BI51))/IF(Simulations!$J51="",1000,Simulations!$J51))</f>
        <v>0</v>
      </c>
      <c r="L51" s="0" t="n">
        <f aca="false">IF(OR(NOT(AND(Simulations!$A51&lt;&gt;"",OR(Simulations!$BD51&lt;&gt;"",N(Simulations!$BF51)&gt;0))),N(Simulations!$BE51)&lt;=0),0,SQRT(2*Simulations!$BE51*1000000/(IF(Simulations!$J51="",1000,Simulations!$J51)*1000))/MIN(IF(Simulations!$T51="",200,Simulations!$T51),IF(Simulations!$U51="",200,Simulations!$U51),IF(Simulations!$V51="",200,Simulations!$V51)))</f>
        <v>0</v>
      </c>
      <c r="M51" s="0" t="n">
        <f aca="false">IF(AND(Simulations!$A51&lt;&gt;"",OR(Simulations!$BD51&lt;&gt;"",N(Simulations!$BF51)&gt;0)),1,0)</f>
        <v>0</v>
      </c>
      <c r="N51" s="0" t="n">
        <f aca="false">IF(OR(NOT(AND(Simulations!$A51&lt;&gt;"",OR(Simulations!$BV51&lt;&gt;"",N(Simulations!$BX51)&gt;0))),N(Simulations!$BY51)&lt;=0,N(Simulations!$BX51)&lt;=0,1&gt;N(IF(Simulations!$O51="",1,Simulations!$O51))),0,IF(Simulations!$BY51&lt;IF(Simulations!$J51="",1000,Simulations!$J51),Simulations!$BX51/(IF(Simulations!$G51="",5000,Simulations!$G51)*IF(Simulations!$H51="",5000,Simulations!$H51)*IF(IF(Simulations!$I51="",5000,Simulations!$I51)&gt;0,IF(Simulations!$I51="",5000,Simulations!$I51),1))*Simulations!$BY51*(PI()/2*IF(Simulations!$T51="",200,Simulations!$T51)^2*IF(IF(Simulations!$I51="",5000,Simulations!$I51)&gt;0,SQRT(PI()/2)*IF(Simulations!$W51="",1000,Simulations!$W51),1)),Simulations!$BX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T51="",200,Simulations!$T51)^2*IF(Simulations!$W51="",1000,Simulations!$W51)/2^1.5*(2/3*LN(Simulations!$BY51/IF(Simulations!$J51="",1000,Simulations!$J51))^1.5+SQRT(LN(Simulations!$BY51/IF(Simulations!$J51="",1000,Simulations!$J51)))+Simulations!$BY51/IF(Simulations!$J51="",1000,Simulations!$J51)*SQRT(PI())/2*ERFC(SQRT(LN(Simulations!$BY51/IF(Simulations!$J51="",1000,Simulations!$J51))))),PI()*IF(Simulations!$T51="",200,Simulations!$T51)^2/2*(LN(Simulations!$BY51/IF(Simulations!$J51="",1000,Simulations!$J51))+1))))</f>
        <v>0</v>
      </c>
      <c r="O51" s="0" t="n">
        <f aca="false">IF(OR(NOT(AND(Simulations!$A51&lt;&gt;"",OR(Simulations!$BV51&lt;&gt;"",N(Simulations!$BX51)&gt;0))),N(Simulations!$BZ51)&lt;=0,N(Simulations!$BX51)&lt;=0,2&gt;N(IF(Simulations!$O51="",1,Simulations!$O51))),0,IF(Simulations!$BZ51&lt;IF(Simulations!$J51="",1000,Simulations!$J51),Simulations!$BX51/(IF(Simulations!$G51="",5000,Simulations!$G51)*IF(Simulations!$H51="",5000,Simulations!$H51)*IF(IF(Simulations!$I51="",5000,Simulations!$I51)&gt;0,IF(Simulations!$I51="",5000,Simulations!$I51),1))*Simulations!$BZ51*(PI()/2*IF(Simulations!$U51="",200,Simulations!$U51)^2*IF(IF(Simulations!$I51="",5000,Simulations!$I51)&gt;0,SQRT(PI()/2)*IF(Simulations!$X51="",1000,Simulations!$X51),1)),Simulations!$BX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U51="",200,Simulations!$U51)^2*IF(Simulations!$X51="",1000,Simulations!$X51)/2^1.5*(2/3*LN(Simulations!$BZ51/IF(Simulations!$J51="",1000,Simulations!$J51))^1.5+SQRT(LN(Simulations!$BZ51/IF(Simulations!$J51="",1000,Simulations!$J51)))+Simulations!$BZ51/IF(Simulations!$J51="",1000,Simulations!$J51)*SQRT(PI())/2*ERFC(SQRT(LN(Simulations!$BZ51/IF(Simulations!$J51="",1000,Simulations!$J51))))),PI()*IF(Simulations!$U51="",200,Simulations!$U51)^2/2*(LN(Simulations!$BZ51/IF(Simulations!$J51="",1000,Simulations!$J51))+1))))</f>
        <v>0</v>
      </c>
      <c r="P51" s="0" t="n">
        <f aca="false">IF(OR(NOT(AND(Simulations!$A51&lt;&gt;"",OR(Simulations!$BV51&lt;&gt;"",N(Simulations!$BX51)&gt;0))),N(Simulations!$CA51)&lt;=0,N(Simulations!$BX51)&lt;=0,3&gt;N(IF(Simulations!$O51="",1,Simulations!$O51))),0,IF(Simulations!$CA51&lt;IF(Simulations!$J51="",1000,Simulations!$J51),Simulations!$BX51/(IF(Simulations!$G51="",5000,Simulations!$G51)*IF(Simulations!$H51="",5000,Simulations!$H51)*IF(IF(Simulations!$I51="",5000,Simulations!$I51)&gt;0,IF(Simulations!$I51="",5000,Simulations!$I51),1))*Simulations!$CA51*(PI()/2*IF(Simulations!$V51="",200,Simulations!$V51)^2*IF(IF(Simulations!$I51="",5000,Simulations!$I51)&gt;0,SQRT(PI()/2)*IF(Simulations!$Y51="",1000,Simulations!$Y51),1)),Simulations!$BX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V51="",200,Simulations!$V51)^2*IF(Simulations!$Y51="",1000,Simulations!$Y51)/2^1.5*(2/3*LN(Simulations!$CA51/IF(Simulations!$J51="",1000,Simulations!$J51))^1.5+SQRT(LN(Simulations!$CA51/IF(Simulations!$J51="",1000,Simulations!$J51)))+Simulations!$CA51/IF(Simulations!$J51="",1000,Simulations!$J51)*SQRT(PI())/2*ERFC(SQRT(LN(Simulations!$CA51/IF(Simulations!$J51="",1000,Simulations!$J51))))),PI()*IF(Simulations!$V51="",200,Simulations!$V51)^2/2*(LN(Simulations!$CA51/IF(Simulations!$J51="",1000,Simulations!$J51))+1))))</f>
        <v>0</v>
      </c>
      <c r="Q51" s="0" t="n">
        <f aca="false">IF(NOT(AND(Simulations!$A51&lt;&gt;"",OR(Simulations!$BV51&lt;&gt;"",N(Simulations!$BX51)&gt;0))),0,MAX(N(Simulations!$BY51),N(Simulations!$BZ51),N(Simulations!$CA51))/IF(Simulations!$J51="",1000,Simulations!$J51))</f>
        <v>0</v>
      </c>
      <c r="R51" s="0" t="n">
        <f aca="false">IF(OR(NOT(AND(Simulations!$A51&lt;&gt;"",OR(Simulations!$BV51&lt;&gt;"",N(Simulations!$BX51)&gt;0))),N(Simulations!$BW51)&lt;=0),0,SQRT(2*Simulations!$BW51*1000000/(IF(Simulations!$J51="",1000,Simulations!$J51)*1000))/MIN(IF(Simulations!$T51="",200,Simulations!$T51),IF(Simulations!$U51="",200,Simulations!$U51),IF(Simulations!$V51="",200,Simulations!$V51)))</f>
        <v>0</v>
      </c>
      <c r="S51" s="0" t="n">
        <f aca="false">IF(AND(Simulations!$A51&lt;&gt;"",OR(Simulations!$BV51&lt;&gt;"",N(Simulations!$BX51)&gt;0)),1,0)</f>
        <v>0</v>
      </c>
      <c r="T51" s="0" t="n">
        <f aca="false">IF(OR(NOT(AND(Simulations!$A51&lt;&gt;"",OR(Simulations!$CN51&lt;&gt;"",N(Simulations!$CP51)&gt;0))),N(Simulations!$CQ51)&lt;=0,N(Simulations!$CP51)&lt;=0,1&gt;N(IF(Simulations!$O51="",1,Simulations!$O51))),0,IF(Simulations!$CQ51&lt;IF(Simulations!$J51="",1000,Simulations!$J51),Simulations!$CP51/(IF(Simulations!$G51="",5000,Simulations!$G51)*IF(Simulations!$H51="",5000,Simulations!$H51)*IF(IF(Simulations!$I51="",5000,Simulations!$I51)&gt;0,IF(Simulations!$I51="",5000,Simulations!$I51),1))*Simulations!$CQ51*(PI()/2*IF(Simulations!$T51="",200,Simulations!$T51)^2*IF(IF(Simulations!$I51="",5000,Simulations!$I51)&gt;0,SQRT(PI()/2)*IF(Simulations!$W51="",1000,Simulations!$W51),1)),Simulations!$CP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T51="",200,Simulations!$T51)^2*IF(Simulations!$W51="",1000,Simulations!$W51)/2^1.5*(2/3*LN(Simulations!$CQ51/IF(Simulations!$J51="",1000,Simulations!$J51))^1.5+SQRT(LN(Simulations!$CQ51/IF(Simulations!$J51="",1000,Simulations!$J51)))+Simulations!$CQ51/IF(Simulations!$J51="",1000,Simulations!$J51)*SQRT(PI())/2*ERFC(SQRT(LN(Simulations!$CQ51/IF(Simulations!$J51="",1000,Simulations!$J51))))),PI()*IF(Simulations!$T51="",200,Simulations!$T51)^2/2*(LN(Simulations!$CQ51/IF(Simulations!$J51="",1000,Simulations!$J51))+1))))</f>
        <v>0</v>
      </c>
      <c r="U51" s="0" t="n">
        <f aca="false">IF(OR(NOT(AND(Simulations!$A51&lt;&gt;"",OR(Simulations!$CN51&lt;&gt;"",N(Simulations!$CP51)&gt;0))),N(Simulations!$CR51)&lt;=0,N(Simulations!$CP51)&lt;=0,2&gt;N(IF(Simulations!$O51="",1,Simulations!$O51))),0,IF(Simulations!$CR51&lt;IF(Simulations!$J51="",1000,Simulations!$J51),Simulations!$CP51/(IF(Simulations!$G51="",5000,Simulations!$G51)*IF(Simulations!$H51="",5000,Simulations!$H51)*IF(IF(Simulations!$I51="",5000,Simulations!$I51)&gt;0,IF(Simulations!$I51="",5000,Simulations!$I51),1))*Simulations!$CR51*(PI()/2*IF(Simulations!$U51="",200,Simulations!$U51)^2*IF(IF(Simulations!$I51="",5000,Simulations!$I51)&gt;0,SQRT(PI()/2)*IF(Simulations!$X51="",1000,Simulations!$X51),1)),Simulations!$CP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U51="",200,Simulations!$U51)^2*IF(Simulations!$X51="",1000,Simulations!$X51)/2^1.5*(2/3*LN(Simulations!$CR51/IF(Simulations!$J51="",1000,Simulations!$J51))^1.5+SQRT(LN(Simulations!$CR51/IF(Simulations!$J51="",1000,Simulations!$J51)))+Simulations!$CR51/IF(Simulations!$J51="",1000,Simulations!$J51)*SQRT(PI())/2*ERFC(SQRT(LN(Simulations!$CR51/IF(Simulations!$J51="",1000,Simulations!$J51))))),PI()*IF(Simulations!$U51="",200,Simulations!$U51)^2/2*(LN(Simulations!$CR51/IF(Simulations!$J51="",1000,Simulations!$J51))+1))))</f>
        <v>0</v>
      </c>
      <c r="V51" s="0" t="n">
        <f aca="false">IF(OR(NOT(AND(Simulations!$A51&lt;&gt;"",OR(Simulations!$CN51&lt;&gt;"",N(Simulations!$CP51)&gt;0))),N(Simulations!$CS51)&lt;=0,N(Simulations!$CP51)&lt;=0,3&gt;N(IF(Simulations!$O51="",1,Simulations!$O51))),0,IF(Simulations!$CS51&lt;IF(Simulations!$J51="",1000,Simulations!$J51),Simulations!$CP51/(IF(Simulations!$G51="",5000,Simulations!$G51)*IF(Simulations!$H51="",5000,Simulations!$H51)*IF(IF(Simulations!$I51="",5000,Simulations!$I51)&gt;0,IF(Simulations!$I51="",5000,Simulations!$I51),1))*Simulations!$CS51*(PI()/2*IF(Simulations!$V51="",200,Simulations!$V51)^2*IF(IF(Simulations!$I51="",5000,Simulations!$I51)&gt;0,SQRT(PI()/2)*IF(Simulations!$Y51="",1000,Simulations!$Y51),1)),Simulations!$CP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V51="",200,Simulations!$V51)^2*IF(Simulations!$Y51="",1000,Simulations!$Y51)/2^1.5*(2/3*LN(Simulations!$CS51/IF(Simulations!$J51="",1000,Simulations!$J51))^1.5+SQRT(LN(Simulations!$CS51/IF(Simulations!$J51="",1000,Simulations!$J51)))+Simulations!$CS51/IF(Simulations!$J51="",1000,Simulations!$J51)*SQRT(PI())/2*ERFC(SQRT(LN(Simulations!$CS51/IF(Simulations!$J51="",1000,Simulations!$J51))))),PI()*IF(Simulations!$V51="",200,Simulations!$V51)^2/2*(LN(Simulations!$CS51/IF(Simulations!$J51="",1000,Simulations!$J51))+1))))</f>
        <v>0</v>
      </c>
      <c r="W51" s="0" t="n">
        <f aca="false">IF(NOT(AND(Simulations!$A51&lt;&gt;"",OR(Simulations!$CN51&lt;&gt;"",N(Simulations!$CP51)&gt;0))),0,MAX(N(Simulations!$CQ51),N(Simulations!$CR51),N(Simulations!$CS51))/IF(Simulations!$J51="",1000,Simulations!$J51))</f>
        <v>0</v>
      </c>
      <c r="X51" s="0" t="n">
        <f aca="false">IF(OR(NOT(AND(Simulations!$A51&lt;&gt;"",OR(Simulations!$CN51&lt;&gt;"",N(Simulations!$CP51)&gt;0))),N(Simulations!$CO51)&lt;=0),0,SQRT(2*Simulations!$CO51*1000000/(IF(Simulations!$J51="",1000,Simulations!$J51)*1000))/MIN(IF(Simulations!$T51="",200,Simulations!$T51),IF(Simulations!$U51="",200,Simulations!$U51),IF(Simulations!$V51="",200,Simulations!$V51)))</f>
        <v>0</v>
      </c>
      <c r="Y51" s="0" t="n">
        <f aca="false">IF(AND(Simulations!$A51&lt;&gt;"",OR(Simulations!$CN51&lt;&gt;"",N(Simulations!$CP51)&gt;0)),1,0)</f>
        <v>0</v>
      </c>
      <c r="Z51" s="0" t="n">
        <f aca="false">IF(OR(NOT(AND(Simulations!$A51&lt;&gt;"",OR(Simulations!$DF51&lt;&gt;"",N(Simulations!$DH51)&gt;0))),N(Simulations!$DI51)&lt;=0,N(Simulations!$DH51)&lt;=0,1&gt;N(IF(Simulations!$O51="",1,Simulations!$O51))),0,IF(Simulations!$DI51&lt;IF(Simulations!$J51="",1000,Simulations!$J51),Simulations!$DH51/(IF(Simulations!$G51="",5000,Simulations!$G51)*IF(Simulations!$H51="",5000,Simulations!$H51)*IF(IF(Simulations!$I51="",5000,Simulations!$I51)&gt;0,IF(Simulations!$I51="",5000,Simulations!$I51),1))*Simulations!$DI51*(PI()/2*IF(Simulations!$T51="",200,Simulations!$T51)^2*IF(IF(Simulations!$I51="",5000,Simulations!$I51)&gt;0,SQRT(PI()/2)*IF(Simulations!$W51="",1000,Simulations!$W51),1)),Simulations!$DH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T51="",200,Simulations!$T51)^2*IF(Simulations!$W51="",1000,Simulations!$W51)/2^1.5*(2/3*LN(Simulations!$DI51/IF(Simulations!$J51="",1000,Simulations!$J51))^1.5+SQRT(LN(Simulations!$DI51/IF(Simulations!$J51="",1000,Simulations!$J51)))+Simulations!$DI51/IF(Simulations!$J51="",1000,Simulations!$J51)*SQRT(PI())/2*ERFC(SQRT(LN(Simulations!$DI51/IF(Simulations!$J51="",1000,Simulations!$J51))))),PI()*IF(Simulations!$T51="",200,Simulations!$T51)^2/2*(LN(Simulations!$DI51/IF(Simulations!$J51="",1000,Simulations!$J51))+1))))</f>
        <v>0</v>
      </c>
      <c r="AA51" s="0" t="n">
        <f aca="false">IF(OR(NOT(AND(Simulations!$A51&lt;&gt;"",OR(Simulations!$DF51&lt;&gt;"",N(Simulations!$DH51)&gt;0))),N(Simulations!$DJ51)&lt;=0,N(Simulations!$DH51)&lt;=0,2&gt;N(IF(Simulations!$O51="",1,Simulations!$O51))),0,IF(Simulations!$DJ51&lt;IF(Simulations!$J51="",1000,Simulations!$J51),Simulations!$DH51/(IF(Simulations!$G51="",5000,Simulations!$G51)*IF(Simulations!$H51="",5000,Simulations!$H51)*IF(IF(Simulations!$I51="",5000,Simulations!$I51)&gt;0,IF(Simulations!$I51="",5000,Simulations!$I51),1))*Simulations!$DJ51*(PI()/2*IF(Simulations!$U51="",200,Simulations!$U51)^2*IF(IF(Simulations!$I51="",5000,Simulations!$I51)&gt;0,SQRT(PI()/2)*IF(Simulations!$X51="",1000,Simulations!$X51),1)),Simulations!$DH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U51="",200,Simulations!$U51)^2*IF(Simulations!$X51="",1000,Simulations!$X51)/2^1.5*(2/3*LN(Simulations!$DJ51/IF(Simulations!$J51="",1000,Simulations!$J51))^1.5+SQRT(LN(Simulations!$DJ51/IF(Simulations!$J51="",1000,Simulations!$J51)))+Simulations!$DJ51/IF(Simulations!$J51="",1000,Simulations!$J51)*SQRT(PI())/2*ERFC(SQRT(LN(Simulations!$DJ51/IF(Simulations!$J51="",1000,Simulations!$J51))))),PI()*IF(Simulations!$U51="",200,Simulations!$U51)^2/2*(LN(Simulations!$DJ51/IF(Simulations!$J51="",1000,Simulations!$J51))+1))))</f>
        <v>0</v>
      </c>
      <c r="AB51" s="0" t="n">
        <f aca="false">IF(OR(NOT(AND(Simulations!$A51&lt;&gt;"",OR(Simulations!$DF51&lt;&gt;"",N(Simulations!$DH51)&gt;0))),N(Simulations!$DK51)&lt;=0,N(Simulations!$DH51)&lt;=0,3&gt;N(IF(Simulations!$O51="",1,Simulations!$O51))),0,IF(Simulations!$DK51&lt;IF(Simulations!$J51="",1000,Simulations!$J51),Simulations!$DH51/(IF(Simulations!$G51="",5000,Simulations!$G51)*IF(Simulations!$H51="",5000,Simulations!$H51)*IF(IF(Simulations!$I51="",5000,Simulations!$I51)&gt;0,IF(Simulations!$I51="",5000,Simulations!$I51),1))*Simulations!$DK51*(PI()/2*IF(Simulations!$V51="",200,Simulations!$V51)^2*IF(IF(Simulations!$I51="",5000,Simulations!$I51)&gt;0,SQRT(PI()/2)*IF(Simulations!$Y51="",1000,Simulations!$Y51),1)),Simulations!$DH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V51="",200,Simulations!$V51)^2*IF(Simulations!$Y51="",1000,Simulations!$Y51)/2^1.5*(2/3*LN(Simulations!$DK51/IF(Simulations!$J51="",1000,Simulations!$J51))^1.5+SQRT(LN(Simulations!$DK51/IF(Simulations!$J51="",1000,Simulations!$J51)))+Simulations!$DK51/IF(Simulations!$J51="",1000,Simulations!$J51)*SQRT(PI())/2*ERFC(SQRT(LN(Simulations!$DK51/IF(Simulations!$J51="",1000,Simulations!$J51))))),PI()*IF(Simulations!$V51="",200,Simulations!$V51)^2/2*(LN(Simulations!$DK51/IF(Simulations!$J51="",1000,Simulations!$J51))+1))))</f>
        <v>0</v>
      </c>
      <c r="AC51" s="0" t="n">
        <f aca="false">IF(NOT(AND(Simulations!$A51&lt;&gt;"",OR(Simulations!$DF51&lt;&gt;"",N(Simulations!$DH51)&gt;0))),0,MAX(N(Simulations!$DI51),N(Simulations!$DJ51),N(Simulations!$DK51))/IF(Simulations!$J51="",1000,Simulations!$J51))</f>
        <v>0</v>
      </c>
      <c r="AD51" s="0" t="n">
        <f aca="false">IF(OR(NOT(AND(Simulations!$A51&lt;&gt;"",OR(Simulations!$DF51&lt;&gt;"",N(Simulations!$DH51)&gt;0))),N(Simulations!$DG51)&lt;=0),0,SQRT(2*Simulations!$DG51*1000000/(IF(Simulations!$J51="",1000,Simulations!$J51)*1000))/MIN(IF(Simulations!$T51="",200,Simulations!$T51),IF(Simulations!$U51="",200,Simulations!$U51),IF(Simulations!$V51="",200,Simulations!$V51)))</f>
        <v>0</v>
      </c>
      <c r="AE51" s="0" t="n">
        <f aca="false">IF(AND(Simulations!$A51&lt;&gt;"",OR(Simulations!$DF51&lt;&gt;"",N(Simulations!$DH51)&gt;0)),1,0)</f>
        <v>0</v>
      </c>
      <c r="AF51" s="0" t="n">
        <f aca="false">IF(OR(NOT(AND(Simulations!$A51&lt;&gt;"",OR(Simulations!$DX51&lt;&gt;"",N(Simulations!$DZ51)&gt;0))),N(Simulations!$EA51)&lt;=0,N(Simulations!$DZ51)&lt;=0,1&gt;N(IF(Simulations!$O51="",1,Simulations!$O51))),0,IF(Simulations!$EA51&lt;IF(Simulations!$J51="",1000,Simulations!$J51),Simulations!$DZ51/(IF(Simulations!$G51="",5000,Simulations!$G51)*IF(Simulations!$H51="",5000,Simulations!$H51)*IF(IF(Simulations!$I51="",5000,Simulations!$I51)&gt;0,IF(Simulations!$I51="",5000,Simulations!$I51),1))*Simulations!$EA51*(PI()/2*IF(Simulations!$T51="",200,Simulations!$T51)^2*IF(IF(Simulations!$I51="",5000,Simulations!$I51)&gt;0,SQRT(PI()/2)*IF(Simulations!$W51="",1000,Simulations!$W51),1)),Simulations!$DZ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T51="",200,Simulations!$T51)^2*IF(Simulations!$W51="",1000,Simulations!$W51)/2^1.5*(2/3*LN(Simulations!$EA51/IF(Simulations!$J51="",1000,Simulations!$J51))^1.5+SQRT(LN(Simulations!$EA51/IF(Simulations!$J51="",1000,Simulations!$J51)))+Simulations!$EA51/IF(Simulations!$J51="",1000,Simulations!$J51)*SQRT(PI())/2*ERFC(SQRT(LN(Simulations!$EA51/IF(Simulations!$J51="",1000,Simulations!$J51))))),PI()*IF(Simulations!$T51="",200,Simulations!$T51)^2/2*(LN(Simulations!$EA51/IF(Simulations!$J51="",1000,Simulations!$J51))+1))))</f>
        <v>0</v>
      </c>
      <c r="AG51" s="0" t="n">
        <f aca="false">IF(OR(NOT(AND(Simulations!$A51&lt;&gt;"",OR(Simulations!$DX51&lt;&gt;"",N(Simulations!$DZ51)&gt;0))),N(Simulations!$EB51)&lt;=0,N(Simulations!$DZ51)&lt;=0,2&gt;N(IF(Simulations!$O51="",1,Simulations!$O51))),0,IF(Simulations!$EB51&lt;IF(Simulations!$J51="",1000,Simulations!$J51),Simulations!$DZ51/(IF(Simulations!$G51="",5000,Simulations!$G51)*IF(Simulations!$H51="",5000,Simulations!$H51)*IF(IF(Simulations!$I51="",5000,Simulations!$I51)&gt;0,IF(Simulations!$I51="",5000,Simulations!$I51),1))*Simulations!$EB51*(PI()/2*IF(Simulations!$U51="",200,Simulations!$U51)^2*IF(IF(Simulations!$I51="",5000,Simulations!$I51)&gt;0,SQRT(PI()/2)*IF(Simulations!$X51="",1000,Simulations!$X51),1)),Simulations!$DZ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U51="",200,Simulations!$U51)^2*IF(Simulations!$X51="",1000,Simulations!$X51)/2^1.5*(2/3*LN(Simulations!$EB51/IF(Simulations!$J51="",1000,Simulations!$J51))^1.5+SQRT(LN(Simulations!$EB51/IF(Simulations!$J51="",1000,Simulations!$J51)))+Simulations!$EB51/IF(Simulations!$J51="",1000,Simulations!$J51)*SQRT(PI())/2*ERFC(SQRT(LN(Simulations!$EB51/IF(Simulations!$J51="",1000,Simulations!$J51))))),PI()*IF(Simulations!$U51="",200,Simulations!$U51)^2/2*(LN(Simulations!$EB51/IF(Simulations!$J51="",1000,Simulations!$J51))+1))))</f>
        <v>0</v>
      </c>
      <c r="AH51" s="0" t="n">
        <f aca="false">IF(OR(NOT(AND(Simulations!$A51&lt;&gt;"",OR(Simulations!$DX51&lt;&gt;"",N(Simulations!$DZ51)&gt;0))),N(Simulations!$EC51)&lt;=0,N(Simulations!$DZ51)&lt;=0,3&gt;N(IF(Simulations!$O51="",1,Simulations!$O51))),0,IF(Simulations!$EC51&lt;IF(Simulations!$J51="",1000,Simulations!$J51),Simulations!$DZ51/(IF(Simulations!$G51="",5000,Simulations!$G51)*IF(Simulations!$H51="",5000,Simulations!$H51)*IF(IF(Simulations!$I51="",5000,Simulations!$I51)&gt;0,IF(Simulations!$I51="",5000,Simulations!$I51),1))*Simulations!$EC51*(PI()/2*IF(Simulations!$V51="",200,Simulations!$V51)^2*IF(IF(Simulations!$I51="",5000,Simulations!$I51)&gt;0,SQRT(PI()/2)*IF(Simulations!$Y51="",1000,Simulations!$Y51),1)),Simulations!$DZ51/(IF(Simulations!$G51="",5000,Simulations!$G51)*IF(Simulations!$H51="",5000,Simulations!$H51)*IF(IF(Simulations!$I51="",5000,Simulations!$I51)&gt;0,IF(Simulations!$I51="",5000,Simulations!$I51),1))*IF(Simulations!$J51="",1000,Simulations!$J51)*IF(IF(Simulations!$I51="",5000,Simulations!$I51)&gt;0,2*PI()*IF(Simulations!$V51="",200,Simulations!$V51)^2*IF(Simulations!$Y51="",1000,Simulations!$Y51)/2^1.5*(2/3*LN(Simulations!$EC51/IF(Simulations!$J51="",1000,Simulations!$J51))^1.5+SQRT(LN(Simulations!$EC51/IF(Simulations!$J51="",1000,Simulations!$J51)))+Simulations!$EC51/IF(Simulations!$J51="",1000,Simulations!$J51)*SQRT(PI())/2*ERFC(SQRT(LN(Simulations!$EC51/IF(Simulations!$J51="",1000,Simulations!$J51))))),PI()*IF(Simulations!$V51="",200,Simulations!$V51)^2/2*(LN(Simulations!$EC51/IF(Simulations!$J51="",1000,Simulations!$J51))+1))))</f>
        <v>0</v>
      </c>
      <c r="AI51" s="0" t="n">
        <f aca="false">IF(NOT(AND(Simulations!$A51&lt;&gt;"",OR(Simulations!$DX51&lt;&gt;"",N(Simulations!$DZ51)&gt;0))),0,MAX(N(Simulations!$EA51),N(Simulations!$EB51),N(Simulations!$EC51))/IF(Simulations!$J51="",1000,Simulations!$J51))</f>
        <v>0</v>
      </c>
      <c r="AJ51" s="0" t="n">
        <f aca="false">IF(OR(NOT(AND(Simulations!$A51&lt;&gt;"",OR(Simulations!$DX51&lt;&gt;"",N(Simulations!$DZ51)&gt;0))),N(Simulations!$DY51)&lt;=0),0,SQRT(2*Simulations!$DY51*1000000/(IF(Simulations!$J51="",1000,Simulations!$J51)*1000))/MIN(IF(Simulations!$T51="",200,Simulations!$T51),IF(Simulations!$U51="",200,Simulations!$U51),IF(Simulations!$V51="",200,Simulations!$V51)))</f>
        <v>0</v>
      </c>
      <c r="AK51" s="0" t="n">
        <f aca="false">IF(AND(Simulations!$A51&lt;&gt;"",OR(Simulations!$DX51&lt;&gt;"",N(Simulations!$DZ51)&gt;0)),1,0)</f>
        <v>0</v>
      </c>
    </row>
    <row r="52" customFormat="false" ht="15" hidden="false" customHeight="false" outlineLevel="0" collapsed="false">
      <c r="B52" s="0" t="n">
        <f aca="false">IF(OR(NOT(AND(Simulations!$A52&lt;&gt;"",OR(Simulations!$AL52&lt;&gt;"",N(Simulations!$AN52)&gt;0))),N(Simulations!$AO52)&lt;=0,N(Simulations!$AN52)&lt;=0,1&gt;N(IF(Simulations!$O52="",1,Simulations!$O52))),0,IF(Simulations!$AO52&lt;IF(Simulations!$J52="",1000,Simulations!$J52),Simulations!$AN52/(IF(Simulations!$G52="",5000,Simulations!$G52)*IF(Simulations!$H52="",5000,Simulations!$H52)*IF(IF(Simulations!$I52="",5000,Simulations!$I52)&gt;0,IF(Simulations!$I52="",5000,Simulations!$I52),1))*Simulations!$AO52*(PI()/2*IF(Simulations!$T52="",200,Simulations!$T52)^2*IF(IF(Simulations!$I52="",5000,Simulations!$I52)&gt;0,SQRT(PI()/2)*IF(Simulations!$W52="",1000,Simulations!$W52),1)),Simulations!$AN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T52="",200,Simulations!$T52)^2*IF(Simulations!$W52="",1000,Simulations!$W52)/2^1.5*(2/3*LN(Simulations!$AO52/IF(Simulations!$J52="",1000,Simulations!$J52))^1.5+SQRT(LN(Simulations!$AO52/IF(Simulations!$J52="",1000,Simulations!$J52)))+Simulations!$AO52/IF(Simulations!$J52="",1000,Simulations!$J52)*SQRT(PI())/2*ERFC(SQRT(LN(Simulations!$AO52/IF(Simulations!$J52="",1000,Simulations!$J52))))),PI()*IF(Simulations!$T52="",200,Simulations!$T52)^2/2*(LN(Simulations!$AO52/IF(Simulations!$J52="",1000,Simulations!$J52))+1))))</f>
        <v>0</v>
      </c>
      <c r="C52" s="0" t="n">
        <f aca="false">IF(OR(NOT(AND(Simulations!$A52&lt;&gt;"",OR(Simulations!$AL52&lt;&gt;"",N(Simulations!$AN52)&gt;0))),N(Simulations!$AP52)&lt;=0,N(Simulations!$AN52)&lt;=0,2&gt;N(IF(Simulations!$O52="",1,Simulations!$O52))),0,IF(Simulations!$AP52&lt;IF(Simulations!$J52="",1000,Simulations!$J52),Simulations!$AN52/(IF(Simulations!$G52="",5000,Simulations!$G52)*IF(Simulations!$H52="",5000,Simulations!$H52)*IF(IF(Simulations!$I52="",5000,Simulations!$I52)&gt;0,IF(Simulations!$I52="",5000,Simulations!$I52),1))*Simulations!$AP52*(PI()/2*IF(Simulations!$U52="",200,Simulations!$U52)^2*IF(IF(Simulations!$I52="",5000,Simulations!$I52)&gt;0,SQRT(PI()/2)*IF(Simulations!$X52="",1000,Simulations!$X52),1)),Simulations!$AN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U52="",200,Simulations!$U52)^2*IF(Simulations!$X52="",1000,Simulations!$X52)/2^1.5*(2/3*LN(Simulations!$AP52/IF(Simulations!$J52="",1000,Simulations!$J52))^1.5+SQRT(LN(Simulations!$AP52/IF(Simulations!$J52="",1000,Simulations!$J52)))+Simulations!$AP52/IF(Simulations!$J52="",1000,Simulations!$J52)*SQRT(PI())/2*ERFC(SQRT(LN(Simulations!$AP52/IF(Simulations!$J52="",1000,Simulations!$J52))))),PI()*IF(Simulations!$U52="",200,Simulations!$U52)^2/2*(LN(Simulations!$AP52/IF(Simulations!$J52="",1000,Simulations!$J52))+1))))</f>
        <v>0</v>
      </c>
      <c r="D52" s="0" t="n">
        <f aca="false">IF(OR(NOT(AND(Simulations!$A52&lt;&gt;"",OR(Simulations!$AL52&lt;&gt;"",N(Simulations!$AN52)&gt;0))),N(Simulations!$AQ52)&lt;=0,N(Simulations!$AN52)&lt;=0,3&gt;N(IF(Simulations!$O52="",1,Simulations!$O52))),0,IF(Simulations!$AQ52&lt;IF(Simulations!$J52="",1000,Simulations!$J52),Simulations!$AN52/(IF(Simulations!$G52="",5000,Simulations!$G52)*IF(Simulations!$H52="",5000,Simulations!$H52)*IF(IF(Simulations!$I52="",5000,Simulations!$I52)&gt;0,IF(Simulations!$I52="",5000,Simulations!$I52),1))*Simulations!$AQ52*(PI()/2*IF(Simulations!$V52="",200,Simulations!$V52)^2*IF(IF(Simulations!$I52="",5000,Simulations!$I52)&gt;0,SQRT(PI()/2)*IF(Simulations!$Y52="",1000,Simulations!$Y52),1)),Simulations!$AN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V52="",200,Simulations!$V52)^2*IF(Simulations!$Y52="",1000,Simulations!$Y52)/2^1.5*(2/3*LN(Simulations!$AQ52/IF(Simulations!$J52="",1000,Simulations!$J52))^1.5+SQRT(LN(Simulations!$AQ52/IF(Simulations!$J52="",1000,Simulations!$J52)))+Simulations!$AQ52/IF(Simulations!$J52="",1000,Simulations!$J52)*SQRT(PI())/2*ERFC(SQRT(LN(Simulations!$AQ52/IF(Simulations!$J52="",1000,Simulations!$J52))))),PI()*IF(Simulations!$V52="",200,Simulations!$V52)^2/2*(LN(Simulations!$AQ52/IF(Simulations!$J52="",1000,Simulations!$J52))+1))))</f>
        <v>0</v>
      </c>
      <c r="E52" s="0" t="n">
        <f aca="false">IF(NOT(AND(Simulations!$A52&lt;&gt;"",OR(Simulations!$AL52&lt;&gt;"",N(Simulations!$AN52)&gt;0))),0,MAX(N(Simulations!$AO52),N(Simulations!$AP52),N(Simulations!$AQ52))/IF(Simulations!$J52="",1000,Simulations!$J52))</f>
        <v>0</v>
      </c>
      <c r="F52" s="0" t="n">
        <f aca="false">IF(OR(NOT(AND(Simulations!$A52&lt;&gt;"",OR(Simulations!$AL52&lt;&gt;"",N(Simulations!$AN52)&gt;0))),N(Simulations!$AM52)&lt;=0),0,SQRT(2*Simulations!$AM52*1000000/(IF(Simulations!$J52="",1000,Simulations!$J52)*1000))/MIN(IF(Simulations!$T52="",200,Simulations!$T52),IF(Simulations!$U52="",200,Simulations!$U52),IF(Simulations!$V52="",200,Simulations!$V52)))</f>
        <v>0</v>
      </c>
      <c r="G52" s="0" t="n">
        <f aca="false">IF(AND(Simulations!$A52&lt;&gt;"",OR(Simulations!$AL52&lt;&gt;"",N(Simulations!$AN52)&gt;0)),1,0)</f>
        <v>0</v>
      </c>
      <c r="H52" s="0" t="n">
        <f aca="false">IF(OR(NOT(AND(Simulations!$A52&lt;&gt;"",OR(Simulations!$BD52&lt;&gt;"",N(Simulations!$BF52)&gt;0))),N(Simulations!$BG52)&lt;=0,N(Simulations!$BF52)&lt;=0,1&gt;N(IF(Simulations!$O52="",1,Simulations!$O52))),0,IF(Simulations!$BG52&lt;IF(Simulations!$J52="",1000,Simulations!$J52),Simulations!$BF52/(IF(Simulations!$G52="",5000,Simulations!$G52)*IF(Simulations!$H52="",5000,Simulations!$H52)*IF(IF(Simulations!$I52="",5000,Simulations!$I52)&gt;0,IF(Simulations!$I52="",5000,Simulations!$I52),1))*Simulations!$BG52*(PI()/2*IF(Simulations!$T52="",200,Simulations!$T52)^2*IF(IF(Simulations!$I52="",5000,Simulations!$I52)&gt;0,SQRT(PI()/2)*IF(Simulations!$W52="",1000,Simulations!$W52),1)),Simulations!$BF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T52="",200,Simulations!$T52)^2*IF(Simulations!$W52="",1000,Simulations!$W52)/2^1.5*(2/3*LN(Simulations!$BG52/IF(Simulations!$J52="",1000,Simulations!$J52))^1.5+SQRT(LN(Simulations!$BG52/IF(Simulations!$J52="",1000,Simulations!$J52)))+Simulations!$BG52/IF(Simulations!$J52="",1000,Simulations!$J52)*SQRT(PI())/2*ERFC(SQRT(LN(Simulations!$BG52/IF(Simulations!$J52="",1000,Simulations!$J52))))),PI()*IF(Simulations!$T52="",200,Simulations!$T52)^2/2*(LN(Simulations!$BG52/IF(Simulations!$J52="",1000,Simulations!$J52))+1))))</f>
        <v>0</v>
      </c>
      <c r="I52" s="0" t="n">
        <f aca="false">IF(OR(NOT(AND(Simulations!$A52&lt;&gt;"",OR(Simulations!$BD52&lt;&gt;"",N(Simulations!$BF52)&gt;0))),N(Simulations!$BH52)&lt;=0,N(Simulations!$BF52)&lt;=0,2&gt;N(IF(Simulations!$O52="",1,Simulations!$O52))),0,IF(Simulations!$BH52&lt;IF(Simulations!$J52="",1000,Simulations!$J52),Simulations!$BF52/(IF(Simulations!$G52="",5000,Simulations!$G52)*IF(Simulations!$H52="",5000,Simulations!$H52)*IF(IF(Simulations!$I52="",5000,Simulations!$I52)&gt;0,IF(Simulations!$I52="",5000,Simulations!$I52),1))*Simulations!$BH52*(PI()/2*IF(Simulations!$U52="",200,Simulations!$U52)^2*IF(IF(Simulations!$I52="",5000,Simulations!$I52)&gt;0,SQRT(PI()/2)*IF(Simulations!$X52="",1000,Simulations!$X52),1)),Simulations!$BF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U52="",200,Simulations!$U52)^2*IF(Simulations!$X52="",1000,Simulations!$X52)/2^1.5*(2/3*LN(Simulations!$BH52/IF(Simulations!$J52="",1000,Simulations!$J52))^1.5+SQRT(LN(Simulations!$BH52/IF(Simulations!$J52="",1000,Simulations!$J52)))+Simulations!$BH52/IF(Simulations!$J52="",1000,Simulations!$J52)*SQRT(PI())/2*ERFC(SQRT(LN(Simulations!$BH52/IF(Simulations!$J52="",1000,Simulations!$J52))))),PI()*IF(Simulations!$U52="",200,Simulations!$U52)^2/2*(LN(Simulations!$BH52/IF(Simulations!$J52="",1000,Simulations!$J52))+1))))</f>
        <v>0</v>
      </c>
      <c r="J52" s="0" t="n">
        <f aca="false">IF(OR(NOT(AND(Simulations!$A52&lt;&gt;"",OR(Simulations!$BD52&lt;&gt;"",N(Simulations!$BF52)&gt;0))),N(Simulations!$BI52)&lt;=0,N(Simulations!$BF52)&lt;=0,3&gt;N(IF(Simulations!$O52="",1,Simulations!$O52))),0,IF(Simulations!$BI52&lt;IF(Simulations!$J52="",1000,Simulations!$J52),Simulations!$BF52/(IF(Simulations!$G52="",5000,Simulations!$G52)*IF(Simulations!$H52="",5000,Simulations!$H52)*IF(IF(Simulations!$I52="",5000,Simulations!$I52)&gt;0,IF(Simulations!$I52="",5000,Simulations!$I52),1))*Simulations!$BI52*(PI()/2*IF(Simulations!$V52="",200,Simulations!$V52)^2*IF(IF(Simulations!$I52="",5000,Simulations!$I52)&gt;0,SQRT(PI()/2)*IF(Simulations!$Y52="",1000,Simulations!$Y52),1)),Simulations!$BF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V52="",200,Simulations!$V52)^2*IF(Simulations!$Y52="",1000,Simulations!$Y52)/2^1.5*(2/3*LN(Simulations!$BI52/IF(Simulations!$J52="",1000,Simulations!$J52))^1.5+SQRT(LN(Simulations!$BI52/IF(Simulations!$J52="",1000,Simulations!$J52)))+Simulations!$BI52/IF(Simulations!$J52="",1000,Simulations!$J52)*SQRT(PI())/2*ERFC(SQRT(LN(Simulations!$BI52/IF(Simulations!$J52="",1000,Simulations!$J52))))),PI()*IF(Simulations!$V52="",200,Simulations!$V52)^2/2*(LN(Simulations!$BI52/IF(Simulations!$J52="",1000,Simulations!$J52))+1))))</f>
        <v>0</v>
      </c>
      <c r="K52" s="0" t="n">
        <f aca="false">IF(NOT(AND(Simulations!$A52&lt;&gt;"",OR(Simulations!$BD52&lt;&gt;"",N(Simulations!$BF52)&gt;0))),0,MAX(N(Simulations!$BG52),N(Simulations!$BH52),N(Simulations!$BI52))/IF(Simulations!$J52="",1000,Simulations!$J52))</f>
        <v>0</v>
      </c>
      <c r="L52" s="0" t="n">
        <f aca="false">IF(OR(NOT(AND(Simulations!$A52&lt;&gt;"",OR(Simulations!$BD52&lt;&gt;"",N(Simulations!$BF52)&gt;0))),N(Simulations!$BE52)&lt;=0),0,SQRT(2*Simulations!$BE52*1000000/(IF(Simulations!$J52="",1000,Simulations!$J52)*1000))/MIN(IF(Simulations!$T52="",200,Simulations!$T52),IF(Simulations!$U52="",200,Simulations!$U52),IF(Simulations!$V52="",200,Simulations!$V52)))</f>
        <v>0</v>
      </c>
      <c r="M52" s="0" t="n">
        <f aca="false">IF(AND(Simulations!$A52&lt;&gt;"",OR(Simulations!$BD52&lt;&gt;"",N(Simulations!$BF52)&gt;0)),1,0)</f>
        <v>0</v>
      </c>
      <c r="N52" s="0" t="n">
        <f aca="false">IF(OR(NOT(AND(Simulations!$A52&lt;&gt;"",OR(Simulations!$BV52&lt;&gt;"",N(Simulations!$BX52)&gt;0))),N(Simulations!$BY52)&lt;=0,N(Simulations!$BX52)&lt;=0,1&gt;N(IF(Simulations!$O52="",1,Simulations!$O52))),0,IF(Simulations!$BY52&lt;IF(Simulations!$J52="",1000,Simulations!$J52),Simulations!$BX52/(IF(Simulations!$G52="",5000,Simulations!$G52)*IF(Simulations!$H52="",5000,Simulations!$H52)*IF(IF(Simulations!$I52="",5000,Simulations!$I52)&gt;0,IF(Simulations!$I52="",5000,Simulations!$I52),1))*Simulations!$BY52*(PI()/2*IF(Simulations!$T52="",200,Simulations!$T52)^2*IF(IF(Simulations!$I52="",5000,Simulations!$I52)&gt;0,SQRT(PI()/2)*IF(Simulations!$W52="",1000,Simulations!$W52),1)),Simulations!$BX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T52="",200,Simulations!$T52)^2*IF(Simulations!$W52="",1000,Simulations!$W52)/2^1.5*(2/3*LN(Simulations!$BY52/IF(Simulations!$J52="",1000,Simulations!$J52))^1.5+SQRT(LN(Simulations!$BY52/IF(Simulations!$J52="",1000,Simulations!$J52)))+Simulations!$BY52/IF(Simulations!$J52="",1000,Simulations!$J52)*SQRT(PI())/2*ERFC(SQRT(LN(Simulations!$BY52/IF(Simulations!$J52="",1000,Simulations!$J52))))),PI()*IF(Simulations!$T52="",200,Simulations!$T52)^2/2*(LN(Simulations!$BY52/IF(Simulations!$J52="",1000,Simulations!$J52))+1))))</f>
        <v>0</v>
      </c>
      <c r="O52" s="0" t="n">
        <f aca="false">IF(OR(NOT(AND(Simulations!$A52&lt;&gt;"",OR(Simulations!$BV52&lt;&gt;"",N(Simulations!$BX52)&gt;0))),N(Simulations!$BZ52)&lt;=0,N(Simulations!$BX52)&lt;=0,2&gt;N(IF(Simulations!$O52="",1,Simulations!$O52))),0,IF(Simulations!$BZ52&lt;IF(Simulations!$J52="",1000,Simulations!$J52),Simulations!$BX52/(IF(Simulations!$G52="",5000,Simulations!$G52)*IF(Simulations!$H52="",5000,Simulations!$H52)*IF(IF(Simulations!$I52="",5000,Simulations!$I52)&gt;0,IF(Simulations!$I52="",5000,Simulations!$I52),1))*Simulations!$BZ52*(PI()/2*IF(Simulations!$U52="",200,Simulations!$U52)^2*IF(IF(Simulations!$I52="",5000,Simulations!$I52)&gt;0,SQRT(PI()/2)*IF(Simulations!$X52="",1000,Simulations!$X52),1)),Simulations!$BX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U52="",200,Simulations!$U52)^2*IF(Simulations!$X52="",1000,Simulations!$X52)/2^1.5*(2/3*LN(Simulations!$BZ52/IF(Simulations!$J52="",1000,Simulations!$J52))^1.5+SQRT(LN(Simulations!$BZ52/IF(Simulations!$J52="",1000,Simulations!$J52)))+Simulations!$BZ52/IF(Simulations!$J52="",1000,Simulations!$J52)*SQRT(PI())/2*ERFC(SQRT(LN(Simulations!$BZ52/IF(Simulations!$J52="",1000,Simulations!$J52))))),PI()*IF(Simulations!$U52="",200,Simulations!$U52)^2/2*(LN(Simulations!$BZ52/IF(Simulations!$J52="",1000,Simulations!$J52))+1))))</f>
        <v>0</v>
      </c>
      <c r="P52" s="0" t="n">
        <f aca="false">IF(OR(NOT(AND(Simulations!$A52&lt;&gt;"",OR(Simulations!$BV52&lt;&gt;"",N(Simulations!$BX52)&gt;0))),N(Simulations!$CA52)&lt;=0,N(Simulations!$BX52)&lt;=0,3&gt;N(IF(Simulations!$O52="",1,Simulations!$O52))),0,IF(Simulations!$CA52&lt;IF(Simulations!$J52="",1000,Simulations!$J52),Simulations!$BX52/(IF(Simulations!$G52="",5000,Simulations!$G52)*IF(Simulations!$H52="",5000,Simulations!$H52)*IF(IF(Simulations!$I52="",5000,Simulations!$I52)&gt;0,IF(Simulations!$I52="",5000,Simulations!$I52),1))*Simulations!$CA52*(PI()/2*IF(Simulations!$V52="",200,Simulations!$V52)^2*IF(IF(Simulations!$I52="",5000,Simulations!$I52)&gt;0,SQRT(PI()/2)*IF(Simulations!$Y52="",1000,Simulations!$Y52),1)),Simulations!$BX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V52="",200,Simulations!$V52)^2*IF(Simulations!$Y52="",1000,Simulations!$Y52)/2^1.5*(2/3*LN(Simulations!$CA52/IF(Simulations!$J52="",1000,Simulations!$J52))^1.5+SQRT(LN(Simulations!$CA52/IF(Simulations!$J52="",1000,Simulations!$J52)))+Simulations!$CA52/IF(Simulations!$J52="",1000,Simulations!$J52)*SQRT(PI())/2*ERFC(SQRT(LN(Simulations!$CA52/IF(Simulations!$J52="",1000,Simulations!$J52))))),PI()*IF(Simulations!$V52="",200,Simulations!$V52)^2/2*(LN(Simulations!$CA52/IF(Simulations!$J52="",1000,Simulations!$J52))+1))))</f>
        <v>0</v>
      </c>
      <c r="Q52" s="0" t="n">
        <f aca="false">IF(NOT(AND(Simulations!$A52&lt;&gt;"",OR(Simulations!$BV52&lt;&gt;"",N(Simulations!$BX52)&gt;0))),0,MAX(N(Simulations!$BY52),N(Simulations!$BZ52),N(Simulations!$CA52))/IF(Simulations!$J52="",1000,Simulations!$J52))</f>
        <v>0</v>
      </c>
      <c r="R52" s="0" t="n">
        <f aca="false">IF(OR(NOT(AND(Simulations!$A52&lt;&gt;"",OR(Simulations!$BV52&lt;&gt;"",N(Simulations!$BX52)&gt;0))),N(Simulations!$BW52)&lt;=0),0,SQRT(2*Simulations!$BW52*1000000/(IF(Simulations!$J52="",1000,Simulations!$J52)*1000))/MIN(IF(Simulations!$T52="",200,Simulations!$T52),IF(Simulations!$U52="",200,Simulations!$U52),IF(Simulations!$V52="",200,Simulations!$V52)))</f>
        <v>0</v>
      </c>
      <c r="S52" s="0" t="n">
        <f aca="false">IF(AND(Simulations!$A52&lt;&gt;"",OR(Simulations!$BV52&lt;&gt;"",N(Simulations!$BX52)&gt;0)),1,0)</f>
        <v>0</v>
      </c>
      <c r="T52" s="0" t="n">
        <f aca="false">IF(OR(NOT(AND(Simulations!$A52&lt;&gt;"",OR(Simulations!$CN52&lt;&gt;"",N(Simulations!$CP52)&gt;0))),N(Simulations!$CQ52)&lt;=0,N(Simulations!$CP52)&lt;=0,1&gt;N(IF(Simulations!$O52="",1,Simulations!$O52))),0,IF(Simulations!$CQ52&lt;IF(Simulations!$J52="",1000,Simulations!$J52),Simulations!$CP52/(IF(Simulations!$G52="",5000,Simulations!$G52)*IF(Simulations!$H52="",5000,Simulations!$H52)*IF(IF(Simulations!$I52="",5000,Simulations!$I52)&gt;0,IF(Simulations!$I52="",5000,Simulations!$I52),1))*Simulations!$CQ52*(PI()/2*IF(Simulations!$T52="",200,Simulations!$T52)^2*IF(IF(Simulations!$I52="",5000,Simulations!$I52)&gt;0,SQRT(PI()/2)*IF(Simulations!$W52="",1000,Simulations!$W52),1)),Simulations!$CP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T52="",200,Simulations!$T52)^2*IF(Simulations!$W52="",1000,Simulations!$W52)/2^1.5*(2/3*LN(Simulations!$CQ52/IF(Simulations!$J52="",1000,Simulations!$J52))^1.5+SQRT(LN(Simulations!$CQ52/IF(Simulations!$J52="",1000,Simulations!$J52)))+Simulations!$CQ52/IF(Simulations!$J52="",1000,Simulations!$J52)*SQRT(PI())/2*ERFC(SQRT(LN(Simulations!$CQ52/IF(Simulations!$J52="",1000,Simulations!$J52))))),PI()*IF(Simulations!$T52="",200,Simulations!$T52)^2/2*(LN(Simulations!$CQ52/IF(Simulations!$J52="",1000,Simulations!$J52))+1))))</f>
        <v>0</v>
      </c>
      <c r="U52" s="0" t="n">
        <f aca="false">IF(OR(NOT(AND(Simulations!$A52&lt;&gt;"",OR(Simulations!$CN52&lt;&gt;"",N(Simulations!$CP52)&gt;0))),N(Simulations!$CR52)&lt;=0,N(Simulations!$CP52)&lt;=0,2&gt;N(IF(Simulations!$O52="",1,Simulations!$O52))),0,IF(Simulations!$CR52&lt;IF(Simulations!$J52="",1000,Simulations!$J52),Simulations!$CP52/(IF(Simulations!$G52="",5000,Simulations!$G52)*IF(Simulations!$H52="",5000,Simulations!$H52)*IF(IF(Simulations!$I52="",5000,Simulations!$I52)&gt;0,IF(Simulations!$I52="",5000,Simulations!$I52),1))*Simulations!$CR52*(PI()/2*IF(Simulations!$U52="",200,Simulations!$U52)^2*IF(IF(Simulations!$I52="",5000,Simulations!$I52)&gt;0,SQRT(PI()/2)*IF(Simulations!$X52="",1000,Simulations!$X52),1)),Simulations!$CP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U52="",200,Simulations!$U52)^2*IF(Simulations!$X52="",1000,Simulations!$X52)/2^1.5*(2/3*LN(Simulations!$CR52/IF(Simulations!$J52="",1000,Simulations!$J52))^1.5+SQRT(LN(Simulations!$CR52/IF(Simulations!$J52="",1000,Simulations!$J52)))+Simulations!$CR52/IF(Simulations!$J52="",1000,Simulations!$J52)*SQRT(PI())/2*ERFC(SQRT(LN(Simulations!$CR52/IF(Simulations!$J52="",1000,Simulations!$J52))))),PI()*IF(Simulations!$U52="",200,Simulations!$U52)^2/2*(LN(Simulations!$CR52/IF(Simulations!$J52="",1000,Simulations!$J52))+1))))</f>
        <v>0</v>
      </c>
      <c r="V52" s="0" t="n">
        <f aca="false">IF(OR(NOT(AND(Simulations!$A52&lt;&gt;"",OR(Simulations!$CN52&lt;&gt;"",N(Simulations!$CP52)&gt;0))),N(Simulations!$CS52)&lt;=0,N(Simulations!$CP52)&lt;=0,3&gt;N(IF(Simulations!$O52="",1,Simulations!$O52))),0,IF(Simulations!$CS52&lt;IF(Simulations!$J52="",1000,Simulations!$J52),Simulations!$CP52/(IF(Simulations!$G52="",5000,Simulations!$G52)*IF(Simulations!$H52="",5000,Simulations!$H52)*IF(IF(Simulations!$I52="",5000,Simulations!$I52)&gt;0,IF(Simulations!$I52="",5000,Simulations!$I52),1))*Simulations!$CS52*(PI()/2*IF(Simulations!$V52="",200,Simulations!$V52)^2*IF(IF(Simulations!$I52="",5000,Simulations!$I52)&gt;0,SQRT(PI()/2)*IF(Simulations!$Y52="",1000,Simulations!$Y52),1)),Simulations!$CP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V52="",200,Simulations!$V52)^2*IF(Simulations!$Y52="",1000,Simulations!$Y52)/2^1.5*(2/3*LN(Simulations!$CS52/IF(Simulations!$J52="",1000,Simulations!$J52))^1.5+SQRT(LN(Simulations!$CS52/IF(Simulations!$J52="",1000,Simulations!$J52)))+Simulations!$CS52/IF(Simulations!$J52="",1000,Simulations!$J52)*SQRT(PI())/2*ERFC(SQRT(LN(Simulations!$CS52/IF(Simulations!$J52="",1000,Simulations!$J52))))),PI()*IF(Simulations!$V52="",200,Simulations!$V52)^2/2*(LN(Simulations!$CS52/IF(Simulations!$J52="",1000,Simulations!$J52))+1))))</f>
        <v>0</v>
      </c>
      <c r="W52" s="0" t="n">
        <f aca="false">IF(NOT(AND(Simulations!$A52&lt;&gt;"",OR(Simulations!$CN52&lt;&gt;"",N(Simulations!$CP52)&gt;0))),0,MAX(N(Simulations!$CQ52),N(Simulations!$CR52),N(Simulations!$CS52))/IF(Simulations!$J52="",1000,Simulations!$J52))</f>
        <v>0</v>
      </c>
      <c r="X52" s="0" t="n">
        <f aca="false">IF(OR(NOT(AND(Simulations!$A52&lt;&gt;"",OR(Simulations!$CN52&lt;&gt;"",N(Simulations!$CP52)&gt;0))),N(Simulations!$CO52)&lt;=0),0,SQRT(2*Simulations!$CO52*1000000/(IF(Simulations!$J52="",1000,Simulations!$J52)*1000))/MIN(IF(Simulations!$T52="",200,Simulations!$T52),IF(Simulations!$U52="",200,Simulations!$U52),IF(Simulations!$V52="",200,Simulations!$V52)))</f>
        <v>0</v>
      </c>
      <c r="Y52" s="0" t="n">
        <f aca="false">IF(AND(Simulations!$A52&lt;&gt;"",OR(Simulations!$CN52&lt;&gt;"",N(Simulations!$CP52)&gt;0)),1,0)</f>
        <v>0</v>
      </c>
      <c r="Z52" s="0" t="n">
        <f aca="false">IF(OR(NOT(AND(Simulations!$A52&lt;&gt;"",OR(Simulations!$DF52&lt;&gt;"",N(Simulations!$DH52)&gt;0))),N(Simulations!$DI52)&lt;=0,N(Simulations!$DH52)&lt;=0,1&gt;N(IF(Simulations!$O52="",1,Simulations!$O52))),0,IF(Simulations!$DI52&lt;IF(Simulations!$J52="",1000,Simulations!$J52),Simulations!$DH52/(IF(Simulations!$G52="",5000,Simulations!$G52)*IF(Simulations!$H52="",5000,Simulations!$H52)*IF(IF(Simulations!$I52="",5000,Simulations!$I52)&gt;0,IF(Simulations!$I52="",5000,Simulations!$I52),1))*Simulations!$DI52*(PI()/2*IF(Simulations!$T52="",200,Simulations!$T52)^2*IF(IF(Simulations!$I52="",5000,Simulations!$I52)&gt;0,SQRT(PI()/2)*IF(Simulations!$W52="",1000,Simulations!$W52),1)),Simulations!$DH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T52="",200,Simulations!$T52)^2*IF(Simulations!$W52="",1000,Simulations!$W52)/2^1.5*(2/3*LN(Simulations!$DI52/IF(Simulations!$J52="",1000,Simulations!$J52))^1.5+SQRT(LN(Simulations!$DI52/IF(Simulations!$J52="",1000,Simulations!$J52)))+Simulations!$DI52/IF(Simulations!$J52="",1000,Simulations!$J52)*SQRT(PI())/2*ERFC(SQRT(LN(Simulations!$DI52/IF(Simulations!$J52="",1000,Simulations!$J52))))),PI()*IF(Simulations!$T52="",200,Simulations!$T52)^2/2*(LN(Simulations!$DI52/IF(Simulations!$J52="",1000,Simulations!$J52))+1))))</f>
        <v>0</v>
      </c>
      <c r="AA52" s="0" t="n">
        <f aca="false">IF(OR(NOT(AND(Simulations!$A52&lt;&gt;"",OR(Simulations!$DF52&lt;&gt;"",N(Simulations!$DH52)&gt;0))),N(Simulations!$DJ52)&lt;=0,N(Simulations!$DH52)&lt;=0,2&gt;N(IF(Simulations!$O52="",1,Simulations!$O52))),0,IF(Simulations!$DJ52&lt;IF(Simulations!$J52="",1000,Simulations!$J52),Simulations!$DH52/(IF(Simulations!$G52="",5000,Simulations!$G52)*IF(Simulations!$H52="",5000,Simulations!$H52)*IF(IF(Simulations!$I52="",5000,Simulations!$I52)&gt;0,IF(Simulations!$I52="",5000,Simulations!$I52),1))*Simulations!$DJ52*(PI()/2*IF(Simulations!$U52="",200,Simulations!$U52)^2*IF(IF(Simulations!$I52="",5000,Simulations!$I52)&gt;0,SQRT(PI()/2)*IF(Simulations!$X52="",1000,Simulations!$X52),1)),Simulations!$DH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U52="",200,Simulations!$U52)^2*IF(Simulations!$X52="",1000,Simulations!$X52)/2^1.5*(2/3*LN(Simulations!$DJ52/IF(Simulations!$J52="",1000,Simulations!$J52))^1.5+SQRT(LN(Simulations!$DJ52/IF(Simulations!$J52="",1000,Simulations!$J52)))+Simulations!$DJ52/IF(Simulations!$J52="",1000,Simulations!$J52)*SQRT(PI())/2*ERFC(SQRT(LN(Simulations!$DJ52/IF(Simulations!$J52="",1000,Simulations!$J52))))),PI()*IF(Simulations!$U52="",200,Simulations!$U52)^2/2*(LN(Simulations!$DJ52/IF(Simulations!$J52="",1000,Simulations!$J52))+1))))</f>
        <v>0</v>
      </c>
      <c r="AB52" s="0" t="n">
        <f aca="false">IF(OR(NOT(AND(Simulations!$A52&lt;&gt;"",OR(Simulations!$DF52&lt;&gt;"",N(Simulations!$DH52)&gt;0))),N(Simulations!$DK52)&lt;=0,N(Simulations!$DH52)&lt;=0,3&gt;N(IF(Simulations!$O52="",1,Simulations!$O52))),0,IF(Simulations!$DK52&lt;IF(Simulations!$J52="",1000,Simulations!$J52),Simulations!$DH52/(IF(Simulations!$G52="",5000,Simulations!$G52)*IF(Simulations!$H52="",5000,Simulations!$H52)*IF(IF(Simulations!$I52="",5000,Simulations!$I52)&gt;0,IF(Simulations!$I52="",5000,Simulations!$I52),1))*Simulations!$DK52*(PI()/2*IF(Simulations!$V52="",200,Simulations!$V52)^2*IF(IF(Simulations!$I52="",5000,Simulations!$I52)&gt;0,SQRT(PI()/2)*IF(Simulations!$Y52="",1000,Simulations!$Y52),1)),Simulations!$DH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V52="",200,Simulations!$V52)^2*IF(Simulations!$Y52="",1000,Simulations!$Y52)/2^1.5*(2/3*LN(Simulations!$DK52/IF(Simulations!$J52="",1000,Simulations!$J52))^1.5+SQRT(LN(Simulations!$DK52/IF(Simulations!$J52="",1000,Simulations!$J52)))+Simulations!$DK52/IF(Simulations!$J52="",1000,Simulations!$J52)*SQRT(PI())/2*ERFC(SQRT(LN(Simulations!$DK52/IF(Simulations!$J52="",1000,Simulations!$J52))))),PI()*IF(Simulations!$V52="",200,Simulations!$V52)^2/2*(LN(Simulations!$DK52/IF(Simulations!$J52="",1000,Simulations!$J52))+1))))</f>
        <v>0</v>
      </c>
      <c r="AC52" s="0" t="n">
        <f aca="false">IF(NOT(AND(Simulations!$A52&lt;&gt;"",OR(Simulations!$DF52&lt;&gt;"",N(Simulations!$DH52)&gt;0))),0,MAX(N(Simulations!$DI52),N(Simulations!$DJ52),N(Simulations!$DK52))/IF(Simulations!$J52="",1000,Simulations!$J52))</f>
        <v>0</v>
      </c>
      <c r="AD52" s="0" t="n">
        <f aca="false">IF(OR(NOT(AND(Simulations!$A52&lt;&gt;"",OR(Simulations!$DF52&lt;&gt;"",N(Simulations!$DH52)&gt;0))),N(Simulations!$DG52)&lt;=0),0,SQRT(2*Simulations!$DG52*1000000/(IF(Simulations!$J52="",1000,Simulations!$J52)*1000))/MIN(IF(Simulations!$T52="",200,Simulations!$T52),IF(Simulations!$U52="",200,Simulations!$U52),IF(Simulations!$V52="",200,Simulations!$V52)))</f>
        <v>0</v>
      </c>
      <c r="AE52" s="0" t="n">
        <f aca="false">IF(AND(Simulations!$A52&lt;&gt;"",OR(Simulations!$DF52&lt;&gt;"",N(Simulations!$DH52)&gt;0)),1,0)</f>
        <v>0</v>
      </c>
      <c r="AF52" s="0" t="n">
        <f aca="false">IF(OR(NOT(AND(Simulations!$A52&lt;&gt;"",OR(Simulations!$DX52&lt;&gt;"",N(Simulations!$DZ52)&gt;0))),N(Simulations!$EA52)&lt;=0,N(Simulations!$DZ52)&lt;=0,1&gt;N(IF(Simulations!$O52="",1,Simulations!$O52))),0,IF(Simulations!$EA52&lt;IF(Simulations!$J52="",1000,Simulations!$J52),Simulations!$DZ52/(IF(Simulations!$G52="",5000,Simulations!$G52)*IF(Simulations!$H52="",5000,Simulations!$H52)*IF(IF(Simulations!$I52="",5000,Simulations!$I52)&gt;0,IF(Simulations!$I52="",5000,Simulations!$I52),1))*Simulations!$EA52*(PI()/2*IF(Simulations!$T52="",200,Simulations!$T52)^2*IF(IF(Simulations!$I52="",5000,Simulations!$I52)&gt;0,SQRT(PI()/2)*IF(Simulations!$W52="",1000,Simulations!$W52),1)),Simulations!$DZ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T52="",200,Simulations!$T52)^2*IF(Simulations!$W52="",1000,Simulations!$W52)/2^1.5*(2/3*LN(Simulations!$EA52/IF(Simulations!$J52="",1000,Simulations!$J52))^1.5+SQRT(LN(Simulations!$EA52/IF(Simulations!$J52="",1000,Simulations!$J52)))+Simulations!$EA52/IF(Simulations!$J52="",1000,Simulations!$J52)*SQRT(PI())/2*ERFC(SQRT(LN(Simulations!$EA52/IF(Simulations!$J52="",1000,Simulations!$J52))))),PI()*IF(Simulations!$T52="",200,Simulations!$T52)^2/2*(LN(Simulations!$EA52/IF(Simulations!$J52="",1000,Simulations!$J52))+1))))</f>
        <v>0</v>
      </c>
      <c r="AG52" s="0" t="n">
        <f aca="false">IF(OR(NOT(AND(Simulations!$A52&lt;&gt;"",OR(Simulations!$DX52&lt;&gt;"",N(Simulations!$DZ52)&gt;0))),N(Simulations!$EB52)&lt;=0,N(Simulations!$DZ52)&lt;=0,2&gt;N(IF(Simulations!$O52="",1,Simulations!$O52))),0,IF(Simulations!$EB52&lt;IF(Simulations!$J52="",1000,Simulations!$J52),Simulations!$DZ52/(IF(Simulations!$G52="",5000,Simulations!$G52)*IF(Simulations!$H52="",5000,Simulations!$H52)*IF(IF(Simulations!$I52="",5000,Simulations!$I52)&gt;0,IF(Simulations!$I52="",5000,Simulations!$I52),1))*Simulations!$EB52*(PI()/2*IF(Simulations!$U52="",200,Simulations!$U52)^2*IF(IF(Simulations!$I52="",5000,Simulations!$I52)&gt;0,SQRT(PI()/2)*IF(Simulations!$X52="",1000,Simulations!$X52),1)),Simulations!$DZ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U52="",200,Simulations!$U52)^2*IF(Simulations!$X52="",1000,Simulations!$X52)/2^1.5*(2/3*LN(Simulations!$EB52/IF(Simulations!$J52="",1000,Simulations!$J52))^1.5+SQRT(LN(Simulations!$EB52/IF(Simulations!$J52="",1000,Simulations!$J52)))+Simulations!$EB52/IF(Simulations!$J52="",1000,Simulations!$J52)*SQRT(PI())/2*ERFC(SQRT(LN(Simulations!$EB52/IF(Simulations!$J52="",1000,Simulations!$J52))))),PI()*IF(Simulations!$U52="",200,Simulations!$U52)^2/2*(LN(Simulations!$EB52/IF(Simulations!$J52="",1000,Simulations!$J52))+1))))</f>
        <v>0</v>
      </c>
      <c r="AH52" s="0" t="n">
        <f aca="false">IF(OR(NOT(AND(Simulations!$A52&lt;&gt;"",OR(Simulations!$DX52&lt;&gt;"",N(Simulations!$DZ52)&gt;0))),N(Simulations!$EC52)&lt;=0,N(Simulations!$DZ52)&lt;=0,3&gt;N(IF(Simulations!$O52="",1,Simulations!$O52))),0,IF(Simulations!$EC52&lt;IF(Simulations!$J52="",1000,Simulations!$J52),Simulations!$DZ52/(IF(Simulations!$G52="",5000,Simulations!$G52)*IF(Simulations!$H52="",5000,Simulations!$H52)*IF(IF(Simulations!$I52="",5000,Simulations!$I52)&gt;0,IF(Simulations!$I52="",5000,Simulations!$I52),1))*Simulations!$EC52*(PI()/2*IF(Simulations!$V52="",200,Simulations!$V52)^2*IF(IF(Simulations!$I52="",5000,Simulations!$I52)&gt;0,SQRT(PI()/2)*IF(Simulations!$Y52="",1000,Simulations!$Y52),1)),Simulations!$DZ52/(IF(Simulations!$G52="",5000,Simulations!$G52)*IF(Simulations!$H52="",5000,Simulations!$H52)*IF(IF(Simulations!$I52="",5000,Simulations!$I52)&gt;0,IF(Simulations!$I52="",5000,Simulations!$I52),1))*IF(Simulations!$J52="",1000,Simulations!$J52)*IF(IF(Simulations!$I52="",5000,Simulations!$I52)&gt;0,2*PI()*IF(Simulations!$V52="",200,Simulations!$V52)^2*IF(Simulations!$Y52="",1000,Simulations!$Y52)/2^1.5*(2/3*LN(Simulations!$EC52/IF(Simulations!$J52="",1000,Simulations!$J52))^1.5+SQRT(LN(Simulations!$EC52/IF(Simulations!$J52="",1000,Simulations!$J52)))+Simulations!$EC52/IF(Simulations!$J52="",1000,Simulations!$J52)*SQRT(PI())/2*ERFC(SQRT(LN(Simulations!$EC52/IF(Simulations!$J52="",1000,Simulations!$J52))))),PI()*IF(Simulations!$V52="",200,Simulations!$V52)^2/2*(LN(Simulations!$EC52/IF(Simulations!$J52="",1000,Simulations!$J52))+1))))</f>
        <v>0</v>
      </c>
      <c r="AI52" s="0" t="n">
        <f aca="false">IF(NOT(AND(Simulations!$A52&lt;&gt;"",OR(Simulations!$DX52&lt;&gt;"",N(Simulations!$DZ52)&gt;0))),0,MAX(N(Simulations!$EA52),N(Simulations!$EB52),N(Simulations!$EC52))/IF(Simulations!$J52="",1000,Simulations!$J52))</f>
        <v>0</v>
      </c>
      <c r="AJ52" s="0" t="n">
        <f aca="false">IF(OR(NOT(AND(Simulations!$A52&lt;&gt;"",OR(Simulations!$DX52&lt;&gt;"",N(Simulations!$DZ52)&gt;0))),N(Simulations!$DY52)&lt;=0),0,SQRT(2*Simulations!$DY52*1000000/(IF(Simulations!$J52="",1000,Simulations!$J52)*1000))/MIN(IF(Simulations!$T52="",200,Simulations!$T52),IF(Simulations!$U52="",200,Simulations!$U52),IF(Simulations!$V52="",200,Simulations!$V52)))</f>
        <v>0</v>
      </c>
      <c r="AK52" s="0" t="n">
        <f aca="false">IF(AND(Simulations!$A52&lt;&gt;"",OR(Simulations!$DX52&lt;&gt;"",N(Simulations!$DZ52)&gt;0)),1,0)</f>
        <v>0</v>
      </c>
    </row>
    <row r="53" customFormat="false" ht="15" hidden="false" customHeight="false" outlineLevel="0" collapsed="false">
      <c r="B53" s="0" t="n">
        <f aca="false">IF(OR(NOT(AND(Simulations!$A53&lt;&gt;"",OR(Simulations!$AL53&lt;&gt;"",N(Simulations!$AN53)&gt;0))),N(Simulations!$AO53)&lt;=0,N(Simulations!$AN53)&lt;=0,1&gt;N(IF(Simulations!$O53="",1,Simulations!$O53))),0,IF(Simulations!$AO53&lt;IF(Simulations!$J53="",1000,Simulations!$J53),Simulations!$AN53/(IF(Simulations!$G53="",5000,Simulations!$G53)*IF(Simulations!$H53="",5000,Simulations!$H53)*IF(IF(Simulations!$I53="",5000,Simulations!$I53)&gt;0,IF(Simulations!$I53="",5000,Simulations!$I53),1))*Simulations!$AO53*(PI()/2*IF(Simulations!$T53="",200,Simulations!$T53)^2*IF(IF(Simulations!$I53="",5000,Simulations!$I53)&gt;0,SQRT(PI()/2)*IF(Simulations!$W53="",1000,Simulations!$W53),1)),Simulations!$AN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T53="",200,Simulations!$T53)^2*IF(Simulations!$W53="",1000,Simulations!$W53)/2^1.5*(2/3*LN(Simulations!$AO53/IF(Simulations!$J53="",1000,Simulations!$J53))^1.5+SQRT(LN(Simulations!$AO53/IF(Simulations!$J53="",1000,Simulations!$J53)))+Simulations!$AO53/IF(Simulations!$J53="",1000,Simulations!$J53)*SQRT(PI())/2*ERFC(SQRT(LN(Simulations!$AO53/IF(Simulations!$J53="",1000,Simulations!$J53))))),PI()*IF(Simulations!$T53="",200,Simulations!$T53)^2/2*(LN(Simulations!$AO53/IF(Simulations!$J53="",1000,Simulations!$J53))+1))))</f>
        <v>0</v>
      </c>
      <c r="C53" s="0" t="n">
        <f aca="false">IF(OR(NOT(AND(Simulations!$A53&lt;&gt;"",OR(Simulations!$AL53&lt;&gt;"",N(Simulations!$AN53)&gt;0))),N(Simulations!$AP53)&lt;=0,N(Simulations!$AN53)&lt;=0,2&gt;N(IF(Simulations!$O53="",1,Simulations!$O53))),0,IF(Simulations!$AP53&lt;IF(Simulations!$J53="",1000,Simulations!$J53),Simulations!$AN53/(IF(Simulations!$G53="",5000,Simulations!$G53)*IF(Simulations!$H53="",5000,Simulations!$H53)*IF(IF(Simulations!$I53="",5000,Simulations!$I53)&gt;0,IF(Simulations!$I53="",5000,Simulations!$I53),1))*Simulations!$AP53*(PI()/2*IF(Simulations!$U53="",200,Simulations!$U53)^2*IF(IF(Simulations!$I53="",5000,Simulations!$I53)&gt;0,SQRT(PI()/2)*IF(Simulations!$X53="",1000,Simulations!$X53),1)),Simulations!$AN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U53="",200,Simulations!$U53)^2*IF(Simulations!$X53="",1000,Simulations!$X53)/2^1.5*(2/3*LN(Simulations!$AP53/IF(Simulations!$J53="",1000,Simulations!$J53))^1.5+SQRT(LN(Simulations!$AP53/IF(Simulations!$J53="",1000,Simulations!$J53)))+Simulations!$AP53/IF(Simulations!$J53="",1000,Simulations!$J53)*SQRT(PI())/2*ERFC(SQRT(LN(Simulations!$AP53/IF(Simulations!$J53="",1000,Simulations!$J53))))),PI()*IF(Simulations!$U53="",200,Simulations!$U53)^2/2*(LN(Simulations!$AP53/IF(Simulations!$J53="",1000,Simulations!$J53))+1))))</f>
        <v>0</v>
      </c>
      <c r="D53" s="0" t="n">
        <f aca="false">IF(OR(NOT(AND(Simulations!$A53&lt;&gt;"",OR(Simulations!$AL53&lt;&gt;"",N(Simulations!$AN53)&gt;0))),N(Simulations!$AQ53)&lt;=0,N(Simulations!$AN53)&lt;=0,3&gt;N(IF(Simulations!$O53="",1,Simulations!$O53))),0,IF(Simulations!$AQ53&lt;IF(Simulations!$J53="",1000,Simulations!$J53),Simulations!$AN53/(IF(Simulations!$G53="",5000,Simulations!$G53)*IF(Simulations!$H53="",5000,Simulations!$H53)*IF(IF(Simulations!$I53="",5000,Simulations!$I53)&gt;0,IF(Simulations!$I53="",5000,Simulations!$I53),1))*Simulations!$AQ53*(PI()/2*IF(Simulations!$V53="",200,Simulations!$V53)^2*IF(IF(Simulations!$I53="",5000,Simulations!$I53)&gt;0,SQRT(PI()/2)*IF(Simulations!$Y53="",1000,Simulations!$Y53),1)),Simulations!$AN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V53="",200,Simulations!$V53)^2*IF(Simulations!$Y53="",1000,Simulations!$Y53)/2^1.5*(2/3*LN(Simulations!$AQ53/IF(Simulations!$J53="",1000,Simulations!$J53))^1.5+SQRT(LN(Simulations!$AQ53/IF(Simulations!$J53="",1000,Simulations!$J53)))+Simulations!$AQ53/IF(Simulations!$J53="",1000,Simulations!$J53)*SQRT(PI())/2*ERFC(SQRT(LN(Simulations!$AQ53/IF(Simulations!$J53="",1000,Simulations!$J53))))),PI()*IF(Simulations!$V53="",200,Simulations!$V53)^2/2*(LN(Simulations!$AQ53/IF(Simulations!$J53="",1000,Simulations!$J53))+1))))</f>
        <v>0</v>
      </c>
      <c r="E53" s="0" t="n">
        <f aca="false">IF(NOT(AND(Simulations!$A53&lt;&gt;"",OR(Simulations!$AL53&lt;&gt;"",N(Simulations!$AN53)&gt;0))),0,MAX(N(Simulations!$AO53),N(Simulations!$AP53),N(Simulations!$AQ53))/IF(Simulations!$J53="",1000,Simulations!$J53))</f>
        <v>0</v>
      </c>
      <c r="F53" s="0" t="n">
        <f aca="false">IF(OR(NOT(AND(Simulations!$A53&lt;&gt;"",OR(Simulations!$AL53&lt;&gt;"",N(Simulations!$AN53)&gt;0))),N(Simulations!$AM53)&lt;=0),0,SQRT(2*Simulations!$AM53*1000000/(IF(Simulations!$J53="",1000,Simulations!$J53)*1000))/MIN(IF(Simulations!$T53="",200,Simulations!$T53),IF(Simulations!$U53="",200,Simulations!$U53),IF(Simulations!$V53="",200,Simulations!$V53)))</f>
        <v>0</v>
      </c>
      <c r="G53" s="0" t="n">
        <f aca="false">IF(AND(Simulations!$A53&lt;&gt;"",OR(Simulations!$AL53&lt;&gt;"",N(Simulations!$AN53)&gt;0)),1,0)</f>
        <v>0</v>
      </c>
      <c r="H53" s="0" t="n">
        <f aca="false">IF(OR(NOT(AND(Simulations!$A53&lt;&gt;"",OR(Simulations!$BD53&lt;&gt;"",N(Simulations!$BF53)&gt;0))),N(Simulations!$BG53)&lt;=0,N(Simulations!$BF53)&lt;=0,1&gt;N(IF(Simulations!$O53="",1,Simulations!$O53))),0,IF(Simulations!$BG53&lt;IF(Simulations!$J53="",1000,Simulations!$J53),Simulations!$BF53/(IF(Simulations!$G53="",5000,Simulations!$G53)*IF(Simulations!$H53="",5000,Simulations!$H53)*IF(IF(Simulations!$I53="",5000,Simulations!$I53)&gt;0,IF(Simulations!$I53="",5000,Simulations!$I53),1))*Simulations!$BG53*(PI()/2*IF(Simulations!$T53="",200,Simulations!$T53)^2*IF(IF(Simulations!$I53="",5000,Simulations!$I53)&gt;0,SQRT(PI()/2)*IF(Simulations!$W53="",1000,Simulations!$W53),1)),Simulations!$BF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T53="",200,Simulations!$T53)^2*IF(Simulations!$W53="",1000,Simulations!$W53)/2^1.5*(2/3*LN(Simulations!$BG53/IF(Simulations!$J53="",1000,Simulations!$J53))^1.5+SQRT(LN(Simulations!$BG53/IF(Simulations!$J53="",1000,Simulations!$J53)))+Simulations!$BG53/IF(Simulations!$J53="",1000,Simulations!$J53)*SQRT(PI())/2*ERFC(SQRT(LN(Simulations!$BG53/IF(Simulations!$J53="",1000,Simulations!$J53))))),PI()*IF(Simulations!$T53="",200,Simulations!$T53)^2/2*(LN(Simulations!$BG53/IF(Simulations!$J53="",1000,Simulations!$J53))+1))))</f>
        <v>0</v>
      </c>
      <c r="I53" s="0" t="n">
        <f aca="false">IF(OR(NOT(AND(Simulations!$A53&lt;&gt;"",OR(Simulations!$BD53&lt;&gt;"",N(Simulations!$BF53)&gt;0))),N(Simulations!$BH53)&lt;=0,N(Simulations!$BF53)&lt;=0,2&gt;N(IF(Simulations!$O53="",1,Simulations!$O53))),0,IF(Simulations!$BH53&lt;IF(Simulations!$J53="",1000,Simulations!$J53),Simulations!$BF53/(IF(Simulations!$G53="",5000,Simulations!$G53)*IF(Simulations!$H53="",5000,Simulations!$H53)*IF(IF(Simulations!$I53="",5000,Simulations!$I53)&gt;0,IF(Simulations!$I53="",5000,Simulations!$I53),1))*Simulations!$BH53*(PI()/2*IF(Simulations!$U53="",200,Simulations!$U53)^2*IF(IF(Simulations!$I53="",5000,Simulations!$I53)&gt;0,SQRT(PI()/2)*IF(Simulations!$X53="",1000,Simulations!$X53),1)),Simulations!$BF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U53="",200,Simulations!$U53)^2*IF(Simulations!$X53="",1000,Simulations!$X53)/2^1.5*(2/3*LN(Simulations!$BH53/IF(Simulations!$J53="",1000,Simulations!$J53))^1.5+SQRT(LN(Simulations!$BH53/IF(Simulations!$J53="",1000,Simulations!$J53)))+Simulations!$BH53/IF(Simulations!$J53="",1000,Simulations!$J53)*SQRT(PI())/2*ERFC(SQRT(LN(Simulations!$BH53/IF(Simulations!$J53="",1000,Simulations!$J53))))),PI()*IF(Simulations!$U53="",200,Simulations!$U53)^2/2*(LN(Simulations!$BH53/IF(Simulations!$J53="",1000,Simulations!$J53))+1))))</f>
        <v>0</v>
      </c>
      <c r="J53" s="0" t="n">
        <f aca="false">IF(OR(NOT(AND(Simulations!$A53&lt;&gt;"",OR(Simulations!$BD53&lt;&gt;"",N(Simulations!$BF53)&gt;0))),N(Simulations!$BI53)&lt;=0,N(Simulations!$BF53)&lt;=0,3&gt;N(IF(Simulations!$O53="",1,Simulations!$O53))),0,IF(Simulations!$BI53&lt;IF(Simulations!$J53="",1000,Simulations!$J53),Simulations!$BF53/(IF(Simulations!$G53="",5000,Simulations!$G53)*IF(Simulations!$H53="",5000,Simulations!$H53)*IF(IF(Simulations!$I53="",5000,Simulations!$I53)&gt;0,IF(Simulations!$I53="",5000,Simulations!$I53),1))*Simulations!$BI53*(PI()/2*IF(Simulations!$V53="",200,Simulations!$V53)^2*IF(IF(Simulations!$I53="",5000,Simulations!$I53)&gt;0,SQRT(PI()/2)*IF(Simulations!$Y53="",1000,Simulations!$Y53),1)),Simulations!$BF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V53="",200,Simulations!$V53)^2*IF(Simulations!$Y53="",1000,Simulations!$Y53)/2^1.5*(2/3*LN(Simulations!$BI53/IF(Simulations!$J53="",1000,Simulations!$J53))^1.5+SQRT(LN(Simulations!$BI53/IF(Simulations!$J53="",1000,Simulations!$J53)))+Simulations!$BI53/IF(Simulations!$J53="",1000,Simulations!$J53)*SQRT(PI())/2*ERFC(SQRT(LN(Simulations!$BI53/IF(Simulations!$J53="",1000,Simulations!$J53))))),PI()*IF(Simulations!$V53="",200,Simulations!$V53)^2/2*(LN(Simulations!$BI53/IF(Simulations!$J53="",1000,Simulations!$J53))+1))))</f>
        <v>0</v>
      </c>
      <c r="K53" s="0" t="n">
        <f aca="false">IF(NOT(AND(Simulations!$A53&lt;&gt;"",OR(Simulations!$BD53&lt;&gt;"",N(Simulations!$BF53)&gt;0))),0,MAX(N(Simulations!$BG53),N(Simulations!$BH53),N(Simulations!$BI53))/IF(Simulations!$J53="",1000,Simulations!$J53))</f>
        <v>0</v>
      </c>
      <c r="L53" s="0" t="n">
        <f aca="false">IF(OR(NOT(AND(Simulations!$A53&lt;&gt;"",OR(Simulations!$BD53&lt;&gt;"",N(Simulations!$BF53)&gt;0))),N(Simulations!$BE53)&lt;=0),0,SQRT(2*Simulations!$BE53*1000000/(IF(Simulations!$J53="",1000,Simulations!$J53)*1000))/MIN(IF(Simulations!$T53="",200,Simulations!$T53),IF(Simulations!$U53="",200,Simulations!$U53),IF(Simulations!$V53="",200,Simulations!$V53)))</f>
        <v>0</v>
      </c>
      <c r="M53" s="0" t="n">
        <f aca="false">IF(AND(Simulations!$A53&lt;&gt;"",OR(Simulations!$BD53&lt;&gt;"",N(Simulations!$BF53)&gt;0)),1,0)</f>
        <v>0</v>
      </c>
      <c r="N53" s="0" t="n">
        <f aca="false">IF(OR(NOT(AND(Simulations!$A53&lt;&gt;"",OR(Simulations!$BV53&lt;&gt;"",N(Simulations!$BX53)&gt;0))),N(Simulations!$BY53)&lt;=0,N(Simulations!$BX53)&lt;=0,1&gt;N(IF(Simulations!$O53="",1,Simulations!$O53))),0,IF(Simulations!$BY53&lt;IF(Simulations!$J53="",1000,Simulations!$J53),Simulations!$BX53/(IF(Simulations!$G53="",5000,Simulations!$G53)*IF(Simulations!$H53="",5000,Simulations!$H53)*IF(IF(Simulations!$I53="",5000,Simulations!$I53)&gt;0,IF(Simulations!$I53="",5000,Simulations!$I53),1))*Simulations!$BY53*(PI()/2*IF(Simulations!$T53="",200,Simulations!$T53)^2*IF(IF(Simulations!$I53="",5000,Simulations!$I53)&gt;0,SQRT(PI()/2)*IF(Simulations!$W53="",1000,Simulations!$W53),1)),Simulations!$BX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T53="",200,Simulations!$T53)^2*IF(Simulations!$W53="",1000,Simulations!$W53)/2^1.5*(2/3*LN(Simulations!$BY53/IF(Simulations!$J53="",1000,Simulations!$J53))^1.5+SQRT(LN(Simulations!$BY53/IF(Simulations!$J53="",1000,Simulations!$J53)))+Simulations!$BY53/IF(Simulations!$J53="",1000,Simulations!$J53)*SQRT(PI())/2*ERFC(SQRT(LN(Simulations!$BY53/IF(Simulations!$J53="",1000,Simulations!$J53))))),PI()*IF(Simulations!$T53="",200,Simulations!$T53)^2/2*(LN(Simulations!$BY53/IF(Simulations!$J53="",1000,Simulations!$J53))+1))))</f>
        <v>0</v>
      </c>
      <c r="O53" s="0" t="n">
        <f aca="false">IF(OR(NOT(AND(Simulations!$A53&lt;&gt;"",OR(Simulations!$BV53&lt;&gt;"",N(Simulations!$BX53)&gt;0))),N(Simulations!$BZ53)&lt;=0,N(Simulations!$BX53)&lt;=0,2&gt;N(IF(Simulations!$O53="",1,Simulations!$O53))),0,IF(Simulations!$BZ53&lt;IF(Simulations!$J53="",1000,Simulations!$J53),Simulations!$BX53/(IF(Simulations!$G53="",5000,Simulations!$G53)*IF(Simulations!$H53="",5000,Simulations!$H53)*IF(IF(Simulations!$I53="",5000,Simulations!$I53)&gt;0,IF(Simulations!$I53="",5000,Simulations!$I53),1))*Simulations!$BZ53*(PI()/2*IF(Simulations!$U53="",200,Simulations!$U53)^2*IF(IF(Simulations!$I53="",5000,Simulations!$I53)&gt;0,SQRT(PI()/2)*IF(Simulations!$X53="",1000,Simulations!$X53),1)),Simulations!$BX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U53="",200,Simulations!$U53)^2*IF(Simulations!$X53="",1000,Simulations!$X53)/2^1.5*(2/3*LN(Simulations!$BZ53/IF(Simulations!$J53="",1000,Simulations!$J53))^1.5+SQRT(LN(Simulations!$BZ53/IF(Simulations!$J53="",1000,Simulations!$J53)))+Simulations!$BZ53/IF(Simulations!$J53="",1000,Simulations!$J53)*SQRT(PI())/2*ERFC(SQRT(LN(Simulations!$BZ53/IF(Simulations!$J53="",1000,Simulations!$J53))))),PI()*IF(Simulations!$U53="",200,Simulations!$U53)^2/2*(LN(Simulations!$BZ53/IF(Simulations!$J53="",1000,Simulations!$J53))+1))))</f>
        <v>0</v>
      </c>
      <c r="P53" s="0" t="n">
        <f aca="false">IF(OR(NOT(AND(Simulations!$A53&lt;&gt;"",OR(Simulations!$BV53&lt;&gt;"",N(Simulations!$BX53)&gt;0))),N(Simulations!$CA53)&lt;=0,N(Simulations!$BX53)&lt;=0,3&gt;N(IF(Simulations!$O53="",1,Simulations!$O53))),0,IF(Simulations!$CA53&lt;IF(Simulations!$J53="",1000,Simulations!$J53),Simulations!$BX53/(IF(Simulations!$G53="",5000,Simulations!$G53)*IF(Simulations!$H53="",5000,Simulations!$H53)*IF(IF(Simulations!$I53="",5000,Simulations!$I53)&gt;0,IF(Simulations!$I53="",5000,Simulations!$I53),1))*Simulations!$CA53*(PI()/2*IF(Simulations!$V53="",200,Simulations!$V53)^2*IF(IF(Simulations!$I53="",5000,Simulations!$I53)&gt;0,SQRT(PI()/2)*IF(Simulations!$Y53="",1000,Simulations!$Y53),1)),Simulations!$BX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V53="",200,Simulations!$V53)^2*IF(Simulations!$Y53="",1000,Simulations!$Y53)/2^1.5*(2/3*LN(Simulations!$CA53/IF(Simulations!$J53="",1000,Simulations!$J53))^1.5+SQRT(LN(Simulations!$CA53/IF(Simulations!$J53="",1000,Simulations!$J53)))+Simulations!$CA53/IF(Simulations!$J53="",1000,Simulations!$J53)*SQRT(PI())/2*ERFC(SQRT(LN(Simulations!$CA53/IF(Simulations!$J53="",1000,Simulations!$J53))))),PI()*IF(Simulations!$V53="",200,Simulations!$V53)^2/2*(LN(Simulations!$CA53/IF(Simulations!$J53="",1000,Simulations!$J53))+1))))</f>
        <v>0</v>
      </c>
      <c r="Q53" s="0" t="n">
        <f aca="false">IF(NOT(AND(Simulations!$A53&lt;&gt;"",OR(Simulations!$BV53&lt;&gt;"",N(Simulations!$BX53)&gt;0))),0,MAX(N(Simulations!$BY53),N(Simulations!$BZ53),N(Simulations!$CA53))/IF(Simulations!$J53="",1000,Simulations!$J53))</f>
        <v>0</v>
      </c>
      <c r="R53" s="0" t="n">
        <f aca="false">IF(OR(NOT(AND(Simulations!$A53&lt;&gt;"",OR(Simulations!$BV53&lt;&gt;"",N(Simulations!$BX53)&gt;0))),N(Simulations!$BW53)&lt;=0),0,SQRT(2*Simulations!$BW53*1000000/(IF(Simulations!$J53="",1000,Simulations!$J53)*1000))/MIN(IF(Simulations!$T53="",200,Simulations!$T53),IF(Simulations!$U53="",200,Simulations!$U53),IF(Simulations!$V53="",200,Simulations!$V53)))</f>
        <v>0</v>
      </c>
      <c r="S53" s="0" t="n">
        <f aca="false">IF(AND(Simulations!$A53&lt;&gt;"",OR(Simulations!$BV53&lt;&gt;"",N(Simulations!$BX53)&gt;0)),1,0)</f>
        <v>0</v>
      </c>
      <c r="T53" s="0" t="n">
        <f aca="false">IF(OR(NOT(AND(Simulations!$A53&lt;&gt;"",OR(Simulations!$CN53&lt;&gt;"",N(Simulations!$CP53)&gt;0))),N(Simulations!$CQ53)&lt;=0,N(Simulations!$CP53)&lt;=0,1&gt;N(IF(Simulations!$O53="",1,Simulations!$O53))),0,IF(Simulations!$CQ53&lt;IF(Simulations!$J53="",1000,Simulations!$J53),Simulations!$CP53/(IF(Simulations!$G53="",5000,Simulations!$G53)*IF(Simulations!$H53="",5000,Simulations!$H53)*IF(IF(Simulations!$I53="",5000,Simulations!$I53)&gt;0,IF(Simulations!$I53="",5000,Simulations!$I53),1))*Simulations!$CQ53*(PI()/2*IF(Simulations!$T53="",200,Simulations!$T53)^2*IF(IF(Simulations!$I53="",5000,Simulations!$I53)&gt;0,SQRT(PI()/2)*IF(Simulations!$W53="",1000,Simulations!$W53),1)),Simulations!$CP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T53="",200,Simulations!$T53)^2*IF(Simulations!$W53="",1000,Simulations!$W53)/2^1.5*(2/3*LN(Simulations!$CQ53/IF(Simulations!$J53="",1000,Simulations!$J53))^1.5+SQRT(LN(Simulations!$CQ53/IF(Simulations!$J53="",1000,Simulations!$J53)))+Simulations!$CQ53/IF(Simulations!$J53="",1000,Simulations!$J53)*SQRT(PI())/2*ERFC(SQRT(LN(Simulations!$CQ53/IF(Simulations!$J53="",1000,Simulations!$J53))))),PI()*IF(Simulations!$T53="",200,Simulations!$T53)^2/2*(LN(Simulations!$CQ53/IF(Simulations!$J53="",1000,Simulations!$J53))+1))))</f>
        <v>0</v>
      </c>
      <c r="U53" s="0" t="n">
        <f aca="false">IF(OR(NOT(AND(Simulations!$A53&lt;&gt;"",OR(Simulations!$CN53&lt;&gt;"",N(Simulations!$CP53)&gt;0))),N(Simulations!$CR53)&lt;=0,N(Simulations!$CP53)&lt;=0,2&gt;N(IF(Simulations!$O53="",1,Simulations!$O53))),0,IF(Simulations!$CR53&lt;IF(Simulations!$J53="",1000,Simulations!$J53),Simulations!$CP53/(IF(Simulations!$G53="",5000,Simulations!$G53)*IF(Simulations!$H53="",5000,Simulations!$H53)*IF(IF(Simulations!$I53="",5000,Simulations!$I53)&gt;0,IF(Simulations!$I53="",5000,Simulations!$I53),1))*Simulations!$CR53*(PI()/2*IF(Simulations!$U53="",200,Simulations!$U53)^2*IF(IF(Simulations!$I53="",5000,Simulations!$I53)&gt;0,SQRT(PI()/2)*IF(Simulations!$X53="",1000,Simulations!$X53),1)),Simulations!$CP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U53="",200,Simulations!$U53)^2*IF(Simulations!$X53="",1000,Simulations!$X53)/2^1.5*(2/3*LN(Simulations!$CR53/IF(Simulations!$J53="",1000,Simulations!$J53))^1.5+SQRT(LN(Simulations!$CR53/IF(Simulations!$J53="",1000,Simulations!$J53)))+Simulations!$CR53/IF(Simulations!$J53="",1000,Simulations!$J53)*SQRT(PI())/2*ERFC(SQRT(LN(Simulations!$CR53/IF(Simulations!$J53="",1000,Simulations!$J53))))),PI()*IF(Simulations!$U53="",200,Simulations!$U53)^2/2*(LN(Simulations!$CR53/IF(Simulations!$J53="",1000,Simulations!$J53))+1))))</f>
        <v>0</v>
      </c>
      <c r="V53" s="0" t="n">
        <f aca="false">IF(OR(NOT(AND(Simulations!$A53&lt;&gt;"",OR(Simulations!$CN53&lt;&gt;"",N(Simulations!$CP53)&gt;0))),N(Simulations!$CS53)&lt;=0,N(Simulations!$CP53)&lt;=0,3&gt;N(IF(Simulations!$O53="",1,Simulations!$O53))),0,IF(Simulations!$CS53&lt;IF(Simulations!$J53="",1000,Simulations!$J53),Simulations!$CP53/(IF(Simulations!$G53="",5000,Simulations!$G53)*IF(Simulations!$H53="",5000,Simulations!$H53)*IF(IF(Simulations!$I53="",5000,Simulations!$I53)&gt;0,IF(Simulations!$I53="",5000,Simulations!$I53),1))*Simulations!$CS53*(PI()/2*IF(Simulations!$V53="",200,Simulations!$V53)^2*IF(IF(Simulations!$I53="",5000,Simulations!$I53)&gt;0,SQRT(PI()/2)*IF(Simulations!$Y53="",1000,Simulations!$Y53),1)),Simulations!$CP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V53="",200,Simulations!$V53)^2*IF(Simulations!$Y53="",1000,Simulations!$Y53)/2^1.5*(2/3*LN(Simulations!$CS53/IF(Simulations!$J53="",1000,Simulations!$J53))^1.5+SQRT(LN(Simulations!$CS53/IF(Simulations!$J53="",1000,Simulations!$J53)))+Simulations!$CS53/IF(Simulations!$J53="",1000,Simulations!$J53)*SQRT(PI())/2*ERFC(SQRT(LN(Simulations!$CS53/IF(Simulations!$J53="",1000,Simulations!$J53))))),PI()*IF(Simulations!$V53="",200,Simulations!$V53)^2/2*(LN(Simulations!$CS53/IF(Simulations!$J53="",1000,Simulations!$J53))+1))))</f>
        <v>0</v>
      </c>
      <c r="W53" s="0" t="n">
        <f aca="false">IF(NOT(AND(Simulations!$A53&lt;&gt;"",OR(Simulations!$CN53&lt;&gt;"",N(Simulations!$CP53)&gt;0))),0,MAX(N(Simulations!$CQ53),N(Simulations!$CR53),N(Simulations!$CS53))/IF(Simulations!$J53="",1000,Simulations!$J53))</f>
        <v>0</v>
      </c>
      <c r="X53" s="0" t="n">
        <f aca="false">IF(OR(NOT(AND(Simulations!$A53&lt;&gt;"",OR(Simulations!$CN53&lt;&gt;"",N(Simulations!$CP53)&gt;0))),N(Simulations!$CO53)&lt;=0),0,SQRT(2*Simulations!$CO53*1000000/(IF(Simulations!$J53="",1000,Simulations!$J53)*1000))/MIN(IF(Simulations!$T53="",200,Simulations!$T53),IF(Simulations!$U53="",200,Simulations!$U53),IF(Simulations!$V53="",200,Simulations!$V53)))</f>
        <v>0</v>
      </c>
      <c r="Y53" s="0" t="n">
        <f aca="false">IF(AND(Simulations!$A53&lt;&gt;"",OR(Simulations!$CN53&lt;&gt;"",N(Simulations!$CP53)&gt;0)),1,0)</f>
        <v>0</v>
      </c>
      <c r="Z53" s="0" t="n">
        <f aca="false">IF(OR(NOT(AND(Simulations!$A53&lt;&gt;"",OR(Simulations!$DF53&lt;&gt;"",N(Simulations!$DH53)&gt;0))),N(Simulations!$DI53)&lt;=0,N(Simulations!$DH53)&lt;=0,1&gt;N(IF(Simulations!$O53="",1,Simulations!$O53))),0,IF(Simulations!$DI53&lt;IF(Simulations!$J53="",1000,Simulations!$J53),Simulations!$DH53/(IF(Simulations!$G53="",5000,Simulations!$G53)*IF(Simulations!$H53="",5000,Simulations!$H53)*IF(IF(Simulations!$I53="",5000,Simulations!$I53)&gt;0,IF(Simulations!$I53="",5000,Simulations!$I53),1))*Simulations!$DI53*(PI()/2*IF(Simulations!$T53="",200,Simulations!$T53)^2*IF(IF(Simulations!$I53="",5000,Simulations!$I53)&gt;0,SQRT(PI()/2)*IF(Simulations!$W53="",1000,Simulations!$W53),1)),Simulations!$DH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T53="",200,Simulations!$T53)^2*IF(Simulations!$W53="",1000,Simulations!$W53)/2^1.5*(2/3*LN(Simulations!$DI53/IF(Simulations!$J53="",1000,Simulations!$J53))^1.5+SQRT(LN(Simulations!$DI53/IF(Simulations!$J53="",1000,Simulations!$J53)))+Simulations!$DI53/IF(Simulations!$J53="",1000,Simulations!$J53)*SQRT(PI())/2*ERFC(SQRT(LN(Simulations!$DI53/IF(Simulations!$J53="",1000,Simulations!$J53))))),PI()*IF(Simulations!$T53="",200,Simulations!$T53)^2/2*(LN(Simulations!$DI53/IF(Simulations!$J53="",1000,Simulations!$J53))+1))))</f>
        <v>0</v>
      </c>
      <c r="AA53" s="0" t="n">
        <f aca="false">IF(OR(NOT(AND(Simulations!$A53&lt;&gt;"",OR(Simulations!$DF53&lt;&gt;"",N(Simulations!$DH53)&gt;0))),N(Simulations!$DJ53)&lt;=0,N(Simulations!$DH53)&lt;=0,2&gt;N(IF(Simulations!$O53="",1,Simulations!$O53))),0,IF(Simulations!$DJ53&lt;IF(Simulations!$J53="",1000,Simulations!$J53),Simulations!$DH53/(IF(Simulations!$G53="",5000,Simulations!$G53)*IF(Simulations!$H53="",5000,Simulations!$H53)*IF(IF(Simulations!$I53="",5000,Simulations!$I53)&gt;0,IF(Simulations!$I53="",5000,Simulations!$I53),1))*Simulations!$DJ53*(PI()/2*IF(Simulations!$U53="",200,Simulations!$U53)^2*IF(IF(Simulations!$I53="",5000,Simulations!$I53)&gt;0,SQRT(PI()/2)*IF(Simulations!$X53="",1000,Simulations!$X53),1)),Simulations!$DH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U53="",200,Simulations!$U53)^2*IF(Simulations!$X53="",1000,Simulations!$X53)/2^1.5*(2/3*LN(Simulations!$DJ53/IF(Simulations!$J53="",1000,Simulations!$J53))^1.5+SQRT(LN(Simulations!$DJ53/IF(Simulations!$J53="",1000,Simulations!$J53)))+Simulations!$DJ53/IF(Simulations!$J53="",1000,Simulations!$J53)*SQRT(PI())/2*ERFC(SQRT(LN(Simulations!$DJ53/IF(Simulations!$J53="",1000,Simulations!$J53))))),PI()*IF(Simulations!$U53="",200,Simulations!$U53)^2/2*(LN(Simulations!$DJ53/IF(Simulations!$J53="",1000,Simulations!$J53))+1))))</f>
        <v>0</v>
      </c>
      <c r="AB53" s="0" t="n">
        <f aca="false">IF(OR(NOT(AND(Simulations!$A53&lt;&gt;"",OR(Simulations!$DF53&lt;&gt;"",N(Simulations!$DH53)&gt;0))),N(Simulations!$DK53)&lt;=0,N(Simulations!$DH53)&lt;=0,3&gt;N(IF(Simulations!$O53="",1,Simulations!$O53))),0,IF(Simulations!$DK53&lt;IF(Simulations!$J53="",1000,Simulations!$J53),Simulations!$DH53/(IF(Simulations!$G53="",5000,Simulations!$G53)*IF(Simulations!$H53="",5000,Simulations!$H53)*IF(IF(Simulations!$I53="",5000,Simulations!$I53)&gt;0,IF(Simulations!$I53="",5000,Simulations!$I53),1))*Simulations!$DK53*(PI()/2*IF(Simulations!$V53="",200,Simulations!$V53)^2*IF(IF(Simulations!$I53="",5000,Simulations!$I53)&gt;0,SQRT(PI()/2)*IF(Simulations!$Y53="",1000,Simulations!$Y53),1)),Simulations!$DH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V53="",200,Simulations!$V53)^2*IF(Simulations!$Y53="",1000,Simulations!$Y53)/2^1.5*(2/3*LN(Simulations!$DK53/IF(Simulations!$J53="",1000,Simulations!$J53))^1.5+SQRT(LN(Simulations!$DK53/IF(Simulations!$J53="",1000,Simulations!$J53)))+Simulations!$DK53/IF(Simulations!$J53="",1000,Simulations!$J53)*SQRT(PI())/2*ERFC(SQRT(LN(Simulations!$DK53/IF(Simulations!$J53="",1000,Simulations!$J53))))),PI()*IF(Simulations!$V53="",200,Simulations!$V53)^2/2*(LN(Simulations!$DK53/IF(Simulations!$J53="",1000,Simulations!$J53))+1))))</f>
        <v>0</v>
      </c>
      <c r="AC53" s="0" t="n">
        <f aca="false">IF(NOT(AND(Simulations!$A53&lt;&gt;"",OR(Simulations!$DF53&lt;&gt;"",N(Simulations!$DH53)&gt;0))),0,MAX(N(Simulations!$DI53),N(Simulations!$DJ53),N(Simulations!$DK53))/IF(Simulations!$J53="",1000,Simulations!$J53))</f>
        <v>0</v>
      </c>
      <c r="AD53" s="0" t="n">
        <f aca="false">IF(OR(NOT(AND(Simulations!$A53&lt;&gt;"",OR(Simulations!$DF53&lt;&gt;"",N(Simulations!$DH53)&gt;0))),N(Simulations!$DG53)&lt;=0),0,SQRT(2*Simulations!$DG53*1000000/(IF(Simulations!$J53="",1000,Simulations!$J53)*1000))/MIN(IF(Simulations!$T53="",200,Simulations!$T53),IF(Simulations!$U53="",200,Simulations!$U53),IF(Simulations!$V53="",200,Simulations!$V53)))</f>
        <v>0</v>
      </c>
      <c r="AE53" s="0" t="n">
        <f aca="false">IF(AND(Simulations!$A53&lt;&gt;"",OR(Simulations!$DF53&lt;&gt;"",N(Simulations!$DH53)&gt;0)),1,0)</f>
        <v>0</v>
      </c>
      <c r="AF53" s="0" t="n">
        <f aca="false">IF(OR(NOT(AND(Simulations!$A53&lt;&gt;"",OR(Simulations!$DX53&lt;&gt;"",N(Simulations!$DZ53)&gt;0))),N(Simulations!$EA53)&lt;=0,N(Simulations!$DZ53)&lt;=0,1&gt;N(IF(Simulations!$O53="",1,Simulations!$O53))),0,IF(Simulations!$EA53&lt;IF(Simulations!$J53="",1000,Simulations!$J53),Simulations!$DZ53/(IF(Simulations!$G53="",5000,Simulations!$G53)*IF(Simulations!$H53="",5000,Simulations!$H53)*IF(IF(Simulations!$I53="",5000,Simulations!$I53)&gt;0,IF(Simulations!$I53="",5000,Simulations!$I53),1))*Simulations!$EA53*(PI()/2*IF(Simulations!$T53="",200,Simulations!$T53)^2*IF(IF(Simulations!$I53="",5000,Simulations!$I53)&gt;0,SQRT(PI()/2)*IF(Simulations!$W53="",1000,Simulations!$W53),1)),Simulations!$DZ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T53="",200,Simulations!$T53)^2*IF(Simulations!$W53="",1000,Simulations!$W53)/2^1.5*(2/3*LN(Simulations!$EA53/IF(Simulations!$J53="",1000,Simulations!$J53))^1.5+SQRT(LN(Simulations!$EA53/IF(Simulations!$J53="",1000,Simulations!$J53)))+Simulations!$EA53/IF(Simulations!$J53="",1000,Simulations!$J53)*SQRT(PI())/2*ERFC(SQRT(LN(Simulations!$EA53/IF(Simulations!$J53="",1000,Simulations!$J53))))),PI()*IF(Simulations!$T53="",200,Simulations!$T53)^2/2*(LN(Simulations!$EA53/IF(Simulations!$J53="",1000,Simulations!$J53))+1))))</f>
        <v>0</v>
      </c>
      <c r="AG53" s="0" t="n">
        <f aca="false">IF(OR(NOT(AND(Simulations!$A53&lt;&gt;"",OR(Simulations!$DX53&lt;&gt;"",N(Simulations!$DZ53)&gt;0))),N(Simulations!$EB53)&lt;=0,N(Simulations!$DZ53)&lt;=0,2&gt;N(IF(Simulations!$O53="",1,Simulations!$O53))),0,IF(Simulations!$EB53&lt;IF(Simulations!$J53="",1000,Simulations!$J53),Simulations!$DZ53/(IF(Simulations!$G53="",5000,Simulations!$G53)*IF(Simulations!$H53="",5000,Simulations!$H53)*IF(IF(Simulations!$I53="",5000,Simulations!$I53)&gt;0,IF(Simulations!$I53="",5000,Simulations!$I53),1))*Simulations!$EB53*(PI()/2*IF(Simulations!$U53="",200,Simulations!$U53)^2*IF(IF(Simulations!$I53="",5000,Simulations!$I53)&gt;0,SQRT(PI()/2)*IF(Simulations!$X53="",1000,Simulations!$X53),1)),Simulations!$DZ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U53="",200,Simulations!$U53)^2*IF(Simulations!$X53="",1000,Simulations!$X53)/2^1.5*(2/3*LN(Simulations!$EB53/IF(Simulations!$J53="",1000,Simulations!$J53))^1.5+SQRT(LN(Simulations!$EB53/IF(Simulations!$J53="",1000,Simulations!$J53)))+Simulations!$EB53/IF(Simulations!$J53="",1000,Simulations!$J53)*SQRT(PI())/2*ERFC(SQRT(LN(Simulations!$EB53/IF(Simulations!$J53="",1000,Simulations!$J53))))),PI()*IF(Simulations!$U53="",200,Simulations!$U53)^2/2*(LN(Simulations!$EB53/IF(Simulations!$J53="",1000,Simulations!$J53))+1))))</f>
        <v>0</v>
      </c>
      <c r="AH53" s="0" t="n">
        <f aca="false">IF(OR(NOT(AND(Simulations!$A53&lt;&gt;"",OR(Simulations!$DX53&lt;&gt;"",N(Simulations!$DZ53)&gt;0))),N(Simulations!$EC53)&lt;=0,N(Simulations!$DZ53)&lt;=0,3&gt;N(IF(Simulations!$O53="",1,Simulations!$O53))),0,IF(Simulations!$EC53&lt;IF(Simulations!$J53="",1000,Simulations!$J53),Simulations!$DZ53/(IF(Simulations!$G53="",5000,Simulations!$G53)*IF(Simulations!$H53="",5000,Simulations!$H53)*IF(IF(Simulations!$I53="",5000,Simulations!$I53)&gt;0,IF(Simulations!$I53="",5000,Simulations!$I53),1))*Simulations!$EC53*(PI()/2*IF(Simulations!$V53="",200,Simulations!$V53)^2*IF(IF(Simulations!$I53="",5000,Simulations!$I53)&gt;0,SQRT(PI()/2)*IF(Simulations!$Y53="",1000,Simulations!$Y53),1)),Simulations!$DZ53/(IF(Simulations!$G53="",5000,Simulations!$G53)*IF(Simulations!$H53="",5000,Simulations!$H53)*IF(IF(Simulations!$I53="",5000,Simulations!$I53)&gt;0,IF(Simulations!$I53="",5000,Simulations!$I53),1))*IF(Simulations!$J53="",1000,Simulations!$J53)*IF(IF(Simulations!$I53="",5000,Simulations!$I53)&gt;0,2*PI()*IF(Simulations!$V53="",200,Simulations!$V53)^2*IF(Simulations!$Y53="",1000,Simulations!$Y53)/2^1.5*(2/3*LN(Simulations!$EC53/IF(Simulations!$J53="",1000,Simulations!$J53))^1.5+SQRT(LN(Simulations!$EC53/IF(Simulations!$J53="",1000,Simulations!$J53)))+Simulations!$EC53/IF(Simulations!$J53="",1000,Simulations!$J53)*SQRT(PI())/2*ERFC(SQRT(LN(Simulations!$EC53/IF(Simulations!$J53="",1000,Simulations!$J53))))),PI()*IF(Simulations!$V53="",200,Simulations!$V53)^2/2*(LN(Simulations!$EC53/IF(Simulations!$J53="",1000,Simulations!$J53))+1))))</f>
        <v>0</v>
      </c>
      <c r="AI53" s="0" t="n">
        <f aca="false">IF(NOT(AND(Simulations!$A53&lt;&gt;"",OR(Simulations!$DX53&lt;&gt;"",N(Simulations!$DZ53)&gt;0))),0,MAX(N(Simulations!$EA53),N(Simulations!$EB53),N(Simulations!$EC53))/IF(Simulations!$J53="",1000,Simulations!$J53))</f>
        <v>0</v>
      </c>
      <c r="AJ53" s="0" t="n">
        <f aca="false">IF(OR(NOT(AND(Simulations!$A53&lt;&gt;"",OR(Simulations!$DX53&lt;&gt;"",N(Simulations!$DZ53)&gt;0))),N(Simulations!$DY53)&lt;=0),0,SQRT(2*Simulations!$DY53*1000000/(IF(Simulations!$J53="",1000,Simulations!$J53)*1000))/MIN(IF(Simulations!$T53="",200,Simulations!$T53),IF(Simulations!$U53="",200,Simulations!$U53),IF(Simulations!$V53="",200,Simulations!$V53)))</f>
        <v>0</v>
      </c>
      <c r="AK53" s="0" t="n">
        <f aca="false">IF(AND(Simulations!$A53&lt;&gt;"",OR(Simulations!$DX53&lt;&gt;"",N(Simulations!$DZ53)&gt;0)),1,0)</f>
        <v>0</v>
      </c>
    </row>
    <row r="54" customFormat="false" ht="15" hidden="false" customHeight="false" outlineLevel="0" collapsed="false">
      <c r="B54" s="0" t="n">
        <f aca="false">IF(OR(NOT(AND(Simulations!$A54&lt;&gt;"",OR(Simulations!$AL54&lt;&gt;"",N(Simulations!$AN54)&gt;0))),N(Simulations!$AO54)&lt;=0,N(Simulations!$AN54)&lt;=0,1&gt;N(IF(Simulations!$O54="",1,Simulations!$O54))),0,IF(Simulations!$AO54&lt;IF(Simulations!$J54="",1000,Simulations!$J54),Simulations!$AN54/(IF(Simulations!$G54="",5000,Simulations!$G54)*IF(Simulations!$H54="",5000,Simulations!$H54)*IF(IF(Simulations!$I54="",5000,Simulations!$I54)&gt;0,IF(Simulations!$I54="",5000,Simulations!$I54),1))*Simulations!$AO54*(PI()/2*IF(Simulations!$T54="",200,Simulations!$T54)^2*IF(IF(Simulations!$I54="",5000,Simulations!$I54)&gt;0,SQRT(PI()/2)*IF(Simulations!$W54="",1000,Simulations!$W54),1)),Simulations!$AN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T54="",200,Simulations!$T54)^2*IF(Simulations!$W54="",1000,Simulations!$W54)/2^1.5*(2/3*LN(Simulations!$AO54/IF(Simulations!$J54="",1000,Simulations!$J54))^1.5+SQRT(LN(Simulations!$AO54/IF(Simulations!$J54="",1000,Simulations!$J54)))+Simulations!$AO54/IF(Simulations!$J54="",1000,Simulations!$J54)*SQRT(PI())/2*ERFC(SQRT(LN(Simulations!$AO54/IF(Simulations!$J54="",1000,Simulations!$J54))))),PI()*IF(Simulations!$T54="",200,Simulations!$T54)^2/2*(LN(Simulations!$AO54/IF(Simulations!$J54="",1000,Simulations!$J54))+1))))</f>
        <v>0</v>
      </c>
      <c r="C54" s="0" t="n">
        <f aca="false">IF(OR(NOT(AND(Simulations!$A54&lt;&gt;"",OR(Simulations!$AL54&lt;&gt;"",N(Simulations!$AN54)&gt;0))),N(Simulations!$AP54)&lt;=0,N(Simulations!$AN54)&lt;=0,2&gt;N(IF(Simulations!$O54="",1,Simulations!$O54))),0,IF(Simulations!$AP54&lt;IF(Simulations!$J54="",1000,Simulations!$J54),Simulations!$AN54/(IF(Simulations!$G54="",5000,Simulations!$G54)*IF(Simulations!$H54="",5000,Simulations!$H54)*IF(IF(Simulations!$I54="",5000,Simulations!$I54)&gt;0,IF(Simulations!$I54="",5000,Simulations!$I54),1))*Simulations!$AP54*(PI()/2*IF(Simulations!$U54="",200,Simulations!$U54)^2*IF(IF(Simulations!$I54="",5000,Simulations!$I54)&gt;0,SQRT(PI()/2)*IF(Simulations!$X54="",1000,Simulations!$X54),1)),Simulations!$AN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U54="",200,Simulations!$U54)^2*IF(Simulations!$X54="",1000,Simulations!$X54)/2^1.5*(2/3*LN(Simulations!$AP54/IF(Simulations!$J54="",1000,Simulations!$J54))^1.5+SQRT(LN(Simulations!$AP54/IF(Simulations!$J54="",1000,Simulations!$J54)))+Simulations!$AP54/IF(Simulations!$J54="",1000,Simulations!$J54)*SQRT(PI())/2*ERFC(SQRT(LN(Simulations!$AP54/IF(Simulations!$J54="",1000,Simulations!$J54))))),PI()*IF(Simulations!$U54="",200,Simulations!$U54)^2/2*(LN(Simulations!$AP54/IF(Simulations!$J54="",1000,Simulations!$J54))+1))))</f>
        <v>0</v>
      </c>
      <c r="D54" s="0" t="n">
        <f aca="false">IF(OR(NOT(AND(Simulations!$A54&lt;&gt;"",OR(Simulations!$AL54&lt;&gt;"",N(Simulations!$AN54)&gt;0))),N(Simulations!$AQ54)&lt;=0,N(Simulations!$AN54)&lt;=0,3&gt;N(IF(Simulations!$O54="",1,Simulations!$O54))),0,IF(Simulations!$AQ54&lt;IF(Simulations!$J54="",1000,Simulations!$J54),Simulations!$AN54/(IF(Simulations!$G54="",5000,Simulations!$G54)*IF(Simulations!$H54="",5000,Simulations!$H54)*IF(IF(Simulations!$I54="",5000,Simulations!$I54)&gt;0,IF(Simulations!$I54="",5000,Simulations!$I54),1))*Simulations!$AQ54*(PI()/2*IF(Simulations!$V54="",200,Simulations!$V54)^2*IF(IF(Simulations!$I54="",5000,Simulations!$I54)&gt;0,SQRT(PI()/2)*IF(Simulations!$Y54="",1000,Simulations!$Y54),1)),Simulations!$AN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V54="",200,Simulations!$V54)^2*IF(Simulations!$Y54="",1000,Simulations!$Y54)/2^1.5*(2/3*LN(Simulations!$AQ54/IF(Simulations!$J54="",1000,Simulations!$J54))^1.5+SQRT(LN(Simulations!$AQ54/IF(Simulations!$J54="",1000,Simulations!$J54)))+Simulations!$AQ54/IF(Simulations!$J54="",1000,Simulations!$J54)*SQRT(PI())/2*ERFC(SQRT(LN(Simulations!$AQ54/IF(Simulations!$J54="",1000,Simulations!$J54))))),PI()*IF(Simulations!$V54="",200,Simulations!$V54)^2/2*(LN(Simulations!$AQ54/IF(Simulations!$J54="",1000,Simulations!$J54))+1))))</f>
        <v>0</v>
      </c>
      <c r="E54" s="0" t="n">
        <f aca="false">IF(NOT(AND(Simulations!$A54&lt;&gt;"",OR(Simulations!$AL54&lt;&gt;"",N(Simulations!$AN54)&gt;0))),0,MAX(N(Simulations!$AO54),N(Simulations!$AP54),N(Simulations!$AQ54))/IF(Simulations!$J54="",1000,Simulations!$J54))</f>
        <v>0</v>
      </c>
      <c r="F54" s="0" t="n">
        <f aca="false">IF(OR(NOT(AND(Simulations!$A54&lt;&gt;"",OR(Simulations!$AL54&lt;&gt;"",N(Simulations!$AN54)&gt;0))),N(Simulations!$AM54)&lt;=0),0,SQRT(2*Simulations!$AM54*1000000/(IF(Simulations!$J54="",1000,Simulations!$J54)*1000))/MIN(IF(Simulations!$T54="",200,Simulations!$T54),IF(Simulations!$U54="",200,Simulations!$U54),IF(Simulations!$V54="",200,Simulations!$V54)))</f>
        <v>0</v>
      </c>
      <c r="G54" s="0" t="n">
        <f aca="false">IF(AND(Simulations!$A54&lt;&gt;"",OR(Simulations!$AL54&lt;&gt;"",N(Simulations!$AN54)&gt;0)),1,0)</f>
        <v>0</v>
      </c>
      <c r="H54" s="0" t="n">
        <f aca="false">IF(OR(NOT(AND(Simulations!$A54&lt;&gt;"",OR(Simulations!$BD54&lt;&gt;"",N(Simulations!$BF54)&gt;0))),N(Simulations!$BG54)&lt;=0,N(Simulations!$BF54)&lt;=0,1&gt;N(IF(Simulations!$O54="",1,Simulations!$O54))),0,IF(Simulations!$BG54&lt;IF(Simulations!$J54="",1000,Simulations!$J54),Simulations!$BF54/(IF(Simulations!$G54="",5000,Simulations!$G54)*IF(Simulations!$H54="",5000,Simulations!$H54)*IF(IF(Simulations!$I54="",5000,Simulations!$I54)&gt;0,IF(Simulations!$I54="",5000,Simulations!$I54),1))*Simulations!$BG54*(PI()/2*IF(Simulations!$T54="",200,Simulations!$T54)^2*IF(IF(Simulations!$I54="",5000,Simulations!$I54)&gt;0,SQRT(PI()/2)*IF(Simulations!$W54="",1000,Simulations!$W54),1)),Simulations!$BF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T54="",200,Simulations!$T54)^2*IF(Simulations!$W54="",1000,Simulations!$W54)/2^1.5*(2/3*LN(Simulations!$BG54/IF(Simulations!$J54="",1000,Simulations!$J54))^1.5+SQRT(LN(Simulations!$BG54/IF(Simulations!$J54="",1000,Simulations!$J54)))+Simulations!$BG54/IF(Simulations!$J54="",1000,Simulations!$J54)*SQRT(PI())/2*ERFC(SQRT(LN(Simulations!$BG54/IF(Simulations!$J54="",1000,Simulations!$J54))))),PI()*IF(Simulations!$T54="",200,Simulations!$T54)^2/2*(LN(Simulations!$BG54/IF(Simulations!$J54="",1000,Simulations!$J54))+1))))</f>
        <v>0</v>
      </c>
      <c r="I54" s="0" t="n">
        <f aca="false">IF(OR(NOT(AND(Simulations!$A54&lt;&gt;"",OR(Simulations!$BD54&lt;&gt;"",N(Simulations!$BF54)&gt;0))),N(Simulations!$BH54)&lt;=0,N(Simulations!$BF54)&lt;=0,2&gt;N(IF(Simulations!$O54="",1,Simulations!$O54))),0,IF(Simulations!$BH54&lt;IF(Simulations!$J54="",1000,Simulations!$J54),Simulations!$BF54/(IF(Simulations!$G54="",5000,Simulations!$G54)*IF(Simulations!$H54="",5000,Simulations!$H54)*IF(IF(Simulations!$I54="",5000,Simulations!$I54)&gt;0,IF(Simulations!$I54="",5000,Simulations!$I54),1))*Simulations!$BH54*(PI()/2*IF(Simulations!$U54="",200,Simulations!$U54)^2*IF(IF(Simulations!$I54="",5000,Simulations!$I54)&gt;0,SQRT(PI()/2)*IF(Simulations!$X54="",1000,Simulations!$X54),1)),Simulations!$BF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U54="",200,Simulations!$U54)^2*IF(Simulations!$X54="",1000,Simulations!$X54)/2^1.5*(2/3*LN(Simulations!$BH54/IF(Simulations!$J54="",1000,Simulations!$J54))^1.5+SQRT(LN(Simulations!$BH54/IF(Simulations!$J54="",1000,Simulations!$J54)))+Simulations!$BH54/IF(Simulations!$J54="",1000,Simulations!$J54)*SQRT(PI())/2*ERFC(SQRT(LN(Simulations!$BH54/IF(Simulations!$J54="",1000,Simulations!$J54))))),PI()*IF(Simulations!$U54="",200,Simulations!$U54)^2/2*(LN(Simulations!$BH54/IF(Simulations!$J54="",1000,Simulations!$J54))+1))))</f>
        <v>0</v>
      </c>
      <c r="J54" s="0" t="n">
        <f aca="false">IF(OR(NOT(AND(Simulations!$A54&lt;&gt;"",OR(Simulations!$BD54&lt;&gt;"",N(Simulations!$BF54)&gt;0))),N(Simulations!$BI54)&lt;=0,N(Simulations!$BF54)&lt;=0,3&gt;N(IF(Simulations!$O54="",1,Simulations!$O54))),0,IF(Simulations!$BI54&lt;IF(Simulations!$J54="",1000,Simulations!$J54),Simulations!$BF54/(IF(Simulations!$G54="",5000,Simulations!$G54)*IF(Simulations!$H54="",5000,Simulations!$H54)*IF(IF(Simulations!$I54="",5000,Simulations!$I54)&gt;0,IF(Simulations!$I54="",5000,Simulations!$I54),1))*Simulations!$BI54*(PI()/2*IF(Simulations!$V54="",200,Simulations!$V54)^2*IF(IF(Simulations!$I54="",5000,Simulations!$I54)&gt;0,SQRT(PI()/2)*IF(Simulations!$Y54="",1000,Simulations!$Y54),1)),Simulations!$BF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V54="",200,Simulations!$V54)^2*IF(Simulations!$Y54="",1000,Simulations!$Y54)/2^1.5*(2/3*LN(Simulations!$BI54/IF(Simulations!$J54="",1000,Simulations!$J54))^1.5+SQRT(LN(Simulations!$BI54/IF(Simulations!$J54="",1000,Simulations!$J54)))+Simulations!$BI54/IF(Simulations!$J54="",1000,Simulations!$J54)*SQRT(PI())/2*ERFC(SQRT(LN(Simulations!$BI54/IF(Simulations!$J54="",1000,Simulations!$J54))))),PI()*IF(Simulations!$V54="",200,Simulations!$V54)^2/2*(LN(Simulations!$BI54/IF(Simulations!$J54="",1000,Simulations!$J54))+1))))</f>
        <v>0</v>
      </c>
      <c r="K54" s="0" t="n">
        <f aca="false">IF(NOT(AND(Simulations!$A54&lt;&gt;"",OR(Simulations!$BD54&lt;&gt;"",N(Simulations!$BF54)&gt;0))),0,MAX(N(Simulations!$BG54),N(Simulations!$BH54),N(Simulations!$BI54))/IF(Simulations!$J54="",1000,Simulations!$J54))</f>
        <v>0</v>
      </c>
      <c r="L54" s="0" t="n">
        <f aca="false">IF(OR(NOT(AND(Simulations!$A54&lt;&gt;"",OR(Simulations!$BD54&lt;&gt;"",N(Simulations!$BF54)&gt;0))),N(Simulations!$BE54)&lt;=0),0,SQRT(2*Simulations!$BE54*1000000/(IF(Simulations!$J54="",1000,Simulations!$J54)*1000))/MIN(IF(Simulations!$T54="",200,Simulations!$T54),IF(Simulations!$U54="",200,Simulations!$U54),IF(Simulations!$V54="",200,Simulations!$V54)))</f>
        <v>0</v>
      </c>
      <c r="M54" s="0" t="n">
        <f aca="false">IF(AND(Simulations!$A54&lt;&gt;"",OR(Simulations!$BD54&lt;&gt;"",N(Simulations!$BF54)&gt;0)),1,0)</f>
        <v>0</v>
      </c>
      <c r="N54" s="0" t="n">
        <f aca="false">IF(OR(NOT(AND(Simulations!$A54&lt;&gt;"",OR(Simulations!$BV54&lt;&gt;"",N(Simulations!$BX54)&gt;0))),N(Simulations!$BY54)&lt;=0,N(Simulations!$BX54)&lt;=0,1&gt;N(IF(Simulations!$O54="",1,Simulations!$O54))),0,IF(Simulations!$BY54&lt;IF(Simulations!$J54="",1000,Simulations!$J54),Simulations!$BX54/(IF(Simulations!$G54="",5000,Simulations!$G54)*IF(Simulations!$H54="",5000,Simulations!$H54)*IF(IF(Simulations!$I54="",5000,Simulations!$I54)&gt;0,IF(Simulations!$I54="",5000,Simulations!$I54),1))*Simulations!$BY54*(PI()/2*IF(Simulations!$T54="",200,Simulations!$T54)^2*IF(IF(Simulations!$I54="",5000,Simulations!$I54)&gt;0,SQRT(PI()/2)*IF(Simulations!$W54="",1000,Simulations!$W54),1)),Simulations!$BX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T54="",200,Simulations!$T54)^2*IF(Simulations!$W54="",1000,Simulations!$W54)/2^1.5*(2/3*LN(Simulations!$BY54/IF(Simulations!$J54="",1000,Simulations!$J54))^1.5+SQRT(LN(Simulations!$BY54/IF(Simulations!$J54="",1000,Simulations!$J54)))+Simulations!$BY54/IF(Simulations!$J54="",1000,Simulations!$J54)*SQRT(PI())/2*ERFC(SQRT(LN(Simulations!$BY54/IF(Simulations!$J54="",1000,Simulations!$J54))))),PI()*IF(Simulations!$T54="",200,Simulations!$T54)^2/2*(LN(Simulations!$BY54/IF(Simulations!$J54="",1000,Simulations!$J54))+1))))</f>
        <v>0</v>
      </c>
      <c r="O54" s="0" t="n">
        <f aca="false">IF(OR(NOT(AND(Simulations!$A54&lt;&gt;"",OR(Simulations!$BV54&lt;&gt;"",N(Simulations!$BX54)&gt;0))),N(Simulations!$BZ54)&lt;=0,N(Simulations!$BX54)&lt;=0,2&gt;N(IF(Simulations!$O54="",1,Simulations!$O54))),0,IF(Simulations!$BZ54&lt;IF(Simulations!$J54="",1000,Simulations!$J54),Simulations!$BX54/(IF(Simulations!$G54="",5000,Simulations!$G54)*IF(Simulations!$H54="",5000,Simulations!$H54)*IF(IF(Simulations!$I54="",5000,Simulations!$I54)&gt;0,IF(Simulations!$I54="",5000,Simulations!$I54),1))*Simulations!$BZ54*(PI()/2*IF(Simulations!$U54="",200,Simulations!$U54)^2*IF(IF(Simulations!$I54="",5000,Simulations!$I54)&gt;0,SQRT(PI()/2)*IF(Simulations!$X54="",1000,Simulations!$X54),1)),Simulations!$BX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U54="",200,Simulations!$U54)^2*IF(Simulations!$X54="",1000,Simulations!$X54)/2^1.5*(2/3*LN(Simulations!$BZ54/IF(Simulations!$J54="",1000,Simulations!$J54))^1.5+SQRT(LN(Simulations!$BZ54/IF(Simulations!$J54="",1000,Simulations!$J54)))+Simulations!$BZ54/IF(Simulations!$J54="",1000,Simulations!$J54)*SQRT(PI())/2*ERFC(SQRT(LN(Simulations!$BZ54/IF(Simulations!$J54="",1000,Simulations!$J54))))),PI()*IF(Simulations!$U54="",200,Simulations!$U54)^2/2*(LN(Simulations!$BZ54/IF(Simulations!$J54="",1000,Simulations!$J54))+1))))</f>
        <v>0</v>
      </c>
      <c r="P54" s="0" t="n">
        <f aca="false">IF(OR(NOT(AND(Simulations!$A54&lt;&gt;"",OR(Simulations!$BV54&lt;&gt;"",N(Simulations!$BX54)&gt;0))),N(Simulations!$CA54)&lt;=0,N(Simulations!$BX54)&lt;=0,3&gt;N(IF(Simulations!$O54="",1,Simulations!$O54))),0,IF(Simulations!$CA54&lt;IF(Simulations!$J54="",1000,Simulations!$J54),Simulations!$BX54/(IF(Simulations!$G54="",5000,Simulations!$G54)*IF(Simulations!$H54="",5000,Simulations!$H54)*IF(IF(Simulations!$I54="",5000,Simulations!$I54)&gt;0,IF(Simulations!$I54="",5000,Simulations!$I54),1))*Simulations!$CA54*(PI()/2*IF(Simulations!$V54="",200,Simulations!$V54)^2*IF(IF(Simulations!$I54="",5000,Simulations!$I54)&gt;0,SQRT(PI()/2)*IF(Simulations!$Y54="",1000,Simulations!$Y54),1)),Simulations!$BX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V54="",200,Simulations!$V54)^2*IF(Simulations!$Y54="",1000,Simulations!$Y54)/2^1.5*(2/3*LN(Simulations!$CA54/IF(Simulations!$J54="",1000,Simulations!$J54))^1.5+SQRT(LN(Simulations!$CA54/IF(Simulations!$J54="",1000,Simulations!$J54)))+Simulations!$CA54/IF(Simulations!$J54="",1000,Simulations!$J54)*SQRT(PI())/2*ERFC(SQRT(LN(Simulations!$CA54/IF(Simulations!$J54="",1000,Simulations!$J54))))),PI()*IF(Simulations!$V54="",200,Simulations!$V54)^2/2*(LN(Simulations!$CA54/IF(Simulations!$J54="",1000,Simulations!$J54))+1))))</f>
        <v>0</v>
      </c>
      <c r="Q54" s="0" t="n">
        <f aca="false">IF(NOT(AND(Simulations!$A54&lt;&gt;"",OR(Simulations!$BV54&lt;&gt;"",N(Simulations!$BX54)&gt;0))),0,MAX(N(Simulations!$BY54),N(Simulations!$BZ54),N(Simulations!$CA54))/IF(Simulations!$J54="",1000,Simulations!$J54))</f>
        <v>0</v>
      </c>
      <c r="R54" s="0" t="n">
        <f aca="false">IF(OR(NOT(AND(Simulations!$A54&lt;&gt;"",OR(Simulations!$BV54&lt;&gt;"",N(Simulations!$BX54)&gt;0))),N(Simulations!$BW54)&lt;=0),0,SQRT(2*Simulations!$BW54*1000000/(IF(Simulations!$J54="",1000,Simulations!$J54)*1000))/MIN(IF(Simulations!$T54="",200,Simulations!$T54),IF(Simulations!$U54="",200,Simulations!$U54),IF(Simulations!$V54="",200,Simulations!$V54)))</f>
        <v>0</v>
      </c>
      <c r="S54" s="0" t="n">
        <f aca="false">IF(AND(Simulations!$A54&lt;&gt;"",OR(Simulations!$BV54&lt;&gt;"",N(Simulations!$BX54)&gt;0)),1,0)</f>
        <v>0</v>
      </c>
      <c r="T54" s="0" t="n">
        <f aca="false">IF(OR(NOT(AND(Simulations!$A54&lt;&gt;"",OR(Simulations!$CN54&lt;&gt;"",N(Simulations!$CP54)&gt;0))),N(Simulations!$CQ54)&lt;=0,N(Simulations!$CP54)&lt;=0,1&gt;N(IF(Simulations!$O54="",1,Simulations!$O54))),0,IF(Simulations!$CQ54&lt;IF(Simulations!$J54="",1000,Simulations!$J54),Simulations!$CP54/(IF(Simulations!$G54="",5000,Simulations!$G54)*IF(Simulations!$H54="",5000,Simulations!$H54)*IF(IF(Simulations!$I54="",5000,Simulations!$I54)&gt;0,IF(Simulations!$I54="",5000,Simulations!$I54),1))*Simulations!$CQ54*(PI()/2*IF(Simulations!$T54="",200,Simulations!$T54)^2*IF(IF(Simulations!$I54="",5000,Simulations!$I54)&gt;0,SQRT(PI()/2)*IF(Simulations!$W54="",1000,Simulations!$W54),1)),Simulations!$CP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T54="",200,Simulations!$T54)^2*IF(Simulations!$W54="",1000,Simulations!$W54)/2^1.5*(2/3*LN(Simulations!$CQ54/IF(Simulations!$J54="",1000,Simulations!$J54))^1.5+SQRT(LN(Simulations!$CQ54/IF(Simulations!$J54="",1000,Simulations!$J54)))+Simulations!$CQ54/IF(Simulations!$J54="",1000,Simulations!$J54)*SQRT(PI())/2*ERFC(SQRT(LN(Simulations!$CQ54/IF(Simulations!$J54="",1000,Simulations!$J54))))),PI()*IF(Simulations!$T54="",200,Simulations!$T54)^2/2*(LN(Simulations!$CQ54/IF(Simulations!$J54="",1000,Simulations!$J54))+1))))</f>
        <v>0</v>
      </c>
      <c r="U54" s="0" t="n">
        <f aca="false">IF(OR(NOT(AND(Simulations!$A54&lt;&gt;"",OR(Simulations!$CN54&lt;&gt;"",N(Simulations!$CP54)&gt;0))),N(Simulations!$CR54)&lt;=0,N(Simulations!$CP54)&lt;=0,2&gt;N(IF(Simulations!$O54="",1,Simulations!$O54))),0,IF(Simulations!$CR54&lt;IF(Simulations!$J54="",1000,Simulations!$J54),Simulations!$CP54/(IF(Simulations!$G54="",5000,Simulations!$G54)*IF(Simulations!$H54="",5000,Simulations!$H54)*IF(IF(Simulations!$I54="",5000,Simulations!$I54)&gt;0,IF(Simulations!$I54="",5000,Simulations!$I54),1))*Simulations!$CR54*(PI()/2*IF(Simulations!$U54="",200,Simulations!$U54)^2*IF(IF(Simulations!$I54="",5000,Simulations!$I54)&gt;0,SQRT(PI()/2)*IF(Simulations!$X54="",1000,Simulations!$X54),1)),Simulations!$CP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U54="",200,Simulations!$U54)^2*IF(Simulations!$X54="",1000,Simulations!$X54)/2^1.5*(2/3*LN(Simulations!$CR54/IF(Simulations!$J54="",1000,Simulations!$J54))^1.5+SQRT(LN(Simulations!$CR54/IF(Simulations!$J54="",1000,Simulations!$J54)))+Simulations!$CR54/IF(Simulations!$J54="",1000,Simulations!$J54)*SQRT(PI())/2*ERFC(SQRT(LN(Simulations!$CR54/IF(Simulations!$J54="",1000,Simulations!$J54))))),PI()*IF(Simulations!$U54="",200,Simulations!$U54)^2/2*(LN(Simulations!$CR54/IF(Simulations!$J54="",1000,Simulations!$J54))+1))))</f>
        <v>0</v>
      </c>
      <c r="V54" s="0" t="n">
        <f aca="false">IF(OR(NOT(AND(Simulations!$A54&lt;&gt;"",OR(Simulations!$CN54&lt;&gt;"",N(Simulations!$CP54)&gt;0))),N(Simulations!$CS54)&lt;=0,N(Simulations!$CP54)&lt;=0,3&gt;N(IF(Simulations!$O54="",1,Simulations!$O54))),0,IF(Simulations!$CS54&lt;IF(Simulations!$J54="",1000,Simulations!$J54),Simulations!$CP54/(IF(Simulations!$G54="",5000,Simulations!$G54)*IF(Simulations!$H54="",5000,Simulations!$H54)*IF(IF(Simulations!$I54="",5000,Simulations!$I54)&gt;0,IF(Simulations!$I54="",5000,Simulations!$I54),1))*Simulations!$CS54*(PI()/2*IF(Simulations!$V54="",200,Simulations!$V54)^2*IF(IF(Simulations!$I54="",5000,Simulations!$I54)&gt;0,SQRT(PI()/2)*IF(Simulations!$Y54="",1000,Simulations!$Y54),1)),Simulations!$CP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V54="",200,Simulations!$V54)^2*IF(Simulations!$Y54="",1000,Simulations!$Y54)/2^1.5*(2/3*LN(Simulations!$CS54/IF(Simulations!$J54="",1000,Simulations!$J54))^1.5+SQRT(LN(Simulations!$CS54/IF(Simulations!$J54="",1000,Simulations!$J54)))+Simulations!$CS54/IF(Simulations!$J54="",1000,Simulations!$J54)*SQRT(PI())/2*ERFC(SQRT(LN(Simulations!$CS54/IF(Simulations!$J54="",1000,Simulations!$J54))))),PI()*IF(Simulations!$V54="",200,Simulations!$V54)^2/2*(LN(Simulations!$CS54/IF(Simulations!$J54="",1000,Simulations!$J54))+1))))</f>
        <v>0</v>
      </c>
      <c r="W54" s="0" t="n">
        <f aca="false">IF(NOT(AND(Simulations!$A54&lt;&gt;"",OR(Simulations!$CN54&lt;&gt;"",N(Simulations!$CP54)&gt;0))),0,MAX(N(Simulations!$CQ54),N(Simulations!$CR54),N(Simulations!$CS54))/IF(Simulations!$J54="",1000,Simulations!$J54))</f>
        <v>0</v>
      </c>
      <c r="X54" s="0" t="n">
        <f aca="false">IF(OR(NOT(AND(Simulations!$A54&lt;&gt;"",OR(Simulations!$CN54&lt;&gt;"",N(Simulations!$CP54)&gt;0))),N(Simulations!$CO54)&lt;=0),0,SQRT(2*Simulations!$CO54*1000000/(IF(Simulations!$J54="",1000,Simulations!$J54)*1000))/MIN(IF(Simulations!$T54="",200,Simulations!$T54),IF(Simulations!$U54="",200,Simulations!$U54),IF(Simulations!$V54="",200,Simulations!$V54)))</f>
        <v>0</v>
      </c>
      <c r="Y54" s="0" t="n">
        <f aca="false">IF(AND(Simulations!$A54&lt;&gt;"",OR(Simulations!$CN54&lt;&gt;"",N(Simulations!$CP54)&gt;0)),1,0)</f>
        <v>0</v>
      </c>
      <c r="Z54" s="0" t="n">
        <f aca="false">IF(OR(NOT(AND(Simulations!$A54&lt;&gt;"",OR(Simulations!$DF54&lt;&gt;"",N(Simulations!$DH54)&gt;0))),N(Simulations!$DI54)&lt;=0,N(Simulations!$DH54)&lt;=0,1&gt;N(IF(Simulations!$O54="",1,Simulations!$O54))),0,IF(Simulations!$DI54&lt;IF(Simulations!$J54="",1000,Simulations!$J54),Simulations!$DH54/(IF(Simulations!$G54="",5000,Simulations!$G54)*IF(Simulations!$H54="",5000,Simulations!$H54)*IF(IF(Simulations!$I54="",5000,Simulations!$I54)&gt;0,IF(Simulations!$I54="",5000,Simulations!$I54),1))*Simulations!$DI54*(PI()/2*IF(Simulations!$T54="",200,Simulations!$T54)^2*IF(IF(Simulations!$I54="",5000,Simulations!$I54)&gt;0,SQRT(PI()/2)*IF(Simulations!$W54="",1000,Simulations!$W54),1)),Simulations!$DH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T54="",200,Simulations!$T54)^2*IF(Simulations!$W54="",1000,Simulations!$W54)/2^1.5*(2/3*LN(Simulations!$DI54/IF(Simulations!$J54="",1000,Simulations!$J54))^1.5+SQRT(LN(Simulations!$DI54/IF(Simulations!$J54="",1000,Simulations!$J54)))+Simulations!$DI54/IF(Simulations!$J54="",1000,Simulations!$J54)*SQRT(PI())/2*ERFC(SQRT(LN(Simulations!$DI54/IF(Simulations!$J54="",1000,Simulations!$J54))))),PI()*IF(Simulations!$T54="",200,Simulations!$T54)^2/2*(LN(Simulations!$DI54/IF(Simulations!$J54="",1000,Simulations!$J54))+1))))</f>
        <v>0</v>
      </c>
      <c r="AA54" s="0" t="n">
        <f aca="false">IF(OR(NOT(AND(Simulations!$A54&lt;&gt;"",OR(Simulations!$DF54&lt;&gt;"",N(Simulations!$DH54)&gt;0))),N(Simulations!$DJ54)&lt;=0,N(Simulations!$DH54)&lt;=0,2&gt;N(IF(Simulations!$O54="",1,Simulations!$O54))),0,IF(Simulations!$DJ54&lt;IF(Simulations!$J54="",1000,Simulations!$J54),Simulations!$DH54/(IF(Simulations!$G54="",5000,Simulations!$G54)*IF(Simulations!$H54="",5000,Simulations!$H54)*IF(IF(Simulations!$I54="",5000,Simulations!$I54)&gt;0,IF(Simulations!$I54="",5000,Simulations!$I54),1))*Simulations!$DJ54*(PI()/2*IF(Simulations!$U54="",200,Simulations!$U54)^2*IF(IF(Simulations!$I54="",5000,Simulations!$I54)&gt;0,SQRT(PI()/2)*IF(Simulations!$X54="",1000,Simulations!$X54),1)),Simulations!$DH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U54="",200,Simulations!$U54)^2*IF(Simulations!$X54="",1000,Simulations!$X54)/2^1.5*(2/3*LN(Simulations!$DJ54/IF(Simulations!$J54="",1000,Simulations!$J54))^1.5+SQRT(LN(Simulations!$DJ54/IF(Simulations!$J54="",1000,Simulations!$J54)))+Simulations!$DJ54/IF(Simulations!$J54="",1000,Simulations!$J54)*SQRT(PI())/2*ERFC(SQRT(LN(Simulations!$DJ54/IF(Simulations!$J54="",1000,Simulations!$J54))))),PI()*IF(Simulations!$U54="",200,Simulations!$U54)^2/2*(LN(Simulations!$DJ54/IF(Simulations!$J54="",1000,Simulations!$J54))+1))))</f>
        <v>0</v>
      </c>
      <c r="AB54" s="0" t="n">
        <f aca="false">IF(OR(NOT(AND(Simulations!$A54&lt;&gt;"",OR(Simulations!$DF54&lt;&gt;"",N(Simulations!$DH54)&gt;0))),N(Simulations!$DK54)&lt;=0,N(Simulations!$DH54)&lt;=0,3&gt;N(IF(Simulations!$O54="",1,Simulations!$O54))),0,IF(Simulations!$DK54&lt;IF(Simulations!$J54="",1000,Simulations!$J54),Simulations!$DH54/(IF(Simulations!$G54="",5000,Simulations!$G54)*IF(Simulations!$H54="",5000,Simulations!$H54)*IF(IF(Simulations!$I54="",5000,Simulations!$I54)&gt;0,IF(Simulations!$I54="",5000,Simulations!$I54),1))*Simulations!$DK54*(PI()/2*IF(Simulations!$V54="",200,Simulations!$V54)^2*IF(IF(Simulations!$I54="",5000,Simulations!$I54)&gt;0,SQRT(PI()/2)*IF(Simulations!$Y54="",1000,Simulations!$Y54),1)),Simulations!$DH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V54="",200,Simulations!$V54)^2*IF(Simulations!$Y54="",1000,Simulations!$Y54)/2^1.5*(2/3*LN(Simulations!$DK54/IF(Simulations!$J54="",1000,Simulations!$J54))^1.5+SQRT(LN(Simulations!$DK54/IF(Simulations!$J54="",1000,Simulations!$J54)))+Simulations!$DK54/IF(Simulations!$J54="",1000,Simulations!$J54)*SQRT(PI())/2*ERFC(SQRT(LN(Simulations!$DK54/IF(Simulations!$J54="",1000,Simulations!$J54))))),PI()*IF(Simulations!$V54="",200,Simulations!$V54)^2/2*(LN(Simulations!$DK54/IF(Simulations!$J54="",1000,Simulations!$J54))+1))))</f>
        <v>0</v>
      </c>
      <c r="AC54" s="0" t="n">
        <f aca="false">IF(NOT(AND(Simulations!$A54&lt;&gt;"",OR(Simulations!$DF54&lt;&gt;"",N(Simulations!$DH54)&gt;0))),0,MAX(N(Simulations!$DI54),N(Simulations!$DJ54),N(Simulations!$DK54))/IF(Simulations!$J54="",1000,Simulations!$J54))</f>
        <v>0</v>
      </c>
      <c r="AD54" s="0" t="n">
        <f aca="false">IF(OR(NOT(AND(Simulations!$A54&lt;&gt;"",OR(Simulations!$DF54&lt;&gt;"",N(Simulations!$DH54)&gt;0))),N(Simulations!$DG54)&lt;=0),0,SQRT(2*Simulations!$DG54*1000000/(IF(Simulations!$J54="",1000,Simulations!$J54)*1000))/MIN(IF(Simulations!$T54="",200,Simulations!$T54),IF(Simulations!$U54="",200,Simulations!$U54),IF(Simulations!$V54="",200,Simulations!$V54)))</f>
        <v>0</v>
      </c>
      <c r="AE54" s="0" t="n">
        <f aca="false">IF(AND(Simulations!$A54&lt;&gt;"",OR(Simulations!$DF54&lt;&gt;"",N(Simulations!$DH54)&gt;0)),1,0)</f>
        <v>0</v>
      </c>
      <c r="AF54" s="0" t="n">
        <f aca="false">IF(OR(NOT(AND(Simulations!$A54&lt;&gt;"",OR(Simulations!$DX54&lt;&gt;"",N(Simulations!$DZ54)&gt;0))),N(Simulations!$EA54)&lt;=0,N(Simulations!$DZ54)&lt;=0,1&gt;N(IF(Simulations!$O54="",1,Simulations!$O54))),0,IF(Simulations!$EA54&lt;IF(Simulations!$J54="",1000,Simulations!$J54),Simulations!$DZ54/(IF(Simulations!$G54="",5000,Simulations!$G54)*IF(Simulations!$H54="",5000,Simulations!$H54)*IF(IF(Simulations!$I54="",5000,Simulations!$I54)&gt;0,IF(Simulations!$I54="",5000,Simulations!$I54),1))*Simulations!$EA54*(PI()/2*IF(Simulations!$T54="",200,Simulations!$T54)^2*IF(IF(Simulations!$I54="",5000,Simulations!$I54)&gt;0,SQRT(PI()/2)*IF(Simulations!$W54="",1000,Simulations!$W54),1)),Simulations!$DZ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T54="",200,Simulations!$T54)^2*IF(Simulations!$W54="",1000,Simulations!$W54)/2^1.5*(2/3*LN(Simulations!$EA54/IF(Simulations!$J54="",1000,Simulations!$J54))^1.5+SQRT(LN(Simulations!$EA54/IF(Simulations!$J54="",1000,Simulations!$J54)))+Simulations!$EA54/IF(Simulations!$J54="",1000,Simulations!$J54)*SQRT(PI())/2*ERFC(SQRT(LN(Simulations!$EA54/IF(Simulations!$J54="",1000,Simulations!$J54))))),PI()*IF(Simulations!$T54="",200,Simulations!$T54)^2/2*(LN(Simulations!$EA54/IF(Simulations!$J54="",1000,Simulations!$J54))+1))))</f>
        <v>0</v>
      </c>
      <c r="AG54" s="0" t="n">
        <f aca="false">IF(OR(NOT(AND(Simulations!$A54&lt;&gt;"",OR(Simulations!$DX54&lt;&gt;"",N(Simulations!$DZ54)&gt;0))),N(Simulations!$EB54)&lt;=0,N(Simulations!$DZ54)&lt;=0,2&gt;N(IF(Simulations!$O54="",1,Simulations!$O54))),0,IF(Simulations!$EB54&lt;IF(Simulations!$J54="",1000,Simulations!$J54),Simulations!$DZ54/(IF(Simulations!$G54="",5000,Simulations!$G54)*IF(Simulations!$H54="",5000,Simulations!$H54)*IF(IF(Simulations!$I54="",5000,Simulations!$I54)&gt;0,IF(Simulations!$I54="",5000,Simulations!$I54),1))*Simulations!$EB54*(PI()/2*IF(Simulations!$U54="",200,Simulations!$U54)^2*IF(IF(Simulations!$I54="",5000,Simulations!$I54)&gt;0,SQRT(PI()/2)*IF(Simulations!$X54="",1000,Simulations!$X54),1)),Simulations!$DZ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U54="",200,Simulations!$U54)^2*IF(Simulations!$X54="",1000,Simulations!$X54)/2^1.5*(2/3*LN(Simulations!$EB54/IF(Simulations!$J54="",1000,Simulations!$J54))^1.5+SQRT(LN(Simulations!$EB54/IF(Simulations!$J54="",1000,Simulations!$J54)))+Simulations!$EB54/IF(Simulations!$J54="",1000,Simulations!$J54)*SQRT(PI())/2*ERFC(SQRT(LN(Simulations!$EB54/IF(Simulations!$J54="",1000,Simulations!$J54))))),PI()*IF(Simulations!$U54="",200,Simulations!$U54)^2/2*(LN(Simulations!$EB54/IF(Simulations!$J54="",1000,Simulations!$J54))+1))))</f>
        <v>0</v>
      </c>
      <c r="AH54" s="0" t="n">
        <f aca="false">IF(OR(NOT(AND(Simulations!$A54&lt;&gt;"",OR(Simulations!$DX54&lt;&gt;"",N(Simulations!$DZ54)&gt;0))),N(Simulations!$EC54)&lt;=0,N(Simulations!$DZ54)&lt;=0,3&gt;N(IF(Simulations!$O54="",1,Simulations!$O54))),0,IF(Simulations!$EC54&lt;IF(Simulations!$J54="",1000,Simulations!$J54),Simulations!$DZ54/(IF(Simulations!$G54="",5000,Simulations!$G54)*IF(Simulations!$H54="",5000,Simulations!$H54)*IF(IF(Simulations!$I54="",5000,Simulations!$I54)&gt;0,IF(Simulations!$I54="",5000,Simulations!$I54),1))*Simulations!$EC54*(PI()/2*IF(Simulations!$V54="",200,Simulations!$V54)^2*IF(IF(Simulations!$I54="",5000,Simulations!$I54)&gt;0,SQRT(PI()/2)*IF(Simulations!$Y54="",1000,Simulations!$Y54),1)),Simulations!$DZ54/(IF(Simulations!$G54="",5000,Simulations!$G54)*IF(Simulations!$H54="",5000,Simulations!$H54)*IF(IF(Simulations!$I54="",5000,Simulations!$I54)&gt;0,IF(Simulations!$I54="",5000,Simulations!$I54),1))*IF(Simulations!$J54="",1000,Simulations!$J54)*IF(IF(Simulations!$I54="",5000,Simulations!$I54)&gt;0,2*PI()*IF(Simulations!$V54="",200,Simulations!$V54)^2*IF(Simulations!$Y54="",1000,Simulations!$Y54)/2^1.5*(2/3*LN(Simulations!$EC54/IF(Simulations!$J54="",1000,Simulations!$J54))^1.5+SQRT(LN(Simulations!$EC54/IF(Simulations!$J54="",1000,Simulations!$J54)))+Simulations!$EC54/IF(Simulations!$J54="",1000,Simulations!$J54)*SQRT(PI())/2*ERFC(SQRT(LN(Simulations!$EC54/IF(Simulations!$J54="",1000,Simulations!$J54))))),PI()*IF(Simulations!$V54="",200,Simulations!$V54)^2/2*(LN(Simulations!$EC54/IF(Simulations!$J54="",1000,Simulations!$J54))+1))))</f>
        <v>0</v>
      </c>
      <c r="AI54" s="0" t="n">
        <f aca="false">IF(NOT(AND(Simulations!$A54&lt;&gt;"",OR(Simulations!$DX54&lt;&gt;"",N(Simulations!$DZ54)&gt;0))),0,MAX(N(Simulations!$EA54),N(Simulations!$EB54),N(Simulations!$EC54))/IF(Simulations!$J54="",1000,Simulations!$J54))</f>
        <v>0</v>
      </c>
      <c r="AJ54" s="0" t="n">
        <f aca="false">IF(OR(NOT(AND(Simulations!$A54&lt;&gt;"",OR(Simulations!$DX54&lt;&gt;"",N(Simulations!$DZ54)&gt;0))),N(Simulations!$DY54)&lt;=0),0,SQRT(2*Simulations!$DY54*1000000/(IF(Simulations!$J54="",1000,Simulations!$J54)*1000))/MIN(IF(Simulations!$T54="",200,Simulations!$T54),IF(Simulations!$U54="",200,Simulations!$U54),IF(Simulations!$V54="",200,Simulations!$V54)))</f>
        <v>0</v>
      </c>
      <c r="AK54" s="0" t="n">
        <f aca="false">IF(AND(Simulations!$A54&lt;&gt;"",OR(Simulations!$DX54&lt;&gt;"",N(Simulations!$DZ54)&gt;0)),1,0)</f>
        <v>0</v>
      </c>
    </row>
    <row r="55" customFormat="false" ht="15" hidden="false" customHeight="false" outlineLevel="0" collapsed="false">
      <c r="B55" s="0" t="n">
        <f aca="false">IF(OR(NOT(AND(Simulations!$A55&lt;&gt;"",OR(Simulations!$AL55&lt;&gt;"",N(Simulations!$AN55)&gt;0))),N(Simulations!$AO55)&lt;=0,N(Simulations!$AN55)&lt;=0,1&gt;N(IF(Simulations!$O55="",1,Simulations!$O55))),0,IF(Simulations!$AO55&lt;IF(Simulations!$J55="",1000,Simulations!$J55),Simulations!$AN55/(IF(Simulations!$G55="",5000,Simulations!$G55)*IF(Simulations!$H55="",5000,Simulations!$H55)*IF(IF(Simulations!$I55="",5000,Simulations!$I55)&gt;0,IF(Simulations!$I55="",5000,Simulations!$I55),1))*Simulations!$AO55*(PI()/2*IF(Simulations!$T55="",200,Simulations!$T55)^2*IF(IF(Simulations!$I55="",5000,Simulations!$I55)&gt;0,SQRT(PI()/2)*IF(Simulations!$W55="",1000,Simulations!$W55),1)),Simulations!$AN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T55="",200,Simulations!$T55)^2*IF(Simulations!$W55="",1000,Simulations!$W55)/2^1.5*(2/3*LN(Simulations!$AO55/IF(Simulations!$J55="",1000,Simulations!$J55))^1.5+SQRT(LN(Simulations!$AO55/IF(Simulations!$J55="",1000,Simulations!$J55)))+Simulations!$AO55/IF(Simulations!$J55="",1000,Simulations!$J55)*SQRT(PI())/2*ERFC(SQRT(LN(Simulations!$AO55/IF(Simulations!$J55="",1000,Simulations!$J55))))),PI()*IF(Simulations!$T55="",200,Simulations!$T55)^2/2*(LN(Simulations!$AO55/IF(Simulations!$J55="",1000,Simulations!$J55))+1))))</f>
        <v>0</v>
      </c>
      <c r="C55" s="0" t="n">
        <f aca="false">IF(OR(NOT(AND(Simulations!$A55&lt;&gt;"",OR(Simulations!$AL55&lt;&gt;"",N(Simulations!$AN55)&gt;0))),N(Simulations!$AP55)&lt;=0,N(Simulations!$AN55)&lt;=0,2&gt;N(IF(Simulations!$O55="",1,Simulations!$O55))),0,IF(Simulations!$AP55&lt;IF(Simulations!$J55="",1000,Simulations!$J55),Simulations!$AN55/(IF(Simulations!$G55="",5000,Simulations!$G55)*IF(Simulations!$H55="",5000,Simulations!$H55)*IF(IF(Simulations!$I55="",5000,Simulations!$I55)&gt;0,IF(Simulations!$I55="",5000,Simulations!$I55),1))*Simulations!$AP55*(PI()/2*IF(Simulations!$U55="",200,Simulations!$U55)^2*IF(IF(Simulations!$I55="",5000,Simulations!$I55)&gt;0,SQRT(PI()/2)*IF(Simulations!$X55="",1000,Simulations!$X55),1)),Simulations!$AN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U55="",200,Simulations!$U55)^2*IF(Simulations!$X55="",1000,Simulations!$X55)/2^1.5*(2/3*LN(Simulations!$AP55/IF(Simulations!$J55="",1000,Simulations!$J55))^1.5+SQRT(LN(Simulations!$AP55/IF(Simulations!$J55="",1000,Simulations!$J55)))+Simulations!$AP55/IF(Simulations!$J55="",1000,Simulations!$J55)*SQRT(PI())/2*ERFC(SQRT(LN(Simulations!$AP55/IF(Simulations!$J55="",1000,Simulations!$J55))))),PI()*IF(Simulations!$U55="",200,Simulations!$U55)^2/2*(LN(Simulations!$AP55/IF(Simulations!$J55="",1000,Simulations!$J55))+1))))</f>
        <v>0</v>
      </c>
      <c r="D55" s="0" t="n">
        <f aca="false">IF(OR(NOT(AND(Simulations!$A55&lt;&gt;"",OR(Simulations!$AL55&lt;&gt;"",N(Simulations!$AN55)&gt;0))),N(Simulations!$AQ55)&lt;=0,N(Simulations!$AN55)&lt;=0,3&gt;N(IF(Simulations!$O55="",1,Simulations!$O55))),0,IF(Simulations!$AQ55&lt;IF(Simulations!$J55="",1000,Simulations!$J55),Simulations!$AN55/(IF(Simulations!$G55="",5000,Simulations!$G55)*IF(Simulations!$H55="",5000,Simulations!$H55)*IF(IF(Simulations!$I55="",5000,Simulations!$I55)&gt;0,IF(Simulations!$I55="",5000,Simulations!$I55),1))*Simulations!$AQ55*(PI()/2*IF(Simulations!$V55="",200,Simulations!$V55)^2*IF(IF(Simulations!$I55="",5000,Simulations!$I55)&gt;0,SQRT(PI()/2)*IF(Simulations!$Y55="",1000,Simulations!$Y55),1)),Simulations!$AN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V55="",200,Simulations!$V55)^2*IF(Simulations!$Y55="",1000,Simulations!$Y55)/2^1.5*(2/3*LN(Simulations!$AQ55/IF(Simulations!$J55="",1000,Simulations!$J55))^1.5+SQRT(LN(Simulations!$AQ55/IF(Simulations!$J55="",1000,Simulations!$J55)))+Simulations!$AQ55/IF(Simulations!$J55="",1000,Simulations!$J55)*SQRT(PI())/2*ERFC(SQRT(LN(Simulations!$AQ55/IF(Simulations!$J55="",1000,Simulations!$J55))))),PI()*IF(Simulations!$V55="",200,Simulations!$V55)^2/2*(LN(Simulations!$AQ55/IF(Simulations!$J55="",1000,Simulations!$J55))+1))))</f>
        <v>0</v>
      </c>
      <c r="E55" s="0" t="n">
        <f aca="false">IF(NOT(AND(Simulations!$A55&lt;&gt;"",OR(Simulations!$AL55&lt;&gt;"",N(Simulations!$AN55)&gt;0))),0,MAX(N(Simulations!$AO55),N(Simulations!$AP55),N(Simulations!$AQ55))/IF(Simulations!$J55="",1000,Simulations!$J55))</f>
        <v>0</v>
      </c>
      <c r="F55" s="0" t="n">
        <f aca="false">IF(OR(NOT(AND(Simulations!$A55&lt;&gt;"",OR(Simulations!$AL55&lt;&gt;"",N(Simulations!$AN55)&gt;0))),N(Simulations!$AM55)&lt;=0),0,SQRT(2*Simulations!$AM55*1000000/(IF(Simulations!$J55="",1000,Simulations!$J55)*1000))/MIN(IF(Simulations!$T55="",200,Simulations!$T55),IF(Simulations!$U55="",200,Simulations!$U55),IF(Simulations!$V55="",200,Simulations!$V55)))</f>
        <v>0</v>
      </c>
      <c r="G55" s="0" t="n">
        <f aca="false">IF(AND(Simulations!$A55&lt;&gt;"",OR(Simulations!$AL55&lt;&gt;"",N(Simulations!$AN55)&gt;0)),1,0)</f>
        <v>0</v>
      </c>
      <c r="H55" s="0" t="n">
        <f aca="false">IF(OR(NOT(AND(Simulations!$A55&lt;&gt;"",OR(Simulations!$BD55&lt;&gt;"",N(Simulations!$BF55)&gt;0))),N(Simulations!$BG55)&lt;=0,N(Simulations!$BF55)&lt;=0,1&gt;N(IF(Simulations!$O55="",1,Simulations!$O55))),0,IF(Simulations!$BG55&lt;IF(Simulations!$J55="",1000,Simulations!$J55),Simulations!$BF55/(IF(Simulations!$G55="",5000,Simulations!$G55)*IF(Simulations!$H55="",5000,Simulations!$H55)*IF(IF(Simulations!$I55="",5000,Simulations!$I55)&gt;0,IF(Simulations!$I55="",5000,Simulations!$I55),1))*Simulations!$BG55*(PI()/2*IF(Simulations!$T55="",200,Simulations!$T55)^2*IF(IF(Simulations!$I55="",5000,Simulations!$I55)&gt;0,SQRT(PI()/2)*IF(Simulations!$W55="",1000,Simulations!$W55),1)),Simulations!$BF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T55="",200,Simulations!$T55)^2*IF(Simulations!$W55="",1000,Simulations!$W55)/2^1.5*(2/3*LN(Simulations!$BG55/IF(Simulations!$J55="",1000,Simulations!$J55))^1.5+SQRT(LN(Simulations!$BG55/IF(Simulations!$J55="",1000,Simulations!$J55)))+Simulations!$BG55/IF(Simulations!$J55="",1000,Simulations!$J55)*SQRT(PI())/2*ERFC(SQRT(LN(Simulations!$BG55/IF(Simulations!$J55="",1000,Simulations!$J55))))),PI()*IF(Simulations!$T55="",200,Simulations!$T55)^2/2*(LN(Simulations!$BG55/IF(Simulations!$J55="",1000,Simulations!$J55))+1))))</f>
        <v>0</v>
      </c>
      <c r="I55" s="0" t="n">
        <f aca="false">IF(OR(NOT(AND(Simulations!$A55&lt;&gt;"",OR(Simulations!$BD55&lt;&gt;"",N(Simulations!$BF55)&gt;0))),N(Simulations!$BH55)&lt;=0,N(Simulations!$BF55)&lt;=0,2&gt;N(IF(Simulations!$O55="",1,Simulations!$O55))),0,IF(Simulations!$BH55&lt;IF(Simulations!$J55="",1000,Simulations!$J55),Simulations!$BF55/(IF(Simulations!$G55="",5000,Simulations!$G55)*IF(Simulations!$H55="",5000,Simulations!$H55)*IF(IF(Simulations!$I55="",5000,Simulations!$I55)&gt;0,IF(Simulations!$I55="",5000,Simulations!$I55),1))*Simulations!$BH55*(PI()/2*IF(Simulations!$U55="",200,Simulations!$U55)^2*IF(IF(Simulations!$I55="",5000,Simulations!$I55)&gt;0,SQRT(PI()/2)*IF(Simulations!$X55="",1000,Simulations!$X55),1)),Simulations!$BF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U55="",200,Simulations!$U55)^2*IF(Simulations!$X55="",1000,Simulations!$X55)/2^1.5*(2/3*LN(Simulations!$BH55/IF(Simulations!$J55="",1000,Simulations!$J55))^1.5+SQRT(LN(Simulations!$BH55/IF(Simulations!$J55="",1000,Simulations!$J55)))+Simulations!$BH55/IF(Simulations!$J55="",1000,Simulations!$J55)*SQRT(PI())/2*ERFC(SQRT(LN(Simulations!$BH55/IF(Simulations!$J55="",1000,Simulations!$J55))))),PI()*IF(Simulations!$U55="",200,Simulations!$U55)^2/2*(LN(Simulations!$BH55/IF(Simulations!$J55="",1000,Simulations!$J55))+1))))</f>
        <v>0</v>
      </c>
      <c r="J55" s="0" t="n">
        <f aca="false">IF(OR(NOT(AND(Simulations!$A55&lt;&gt;"",OR(Simulations!$BD55&lt;&gt;"",N(Simulations!$BF55)&gt;0))),N(Simulations!$BI55)&lt;=0,N(Simulations!$BF55)&lt;=0,3&gt;N(IF(Simulations!$O55="",1,Simulations!$O55))),0,IF(Simulations!$BI55&lt;IF(Simulations!$J55="",1000,Simulations!$J55),Simulations!$BF55/(IF(Simulations!$G55="",5000,Simulations!$G55)*IF(Simulations!$H55="",5000,Simulations!$H55)*IF(IF(Simulations!$I55="",5000,Simulations!$I55)&gt;0,IF(Simulations!$I55="",5000,Simulations!$I55),1))*Simulations!$BI55*(PI()/2*IF(Simulations!$V55="",200,Simulations!$V55)^2*IF(IF(Simulations!$I55="",5000,Simulations!$I55)&gt;0,SQRT(PI()/2)*IF(Simulations!$Y55="",1000,Simulations!$Y55),1)),Simulations!$BF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V55="",200,Simulations!$V55)^2*IF(Simulations!$Y55="",1000,Simulations!$Y55)/2^1.5*(2/3*LN(Simulations!$BI55/IF(Simulations!$J55="",1000,Simulations!$J55))^1.5+SQRT(LN(Simulations!$BI55/IF(Simulations!$J55="",1000,Simulations!$J55)))+Simulations!$BI55/IF(Simulations!$J55="",1000,Simulations!$J55)*SQRT(PI())/2*ERFC(SQRT(LN(Simulations!$BI55/IF(Simulations!$J55="",1000,Simulations!$J55))))),PI()*IF(Simulations!$V55="",200,Simulations!$V55)^2/2*(LN(Simulations!$BI55/IF(Simulations!$J55="",1000,Simulations!$J55))+1))))</f>
        <v>0</v>
      </c>
      <c r="K55" s="0" t="n">
        <f aca="false">IF(NOT(AND(Simulations!$A55&lt;&gt;"",OR(Simulations!$BD55&lt;&gt;"",N(Simulations!$BF55)&gt;0))),0,MAX(N(Simulations!$BG55),N(Simulations!$BH55),N(Simulations!$BI55))/IF(Simulations!$J55="",1000,Simulations!$J55))</f>
        <v>0</v>
      </c>
      <c r="L55" s="0" t="n">
        <f aca="false">IF(OR(NOT(AND(Simulations!$A55&lt;&gt;"",OR(Simulations!$BD55&lt;&gt;"",N(Simulations!$BF55)&gt;0))),N(Simulations!$BE55)&lt;=0),0,SQRT(2*Simulations!$BE55*1000000/(IF(Simulations!$J55="",1000,Simulations!$J55)*1000))/MIN(IF(Simulations!$T55="",200,Simulations!$T55),IF(Simulations!$U55="",200,Simulations!$U55),IF(Simulations!$V55="",200,Simulations!$V55)))</f>
        <v>0</v>
      </c>
      <c r="M55" s="0" t="n">
        <f aca="false">IF(AND(Simulations!$A55&lt;&gt;"",OR(Simulations!$BD55&lt;&gt;"",N(Simulations!$BF55)&gt;0)),1,0)</f>
        <v>0</v>
      </c>
      <c r="N55" s="0" t="n">
        <f aca="false">IF(OR(NOT(AND(Simulations!$A55&lt;&gt;"",OR(Simulations!$BV55&lt;&gt;"",N(Simulations!$BX55)&gt;0))),N(Simulations!$BY55)&lt;=0,N(Simulations!$BX55)&lt;=0,1&gt;N(IF(Simulations!$O55="",1,Simulations!$O55))),0,IF(Simulations!$BY55&lt;IF(Simulations!$J55="",1000,Simulations!$J55),Simulations!$BX55/(IF(Simulations!$G55="",5000,Simulations!$G55)*IF(Simulations!$H55="",5000,Simulations!$H55)*IF(IF(Simulations!$I55="",5000,Simulations!$I55)&gt;0,IF(Simulations!$I55="",5000,Simulations!$I55),1))*Simulations!$BY55*(PI()/2*IF(Simulations!$T55="",200,Simulations!$T55)^2*IF(IF(Simulations!$I55="",5000,Simulations!$I55)&gt;0,SQRT(PI()/2)*IF(Simulations!$W55="",1000,Simulations!$W55),1)),Simulations!$BX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T55="",200,Simulations!$T55)^2*IF(Simulations!$W55="",1000,Simulations!$W55)/2^1.5*(2/3*LN(Simulations!$BY55/IF(Simulations!$J55="",1000,Simulations!$J55))^1.5+SQRT(LN(Simulations!$BY55/IF(Simulations!$J55="",1000,Simulations!$J55)))+Simulations!$BY55/IF(Simulations!$J55="",1000,Simulations!$J55)*SQRT(PI())/2*ERFC(SQRT(LN(Simulations!$BY55/IF(Simulations!$J55="",1000,Simulations!$J55))))),PI()*IF(Simulations!$T55="",200,Simulations!$T55)^2/2*(LN(Simulations!$BY55/IF(Simulations!$J55="",1000,Simulations!$J55))+1))))</f>
        <v>0</v>
      </c>
      <c r="O55" s="0" t="n">
        <f aca="false">IF(OR(NOT(AND(Simulations!$A55&lt;&gt;"",OR(Simulations!$BV55&lt;&gt;"",N(Simulations!$BX55)&gt;0))),N(Simulations!$BZ55)&lt;=0,N(Simulations!$BX55)&lt;=0,2&gt;N(IF(Simulations!$O55="",1,Simulations!$O55))),0,IF(Simulations!$BZ55&lt;IF(Simulations!$J55="",1000,Simulations!$J55),Simulations!$BX55/(IF(Simulations!$G55="",5000,Simulations!$G55)*IF(Simulations!$H55="",5000,Simulations!$H55)*IF(IF(Simulations!$I55="",5000,Simulations!$I55)&gt;0,IF(Simulations!$I55="",5000,Simulations!$I55),1))*Simulations!$BZ55*(PI()/2*IF(Simulations!$U55="",200,Simulations!$U55)^2*IF(IF(Simulations!$I55="",5000,Simulations!$I55)&gt;0,SQRT(PI()/2)*IF(Simulations!$X55="",1000,Simulations!$X55),1)),Simulations!$BX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U55="",200,Simulations!$U55)^2*IF(Simulations!$X55="",1000,Simulations!$X55)/2^1.5*(2/3*LN(Simulations!$BZ55/IF(Simulations!$J55="",1000,Simulations!$J55))^1.5+SQRT(LN(Simulations!$BZ55/IF(Simulations!$J55="",1000,Simulations!$J55)))+Simulations!$BZ55/IF(Simulations!$J55="",1000,Simulations!$J55)*SQRT(PI())/2*ERFC(SQRT(LN(Simulations!$BZ55/IF(Simulations!$J55="",1000,Simulations!$J55))))),PI()*IF(Simulations!$U55="",200,Simulations!$U55)^2/2*(LN(Simulations!$BZ55/IF(Simulations!$J55="",1000,Simulations!$J55))+1))))</f>
        <v>0</v>
      </c>
      <c r="P55" s="0" t="n">
        <f aca="false">IF(OR(NOT(AND(Simulations!$A55&lt;&gt;"",OR(Simulations!$BV55&lt;&gt;"",N(Simulations!$BX55)&gt;0))),N(Simulations!$CA55)&lt;=0,N(Simulations!$BX55)&lt;=0,3&gt;N(IF(Simulations!$O55="",1,Simulations!$O55))),0,IF(Simulations!$CA55&lt;IF(Simulations!$J55="",1000,Simulations!$J55),Simulations!$BX55/(IF(Simulations!$G55="",5000,Simulations!$G55)*IF(Simulations!$H55="",5000,Simulations!$H55)*IF(IF(Simulations!$I55="",5000,Simulations!$I55)&gt;0,IF(Simulations!$I55="",5000,Simulations!$I55),1))*Simulations!$CA55*(PI()/2*IF(Simulations!$V55="",200,Simulations!$V55)^2*IF(IF(Simulations!$I55="",5000,Simulations!$I55)&gt;0,SQRT(PI()/2)*IF(Simulations!$Y55="",1000,Simulations!$Y55),1)),Simulations!$BX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V55="",200,Simulations!$V55)^2*IF(Simulations!$Y55="",1000,Simulations!$Y55)/2^1.5*(2/3*LN(Simulations!$CA55/IF(Simulations!$J55="",1000,Simulations!$J55))^1.5+SQRT(LN(Simulations!$CA55/IF(Simulations!$J55="",1000,Simulations!$J55)))+Simulations!$CA55/IF(Simulations!$J55="",1000,Simulations!$J55)*SQRT(PI())/2*ERFC(SQRT(LN(Simulations!$CA55/IF(Simulations!$J55="",1000,Simulations!$J55))))),PI()*IF(Simulations!$V55="",200,Simulations!$V55)^2/2*(LN(Simulations!$CA55/IF(Simulations!$J55="",1000,Simulations!$J55))+1))))</f>
        <v>0</v>
      </c>
      <c r="Q55" s="0" t="n">
        <f aca="false">IF(NOT(AND(Simulations!$A55&lt;&gt;"",OR(Simulations!$BV55&lt;&gt;"",N(Simulations!$BX55)&gt;0))),0,MAX(N(Simulations!$BY55),N(Simulations!$BZ55),N(Simulations!$CA55))/IF(Simulations!$J55="",1000,Simulations!$J55))</f>
        <v>0</v>
      </c>
      <c r="R55" s="0" t="n">
        <f aca="false">IF(OR(NOT(AND(Simulations!$A55&lt;&gt;"",OR(Simulations!$BV55&lt;&gt;"",N(Simulations!$BX55)&gt;0))),N(Simulations!$BW55)&lt;=0),0,SQRT(2*Simulations!$BW55*1000000/(IF(Simulations!$J55="",1000,Simulations!$J55)*1000))/MIN(IF(Simulations!$T55="",200,Simulations!$T55),IF(Simulations!$U55="",200,Simulations!$U55),IF(Simulations!$V55="",200,Simulations!$V55)))</f>
        <v>0</v>
      </c>
      <c r="S55" s="0" t="n">
        <f aca="false">IF(AND(Simulations!$A55&lt;&gt;"",OR(Simulations!$BV55&lt;&gt;"",N(Simulations!$BX55)&gt;0)),1,0)</f>
        <v>0</v>
      </c>
      <c r="T55" s="0" t="n">
        <f aca="false">IF(OR(NOT(AND(Simulations!$A55&lt;&gt;"",OR(Simulations!$CN55&lt;&gt;"",N(Simulations!$CP55)&gt;0))),N(Simulations!$CQ55)&lt;=0,N(Simulations!$CP55)&lt;=0,1&gt;N(IF(Simulations!$O55="",1,Simulations!$O55))),0,IF(Simulations!$CQ55&lt;IF(Simulations!$J55="",1000,Simulations!$J55),Simulations!$CP55/(IF(Simulations!$G55="",5000,Simulations!$G55)*IF(Simulations!$H55="",5000,Simulations!$H55)*IF(IF(Simulations!$I55="",5000,Simulations!$I55)&gt;0,IF(Simulations!$I55="",5000,Simulations!$I55),1))*Simulations!$CQ55*(PI()/2*IF(Simulations!$T55="",200,Simulations!$T55)^2*IF(IF(Simulations!$I55="",5000,Simulations!$I55)&gt;0,SQRT(PI()/2)*IF(Simulations!$W55="",1000,Simulations!$W55),1)),Simulations!$CP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T55="",200,Simulations!$T55)^2*IF(Simulations!$W55="",1000,Simulations!$W55)/2^1.5*(2/3*LN(Simulations!$CQ55/IF(Simulations!$J55="",1000,Simulations!$J55))^1.5+SQRT(LN(Simulations!$CQ55/IF(Simulations!$J55="",1000,Simulations!$J55)))+Simulations!$CQ55/IF(Simulations!$J55="",1000,Simulations!$J55)*SQRT(PI())/2*ERFC(SQRT(LN(Simulations!$CQ55/IF(Simulations!$J55="",1000,Simulations!$J55))))),PI()*IF(Simulations!$T55="",200,Simulations!$T55)^2/2*(LN(Simulations!$CQ55/IF(Simulations!$J55="",1000,Simulations!$J55))+1))))</f>
        <v>0</v>
      </c>
      <c r="U55" s="0" t="n">
        <f aca="false">IF(OR(NOT(AND(Simulations!$A55&lt;&gt;"",OR(Simulations!$CN55&lt;&gt;"",N(Simulations!$CP55)&gt;0))),N(Simulations!$CR55)&lt;=0,N(Simulations!$CP55)&lt;=0,2&gt;N(IF(Simulations!$O55="",1,Simulations!$O55))),0,IF(Simulations!$CR55&lt;IF(Simulations!$J55="",1000,Simulations!$J55),Simulations!$CP55/(IF(Simulations!$G55="",5000,Simulations!$G55)*IF(Simulations!$H55="",5000,Simulations!$H55)*IF(IF(Simulations!$I55="",5000,Simulations!$I55)&gt;0,IF(Simulations!$I55="",5000,Simulations!$I55),1))*Simulations!$CR55*(PI()/2*IF(Simulations!$U55="",200,Simulations!$U55)^2*IF(IF(Simulations!$I55="",5000,Simulations!$I55)&gt;0,SQRT(PI()/2)*IF(Simulations!$X55="",1000,Simulations!$X55),1)),Simulations!$CP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U55="",200,Simulations!$U55)^2*IF(Simulations!$X55="",1000,Simulations!$X55)/2^1.5*(2/3*LN(Simulations!$CR55/IF(Simulations!$J55="",1000,Simulations!$J55))^1.5+SQRT(LN(Simulations!$CR55/IF(Simulations!$J55="",1000,Simulations!$J55)))+Simulations!$CR55/IF(Simulations!$J55="",1000,Simulations!$J55)*SQRT(PI())/2*ERFC(SQRT(LN(Simulations!$CR55/IF(Simulations!$J55="",1000,Simulations!$J55))))),PI()*IF(Simulations!$U55="",200,Simulations!$U55)^2/2*(LN(Simulations!$CR55/IF(Simulations!$J55="",1000,Simulations!$J55))+1))))</f>
        <v>0</v>
      </c>
      <c r="V55" s="0" t="n">
        <f aca="false">IF(OR(NOT(AND(Simulations!$A55&lt;&gt;"",OR(Simulations!$CN55&lt;&gt;"",N(Simulations!$CP55)&gt;0))),N(Simulations!$CS55)&lt;=0,N(Simulations!$CP55)&lt;=0,3&gt;N(IF(Simulations!$O55="",1,Simulations!$O55))),0,IF(Simulations!$CS55&lt;IF(Simulations!$J55="",1000,Simulations!$J55),Simulations!$CP55/(IF(Simulations!$G55="",5000,Simulations!$G55)*IF(Simulations!$H55="",5000,Simulations!$H55)*IF(IF(Simulations!$I55="",5000,Simulations!$I55)&gt;0,IF(Simulations!$I55="",5000,Simulations!$I55),1))*Simulations!$CS55*(PI()/2*IF(Simulations!$V55="",200,Simulations!$V55)^2*IF(IF(Simulations!$I55="",5000,Simulations!$I55)&gt;0,SQRT(PI()/2)*IF(Simulations!$Y55="",1000,Simulations!$Y55),1)),Simulations!$CP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V55="",200,Simulations!$V55)^2*IF(Simulations!$Y55="",1000,Simulations!$Y55)/2^1.5*(2/3*LN(Simulations!$CS55/IF(Simulations!$J55="",1000,Simulations!$J55))^1.5+SQRT(LN(Simulations!$CS55/IF(Simulations!$J55="",1000,Simulations!$J55)))+Simulations!$CS55/IF(Simulations!$J55="",1000,Simulations!$J55)*SQRT(PI())/2*ERFC(SQRT(LN(Simulations!$CS55/IF(Simulations!$J55="",1000,Simulations!$J55))))),PI()*IF(Simulations!$V55="",200,Simulations!$V55)^2/2*(LN(Simulations!$CS55/IF(Simulations!$J55="",1000,Simulations!$J55))+1))))</f>
        <v>0</v>
      </c>
      <c r="W55" s="0" t="n">
        <f aca="false">IF(NOT(AND(Simulations!$A55&lt;&gt;"",OR(Simulations!$CN55&lt;&gt;"",N(Simulations!$CP55)&gt;0))),0,MAX(N(Simulations!$CQ55),N(Simulations!$CR55),N(Simulations!$CS55))/IF(Simulations!$J55="",1000,Simulations!$J55))</f>
        <v>0</v>
      </c>
      <c r="X55" s="0" t="n">
        <f aca="false">IF(OR(NOT(AND(Simulations!$A55&lt;&gt;"",OR(Simulations!$CN55&lt;&gt;"",N(Simulations!$CP55)&gt;0))),N(Simulations!$CO55)&lt;=0),0,SQRT(2*Simulations!$CO55*1000000/(IF(Simulations!$J55="",1000,Simulations!$J55)*1000))/MIN(IF(Simulations!$T55="",200,Simulations!$T55),IF(Simulations!$U55="",200,Simulations!$U55),IF(Simulations!$V55="",200,Simulations!$V55)))</f>
        <v>0</v>
      </c>
      <c r="Y55" s="0" t="n">
        <f aca="false">IF(AND(Simulations!$A55&lt;&gt;"",OR(Simulations!$CN55&lt;&gt;"",N(Simulations!$CP55)&gt;0)),1,0)</f>
        <v>0</v>
      </c>
      <c r="Z55" s="0" t="n">
        <f aca="false">IF(OR(NOT(AND(Simulations!$A55&lt;&gt;"",OR(Simulations!$DF55&lt;&gt;"",N(Simulations!$DH55)&gt;0))),N(Simulations!$DI55)&lt;=0,N(Simulations!$DH55)&lt;=0,1&gt;N(IF(Simulations!$O55="",1,Simulations!$O55))),0,IF(Simulations!$DI55&lt;IF(Simulations!$J55="",1000,Simulations!$J55),Simulations!$DH55/(IF(Simulations!$G55="",5000,Simulations!$G55)*IF(Simulations!$H55="",5000,Simulations!$H55)*IF(IF(Simulations!$I55="",5000,Simulations!$I55)&gt;0,IF(Simulations!$I55="",5000,Simulations!$I55),1))*Simulations!$DI55*(PI()/2*IF(Simulations!$T55="",200,Simulations!$T55)^2*IF(IF(Simulations!$I55="",5000,Simulations!$I55)&gt;0,SQRT(PI()/2)*IF(Simulations!$W55="",1000,Simulations!$W55),1)),Simulations!$DH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T55="",200,Simulations!$T55)^2*IF(Simulations!$W55="",1000,Simulations!$W55)/2^1.5*(2/3*LN(Simulations!$DI55/IF(Simulations!$J55="",1000,Simulations!$J55))^1.5+SQRT(LN(Simulations!$DI55/IF(Simulations!$J55="",1000,Simulations!$J55)))+Simulations!$DI55/IF(Simulations!$J55="",1000,Simulations!$J55)*SQRT(PI())/2*ERFC(SQRT(LN(Simulations!$DI55/IF(Simulations!$J55="",1000,Simulations!$J55))))),PI()*IF(Simulations!$T55="",200,Simulations!$T55)^2/2*(LN(Simulations!$DI55/IF(Simulations!$J55="",1000,Simulations!$J55))+1))))</f>
        <v>0</v>
      </c>
      <c r="AA55" s="0" t="n">
        <f aca="false">IF(OR(NOT(AND(Simulations!$A55&lt;&gt;"",OR(Simulations!$DF55&lt;&gt;"",N(Simulations!$DH55)&gt;0))),N(Simulations!$DJ55)&lt;=0,N(Simulations!$DH55)&lt;=0,2&gt;N(IF(Simulations!$O55="",1,Simulations!$O55))),0,IF(Simulations!$DJ55&lt;IF(Simulations!$J55="",1000,Simulations!$J55),Simulations!$DH55/(IF(Simulations!$G55="",5000,Simulations!$G55)*IF(Simulations!$H55="",5000,Simulations!$H55)*IF(IF(Simulations!$I55="",5000,Simulations!$I55)&gt;0,IF(Simulations!$I55="",5000,Simulations!$I55),1))*Simulations!$DJ55*(PI()/2*IF(Simulations!$U55="",200,Simulations!$U55)^2*IF(IF(Simulations!$I55="",5000,Simulations!$I55)&gt;0,SQRT(PI()/2)*IF(Simulations!$X55="",1000,Simulations!$X55),1)),Simulations!$DH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U55="",200,Simulations!$U55)^2*IF(Simulations!$X55="",1000,Simulations!$X55)/2^1.5*(2/3*LN(Simulations!$DJ55/IF(Simulations!$J55="",1000,Simulations!$J55))^1.5+SQRT(LN(Simulations!$DJ55/IF(Simulations!$J55="",1000,Simulations!$J55)))+Simulations!$DJ55/IF(Simulations!$J55="",1000,Simulations!$J55)*SQRT(PI())/2*ERFC(SQRT(LN(Simulations!$DJ55/IF(Simulations!$J55="",1000,Simulations!$J55))))),PI()*IF(Simulations!$U55="",200,Simulations!$U55)^2/2*(LN(Simulations!$DJ55/IF(Simulations!$J55="",1000,Simulations!$J55))+1))))</f>
        <v>0</v>
      </c>
      <c r="AB55" s="0" t="n">
        <f aca="false">IF(OR(NOT(AND(Simulations!$A55&lt;&gt;"",OR(Simulations!$DF55&lt;&gt;"",N(Simulations!$DH55)&gt;0))),N(Simulations!$DK55)&lt;=0,N(Simulations!$DH55)&lt;=0,3&gt;N(IF(Simulations!$O55="",1,Simulations!$O55))),0,IF(Simulations!$DK55&lt;IF(Simulations!$J55="",1000,Simulations!$J55),Simulations!$DH55/(IF(Simulations!$G55="",5000,Simulations!$G55)*IF(Simulations!$H55="",5000,Simulations!$H55)*IF(IF(Simulations!$I55="",5000,Simulations!$I55)&gt;0,IF(Simulations!$I55="",5000,Simulations!$I55),1))*Simulations!$DK55*(PI()/2*IF(Simulations!$V55="",200,Simulations!$V55)^2*IF(IF(Simulations!$I55="",5000,Simulations!$I55)&gt;0,SQRT(PI()/2)*IF(Simulations!$Y55="",1000,Simulations!$Y55),1)),Simulations!$DH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V55="",200,Simulations!$V55)^2*IF(Simulations!$Y55="",1000,Simulations!$Y55)/2^1.5*(2/3*LN(Simulations!$DK55/IF(Simulations!$J55="",1000,Simulations!$J55))^1.5+SQRT(LN(Simulations!$DK55/IF(Simulations!$J55="",1000,Simulations!$J55)))+Simulations!$DK55/IF(Simulations!$J55="",1000,Simulations!$J55)*SQRT(PI())/2*ERFC(SQRT(LN(Simulations!$DK55/IF(Simulations!$J55="",1000,Simulations!$J55))))),PI()*IF(Simulations!$V55="",200,Simulations!$V55)^2/2*(LN(Simulations!$DK55/IF(Simulations!$J55="",1000,Simulations!$J55))+1))))</f>
        <v>0</v>
      </c>
      <c r="AC55" s="0" t="n">
        <f aca="false">IF(NOT(AND(Simulations!$A55&lt;&gt;"",OR(Simulations!$DF55&lt;&gt;"",N(Simulations!$DH55)&gt;0))),0,MAX(N(Simulations!$DI55),N(Simulations!$DJ55),N(Simulations!$DK55))/IF(Simulations!$J55="",1000,Simulations!$J55))</f>
        <v>0</v>
      </c>
      <c r="AD55" s="0" t="n">
        <f aca="false">IF(OR(NOT(AND(Simulations!$A55&lt;&gt;"",OR(Simulations!$DF55&lt;&gt;"",N(Simulations!$DH55)&gt;0))),N(Simulations!$DG55)&lt;=0),0,SQRT(2*Simulations!$DG55*1000000/(IF(Simulations!$J55="",1000,Simulations!$J55)*1000))/MIN(IF(Simulations!$T55="",200,Simulations!$T55),IF(Simulations!$U55="",200,Simulations!$U55),IF(Simulations!$V55="",200,Simulations!$V55)))</f>
        <v>0</v>
      </c>
      <c r="AE55" s="0" t="n">
        <f aca="false">IF(AND(Simulations!$A55&lt;&gt;"",OR(Simulations!$DF55&lt;&gt;"",N(Simulations!$DH55)&gt;0)),1,0)</f>
        <v>0</v>
      </c>
      <c r="AF55" s="0" t="n">
        <f aca="false">IF(OR(NOT(AND(Simulations!$A55&lt;&gt;"",OR(Simulations!$DX55&lt;&gt;"",N(Simulations!$DZ55)&gt;0))),N(Simulations!$EA55)&lt;=0,N(Simulations!$DZ55)&lt;=0,1&gt;N(IF(Simulations!$O55="",1,Simulations!$O55))),0,IF(Simulations!$EA55&lt;IF(Simulations!$J55="",1000,Simulations!$J55),Simulations!$DZ55/(IF(Simulations!$G55="",5000,Simulations!$G55)*IF(Simulations!$H55="",5000,Simulations!$H55)*IF(IF(Simulations!$I55="",5000,Simulations!$I55)&gt;0,IF(Simulations!$I55="",5000,Simulations!$I55),1))*Simulations!$EA55*(PI()/2*IF(Simulations!$T55="",200,Simulations!$T55)^2*IF(IF(Simulations!$I55="",5000,Simulations!$I55)&gt;0,SQRT(PI()/2)*IF(Simulations!$W55="",1000,Simulations!$W55),1)),Simulations!$DZ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T55="",200,Simulations!$T55)^2*IF(Simulations!$W55="",1000,Simulations!$W55)/2^1.5*(2/3*LN(Simulations!$EA55/IF(Simulations!$J55="",1000,Simulations!$J55))^1.5+SQRT(LN(Simulations!$EA55/IF(Simulations!$J55="",1000,Simulations!$J55)))+Simulations!$EA55/IF(Simulations!$J55="",1000,Simulations!$J55)*SQRT(PI())/2*ERFC(SQRT(LN(Simulations!$EA55/IF(Simulations!$J55="",1000,Simulations!$J55))))),PI()*IF(Simulations!$T55="",200,Simulations!$T55)^2/2*(LN(Simulations!$EA55/IF(Simulations!$J55="",1000,Simulations!$J55))+1))))</f>
        <v>0</v>
      </c>
      <c r="AG55" s="0" t="n">
        <f aca="false">IF(OR(NOT(AND(Simulations!$A55&lt;&gt;"",OR(Simulations!$DX55&lt;&gt;"",N(Simulations!$DZ55)&gt;0))),N(Simulations!$EB55)&lt;=0,N(Simulations!$DZ55)&lt;=0,2&gt;N(IF(Simulations!$O55="",1,Simulations!$O55))),0,IF(Simulations!$EB55&lt;IF(Simulations!$J55="",1000,Simulations!$J55),Simulations!$DZ55/(IF(Simulations!$G55="",5000,Simulations!$G55)*IF(Simulations!$H55="",5000,Simulations!$H55)*IF(IF(Simulations!$I55="",5000,Simulations!$I55)&gt;0,IF(Simulations!$I55="",5000,Simulations!$I55),1))*Simulations!$EB55*(PI()/2*IF(Simulations!$U55="",200,Simulations!$U55)^2*IF(IF(Simulations!$I55="",5000,Simulations!$I55)&gt;0,SQRT(PI()/2)*IF(Simulations!$X55="",1000,Simulations!$X55),1)),Simulations!$DZ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U55="",200,Simulations!$U55)^2*IF(Simulations!$X55="",1000,Simulations!$X55)/2^1.5*(2/3*LN(Simulations!$EB55/IF(Simulations!$J55="",1000,Simulations!$J55))^1.5+SQRT(LN(Simulations!$EB55/IF(Simulations!$J55="",1000,Simulations!$J55)))+Simulations!$EB55/IF(Simulations!$J55="",1000,Simulations!$J55)*SQRT(PI())/2*ERFC(SQRT(LN(Simulations!$EB55/IF(Simulations!$J55="",1000,Simulations!$J55))))),PI()*IF(Simulations!$U55="",200,Simulations!$U55)^2/2*(LN(Simulations!$EB55/IF(Simulations!$J55="",1000,Simulations!$J55))+1))))</f>
        <v>0</v>
      </c>
      <c r="AH55" s="0" t="n">
        <f aca="false">IF(OR(NOT(AND(Simulations!$A55&lt;&gt;"",OR(Simulations!$DX55&lt;&gt;"",N(Simulations!$DZ55)&gt;0))),N(Simulations!$EC55)&lt;=0,N(Simulations!$DZ55)&lt;=0,3&gt;N(IF(Simulations!$O55="",1,Simulations!$O55))),0,IF(Simulations!$EC55&lt;IF(Simulations!$J55="",1000,Simulations!$J55),Simulations!$DZ55/(IF(Simulations!$G55="",5000,Simulations!$G55)*IF(Simulations!$H55="",5000,Simulations!$H55)*IF(IF(Simulations!$I55="",5000,Simulations!$I55)&gt;0,IF(Simulations!$I55="",5000,Simulations!$I55),1))*Simulations!$EC55*(PI()/2*IF(Simulations!$V55="",200,Simulations!$V55)^2*IF(IF(Simulations!$I55="",5000,Simulations!$I55)&gt;0,SQRT(PI()/2)*IF(Simulations!$Y55="",1000,Simulations!$Y55),1)),Simulations!$DZ55/(IF(Simulations!$G55="",5000,Simulations!$G55)*IF(Simulations!$H55="",5000,Simulations!$H55)*IF(IF(Simulations!$I55="",5000,Simulations!$I55)&gt;0,IF(Simulations!$I55="",5000,Simulations!$I55),1))*IF(Simulations!$J55="",1000,Simulations!$J55)*IF(IF(Simulations!$I55="",5000,Simulations!$I55)&gt;0,2*PI()*IF(Simulations!$V55="",200,Simulations!$V55)^2*IF(Simulations!$Y55="",1000,Simulations!$Y55)/2^1.5*(2/3*LN(Simulations!$EC55/IF(Simulations!$J55="",1000,Simulations!$J55))^1.5+SQRT(LN(Simulations!$EC55/IF(Simulations!$J55="",1000,Simulations!$J55)))+Simulations!$EC55/IF(Simulations!$J55="",1000,Simulations!$J55)*SQRT(PI())/2*ERFC(SQRT(LN(Simulations!$EC55/IF(Simulations!$J55="",1000,Simulations!$J55))))),PI()*IF(Simulations!$V55="",200,Simulations!$V55)^2/2*(LN(Simulations!$EC55/IF(Simulations!$J55="",1000,Simulations!$J55))+1))))</f>
        <v>0</v>
      </c>
      <c r="AI55" s="0" t="n">
        <f aca="false">IF(NOT(AND(Simulations!$A55&lt;&gt;"",OR(Simulations!$DX55&lt;&gt;"",N(Simulations!$DZ55)&gt;0))),0,MAX(N(Simulations!$EA55),N(Simulations!$EB55),N(Simulations!$EC55))/IF(Simulations!$J55="",1000,Simulations!$J55))</f>
        <v>0</v>
      </c>
      <c r="AJ55" s="0" t="n">
        <f aca="false">IF(OR(NOT(AND(Simulations!$A55&lt;&gt;"",OR(Simulations!$DX55&lt;&gt;"",N(Simulations!$DZ55)&gt;0))),N(Simulations!$DY55)&lt;=0),0,SQRT(2*Simulations!$DY55*1000000/(IF(Simulations!$J55="",1000,Simulations!$J55)*1000))/MIN(IF(Simulations!$T55="",200,Simulations!$T55),IF(Simulations!$U55="",200,Simulations!$U55),IF(Simulations!$V55="",200,Simulations!$V55)))</f>
        <v>0</v>
      </c>
      <c r="AK55" s="0" t="n">
        <f aca="false">IF(AND(Simulations!$A55&lt;&gt;"",OR(Simulations!$DX55&lt;&gt;"",N(Simulations!$DZ55)&gt;0)),1,0)</f>
        <v>0</v>
      </c>
    </row>
    <row r="56" customFormat="false" ht="15" hidden="false" customHeight="false" outlineLevel="0" collapsed="false">
      <c r="B56" s="0" t="n">
        <f aca="false">IF(OR(NOT(AND(Simulations!$A56&lt;&gt;"",OR(Simulations!$AL56&lt;&gt;"",N(Simulations!$AN56)&gt;0))),N(Simulations!$AO56)&lt;=0,N(Simulations!$AN56)&lt;=0,1&gt;N(IF(Simulations!$O56="",1,Simulations!$O56))),0,IF(Simulations!$AO56&lt;IF(Simulations!$J56="",1000,Simulations!$J56),Simulations!$AN56/(IF(Simulations!$G56="",5000,Simulations!$G56)*IF(Simulations!$H56="",5000,Simulations!$H56)*IF(IF(Simulations!$I56="",5000,Simulations!$I56)&gt;0,IF(Simulations!$I56="",5000,Simulations!$I56),1))*Simulations!$AO56*(PI()/2*IF(Simulations!$T56="",200,Simulations!$T56)^2*IF(IF(Simulations!$I56="",5000,Simulations!$I56)&gt;0,SQRT(PI()/2)*IF(Simulations!$W56="",1000,Simulations!$W56),1)),Simulations!$AN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T56="",200,Simulations!$T56)^2*IF(Simulations!$W56="",1000,Simulations!$W56)/2^1.5*(2/3*LN(Simulations!$AO56/IF(Simulations!$J56="",1000,Simulations!$J56))^1.5+SQRT(LN(Simulations!$AO56/IF(Simulations!$J56="",1000,Simulations!$J56)))+Simulations!$AO56/IF(Simulations!$J56="",1000,Simulations!$J56)*SQRT(PI())/2*ERFC(SQRT(LN(Simulations!$AO56/IF(Simulations!$J56="",1000,Simulations!$J56))))),PI()*IF(Simulations!$T56="",200,Simulations!$T56)^2/2*(LN(Simulations!$AO56/IF(Simulations!$J56="",1000,Simulations!$J56))+1))))</f>
        <v>0</v>
      </c>
      <c r="C56" s="0" t="n">
        <f aca="false">IF(OR(NOT(AND(Simulations!$A56&lt;&gt;"",OR(Simulations!$AL56&lt;&gt;"",N(Simulations!$AN56)&gt;0))),N(Simulations!$AP56)&lt;=0,N(Simulations!$AN56)&lt;=0,2&gt;N(IF(Simulations!$O56="",1,Simulations!$O56))),0,IF(Simulations!$AP56&lt;IF(Simulations!$J56="",1000,Simulations!$J56),Simulations!$AN56/(IF(Simulations!$G56="",5000,Simulations!$G56)*IF(Simulations!$H56="",5000,Simulations!$H56)*IF(IF(Simulations!$I56="",5000,Simulations!$I56)&gt;0,IF(Simulations!$I56="",5000,Simulations!$I56),1))*Simulations!$AP56*(PI()/2*IF(Simulations!$U56="",200,Simulations!$U56)^2*IF(IF(Simulations!$I56="",5000,Simulations!$I56)&gt;0,SQRT(PI()/2)*IF(Simulations!$X56="",1000,Simulations!$X56),1)),Simulations!$AN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U56="",200,Simulations!$U56)^2*IF(Simulations!$X56="",1000,Simulations!$X56)/2^1.5*(2/3*LN(Simulations!$AP56/IF(Simulations!$J56="",1000,Simulations!$J56))^1.5+SQRT(LN(Simulations!$AP56/IF(Simulations!$J56="",1000,Simulations!$J56)))+Simulations!$AP56/IF(Simulations!$J56="",1000,Simulations!$J56)*SQRT(PI())/2*ERFC(SQRT(LN(Simulations!$AP56/IF(Simulations!$J56="",1000,Simulations!$J56))))),PI()*IF(Simulations!$U56="",200,Simulations!$U56)^2/2*(LN(Simulations!$AP56/IF(Simulations!$J56="",1000,Simulations!$J56))+1))))</f>
        <v>0</v>
      </c>
      <c r="D56" s="0" t="n">
        <f aca="false">IF(OR(NOT(AND(Simulations!$A56&lt;&gt;"",OR(Simulations!$AL56&lt;&gt;"",N(Simulations!$AN56)&gt;0))),N(Simulations!$AQ56)&lt;=0,N(Simulations!$AN56)&lt;=0,3&gt;N(IF(Simulations!$O56="",1,Simulations!$O56))),0,IF(Simulations!$AQ56&lt;IF(Simulations!$J56="",1000,Simulations!$J56),Simulations!$AN56/(IF(Simulations!$G56="",5000,Simulations!$G56)*IF(Simulations!$H56="",5000,Simulations!$H56)*IF(IF(Simulations!$I56="",5000,Simulations!$I56)&gt;0,IF(Simulations!$I56="",5000,Simulations!$I56),1))*Simulations!$AQ56*(PI()/2*IF(Simulations!$V56="",200,Simulations!$V56)^2*IF(IF(Simulations!$I56="",5000,Simulations!$I56)&gt;0,SQRT(PI()/2)*IF(Simulations!$Y56="",1000,Simulations!$Y56),1)),Simulations!$AN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V56="",200,Simulations!$V56)^2*IF(Simulations!$Y56="",1000,Simulations!$Y56)/2^1.5*(2/3*LN(Simulations!$AQ56/IF(Simulations!$J56="",1000,Simulations!$J56))^1.5+SQRT(LN(Simulations!$AQ56/IF(Simulations!$J56="",1000,Simulations!$J56)))+Simulations!$AQ56/IF(Simulations!$J56="",1000,Simulations!$J56)*SQRT(PI())/2*ERFC(SQRT(LN(Simulations!$AQ56/IF(Simulations!$J56="",1000,Simulations!$J56))))),PI()*IF(Simulations!$V56="",200,Simulations!$V56)^2/2*(LN(Simulations!$AQ56/IF(Simulations!$J56="",1000,Simulations!$J56))+1))))</f>
        <v>0</v>
      </c>
      <c r="E56" s="0" t="n">
        <f aca="false">IF(NOT(AND(Simulations!$A56&lt;&gt;"",OR(Simulations!$AL56&lt;&gt;"",N(Simulations!$AN56)&gt;0))),0,MAX(N(Simulations!$AO56),N(Simulations!$AP56),N(Simulations!$AQ56))/IF(Simulations!$J56="",1000,Simulations!$J56))</f>
        <v>0</v>
      </c>
      <c r="F56" s="0" t="n">
        <f aca="false">IF(OR(NOT(AND(Simulations!$A56&lt;&gt;"",OR(Simulations!$AL56&lt;&gt;"",N(Simulations!$AN56)&gt;0))),N(Simulations!$AM56)&lt;=0),0,SQRT(2*Simulations!$AM56*1000000/(IF(Simulations!$J56="",1000,Simulations!$J56)*1000))/MIN(IF(Simulations!$T56="",200,Simulations!$T56),IF(Simulations!$U56="",200,Simulations!$U56),IF(Simulations!$V56="",200,Simulations!$V56)))</f>
        <v>0</v>
      </c>
      <c r="G56" s="0" t="n">
        <f aca="false">IF(AND(Simulations!$A56&lt;&gt;"",OR(Simulations!$AL56&lt;&gt;"",N(Simulations!$AN56)&gt;0)),1,0)</f>
        <v>0</v>
      </c>
      <c r="H56" s="0" t="n">
        <f aca="false">IF(OR(NOT(AND(Simulations!$A56&lt;&gt;"",OR(Simulations!$BD56&lt;&gt;"",N(Simulations!$BF56)&gt;0))),N(Simulations!$BG56)&lt;=0,N(Simulations!$BF56)&lt;=0,1&gt;N(IF(Simulations!$O56="",1,Simulations!$O56))),0,IF(Simulations!$BG56&lt;IF(Simulations!$J56="",1000,Simulations!$J56),Simulations!$BF56/(IF(Simulations!$G56="",5000,Simulations!$G56)*IF(Simulations!$H56="",5000,Simulations!$H56)*IF(IF(Simulations!$I56="",5000,Simulations!$I56)&gt;0,IF(Simulations!$I56="",5000,Simulations!$I56),1))*Simulations!$BG56*(PI()/2*IF(Simulations!$T56="",200,Simulations!$T56)^2*IF(IF(Simulations!$I56="",5000,Simulations!$I56)&gt;0,SQRT(PI()/2)*IF(Simulations!$W56="",1000,Simulations!$W56),1)),Simulations!$BF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T56="",200,Simulations!$T56)^2*IF(Simulations!$W56="",1000,Simulations!$W56)/2^1.5*(2/3*LN(Simulations!$BG56/IF(Simulations!$J56="",1000,Simulations!$J56))^1.5+SQRT(LN(Simulations!$BG56/IF(Simulations!$J56="",1000,Simulations!$J56)))+Simulations!$BG56/IF(Simulations!$J56="",1000,Simulations!$J56)*SQRT(PI())/2*ERFC(SQRT(LN(Simulations!$BG56/IF(Simulations!$J56="",1000,Simulations!$J56))))),PI()*IF(Simulations!$T56="",200,Simulations!$T56)^2/2*(LN(Simulations!$BG56/IF(Simulations!$J56="",1000,Simulations!$J56))+1))))</f>
        <v>0</v>
      </c>
      <c r="I56" s="0" t="n">
        <f aca="false">IF(OR(NOT(AND(Simulations!$A56&lt;&gt;"",OR(Simulations!$BD56&lt;&gt;"",N(Simulations!$BF56)&gt;0))),N(Simulations!$BH56)&lt;=0,N(Simulations!$BF56)&lt;=0,2&gt;N(IF(Simulations!$O56="",1,Simulations!$O56))),0,IF(Simulations!$BH56&lt;IF(Simulations!$J56="",1000,Simulations!$J56),Simulations!$BF56/(IF(Simulations!$G56="",5000,Simulations!$G56)*IF(Simulations!$H56="",5000,Simulations!$H56)*IF(IF(Simulations!$I56="",5000,Simulations!$I56)&gt;0,IF(Simulations!$I56="",5000,Simulations!$I56),1))*Simulations!$BH56*(PI()/2*IF(Simulations!$U56="",200,Simulations!$U56)^2*IF(IF(Simulations!$I56="",5000,Simulations!$I56)&gt;0,SQRT(PI()/2)*IF(Simulations!$X56="",1000,Simulations!$X56),1)),Simulations!$BF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U56="",200,Simulations!$U56)^2*IF(Simulations!$X56="",1000,Simulations!$X56)/2^1.5*(2/3*LN(Simulations!$BH56/IF(Simulations!$J56="",1000,Simulations!$J56))^1.5+SQRT(LN(Simulations!$BH56/IF(Simulations!$J56="",1000,Simulations!$J56)))+Simulations!$BH56/IF(Simulations!$J56="",1000,Simulations!$J56)*SQRT(PI())/2*ERFC(SQRT(LN(Simulations!$BH56/IF(Simulations!$J56="",1000,Simulations!$J56))))),PI()*IF(Simulations!$U56="",200,Simulations!$U56)^2/2*(LN(Simulations!$BH56/IF(Simulations!$J56="",1000,Simulations!$J56))+1))))</f>
        <v>0</v>
      </c>
      <c r="J56" s="0" t="n">
        <f aca="false">IF(OR(NOT(AND(Simulations!$A56&lt;&gt;"",OR(Simulations!$BD56&lt;&gt;"",N(Simulations!$BF56)&gt;0))),N(Simulations!$BI56)&lt;=0,N(Simulations!$BF56)&lt;=0,3&gt;N(IF(Simulations!$O56="",1,Simulations!$O56))),0,IF(Simulations!$BI56&lt;IF(Simulations!$J56="",1000,Simulations!$J56),Simulations!$BF56/(IF(Simulations!$G56="",5000,Simulations!$G56)*IF(Simulations!$H56="",5000,Simulations!$H56)*IF(IF(Simulations!$I56="",5000,Simulations!$I56)&gt;0,IF(Simulations!$I56="",5000,Simulations!$I56),1))*Simulations!$BI56*(PI()/2*IF(Simulations!$V56="",200,Simulations!$V56)^2*IF(IF(Simulations!$I56="",5000,Simulations!$I56)&gt;0,SQRT(PI()/2)*IF(Simulations!$Y56="",1000,Simulations!$Y56),1)),Simulations!$BF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V56="",200,Simulations!$V56)^2*IF(Simulations!$Y56="",1000,Simulations!$Y56)/2^1.5*(2/3*LN(Simulations!$BI56/IF(Simulations!$J56="",1000,Simulations!$J56))^1.5+SQRT(LN(Simulations!$BI56/IF(Simulations!$J56="",1000,Simulations!$J56)))+Simulations!$BI56/IF(Simulations!$J56="",1000,Simulations!$J56)*SQRT(PI())/2*ERFC(SQRT(LN(Simulations!$BI56/IF(Simulations!$J56="",1000,Simulations!$J56))))),PI()*IF(Simulations!$V56="",200,Simulations!$V56)^2/2*(LN(Simulations!$BI56/IF(Simulations!$J56="",1000,Simulations!$J56))+1))))</f>
        <v>0</v>
      </c>
      <c r="K56" s="0" t="n">
        <f aca="false">IF(NOT(AND(Simulations!$A56&lt;&gt;"",OR(Simulations!$BD56&lt;&gt;"",N(Simulations!$BF56)&gt;0))),0,MAX(N(Simulations!$BG56),N(Simulations!$BH56),N(Simulations!$BI56))/IF(Simulations!$J56="",1000,Simulations!$J56))</f>
        <v>0</v>
      </c>
      <c r="L56" s="0" t="n">
        <f aca="false">IF(OR(NOT(AND(Simulations!$A56&lt;&gt;"",OR(Simulations!$BD56&lt;&gt;"",N(Simulations!$BF56)&gt;0))),N(Simulations!$BE56)&lt;=0),0,SQRT(2*Simulations!$BE56*1000000/(IF(Simulations!$J56="",1000,Simulations!$J56)*1000))/MIN(IF(Simulations!$T56="",200,Simulations!$T56),IF(Simulations!$U56="",200,Simulations!$U56),IF(Simulations!$V56="",200,Simulations!$V56)))</f>
        <v>0</v>
      </c>
      <c r="M56" s="0" t="n">
        <f aca="false">IF(AND(Simulations!$A56&lt;&gt;"",OR(Simulations!$BD56&lt;&gt;"",N(Simulations!$BF56)&gt;0)),1,0)</f>
        <v>0</v>
      </c>
      <c r="N56" s="0" t="n">
        <f aca="false">IF(OR(NOT(AND(Simulations!$A56&lt;&gt;"",OR(Simulations!$BV56&lt;&gt;"",N(Simulations!$BX56)&gt;0))),N(Simulations!$BY56)&lt;=0,N(Simulations!$BX56)&lt;=0,1&gt;N(IF(Simulations!$O56="",1,Simulations!$O56))),0,IF(Simulations!$BY56&lt;IF(Simulations!$J56="",1000,Simulations!$J56),Simulations!$BX56/(IF(Simulations!$G56="",5000,Simulations!$G56)*IF(Simulations!$H56="",5000,Simulations!$H56)*IF(IF(Simulations!$I56="",5000,Simulations!$I56)&gt;0,IF(Simulations!$I56="",5000,Simulations!$I56),1))*Simulations!$BY56*(PI()/2*IF(Simulations!$T56="",200,Simulations!$T56)^2*IF(IF(Simulations!$I56="",5000,Simulations!$I56)&gt;0,SQRT(PI()/2)*IF(Simulations!$W56="",1000,Simulations!$W56),1)),Simulations!$BX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T56="",200,Simulations!$T56)^2*IF(Simulations!$W56="",1000,Simulations!$W56)/2^1.5*(2/3*LN(Simulations!$BY56/IF(Simulations!$J56="",1000,Simulations!$J56))^1.5+SQRT(LN(Simulations!$BY56/IF(Simulations!$J56="",1000,Simulations!$J56)))+Simulations!$BY56/IF(Simulations!$J56="",1000,Simulations!$J56)*SQRT(PI())/2*ERFC(SQRT(LN(Simulations!$BY56/IF(Simulations!$J56="",1000,Simulations!$J56))))),PI()*IF(Simulations!$T56="",200,Simulations!$T56)^2/2*(LN(Simulations!$BY56/IF(Simulations!$J56="",1000,Simulations!$J56))+1))))</f>
        <v>0</v>
      </c>
      <c r="O56" s="0" t="n">
        <f aca="false">IF(OR(NOT(AND(Simulations!$A56&lt;&gt;"",OR(Simulations!$BV56&lt;&gt;"",N(Simulations!$BX56)&gt;0))),N(Simulations!$BZ56)&lt;=0,N(Simulations!$BX56)&lt;=0,2&gt;N(IF(Simulations!$O56="",1,Simulations!$O56))),0,IF(Simulations!$BZ56&lt;IF(Simulations!$J56="",1000,Simulations!$J56),Simulations!$BX56/(IF(Simulations!$G56="",5000,Simulations!$G56)*IF(Simulations!$H56="",5000,Simulations!$H56)*IF(IF(Simulations!$I56="",5000,Simulations!$I56)&gt;0,IF(Simulations!$I56="",5000,Simulations!$I56),1))*Simulations!$BZ56*(PI()/2*IF(Simulations!$U56="",200,Simulations!$U56)^2*IF(IF(Simulations!$I56="",5000,Simulations!$I56)&gt;0,SQRT(PI()/2)*IF(Simulations!$X56="",1000,Simulations!$X56),1)),Simulations!$BX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U56="",200,Simulations!$U56)^2*IF(Simulations!$X56="",1000,Simulations!$X56)/2^1.5*(2/3*LN(Simulations!$BZ56/IF(Simulations!$J56="",1000,Simulations!$J56))^1.5+SQRT(LN(Simulations!$BZ56/IF(Simulations!$J56="",1000,Simulations!$J56)))+Simulations!$BZ56/IF(Simulations!$J56="",1000,Simulations!$J56)*SQRT(PI())/2*ERFC(SQRT(LN(Simulations!$BZ56/IF(Simulations!$J56="",1000,Simulations!$J56))))),PI()*IF(Simulations!$U56="",200,Simulations!$U56)^2/2*(LN(Simulations!$BZ56/IF(Simulations!$J56="",1000,Simulations!$J56))+1))))</f>
        <v>0</v>
      </c>
      <c r="P56" s="0" t="n">
        <f aca="false">IF(OR(NOT(AND(Simulations!$A56&lt;&gt;"",OR(Simulations!$BV56&lt;&gt;"",N(Simulations!$BX56)&gt;0))),N(Simulations!$CA56)&lt;=0,N(Simulations!$BX56)&lt;=0,3&gt;N(IF(Simulations!$O56="",1,Simulations!$O56))),0,IF(Simulations!$CA56&lt;IF(Simulations!$J56="",1000,Simulations!$J56),Simulations!$BX56/(IF(Simulations!$G56="",5000,Simulations!$G56)*IF(Simulations!$H56="",5000,Simulations!$H56)*IF(IF(Simulations!$I56="",5000,Simulations!$I56)&gt;0,IF(Simulations!$I56="",5000,Simulations!$I56),1))*Simulations!$CA56*(PI()/2*IF(Simulations!$V56="",200,Simulations!$V56)^2*IF(IF(Simulations!$I56="",5000,Simulations!$I56)&gt;0,SQRT(PI()/2)*IF(Simulations!$Y56="",1000,Simulations!$Y56),1)),Simulations!$BX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V56="",200,Simulations!$V56)^2*IF(Simulations!$Y56="",1000,Simulations!$Y56)/2^1.5*(2/3*LN(Simulations!$CA56/IF(Simulations!$J56="",1000,Simulations!$J56))^1.5+SQRT(LN(Simulations!$CA56/IF(Simulations!$J56="",1000,Simulations!$J56)))+Simulations!$CA56/IF(Simulations!$J56="",1000,Simulations!$J56)*SQRT(PI())/2*ERFC(SQRT(LN(Simulations!$CA56/IF(Simulations!$J56="",1000,Simulations!$J56))))),PI()*IF(Simulations!$V56="",200,Simulations!$V56)^2/2*(LN(Simulations!$CA56/IF(Simulations!$J56="",1000,Simulations!$J56))+1))))</f>
        <v>0</v>
      </c>
      <c r="Q56" s="0" t="n">
        <f aca="false">IF(NOT(AND(Simulations!$A56&lt;&gt;"",OR(Simulations!$BV56&lt;&gt;"",N(Simulations!$BX56)&gt;0))),0,MAX(N(Simulations!$BY56),N(Simulations!$BZ56),N(Simulations!$CA56))/IF(Simulations!$J56="",1000,Simulations!$J56))</f>
        <v>0</v>
      </c>
      <c r="R56" s="0" t="n">
        <f aca="false">IF(OR(NOT(AND(Simulations!$A56&lt;&gt;"",OR(Simulations!$BV56&lt;&gt;"",N(Simulations!$BX56)&gt;0))),N(Simulations!$BW56)&lt;=0),0,SQRT(2*Simulations!$BW56*1000000/(IF(Simulations!$J56="",1000,Simulations!$J56)*1000))/MIN(IF(Simulations!$T56="",200,Simulations!$T56),IF(Simulations!$U56="",200,Simulations!$U56),IF(Simulations!$V56="",200,Simulations!$V56)))</f>
        <v>0</v>
      </c>
      <c r="S56" s="0" t="n">
        <f aca="false">IF(AND(Simulations!$A56&lt;&gt;"",OR(Simulations!$BV56&lt;&gt;"",N(Simulations!$BX56)&gt;0)),1,0)</f>
        <v>0</v>
      </c>
      <c r="T56" s="0" t="n">
        <f aca="false">IF(OR(NOT(AND(Simulations!$A56&lt;&gt;"",OR(Simulations!$CN56&lt;&gt;"",N(Simulations!$CP56)&gt;0))),N(Simulations!$CQ56)&lt;=0,N(Simulations!$CP56)&lt;=0,1&gt;N(IF(Simulations!$O56="",1,Simulations!$O56))),0,IF(Simulations!$CQ56&lt;IF(Simulations!$J56="",1000,Simulations!$J56),Simulations!$CP56/(IF(Simulations!$G56="",5000,Simulations!$G56)*IF(Simulations!$H56="",5000,Simulations!$H56)*IF(IF(Simulations!$I56="",5000,Simulations!$I56)&gt;0,IF(Simulations!$I56="",5000,Simulations!$I56),1))*Simulations!$CQ56*(PI()/2*IF(Simulations!$T56="",200,Simulations!$T56)^2*IF(IF(Simulations!$I56="",5000,Simulations!$I56)&gt;0,SQRT(PI()/2)*IF(Simulations!$W56="",1000,Simulations!$W56),1)),Simulations!$CP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T56="",200,Simulations!$T56)^2*IF(Simulations!$W56="",1000,Simulations!$W56)/2^1.5*(2/3*LN(Simulations!$CQ56/IF(Simulations!$J56="",1000,Simulations!$J56))^1.5+SQRT(LN(Simulations!$CQ56/IF(Simulations!$J56="",1000,Simulations!$J56)))+Simulations!$CQ56/IF(Simulations!$J56="",1000,Simulations!$J56)*SQRT(PI())/2*ERFC(SQRT(LN(Simulations!$CQ56/IF(Simulations!$J56="",1000,Simulations!$J56))))),PI()*IF(Simulations!$T56="",200,Simulations!$T56)^2/2*(LN(Simulations!$CQ56/IF(Simulations!$J56="",1000,Simulations!$J56))+1))))</f>
        <v>0</v>
      </c>
      <c r="U56" s="0" t="n">
        <f aca="false">IF(OR(NOT(AND(Simulations!$A56&lt;&gt;"",OR(Simulations!$CN56&lt;&gt;"",N(Simulations!$CP56)&gt;0))),N(Simulations!$CR56)&lt;=0,N(Simulations!$CP56)&lt;=0,2&gt;N(IF(Simulations!$O56="",1,Simulations!$O56))),0,IF(Simulations!$CR56&lt;IF(Simulations!$J56="",1000,Simulations!$J56),Simulations!$CP56/(IF(Simulations!$G56="",5000,Simulations!$G56)*IF(Simulations!$H56="",5000,Simulations!$H56)*IF(IF(Simulations!$I56="",5000,Simulations!$I56)&gt;0,IF(Simulations!$I56="",5000,Simulations!$I56),1))*Simulations!$CR56*(PI()/2*IF(Simulations!$U56="",200,Simulations!$U56)^2*IF(IF(Simulations!$I56="",5000,Simulations!$I56)&gt;0,SQRT(PI()/2)*IF(Simulations!$X56="",1000,Simulations!$X56),1)),Simulations!$CP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U56="",200,Simulations!$U56)^2*IF(Simulations!$X56="",1000,Simulations!$X56)/2^1.5*(2/3*LN(Simulations!$CR56/IF(Simulations!$J56="",1000,Simulations!$J56))^1.5+SQRT(LN(Simulations!$CR56/IF(Simulations!$J56="",1000,Simulations!$J56)))+Simulations!$CR56/IF(Simulations!$J56="",1000,Simulations!$J56)*SQRT(PI())/2*ERFC(SQRT(LN(Simulations!$CR56/IF(Simulations!$J56="",1000,Simulations!$J56))))),PI()*IF(Simulations!$U56="",200,Simulations!$U56)^2/2*(LN(Simulations!$CR56/IF(Simulations!$J56="",1000,Simulations!$J56))+1))))</f>
        <v>0</v>
      </c>
      <c r="V56" s="0" t="n">
        <f aca="false">IF(OR(NOT(AND(Simulations!$A56&lt;&gt;"",OR(Simulations!$CN56&lt;&gt;"",N(Simulations!$CP56)&gt;0))),N(Simulations!$CS56)&lt;=0,N(Simulations!$CP56)&lt;=0,3&gt;N(IF(Simulations!$O56="",1,Simulations!$O56))),0,IF(Simulations!$CS56&lt;IF(Simulations!$J56="",1000,Simulations!$J56),Simulations!$CP56/(IF(Simulations!$G56="",5000,Simulations!$G56)*IF(Simulations!$H56="",5000,Simulations!$H56)*IF(IF(Simulations!$I56="",5000,Simulations!$I56)&gt;0,IF(Simulations!$I56="",5000,Simulations!$I56),1))*Simulations!$CS56*(PI()/2*IF(Simulations!$V56="",200,Simulations!$V56)^2*IF(IF(Simulations!$I56="",5000,Simulations!$I56)&gt;0,SQRT(PI()/2)*IF(Simulations!$Y56="",1000,Simulations!$Y56),1)),Simulations!$CP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V56="",200,Simulations!$V56)^2*IF(Simulations!$Y56="",1000,Simulations!$Y56)/2^1.5*(2/3*LN(Simulations!$CS56/IF(Simulations!$J56="",1000,Simulations!$J56))^1.5+SQRT(LN(Simulations!$CS56/IF(Simulations!$J56="",1000,Simulations!$J56)))+Simulations!$CS56/IF(Simulations!$J56="",1000,Simulations!$J56)*SQRT(PI())/2*ERFC(SQRT(LN(Simulations!$CS56/IF(Simulations!$J56="",1000,Simulations!$J56))))),PI()*IF(Simulations!$V56="",200,Simulations!$V56)^2/2*(LN(Simulations!$CS56/IF(Simulations!$J56="",1000,Simulations!$J56))+1))))</f>
        <v>0</v>
      </c>
      <c r="W56" s="0" t="n">
        <f aca="false">IF(NOT(AND(Simulations!$A56&lt;&gt;"",OR(Simulations!$CN56&lt;&gt;"",N(Simulations!$CP56)&gt;0))),0,MAX(N(Simulations!$CQ56),N(Simulations!$CR56),N(Simulations!$CS56))/IF(Simulations!$J56="",1000,Simulations!$J56))</f>
        <v>0</v>
      </c>
      <c r="X56" s="0" t="n">
        <f aca="false">IF(OR(NOT(AND(Simulations!$A56&lt;&gt;"",OR(Simulations!$CN56&lt;&gt;"",N(Simulations!$CP56)&gt;0))),N(Simulations!$CO56)&lt;=0),0,SQRT(2*Simulations!$CO56*1000000/(IF(Simulations!$J56="",1000,Simulations!$J56)*1000))/MIN(IF(Simulations!$T56="",200,Simulations!$T56),IF(Simulations!$U56="",200,Simulations!$U56),IF(Simulations!$V56="",200,Simulations!$V56)))</f>
        <v>0</v>
      </c>
      <c r="Y56" s="0" t="n">
        <f aca="false">IF(AND(Simulations!$A56&lt;&gt;"",OR(Simulations!$CN56&lt;&gt;"",N(Simulations!$CP56)&gt;0)),1,0)</f>
        <v>0</v>
      </c>
      <c r="Z56" s="0" t="n">
        <f aca="false">IF(OR(NOT(AND(Simulations!$A56&lt;&gt;"",OR(Simulations!$DF56&lt;&gt;"",N(Simulations!$DH56)&gt;0))),N(Simulations!$DI56)&lt;=0,N(Simulations!$DH56)&lt;=0,1&gt;N(IF(Simulations!$O56="",1,Simulations!$O56))),0,IF(Simulations!$DI56&lt;IF(Simulations!$J56="",1000,Simulations!$J56),Simulations!$DH56/(IF(Simulations!$G56="",5000,Simulations!$G56)*IF(Simulations!$H56="",5000,Simulations!$H56)*IF(IF(Simulations!$I56="",5000,Simulations!$I56)&gt;0,IF(Simulations!$I56="",5000,Simulations!$I56),1))*Simulations!$DI56*(PI()/2*IF(Simulations!$T56="",200,Simulations!$T56)^2*IF(IF(Simulations!$I56="",5000,Simulations!$I56)&gt;0,SQRT(PI()/2)*IF(Simulations!$W56="",1000,Simulations!$W56),1)),Simulations!$DH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T56="",200,Simulations!$T56)^2*IF(Simulations!$W56="",1000,Simulations!$W56)/2^1.5*(2/3*LN(Simulations!$DI56/IF(Simulations!$J56="",1000,Simulations!$J56))^1.5+SQRT(LN(Simulations!$DI56/IF(Simulations!$J56="",1000,Simulations!$J56)))+Simulations!$DI56/IF(Simulations!$J56="",1000,Simulations!$J56)*SQRT(PI())/2*ERFC(SQRT(LN(Simulations!$DI56/IF(Simulations!$J56="",1000,Simulations!$J56))))),PI()*IF(Simulations!$T56="",200,Simulations!$T56)^2/2*(LN(Simulations!$DI56/IF(Simulations!$J56="",1000,Simulations!$J56))+1))))</f>
        <v>0</v>
      </c>
      <c r="AA56" s="0" t="n">
        <f aca="false">IF(OR(NOT(AND(Simulations!$A56&lt;&gt;"",OR(Simulations!$DF56&lt;&gt;"",N(Simulations!$DH56)&gt;0))),N(Simulations!$DJ56)&lt;=0,N(Simulations!$DH56)&lt;=0,2&gt;N(IF(Simulations!$O56="",1,Simulations!$O56))),0,IF(Simulations!$DJ56&lt;IF(Simulations!$J56="",1000,Simulations!$J56),Simulations!$DH56/(IF(Simulations!$G56="",5000,Simulations!$G56)*IF(Simulations!$H56="",5000,Simulations!$H56)*IF(IF(Simulations!$I56="",5000,Simulations!$I56)&gt;0,IF(Simulations!$I56="",5000,Simulations!$I56),1))*Simulations!$DJ56*(PI()/2*IF(Simulations!$U56="",200,Simulations!$U56)^2*IF(IF(Simulations!$I56="",5000,Simulations!$I56)&gt;0,SQRT(PI()/2)*IF(Simulations!$X56="",1000,Simulations!$X56),1)),Simulations!$DH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U56="",200,Simulations!$U56)^2*IF(Simulations!$X56="",1000,Simulations!$X56)/2^1.5*(2/3*LN(Simulations!$DJ56/IF(Simulations!$J56="",1000,Simulations!$J56))^1.5+SQRT(LN(Simulations!$DJ56/IF(Simulations!$J56="",1000,Simulations!$J56)))+Simulations!$DJ56/IF(Simulations!$J56="",1000,Simulations!$J56)*SQRT(PI())/2*ERFC(SQRT(LN(Simulations!$DJ56/IF(Simulations!$J56="",1000,Simulations!$J56))))),PI()*IF(Simulations!$U56="",200,Simulations!$U56)^2/2*(LN(Simulations!$DJ56/IF(Simulations!$J56="",1000,Simulations!$J56))+1))))</f>
        <v>0</v>
      </c>
      <c r="AB56" s="0" t="n">
        <f aca="false">IF(OR(NOT(AND(Simulations!$A56&lt;&gt;"",OR(Simulations!$DF56&lt;&gt;"",N(Simulations!$DH56)&gt;0))),N(Simulations!$DK56)&lt;=0,N(Simulations!$DH56)&lt;=0,3&gt;N(IF(Simulations!$O56="",1,Simulations!$O56))),0,IF(Simulations!$DK56&lt;IF(Simulations!$J56="",1000,Simulations!$J56),Simulations!$DH56/(IF(Simulations!$G56="",5000,Simulations!$G56)*IF(Simulations!$H56="",5000,Simulations!$H56)*IF(IF(Simulations!$I56="",5000,Simulations!$I56)&gt;0,IF(Simulations!$I56="",5000,Simulations!$I56),1))*Simulations!$DK56*(PI()/2*IF(Simulations!$V56="",200,Simulations!$V56)^2*IF(IF(Simulations!$I56="",5000,Simulations!$I56)&gt;0,SQRT(PI()/2)*IF(Simulations!$Y56="",1000,Simulations!$Y56),1)),Simulations!$DH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V56="",200,Simulations!$V56)^2*IF(Simulations!$Y56="",1000,Simulations!$Y56)/2^1.5*(2/3*LN(Simulations!$DK56/IF(Simulations!$J56="",1000,Simulations!$J56))^1.5+SQRT(LN(Simulations!$DK56/IF(Simulations!$J56="",1000,Simulations!$J56)))+Simulations!$DK56/IF(Simulations!$J56="",1000,Simulations!$J56)*SQRT(PI())/2*ERFC(SQRT(LN(Simulations!$DK56/IF(Simulations!$J56="",1000,Simulations!$J56))))),PI()*IF(Simulations!$V56="",200,Simulations!$V56)^2/2*(LN(Simulations!$DK56/IF(Simulations!$J56="",1000,Simulations!$J56))+1))))</f>
        <v>0</v>
      </c>
      <c r="AC56" s="0" t="n">
        <f aca="false">IF(NOT(AND(Simulations!$A56&lt;&gt;"",OR(Simulations!$DF56&lt;&gt;"",N(Simulations!$DH56)&gt;0))),0,MAX(N(Simulations!$DI56),N(Simulations!$DJ56),N(Simulations!$DK56))/IF(Simulations!$J56="",1000,Simulations!$J56))</f>
        <v>0</v>
      </c>
      <c r="AD56" s="0" t="n">
        <f aca="false">IF(OR(NOT(AND(Simulations!$A56&lt;&gt;"",OR(Simulations!$DF56&lt;&gt;"",N(Simulations!$DH56)&gt;0))),N(Simulations!$DG56)&lt;=0),0,SQRT(2*Simulations!$DG56*1000000/(IF(Simulations!$J56="",1000,Simulations!$J56)*1000))/MIN(IF(Simulations!$T56="",200,Simulations!$T56),IF(Simulations!$U56="",200,Simulations!$U56),IF(Simulations!$V56="",200,Simulations!$V56)))</f>
        <v>0</v>
      </c>
      <c r="AE56" s="0" t="n">
        <f aca="false">IF(AND(Simulations!$A56&lt;&gt;"",OR(Simulations!$DF56&lt;&gt;"",N(Simulations!$DH56)&gt;0)),1,0)</f>
        <v>0</v>
      </c>
      <c r="AF56" s="0" t="n">
        <f aca="false">IF(OR(NOT(AND(Simulations!$A56&lt;&gt;"",OR(Simulations!$DX56&lt;&gt;"",N(Simulations!$DZ56)&gt;0))),N(Simulations!$EA56)&lt;=0,N(Simulations!$DZ56)&lt;=0,1&gt;N(IF(Simulations!$O56="",1,Simulations!$O56))),0,IF(Simulations!$EA56&lt;IF(Simulations!$J56="",1000,Simulations!$J56),Simulations!$DZ56/(IF(Simulations!$G56="",5000,Simulations!$G56)*IF(Simulations!$H56="",5000,Simulations!$H56)*IF(IF(Simulations!$I56="",5000,Simulations!$I56)&gt;0,IF(Simulations!$I56="",5000,Simulations!$I56),1))*Simulations!$EA56*(PI()/2*IF(Simulations!$T56="",200,Simulations!$T56)^2*IF(IF(Simulations!$I56="",5000,Simulations!$I56)&gt;0,SQRT(PI()/2)*IF(Simulations!$W56="",1000,Simulations!$W56),1)),Simulations!$DZ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T56="",200,Simulations!$T56)^2*IF(Simulations!$W56="",1000,Simulations!$W56)/2^1.5*(2/3*LN(Simulations!$EA56/IF(Simulations!$J56="",1000,Simulations!$J56))^1.5+SQRT(LN(Simulations!$EA56/IF(Simulations!$J56="",1000,Simulations!$J56)))+Simulations!$EA56/IF(Simulations!$J56="",1000,Simulations!$J56)*SQRT(PI())/2*ERFC(SQRT(LN(Simulations!$EA56/IF(Simulations!$J56="",1000,Simulations!$J56))))),PI()*IF(Simulations!$T56="",200,Simulations!$T56)^2/2*(LN(Simulations!$EA56/IF(Simulations!$J56="",1000,Simulations!$J56))+1))))</f>
        <v>0</v>
      </c>
      <c r="AG56" s="0" t="n">
        <f aca="false">IF(OR(NOT(AND(Simulations!$A56&lt;&gt;"",OR(Simulations!$DX56&lt;&gt;"",N(Simulations!$DZ56)&gt;0))),N(Simulations!$EB56)&lt;=0,N(Simulations!$DZ56)&lt;=0,2&gt;N(IF(Simulations!$O56="",1,Simulations!$O56))),0,IF(Simulations!$EB56&lt;IF(Simulations!$J56="",1000,Simulations!$J56),Simulations!$DZ56/(IF(Simulations!$G56="",5000,Simulations!$G56)*IF(Simulations!$H56="",5000,Simulations!$H56)*IF(IF(Simulations!$I56="",5000,Simulations!$I56)&gt;0,IF(Simulations!$I56="",5000,Simulations!$I56),1))*Simulations!$EB56*(PI()/2*IF(Simulations!$U56="",200,Simulations!$U56)^2*IF(IF(Simulations!$I56="",5000,Simulations!$I56)&gt;0,SQRT(PI()/2)*IF(Simulations!$X56="",1000,Simulations!$X56),1)),Simulations!$DZ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U56="",200,Simulations!$U56)^2*IF(Simulations!$X56="",1000,Simulations!$X56)/2^1.5*(2/3*LN(Simulations!$EB56/IF(Simulations!$J56="",1000,Simulations!$J56))^1.5+SQRT(LN(Simulations!$EB56/IF(Simulations!$J56="",1000,Simulations!$J56)))+Simulations!$EB56/IF(Simulations!$J56="",1000,Simulations!$J56)*SQRT(PI())/2*ERFC(SQRT(LN(Simulations!$EB56/IF(Simulations!$J56="",1000,Simulations!$J56))))),PI()*IF(Simulations!$U56="",200,Simulations!$U56)^2/2*(LN(Simulations!$EB56/IF(Simulations!$J56="",1000,Simulations!$J56))+1))))</f>
        <v>0</v>
      </c>
      <c r="AH56" s="0" t="n">
        <f aca="false">IF(OR(NOT(AND(Simulations!$A56&lt;&gt;"",OR(Simulations!$DX56&lt;&gt;"",N(Simulations!$DZ56)&gt;0))),N(Simulations!$EC56)&lt;=0,N(Simulations!$DZ56)&lt;=0,3&gt;N(IF(Simulations!$O56="",1,Simulations!$O56))),0,IF(Simulations!$EC56&lt;IF(Simulations!$J56="",1000,Simulations!$J56),Simulations!$DZ56/(IF(Simulations!$G56="",5000,Simulations!$G56)*IF(Simulations!$H56="",5000,Simulations!$H56)*IF(IF(Simulations!$I56="",5000,Simulations!$I56)&gt;0,IF(Simulations!$I56="",5000,Simulations!$I56),1))*Simulations!$EC56*(PI()/2*IF(Simulations!$V56="",200,Simulations!$V56)^2*IF(IF(Simulations!$I56="",5000,Simulations!$I56)&gt;0,SQRT(PI()/2)*IF(Simulations!$Y56="",1000,Simulations!$Y56),1)),Simulations!$DZ56/(IF(Simulations!$G56="",5000,Simulations!$G56)*IF(Simulations!$H56="",5000,Simulations!$H56)*IF(IF(Simulations!$I56="",5000,Simulations!$I56)&gt;0,IF(Simulations!$I56="",5000,Simulations!$I56),1))*IF(Simulations!$J56="",1000,Simulations!$J56)*IF(IF(Simulations!$I56="",5000,Simulations!$I56)&gt;0,2*PI()*IF(Simulations!$V56="",200,Simulations!$V56)^2*IF(Simulations!$Y56="",1000,Simulations!$Y56)/2^1.5*(2/3*LN(Simulations!$EC56/IF(Simulations!$J56="",1000,Simulations!$J56))^1.5+SQRT(LN(Simulations!$EC56/IF(Simulations!$J56="",1000,Simulations!$J56)))+Simulations!$EC56/IF(Simulations!$J56="",1000,Simulations!$J56)*SQRT(PI())/2*ERFC(SQRT(LN(Simulations!$EC56/IF(Simulations!$J56="",1000,Simulations!$J56))))),PI()*IF(Simulations!$V56="",200,Simulations!$V56)^2/2*(LN(Simulations!$EC56/IF(Simulations!$J56="",1000,Simulations!$J56))+1))))</f>
        <v>0</v>
      </c>
      <c r="AI56" s="0" t="n">
        <f aca="false">IF(NOT(AND(Simulations!$A56&lt;&gt;"",OR(Simulations!$DX56&lt;&gt;"",N(Simulations!$DZ56)&gt;0))),0,MAX(N(Simulations!$EA56),N(Simulations!$EB56),N(Simulations!$EC56))/IF(Simulations!$J56="",1000,Simulations!$J56))</f>
        <v>0</v>
      </c>
      <c r="AJ56" s="0" t="n">
        <f aca="false">IF(OR(NOT(AND(Simulations!$A56&lt;&gt;"",OR(Simulations!$DX56&lt;&gt;"",N(Simulations!$DZ56)&gt;0))),N(Simulations!$DY56)&lt;=0),0,SQRT(2*Simulations!$DY56*1000000/(IF(Simulations!$J56="",1000,Simulations!$J56)*1000))/MIN(IF(Simulations!$T56="",200,Simulations!$T56),IF(Simulations!$U56="",200,Simulations!$U56),IF(Simulations!$V56="",200,Simulations!$V56)))</f>
        <v>0</v>
      </c>
      <c r="AK56" s="0" t="n">
        <f aca="false">IF(AND(Simulations!$A56&lt;&gt;"",OR(Simulations!$DX56&lt;&gt;"",N(Simulations!$DZ56)&gt;0)),1,0)</f>
        <v>0</v>
      </c>
    </row>
    <row r="57" customFormat="false" ht="15" hidden="false" customHeight="false" outlineLevel="0" collapsed="false">
      <c r="B57" s="0" t="n">
        <f aca="false">IF(OR(NOT(AND(Simulations!$A57&lt;&gt;"",OR(Simulations!$AL57&lt;&gt;"",N(Simulations!$AN57)&gt;0))),N(Simulations!$AO57)&lt;=0,N(Simulations!$AN57)&lt;=0,1&gt;N(IF(Simulations!$O57="",1,Simulations!$O57))),0,IF(Simulations!$AO57&lt;IF(Simulations!$J57="",1000,Simulations!$J57),Simulations!$AN57/(IF(Simulations!$G57="",5000,Simulations!$G57)*IF(Simulations!$H57="",5000,Simulations!$H57)*IF(IF(Simulations!$I57="",5000,Simulations!$I57)&gt;0,IF(Simulations!$I57="",5000,Simulations!$I57),1))*Simulations!$AO57*(PI()/2*IF(Simulations!$T57="",200,Simulations!$T57)^2*IF(IF(Simulations!$I57="",5000,Simulations!$I57)&gt;0,SQRT(PI()/2)*IF(Simulations!$W57="",1000,Simulations!$W57),1)),Simulations!$AN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T57="",200,Simulations!$T57)^2*IF(Simulations!$W57="",1000,Simulations!$W57)/2^1.5*(2/3*LN(Simulations!$AO57/IF(Simulations!$J57="",1000,Simulations!$J57))^1.5+SQRT(LN(Simulations!$AO57/IF(Simulations!$J57="",1000,Simulations!$J57)))+Simulations!$AO57/IF(Simulations!$J57="",1000,Simulations!$J57)*SQRT(PI())/2*ERFC(SQRT(LN(Simulations!$AO57/IF(Simulations!$J57="",1000,Simulations!$J57))))),PI()*IF(Simulations!$T57="",200,Simulations!$T57)^2/2*(LN(Simulations!$AO57/IF(Simulations!$J57="",1000,Simulations!$J57))+1))))</f>
        <v>0</v>
      </c>
      <c r="C57" s="0" t="n">
        <f aca="false">IF(OR(NOT(AND(Simulations!$A57&lt;&gt;"",OR(Simulations!$AL57&lt;&gt;"",N(Simulations!$AN57)&gt;0))),N(Simulations!$AP57)&lt;=0,N(Simulations!$AN57)&lt;=0,2&gt;N(IF(Simulations!$O57="",1,Simulations!$O57))),0,IF(Simulations!$AP57&lt;IF(Simulations!$J57="",1000,Simulations!$J57),Simulations!$AN57/(IF(Simulations!$G57="",5000,Simulations!$G57)*IF(Simulations!$H57="",5000,Simulations!$H57)*IF(IF(Simulations!$I57="",5000,Simulations!$I57)&gt;0,IF(Simulations!$I57="",5000,Simulations!$I57),1))*Simulations!$AP57*(PI()/2*IF(Simulations!$U57="",200,Simulations!$U57)^2*IF(IF(Simulations!$I57="",5000,Simulations!$I57)&gt;0,SQRT(PI()/2)*IF(Simulations!$X57="",1000,Simulations!$X57),1)),Simulations!$AN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U57="",200,Simulations!$U57)^2*IF(Simulations!$X57="",1000,Simulations!$X57)/2^1.5*(2/3*LN(Simulations!$AP57/IF(Simulations!$J57="",1000,Simulations!$J57))^1.5+SQRT(LN(Simulations!$AP57/IF(Simulations!$J57="",1000,Simulations!$J57)))+Simulations!$AP57/IF(Simulations!$J57="",1000,Simulations!$J57)*SQRT(PI())/2*ERFC(SQRT(LN(Simulations!$AP57/IF(Simulations!$J57="",1000,Simulations!$J57))))),PI()*IF(Simulations!$U57="",200,Simulations!$U57)^2/2*(LN(Simulations!$AP57/IF(Simulations!$J57="",1000,Simulations!$J57))+1))))</f>
        <v>0</v>
      </c>
      <c r="D57" s="0" t="n">
        <f aca="false">IF(OR(NOT(AND(Simulations!$A57&lt;&gt;"",OR(Simulations!$AL57&lt;&gt;"",N(Simulations!$AN57)&gt;0))),N(Simulations!$AQ57)&lt;=0,N(Simulations!$AN57)&lt;=0,3&gt;N(IF(Simulations!$O57="",1,Simulations!$O57))),0,IF(Simulations!$AQ57&lt;IF(Simulations!$J57="",1000,Simulations!$J57),Simulations!$AN57/(IF(Simulations!$G57="",5000,Simulations!$G57)*IF(Simulations!$H57="",5000,Simulations!$H57)*IF(IF(Simulations!$I57="",5000,Simulations!$I57)&gt;0,IF(Simulations!$I57="",5000,Simulations!$I57),1))*Simulations!$AQ57*(PI()/2*IF(Simulations!$V57="",200,Simulations!$V57)^2*IF(IF(Simulations!$I57="",5000,Simulations!$I57)&gt;0,SQRT(PI()/2)*IF(Simulations!$Y57="",1000,Simulations!$Y57),1)),Simulations!$AN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V57="",200,Simulations!$V57)^2*IF(Simulations!$Y57="",1000,Simulations!$Y57)/2^1.5*(2/3*LN(Simulations!$AQ57/IF(Simulations!$J57="",1000,Simulations!$J57))^1.5+SQRT(LN(Simulations!$AQ57/IF(Simulations!$J57="",1000,Simulations!$J57)))+Simulations!$AQ57/IF(Simulations!$J57="",1000,Simulations!$J57)*SQRT(PI())/2*ERFC(SQRT(LN(Simulations!$AQ57/IF(Simulations!$J57="",1000,Simulations!$J57))))),PI()*IF(Simulations!$V57="",200,Simulations!$V57)^2/2*(LN(Simulations!$AQ57/IF(Simulations!$J57="",1000,Simulations!$J57))+1))))</f>
        <v>0</v>
      </c>
      <c r="E57" s="0" t="n">
        <f aca="false">IF(NOT(AND(Simulations!$A57&lt;&gt;"",OR(Simulations!$AL57&lt;&gt;"",N(Simulations!$AN57)&gt;0))),0,MAX(N(Simulations!$AO57),N(Simulations!$AP57),N(Simulations!$AQ57))/IF(Simulations!$J57="",1000,Simulations!$J57))</f>
        <v>0</v>
      </c>
      <c r="F57" s="0" t="n">
        <f aca="false">IF(OR(NOT(AND(Simulations!$A57&lt;&gt;"",OR(Simulations!$AL57&lt;&gt;"",N(Simulations!$AN57)&gt;0))),N(Simulations!$AM57)&lt;=0),0,SQRT(2*Simulations!$AM57*1000000/(IF(Simulations!$J57="",1000,Simulations!$J57)*1000))/MIN(IF(Simulations!$T57="",200,Simulations!$T57),IF(Simulations!$U57="",200,Simulations!$U57),IF(Simulations!$V57="",200,Simulations!$V57)))</f>
        <v>0</v>
      </c>
      <c r="G57" s="0" t="n">
        <f aca="false">IF(AND(Simulations!$A57&lt;&gt;"",OR(Simulations!$AL57&lt;&gt;"",N(Simulations!$AN57)&gt;0)),1,0)</f>
        <v>0</v>
      </c>
      <c r="H57" s="0" t="n">
        <f aca="false">IF(OR(NOT(AND(Simulations!$A57&lt;&gt;"",OR(Simulations!$BD57&lt;&gt;"",N(Simulations!$BF57)&gt;0))),N(Simulations!$BG57)&lt;=0,N(Simulations!$BF57)&lt;=0,1&gt;N(IF(Simulations!$O57="",1,Simulations!$O57))),0,IF(Simulations!$BG57&lt;IF(Simulations!$J57="",1000,Simulations!$J57),Simulations!$BF57/(IF(Simulations!$G57="",5000,Simulations!$G57)*IF(Simulations!$H57="",5000,Simulations!$H57)*IF(IF(Simulations!$I57="",5000,Simulations!$I57)&gt;0,IF(Simulations!$I57="",5000,Simulations!$I57),1))*Simulations!$BG57*(PI()/2*IF(Simulations!$T57="",200,Simulations!$T57)^2*IF(IF(Simulations!$I57="",5000,Simulations!$I57)&gt;0,SQRT(PI()/2)*IF(Simulations!$W57="",1000,Simulations!$W57),1)),Simulations!$BF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T57="",200,Simulations!$T57)^2*IF(Simulations!$W57="",1000,Simulations!$W57)/2^1.5*(2/3*LN(Simulations!$BG57/IF(Simulations!$J57="",1000,Simulations!$J57))^1.5+SQRT(LN(Simulations!$BG57/IF(Simulations!$J57="",1000,Simulations!$J57)))+Simulations!$BG57/IF(Simulations!$J57="",1000,Simulations!$J57)*SQRT(PI())/2*ERFC(SQRT(LN(Simulations!$BG57/IF(Simulations!$J57="",1000,Simulations!$J57))))),PI()*IF(Simulations!$T57="",200,Simulations!$T57)^2/2*(LN(Simulations!$BG57/IF(Simulations!$J57="",1000,Simulations!$J57))+1))))</f>
        <v>0</v>
      </c>
      <c r="I57" s="0" t="n">
        <f aca="false">IF(OR(NOT(AND(Simulations!$A57&lt;&gt;"",OR(Simulations!$BD57&lt;&gt;"",N(Simulations!$BF57)&gt;0))),N(Simulations!$BH57)&lt;=0,N(Simulations!$BF57)&lt;=0,2&gt;N(IF(Simulations!$O57="",1,Simulations!$O57))),0,IF(Simulations!$BH57&lt;IF(Simulations!$J57="",1000,Simulations!$J57),Simulations!$BF57/(IF(Simulations!$G57="",5000,Simulations!$G57)*IF(Simulations!$H57="",5000,Simulations!$H57)*IF(IF(Simulations!$I57="",5000,Simulations!$I57)&gt;0,IF(Simulations!$I57="",5000,Simulations!$I57),1))*Simulations!$BH57*(PI()/2*IF(Simulations!$U57="",200,Simulations!$U57)^2*IF(IF(Simulations!$I57="",5000,Simulations!$I57)&gt;0,SQRT(PI()/2)*IF(Simulations!$X57="",1000,Simulations!$X57),1)),Simulations!$BF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U57="",200,Simulations!$U57)^2*IF(Simulations!$X57="",1000,Simulations!$X57)/2^1.5*(2/3*LN(Simulations!$BH57/IF(Simulations!$J57="",1000,Simulations!$J57))^1.5+SQRT(LN(Simulations!$BH57/IF(Simulations!$J57="",1000,Simulations!$J57)))+Simulations!$BH57/IF(Simulations!$J57="",1000,Simulations!$J57)*SQRT(PI())/2*ERFC(SQRT(LN(Simulations!$BH57/IF(Simulations!$J57="",1000,Simulations!$J57))))),PI()*IF(Simulations!$U57="",200,Simulations!$U57)^2/2*(LN(Simulations!$BH57/IF(Simulations!$J57="",1000,Simulations!$J57))+1))))</f>
        <v>0</v>
      </c>
      <c r="J57" s="0" t="n">
        <f aca="false">IF(OR(NOT(AND(Simulations!$A57&lt;&gt;"",OR(Simulations!$BD57&lt;&gt;"",N(Simulations!$BF57)&gt;0))),N(Simulations!$BI57)&lt;=0,N(Simulations!$BF57)&lt;=0,3&gt;N(IF(Simulations!$O57="",1,Simulations!$O57))),0,IF(Simulations!$BI57&lt;IF(Simulations!$J57="",1000,Simulations!$J57),Simulations!$BF57/(IF(Simulations!$G57="",5000,Simulations!$G57)*IF(Simulations!$H57="",5000,Simulations!$H57)*IF(IF(Simulations!$I57="",5000,Simulations!$I57)&gt;0,IF(Simulations!$I57="",5000,Simulations!$I57),1))*Simulations!$BI57*(PI()/2*IF(Simulations!$V57="",200,Simulations!$V57)^2*IF(IF(Simulations!$I57="",5000,Simulations!$I57)&gt;0,SQRT(PI()/2)*IF(Simulations!$Y57="",1000,Simulations!$Y57),1)),Simulations!$BF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V57="",200,Simulations!$V57)^2*IF(Simulations!$Y57="",1000,Simulations!$Y57)/2^1.5*(2/3*LN(Simulations!$BI57/IF(Simulations!$J57="",1000,Simulations!$J57))^1.5+SQRT(LN(Simulations!$BI57/IF(Simulations!$J57="",1000,Simulations!$J57)))+Simulations!$BI57/IF(Simulations!$J57="",1000,Simulations!$J57)*SQRT(PI())/2*ERFC(SQRT(LN(Simulations!$BI57/IF(Simulations!$J57="",1000,Simulations!$J57))))),PI()*IF(Simulations!$V57="",200,Simulations!$V57)^2/2*(LN(Simulations!$BI57/IF(Simulations!$J57="",1000,Simulations!$J57))+1))))</f>
        <v>0</v>
      </c>
      <c r="K57" s="0" t="n">
        <f aca="false">IF(NOT(AND(Simulations!$A57&lt;&gt;"",OR(Simulations!$BD57&lt;&gt;"",N(Simulations!$BF57)&gt;0))),0,MAX(N(Simulations!$BG57),N(Simulations!$BH57),N(Simulations!$BI57))/IF(Simulations!$J57="",1000,Simulations!$J57))</f>
        <v>0</v>
      </c>
      <c r="L57" s="0" t="n">
        <f aca="false">IF(OR(NOT(AND(Simulations!$A57&lt;&gt;"",OR(Simulations!$BD57&lt;&gt;"",N(Simulations!$BF57)&gt;0))),N(Simulations!$BE57)&lt;=0),0,SQRT(2*Simulations!$BE57*1000000/(IF(Simulations!$J57="",1000,Simulations!$J57)*1000))/MIN(IF(Simulations!$T57="",200,Simulations!$T57),IF(Simulations!$U57="",200,Simulations!$U57),IF(Simulations!$V57="",200,Simulations!$V57)))</f>
        <v>0</v>
      </c>
      <c r="M57" s="0" t="n">
        <f aca="false">IF(AND(Simulations!$A57&lt;&gt;"",OR(Simulations!$BD57&lt;&gt;"",N(Simulations!$BF57)&gt;0)),1,0)</f>
        <v>0</v>
      </c>
      <c r="N57" s="0" t="n">
        <f aca="false">IF(OR(NOT(AND(Simulations!$A57&lt;&gt;"",OR(Simulations!$BV57&lt;&gt;"",N(Simulations!$BX57)&gt;0))),N(Simulations!$BY57)&lt;=0,N(Simulations!$BX57)&lt;=0,1&gt;N(IF(Simulations!$O57="",1,Simulations!$O57))),0,IF(Simulations!$BY57&lt;IF(Simulations!$J57="",1000,Simulations!$J57),Simulations!$BX57/(IF(Simulations!$G57="",5000,Simulations!$G57)*IF(Simulations!$H57="",5000,Simulations!$H57)*IF(IF(Simulations!$I57="",5000,Simulations!$I57)&gt;0,IF(Simulations!$I57="",5000,Simulations!$I57),1))*Simulations!$BY57*(PI()/2*IF(Simulations!$T57="",200,Simulations!$T57)^2*IF(IF(Simulations!$I57="",5000,Simulations!$I57)&gt;0,SQRT(PI()/2)*IF(Simulations!$W57="",1000,Simulations!$W57),1)),Simulations!$BX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T57="",200,Simulations!$T57)^2*IF(Simulations!$W57="",1000,Simulations!$W57)/2^1.5*(2/3*LN(Simulations!$BY57/IF(Simulations!$J57="",1000,Simulations!$J57))^1.5+SQRT(LN(Simulations!$BY57/IF(Simulations!$J57="",1000,Simulations!$J57)))+Simulations!$BY57/IF(Simulations!$J57="",1000,Simulations!$J57)*SQRT(PI())/2*ERFC(SQRT(LN(Simulations!$BY57/IF(Simulations!$J57="",1000,Simulations!$J57))))),PI()*IF(Simulations!$T57="",200,Simulations!$T57)^2/2*(LN(Simulations!$BY57/IF(Simulations!$J57="",1000,Simulations!$J57))+1))))</f>
        <v>0</v>
      </c>
      <c r="O57" s="0" t="n">
        <f aca="false">IF(OR(NOT(AND(Simulations!$A57&lt;&gt;"",OR(Simulations!$BV57&lt;&gt;"",N(Simulations!$BX57)&gt;0))),N(Simulations!$BZ57)&lt;=0,N(Simulations!$BX57)&lt;=0,2&gt;N(IF(Simulations!$O57="",1,Simulations!$O57))),0,IF(Simulations!$BZ57&lt;IF(Simulations!$J57="",1000,Simulations!$J57),Simulations!$BX57/(IF(Simulations!$G57="",5000,Simulations!$G57)*IF(Simulations!$H57="",5000,Simulations!$H57)*IF(IF(Simulations!$I57="",5000,Simulations!$I57)&gt;0,IF(Simulations!$I57="",5000,Simulations!$I57),1))*Simulations!$BZ57*(PI()/2*IF(Simulations!$U57="",200,Simulations!$U57)^2*IF(IF(Simulations!$I57="",5000,Simulations!$I57)&gt;0,SQRT(PI()/2)*IF(Simulations!$X57="",1000,Simulations!$X57),1)),Simulations!$BX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U57="",200,Simulations!$U57)^2*IF(Simulations!$X57="",1000,Simulations!$X57)/2^1.5*(2/3*LN(Simulations!$BZ57/IF(Simulations!$J57="",1000,Simulations!$J57))^1.5+SQRT(LN(Simulations!$BZ57/IF(Simulations!$J57="",1000,Simulations!$J57)))+Simulations!$BZ57/IF(Simulations!$J57="",1000,Simulations!$J57)*SQRT(PI())/2*ERFC(SQRT(LN(Simulations!$BZ57/IF(Simulations!$J57="",1000,Simulations!$J57))))),PI()*IF(Simulations!$U57="",200,Simulations!$U57)^2/2*(LN(Simulations!$BZ57/IF(Simulations!$J57="",1000,Simulations!$J57))+1))))</f>
        <v>0</v>
      </c>
      <c r="P57" s="0" t="n">
        <f aca="false">IF(OR(NOT(AND(Simulations!$A57&lt;&gt;"",OR(Simulations!$BV57&lt;&gt;"",N(Simulations!$BX57)&gt;0))),N(Simulations!$CA57)&lt;=0,N(Simulations!$BX57)&lt;=0,3&gt;N(IF(Simulations!$O57="",1,Simulations!$O57))),0,IF(Simulations!$CA57&lt;IF(Simulations!$J57="",1000,Simulations!$J57),Simulations!$BX57/(IF(Simulations!$G57="",5000,Simulations!$G57)*IF(Simulations!$H57="",5000,Simulations!$H57)*IF(IF(Simulations!$I57="",5000,Simulations!$I57)&gt;0,IF(Simulations!$I57="",5000,Simulations!$I57),1))*Simulations!$CA57*(PI()/2*IF(Simulations!$V57="",200,Simulations!$V57)^2*IF(IF(Simulations!$I57="",5000,Simulations!$I57)&gt;0,SQRT(PI()/2)*IF(Simulations!$Y57="",1000,Simulations!$Y57),1)),Simulations!$BX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V57="",200,Simulations!$V57)^2*IF(Simulations!$Y57="",1000,Simulations!$Y57)/2^1.5*(2/3*LN(Simulations!$CA57/IF(Simulations!$J57="",1000,Simulations!$J57))^1.5+SQRT(LN(Simulations!$CA57/IF(Simulations!$J57="",1000,Simulations!$J57)))+Simulations!$CA57/IF(Simulations!$J57="",1000,Simulations!$J57)*SQRT(PI())/2*ERFC(SQRT(LN(Simulations!$CA57/IF(Simulations!$J57="",1000,Simulations!$J57))))),PI()*IF(Simulations!$V57="",200,Simulations!$V57)^2/2*(LN(Simulations!$CA57/IF(Simulations!$J57="",1000,Simulations!$J57))+1))))</f>
        <v>0</v>
      </c>
      <c r="Q57" s="0" t="n">
        <f aca="false">IF(NOT(AND(Simulations!$A57&lt;&gt;"",OR(Simulations!$BV57&lt;&gt;"",N(Simulations!$BX57)&gt;0))),0,MAX(N(Simulations!$BY57),N(Simulations!$BZ57),N(Simulations!$CA57))/IF(Simulations!$J57="",1000,Simulations!$J57))</f>
        <v>0</v>
      </c>
      <c r="R57" s="0" t="n">
        <f aca="false">IF(OR(NOT(AND(Simulations!$A57&lt;&gt;"",OR(Simulations!$BV57&lt;&gt;"",N(Simulations!$BX57)&gt;0))),N(Simulations!$BW57)&lt;=0),0,SQRT(2*Simulations!$BW57*1000000/(IF(Simulations!$J57="",1000,Simulations!$J57)*1000))/MIN(IF(Simulations!$T57="",200,Simulations!$T57),IF(Simulations!$U57="",200,Simulations!$U57),IF(Simulations!$V57="",200,Simulations!$V57)))</f>
        <v>0</v>
      </c>
      <c r="S57" s="0" t="n">
        <f aca="false">IF(AND(Simulations!$A57&lt;&gt;"",OR(Simulations!$BV57&lt;&gt;"",N(Simulations!$BX57)&gt;0)),1,0)</f>
        <v>0</v>
      </c>
      <c r="T57" s="0" t="n">
        <f aca="false">IF(OR(NOT(AND(Simulations!$A57&lt;&gt;"",OR(Simulations!$CN57&lt;&gt;"",N(Simulations!$CP57)&gt;0))),N(Simulations!$CQ57)&lt;=0,N(Simulations!$CP57)&lt;=0,1&gt;N(IF(Simulations!$O57="",1,Simulations!$O57))),0,IF(Simulations!$CQ57&lt;IF(Simulations!$J57="",1000,Simulations!$J57),Simulations!$CP57/(IF(Simulations!$G57="",5000,Simulations!$G57)*IF(Simulations!$H57="",5000,Simulations!$H57)*IF(IF(Simulations!$I57="",5000,Simulations!$I57)&gt;0,IF(Simulations!$I57="",5000,Simulations!$I57),1))*Simulations!$CQ57*(PI()/2*IF(Simulations!$T57="",200,Simulations!$T57)^2*IF(IF(Simulations!$I57="",5000,Simulations!$I57)&gt;0,SQRT(PI()/2)*IF(Simulations!$W57="",1000,Simulations!$W57),1)),Simulations!$CP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T57="",200,Simulations!$T57)^2*IF(Simulations!$W57="",1000,Simulations!$W57)/2^1.5*(2/3*LN(Simulations!$CQ57/IF(Simulations!$J57="",1000,Simulations!$J57))^1.5+SQRT(LN(Simulations!$CQ57/IF(Simulations!$J57="",1000,Simulations!$J57)))+Simulations!$CQ57/IF(Simulations!$J57="",1000,Simulations!$J57)*SQRT(PI())/2*ERFC(SQRT(LN(Simulations!$CQ57/IF(Simulations!$J57="",1000,Simulations!$J57))))),PI()*IF(Simulations!$T57="",200,Simulations!$T57)^2/2*(LN(Simulations!$CQ57/IF(Simulations!$J57="",1000,Simulations!$J57))+1))))</f>
        <v>0</v>
      </c>
      <c r="U57" s="0" t="n">
        <f aca="false">IF(OR(NOT(AND(Simulations!$A57&lt;&gt;"",OR(Simulations!$CN57&lt;&gt;"",N(Simulations!$CP57)&gt;0))),N(Simulations!$CR57)&lt;=0,N(Simulations!$CP57)&lt;=0,2&gt;N(IF(Simulations!$O57="",1,Simulations!$O57))),0,IF(Simulations!$CR57&lt;IF(Simulations!$J57="",1000,Simulations!$J57),Simulations!$CP57/(IF(Simulations!$G57="",5000,Simulations!$G57)*IF(Simulations!$H57="",5000,Simulations!$H57)*IF(IF(Simulations!$I57="",5000,Simulations!$I57)&gt;0,IF(Simulations!$I57="",5000,Simulations!$I57),1))*Simulations!$CR57*(PI()/2*IF(Simulations!$U57="",200,Simulations!$U57)^2*IF(IF(Simulations!$I57="",5000,Simulations!$I57)&gt;0,SQRT(PI()/2)*IF(Simulations!$X57="",1000,Simulations!$X57),1)),Simulations!$CP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U57="",200,Simulations!$U57)^2*IF(Simulations!$X57="",1000,Simulations!$X57)/2^1.5*(2/3*LN(Simulations!$CR57/IF(Simulations!$J57="",1000,Simulations!$J57))^1.5+SQRT(LN(Simulations!$CR57/IF(Simulations!$J57="",1000,Simulations!$J57)))+Simulations!$CR57/IF(Simulations!$J57="",1000,Simulations!$J57)*SQRT(PI())/2*ERFC(SQRT(LN(Simulations!$CR57/IF(Simulations!$J57="",1000,Simulations!$J57))))),PI()*IF(Simulations!$U57="",200,Simulations!$U57)^2/2*(LN(Simulations!$CR57/IF(Simulations!$J57="",1000,Simulations!$J57))+1))))</f>
        <v>0</v>
      </c>
      <c r="V57" s="0" t="n">
        <f aca="false">IF(OR(NOT(AND(Simulations!$A57&lt;&gt;"",OR(Simulations!$CN57&lt;&gt;"",N(Simulations!$CP57)&gt;0))),N(Simulations!$CS57)&lt;=0,N(Simulations!$CP57)&lt;=0,3&gt;N(IF(Simulations!$O57="",1,Simulations!$O57))),0,IF(Simulations!$CS57&lt;IF(Simulations!$J57="",1000,Simulations!$J57),Simulations!$CP57/(IF(Simulations!$G57="",5000,Simulations!$G57)*IF(Simulations!$H57="",5000,Simulations!$H57)*IF(IF(Simulations!$I57="",5000,Simulations!$I57)&gt;0,IF(Simulations!$I57="",5000,Simulations!$I57),1))*Simulations!$CS57*(PI()/2*IF(Simulations!$V57="",200,Simulations!$V57)^2*IF(IF(Simulations!$I57="",5000,Simulations!$I57)&gt;0,SQRT(PI()/2)*IF(Simulations!$Y57="",1000,Simulations!$Y57),1)),Simulations!$CP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V57="",200,Simulations!$V57)^2*IF(Simulations!$Y57="",1000,Simulations!$Y57)/2^1.5*(2/3*LN(Simulations!$CS57/IF(Simulations!$J57="",1000,Simulations!$J57))^1.5+SQRT(LN(Simulations!$CS57/IF(Simulations!$J57="",1000,Simulations!$J57)))+Simulations!$CS57/IF(Simulations!$J57="",1000,Simulations!$J57)*SQRT(PI())/2*ERFC(SQRT(LN(Simulations!$CS57/IF(Simulations!$J57="",1000,Simulations!$J57))))),PI()*IF(Simulations!$V57="",200,Simulations!$V57)^2/2*(LN(Simulations!$CS57/IF(Simulations!$J57="",1000,Simulations!$J57))+1))))</f>
        <v>0</v>
      </c>
      <c r="W57" s="0" t="n">
        <f aca="false">IF(NOT(AND(Simulations!$A57&lt;&gt;"",OR(Simulations!$CN57&lt;&gt;"",N(Simulations!$CP57)&gt;0))),0,MAX(N(Simulations!$CQ57),N(Simulations!$CR57),N(Simulations!$CS57))/IF(Simulations!$J57="",1000,Simulations!$J57))</f>
        <v>0</v>
      </c>
      <c r="X57" s="0" t="n">
        <f aca="false">IF(OR(NOT(AND(Simulations!$A57&lt;&gt;"",OR(Simulations!$CN57&lt;&gt;"",N(Simulations!$CP57)&gt;0))),N(Simulations!$CO57)&lt;=0),0,SQRT(2*Simulations!$CO57*1000000/(IF(Simulations!$J57="",1000,Simulations!$J57)*1000))/MIN(IF(Simulations!$T57="",200,Simulations!$T57),IF(Simulations!$U57="",200,Simulations!$U57),IF(Simulations!$V57="",200,Simulations!$V57)))</f>
        <v>0</v>
      </c>
      <c r="Y57" s="0" t="n">
        <f aca="false">IF(AND(Simulations!$A57&lt;&gt;"",OR(Simulations!$CN57&lt;&gt;"",N(Simulations!$CP57)&gt;0)),1,0)</f>
        <v>0</v>
      </c>
      <c r="Z57" s="0" t="n">
        <f aca="false">IF(OR(NOT(AND(Simulations!$A57&lt;&gt;"",OR(Simulations!$DF57&lt;&gt;"",N(Simulations!$DH57)&gt;0))),N(Simulations!$DI57)&lt;=0,N(Simulations!$DH57)&lt;=0,1&gt;N(IF(Simulations!$O57="",1,Simulations!$O57))),0,IF(Simulations!$DI57&lt;IF(Simulations!$J57="",1000,Simulations!$J57),Simulations!$DH57/(IF(Simulations!$G57="",5000,Simulations!$G57)*IF(Simulations!$H57="",5000,Simulations!$H57)*IF(IF(Simulations!$I57="",5000,Simulations!$I57)&gt;0,IF(Simulations!$I57="",5000,Simulations!$I57),1))*Simulations!$DI57*(PI()/2*IF(Simulations!$T57="",200,Simulations!$T57)^2*IF(IF(Simulations!$I57="",5000,Simulations!$I57)&gt;0,SQRT(PI()/2)*IF(Simulations!$W57="",1000,Simulations!$W57),1)),Simulations!$DH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T57="",200,Simulations!$T57)^2*IF(Simulations!$W57="",1000,Simulations!$W57)/2^1.5*(2/3*LN(Simulations!$DI57/IF(Simulations!$J57="",1000,Simulations!$J57))^1.5+SQRT(LN(Simulations!$DI57/IF(Simulations!$J57="",1000,Simulations!$J57)))+Simulations!$DI57/IF(Simulations!$J57="",1000,Simulations!$J57)*SQRT(PI())/2*ERFC(SQRT(LN(Simulations!$DI57/IF(Simulations!$J57="",1000,Simulations!$J57))))),PI()*IF(Simulations!$T57="",200,Simulations!$T57)^2/2*(LN(Simulations!$DI57/IF(Simulations!$J57="",1000,Simulations!$J57))+1))))</f>
        <v>0</v>
      </c>
      <c r="AA57" s="0" t="n">
        <f aca="false">IF(OR(NOT(AND(Simulations!$A57&lt;&gt;"",OR(Simulations!$DF57&lt;&gt;"",N(Simulations!$DH57)&gt;0))),N(Simulations!$DJ57)&lt;=0,N(Simulations!$DH57)&lt;=0,2&gt;N(IF(Simulations!$O57="",1,Simulations!$O57))),0,IF(Simulations!$DJ57&lt;IF(Simulations!$J57="",1000,Simulations!$J57),Simulations!$DH57/(IF(Simulations!$G57="",5000,Simulations!$G57)*IF(Simulations!$H57="",5000,Simulations!$H57)*IF(IF(Simulations!$I57="",5000,Simulations!$I57)&gt;0,IF(Simulations!$I57="",5000,Simulations!$I57),1))*Simulations!$DJ57*(PI()/2*IF(Simulations!$U57="",200,Simulations!$U57)^2*IF(IF(Simulations!$I57="",5000,Simulations!$I57)&gt;0,SQRT(PI()/2)*IF(Simulations!$X57="",1000,Simulations!$X57),1)),Simulations!$DH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U57="",200,Simulations!$U57)^2*IF(Simulations!$X57="",1000,Simulations!$X57)/2^1.5*(2/3*LN(Simulations!$DJ57/IF(Simulations!$J57="",1000,Simulations!$J57))^1.5+SQRT(LN(Simulations!$DJ57/IF(Simulations!$J57="",1000,Simulations!$J57)))+Simulations!$DJ57/IF(Simulations!$J57="",1000,Simulations!$J57)*SQRT(PI())/2*ERFC(SQRT(LN(Simulations!$DJ57/IF(Simulations!$J57="",1000,Simulations!$J57))))),PI()*IF(Simulations!$U57="",200,Simulations!$U57)^2/2*(LN(Simulations!$DJ57/IF(Simulations!$J57="",1000,Simulations!$J57))+1))))</f>
        <v>0</v>
      </c>
      <c r="AB57" s="0" t="n">
        <f aca="false">IF(OR(NOT(AND(Simulations!$A57&lt;&gt;"",OR(Simulations!$DF57&lt;&gt;"",N(Simulations!$DH57)&gt;0))),N(Simulations!$DK57)&lt;=0,N(Simulations!$DH57)&lt;=0,3&gt;N(IF(Simulations!$O57="",1,Simulations!$O57))),0,IF(Simulations!$DK57&lt;IF(Simulations!$J57="",1000,Simulations!$J57),Simulations!$DH57/(IF(Simulations!$G57="",5000,Simulations!$G57)*IF(Simulations!$H57="",5000,Simulations!$H57)*IF(IF(Simulations!$I57="",5000,Simulations!$I57)&gt;0,IF(Simulations!$I57="",5000,Simulations!$I57),1))*Simulations!$DK57*(PI()/2*IF(Simulations!$V57="",200,Simulations!$V57)^2*IF(IF(Simulations!$I57="",5000,Simulations!$I57)&gt;0,SQRT(PI()/2)*IF(Simulations!$Y57="",1000,Simulations!$Y57),1)),Simulations!$DH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V57="",200,Simulations!$V57)^2*IF(Simulations!$Y57="",1000,Simulations!$Y57)/2^1.5*(2/3*LN(Simulations!$DK57/IF(Simulations!$J57="",1000,Simulations!$J57))^1.5+SQRT(LN(Simulations!$DK57/IF(Simulations!$J57="",1000,Simulations!$J57)))+Simulations!$DK57/IF(Simulations!$J57="",1000,Simulations!$J57)*SQRT(PI())/2*ERFC(SQRT(LN(Simulations!$DK57/IF(Simulations!$J57="",1000,Simulations!$J57))))),PI()*IF(Simulations!$V57="",200,Simulations!$V57)^2/2*(LN(Simulations!$DK57/IF(Simulations!$J57="",1000,Simulations!$J57))+1))))</f>
        <v>0</v>
      </c>
      <c r="AC57" s="0" t="n">
        <f aca="false">IF(NOT(AND(Simulations!$A57&lt;&gt;"",OR(Simulations!$DF57&lt;&gt;"",N(Simulations!$DH57)&gt;0))),0,MAX(N(Simulations!$DI57),N(Simulations!$DJ57),N(Simulations!$DK57))/IF(Simulations!$J57="",1000,Simulations!$J57))</f>
        <v>0</v>
      </c>
      <c r="AD57" s="0" t="n">
        <f aca="false">IF(OR(NOT(AND(Simulations!$A57&lt;&gt;"",OR(Simulations!$DF57&lt;&gt;"",N(Simulations!$DH57)&gt;0))),N(Simulations!$DG57)&lt;=0),0,SQRT(2*Simulations!$DG57*1000000/(IF(Simulations!$J57="",1000,Simulations!$J57)*1000))/MIN(IF(Simulations!$T57="",200,Simulations!$T57),IF(Simulations!$U57="",200,Simulations!$U57),IF(Simulations!$V57="",200,Simulations!$V57)))</f>
        <v>0</v>
      </c>
      <c r="AE57" s="0" t="n">
        <f aca="false">IF(AND(Simulations!$A57&lt;&gt;"",OR(Simulations!$DF57&lt;&gt;"",N(Simulations!$DH57)&gt;0)),1,0)</f>
        <v>0</v>
      </c>
      <c r="AF57" s="0" t="n">
        <f aca="false">IF(OR(NOT(AND(Simulations!$A57&lt;&gt;"",OR(Simulations!$DX57&lt;&gt;"",N(Simulations!$DZ57)&gt;0))),N(Simulations!$EA57)&lt;=0,N(Simulations!$DZ57)&lt;=0,1&gt;N(IF(Simulations!$O57="",1,Simulations!$O57))),0,IF(Simulations!$EA57&lt;IF(Simulations!$J57="",1000,Simulations!$J57),Simulations!$DZ57/(IF(Simulations!$G57="",5000,Simulations!$G57)*IF(Simulations!$H57="",5000,Simulations!$H57)*IF(IF(Simulations!$I57="",5000,Simulations!$I57)&gt;0,IF(Simulations!$I57="",5000,Simulations!$I57),1))*Simulations!$EA57*(PI()/2*IF(Simulations!$T57="",200,Simulations!$T57)^2*IF(IF(Simulations!$I57="",5000,Simulations!$I57)&gt;0,SQRT(PI()/2)*IF(Simulations!$W57="",1000,Simulations!$W57),1)),Simulations!$DZ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T57="",200,Simulations!$T57)^2*IF(Simulations!$W57="",1000,Simulations!$W57)/2^1.5*(2/3*LN(Simulations!$EA57/IF(Simulations!$J57="",1000,Simulations!$J57))^1.5+SQRT(LN(Simulations!$EA57/IF(Simulations!$J57="",1000,Simulations!$J57)))+Simulations!$EA57/IF(Simulations!$J57="",1000,Simulations!$J57)*SQRT(PI())/2*ERFC(SQRT(LN(Simulations!$EA57/IF(Simulations!$J57="",1000,Simulations!$J57))))),PI()*IF(Simulations!$T57="",200,Simulations!$T57)^2/2*(LN(Simulations!$EA57/IF(Simulations!$J57="",1000,Simulations!$J57))+1))))</f>
        <v>0</v>
      </c>
      <c r="AG57" s="0" t="n">
        <f aca="false">IF(OR(NOT(AND(Simulations!$A57&lt;&gt;"",OR(Simulations!$DX57&lt;&gt;"",N(Simulations!$DZ57)&gt;0))),N(Simulations!$EB57)&lt;=0,N(Simulations!$DZ57)&lt;=0,2&gt;N(IF(Simulations!$O57="",1,Simulations!$O57))),0,IF(Simulations!$EB57&lt;IF(Simulations!$J57="",1000,Simulations!$J57),Simulations!$DZ57/(IF(Simulations!$G57="",5000,Simulations!$G57)*IF(Simulations!$H57="",5000,Simulations!$H57)*IF(IF(Simulations!$I57="",5000,Simulations!$I57)&gt;0,IF(Simulations!$I57="",5000,Simulations!$I57),1))*Simulations!$EB57*(PI()/2*IF(Simulations!$U57="",200,Simulations!$U57)^2*IF(IF(Simulations!$I57="",5000,Simulations!$I57)&gt;0,SQRT(PI()/2)*IF(Simulations!$X57="",1000,Simulations!$X57),1)),Simulations!$DZ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U57="",200,Simulations!$U57)^2*IF(Simulations!$X57="",1000,Simulations!$X57)/2^1.5*(2/3*LN(Simulations!$EB57/IF(Simulations!$J57="",1000,Simulations!$J57))^1.5+SQRT(LN(Simulations!$EB57/IF(Simulations!$J57="",1000,Simulations!$J57)))+Simulations!$EB57/IF(Simulations!$J57="",1000,Simulations!$J57)*SQRT(PI())/2*ERFC(SQRT(LN(Simulations!$EB57/IF(Simulations!$J57="",1000,Simulations!$J57))))),PI()*IF(Simulations!$U57="",200,Simulations!$U57)^2/2*(LN(Simulations!$EB57/IF(Simulations!$J57="",1000,Simulations!$J57))+1))))</f>
        <v>0</v>
      </c>
      <c r="AH57" s="0" t="n">
        <f aca="false">IF(OR(NOT(AND(Simulations!$A57&lt;&gt;"",OR(Simulations!$DX57&lt;&gt;"",N(Simulations!$DZ57)&gt;0))),N(Simulations!$EC57)&lt;=0,N(Simulations!$DZ57)&lt;=0,3&gt;N(IF(Simulations!$O57="",1,Simulations!$O57))),0,IF(Simulations!$EC57&lt;IF(Simulations!$J57="",1000,Simulations!$J57),Simulations!$DZ57/(IF(Simulations!$G57="",5000,Simulations!$G57)*IF(Simulations!$H57="",5000,Simulations!$H57)*IF(IF(Simulations!$I57="",5000,Simulations!$I57)&gt;0,IF(Simulations!$I57="",5000,Simulations!$I57),1))*Simulations!$EC57*(PI()/2*IF(Simulations!$V57="",200,Simulations!$V57)^2*IF(IF(Simulations!$I57="",5000,Simulations!$I57)&gt;0,SQRT(PI()/2)*IF(Simulations!$Y57="",1000,Simulations!$Y57),1)),Simulations!$DZ57/(IF(Simulations!$G57="",5000,Simulations!$G57)*IF(Simulations!$H57="",5000,Simulations!$H57)*IF(IF(Simulations!$I57="",5000,Simulations!$I57)&gt;0,IF(Simulations!$I57="",5000,Simulations!$I57),1))*IF(Simulations!$J57="",1000,Simulations!$J57)*IF(IF(Simulations!$I57="",5000,Simulations!$I57)&gt;0,2*PI()*IF(Simulations!$V57="",200,Simulations!$V57)^2*IF(Simulations!$Y57="",1000,Simulations!$Y57)/2^1.5*(2/3*LN(Simulations!$EC57/IF(Simulations!$J57="",1000,Simulations!$J57))^1.5+SQRT(LN(Simulations!$EC57/IF(Simulations!$J57="",1000,Simulations!$J57)))+Simulations!$EC57/IF(Simulations!$J57="",1000,Simulations!$J57)*SQRT(PI())/2*ERFC(SQRT(LN(Simulations!$EC57/IF(Simulations!$J57="",1000,Simulations!$J57))))),PI()*IF(Simulations!$V57="",200,Simulations!$V57)^2/2*(LN(Simulations!$EC57/IF(Simulations!$J57="",1000,Simulations!$J57))+1))))</f>
        <v>0</v>
      </c>
      <c r="AI57" s="0" t="n">
        <f aca="false">IF(NOT(AND(Simulations!$A57&lt;&gt;"",OR(Simulations!$DX57&lt;&gt;"",N(Simulations!$DZ57)&gt;0))),0,MAX(N(Simulations!$EA57),N(Simulations!$EB57),N(Simulations!$EC57))/IF(Simulations!$J57="",1000,Simulations!$J57))</f>
        <v>0</v>
      </c>
      <c r="AJ57" s="0" t="n">
        <f aca="false">IF(OR(NOT(AND(Simulations!$A57&lt;&gt;"",OR(Simulations!$DX57&lt;&gt;"",N(Simulations!$DZ57)&gt;0))),N(Simulations!$DY57)&lt;=0),0,SQRT(2*Simulations!$DY57*1000000/(IF(Simulations!$J57="",1000,Simulations!$J57)*1000))/MIN(IF(Simulations!$T57="",200,Simulations!$T57),IF(Simulations!$U57="",200,Simulations!$U57),IF(Simulations!$V57="",200,Simulations!$V57)))</f>
        <v>0</v>
      </c>
      <c r="AK57" s="0" t="n">
        <f aca="false">IF(AND(Simulations!$A57&lt;&gt;"",OR(Simulations!$DX57&lt;&gt;"",N(Simulations!$DZ57)&gt;0)),1,0)</f>
        <v>0</v>
      </c>
    </row>
    <row r="58" customFormat="false" ht="15" hidden="false" customHeight="false" outlineLevel="0" collapsed="false">
      <c r="B58" s="0" t="n">
        <f aca="false">IF(OR(NOT(AND(Simulations!$A58&lt;&gt;"",OR(Simulations!$AL58&lt;&gt;"",N(Simulations!$AN58)&gt;0))),N(Simulations!$AO58)&lt;=0,N(Simulations!$AN58)&lt;=0,1&gt;N(IF(Simulations!$O58="",1,Simulations!$O58))),0,IF(Simulations!$AO58&lt;IF(Simulations!$J58="",1000,Simulations!$J58),Simulations!$AN58/(IF(Simulations!$G58="",5000,Simulations!$G58)*IF(Simulations!$H58="",5000,Simulations!$H58)*IF(IF(Simulations!$I58="",5000,Simulations!$I58)&gt;0,IF(Simulations!$I58="",5000,Simulations!$I58),1))*Simulations!$AO58*(PI()/2*IF(Simulations!$T58="",200,Simulations!$T58)^2*IF(IF(Simulations!$I58="",5000,Simulations!$I58)&gt;0,SQRT(PI()/2)*IF(Simulations!$W58="",1000,Simulations!$W58),1)),Simulations!$AN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T58="",200,Simulations!$T58)^2*IF(Simulations!$W58="",1000,Simulations!$W58)/2^1.5*(2/3*LN(Simulations!$AO58/IF(Simulations!$J58="",1000,Simulations!$J58))^1.5+SQRT(LN(Simulations!$AO58/IF(Simulations!$J58="",1000,Simulations!$J58)))+Simulations!$AO58/IF(Simulations!$J58="",1000,Simulations!$J58)*SQRT(PI())/2*ERFC(SQRT(LN(Simulations!$AO58/IF(Simulations!$J58="",1000,Simulations!$J58))))),PI()*IF(Simulations!$T58="",200,Simulations!$T58)^2/2*(LN(Simulations!$AO58/IF(Simulations!$J58="",1000,Simulations!$J58))+1))))</f>
        <v>0</v>
      </c>
      <c r="C58" s="0" t="n">
        <f aca="false">IF(OR(NOT(AND(Simulations!$A58&lt;&gt;"",OR(Simulations!$AL58&lt;&gt;"",N(Simulations!$AN58)&gt;0))),N(Simulations!$AP58)&lt;=0,N(Simulations!$AN58)&lt;=0,2&gt;N(IF(Simulations!$O58="",1,Simulations!$O58))),0,IF(Simulations!$AP58&lt;IF(Simulations!$J58="",1000,Simulations!$J58),Simulations!$AN58/(IF(Simulations!$G58="",5000,Simulations!$G58)*IF(Simulations!$H58="",5000,Simulations!$H58)*IF(IF(Simulations!$I58="",5000,Simulations!$I58)&gt;0,IF(Simulations!$I58="",5000,Simulations!$I58),1))*Simulations!$AP58*(PI()/2*IF(Simulations!$U58="",200,Simulations!$U58)^2*IF(IF(Simulations!$I58="",5000,Simulations!$I58)&gt;0,SQRT(PI()/2)*IF(Simulations!$X58="",1000,Simulations!$X58),1)),Simulations!$AN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U58="",200,Simulations!$U58)^2*IF(Simulations!$X58="",1000,Simulations!$X58)/2^1.5*(2/3*LN(Simulations!$AP58/IF(Simulations!$J58="",1000,Simulations!$J58))^1.5+SQRT(LN(Simulations!$AP58/IF(Simulations!$J58="",1000,Simulations!$J58)))+Simulations!$AP58/IF(Simulations!$J58="",1000,Simulations!$J58)*SQRT(PI())/2*ERFC(SQRT(LN(Simulations!$AP58/IF(Simulations!$J58="",1000,Simulations!$J58))))),PI()*IF(Simulations!$U58="",200,Simulations!$U58)^2/2*(LN(Simulations!$AP58/IF(Simulations!$J58="",1000,Simulations!$J58))+1))))</f>
        <v>0</v>
      </c>
      <c r="D58" s="0" t="n">
        <f aca="false">IF(OR(NOT(AND(Simulations!$A58&lt;&gt;"",OR(Simulations!$AL58&lt;&gt;"",N(Simulations!$AN58)&gt;0))),N(Simulations!$AQ58)&lt;=0,N(Simulations!$AN58)&lt;=0,3&gt;N(IF(Simulations!$O58="",1,Simulations!$O58))),0,IF(Simulations!$AQ58&lt;IF(Simulations!$J58="",1000,Simulations!$J58),Simulations!$AN58/(IF(Simulations!$G58="",5000,Simulations!$G58)*IF(Simulations!$H58="",5000,Simulations!$H58)*IF(IF(Simulations!$I58="",5000,Simulations!$I58)&gt;0,IF(Simulations!$I58="",5000,Simulations!$I58),1))*Simulations!$AQ58*(PI()/2*IF(Simulations!$V58="",200,Simulations!$V58)^2*IF(IF(Simulations!$I58="",5000,Simulations!$I58)&gt;0,SQRT(PI()/2)*IF(Simulations!$Y58="",1000,Simulations!$Y58),1)),Simulations!$AN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V58="",200,Simulations!$V58)^2*IF(Simulations!$Y58="",1000,Simulations!$Y58)/2^1.5*(2/3*LN(Simulations!$AQ58/IF(Simulations!$J58="",1000,Simulations!$J58))^1.5+SQRT(LN(Simulations!$AQ58/IF(Simulations!$J58="",1000,Simulations!$J58)))+Simulations!$AQ58/IF(Simulations!$J58="",1000,Simulations!$J58)*SQRT(PI())/2*ERFC(SQRT(LN(Simulations!$AQ58/IF(Simulations!$J58="",1000,Simulations!$J58))))),PI()*IF(Simulations!$V58="",200,Simulations!$V58)^2/2*(LN(Simulations!$AQ58/IF(Simulations!$J58="",1000,Simulations!$J58))+1))))</f>
        <v>0</v>
      </c>
      <c r="E58" s="0" t="n">
        <f aca="false">IF(NOT(AND(Simulations!$A58&lt;&gt;"",OR(Simulations!$AL58&lt;&gt;"",N(Simulations!$AN58)&gt;0))),0,MAX(N(Simulations!$AO58),N(Simulations!$AP58),N(Simulations!$AQ58))/IF(Simulations!$J58="",1000,Simulations!$J58))</f>
        <v>0</v>
      </c>
      <c r="F58" s="0" t="n">
        <f aca="false">IF(OR(NOT(AND(Simulations!$A58&lt;&gt;"",OR(Simulations!$AL58&lt;&gt;"",N(Simulations!$AN58)&gt;0))),N(Simulations!$AM58)&lt;=0),0,SQRT(2*Simulations!$AM58*1000000/(IF(Simulations!$J58="",1000,Simulations!$J58)*1000))/MIN(IF(Simulations!$T58="",200,Simulations!$T58),IF(Simulations!$U58="",200,Simulations!$U58),IF(Simulations!$V58="",200,Simulations!$V58)))</f>
        <v>0</v>
      </c>
      <c r="G58" s="0" t="n">
        <f aca="false">IF(AND(Simulations!$A58&lt;&gt;"",OR(Simulations!$AL58&lt;&gt;"",N(Simulations!$AN58)&gt;0)),1,0)</f>
        <v>0</v>
      </c>
      <c r="H58" s="0" t="n">
        <f aca="false">IF(OR(NOT(AND(Simulations!$A58&lt;&gt;"",OR(Simulations!$BD58&lt;&gt;"",N(Simulations!$BF58)&gt;0))),N(Simulations!$BG58)&lt;=0,N(Simulations!$BF58)&lt;=0,1&gt;N(IF(Simulations!$O58="",1,Simulations!$O58))),0,IF(Simulations!$BG58&lt;IF(Simulations!$J58="",1000,Simulations!$J58),Simulations!$BF58/(IF(Simulations!$G58="",5000,Simulations!$G58)*IF(Simulations!$H58="",5000,Simulations!$H58)*IF(IF(Simulations!$I58="",5000,Simulations!$I58)&gt;0,IF(Simulations!$I58="",5000,Simulations!$I58),1))*Simulations!$BG58*(PI()/2*IF(Simulations!$T58="",200,Simulations!$T58)^2*IF(IF(Simulations!$I58="",5000,Simulations!$I58)&gt;0,SQRT(PI()/2)*IF(Simulations!$W58="",1000,Simulations!$W58),1)),Simulations!$BF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T58="",200,Simulations!$T58)^2*IF(Simulations!$W58="",1000,Simulations!$W58)/2^1.5*(2/3*LN(Simulations!$BG58/IF(Simulations!$J58="",1000,Simulations!$J58))^1.5+SQRT(LN(Simulations!$BG58/IF(Simulations!$J58="",1000,Simulations!$J58)))+Simulations!$BG58/IF(Simulations!$J58="",1000,Simulations!$J58)*SQRT(PI())/2*ERFC(SQRT(LN(Simulations!$BG58/IF(Simulations!$J58="",1000,Simulations!$J58))))),PI()*IF(Simulations!$T58="",200,Simulations!$T58)^2/2*(LN(Simulations!$BG58/IF(Simulations!$J58="",1000,Simulations!$J58))+1))))</f>
        <v>0</v>
      </c>
      <c r="I58" s="0" t="n">
        <f aca="false">IF(OR(NOT(AND(Simulations!$A58&lt;&gt;"",OR(Simulations!$BD58&lt;&gt;"",N(Simulations!$BF58)&gt;0))),N(Simulations!$BH58)&lt;=0,N(Simulations!$BF58)&lt;=0,2&gt;N(IF(Simulations!$O58="",1,Simulations!$O58))),0,IF(Simulations!$BH58&lt;IF(Simulations!$J58="",1000,Simulations!$J58),Simulations!$BF58/(IF(Simulations!$G58="",5000,Simulations!$G58)*IF(Simulations!$H58="",5000,Simulations!$H58)*IF(IF(Simulations!$I58="",5000,Simulations!$I58)&gt;0,IF(Simulations!$I58="",5000,Simulations!$I58),1))*Simulations!$BH58*(PI()/2*IF(Simulations!$U58="",200,Simulations!$U58)^2*IF(IF(Simulations!$I58="",5000,Simulations!$I58)&gt;0,SQRT(PI()/2)*IF(Simulations!$X58="",1000,Simulations!$X58),1)),Simulations!$BF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U58="",200,Simulations!$U58)^2*IF(Simulations!$X58="",1000,Simulations!$X58)/2^1.5*(2/3*LN(Simulations!$BH58/IF(Simulations!$J58="",1000,Simulations!$J58))^1.5+SQRT(LN(Simulations!$BH58/IF(Simulations!$J58="",1000,Simulations!$J58)))+Simulations!$BH58/IF(Simulations!$J58="",1000,Simulations!$J58)*SQRT(PI())/2*ERFC(SQRT(LN(Simulations!$BH58/IF(Simulations!$J58="",1000,Simulations!$J58))))),PI()*IF(Simulations!$U58="",200,Simulations!$U58)^2/2*(LN(Simulations!$BH58/IF(Simulations!$J58="",1000,Simulations!$J58))+1))))</f>
        <v>0</v>
      </c>
      <c r="J58" s="0" t="n">
        <f aca="false">IF(OR(NOT(AND(Simulations!$A58&lt;&gt;"",OR(Simulations!$BD58&lt;&gt;"",N(Simulations!$BF58)&gt;0))),N(Simulations!$BI58)&lt;=0,N(Simulations!$BF58)&lt;=0,3&gt;N(IF(Simulations!$O58="",1,Simulations!$O58))),0,IF(Simulations!$BI58&lt;IF(Simulations!$J58="",1000,Simulations!$J58),Simulations!$BF58/(IF(Simulations!$G58="",5000,Simulations!$G58)*IF(Simulations!$H58="",5000,Simulations!$H58)*IF(IF(Simulations!$I58="",5000,Simulations!$I58)&gt;0,IF(Simulations!$I58="",5000,Simulations!$I58),1))*Simulations!$BI58*(PI()/2*IF(Simulations!$V58="",200,Simulations!$V58)^2*IF(IF(Simulations!$I58="",5000,Simulations!$I58)&gt;0,SQRT(PI()/2)*IF(Simulations!$Y58="",1000,Simulations!$Y58),1)),Simulations!$BF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V58="",200,Simulations!$V58)^2*IF(Simulations!$Y58="",1000,Simulations!$Y58)/2^1.5*(2/3*LN(Simulations!$BI58/IF(Simulations!$J58="",1000,Simulations!$J58))^1.5+SQRT(LN(Simulations!$BI58/IF(Simulations!$J58="",1000,Simulations!$J58)))+Simulations!$BI58/IF(Simulations!$J58="",1000,Simulations!$J58)*SQRT(PI())/2*ERFC(SQRT(LN(Simulations!$BI58/IF(Simulations!$J58="",1000,Simulations!$J58))))),PI()*IF(Simulations!$V58="",200,Simulations!$V58)^2/2*(LN(Simulations!$BI58/IF(Simulations!$J58="",1000,Simulations!$J58))+1))))</f>
        <v>0</v>
      </c>
      <c r="K58" s="0" t="n">
        <f aca="false">IF(NOT(AND(Simulations!$A58&lt;&gt;"",OR(Simulations!$BD58&lt;&gt;"",N(Simulations!$BF58)&gt;0))),0,MAX(N(Simulations!$BG58),N(Simulations!$BH58),N(Simulations!$BI58))/IF(Simulations!$J58="",1000,Simulations!$J58))</f>
        <v>0</v>
      </c>
      <c r="L58" s="0" t="n">
        <f aca="false">IF(OR(NOT(AND(Simulations!$A58&lt;&gt;"",OR(Simulations!$BD58&lt;&gt;"",N(Simulations!$BF58)&gt;0))),N(Simulations!$BE58)&lt;=0),0,SQRT(2*Simulations!$BE58*1000000/(IF(Simulations!$J58="",1000,Simulations!$J58)*1000))/MIN(IF(Simulations!$T58="",200,Simulations!$T58),IF(Simulations!$U58="",200,Simulations!$U58),IF(Simulations!$V58="",200,Simulations!$V58)))</f>
        <v>0</v>
      </c>
      <c r="M58" s="0" t="n">
        <f aca="false">IF(AND(Simulations!$A58&lt;&gt;"",OR(Simulations!$BD58&lt;&gt;"",N(Simulations!$BF58)&gt;0)),1,0)</f>
        <v>0</v>
      </c>
      <c r="N58" s="0" t="n">
        <f aca="false">IF(OR(NOT(AND(Simulations!$A58&lt;&gt;"",OR(Simulations!$BV58&lt;&gt;"",N(Simulations!$BX58)&gt;0))),N(Simulations!$BY58)&lt;=0,N(Simulations!$BX58)&lt;=0,1&gt;N(IF(Simulations!$O58="",1,Simulations!$O58))),0,IF(Simulations!$BY58&lt;IF(Simulations!$J58="",1000,Simulations!$J58),Simulations!$BX58/(IF(Simulations!$G58="",5000,Simulations!$G58)*IF(Simulations!$H58="",5000,Simulations!$H58)*IF(IF(Simulations!$I58="",5000,Simulations!$I58)&gt;0,IF(Simulations!$I58="",5000,Simulations!$I58),1))*Simulations!$BY58*(PI()/2*IF(Simulations!$T58="",200,Simulations!$T58)^2*IF(IF(Simulations!$I58="",5000,Simulations!$I58)&gt;0,SQRT(PI()/2)*IF(Simulations!$W58="",1000,Simulations!$W58),1)),Simulations!$BX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T58="",200,Simulations!$T58)^2*IF(Simulations!$W58="",1000,Simulations!$W58)/2^1.5*(2/3*LN(Simulations!$BY58/IF(Simulations!$J58="",1000,Simulations!$J58))^1.5+SQRT(LN(Simulations!$BY58/IF(Simulations!$J58="",1000,Simulations!$J58)))+Simulations!$BY58/IF(Simulations!$J58="",1000,Simulations!$J58)*SQRT(PI())/2*ERFC(SQRT(LN(Simulations!$BY58/IF(Simulations!$J58="",1000,Simulations!$J58))))),PI()*IF(Simulations!$T58="",200,Simulations!$T58)^2/2*(LN(Simulations!$BY58/IF(Simulations!$J58="",1000,Simulations!$J58))+1))))</f>
        <v>0</v>
      </c>
      <c r="O58" s="0" t="n">
        <f aca="false">IF(OR(NOT(AND(Simulations!$A58&lt;&gt;"",OR(Simulations!$BV58&lt;&gt;"",N(Simulations!$BX58)&gt;0))),N(Simulations!$BZ58)&lt;=0,N(Simulations!$BX58)&lt;=0,2&gt;N(IF(Simulations!$O58="",1,Simulations!$O58))),0,IF(Simulations!$BZ58&lt;IF(Simulations!$J58="",1000,Simulations!$J58),Simulations!$BX58/(IF(Simulations!$G58="",5000,Simulations!$G58)*IF(Simulations!$H58="",5000,Simulations!$H58)*IF(IF(Simulations!$I58="",5000,Simulations!$I58)&gt;0,IF(Simulations!$I58="",5000,Simulations!$I58),1))*Simulations!$BZ58*(PI()/2*IF(Simulations!$U58="",200,Simulations!$U58)^2*IF(IF(Simulations!$I58="",5000,Simulations!$I58)&gt;0,SQRT(PI()/2)*IF(Simulations!$X58="",1000,Simulations!$X58),1)),Simulations!$BX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U58="",200,Simulations!$U58)^2*IF(Simulations!$X58="",1000,Simulations!$X58)/2^1.5*(2/3*LN(Simulations!$BZ58/IF(Simulations!$J58="",1000,Simulations!$J58))^1.5+SQRT(LN(Simulations!$BZ58/IF(Simulations!$J58="",1000,Simulations!$J58)))+Simulations!$BZ58/IF(Simulations!$J58="",1000,Simulations!$J58)*SQRT(PI())/2*ERFC(SQRT(LN(Simulations!$BZ58/IF(Simulations!$J58="",1000,Simulations!$J58))))),PI()*IF(Simulations!$U58="",200,Simulations!$U58)^2/2*(LN(Simulations!$BZ58/IF(Simulations!$J58="",1000,Simulations!$J58))+1))))</f>
        <v>0</v>
      </c>
      <c r="P58" s="0" t="n">
        <f aca="false">IF(OR(NOT(AND(Simulations!$A58&lt;&gt;"",OR(Simulations!$BV58&lt;&gt;"",N(Simulations!$BX58)&gt;0))),N(Simulations!$CA58)&lt;=0,N(Simulations!$BX58)&lt;=0,3&gt;N(IF(Simulations!$O58="",1,Simulations!$O58))),0,IF(Simulations!$CA58&lt;IF(Simulations!$J58="",1000,Simulations!$J58),Simulations!$BX58/(IF(Simulations!$G58="",5000,Simulations!$G58)*IF(Simulations!$H58="",5000,Simulations!$H58)*IF(IF(Simulations!$I58="",5000,Simulations!$I58)&gt;0,IF(Simulations!$I58="",5000,Simulations!$I58),1))*Simulations!$CA58*(PI()/2*IF(Simulations!$V58="",200,Simulations!$V58)^2*IF(IF(Simulations!$I58="",5000,Simulations!$I58)&gt;0,SQRT(PI()/2)*IF(Simulations!$Y58="",1000,Simulations!$Y58),1)),Simulations!$BX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V58="",200,Simulations!$V58)^2*IF(Simulations!$Y58="",1000,Simulations!$Y58)/2^1.5*(2/3*LN(Simulations!$CA58/IF(Simulations!$J58="",1000,Simulations!$J58))^1.5+SQRT(LN(Simulations!$CA58/IF(Simulations!$J58="",1000,Simulations!$J58)))+Simulations!$CA58/IF(Simulations!$J58="",1000,Simulations!$J58)*SQRT(PI())/2*ERFC(SQRT(LN(Simulations!$CA58/IF(Simulations!$J58="",1000,Simulations!$J58))))),PI()*IF(Simulations!$V58="",200,Simulations!$V58)^2/2*(LN(Simulations!$CA58/IF(Simulations!$J58="",1000,Simulations!$J58))+1))))</f>
        <v>0</v>
      </c>
      <c r="Q58" s="0" t="n">
        <f aca="false">IF(NOT(AND(Simulations!$A58&lt;&gt;"",OR(Simulations!$BV58&lt;&gt;"",N(Simulations!$BX58)&gt;0))),0,MAX(N(Simulations!$BY58),N(Simulations!$BZ58),N(Simulations!$CA58))/IF(Simulations!$J58="",1000,Simulations!$J58))</f>
        <v>0</v>
      </c>
      <c r="R58" s="0" t="n">
        <f aca="false">IF(OR(NOT(AND(Simulations!$A58&lt;&gt;"",OR(Simulations!$BV58&lt;&gt;"",N(Simulations!$BX58)&gt;0))),N(Simulations!$BW58)&lt;=0),0,SQRT(2*Simulations!$BW58*1000000/(IF(Simulations!$J58="",1000,Simulations!$J58)*1000))/MIN(IF(Simulations!$T58="",200,Simulations!$T58),IF(Simulations!$U58="",200,Simulations!$U58),IF(Simulations!$V58="",200,Simulations!$V58)))</f>
        <v>0</v>
      </c>
      <c r="S58" s="0" t="n">
        <f aca="false">IF(AND(Simulations!$A58&lt;&gt;"",OR(Simulations!$BV58&lt;&gt;"",N(Simulations!$BX58)&gt;0)),1,0)</f>
        <v>0</v>
      </c>
      <c r="T58" s="0" t="n">
        <f aca="false">IF(OR(NOT(AND(Simulations!$A58&lt;&gt;"",OR(Simulations!$CN58&lt;&gt;"",N(Simulations!$CP58)&gt;0))),N(Simulations!$CQ58)&lt;=0,N(Simulations!$CP58)&lt;=0,1&gt;N(IF(Simulations!$O58="",1,Simulations!$O58))),0,IF(Simulations!$CQ58&lt;IF(Simulations!$J58="",1000,Simulations!$J58),Simulations!$CP58/(IF(Simulations!$G58="",5000,Simulations!$G58)*IF(Simulations!$H58="",5000,Simulations!$H58)*IF(IF(Simulations!$I58="",5000,Simulations!$I58)&gt;0,IF(Simulations!$I58="",5000,Simulations!$I58),1))*Simulations!$CQ58*(PI()/2*IF(Simulations!$T58="",200,Simulations!$T58)^2*IF(IF(Simulations!$I58="",5000,Simulations!$I58)&gt;0,SQRT(PI()/2)*IF(Simulations!$W58="",1000,Simulations!$W58),1)),Simulations!$CP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T58="",200,Simulations!$T58)^2*IF(Simulations!$W58="",1000,Simulations!$W58)/2^1.5*(2/3*LN(Simulations!$CQ58/IF(Simulations!$J58="",1000,Simulations!$J58))^1.5+SQRT(LN(Simulations!$CQ58/IF(Simulations!$J58="",1000,Simulations!$J58)))+Simulations!$CQ58/IF(Simulations!$J58="",1000,Simulations!$J58)*SQRT(PI())/2*ERFC(SQRT(LN(Simulations!$CQ58/IF(Simulations!$J58="",1000,Simulations!$J58))))),PI()*IF(Simulations!$T58="",200,Simulations!$T58)^2/2*(LN(Simulations!$CQ58/IF(Simulations!$J58="",1000,Simulations!$J58))+1))))</f>
        <v>0</v>
      </c>
      <c r="U58" s="0" t="n">
        <f aca="false">IF(OR(NOT(AND(Simulations!$A58&lt;&gt;"",OR(Simulations!$CN58&lt;&gt;"",N(Simulations!$CP58)&gt;0))),N(Simulations!$CR58)&lt;=0,N(Simulations!$CP58)&lt;=0,2&gt;N(IF(Simulations!$O58="",1,Simulations!$O58))),0,IF(Simulations!$CR58&lt;IF(Simulations!$J58="",1000,Simulations!$J58),Simulations!$CP58/(IF(Simulations!$G58="",5000,Simulations!$G58)*IF(Simulations!$H58="",5000,Simulations!$H58)*IF(IF(Simulations!$I58="",5000,Simulations!$I58)&gt;0,IF(Simulations!$I58="",5000,Simulations!$I58),1))*Simulations!$CR58*(PI()/2*IF(Simulations!$U58="",200,Simulations!$U58)^2*IF(IF(Simulations!$I58="",5000,Simulations!$I58)&gt;0,SQRT(PI()/2)*IF(Simulations!$X58="",1000,Simulations!$X58),1)),Simulations!$CP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U58="",200,Simulations!$U58)^2*IF(Simulations!$X58="",1000,Simulations!$X58)/2^1.5*(2/3*LN(Simulations!$CR58/IF(Simulations!$J58="",1000,Simulations!$J58))^1.5+SQRT(LN(Simulations!$CR58/IF(Simulations!$J58="",1000,Simulations!$J58)))+Simulations!$CR58/IF(Simulations!$J58="",1000,Simulations!$J58)*SQRT(PI())/2*ERFC(SQRT(LN(Simulations!$CR58/IF(Simulations!$J58="",1000,Simulations!$J58))))),PI()*IF(Simulations!$U58="",200,Simulations!$U58)^2/2*(LN(Simulations!$CR58/IF(Simulations!$J58="",1000,Simulations!$J58))+1))))</f>
        <v>0</v>
      </c>
      <c r="V58" s="0" t="n">
        <f aca="false">IF(OR(NOT(AND(Simulations!$A58&lt;&gt;"",OR(Simulations!$CN58&lt;&gt;"",N(Simulations!$CP58)&gt;0))),N(Simulations!$CS58)&lt;=0,N(Simulations!$CP58)&lt;=0,3&gt;N(IF(Simulations!$O58="",1,Simulations!$O58))),0,IF(Simulations!$CS58&lt;IF(Simulations!$J58="",1000,Simulations!$J58),Simulations!$CP58/(IF(Simulations!$G58="",5000,Simulations!$G58)*IF(Simulations!$H58="",5000,Simulations!$H58)*IF(IF(Simulations!$I58="",5000,Simulations!$I58)&gt;0,IF(Simulations!$I58="",5000,Simulations!$I58),1))*Simulations!$CS58*(PI()/2*IF(Simulations!$V58="",200,Simulations!$V58)^2*IF(IF(Simulations!$I58="",5000,Simulations!$I58)&gt;0,SQRT(PI()/2)*IF(Simulations!$Y58="",1000,Simulations!$Y58),1)),Simulations!$CP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V58="",200,Simulations!$V58)^2*IF(Simulations!$Y58="",1000,Simulations!$Y58)/2^1.5*(2/3*LN(Simulations!$CS58/IF(Simulations!$J58="",1000,Simulations!$J58))^1.5+SQRT(LN(Simulations!$CS58/IF(Simulations!$J58="",1000,Simulations!$J58)))+Simulations!$CS58/IF(Simulations!$J58="",1000,Simulations!$J58)*SQRT(PI())/2*ERFC(SQRT(LN(Simulations!$CS58/IF(Simulations!$J58="",1000,Simulations!$J58))))),PI()*IF(Simulations!$V58="",200,Simulations!$V58)^2/2*(LN(Simulations!$CS58/IF(Simulations!$J58="",1000,Simulations!$J58))+1))))</f>
        <v>0</v>
      </c>
      <c r="W58" s="0" t="n">
        <f aca="false">IF(NOT(AND(Simulations!$A58&lt;&gt;"",OR(Simulations!$CN58&lt;&gt;"",N(Simulations!$CP58)&gt;0))),0,MAX(N(Simulations!$CQ58),N(Simulations!$CR58),N(Simulations!$CS58))/IF(Simulations!$J58="",1000,Simulations!$J58))</f>
        <v>0</v>
      </c>
      <c r="X58" s="0" t="n">
        <f aca="false">IF(OR(NOT(AND(Simulations!$A58&lt;&gt;"",OR(Simulations!$CN58&lt;&gt;"",N(Simulations!$CP58)&gt;0))),N(Simulations!$CO58)&lt;=0),0,SQRT(2*Simulations!$CO58*1000000/(IF(Simulations!$J58="",1000,Simulations!$J58)*1000))/MIN(IF(Simulations!$T58="",200,Simulations!$T58),IF(Simulations!$U58="",200,Simulations!$U58),IF(Simulations!$V58="",200,Simulations!$V58)))</f>
        <v>0</v>
      </c>
      <c r="Y58" s="0" t="n">
        <f aca="false">IF(AND(Simulations!$A58&lt;&gt;"",OR(Simulations!$CN58&lt;&gt;"",N(Simulations!$CP58)&gt;0)),1,0)</f>
        <v>0</v>
      </c>
      <c r="Z58" s="0" t="n">
        <f aca="false">IF(OR(NOT(AND(Simulations!$A58&lt;&gt;"",OR(Simulations!$DF58&lt;&gt;"",N(Simulations!$DH58)&gt;0))),N(Simulations!$DI58)&lt;=0,N(Simulations!$DH58)&lt;=0,1&gt;N(IF(Simulations!$O58="",1,Simulations!$O58))),0,IF(Simulations!$DI58&lt;IF(Simulations!$J58="",1000,Simulations!$J58),Simulations!$DH58/(IF(Simulations!$G58="",5000,Simulations!$G58)*IF(Simulations!$H58="",5000,Simulations!$H58)*IF(IF(Simulations!$I58="",5000,Simulations!$I58)&gt;0,IF(Simulations!$I58="",5000,Simulations!$I58),1))*Simulations!$DI58*(PI()/2*IF(Simulations!$T58="",200,Simulations!$T58)^2*IF(IF(Simulations!$I58="",5000,Simulations!$I58)&gt;0,SQRT(PI()/2)*IF(Simulations!$W58="",1000,Simulations!$W58),1)),Simulations!$DH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T58="",200,Simulations!$T58)^2*IF(Simulations!$W58="",1000,Simulations!$W58)/2^1.5*(2/3*LN(Simulations!$DI58/IF(Simulations!$J58="",1000,Simulations!$J58))^1.5+SQRT(LN(Simulations!$DI58/IF(Simulations!$J58="",1000,Simulations!$J58)))+Simulations!$DI58/IF(Simulations!$J58="",1000,Simulations!$J58)*SQRT(PI())/2*ERFC(SQRT(LN(Simulations!$DI58/IF(Simulations!$J58="",1000,Simulations!$J58))))),PI()*IF(Simulations!$T58="",200,Simulations!$T58)^2/2*(LN(Simulations!$DI58/IF(Simulations!$J58="",1000,Simulations!$J58))+1))))</f>
        <v>0</v>
      </c>
      <c r="AA58" s="0" t="n">
        <f aca="false">IF(OR(NOT(AND(Simulations!$A58&lt;&gt;"",OR(Simulations!$DF58&lt;&gt;"",N(Simulations!$DH58)&gt;0))),N(Simulations!$DJ58)&lt;=0,N(Simulations!$DH58)&lt;=0,2&gt;N(IF(Simulations!$O58="",1,Simulations!$O58))),0,IF(Simulations!$DJ58&lt;IF(Simulations!$J58="",1000,Simulations!$J58),Simulations!$DH58/(IF(Simulations!$G58="",5000,Simulations!$G58)*IF(Simulations!$H58="",5000,Simulations!$H58)*IF(IF(Simulations!$I58="",5000,Simulations!$I58)&gt;0,IF(Simulations!$I58="",5000,Simulations!$I58),1))*Simulations!$DJ58*(PI()/2*IF(Simulations!$U58="",200,Simulations!$U58)^2*IF(IF(Simulations!$I58="",5000,Simulations!$I58)&gt;0,SQRT(PI()/2)*IF(Simulations!$X58="",1000,Simulations!$X58),1)),Simulations!$DH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U58="",200,Simulations!$U58)^2*IF(Simulations!$X58="",1000,Simulations!$X58)/2^1.5*(2/3*LN(Simulations!$DJ58/IF(Simulations!$J58="",1000,Simulations!$J58))^1.5+SQRT(LN(Simulations!$DJ58/IF(Simulations!$J58="",1000,Simulations!$J58)))+Simulations!$DJ58/IF(Simulations!$J58="",1000,Simulations!$J58)*SQRT(PI())/2*ERFC(SQRT(LN(Simulations!$DJ58/IF(Simulations!$J58="",1000,Simulations!$J58))))),PI()*IF(Simulations!$U58="",200,Simulations!$U58)^2/2*(LN(Simulations!$DJ58/IF(Simulations!$J58="",1000,Simulations!$J58))+1))))</f>
        <v>0</v>
      </c>
      <c r="AB58" s="0" t="n">
        <f aca="false">IF(OR(NOT(AND(Simulations!$A58&lt;&gt;"",OR(Simulations!$DF58&lt;&gt;"",N(Simulations!$DH58)&gt;0))),N(Simulations!$DK58)&lt;=0,N(Simulations!$DH58)&lt;=0,3&gt;N(IF(Simulations!$O58="",1,Simulations!$O58))),0,IF(Simulations!$DK58&lt;IF(Simulations!$J58="",1000,Simulations!$J58),Simulations!$DH58/(IF(Simulations!$G58="",5000,Simulations!$G58)*IF(Simulations!$H58="",5000,Simulations!$H58)*IF(IF(Simulations!$I58="",5000,Simulations!$I58)&gt;0,IF(Simulations!$I58="",5000,Simulations!$I58),1))*Simulations!$DK58*(PI()/2*IF(Simulations!$V58="",200,Simulations!$V58)^2*IF(IF(Simulations!$I58="",5000,Simulations!$I58)&gt;0,SQRT(PI()/2)*IF(Simulations!$Y58="",1000,Simulations!$Y58),1)),Simulations!$DH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V58="",200,Simulations!$V58)^2*IF(Simulations!$Y58="",1000,Simulations!$Y58)/2^1.5*(2/3*LN(Simulations!$DK58/IF(Simulations!$J58="",1000,Simulations!$J58))^1.5+SQRT(LN(Simulations!$DK58/IF(Simulations!$J58="",1000,Simulations!$J58)))+Simulations!$DK58/IF(Simulations!$J58="",1000,Simulations!$J58)*SQRT(PI())/2*ERFC(SQRT(LN(Simulations!$DK58/IF(Simulations!$J58="",1000,Simulations!$J58))))),PI()*IF(Simulations!$V58="",200,Simulations!$V58)^2/2*(LN(Simulations!$DK58/IF(Simulations!$J58="",1000,Simulations!$J58))+1))))</f>
        <v>0</v>
      </c>
      <c r="AC58" s="0" t="n">
        <f aca="false">IF(NOT(AND(Simulations!$A58&lt;&gt;"",OR(Simulations!$DF58&lt;&gt;"",N(Simulations!$DH58)&gt;0))),0,MAX(N(Simulations!$DI58),N(Simulations!$DJ58),N(Simulations!$DK58))/IF(Simulations!$J58="",1000,Simulations!$J58))</f>
        <v>0</v>
      </c>
      <c r="AD58" s="0" t="n">
        <f aca="false">IF(OR(NOT(AND(Simulations!$A58&lt;&gt;"",OR(Simulations!$DF58&lt;&gt;"",N(Simulations!$DH58)&gt;0))),N(Simulations!$DG58)&lt;=0),0,SQRT(2*Simulations!$DG58*1000000/(IF(Simulations!$J58="",1000,Simulations!$J58)*1000))/MIN(IF(Simulations!$T58="",200,Simulations!$T58),IF(Simulations!$U58="",200,Simulations!$U58),IF(Simulations!$V58="",200,Simulations!$V58)))</f>
        <v>0</v>
      </c>
      <c r="AE58" s="0" t="n">
        <f aca="false">IF(AND(Simulations!$A58&lt;&gt;"",OR(Simulations!$DF58&lt;&gt;"",N(Simulations!$DH58)&gt;0)),1,0)</f>
        <v>0</v>
      </c>
      <c r="AF58" s="0" t="n">
        <f aca="false">IF(OR(NOT(AND(Simulations!$A58&lt;&gt;"",OR(Simulations!$DX58&lt;&gt;"",N(Simulations!$DZ58)&gt;0))),N(Simulations!$EA58)&lt;=0,N(Simulations!$DZ58)&lt;=0,1&gt;N(IF(Simulations!$O58="",1,Simulations!$O58))),0,IF(Simulations!$EA58&lt;IF(Simulations!$J58="",1000,Simulations!$J58),Simulations!$DZ58/(IF(Simulations!$G58="",5000,Simulations!$G58)*IF(Simulations!$H58="",5000,Simulations!$H58)*IF(IF(Simulations!$I58="",5000,Simulations!$I58)&gt;0,IF(Simulations!$I58="",5000,Simulations!$I58),1))*Simulations!$EA58*(PI()/2*IF(Simulations!$T58="",200,Simulations!$T58)^2*IF(IF(Simulations!$I58="",5000,Simulations!$I58)&gt;0,SQRT(PI()/2)*IF(Simulations!$W58="",1000,Simulations!$W58),1)),Simulations!$DZ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T58="",200,Simulations!$T58)^2*IF(Simulations!$W58="",1000,Simulations!$W58)/2^1.5*(2/3*LN(Simulations!$EA58/IF(Simulations!$J58="",1000,Simulations!$J58))^1.5+SQRT(LN(Simulations!$EA58/IF(Simulations!$J58="",1000,Simulations!$J58)))+Simulations!$EA58/IF(Simulations!$J58="",1000,Simulations!$J58)*SQRT(PI())/2*ERFC(SQRT(LN(Simulations!$EA58/IF(Simulations!$J58="",1000,Simulations!$J58))))),PI()*IF(Simulations!$T58="",200,Simulations!$T58)^2/2*(LN(Simulations!$EA58/IF(Simulations!$J58="",1000,Simulations!$J58))+1))))</f>
        <v>0</v>
      </c>
      <c r="AG58" s="0" t="n">
        <f aca="false">IF(OR(NOT(AND(Simulations!$A58&lt;&gt;"",OR(Simulations!$DX58&lt;&gt;"",N(Simulations!$DZ58)&gt;0))),N(Simulations!$EB58)&lt;=0,N(Simulations!$DZ58)&lt;=0,2&gt;N(IF(Simulations!$O58="",1,Simulations!$O58))),0,IF(Simulations!$EB58&lt;IF(Simulations!$J58="",1000,Simulations!$J58),Simulations!$DZ58/(IF(Simulations!$G58="",5000,Simulations!$G58)*IF(Simulations!$H58="",5000,Simulations!$H58)*IF(IF(Simulations!$I58="",5000,Simulations!$I58)&gt;0,IF(Simulations!$I58="",5000,Simulations!$I58),1))*Simulations!$EB58*(PI()/2*IF(Simulations!$U58="",200,Simulations!$U58)^2*IF(IF(Simulations!$I58="",5000,Simulations!$I58)&gt;0,SQRT(PI()/2)*IF(Simulations!$X58="",1000,Simulations!$X58),1)),Simulations!$DZ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U58="",200,Simulations!$U58)^2*IF(Simulations!$X58="",1000,Simulations!$X58)/2^1.5*(2/3*LN(Simulations!$EB58/IF(Simulations!$J58="",1000,Simulations!$J58))^1.5+SQRT(LN(Simulations!$EB58/IF(Simulations!$J58="",1000,Simulations!$J58)))+Simulations!$EB58/IF(Simulations!$J58="",1000,Simulations!$J58)*SQRT(PI())/2*ERFC(SQRT(LN(Simulations!$EB58/IF(Simulations!$J58="",1000,Simulations!$J58))))),PI()*IF(Simulations!$U58="",200,Simulations!$U58)^2/2*(LN(Simulations!$EB58/IF(Simulations!$J58="",1000,Simulations!$J58))+1))))</f>
        <v>0</v>
      </c>
      <c r="AH58" s="0" t="n">
        <f aca="false">IF(OR(NOT(AND(Simulations!$A58&lt;&gt;"",OR(Simulations!$DX58&lt;&gt;"",N(Simulations!$DZ58)&gt;0))),N(Simulations!$EC58)&lt;=0,N(Simulations!$DZ58)&lt;=0,3&gt;N(IF(Simulations!$O58="",1,Simulations!$O58))),0,IF(Simulations!$EC58&lt;IF(Simulations!$J58="",1000,Simulations!$J58),Simulations!$DZ58/(IF(Simulations!$G58="",5000,Simulations!$G58)*IF(Simulations!$H58="",5000,Simulations!$H58)*IF(IF(Simulations!$I58="",5000,Simulations!$I58)&gt;0,IF(Simulations!$I58="",5000,Simulations!$I58),1))*Simulations!$EC58*(PI()/2*IF(Simulations!$V58="",200,Simulations!$V58)^2*IF(IF(Simulations!$I58="",5000,Simulations!$I58)&gt;0,SQRT(PI()/2)*IF(Simulations!$Y58="",1000,Simulations!$Y58),1)),Simulations!$DZ58/(IF(Simulations!$G58="",5000,Simulations!$G58)*IF(Simulations!$H58="",5000,Simulations!$H58)*IF(IF(Simulations!$I58="",5000,Simulations!$I58)&gt;0,IF(Simulations!$I58="",5000,Simulations!$I58),1))*IF(Simulations!$J58="",1000,Simulations!$J58)*IF(IF(Simulations!$I58="",5000,Simulations!$I58)&gt;0,2*PI()*IF(Simulations!$V58="",200,Simulations!$V58)^2*IF(Simulations!$Y58="",1000,Simulations!$Y58)/2^1.5*(2/3*LN(Simulations!$EC58/IF(Simulations!$J58="",1000,Simulations!$J58))^1.5+SQRT(LN(Simulations!$EC58/IF(Simulations!$J58="",1000,Simulations!$J58)))+Simulations!$EC58/IF(Simulations!$J58="",1000,Simulations!$J58)*SQRT(PI())/2*ERFC(SQRT(LN(Simulations!$EC58/IF(Simulations!$J58="",1000,Simulations!$J58))))),PI()*IF(Simulations!$V58="",200,Simulations!$V58)^2/2*(LN(Simulations!$EC58/IF(Simulations!$J58="",1000,Simulations!$J58))+1))))</f>
        <v>0</v>
      </c>
      <c r="AI58" s="0" t="n">
        <f aca="false">IF(NOT(AND(Simulations!$A58&lt;&gt;"",OR(Simulations!$DX58&lt;&gt;"",N(Simulations!$DZ58)&gt;0))),0,MAX(N(Simulations!$EA58),N(Simulations!$EB58),N(Simulations!$EC58))/IF(Simulations!$J58="",1000,Simulations!$J58))</f>
        <v>0</v>
      </c>
      <c r="AJ58" s="0" t="n">
        <f aca="false">IF(OR(NOT(AND(Simulations!$A58&lt;&gt;"",OR(Simulations!$DX58&lt;&gt;"",N(Simulations!$DZ58)&gt;0))),N(Simulations!$DY58)&lt;=0),0,SQRT(2*Simulations!$DY58*1000000/(IF(Simulations!$J58="",1000,Simulations!$J58)*1000))/MIN(IF(Simulations!$T58="",200,Simulations!$T58),IF(Simulations!$U58="",200,Simulations!$U58),IF(Simulations!$V58="",200,Simulations!$V58)))</f>
        <v>0</v>
      </c>
      <c r="AK58" s="0" t="n">
        <f aca="false">IF(AND(Simulations!$A58&lt;&gt;"",OR(Simulations!$DX58&lt;&gt;"",N(Simulations!$DZ58)&gt;0)),1,0)</f>
        <v>0</v>
      </c>
    </row>
    <row r="59" customFormat="false" ht="15" hidden="false" customHeight="false" outlineLevel="0" collapsed="false">
      <c r="B59" s="0" t="n">
        <f aca="false">IF(OR(NOT(AND(Simulations!$A59&lt;&gt;"",OR(Simulations!$AL59&lt;&gt;"",N(Simulations!$AN59)&gt;0))),N(Simulations!$AO59)&lt;=0,N(Simulations!$AN59)&lt;=0,1&gt;N(IF(Simulations!$O59="",1,Simulations!$O59))),0,IF(Simulations!$AO59&lt;IF(Simulations!$J59="",1000,Simulations!$J59),Simulations!$AN59/(IF(Simulations!$G59="",5000,Simulations!$G59)*IF(Simulations!$H59="",5000,Simulations!$H59)*IF(IF(Simulations!$I59="",5000,Simulations!$I59)&gt;0,IF(Simulations!$I59="",5000,Simulations!$I59),1))*Simulations!$AO59*(PI()/2*IF(Simulations!$T59="",200,Simulations!$T59)^2*IF(IF(Simulations!$I59="",5000,Simulations!$I59)&gt;0,SQRT(PI()/2)*IF(Simulations!$W59="",1000,Simulations!$W59),1)),Simulations!$AN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T59="",200,Simulations!$T59)^2*IF(Simulations!$W59="",1000,Simulations!$W59)/2^1.5*(2/3*LN(Simulations!$AO59/IF(Simulations!$J59="",1000,Simulations!$J59))^1.5+SQRT(LN(Simulations!$AO59/IF(Simulations!$J59="",1000,Simulations!$J59)))+Simulations!$AO59/IF(Simulations!$J59="",1000,Simulations!$J59)*SQRT(PI())/2*ERFC(SQRT(LN(Simulations!$AO59/IF(Simulations!$J59="",1000,Simulations!$J59))))),PI()*IF(Simulations!$T59="",200,Simulations!$T59)^2/2*(LN(Simulations!$AO59/IF(Simulations!$J59="",1000,Simulations!$J59))+1))))</f>
        <v>0</v>
      </c>
      <c r="C59" s="0" t="n">
        <f aca="false">IF(OR(NOT(AND(Simulations!$A59&lt;&gt;"",OR(Simulations!$AL59&lt;&gt;"",N(Simulations!$AN59)&gt;0))),N(Simulations!$AP59)&lt;=0,N(Simulations!$AN59)&lt;=0,2&gt;N(IF(Simulations!$O59="",1,Simulations!$O59))),0,IF(Simulations!$AP59&lt;IF(Simulations!$J59="",1000,Simulations!$J59),Simulations!$AN59/(IF(Simulations!$G59="",5000,Simulations!$G59)*IF(Simulations!$H59="",5000,Simulations!$H59)*IF(IF(Simulations!$I59="",5000,Simulations!$I59)&gt;0,IF(Simulations!$I59="",5000,Simulations!$I59),1))*Simulations!$AP59*(PI()/2*IF(Simulations!$U59="",200,Simulations!$U59)^2*IF(IF(Simulations!$I59="",5000,Simulations!$I59)&gt;0,SQRT(PI()/2)*IF(Simulations!$X59="",1000,Simulations!$X59),1)),Simulations!$AN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U59="",200,Simulations!$U59)^2*IF(Simulations!$X59="",1000,Simulations!$X59)/2^1.5*(2/3*LN(Simulations!$AP59/IF(Simulations!$J59="",1000,Simulations!$J59))^1.5+SQRT(LN(Simulations!$AP59/IF(Simulations!$J59="",1000,Simulations!$J59)))+Simulations!$AP59/IF(Simulations!$J59="",1000,Simulations!$J59)*SQRT(PI())/2*ERFC(SQRT(LN(Simulations!$AP59/IF(Simulations!$J59="",1000,Simulations!$J59))))),PI()*IF(Simulations!$U59="",200,Simulations!$U59)^2/2*(LN(Simulations!$AP59/IF(Simulations!$J59="",1000,Simulations!$J59))+1))))</f>
        <v>0</v>
      </c>
      <c r="D59" s="0" t="n">
        <f aca="false">IF(OR(NOT(AND(Simulations!$A59&lt;&gt;"",OR(Simulations!$AL59&lt;&gt;"",N(Simulations!$AN59)&gt;0))),N(Simulations!$AQ59)&lt;=0,N(Simulations!$AN59)&lt;=0,3&gt;N(IF(Simulations!$O59="",1,Simulations!$O59))),0,IF(Simulations!$AQ59&lt;IF(Simulations!$J59="",1000,Simulations!$J59),Simulations!$AN59/(IF(Simulations!$G59="",5000,Simulations!$G59)*IF(Simulations!$H59="",5000,Simulations!$H59)*IF(IF(Simulations!$I59="",5000,Simulations!$I59)&gt;0,IF(Simulations!$I59="",5000,Simulations!$I59),1))*Simulations!$AQ59*(PI()/2*IF(Simulations!$V59="",200,Simulations!$V59)^2*IF(IF(Simulations!$I59="",5000,Simulations!$I59)&gt;0,SQRT(PI()/2)*IF(Simulations!$Y59="",1000,Simulations!$Y59),1)),Simulations!$AN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V59="",200,Simulations!$V59)^2*IF(Simulations!$Y59="",1000,Simulations!$Y59)/2^1.5*(2/3*LN(Simulations!$AQ59/IF(Simulations!$J59="",1000,Simulations!$J59))^1.5+SQRT(LN(Simulations!$AQ59/IF(Simulations!$J59="",1000,Simulations!$J59)))+Simulations!$AQ59/IF(Simulations!$J59="",1000,Simulations!$J59)*SQRT(PI())/2*ERFC(SQRT(LN(Simulations!$AQ59/IF(Simulations!$J59="",1000,Simulations!$J59))))),PI()*IF(Simulations!$V59="",200,Simulations!$V59)^2/2*(LN(Simulations!$AQ59/IF(Simulations!$J59="",1000,Simulations!$J59))+1))))</f>
        <v>0</v>
      </c>
      <c r="E59" s="0" t="n">
        <f aca="false">IF(NOT(AND(Simulations!$A59&lt;&gt;"",OR(Simulations!$AL59&lt;&gt;"",N(Simulations!$AN59)&gt;0))),0,MAX(N(Simulations!$AO59),N(Simulations!$AP59),N(Simulations!$AQ59))/IF(Simulations!$J59="",1000,Simulations!$J59))</f>
        <v>0</v>
      </c>
      <c r="F59" s="0" t="n">
        <f aca="false">IF(OR(NOT(AND(Simulations!$A59&lt;&gt;"",OR(Simulations!$AL59&lt;&gt;"",N(Simulations!$AN59)&gt;0))),N(Simulations!$AM59)&lt;=0),0,SQRT(2*Simulations!$AM59*1000000/(IF(Simulations!$J59="",1000,Simulations!$J59)*1000))/MIN(IF(Simulations!$T59="",200,Simulations!$T59),IF(Simulations!$U59="",200,Simulations!$U59),IF(Simulations!$V59="",200,Simulations!$V59)))</f>
        <v>0</v>
      </c>
      <c r="G59" s="0" t="n">
        <f aca="false">IF(AND(Simulations!$A59&lt;&gt;"",OR(Simulations!$AL59&lt;&gt;"",N(Simulations!$AN59)&gt;0)),1,0)</f>
        <v>0</v>
      </c>
      <c r="H59" s="0" t="n">
        <f aca="false">IF(OR(NOT(AND(Simulations!$A59&lt;&gt;"",OR(Simulations!$BD59&lt;&gt;"",N(Simulations!$BF59)&gt;0))),N(Simulations!$BG59)&lt;=0,N(Simulations!$BF59)&lt;=0,1&gt;N(IF(Simulations!$O59="",1,Simulations!$O59))),0,IF(Simulations!$BG59&lt;IF(Simulations!$J59="",1000,Simulations!$J59),Simulations!$BF59/(IF(Simulations!$G59="",5000,Simulations!$G59)*IF(Simulations!$H59="",5000,Simulations!$H59)*IF(IF(Simulations!$I59="",5000,Simulations!$I59)&gt;0,IF(Simulations!$I59="",5000,Simulations!$I59),1))*Simulations!$BG59*(PI()/2*IF(Simulations!$T59="",200,Simulations!$T59)^2*IF(IF(Simulations!$I59="",5000,Simulations!$I59)&gt;0,SQRT(PI()/2)*IF(Simulations!$W59="",1000,Simulations!$W59),1)),Simulations!$BF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T59="",200,Simulations!$T59)^2*IF(Simulations!$W59="",1000,Simulations!$W59)/2^1.5*(2/3*LN(Simulations!$BG59/IF(Simulations!$J59="",1000,Simulations!$J59))^1.5+SQRT(LN(Simulations!$BG59/IF(Simulations!$J59="",1000,Simulations!$J59)))+Simulations!$BG59/IF(Simulations!$J59="",1000,Simulations!$J59)*SQRT(PI())/2*ERFC(SQRT(LN(Simulations!$BG59/IF(Simulations!$J59="",1000,Simulations!$J59))))),PI()*IF(Simulations!$T59="",200,Simulations!$T59)^2/2*(LN(Simulations!$BG59/IF(Simulations!$J59="",1000,Simulations!$J59))+1))))</f>
        <v>0</v>
      </c>
      <c r="I59" s="0" t="n">
        <f aca="false">IF(OR(NOT(AND(Simulations!$A59&lt;&gt;"",OR(Simulations!$BD59&lt;&gt;"",N(Simulations!$BF59)&gt;0))),N(Simulations!$BH59)&lt;=0,N(Simulations!$BF59)&lt;=0,2&gt;N(IF(Simulations!$O59="",1,Simulations!$O59))),0,IF(Simulations!$BH59&lt;IF(Simulations!$J59="",1000,Simulations!$J59),Simulations!$BF59/(IF(Simulations!$G59="",5000,Simulations!$G59)*IF(Simulations!$H59="",5000,Simulations!$H59)*IF(IF(Simulations!$I59="",5000,Simulations!$I59)&gt;0,IF(Simulations!$I59="",5000,Simulations!$I59),1))*Simulations!$BH59*(PI()/2*IF(Simulations!$U59="",200,Simulations!$U59)^2*IF(IF(Simulations!$I59="",5000,Simulations!$I59)&gt;0,SQRT(PI()/2)*IF(Simulations!$X59="",1000,Simulations!$X59),1)),Simulations!$BF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U59="",200,Simulations!$U59)^2*IF(Simulations!$X59="",1000,Simulations!$X59)/2^1.5*(2/3*LN(Simulations!$BH59/IF(Simulations!$J59="",1000,Simulations!$J59))^1.5+SQRT(LN(Simulations!$BH59/IF(Simulations!$J59="",1000,Simulations!$J59)))+Simulations!$BH59/IF(Simulations!$J59="",1000,Simulations!$J59)*SQRT(PI())/2*ERFC(SQRT(LN(Simulations!$BH59/IF(Simulations!$J59="",1000,Simulations!$J59))))),PI()*IF(Simulations!$U59="",200,Simulations!$U59)^2/2*(LN(Simulations!$BH59/IF(Simulations!$J59="",1000,Simulations!$J59))+1))))</f>
        <v>0</v>
      </c>
      <c r="J59" s="0" t="n">
        <f aca="false">IF(OR(NOT(AND(Simulations!$A59&lt;&gt;"",OR(Simulations!$BD59&lt;&gt;"",N(Simulations!$BF59)&gt;0))),N(Simulations!$BI59)&lt;=0,N(Simulations!$BF59)&lt;=0,3&gt;N(IF(Simulations!$O59="",1,Simulations!$O59))),0,IF(Simulations!$BI59&lt;IF(Simulations!$J59="",1000,Simulations!$J59),Simulations!$BF59/(IF(Simulations!$G59="",5000,Simulations!$G59)*IF(Simulations!$H59="",5000,Simulations!$H59)*IF(IF(Simulations!$I59="",5000,Simulations!$I59)&gt;0,IF(Simulations!$I59="",5000,Simulations!$I59),1))*Simulations!$BI59*(PI()/2*IF(Simulations!$V59="",200,Simulations!$V59)^2*IF(IF(Simulations!$I59="",5000,Simulations!$I59)&gt;0,SQRT(PI()/2)*IF(Simulations!$Y59="",1000,Simulations!$Y59),1)),Simulations!$BF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V59="",200,Simulations!$V59)^2*IF(Simulations!$Y59="",1000,Simulations!$Y59)/2^1.5*(2/3*LN(Simulations!$BI59/IF(Simulations!$J59="",1000,Simulations!$J59))^1.5+SQRT(LN(Simulations!$BI59/IF(Simulations!$J59="",1000,Simulations!$J59)))+Simulations!$BI59/IF(Simulations!$J59="",1000,Simulations!$J59)*SQRT(PI())/2*ERFC(SQRT(LN(Simulations!$BI59/IF(Simulations!$J59="",1000,Simulations!$J59))))),PI()*IF(Simulations!$V59="",200,Simulations!$V59)^2/2*(LN(Simulations!$BI59/IF(Simulations!$J59="",1000,Simulations!$J59))+1))))</f>
        <v>0</v>
      </c>
      <c r="K59" s="0" t="n">
        <f aca="false">IF(NOT(AND(Simulations!$A59&lt;&gt;"",OR(Simulations!$BD59&lt;&gt;"",N(Simulations!$BF59)&gt;0))),0,MAX(N(Simulations!$BG59),N(Simulations!$BH59),N(Simulations!$BI59))/IF(Simulations!$J59="",1000,Simulations!$J59))</f>
        <v>0</v>
      </c>
      <c r="L59" s="0" t="n">
        <f aca="false">IF(OR(NOT(AND(Simulations!$A59&lt;&gt;"",OR(Simulations!$BD59&lt;&gt;"",N(Simulations!$BF59)&gt;0))),N(Simulations!$BE59)&lt;=0),0,SQRT(2*Simulations!$BE59*1000000/(IF(Simulations!$J59="",1000,Simulations!$J59)*1000))/MIN(IF(Simulations!$T59="",200,Simulations!$T59),IF(Simulations!$U59="",200,Simulations!$U59),IF(Simulations!$V59="",200,Simulations!$V59)))</f>
        <v>0</v>
      </c>
      <c r="M59" s="0" t="n">
        <f aca="false">IF(AND(Simulations!$A59&lt;&gt;"",OR(Simulations!$BD59&lt;&gt;"",N(Simulations!$BF59)&gt;0)),1,0)</f>
        <v>0</v>
      </c>
      <c r="N59" s="0" t="n">
        <f aca="false">IF(OR(NOT(AND(Simulations!$A59&lt;&gt;"",OR(Simulations!$BV59&lt;&gt;"",N(Simulations!$BX59)&gt;0))),N(Simulations!$BY59)&lt;=0,N(Simulations!$BX59)&lt;=0,1&gt;N(IF(Simulations!$O59="",1,Simulations!$O59))),0,IF(Simulations!$BY59&lt;IF(Simulations!$J59="",1000,Simulations!$J59),Simulations!$BX59/(IF(Simulations!$G59="",5000,Simulations!$G59)*IF(Simulations!$H59="",5000,Simulations!$H59)*IF(IF(Simulations!$I59="",5000,Simulations!$I59)&gt;0,IF(Simulations!$I59="",5000,Simulations!$I59),1))*Simulations!$BY59*(PI()/2*IF(Simulations!$T59="",200,Simulations!$T59)^2*IF(IF(Simulations!$I59="",5000,Simulations!$I59)&gt;0,SQRT(PI()/2)*IF(Simulations!$W59="",1000,Simulations!$W59),1)),Simulations!$BX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T59="",200,Simulations!$T59)^2*IF(Simulations!$W59="",1000,Simulations!$W59)/2^1.5*(2/3*LN(Simulations!$BY59/IF(Simulations!$J59="",1000,Simulations!$J59))^1.5+SQRT(LN(Simulations!$BY59/IF(Simulations!$J59="",1000,Simulations!$J59)))+Simulations!$BY59/IF(Simulations!$J59="",1000,Simulations!$J59)*SQRT(PI())/2*ERFC(SQRT(LN(Simulations!$BY59/IF(Simulations!$J59="",1000,Simulations!$J59))))),PI()*IF(Simulations!$T59="",200,Simulations!$T59)^2/2*(LN(Simulations!$BY59/IF(Simulations!$J59="",1000,Simulations!$J59))+1))))</f>
        <v>0</v>
      </c>
      <c r="O59" s="0" t="n">
        <f aca="false">IF(OR(NOT(AND(Simulations!$A59&lt;&gt;"",OR(Simulations!$BV59&lt;&gt;"",N(Simulations!$BX59)&gt;0))),N(Simulations!$BZ59)&lt;=0,N(Simulations!$BX59)&lt;=0,2&gt;N(IF(Simulations!$O59="",1,Simulations!$O59))),0,IF(Simulations!$BZ59&lt;IF(Simulations!$J59="",1000,Simulations!$J59),Simulations!$BX59/(IF(Simulations!$G59="",5000,Simulations!$G59)*IF(Simulations!$H59="",5000,Simulations!$H59)*IF(IF(Simulations!$I59="",5000,Simulations!$I59)&gt;0,IF(Simulations!$I59="",5000,Simulations!$I59),1))*Simulations!$BZ59*(PI()/2*IF(Simulations!$U59="",200,Simulations!$U59)^2*IF(IF(Simulations!$I59="",5000,Simulations!$I59)&gt;0,SQRT(PI()/2)*IF(Simulations!$X59="",1000,Simulations!$X59),1)),Simulations!$BX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U59="",200,Simulations!$U59)^2*IF(Simulations!$X59="",1000,Simulations!$X59)/2^1.5*(2/3*LN(Simulations!$BZ59/IF(Simulations!$J59="",1000,Simulations!$J59))^1.5+SQRT(LN(Simulations!$BZ59/IF(Simulations!$J59="",1000,Simulations!$J59)))+Simulations!$BZ59/IF(Simulations!$J59="",1000,Simulations!$J59)*SQRT(PI())/2*ERFC(SQRT(LN(Simulations!$BZ59/IF(Simulations!$J59="",1000,Simulations!$J59))))),PI()*IF(Simulations!$U59="",200,Simulations!$U59)^2/2*(LN(Simulations!$BZ59/IF(Simulations!$J59="",1000,Simulations!$J59))+1))))</f>
        <v>0</v>
      </c>
      <c r="P59" s="0" t="n">
        <f aca="false">IF(OR(NOT(AND(Simulations!$A59&lt;&gt;"",OR(Simulations!$BV59&lt;&gt;"",N(Simulations!$BX59)&gt;0))),N(Simulations!$CA59)&lt;=0,N(Simulations!$BX59)&lt;=0,3&gt;N(IF(Simulations!$O59="",1,Simulations!$O59))),0,IF(Simulations!$CA59&lt;IF(Simulations!$J59="",1000,Simulations!$J59),Simulations!$BX59/(IF(Simulations!$G59="",5000,Simulations!$G59)*IF(Simulations!$H59="",5000,Simulations!$H59)*IF(IF(Simulations!$I59="",5000,Simulations!$I59)&gt;0,IF(Simulations!$I59="",5000,Simulations!$I59),1))*Simulations!$CA59*(PI()/2*IF(Simulations!$V59="",200,Simulations!$V59)^2*IF(IF(Simulations!$I59="",5000,Simulations!$I59)&gt;0,SQRT(PI()/2)*IF(Simulations!$Y59="",1000,Simulations!$Y59),1)),Simulations!$BX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V59="",200,Simulations!$V59)^2*IF(Simulations!$Y59="",1000,Simulations!$Y59)/2^1.5*(2/3*LN(Simulations!$CA59/IF(Simulations!$J59="",1000,Simulations!$J59))^1.5+SQRT(LN(Simulations!$CA59/IF(Simulations!$J59="",1000,Simulations!$J59)))+Simulations!$CA59/IF(Simulations!$J59="",1000,Simulations!$J59)*SQRT(PI())/2*ERFC(SQRT(LN(Simulations!$CA59/IF(Simulations!$J59="",1000,Simulations!$J59))))),PI()*IF(Simulations!$V59="",200,Simulations!$V59)^2/2*(LN(Simulations!$CA59/IF(Simulations!$J59="",1000,Simulations!$J59))+1))))</f>
        <v>0</v>
      </c>
      <c r="Q59" s="0" t="n">
        <f aca="false">IF(NOT(AND(Simulations!$A59&lt;&gt;"",OR(Simulations!$BV59&lt;&gt;"",N(Simulations!$BX59)&gt;0))),0,MAX(N(Simulations!$BY59),N(Simulations!$BZ59),N(Simulations!$CA59))/IF(Simulations!$J59="",1000,Simulations!$J59))</f>
        <v>0</v>
      </c>
      <c r="R59" s="0" t="n">
        <f aca="false">IF(OR(NOT(AND(Simulations!$A59&lt;&gt;"",OR(Simulations!$BV59&lt;&gt;"",N(Simulations!$BX59)&gt;0))),N(Simulations!$BW59)&lt;=0),0,SQRT(2*Simulations!$BW59*1000000/(IF(Simulations!$J59="",1000,Simulations!$J59)*1000))/MIN(IF(Simulations!$T59="",200,Simulations!$T59),IF(Simulations!$U59="",200,Simulations!$U59),IF(Simulations!$V59="",200,Simulations!$V59)))</f>
        <v>0</v>
      </c>
      <c r="S59" s="0" t="n">
        <f aca="false">IF(AND(Simulations!$A59&lt;&gt;"",OR(Simulations!$BV59&lt;&gt;"",N(Simulations!$BX59)&gt;0)),1,0)</f>
        <v>0</v>
      </c>
      <c r="T59" s="0" t="n">
        <f aca="false">IF(OR(NOT(AND(Simulations!$A59&lt;&gt;"",OR(Simulations!$CN59&lt;&gt;"",N(Simulations!$CP59)&gt;0))),N(Simulations!$CQ59)&lt;=0,N(Simulations!$CP59)&lt;=0,1&gt;N(IF(Simulations!$O59="",1,Simulations!$O59))),0,IF(Simulations!$CQ59&lt;IF(Simulations!$J59="",1000,Simulations!$J59),Simulations!$CP59/(IF(Simulations!$G59="",5000,Simulations!$G59)*IF(Simulations!$H59="",5000,Simulations!$H59)*IF(IF(Simulations!$I59="",5000,Simulations!$I59)&gt;0,IF(Simulations!$I59="",5000,Simulations!$I59),1))*Simulations!$CQ59*(PI()/2*IF(Simulations!$T59="",200,Simulations!$T59)^2*IF(IF(Simulations!$I59="",5000,Simulations!$I59)&gt;0,SQRT(PI()/2)*IF(Simulations!$W59="",1000,Simulations!$W59),1)),Simulations!$CP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T59="",200,Simulations!$T59)^2*IF(Simulations!$W59="",1000,Simulations!$W59)/2^1.5*(2/3*LN(Simulations!$CQ59/IF(Simulations!$J59="",1000,Simulations!$J59))^1.5+SQRT(LN(Simulations!$CQ59/IF(Simulations!$J59="",1000,Simulations!$J59)))+Simulations!$CQ59/IF(Simulations!$J59="",1000,Simulations!$J59)*SQRT(PI())/2*ERFC(SQRT(LN(Simulations!$CQ59/IF(Simulations!$J59="",1000,Simulations!$J59))))),PI()*IF(Simulations!$T59="",200,Simulations!$T59)^2/2*(LN(Simulations!$CQ59/IF(Simulations!$J59="",1000,Simulations!$J59))+1))))</f>
        <v>0</v>
      </c>
      <c r="U59" s="0" t="n">
        <f aca="false">IF(OR(NOT(AND(Simulations!$A59&lt;&gt;"",OR(Simulations!$CN59&lt;&gt;"",N(Simulations!$CP59)&gt;0))),N(Simulations!$CR59)&lt;=0,N(Simulations!$CP59)&lt;=0,2&gt;N(IF(Simulations!$O59="",1,Simulations!$O59))),0,IF(Simulations!$CR59&lt;IF(Simulations!$J59="",1000,Simulations!$J59),Simulations!$CP59/(IF(Simulations!$G59="",5000,Simulations!$G59)*IF(Simulations!$H59="",5000,Simulations!$H59)*IF(IF(Simulations!$I59="",5000,Simulations!$I59)&gt;0,IF(Simulations!$I59="",5000,Simulations!$I59),1))*Simulations!$CR59*(PI()/2*IF(Simulations!$U59="",200,Simulations!$U59)^2*IF(IF(Simulations!$I59="",5000,Simulations!$I59)&gt;0,SQRT(PI()/2)*IF(Simulations!$X59="",1000,Simulations!$X59),1)),Simulations!$CP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U59="",200,Simulations!$U59)^2*IF(Simulations!$X59="",1000,Simulations!$X59)/2^1.5*(2/3*LN(Simulations!$CR59/IF(Simulations!$J59="",1000,Simulations!$J59))^1.5+SQRT(LN(Simulations!$CR59/IF(Simulations!$J59="",1000,Simulations!$J59)))+Simulations!$CR59/IF(Simulations!$J59="",1000,Simulations!$J59)*SQRT(PI())/2*ERFC(SQRT(LN(Simulations!$CR59/IF(Simulations!$J59="",1000,Simulations!$J59))))),PI()*IF(Simulations!$U59="",200,Simulations!$U59)^2/2*(LN(Simulations!$CR59/IF(Simulations!$J59="",1000,Simulations!$J59))+1))))</f>
        <v>0</v>
      </c>
      <c r="V59" s="0" t="n">
        <f aca="false">IF(OR(NOT(AND(Simulations!$A59&lt;&gt;"",OR(Simulations!$CN59&lt;&gt;"",N(Simulations!$CP59)&gt;0))),N(Simulations!$CS59)&lt;=0,N(Simulations!$CP59)&lt;=0,3&gt;N(IF(Simulations!$O59="",1,Simulations!$O59))),0,IF(Simulations!$CS59&lt;IF(Simulations!$J59="",1000,Simulations!$J59),Simulations!$CP59/(IF(Simulations!$G59="",5000,Simulations!$G59)*IF(Simulations!$H59="",5000,Simulations!$H59)*IF(IF(Simulations!$I59="",5000,Simulations!$I59)&gt;0,IF(Simulations!$I59="",5000,Simulations!$I59),1))*Simulations!$CS59*(PI()/2*IF(Simulations!$V59="",200,Simulations!$V59)^2*IF(IF(Simulations!$I59="",5000,Simulations!$I59)&gt;0,SQRT(PI()/2)*IF(Simulations!$Y59="",1000,Simulations!$Y59),1)),Simulations!$CP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V59="",200,Simulations!$V59)^2*IF(Simulations!$Y59="",1000,Simulations!$Y59)/2^1.5*(2/3*LN(Simulations!$CS59/IF(Simulations!$J59="",1000,Simulations!$J59))^1.5+SQRT(LN(Simulations!$CS59/IF(Simulations!$J59="",1000,Simulations!$J59)))+Simulations!$CS59/IF(Simulations!$J59="",1000,Simulations!$J59)*SQRT(PI())/2*ERFC(SQRT(LN(Simulations!$CS59/IF(Simulations!$J59="",1000,Simulations!$J59))))),PI()*IF(Simulations!$V59="",200,Simulations!$V59)^2/2*(LN(Simulations!$CS59/IF(Simulations!$J59="",1000,Simulations!$J59))+1))))</f>
        <v>0</v>
      </c>
      <c r="W59" s="0" t="n">
        <f aca="false">IF(NOT(AND(Simulations!$A59&lt;&gt;"",OR(Simulations!$CN59&lt;&gt;"",N(Simulations!$CP59)&gt;0))),0,MAX(N(Simulations!$CQ59),N(Simulations!$CR59),N(Simulations!$CS59))/IF(Simulations!$J59="",1000,Simulations!$J59))</f>
        <v>0</v>
      </c>
      <c r="X59" s="0" t="n">
        <f aca="false">IF(OR(NOT(AND(Simulations!$A59&lt;&gt;"",OR(Simulations!$CN59&lt;&gt;"",N(Simulations!$CP59)&gt;0))),N(Simulations!$CO59)&lt;=0),0,SQRT(2*Simulations!$CO59*1000000/(IF(Simulations!$J59="",1000,Simulations!$J59)*1000))/MIN(IF(Simulations!$T59="",200,Simulations!$T59),IF(Simulations!$U59="",200,Simulations!$U59),IF(Simulations!$V59="",200,Simulations!$V59)))</f>
        <v>0</v>
      </c>
      <c r="Y59" s="0" t="n">
        <f aca="false">IF(AND(Simulations!$A59&lt;&gt;"",OR(Simulations!$CN59&lt;&gt;"",N(Simulations!$CP59)&gt;0)),1,0)</f>
        <v>0</v>
      </c>
      <c r="Z59" s="0" t="n">
        <f aca="false">IF(OR(NOT(AND(Simulations!$A59&lt;&gt;"",OR(Simulations!$DF59&lt;&gt;"",N(Simulations!$DH59)&gt;0))),N(Simulations!$DI59)&lt;=0,N(Simulations!$DH59)&lt;=0,1&gt;N(IF(Simulations!$O59="",1,Simulations!$O59))),0,IF(Simulations!$DI59&lt;IF(Simulations!$J59="",1000,Simulations!$J59),Simulations!$DH59/(IF(Simulations!$G59="",5000,Simulations!$G59)*IF(Simulations!$H59="",5000,Simulations!$H59)*IF(IF(Simulations!$I59="",5000,Simulations!$I59)&gt;0,IF(Simulations!$I59="",5000,Simulations!$I59),1))*Simulations!$DI59*(PI()/2*IF(Simulations!$T59="",200,Simulations!$T59)^2*IF(IF(Simulations!$I59="",5000,Simulations!$I59)&gt;0,SQRT(PI()/2)*IF(Simulations!$W59="",1000,Simulations!$W59),1)),Simulations!$DH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T59="",200,Simulations!$T59)^2*IF(Simulations!$W59="",1000,Simulations!$W59)/2^1.5*(2/3*LN(Simulations!$DI59/IF(Simulations!$J59="",1000,Simulations!$J59))^1.5+SQRT(LN(Simulations!$DI59/IF(Simulations!$J59="",1000,Simulations!$J59)))+Simulations!$DI59/IF(Simulations!$J59="",1000,Simulations!$J59)*SQRT(PI())/2*ERFC(SQRT(LN(Simulations!$DI59/IF(Simulations!$J59="",1000,Simulations!$J59))))),PI()*IF(Simulations!$T59="",200,Simulations!$T59)^2/2*(LN(Simulations!$DI59/IF(Simulations!$J59="",1000,Simulations!$J59))+1))))</f>
        <v>0</v>
      </c>
      <c r="AA59" s="0" t="n">
        <f aca="false">IF(OR(NOT(AND(Simulations!$A59&lt;&gt;"",OR(Simulations!$DF59&lt;&gt;"",N(Simulations!$DH59)&gt;0))),N(Simulations!$DJ59)&lt;=0,N(Simulations!$DH59)&lt;=0,2&gt;N(IF(Simulations!$O59="",1,Simulations!$O59))),0,IF(Simulations!$DJ59&lt;IF(Simulations!$J59="",1000,Simulations!$J59),Simulations!$DH59/(IF(Simulations!$G59="",5000,Simulations!$G59)*IF(Simulations!$H59="",5000,Simulations!$H59)*IF(IF(Simulations!$I59="",5000,Simulations!$I59)&gt;0,IF(Simulations!$I59="",5000,Simulations!$I59),1))*Simulations!$DJ59*(PI()/2*IF(Simulations!$U59="",200,Simulations!$U59)^2*IF(IF(Simulations!$I59="",5000,Simulations!$I59)&gt;0,SQRT(PI()/2)*IF(Simulations!$X59="",1000,Simulations!$X59),1)),Simulations!$DH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U59="",200,Simulations!$U59)^2*IF(Simulations!$X59="",1000,Simulations!$X59)/2^1.5*(2/3*LN(Simulations!$DJ59/IF(Simulations!$J59="",1000,Simulations!$J59))^1.5+SQRT(LN(Simulations!$DJ59/IF(Simulations!$J59="",1000,Simulations!$J59)))+Simulations!$DJ59/IF(Simulations!$J59="",1000,Simulations!$J59)*SQRT(PI())/2*ERFC(SQRT(LN(Simulations!$DJ59/IF(Simulations!$J59="",1000,Simulations!$J59))))),PI()*IF(Simulations!$U59="",200,Simulations!$U59)^2/2*(LN(Simulations!$DJ59/IF(Simulations!$J59="",1000,Simulations!$J59))+1))))</f>
        <v>0</v>
      </c>
      <c r="AB59" s="0" t="n">
        <f aca="false">IF(OR(NOT(AND(Simulations!$A59&lt;&gt;"",OR(Simulations!$DF59&lt;&gt;"",N(Simulations!$DH59)&gt;0))),N(Simulations!$DK59)&lt;=0,N(Simulations!$DH59)&lt;=0,3&gt;N(IF(Simulations!$O59="",1,Simulations!$O59))),0,IF(Simulations!$DK59&lt;IF(Simulations!$J59="",1000,Simulations!$J59),Simulations!$DH59/(IF(Simulations!$G59="",5000,Simulations!$G59)*IF(Simulations!$H59="",5000,Simulations!$H59)*IF(IF(Simulations!$I59="",5000,Simulations!$I59)&gt;0,IF(Simulations!$I59="",5000,Simulations!$I59),1))*Simulations!$DK59*(PI()/2*IF(Simulations!$V59="",200,Simulations!$V59)^2*IF(IF(Simulations!$I59="",5000,Simulations!$I59)&gt;0,SQRT(PI()/2)*IF(Simulations!$Y59="",1000,Simulations!$Y59),1)),Simulations!$DH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V59="",200,Simulations!$V59)^2*IF(Simulations!$Y59="",1000,Simulations!$Y59)/2^1.5*(2/3*LN(Simulations!$DK59/IF(Simulations!$J59="",1000,Simulations!$J59))^1.5+SQRT(LN(Simulations!$DK59/IF(Simulations!$J59="",1000,Simulations!$J59)))+Simulations!$DK59/IF(Simulations!$J59="",1000,Simulations!$J59)*SQRT(PI())/2*ERFC(SQRT(LN(Simulations!$DK59/IF(Simulations!$J59="",1000,Simulations!$J59))))),PI()*IF(Simulations!$V59="",200,Simulations!$V59)^2/2*(LN(Simulations!$DK59/IF(Simulations!$J59="",1000,Simulations!$J59))+1))))</f>
        <v>0</v>
      </c>
      <c r="AC59" s="0" t="n">
        <f aca="false">IF(NOT(AND(Simulations!$A59&lt;&gt;"",OR(Simulations!$DF59&lt;&gt;"",N(Simulations!$DH59)&gt;0))),0,MAX(N(Simulations!$DI59),N(Simulations!$DJ59),N(Simulations!$DK59))/IF(Simulations!$J59="",1000,Simulations!$J59))</f>
        <v>0</v>
      </c>
      <c r="AD59" s="0" t="n">
        <f aca="false">IF(OR(NOT(AND(Simulations!$A59&lt;&gt;"",OR(Simulations!$DF59&lt;&gt;"",N(Simulations!$DH59)&gt;0))),N(Simulations!$DG59)&lt;=0),0,SQRT(2*Simulations!$DG59*1000000/(IF(Simulations!$J59="",1000,Simulations!$J59)*1000))/MIN(IF(Simulations!$T59="",200,Simulations!$T59),IF(Simulations!$U59="",200,Simulations!$U59),IF(Simulations!$V59="",200,Simulations!$V59)))</f>
        <v>0</v>
      </c>
      <c r="AE59" s="0" t="n">
        <f aca="false">IF(AND(Simulations!$A59&lt;&gt;"",OR(Simulations!$DF59&lt;&gt;"",N(Simulations!$DH59)&gt;0)),1,0)</f>
        <v>0</v>
      </c>
      <c r="AF59" s="0" t="n">
        <f aca="false">IF(OR(NOT(AND(Simulations!$A59&lt;&gt;"",OR(Simulations!$DX59&lt;&gt;"",N(Simulations!$DZ59)&gt;0))),N(Simulations!$EA59)&lt;=0,N(Simulations!$DZ59)&lt;=0,1&gt;N(IF(Simulations!$O59="",1,Simulations!$O59))),0,IF(Simulations!$EA59&lt;IF(Simulations!$J59="",1000,Simulations!$J59),Simulations!$DZ59/(IF(Simulations!$G59="",5000,Simulations!$G59)*IF(Simulations!$H59="",5000,Simulations!$H59)*IF(IF(Simulations!$I59="",5000,Simulations!$I59)&gt;0,IF(Simulations!$I59="",5000,Simulations!$I59),1))*Simulations!$EA59*(PI()/2*IF(Simulations!$T59="",200,Simulations!$T59)^2*IF(IF(Simulations!$I59="",5000,Simulations!$I59)&gt;0,SQRT(PI()/2)*IF(Simulations!$W59="",1000,Simulations!$W59),1)),Simulations!$DZ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T59="",200,Simulations!$T59)^2*IF(Simulations!$W59="",1000,Simulations!$W59)/2^1.5*(2/3*LN(Simulations!$EA59/IF(Simulations!$J59="",1000,Simulations!$J59))^1.5+SQRT(LN(Simulations!$EA59/IF(Simulations!$J59="",1000,Simulations!$J59)))+Simulations!$EA59/IF(Simulations!$J59="",1000,Simulations!$J59)*SQRT(PI())/2*ERFC(SQRT(LN(Simulations!$EA59/IF(Simulations!$J59="",1000,Simulations!$J59))))),PI()*IF(Simulations!$T59="",200,Simulations!$T59)^2/2*(LN(Simulations!$EA59/IF(Simulations!$J59="",1000,Simulations!$J59))+1))))</f>
        <v>0</v>
      </c>
      <c r="AG59" s="0" t="n">
        <f aca="false">IF(OR(NOT(AND(Simulations!$A59&lt;&gt;"",OR(Simulations!$DX59&lt;&gt;"",N(Simulations!$DZ59)&gt;0))),N(Simulations!$EB59)&lt;=0,N(Simulations!$DZ59)&lt;=0,2&gt;N(IF(Simulations!$O59="",1,Simulations!$O59))),0,IF(Simulations!$EB59&lt;IF(Simulations!$J59="",1000,Simulations!$J59),Simulations!$DZ59/(IF(Simulations!$G59="",5000,Simulations!$G59)*IF(Simulations!$H59="",5000,Simulations!$H59)*IF(IF(Simulations!$I59="",5000,Simulations!$I59)&gt;0,IF(Simulations!$I59="",5000,Simulations!$I59),1))*Simulations!$EB59*(PI()/2*IF(Simulations!$U59="",200,Simulations!$U59)^2*IF(IF(Simulations!$I59="",5000,Simulations!$I59)&gt;0,SQRT(PI()/2)*IF(Simulations!$X59="",1000,Simulations!$X59),1)),Simulations!$DZ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U59="",200,Simulations!$U59)^2*IF(Simulations!$X59="",1000,Simulations!$X59)/2^1.5*(2/3*LN(Simulations!$EB59/IF(Simulations!$J59="",1000,Simulations!$J59))^1.5+SQRT(LN(Simulations!$EB59/IF(Simulations!$J59="",1000,Simulations!$J59)))+Simulations!$EB59/IF(Simulations!$J59="",1000,Simulations!$J59)*SQRT(PI())/2*ERFC(SQRT(LN(Simulations!$EB59/IF(Simulations!$J59="",1000,Simulations!$J59))))),PI()*IF(Simulations!$U59="",200,Simulations!$U59)^2/2*(LN(Simulations!$EB59/IF(Simulations!$J59="",1000,Simulations!$J59))+1))))</f>
        <v>0</v>
      </c>
      <c r="AH59" s="0" t="n">
        <f aca="false">IF(OR(NOT(AND(Simulations!$A59&lt;&gt;"",OR(Simulations!$DX59&lt;&gt;"",N(Simulations!$DZ59)&gt;0))),N(Simulations!$EC59)&lt;=0,N(Simulations!$DZ59)&lt;=0,3&gt;N(IF(Simulations!$O59="",1,Simulations!$O59))),0,IF(Simulations!$EC59&lt;IF(Simulations!$J59="",1000,Simulations!$J59),Simulations!$DZ59/(IF(Simulations!$G59="",5000,Simulations!$G59)*IF(Simulations!$H59="",5000,Simulations!$H59)*IF(IF(Simulations!$I59="",5000,Simulations!$I59)&gt;0,IF(Simulations!$I59="",5000,Simulations!$I59),1))*Simulations!$EC59*(PI()/2*IF(Simulations!$V59="",200,Simulations!$V59)^2*IF(IF(Simulations!$I59="",5000,Simulations!$I59)&gt;0,SQRT(PI()/2)*IF(Simulations!$Y59="",1000,Simulations!$Y59),1)),Simulations!$DZ59/(IF(Simulations!$G59="",5000,Simulations!$G59)*IF(Simulations!$H59="",5000,Simulations!$H59)*IF(IF(Simulations!$I59="",5000,Simulations!$I59)&gt;0,IF(Simulations!$I59="",5000,Simulations!$I59),1))*IF(Simulations!$J59="",1000,Simulations!$J59)*IF(IF(Simulations!$I59="",5000,Simulations!$I59)&gt;0,2*PI()*IF(Simulations!$V59="",200,Simulations!$V59)^2*IF(Simulations!$Y59="",1000,Simulations!$Y59)/2^1.5*(2/3*LN(Simulations!$EC59/IF(Simulations!$J59="",1000,Simulations!$J59))^1.5+SQRT(LN(Simulations!$EC59/IF(Simulations!$J59="",1000,Simulations!$J59)))+Simulations!$EC59/IF(Simulations!$J59="",1000,Simulations!$J59)*SQRT(PI())/2*ERFC(SQRT(LN(Simulations!$EC59/IF(Simulations!$J59="",1000,Simulations!$J59))))),PI()*IF(Simulations!$V59="",200,Simulations!$V59)^2/2*(LN(Simulations!$EC59/IF(Simulations!$J59="",1000,Simulations!$J59))+1))))</f>
        <v>0</v>
      </c>
      <c r="AI59" s="0" t="n">
        <f aca="false">IF(NOT(AND(Simulations!$A59&lt;&gt;"",OR(Simulations!$DX59&lt;&gt;"",N(Simulations!$DZ59)&gt;0))),0,MAX(N(Simulations!$EA59),N(Simulations!$EB59),N(Simulations!$EC59))/IF(Simulations!$J59="",1000,Simulations!$J59))</f>
        <v>0</v>
      </c>
      <c r="AJ59" s="0" t="n">
        <f aca="false">IF(OR(NOT(AND(Simulations!$A59&lt;&gt;"",OR(Simulations!$DX59&lt;&gt;"",N(Simulations!$DZ59)&gt;0))),N(Simulations!$DY59)&lt;=0),0,SQRT(2*Simulations!$DY59*1000000/(IF(Simulations!$J59="",1000,Simulations!$J59)*1000))/MIN(IF(Simulations!$T59="",200,Simulations!$T59),IF(Simulations!$U59="",200,Simulations!$U59),IF(Simulations!$V59="",200,Simulations!$V59)))</f>
        <v>0</v>
      </c>
      <c r="AK59" s="0" t="n">
        <f aca="false">IF(AND(Simulations!$A59&lt;&gt;"",OR(Simulations!$DX59&lt;&gt;"",N(Simulations!$DZ59)&gt;0)),1,0)</f>
        <v>0</v>
      </c>
    </row>
    <row r="60" customFormat="false" ht="15" hidden="false" customHeight="false" outlineLevel="0" collapsed="false">
      <c r="B60" s="0" t="n">
        <f aca="false">IF(OR(NOT(AND(Simulations!$A60&lt;&gt;"",OR(Simulations!$AL60&lt;&gt;"",N(Simulations!$AN60)&gt;0))),N(Simulations!$AO60)&lt;=0,N(Simulations!$AN60)&lt;=0,1&gt;N(IF(Simulations!$O60="",1,Simulations!$O60))),0,IF(Simulations!$AO60&lt;IF(Simulations!$J60="",1000,Simulations!$J60),Simulations!$AN60/(IF(Simulations!$G60="",5000,Simulations!$G60)*IF(Simulations!$H60="",5000,Simulations!$H60)*IF(IF(Simulations!$I60="",5000,Simulations!$I60)&gt;0,IF(Simulations!$I60="",5000,Simulations!$I60),1))*Simulations!$AO60*(PI()/2*IF(Simulations!$T60="",200,Simulations!$T60)^2*IF(IF(Simulations!$I60="",5000,Simulations!$I60)&gt;0,SQRT(PI()/2)*IF(Simulations!$W60="",1000,Simulations!$W60),1)),Simulations!$AN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T60="",200,Simulations!$T60)^2*IF(Simulations!$W60="",1000,Simulations!$W60)/2^1.5*(2/3*LN(Simulations!$AO60/IF(Simulations!$J60="",1000,Simulations!$J60))^1.5+SQRT(LN(Simulations!$AO60/IF(Simulations!$J60="",1000,Simulations!$J60)))+Simulations!$AO60/IF(Simulations!$J60="",1000,Simulations!$J60)*SQRT(PI())/2*ERFC(SQRT(LN(Simulations!$AO60/IF(Simulations!$J60="",1000,Simulations!$J60))))),PI()*IF(Simulations!$T60="",200,Simulations!$T60)^2/2*(LN(Simulations!$AO60/IF(Simulations!$J60="",1000,Simulations!$J60))+1))))</f>
        <v>0</v>
      </c>
      <c r="C60" s="0" t="n">
        <f aca="false">IF(OR(NOT(AND(Simulations!$A60&lt;&gt;"",OR(Simulations!$AL60&lt;&gt;"",N(Simulations!$AN60)&gt;0))),N(Simulations!$AP60)&lt;=0,N(Simulations!$AN60)&lt;=0,2&gt;N(IF(Simulations!$O60="",1,Simulations!$O60))),0,IF(Simulations!$AP60&lt;IF(Simulations!$J60="",1000,Simulations!$J60),Simulations!$AN60/(IF(Simulations!$G60="",5000,Simulations!$G60)*IF(Simulations!$H60="",5000,Simulations!$H60)*IF(IF(Simulations!$I60="",5000,Simulations!$I60)&gt;0,IF(Simulations!$I60="",5000,Simulations!$I60),1))*Simulations!$AP60*(PI()/2*IF(Simulations!$U60="",200,Simulations!$U60)^2*IF(IF(Simulations!$I60="",5000,Simulations!$I60)&gt;0,SQRT(PI()/2)*IF(Simulations!$X60="",1000,Simulations!$X60),1)),Simulations!$AN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U60="",200,Simulations!$U60)^2*IF(Simulations!$X60="",1000,Simulations!$X60)/2^1.5*(2/3*LN(Simulations!$AP60/IF(Simulations!$J60="",1000,Simulations!$J60))^1.5+SQRT(LN(Simulations!$AP60/IF(Simulations!$J60="",1000,Simulations!$J60)))+Simulations!$AP60/IF(Simulations!$J60="",1000,Simulations!$J60)*SQRT(PI())/2*ERFC(SQRT(LN(Simulations!$AP60/IF(Simulations!$J60="",1000,Simulations!$J60))))),PI()*IF(Simulations!$U60="",200,Simulations!$U60)^2/2*(LN(Simulations!$AP60/IF(Simulations!$J60="",1000,Simulations!$J60))+1))))</f>
        <v>0</v>
      </c>
      <c r="D60" s="0" t="n">
        <f aca="false">IF(OR(NOT(AND(Simulations!$A60&lt;&gt;"",OR(Simulations!$AL60&lt;&gt;"",N(Simulations!$AN60)&gt;0))),N(Simulations!$AQ60)&lt;=0,N(Simulations!$AN60)&lt;=0,3&gt;N(IF(Simulations!$O60="",1,Simulations!$O60))),0,IF(Simulations!$AQ60&lt;IF(Simulations!$J60="",1000,Simulations!$J60),Simulations!$AN60/(IF(Simulations!$G60="",5000,Simulations!$G60)*IF(Simulations!$H60="",5000,Simulations!$H60)*IF(IF(Simulations!$I60="",5000,Simulations!$I60)&gt;0,IF(Simulations!$I60="",5000,Simulations!$I60),1))*Simulations!$AQ60*(PI()/2*IF(Simulations!$V60="",200,Simulations!$V60)^2*IF(IF(Simulations!$I60="",5000,Simulations!$I60)&gt;0,SQRT(PI()/2)*IF(Simulations!$Y60="",1000,Simulations!$Y60),1)),Simulations!$AN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V60="",200,Simulations!$V60)^2*IF(Simulations!$Y60="",1000,Simulations!$Y60)/2^1.5*(2/3*LN(Simulations!$AQ60/IF(Simulations!$J60="",1000,Simulations!$J60))^1.5+SQRT(LN(Simulations!$AQ60/IF(Simulations!$J60="",1000,Simulations!$J60)))+Simulations!$AQ60/IF(Simulations!$J60="",1000,Simulations!$J60)*SQRT(PI())/2*ERFC(SQRT(LN(Simulations!$AQ60/IF(Simulations!$J60="",1000,Simulations!$J60))))),PI()*IF(Simulations!$V60="",200,Simulations!$V60)^2/2*(LN(Simulations!$AQ60/IF(Simulations!$J60="",1000,Simulations!$J60))+1))))</f>
        <v>0</v>
      </c>
      <c r="E60" s="0" t="n">
        <f aca="false">IF(NOT(AND(Simulations!$A60&lt;&gt;"",OR(Simulations!$AL60&lt;&gt;"",N(Simulations!$AN60)&gt;0))),0,MAX(N(Simulations!$AO60),N(Simulations!$AP60),N(Simulations!$AQ60))/IF(Simulations!$J60="",1000,Simulations!$J60))</f>
        <v>0</v>
      </c>
      <c r="F60" s="0" t="n">
        <f aca="false">IF(OR(NOT(AND(Simulations!$A60&lt;&gt;"",OR(Simulations!$AL60&lt;&gt;"",N(Simulations!$AN60)&gt;0))),N(Simulations!$AM60)&lt;=0),0,SQRT(2*Simulations!$AM60*1000000/(IF(Simulations!$J60="",1000,Simulations!$J60)*1000))/MIN(IF(Simulations!$T60="",200,Simulations!$T60),IF(Simulations!$U60="",200,Simulations!$U60),IF(Simulations!$V60="",200,Simulations!$V60)))</f>
        <v>0</v>
      </c>
      <c r="G60" s="0" t="n">
        <f aca="false">IF(AND(Simulations!$A60&lt;&gt;"",OR(Simulations!$AL60&lt;&gt;"",N(Simulations!$AN60)&gt;0)),1,0)</f>
        <v>0</v>
      </c>
      <c r="H60" s="0" t="n">
        <f aca="false">IF(OR(NOT(AND(Simulations!$A60&lt;&gt;"",OR(Simulations!$BD60&lt;&gt;"",N(Simulations!$BF60)&gt;0))),N(Simulations!$BG60)&lt;=0,N(Simulations!$BF60)&lt;=0,1&gt;N(IF(Simulations!$O60="",1,Simulations!$O60))),0,IF(Simulations!$BG60&lt;IF(Simulations!$J60="",1000,Simulations!$J60),Simulations!$BF60/(IF(Simulations!$G60="",5000,Simulations!$G60)*IF(Simulations!$H60="",5000,Simulations!$H60)*IF(IF(Simulations!$I60="",5000,Simulations!$I60)&gt;0,IF(Simulations!$I60="",5000,Simulations!$I60),1))*Simulations!$BG60*(PI()/2*IF(Simulations!$T60="",200,Simulations!$T60)^2*IF(IF(Simulations!$I60="",5000,Simulations!$I60)&gt;0,SQRT(PI()/2)*IF(Simulations!$W60="",1000,Simulations!$W60),1)),Simulations!$BF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T60="",200,Simulations!$T60)^2*IF(Simulations!$W60="",1000,Simulations!$W60)/2^1.5*(2/3*LN(Simulations!$BG60/IF(Simulations!$J60="",1000,Simulations!$J60))^1.5+SQRT(LN(Simulations!$BG60/IF(Simulations!$J60="",1000,Simulations!$J60)))+Simulations!$BG60/IF(Simulations!$J60="",1000,Simulations!$J60)*SQRT(PI())/2*ERFC(SQRT(LN(Simulations!$BG60/IF(Simulations!$J60="",1000,Simulations!$J60))))),PI()*IF(Simulations!$T60="",200,Simulations!$T60)^2/2*(LN(Simulations!$BG60/IF(Simulations!$J60="",1000,Simulations!$J60))+1))))</f>
        <v>0</v>
      </c>
      <c r="I60" s="0" t="n">
        <f aca="false">IF(OR(NOT(AND(Simulations!$A60&lt;&gt;"",OR(Simulations!$BD60&lt;&gt;"",N(Simulations!$BF60)&gt;0))),N(Simulations!$BH60)&lt;=0,N(Simulations!$BF60)&lt;=0,2&gt;N(IF(Simulations!$O60="",1,Simulations!$O60))),0,IF(Simulations!$BH60&lt;IF(Simulations!$J60="",1000,Simulations!$J60),Simulations!$BF60/(IF(Simulations!$G60="",5000,Simulations!$G60)*IF(Simulations!$H60="",5000,Simulations!$H60)*IF(IF(Simulations!$I60="",5000,Simulations!$I60)&gt;0,IF(Simulations!$I60="",5000,Simulations!$I60),1))*Simulations!$BH60*(PI()/2*IF(Simulations!$U60="",200,Simulations!$U60)^2*IF(IF(Simulations!$I60="",5000,Simulations!$I60)&gt;0,SQRT(PI()/2)*IF(Simulations!$X60="",1000,Simulations!$X60),1)),Simulations!$BF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U60="",200,Simulations!$U60)^2*IF(Simulations!$X60="",1000,Simulations!$X60)/2^1.5*(2/3*LN(Simulations!$BH60/IF(Simulations!$J60="",1000,Simulations!$J60))^1.5+SQRT(LN(Simulations!$BH60/IF(Simulations!$J60="",1000,Simulations!$J60)))+Simulations!$BH60/IF(Simulations!$J60="",1000,Simulations!$J60)*SQRT(PI())/2*ERFC(SQRT(LN(Simulations!$BH60/IF(Simulations!$J60="",1000,Simulations!$J60))))),PI()*IF(Simulations!$U60="",200,Simulations!$U60)^2/2*(LN(Simulations!$BH60/IF(Simulations!$J60="",1000,Simulations!$J60))+1))))</f>
        <v>0</v>
      </c>
      <c r="J60" s="0" t="n">
        <f aca="false">IF(OR(NOT(AND(Simulations!$A60&lt;&gt;"",OR(Simulations!$BD60&lt;&gt;"",N(Simulations!$BF60)&gt;0))),N(Simulations!$BI60)&lt;=0,N(Simulations!$BF60)&lt;=0,3&gt;N(IF(Simulations!$O60="",1,Simulations!$O60))),0,IF(Simulations!$BI60&lt;IF(Simulations!$J60="",1000,Simulations!$J60),Simulations!$BF60/(IF(Simulations!$G60="",5000,Simulations!$G60)*IF(Simulations!$H60="",5000,Simulations!$H60)*IF(IF(Simulations!$I60="",5000,Simulations!$I60)&gt;0,IF(Simulations!$I60="",5000,Simulations!$I60),1))*Simulations!$BI60*(PI()/2*IF(Simulations!$V60="",200,Simulations!$V60)^2*IF(IF(Simulations!$I60="",5000,Simulations!$I60)&gt;0,SQRT(PI()/2)*IF(Simulations!$Y60="",1000,Simulations!$Y60),1)),Simulations!$BF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V60="",200,Simulations!$V60)^2*IF(Simulations!$Y60="",1000,Simulations!$Y60)/2^1.5*(2/3*LN(Simulations!$BI60/IF(Simulations!$J60="",1000,Simulations!$J60))^1.5+SQRT(LN(Simulations!$BI60/IF(Simulations!$J60="",1000,Simulations!$J60)))+Simulations!$BI60/IF(Simulations!$J60="",1000,Simulations!$J60)*SQRT(PI())/2*ERFC(SQRT(LN(Simulations!$BI60/IF(Simulations!$J60="",1000,Simulations!$J60))))),PI()*IF(Simulations!$V60="",200,Simulations!$V60)^2/2*(LN(Simulations!$BI60/IF(Simulations!$J60="",1000,Simulations!$J60))+1))))</f>
        <v>0</v>
      </c>
      <c r="K60" s="0" t="n">
        <f aca="false">IF(NOT(AND(Simulations!$A60&lt;&gt;"",OR(Simulations!$BD60&lt;&gt;"",N(Simulations!$BF60)&gt;0))),0,MAX(N(Simulations!$BG60),N(Simulations!$BH60),N(Simulations!$BI60))/IF(Simulations!$J60="",1000,Simulations!$J60))</f>
        <v>0</v>
      </c>
      <c r="L60" s="0" t="n">
        <f aca="false">IF(OR(NOT(AND(Simulations!$A60&lt;&gt;"",OR(Simulations!$BD60&lt;&gt;"",N(Simulations!$BF60)&gt;0))),N(Simulations!$BE60)&lt;=0),0,SQRT(2*Simulations!$BE60*1000000/(IF(Simulations!$J60="",1000,Simulations!$J60)*1000))/MIN(IF(Simulations!$T60="",200,Simulations!$T60),IF(Simulations!$U60="",200,Simulations!$U60),IF(Simulations!$V60="",200,Simulations!$V60)))</f>
        <v>0</v>
      </c>
      <c r="M60" s="0" t="n">
        <f aca="false">IF(AND(Simulations!$A60&lt;&gt;"",OR(Simulations!$BD60&lt;&gt;"",N(Simulations!$BF60)&gt;0)),1,0)</f>
        <v>0</v>
      </c>
      <c r="N60" s="0" t="n">
        <f aca="false">IF(OR(NOT(AND(Simulations!$A60&lt;&gt;"",OR(Simulations!$BV60&lt;&gt;"",N(Simulations!$BX60)&gt;0))),N(Simulations!$BY60)&lt;=0,N(Simulations!$BX60)&lt;=0,1&gt;N(IF(Simulations!$O60="",1,Simulations!$O60))),0,IF(Simulations!$BY60&lt;IF(Simulations!$J60="",1000,Simulations!$J60),Simulations!$BX60/(IF(Simulations!$G60="",5000,Simulations!$G60)*IF(Simulations!$H60="",5000,Simulations!$H60)*IF(IF(Simulations!$I60="",5000,Simulations!$I60)&gt;0,IF(Simulations!$I60="",5000,Simulations!$I60),1))*Simulations!$BY60*(PI()/2*IF(Simulations!$T60="",200,Simulations!$T60)^2*IF(IF(Simulations!$I60="",5000,Simulations!$I60)&gt;0,SQRT(PI()/2)*IF(Simulations!$W60="",1000,Simulations!$W60),1)),Simulations!$BX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T60="",200,Simulations!$T60)^2*IF(Simulations!$W60="",1000,Simulations!$W60)/2^1.5*(2/3*LN(Simulations!$BY60/IF(Simulations!$J60="",1000,Simulations!$J60))^1.5+SQRT(LN(Simulations!$BY60/IF(Simulations!$J60="",1000,Simulations!$J60)))+Simulations!$BY60/IF(Simulations!$J60="",1000,Simulations!$J60)*SQRT(PI())/2*ERFC(SQRT(LN(Simulations!$BY60/IF(Simulations!$J60="",1000,Simulations!$J60))))),PI()*IF(Simulations!$T60="",200,Simulations!$T60)^2/2*(LN(Simulations!$BY60/IF(Simulations!$J60="",1000,Simulations!$J60))+1))))</f>
        <v>0</v>
      </c>
      <c r="O60" s="0" t="n">
        <f aca="false">IF(OR(NOT(AND(Simulations!$A60&lt;&gt;"",OR(Simulations!$BV60&lt;&gt;"",N(Simulations!$BX60)&gt;0))),N(Simulations!$BZ60)&lt;=0,N(Simulations!$BX60)&lt;=0,2&gt;N(IF(Simulations!$O60="",1,Simulations!$O60))),0,IF(Simulations!$BZ60&lt;IF(Simulations!$J60="",1000,Simulations!$J60),Simulations!$BX60/(IF(Simulations!$G60="",5000,Simulations!$G60)*IF(Simulations!$H60="",5000,Simulations!$H60)*IF(IF(Simulations!$I60="",5000,Simulations!$I60)&gt;0,IF(Simulations!$I60="",5000,Simulations!$I60),1))*Simulations!$BZ60*(PI()/2*IF(Simulations!$U60="",200,Simulations!$U60)^2*IF(IF(Simulations!$I60="",5000,Simulations!$I60)&gt;0,SQRT(PI()/2)*IF(Simulations!$X60="",1000,Simulations!$X60),1)),Simulations!$BX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U60="",200,Simulations!$U60)^2*IF(Simulations!$X60="",1000,Simulations!$X60)/2^1.5*(2/3*LN(Simulations!$BZ60/IF(Simulations!$J60="",1000,Simulations!$J60))^1.5+SQRT(LN(Simulations!$BZ60/IF(Simulations!$J60="",1000,Simulations!$J60)))+Simulations!$BZ60/IF(Simulations!$J60="",1000,Simulations!$J60)*SQRT(PI())/2*ERFC(SQRT(LN(Simulations!$BZ60/IF(Simulations!$J60="",1000,Simulations!$J60))))),PI()*IF(Simulations!$U60="",200,Simulations!$U60)^2/2*(LN(Simulations!$BZ60/IF(Simulations!$J60="",1000,Simulations!$J60))+1))))</f>
        <v>0</v>
      </c>
      <c r="P60" s="0" t="n">
        <f aca="false">IF(OR(NOT(AND(Simulations!$A60&lt;&gt;"",OR(Simulations!$BV60&lt;&gt;"",N(Simulations!$BX60)&gt;0))),N(Simulations!$CA60)&lt;=0,N(Simulations!$BX60)&lt;=0,3&gt;N(IF(Simulations!$O60="",1,Simulations!$O60))),0,IF(Simulations!$CA60&lt;IF(Simulations!$J60="",1000,Simulations!$J60),Simulations!$BX60/(IF(Simulations!$G60="",5000,Simulations!$G60)*IF(Simulations!$H60="",5000,Simulations!$H60)*IF(IF(Simulations!$I60="",5000,Simulations!$I60)&gt;0,IF(Simulations!$I60="",5000,Simulations!$I60),1))*Simulations!$CA60*(PI()/2*IF(Simulations!$V60="",200,Simulations!$V60)^2*IF(IF(Simulations!$I60="",5000,Simulations!$I60)&gt;0,SQRT(PI()/2)*IF(Simulations!$Y60="",1000,Simulations!$Y60),1)),Simulations!$BX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V60="",200,Simulations!$V60)^2*IF(Simulations!$Y60="",1000,Simulations!$Y60)/2^1.5*(2/3*LN(Simulations!$CA60/IF(Simulations!$J60="",1000,Simulations!$J60))^1.5+SQRT(LN(Simulations!$CA60/IF(Simulations!$J60="",1000,Simulations!$J60)))+Simulations!$CA60/IF(Simulations!$J60="",1000,Simulations!$J60)*SQRT(PI())/2*ERFC(SQRT(LN(Simulations!$CA60/IF(Simulations!$J60="",1000,Simulations!$J60))))),PI()*IF(Simulations!$V60="",200,Simulations!$V60)^2/2*(LN(Simulations!$CA60/IF(Simulations!$J60="",1000,Simulations!$J60))+1))))</f>
        <v>0</v>
      </c>
      <c r="Q60" s="0" t="n">
        <f aca="false">IF(NOT(AND(Simulations!$A60&lt;&gt;"",OR(Simulations!$BV60&lt;&gt;"",N(Simulations!$BX60)&gt;0))),0,MAX(N(Simulations!$BY60),N(Simulations!$BZ60),N(Simulations!$CA60))/IF(Simulations!$J60="",1000,Simulations!$J60))</f>
        <v>0</v>
      </c>
      <c r="R60" s="0" t="n">
        <f aca="false">IF(OR(NOT(AND(Simulations!$A60&lt;&gt;"",OR(Simulations!$BV60&lt;&gt;"",N(Simulations!$BX60)&gt;0))),N(Simulations!$BW60)&lt;=0),0,SQRT(2*Simulations!$BW60*1000000/(IF(Simulations!$J60="",1000,Simulations!$J60)*1000))/MIN(IF(Simulations!$T60="",200,Simulations!$T60),IF(Simulations!$U60="",200,Simulations!$U60),IF(Simulations!$V60="",200,Simulations!$V60)))</f>
        <v>0</v>
      </c>
      <c r="S60" s="0" t="n">
        <f aca="false">IF(AND(Simulations!$A60&lt;&gt;"",OR(Simulations!$BV60&lt;&gt;"",N(Simulations!$BX60)&gt;0)),1,0)</f>
        <v>0</v>
      </c>
      <c r="T60" s="0" t="n">
        <f aca="false">IF(OR(NOT(AND(Simulations!$A60&lt;&gt;"",OR(Simulations!$CN60&lt;&gt;"",N(Simulations!$CP60)&gt;0))),N(Simulations!$CQ60)&lt;=0,N(Simulations!$CP60)&lt;=0,1&gt;N(IF(Simulations!$O60="",1,Simulations!$O60))),0,IF(Simulations!$CQ60&lt;IF(Simulations!$J60="",1000,Simulations!$J60),Simulations!$CP60/(IF(Simulations!$G60="",5000,Simulations!$G60)*IF(Simulations!$H60="",5000,Simulations!$H60)*IF(IF(Simulations!$I60="",5000,Simulations!$I60)&gt;0,IF(Simulations!$I60="",5000,Simulations!$I60),1))*Simulations!$CQ60*(PI()/2*IF(Simulations!$T60="",200,Simulations!$T60)^2*IF(IF(Simulations!$I60="",5000,Simulations!$I60)&gt;0,SQRT(PI()/2)*IF(Simulations!$W60="",1000,Simulations!$W60),1)),Simulations!$CP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T60="",200,Simulations!$T60)^2*IF(Simulations!$W60="",1000,Simulations!$W60)/2^1.5*(2/3*LN(Simulations!$CQ60/IF(Simulations!$J60="",1000,Simulations!$J60))^1.5+SQRT(LN(Simulations!$CQ60/IF(Simulations!$J60="",1000,Simulations!$J60)))+Simulations!$CQ60/IF(Simulations!$J60="",1000,Simulations!$J60)*SQRT(PI())/2*ERFC(SQRT(LN(Simulations!$CQ60/IF(Simulations!$J60="",1000,Simulations!$J60))))),PI()*IF(Simulations!$T60="",200,Simulations!$T60)^2/2*(LN(Simulations!$CQ60/IF(Simulations!$J60="",1000,Simulations!$J60))+1))))</f>
        <v>0</v>
      </c>
      <c r="U60" s="0" t="n">
        <f aca="false">IF(OR(NOT(AND(Simulations!$A60&lt;&gt;"",OR(Simulations!$CN60&lt;&gt;"",N(Simulations!$CP60)&gt;0))),N(Simulations!$CR60)&lt;=0,N(Simulations!$CP60)&lt;=0,2&gt;N(IF(Simulations!$O60="",1,Simulations!$O60))),0,IF(Simulations!$CR60&lt;IF(Simulations!$J60="",1000,Simulations!$J60),Simulations!$CP60/(IF(Simulations!$G60="",5000,Simulations!$G60)*IF(Simulations!$H60="",5000,Simulations!$H60)*IF(IF(Simulations!$I60="",5000,Simulations!$I60)&gt;0,IF(Simulations!$I60="",5000,Simulations!$I60),1))*Simulations!$CR60*(PI()/2*IF(Simulations!$U60="",200,Simulations!$U60)^2*IF(IF(Simulations!$I60="",5000,Simulations!$I60)&gt;0,SQRT(PI()/2)*IF(Simulations!$X60="",1000,Simulations!$X60),1)),Simulations!$CP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U60="",200,Simulations!$U60)^2*IF(Simulations!$X60="",1000,Simulations!$X60)/2^1.5*(2/3*LN(Simulations!$CR60/IF(Simulations!$J60="",1000,Simulations!$J60))^1.5+SQRT(LN(Simulations!$CR60/IF(Simulations!$J60="",1000,Simulations!$J60)))+Simulations!$CR60/IF(Simulations!$J60="",1000,Simulations!$J60)*SQRT(PI())/2*ERFC(SQRT(LN(Simulations!$CR60/IF(Simulations!$J60="",1000,Simulations!$J60))))),PI()*IF(Simulations!$U60="",200,Simulations!$U60)^2/2*(LN(Simulations!$CR60/IF(Simulations!$J60="",1000,Simulations!$J60))+1))))</f>
        <v>0</v>
      </c>
      <c r="V60" s="0" t="n">
        <f aca="false">IF(OR(NOT(AND(Simulations!$A60&lt;&gt;"",OR(Simulations!$CN60&lt;&gt;"",N(Simulations!$CP60)&gt;0))),N(Simulations!$CS60)&lt;=0,N(Simulations!$CP60)&lt;=0,3&gt;N(IF(Simulations!$O60="",1,Simulations!$O60))),0,IF(Simulations!$CS60&lt;IF(Simulations!$J60="",1000,Simulations!$J60),Simulations!$CP60/(IF(Simulations!$G60="",5000,Simulations!$G60)*IF(Simulations!$H60="",5000,Simulations!$H60)*IF(IF(Simulations!$I60="",5000,Simulations!$I60)&gt;0,IF(Simulations!$I60="",5000,Simulations!$I60),1))*Simulations!$CS60*(PI()/2*IF(Simulations!$V60="",200,Simulations!$V60)^2*IF(IF(Simulations!$I60="",5000,Simulations!$I60)&gt;0,SQRT(PI()/2)*IF(Simulations!$Y60="",1000,Simulations!$Y60),1)),Simulations!$CP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V60="",200,Simulations!$V60)^2*IF(Simulations!$Y60="",1000,Simulations!$Y60)/2^1.5*(2/3*LN(Simulations!$CS60/IF(Simulations!$J60="",1000,Simulations!$J60))^1.5+SQRT(LN(Simulations!$CS60/IF(Simulations!$J60="",1000,Simulations!$J60)))+Simulations!$CS60/IF(Simulations!$J60="",1000,Simulations!$J60)*SQRT(PI())/2*ERFC(SQRT(LN(Simulations!$CS60/IF(Simulations!$J60="",1000,Simulations!$J60))))),PI()*IF(Simulations!$V60="",200,Simulations!$V60)^2/2*(LN(Simulations!$CS60/IF(Simulations!$J60="",1000,Simulations!$J60))+1))))</f>
        <v>0</v>
      </c>
      <c r="W60" s="0" t="n">
        <f aca="false">IF(NOT(AND(Simulations!$A60&lt;&gt;"",OR(Simulations!$CN60&lt;&gt;"",N(Simulations!$CP60)&gt;0))),0,MAX(N(Simulations!$CQ60),N(Simulations!$CR60),N(Simulations!$CS60))/IF(Simulations!$J60="",1000,Simulations!$J60))</f>
        <v>0</v>
      </c>
      <c r="X60" s="0" t="n">
        <f aca="false">IF(OR(NOT(AND(Simulations!$A60&lt;&gt;"",OR(Simulations!$CN60&lt;&gt;"",N(Simulations!$CP60)&gt;0))),N(Simulations!$CO60)&lt;=0),0,SQRT(2*Simulations!$CO60*1000000/(IF(Simulations!$J60="",1000,Simulations!$J60)*1000))/MIN(IF(Simulations!$T60="",200,Simulations!$T60),IF(Simulations!$U60="",200,Simulations!$U60),IF(Simulations!$V60="",200,Simulations!$V60)))</f>
        <v>0</v>
      </c>
      <c r="Y60" s="0" t="n">
        <f aca="false">IF(AND(Simulations!$A60&lt;&gt;"",OR(Simulations!$CN60&lt;&gt;"",N(Simulations!$CP60)&gt;0)),1,0)</f>
        <v>0</v>
      </c>
      <c r="Z60" s="0" t="n">
        <f aca="false">IF(OR(NOT(AND(Simulations!$A60&lt;&gt;"",OR(Simulations!$DF60&lt;&gt;"",N(Simulations!$DH60)&gt;0))),N(Simulations!$DI60)&lt;=0,N(Simulations!$DH60)&lt;=0,1&gt;N(IF(Simulations!$O60="",1,Simulations!$O60))),0,IF(Simulations!$DI60&lt;IF(Simulations!$J60="",1000,Simulations!$J60),Simulations!$DH60/(IF(Simulations!$G60="",5000,Simulations!$G60)*IF(Simulations!$H60="",5000,Simulations!$H60)*IF(IF(Simulations!$I60="",5000,Simulations!$I60)&gt;0,IF(Simulations!$I60="",5000,Simulations!$I60),1))*Simulations!$DI60*(PI()/2*IF(Simulations!$T60="",200,Simulations!$T60)^2*IF(IF(Simulations!$I60="",5000,Simulations!$I60)&gt;0,SQRT(PI()/2)*IF(Simulations!$W60="",1000,Simulations!$W60),1)),Simulations!$DH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T60="",200,Simulations!$T60)^2*IF(Simulations!$W60="",1000,Simulations!$W60)/2^1.5*(2/3*LN(Simulations!$DI60/IF(Simulations!$J60="",1000,Simulations!$J60))^1.5+SQRT(LN(Simulations!$DI60/IF(Simulations!$J60="",1000,Simulations!$J60)))+Simulations!$DI60/IF(Simulations!$J60="",1000,Simulations!$J60)*SQRT(PI())/2*ERFC(SQRT(LN(Simulations!$DI60/IF(Simulations!$J60="",1000,Simulations!$J60))))),PI()*IF(Simulations!$T60="",200,Simulations!$T60)^2/2*(LN(Simulations!$DI60/IF(Simulations!$J60="",1000,Simulations!$J60))+1))))</f>
        <v>0</v>
      </c>
      <c r="AA60" s="0" t="n">
        <f aca="false">IF(OR(NOT(AND(Simulations!$A60&lt;&gt;"",OR(Simulations!$DF60&lt;&gt;"",N(Simulations!$DH60)&gt;0))),N(Simulations!$DJ60)&lt;=0,N(Simulations!$DH60)&lt;=0,2&gt;N(IF(Simulations!$O60="",1,Simulations!$O60))),0,IF(Simulations!$DJ60&lt;IF(Simulations!$J60="",1000,Simulations!$J60),Simulations!$DH60/(IF(Simulations!$G60="",5000,Simulations!$G60)*IF(Simulations!$H60="",5000,Simulations!$H60)*IF(IF(Simulations!$I60="",5000,Simulations!$I60)&gt;0,IF(Simulations!$I60="",5000,Simulations!$I60),1))*Simulations!$DJ60*(PI()/2*IF(Simulations!$U60="",200,Simulations!$U60)^2*IF(IF(Simulations!$I60="",5000,Simulations!$I60)&gt;0,SQRT(PI()/2)*IF(Simulations!$X60="",1000,Simulations!$X60),1)),Simulations!$DH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U60="",200,Simulations!$U60)^2*IF(Simulations!$X60="",1000,Simulations!$X60)/2^1.5*(2/3*LN(Simulations!$DJ60/IF(Simulations!$J60="",1000,Simulations!$J60))^1.5+SQRT(LN(Simulations!$DJ60/IF(Simulations!$J60="",1000,Simulations!$J60)))+Simulations!$DJ60/IF(Simulations!$J60="",1000,Simulations!$J60)*SQRT(PI())/2*ERFC(SQRT(LN(Simulations!$DJ60/IF(Simulations!$J60="",1000,Simulations!$J60))))),PI()*IF(Simulations!$U60="",200,Simulations!$U60)^2/2*(LN(Simulations!$DJ60/IF(Simulations!$J60="",1000,Simulations!$J60))+1))))</f>
        <v>0</v>
      </c>
      <c r="AB60" s="0" t="n">
        <f aca="false">IF(OR(NOT(AND(Simulations!$A60&lt;&gt;"",OR(Simulations!$DF60&lt;&gt;"",N(Simulations!$DH60)&gt;0))),N(Simulations!$DK60)&lt;=0,N(Simulations!$DH60)&lt;=0,3&gt;N(IF(Simulations!$O60="",1,Simulations!$O60))),0,IF(Simulations!$DK60&lt;IF(Simulations!$J60="",1000,Simulations!$J60),Simulations!$DH60/(IF(Simulations!$G60="",5000,Simulations!$G60)*IF(Simulations!$H60="",5000,Simulations!$H60)*IF(IF(Simulations!$I60="",5000,Simulations!$I60)&gt;0,IF(Simulations!$I60="",5000,Simulations!$I60),1))*Simulations!$DK60*(PI()/2*IF(Simulations!$V60="",200,Simulations!$V60)^2*IF(IF(Simulations!$I60="",5000,Simulations!$I60)&gt;0,SQRT(PI()/2)*IF(Simulations!$Y60="",1000,Simulations!$Y60),1)),Simulations!$DH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V60="",200,Simulations!$V60)^2*IF(Simulations!$Y60="",1000,Simulations!$Y60)/2^1.5*(2/3*LN(Simulations!$DK60/IF(Simulations!$J60="",1000,Simulations!$J60))^1.5+SQRT(LN(Simulations!$DK60/IF(Simulations!$J60="",1000,Simulations!$J60)))+Simulations!$DK60/IF(Simulations!$J60="",1000,Simulations!$J60)*SQRT(PI())/2*ERFC(SQRT(LN(Simulations!$DK60/IF(Simulations!$J60="",1000,Simulations!$J60))))),PI()*IF(Simulations!$V60="",200,Simulations!$V60)^2/2*(LN(Simulations!$DK60/IF(Simulations!$J60="",1000,Simulations!$J60))+1))))</f>
        <v>0</v>
      </c>
      <c r="AC60" s="0" t="n">
        <f aca="false">IF(NOT(AND(Simulations!$A60&lt;&gt;"",OR(Simulations!$DF60&lt;&gt;"",N(Simulations!$DH60)&gt;0))),0,MAX(N(Simulations!$DI60),N(Simulations!$DJ60),N(Simulations!$DK60))/IF(Simulations!$J60="",1000,Simulations!$J60))</f>
        <v>0</v>
      </c>
      <c r="AD60" s="0" t="n">
        <f aca="false">IF(OR(NOT(AND(Simulations!$A60&lt;&gt;"",OR(Simulations!$DF60&lt;&gt;"",N(Simulations!$DH60)&gt;0))),N(Simulations!$DG60)&lt;=0),0,SQRT(2*Simulations!$DG60*1000000/(IF(Simulations!$J60="",1000,Simulations!$J60)*1000))/MIN(IF(Simulations!$T60="",200,Simulations!$T60),IF(Simulations!$U60="",200,Simulations!$U60),IF(Simulations!$V60="",200,Simulations!$V60)))</f>
        <v>0</v>
      </c>
      <c r="AE60" s="0" t="n">
        <f aca="false">IF(AND(Simulations!$A60&lt;&gt;"",OR(Simulations!$DF60&lt;&gt;"",N(Simulations!$DH60)&gt;0)),1,0)</f>
        <v>0</v>
      </c>
      <c r="AF60" s="0" t="n">
        <f aca="false">IF(OR(NOT(AND(Simulations!$A60&lt;&gt;"",OR(Simulations!$DX60&lt;&gt;"",N(Simulations!$DZ60)&gt;0))),N(Simulations!$EA60)&lt;=0,N(Simulations!$DZ60)&lt;=0,1&gt;N(IF(Simulations!$O60="",1,Simulations!$O60))),0,IF(Simulations!$EA60&lt;IF(Simulations!$J60="",1000,Simulations!$J60),Simulations!$DZ60/(IF(Simulations!$G60="",5000,Simulations!$G60)*IF(Simulations!$H60="",5000,Simulations!$H60)*IF(IF(Simulations!$I60="",5000,Simulations!$I60)&gt;0,IF(Simulations!$I60="",5000,Simulations!$I60),1))*Simulations!$EA60*(PI()/2*IF(Simulations!$T60="",200,Simulations!$T60)^2*IF(IF(Simulations!$I60="",5000,Simulations!$I60)&gt;0,SQRT(PI()/2)*IF(Simulations!$W60="",1000,Simulations!$W60),1)),Simulations!$DZ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T60="",200,Simulations!$T60)^2*IF(Simulations!$W60="",1000,Simulations!$W60)/2^1.5*(2/3*LN(Simulations!$EA60/IF(Simulations!$J60="",1000,Simulations!$J60))^1.5+SQRT(LN(Simulations!$EA60/IF(Simulations!$J60="",1000,Simulations!$J60)))+Simulations!$EA60/IF(Simulations!$J60="",1000,Simulations!$J60)*SQRT(PI())/2*ERFC(SQRT(LN(Simulations!$EA60/IF(Simulations!$J60="",1000,Simulations!$J60))))),PI()*IF(Simulations!$T60="",200,Simulations!$T60)^2/2*(LN(Simulations!$EA60/IF(Simulations!$J60="",1000,Simulations!$J60))+1))))</f>
        <v>0</v>
      </c>
      <c r="AG60" s="0" t="n">
        <f aca="false">IF(OR(NOT(AND(Simulations!$A60&lt;&gt;"",OR(Simulations!$DX60&lt;&gt;"",N(Simulations!$DZ60)&gt;0))),N(Simulations!$EB60)&lt;=0,N(Simulations!$DZ60)&lt;=0,2&gt;N(IF(Simulations!$O60="",1,Simulations!$O60))),0,IF(Simulations!$EB60&lt;IF(Simulations!$J60="",1000,Simulations!$J60),Simulations!$DZ60/(IF(Simulations!$G60="",5000,Simulations!$G60)*IF(Simulations!$H60="",5000,Simulations!$H60)*IF(IF(Simulations!$I60="",5000,Simulations!$I60)&gt;0,IF(Simulations!$I60="",5000,Simulations!$I60),1))*Simulations!$EB60*(PI()/2*IF(Simulations!$U60="",200,Simulations!$U60)^2*IF(IF(Simulations!$I60="",5000,Simulations!$I60)&gt;0,SQRT(PI()/2)*IF(Simulations!$X60="",1000,Simulations!$X60),1)),Simulations!$DZ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U60="",200,Simulations!$U60)^2*IF(Simulations!$X60="",1000,Simulations!$X60)/2^1.5*(2/3*LN(Simulations!$EB60/IF(Simulations!$J60="",1000,Simulations!$J60))^1.5+SQRT(LN(Simulations!$EB60/IF(Simulations!$J60="",1000,Simulations!$J60)))+Simulations!$EB60/IF(Simulations!$J60="",1000,Simulations!$J60)*SQRT(PI())/2*ERFC(SQRT(LN(Simulations!$EB60/IF(Simulations!$J60="",1000,Simulations!$J60))))),PI()*IF(Simulations!$U60="",200,Simulations!$U60)^2/2*(LN(Simulations!$EB60/IF(Simulations!$J60="",1000,Simulations!$J60))+1))))</f>
        <v>0</v>
      </c>
      <c r="AH60" s="0" t="n">
        <f aca="false">IF(OR(NOT(AND(Simulations!$A60&lt;&gt;"",OR(Simulations!$DX60&lt;&gt;"",N(Simulations!$DZ60)&gt;0))),N(Simulations!$EC60)&lt;=0,N(Simulations!$DZ60)&lt;=0,3&gt;N(IF(Simulations!$O60="",1,Simulations!$O60))),0,IF(Simulations!$EC60&lt;IF(Simulations!$J60="",1000,Simulations!$J60),Simulations!$DZ60/(IF(Simulations!$G60="",5000,Simulations!$G60)*IF(Simulations!$H60="",5000,Simulations!$H60)*IF(IF(Simulations!$I60="",5000,Simulations!$I60)&gt;0,IF(Simulations!$I60="",5000,Simulations!$I60),1))*Simulations!$EC60*(PI()/2*IF(Simulations!$V60="",200,Simulations!$V60)^2*IF(IF(Simulations!$I60="",5000,Simulations!$I60)&gt;0,SQRT(PI()/2)*IF(Simulations!$Y60="",1000,Simulations!$Y60),1)),Simulations!$DZ60/(IF(Simulations!$G60="",5000,Simulations!$G60)*IF(Simulations!$H60="",5000,Simulations!$H60)*IF(IF(Simulations!$I60="",5000,Simulations!$I60)&gt;0,IF(Simulations!$I60="",5000,Simulations!$I60),1))*IF(Simulations!$J60="",1000,Simulations!$J60)*IF(IF(Simulations!$I60="",5000,Simulations!$I60)&gt;0,2*PI()*IF(Simulations!$V60="",200,Simulations!$V60)^2*IF(Simulations!$Y60="",1000,Simulations!$Y60)/2^1.5*(2/3*LN(Simulations!$EC60/IF(Simulations!$J60="",1000,Simulations!$J60))^1.5+SQRT(LN(Simulations!$EC60/IF(Simulations!$J60="",1000,Simulations!$J60)))+Simulations!$EC60/IF(Simulations!$J60="",1000,Simulations!$J60)*SQRT(PI())/2*ERFC(SQRT(LN(Simulations!$EC60/IF(Simulations!$J60="",1000,Simulations!$J60))))),PI()*IF(Simulations!$V60="",200,Simulations!$V60)^2/2*(LN(Simulations!$EC60/IF(Simulations!$J60="",1000,Simulations!$J60))+1))))</f>
        <v>0</v>
      </c>
      <c r="AI60" s="0" t="n">
        <f aca="false">IF(NOT(AND(Simulations!$A60&lt;&gt;"",OR(Simulations!$DX60&lt;&gt;"",N(Simulations!$DZ60)&gt;0))),0,MAX(N(Simulations!$EA60),N(Simulations!$EB60),N(Simulations!$EC60))/IF(Simulations!$J60="",1000,Simulations!$J60))</f>
        <v>0</v>
      </c>
      <c r="AJ60" s="0" t="n">
        <f aca="false">IF(OR(NOT(AND(Simulations!$A60&lt;&gt;"",OR(Simulations!$DX60&lt;&gt;"",N(Simulations!$DZ60)&gt;0))),N(Simulations!$DY60)&lt;=0),0,SQRT(2*Simulations!$DY60*1000000/(IF(Simulations!$J60="",1000,Simulations!$J60)*1000))/MIN(IF(Simulations!$T60="",200,Simulations!$T60),IF(Simulations!$U60="",200,Simulations!$U60),IF(Simulations!$V60="",200,Simulations!$V60)))</f>
        <v>0</v>
      </c>
      <c r="AK60" s="0" t="n">
        <f aca="false">IF(AND(Simulations!$A60&lt;&gt;"",OR(Simulations!$DX60&lt;&gt;"",N(Simulations!$DZ60)&gt;0)),1,0)</f>
        <v>0</v>
      </c>
    </row>
    <row r="61" customFormat="false" ht="15" hidden="false" customHeight="false" outlineLevel="0" collapsed="false">
      <c r="B61" s="0" t="n">
        <f aca="false">IF(OR(NOT(AND(Simulations!$A61&lt;&gt;"",OR(Simulations!$AL61&lt;&gt;"",N(Simulations!$AN61)&gt;0))),N(Simulations!$AO61)&lt;=0,N(Simulations!$AN61)&lt;=0,1&gt;N(IF(Simulations!$O61="",1,Simulations!$O61))),0,IF(Simulations!$AO61&lt;IF(Simulations!$J61="",1000,Simulations!$J61),Simulations!$AN61/(IF(Simulations!$G61="",5000,Simulations!$G61)*IF(Simulations!$H61="",5000,Simulations!$H61)*IF(IF(Simulations!$I61="",5000,Simulations!$I61)&gt;0,IF(Simulations!$I61="",5000,Simulations!$I61),1))*Simulations!$AO61*(PI()/2*IF(Simulations!$T61="",200,Simulations!$T61)^2*IF(IF(Simulations!$I61="",5000,Simulations!$I61)&gt;0,SQRT(PI()/2)*IF(Simulations!$W61="",1000,Simulations!$W61),1)),Simulations!$AN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T61="",200,Simulations!$T61)^2*IF(Simulations!$W61="",1000,Simulations!$W61)/2^1.5*(2/3*LN(Simulations!$AO61/IF(Simulations!$J61="",1000,Simulations!$J61))^1.5+SQRT(LN(Simulations!$AO61/IF(Simulations!$J61="",1000,Simulations!$J61)))+Simulations!$AO61/IF(Simulations!$J61="",1000,Simulations!$J61)*SQRT(PI())/2*ERFC(SQRT(LN(Simulations!$AO61/IF(Simulations!$J61="",1000,Simulations!$J61))))),PI()*IF(Simulations!$T61="",200,Simulations!$T61)^2/2*(LN(Simulations!$AO61/IF(Simulations!$J61="",1000,Simulations!$J61))+1))))</f>
        <v>0</v>
      </c>
      <c r="C61" s="0" t="n">
        <f aca="false">IF(OR(NOT(AND(Simulations!$A61&lt;&gt;"",OR(Simulations!$AL61&lt;&gt;"",N(Simulations!$AN61)&gt;0))),N(Simulations!$AP61)&lt;=0,N(Simulations!$AN61)&lt;=0,2&gt;N(IF(Simulations!$O61="",1,Simulations!$O61))),0,IF(Simulations!$AP61&lt;IF(Simulations!$J61="",1000,Simulations!$J61),Simulations!$AN61/(IF(Simulations!$G61="",5000,Simulations!$G61)*IF(Simulations!$H61="",5000,Simulations!$H61)*IF(IF(Simulations!$I61="",5000,Simulations!$I61)&gt;0,IF(Simulations!$I61="",5000,Simulations!$I61),1))*Simulations!$AP61*(PI()/2*IF(Simulations!$U61="",200,Simulations!$U61)^2*IF(IF(Simulations!$I61="",5000,Simulations!$I61)&gt;0,SQRT(PI()/2)*IF(Simulations!$X61="",1000,Simulations!$X61),1)),Simulations!$AN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U61="",200,Simulations!$U61)^2*IF(Simulations!$X61="",1000,Simulations!$X61)/2^1.5*(2/3*LN(Simulations!$AP61/IF(Simulations!$J61="",1000,Simulations!$J61))^1.5+SQRT(LN(Simulations!$AP61/IF(Simulations!$J61="",1000,Simulations!$J61)))+Simulations!$AP61/IF(Simulations!$J61="",1000,Simulations!$J61)*SQRT(PI())/2*ERFC(SQRT(LN(Simulations!$AP61/IF(Simulations!$J61="",1000,Simulations!$J61))))),PI()*IF(Simulations!$U61="",200,Simulations!$U61)^2/2*(LN(Simulations!$AP61/IF(Simulations!$J61="",1000,Simulations!$J61))+1))))</f>
        <v>0</v>
      </c>
      <c r="D61" s="0" t="n">
        <f aca="false">IF(OR(NOT(AND(Simulations!$A61&lt;&gt;"",OR(Simulations!$AL61&lt;&gt;"",N(Simulations!$AN61)&gt;0))),N(Simulations!$AQ61)&lt;=0,N(Simulations!$AN61)&lt;=0,3&gt;N(IF(Simulations!$O61="",1,Simulations!$O61))),0,IF(Simulations!$AQ61&lt;IF(Simulations!$J61="",1000,Simulations!$J61),Simulations!$AN61/(IF(Simulations!$G61="",5000,Simulations!$G61)*IF(Simulations!$H61="",5000,Simulations!$H61)*IF(IF(Simulations!$I61="",5000,Simulations!$I61)&gt;0,IF(Simulations!$I61="",5000,Simulations!$I61),1))*Simulations!$AQ61*(PI()/2*IF(Simulations!$V61="",200,Simulations!$V61)^2*IF(IF(Simulations!$I61="",5000,Simulations!$I61)&gt;0,SQRT(PI()/2)*IF(Simulations!$Y61="",1000,Simulations!$Y61),1)),Simulations!$AN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V61="",200,Simulations!$V61)^2*IF(Simulations!$Y61="",1000,Simulations!$Y61)/2^1.5*(2/3*LN(Simulations!$AQ61/IF(Simulations!$J61="",1000,Simulations!$J61))^1.5+SQRT(LN(Simulations!$AQ61/IF(Simulations!$J61="",1000,Simulations!$J61)))+Simulations!$AQ61/IF(Simulations!$J61="",1000,Simulations!$J61)*SQRT(PI())/2*ERFC(SQRT(LN(Simulations!$AQ61/IF(Simulations!$J61="",1000,Simulations!$J61))))),PI()*IF(Simulations!$V61="",200,Simulations!$V61)^2/2*(LN(Simulations!$AQ61/IF(Simulations!$J61="",1000,Simulations!$J61))+1))))</f>
        <v>0</v>
      </c>
      <c r="E61" s="0" t="n">
        <f aca="false">IF(NOT(AND(Simulations!$A61&lt;&gt;"",OR(Simulations!$AL61&lt;&gt;"",N(Simulations!$AN61)&gt;0))),0,MAX(N(Simulations!$AO61),N(Simulations!$AP61),N(Simulations!$AQ61))/IF(Simulations!$J61="",1000,Simulations!$J61))</f>
        <v>0</v>
      </c>
      <c r="F61" s="0" t="n">
        <f aca="false">IF(OR(NOT(AND(Simulations!$A61&lt;&gt;"",OR(Simulations!$AL61&lt;&gt;"",N(Simulations!$AN61)&gt;0))),N(Simulations!$AM61)&lt;=0),0,SQRT(2*Simulations!$AM61*1000000/(IF(Simulations!$J61="",1000,Simulations!$J61)*1000))/MIN(IF(Simulations!$T61="",200,Simulations!$T61),IF(Simulations!$U61="",200,Simulations!$U61),IF(Simulations!$V61="",200,Simulations!$V61)))</f>
        <v>0</v>
      </c>
      <c r="G61" s="0" t="n">
        <f aca="false">IF(AND(Simulations!$A61&lt;&gt;"",OR(Simulations!$AL61&lt;&gt;"",N(Simulations!$AN61)&gt;0)),1,0)</f>
        <v>0</v>
      </c>
      <c r="H61" s="0" t="n">
        <f aca="false">IF(OR(NOT(AND(Simulations!$A61&lt;&gt;"",OR(Simulations!$BD61&lt;&gt;"",N(Simulations!$BF61)&gt;0))),N(Simulations!$BG61)&lt;=0,N(Simulations!$BF61)&lt;=0,1&gt;N(IF(Simulations!$O61="",1,Simulations!$O61))),0,IF(Simulations!$BG61&lt;IF(Simulations!$J61="",1000,Simulations!$J61),Simulations!$BF61/(IF(Simulations!$G61="",5000,Simulations!$G61)*IF(Simulations!$H61="",5000,Simulations!$H61)*IF(IF(Simulations!$I61="",5000,Simulations!$I61)&gt;0,IF(Simulations!$I61="",5000,Simulations!$I61),1))*Simulations!$BG61*(PI()/2*IF(Simulations!$T61="",200,Simulations!$T61)^2*IF(IF(Simulations!$I61="",5000,Simulations!$I61)&gt;0,SQRT(PI()/2)*IF(Simulations!$W61="",1000,Simulations!$W61),1)),Simulations!$BF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T61="",200,Simulations!$T61)^2*IF(Simulations!$W61="",1000,Simulations!$W61)/2^1.5*(2/3*LN(Simulations!$BG61/IF(Simulations!$J61="",1000,Simulations!$J61))^1.5+SQRT(LN(Simulations!$BG61/IF(Simulations!$J61="",1000,Simulations!$J61)))+Simulations!$BG61/IF(Simulations!$J61="",1000,Simulations!$J61)*SQRT(PI())/2*ERFC(SQRT(LN(Simulations!$BG61/IF(Simulations!$J61="",1000,Simulations!$J61))))),PI()*IF(Simulations!$T61="",200,Simulations!$T61)^2/2*(LN(Simulations!$BG61/IF(Simulations!$J61="",1000,Simulations!$J61))+1))))</f>
        <v>0</v>
      </c>
      <c r="I61" s="0" t="n">
        <f aca="false">IF(OR(NOT(AND(Simulations!$A61&lt;&gt;"",OR(Simulations!$BD61&lt;&gt;"",N(Simulations!$BF61)&gt;0))),N(Simulations!$BH61)&lt;=0,N(Simulations!$BF61)&lt;=0,2&gt;N(IF(Simulations!$O61="",1,Simulations!$O61))),0,IF(Simulations!$BH61&lt;IF(Simulations!$J61="",1000,Simulations!$J61),Simulations!$BF61/(IF(Simulations!$G61="",5000,Simulations!$G61)*IF(Simulations!$H61="",5000,Simulations!$H61)*IF(IF(Simulations!$I61="",5000,Simulations!$I61)&gt;0,IF(Simulations!$I61="",5000,Simulations!$I61),1))*Simulations!$BH61*(PI()/2*IF(Simulations!$U61="",200,Simulations!$U61)^2*IF(IF(Simulations!$I61="",5000,Simulations!$I61)&gt;0,SQRT(PI()/2)*IF(Simulations!$X61="",1000,Simulations!$X61),1)),Simulations!$BF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U61="",200,Simulations!$U61)^2*IF(Simulations!$X61="",1000,Simulations!$X61)/2^1.5*(2/3*LN(Simulations!$BH61/IF(Simulations!$J61="",1000,Simulations!$J61))^1.5+SQRT(LN(Simulations!$BH61/IF(Simulations!$J61="",1000,Simulations!$J61)))+Simulations!$BH61/IF(Simulations!$J61="",1000,Simulations!$J61)*SQRT(PI())/2*ERFC(SQRT(LN(Simulations!$BH61/IF(Simulations!$J61="",1000,Simulations!$J61))))),PI()*IF(Simulations!$U61="",200,Simulations!$U61)^2/2*(LN(Simulations!$BH61/IF(Simulations!$J61="",1000,Simulations!$J61))+1))))</f>
        <v>0</v>
      </c>
      <c r="J61" s="0" t="n">
        <f aca="false">IF(OR(NOT(AND(Simulations!$A61&lt;&gt;"",OR(Simulations!$BD61&lt;&gt;"",N(Simulations!$BF61)&gt;0))),N(Simulations!$BI61)&lt;=0,N(Simulations!$BF61)&lt;=0,3&gt;N(IF(Simulations!$O61="",1,Simulations!$O61))),0,IF(Simulations!$BI61&lt;IF(Simulations!$J61="",1000,Simulations!$J61),Simulations!$BF61/(IF(Simulations!$G61="",5000,Simulations!$G61)*IF(Simulations!$H61="",5000,Simulations!$H61)*IF(IF(Simulations!$I61="",5000,Simulations!$I61)&gt;0,IF(Simulations!$I61="",5000,Simulations!$I61),1))*Simulations!$BI61*(PI()/2*IF(Simulations!$V61="",200,Simulations!$V61)^2*IF(IF(Simulations!$I61="",5000,Simulations!$I61)&gt;0,SQRT(PI()/2)*IF(Simulations!$Y61="",1000,Simulations!$Y61),1)),Simulations!$BF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V61="",200,Simulations!$V61)^2*IF(Simulations!$Y61="",1000,Simulations!$Y61)/2^1.5*(2/3*LN(Simulations!$BI61/IF(Simulations!$J61="",1000,Simulations!$J61))^1.5+SQRT(LN(Simulations!$BI61/IF(Simulations!$J61="",1000,Simulations!$J61)))+Simulations!$BI61/IF(Simulations!$J61="",1000,Simulations!$J61)*SQRT(PI())/2*ERFC(SQRT(LN(Simulations!$BI61/IF(Simulations!$J61="",1000,Simulations!$J61))))),PI()*IF(Simulations!$V61="",200,Simulations!$V61)^2/2*(LN(Simulations!$BI61/IF(Simulations!$J61="",1000,Simulations!$J61))+1))))</f>
        <v>0</v>
      </c>
      <c r="K61" s="0" t="n">
        <f aca="false">IF(NOT(AND(Simulations!$A61&lt;&gt;"",OR(Simulations!$BD61&lt;&gt;"",N(Simulations!$BF61)&gt;0))),0,MAX(N(Simulations!$BG61),N(Simulations!$BH61),N(Simulations!$BI61))/IF(Simulations!$J61="",1000,Simulations!$J61))</f>
        <v>0</v>
      </c>
      <c r="L61" s="0" t="n">
        <f aca="false">IF(OR(NOT(AND(Simulations!$A61&lt;&gt;"",OR(Simulations!$BD61&lt;&gt;"",N(Simulations!$BF61)&gt;0))),N(Simulations!$BE61)&lt;=0),0,SQRT(2*Simulations!$BE61*1000000/(IF(Simulations!$J61="",1000,Simulations!$J61)*1000))/MIN(IF(Simulations!$T61="",200,Simulations!$T61),IF(Simulations!$U61="",200,Simulations!$U61),IF(Simulations!$V61="",200,Simulations!$V61)))</f>
        <v>0</v>
      </c>
      <c r="M61" s="0" t="n">
        <f aca="false">IF(AND(Simulations!$A61&lt;&gt;"",OR(Simulations!$BD61&lt;&gt;"",N(Simulations!$BF61)&gt;0)),1,0)</f>
        <v>0</v>
      </c>
      <c r="N61" s="0" t="n">
        <f aca="false">IF(OR(NOT(AND(Simulations!$A61&lt;&gt;"",OR(Simulations!$BV61&lt;&gt;"",N(Simulations!$BX61)&gt;0))),N(Simulations!$BY61)&lt;=0,N(Simulations!$BX61)&lt;=0,1&gt;N(IF(Simulations!$O61="",1,Simulations!$O61))),0,IF(Simulations!$BY61&lt;IF(Simulations!$J61="",1000,Simulations!$J61),Simulations!$BX61/(IF(Simulations!$G61="",5000,Simulations!$G61)*IF(Simulations!$H61="",5000,Simulations!$H61)*IF(IF(Simulations!$I61="",5000,Simulations!$I61)&gt;0,IF(Simulations!$I61="",5000,Simulations!$I61),1))*Simulations!$BY61*(PI()/2*IF(Simulations!$T61="",200,Simulations!$T61)^2*IF(IF(Simulations!$I61="",5000,Simulations!$I61)&gt;0,SQRT(PI()/2)*IF(Simulations!$W61="",1000,Simulations!$W61),1)),Simulations!$BX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T61="",200,Simulations!$T61)^2*IF(Simulations!$W61="",1000,Simulations!$W61)/2^1.5*(2/3*LN(Simulations!$BY61/IF(Simulations!$J61="",1000,Simulations!$J61))^1.5+SQRT(LN(Simulations!$BY61/IF(Simulations!$J61="",1000,Simulations!$J61)))+Simulations!$BY61/IF(Simulations!$J61="",1000,Simulations!$J61)*SQRT(PI())/2*ERFC(SQRT(LN(Simulations!$BY61/IF(Simulations!$J61="",1000,Simulations!$J61))))),PI()*IF(Simulations!$T61="",200,Simulations!$T61)^2/2*(LN(Simulations!$BY61/IF(Simulations!$J61="",1000,Simulations!$J61))+1))))</f>
        <v>0</v>
      </c>
      <c r="O61" s="0" t="n">
        <f aca="false">IF(OR(NOT(AND(Simulations!$A61&lt;&gt;"",OR(Simulations!$BV61&lt;&gt;"",N(Simulations!$BX61)&gt;0))),N(Simulations!$BZ61)&lt;=0,N(Simulations!$BX61)&lt;=0,2&gt;N(IF(Simulations!$O61="",1,Simulations!$O61))),0,IF(Simulations!$BZ61&lt;IF(Simulations!$J61="",1000,Simulations!$J61),Simulations!$BX61/(IF(Simulations!$G61="",5000,Simulations!$G61)*IF(Simulations!$H61="",5000,Simulations!$H61)*IF(IF(Simulations!$I61="",5000,Simulations!$I61)&gt;0,IF(Simulations!$I61="",5000,Simulations!$I61),1))*Simulations!$BZ61*(PI()/2*IF(Simulations!$U61="",200,Simulations!$U61)^2*IF(IF(Simulations!$I61="",5000,Simulations!$I61)&gt;0,SQRT(PI()/2)*IF(Simulations!$X61="",1000,Simulations!$X61),1)),Simulations!$BX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U61="",200,Simulations!$U61)^2*IF(Simulations!$X61="",1000,Simulations!$X61)/2^1.5*(2/3*LN(Simulations!$BZ61/IF(Simulations!$J61="",1000,Simulations!$J61))^1.5+SQRT(LN(Simulations!$BZ61/IF(Simulations!$J61="",1000,Simulations!$J61)))+Simulations!$BZ61/IF(Simulations!$J61="",1000,Simulations!$J61)*SQRT(PI())/2*ERFC(SQRT(LN(Simulations!$BZ61/IF(Simulations!$J61="",1000,Simulations!$J61))))),PI()*IF(Simulations!$U61="",200,Simulations!$U61)^2/2*(LN(Simulations!$BZ61/IF(Simulations!$J61="",1000,Simulations!$J61))+1))))</f>
        <v>0</v>
      </c>
      <c r="P61" s="0" t="n">
        <f aca="false">IF(OR(NOT(AND(Simulations!$A61&lt;&gt;"",OR(Simulations!$BV61&lt;&gt;"",N(Simulations!$BX61)&gt;0))),N(Simulations!$CA61)&lt;=0,N(Simulations!$BX61)&lt;=0,3&gt;N(IF(Simulations!$O61="",1,Simulations!$O61))),0,IF(Simulations!$CA61&lt;IF(Simulations!$J61="",1000,Simulations!$J61),Simulations!$BX61/(IF(Simulations!$G61="",5000,Simulations!$G61)*IF(Simulations!$H61="",5000,Simulations!$H61)*IF(IF(Simulations!$I61="",5000,Simulations!$I61)&gt;0,IF(Simulations!$I61="",5000,Simulations!$I61),1))*Simulations!$CA61*(PI()/2*IF(Simulations!$V61="",200,Simulations!$V61)^2*IF(IF(Simulations!$I61="",5000,Simulations!$I61)&gt;0,SQRT(PI()/2)*IF(Simulations!$Y61="",1000,Simulations!$Y61),1)),Simulations!$BX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V61="",200,Simulations!$V61)^2*IF(Simulations!$Y61="",1000,Simulations!$Y61)/2^1.5*(2/3*LN(Simulations!$CA61/IF(Simulations!$J61="",1000,Simulations!$J61))^1.5+SQRT(LN(Simulations!$CA61/IF(Simulations!$J61="",1000,Simulations!$J61)))+Simulations!$CA61/IF(Simulations!$J61="",1000,Simulations!$J61)*SQRT(PI())/2*ERFC(SQRT(LN(Simulations!$CA61/IF(Simulations!$J61="",1000,Simulations!$J61))))),PI()*IF(Simulations!$V61="",200,Simulations!$V61)^2/2*(LN(Simulations!$CA61/IF(Simulations!$J61="",1000,Simulations!$J61))+1))))</f>
        <v>0</v>
      </c>
      <c r="Q61" s="0" t="n">
        <f aca="false">IF(NOT(AND(Simulations!$A61&lt;&gt;"",OR(Simulations!$BV61&lt;&gt;"",N(Simulations!$BX61)&gt;0))),0,MAX(N(Simulations!$BY61),N(Simulations!$BZ61),N(Simulations!$CA61))/IF(Simulations!$J61="",1000,Simulations!$J61))</f>
        <v>0</v>
      </c>
      <c r="R61" s="0" t="n">
        <f aca="false">IF(OR(NOT(AND(Simulations!$A61&lt;&gt;"",OR(Simulations!$BV61&lt;&gt;"",N(Simulations!$BX61)&gt;0))),N(Simulations!$BW61)&lt;=0),0,SQRT(2*Simulations!$BW61*1000000/(IF(Simulations!$J61="",1000,Simulations!$J61)*1000))/MIN(IF(Simulations!$T61="",200,Simulations!$T61),IF(Simulations!$U61="",200,Simulations!$U61),IF(Simulations!$V61="",200,Simulations!$V61)))</f>
        <v>0</v>
      </c>
      <c r="S61" s="0" t="n">
        <f aca="false">IF(AND(Simulations!$A61&lt;&gt;"",OR(Simulations!$BV61&lt;&gt;"",N(Simulations!$BX61)&gt;0)),1,0)</f>
        <v>0</v>
      </c>
      <c r="T61" s="0" t="n">
        <f aca="false">IF(OR(NOT(AND(Simulations!$A61&lt;&gt;"",OR(Simulations!$CN61&lt;&gt;"",N(Simulations!$CP61)&gt;0))),N(Simulations!$CQ61)&lt;=0,N(Simulations!$CP61)&lt;=0,1&gt;N(IF(Simulations!$O61="",1,Simulations!$O61))),0,IF(Simulations!$CQ61&lt;IF(Simulations!$J61="",1000,Simulations!$J61),Simulations!$CP61/(IF(Simulations!$G61="",5000,Simulations!$G61)*IF(Simulations!$H61="",5000,Simulations!$H61)*IF(IF(Simulations!$I61="",5000,Simulations!$I61)&gt;0,IF(Simulations!$I61="",5000,Simulations!$I61),1))*Simulations!$CQ61*(PI()/2*IF(Simulations!$T61="",200,Simulations!$T61)^2*IF(IF(Simulations!$I61="",5000,Simulations!$I61)&gt;0,SQRT(PI()/2)*IF(Simulations!$W61="",1000,Simulations!$W61),1)),Simulations!$CP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T61="",200,Simulations!$T61)^2*IF(Simulations!$W61="",1000,Simulations!$W61)/2^1.5*(2/3*LN(Simulations!$CQ61/IF(Simulations!$J61="",1000,Simulations!$J61))^1.5+SQRT(LN(Simulations!$CQ61/IF(Simulations!$J61="",1000,Simulations!$J61)))+Simulations!$CQ61/IF(Simulations!$J61="",1000,Simulations!$J61)*SQRT(PI())/2*ERFC(SQRT(LN(Simulations!$CQ61/IF(Simulations!$J61="",1000,Simulations!$J61))))),PI()*IF(Simulations!$T61="",200,Simulations!$T61)^2/2*(LN(Simulations!$CQ61/IF(Simulations!$J61="",1000,Simulations!$J61))+1))))</f>
        <v>0</v>
      </c>
      <c r="U61" s="0" t="n">
        <f aca="false">IF(OR(NOT(AND(Simulations!$A61&lt;&gt;"",OR(Simulations!$CN61&lt;&gt;"",N(Simulations!$CP61)&gt;0))),N(Simulations!$CR61)&lt;=0,N(Simulations!$CP61)&lt;=0,2&gt;N(IF(Simulations!$O61="",1,Simulations!$O61))),0,IF(Simulations!$CR61&lt;IF(Simulations!$J61="",1000,Simulations!$J61),Simulations!$CP61/(IF(Simulations!$G61="",5000,Simulations!$G61)*IF(Simulations!$H61="",5000,Simulations!$H61)*IF(IF(Simulations!$I61="",5000,Simulations!$I61)&gt;0,IF(Simulations!$I61="",5000,Simulations!$I61),1))*Simulations!$CR61*(PI()/2*IF(Simulations!$U61="",200,Simulations!$U61)^2*IF(IF(Simulations!$I61="",5000,Simulations!$I61)&gt;0,SQRT(PI()/2)*IF(Simulations!$X61="",1000,Simulations!$X61),1)),Simulations!$CP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U61="",200,Simulations!$U61)^2*IF(Simulations!$X61="",1000,Simulations!$X61)/2^1.5*(2/3*LN(Simulations!$CR61/IF(Simulations!$J61="",1000,Simulations!$J61))^1.5+SQRT(LN(Simulations!$CR61/IF(Simulations!$J61="",1000,Simulations!$J61)))+Simulations!$CR61/IF(Simulations!$J61="",1000,Simulations!$J61)*SQRT(PI())/2*ERFC(SQRT(LN(Simulations!$CR61/IF(Simulations!$J61="",1000,Simulations!$J61))))),PI()*IF(Simulations!$U61="",200,Simulations!$U61)^2/2*(LN(Simulations!$CR61/IF(Simulations!$J61="",1000,Simulations!$J61))+1))))</f>
        <v>0</v>
      </c>
      <c r="V61" s="0" t="n">
        <f aca="false">IF(OR(NOT(AND(Simulations!$A61&lt;&gt;"",OR(Simulations!$CN61&lt;&gt;"",N(Simulations!$CP61)&gt;0))),N(Simulations!$CS61)&lt;=0,N(Simulations!$CP61)&lt;=0,3&gt;N(IF(Simulations!$O61="",1,Simulations!$O61))),0,IF(Simulations!$CS61&lt;IF(Simulations!$J61="",1000,Simulations!$J61),Simulations!$CP61/(IF(Simulations!$G61="",5000,Simulations!$G61)*IF(Simulations!$H61="",5000,Simulations!$H61)*IF(IF(Simulations!$I61="",5000,Simulations!$I61)&gt;0,IF(Simulations!$I61="",5000,Simulations!$I61),1))*Simulations!$CS61*(PI()/2*IF(Simulations!$V61="",200,Simulations!$V61)^2*IF(IF(Simulations!$I61="",5000,Simulations!$I61)&gt;0,SQRT(PI()/2)*IF(Simulations!$Y61="",1000,Simulations!$Y61),1)),Simulations!$CP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V61="",200,Simulations!$V61)^2*IF(Simulations!$Y61="",1000,Simulations!$Y61)/2^1.5*(2/3*LN(Simulations!$CS61/IF(Simulations!$J61="",1000,Simulations!$J61))^1.5+SQRT(LN(Simulations!$CS61/IF(Simulations!$J61="",1000,Simulations!$J61)))+Simulations!$CS61/IF(Simulations!$J61="",1000,Simulations!$J61)*SQRT(PI())/2*ERFC(SQRT(LN(Simulations!$CS61/IF(Simulations!$J61="",1000,Simulations!$J61))))),PI()*IF(Simulations!$V61="",200,Simulations!$V61)^2/2*(LN(Simulations!$CS61/IF(Simulations!$J61="",1000,Simulations!$J61))+1))))</f>
        <v>0</v>
      </c>
      <c r="W61" s="0" t="n">
        <f aca="false">IF(NOT(AND(Simulations!$A61&lt;&gt;"",OR(Simulations!$CN61&lt;&gt;"",N(Simulations!$CP61)&gt;0))),0,MAX(N(Simulations!$CQ61),N(Simulations!$CR61),N(Simulations!$CS61))/IF(Simulations!$J61="",1000,Simulations!$J61))</f>
        <v>0</v>
      </c>
      <c r="X61" s="0" t="n">
        <f aca="false">IF(OR(NOT(AND(Simulations!$A61&lt;&gt;"",OR(Simulations!$CN61&lt;&gt;"",N(Simulations!$CP61)&gt;0))),N(Simulations!$CO61)&lt;=0),0,SQRT(2*Simulations!$CO61*1000000/(IF(Simulations!$J61="",1000,Simulations!$J61)*1000))/MIN(IF(Simulations!$T61="",200,Simulations!$T61),IF(Simulations!$U61="",200,Simulations!$U61),IF(Simulations!$V61="",200,Simulations!$V61)))</f>
        <v>0</v>
      </c>
      <c r="Y61" s="0" t="n">
        <f aca="false">IF(AND(Simulations!$A61&lt;&gt;"",OR(Simulations!$CN61&lt;&gt;"",N(Simulations!$CP61)&gt;0)),1,0)</f>
        <v>0</v>
      </c>
      <c r="Z61" s="0" t="n">
        <f aca="false">IF(OR(NOT(AND(Simulations!$A61&lt;&gt;"",OR(Simulations!$DF61&lt;&gt;"",N(Simulations!$DH61)&gt;0))),N(Simulations!$DI61)&lt;=0,N(Simulations!$DH61)&lt;=0,1&gt;N(IF(Simulations!$O61="",1,Simulations!$O61))),0,IF(Simulations!$DI61&lt;IF(Simulations!$J61="",1000,Simulations!$J61),Simulations!$DH61/(IF(Simulations!$G61="",5000,Simulations!$G61)*IF(Simulations!$H61="",5000,Simulations!$H61)*IF(IF(Simulations!$I61="",5000,Simulations!$I61)&gt;0,IF(Simulations!$I61="",5000,Simulations!$I61),1))*Simulations!$DI61*(PI()/2*IF(Simulations!$T61="",200,Simulations!$T61)^2*IF(IF(Simulations!$I61="",5000,Simulations!$I61)&gt;0,SQRT(PI()/2)*IF(Simulations!$W61="",1000,Simulations!$W61),1)),Simulations!$DH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T61="",200,Simulations!$T61)^2*IF(Simulations!$W61="",1000,Simulations!$W61)/2^1.5*(2/3*LN(Simulations!$DI61/IF(Simulations!$J61="",1000,Simulations!$J61))^1.5+SQRT(LN(Simulations!$DI61/IF(Simulations!$J61="",1000,Simulations!$J61)))+Simulations!$DI61/IF(Simulations!$J61="",1000,Simulations!$J61)*SQRT(PI())/2*ERFC(SQRT(LN(Simulations!$DI61/IF(Simulations!$J61="",1000,Simulations!$J61))))),PI()*IF(Simulations!$T61="",200,Simulations!$T61)^2/2*(LN(Simulations!$DI61/IF(Simulations!$J61="",1000,Simulations!$J61))+1))))</f>
        <v>0</v>
      </c>
      <c r="AA61" s="0" t="n">
        <f aca="false">IF(OR(NOT(AND(Simulations!$A61&lt;&gt;"",OR(Simulations!$DF61&lt;&gt;"",N(Simulations!$DH61)&gt;0))),N(Simulations!$DJ61)&lt;=0,N(Simulations!$DH61)&lt;=0,2&gt;N(IF(Simulations!$O61="",1,Simulations!$O61))),0,IF(Simulations!$DJ61&lt;IF(Simulations!$J61="",1000,Simulations!$J61),Simulations!$DH61/(IF(Simulations!$G61="",5000,Simulations!$G61)*IF(Simulations!$H61="",5000,Simulations!$H61)*IF(IF(Simulations!$I61="",5000,Simulations!$I61)&gt;0,IF(Simulations!$I61="",5000,Simulations!$I61),1))*Simulations!$DJ61*(PI()/2*IF(Simulations!$U61="",200,Simulations!$U61)^2*IF(IF(Simulations!$I61="",5000,Simulations!$I61)&gt;0,SQRT(PI()/2)*IF(Simulations!$X61="",1000,Simulations!$X61),1)),Simulations!$DH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U61="",200,Simulations!$U61)^2*IF(Simulations!$X61="",1000,Simulations!$X61)/2^1.5*(2/3*LN(Simulations!$DJ61/IF(Simulations!$J61="",1000,Simulations!$J61))^1.5+SQRT(LN(Simulations!$DJ61/IF(Simulations!$J61="",1000,Simulations!$J61)))+Simulations!$DJ61/IF(Simulations!$J61="",1000,Simulations!$J61)*SQRT(PI())/2*ERFC(SQRT(LN(Simulations!$DJ61/IF(Simulations!$J61="",1000,Simulations!$J61))))),PI()*IF(Simulations!$U61="",200,Simulations!$U61)^2/2*(LN(Simulations!$DJ61/IF(Simulations!$J61="",1000,Simulations!$J61))+1))))</f>
        <v>0</v>
      </c>
      <c r="AB61" s="0" t="n">
        <f aca="false">IF(OR(NOT(AND(Simulations!$A61&lt;&gt;"",OR(Simulations!$DF61&lt;&gt;"",N(Simulations!$DH61)&gt;0))),N(Simulations!$DK61)&lt;=0,N(Simulations!$DH61)&lt;=0,3&gt;N(IF(Simulations!$O61="",1,Simulations!$O61))),0,IF(Simulations!$DK61&lt;IF(Simulations!$J61="",1000,Simulations!$J61),Simulations!$DH61/(IF(Simulations!$G61="",5000,Simulations!$G61)*IF(Simulations!$H61="",5000,Simulations!$H61)*IF(IF(Simulations!$I61="",5000,Simulations!$I61)&gt;0,IF(Simulations!$I61="",5000,Simulations!$I61),1))*Simulations!$DK61*(PI()/2*IF(Simulations!$V61="",200,Simulations!$V61)^2*IF(IF(Simulations!$I61="",5000,Simulations!$I61)&gt;0,SQRT(PI()/2)*IF(Simulations!$Y61="",1000,Simulations!$Y61),1)),Simulations!$DH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V61="",200,Simulations!$V61)^2*IF(Simulations!$Y61="",1000,Simulations!$Y61)/2^1.5*(2/3*LN(Simulations!$DK61/IF(Simulations!$J61="",1000,Simulations!$J61))^1.5+SQRT(LN(Simulations!$DK61/IF(Simulations!$J61="",1000,Simulations!$J61)))+Simulations!$DK61/IF(Simulations!$J61="",1000,Simulations!$J61)*SQRT(PI())/2*ERFC(SQRT(LN(Simulations!$DK61/IF(Simulations!$J61="",1000,Simulations!$J61))))),PI()*IF(Simulations!$V61="",200,Simulations!$V61)^2/2*(LN(Simulations!$DK61/IF(Simulations!$J61="",1000,Simulations!$J61))+1))))</f>
        <v>0</v>
      </c>
      <c r="AC61" s="0" t="n">
        <f aca="false">IF(NOT(AND(Simulations!$A61&lt;&gt;"",OR(Simulations!$DF61&lt;&gt;"",N(Simulations!$DH61)&gt;0))),0,MAX(N(Simulations!$DI61),N(Simulations!$DJ61),N(Simulations!$DK61))/IF(Simulations!$J61="",1000,Simulations!$J61))</f>
        <v>0</v>
      </c>
      <c r="AD61" s="0" t="n">
        <f aca="false">IF(OR(NOT(AND(Simulations!$A61&lt;&gt;"",OR(Simulations!$DF61&lt;&gt;"",N(Simulations!$DH61)&gt;0))),N(Simulations!$DG61)&lt;=0),0,SQRT(2*Simulations!$DG61*1000000/(IF(Simulations!$J61="",1000,Simulations!$J61)*1000))/MIN(IF(Simulations!$T61="",200,Simulations!$T61),IF(Simulations!$U61="",200,Simulations!$U61),IF(Simulations!$V61="",200,Simulations!$V61)))</f>
        <v>0</v>
      </c>
      <c r="AE61" s="0" t="n">
        <f aca="false">IF(AND(Simulations!$A61&lt;&gt;"",OR(Simulations!$DF61&lt;&gt;"",N(Simulations!$DH61)&gt;0)),1,0)</f>
        <v>0</v>
      </c>
      <c r="AF61" s="0" t="n">
        <f aca="false">IF(OR(NOT(AND(Simulations!$A61&lt;&gt;"",OR(Simulations!$DX61&lt;&gt;"",N(Simulations!$DZ61)&gt;0))),N(Simulations!$EA61)&lt;=0,N(Simulations!$DZ61)&lt;=0,1&gt;N(IF(Simulations!$O61="",1,Simulations!$O61))),0,IF(Simulations!$EA61&lt;IF(Simulations!$J61="",1000,Simulations!$J61),Simulations!$DZ61/(IF(Simulations!$G61="",5000,Simulations!$G61)*IF(Simulations!$H61="",5000,Simulations!$H61)*IF(IF(Simulations!$I61="",5000,Simulations!$I61)&gt;0,IF(Simulations!$I61="",5000,Simulations!$I61),1))*Simulations!$EA61*(PI()/2*IF(Simulations!$T61="",200,Simulations!$T61)^2*IF(IF(Simulations!$I61="",5000,Simulations!$I61)&gt;0,SQRT(PI()/2)*IF(Simulations!$W61="",1000,Simulations!$W61),1)),Simulations!$DZ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T61="",200,Simulations!$T61)^2*IF(Simulations!$W61="",1000,Simulations!$W61)/2^1.5*(2/3*LN(Simulations!$EA61/IF(Simulations!$J61="",1000,Simulations!$J61))^1.5+SQRT(LN(Simulations!$EA61/IF(Simulations!$J61="",1000,Simulations!$J61)))+Simulations!$EA61/IF(Simulations!$J61="",1000,Simulations!$J61)*SQRT(PI())/2*ERFC(SQRT(LN(Simulations!$EA61/IF(Simulations!$J61="",1000,Simulations!$J61))))),PI()*IF(Simulations!$T61="",200,Simulations!$T61)^2/2*(LN(Simulations!$EA61/IF(Simulations!$J61="",1000,Simulations!$J61))+1))))</f>
        <v>0</v>
      </c>
      <c r="AG61" s="0" t="n">
        <f aca="false">IF(OR(NOT(AND(Simulations!$A61&lt;&gt;"",OR(Simulations!$DX61&lt;&gt;"",N(Simulations!$DZ61)&gt;0))),N(Simulations!$EB61)&lt;=0,N(Simulations!$DZ61)&lt;=0,2&gt;N(IF(Simulations!$O61="",1,Simulations!$O61))),0,IF(Simulations!$EB61&lt;IF(Simulations!$J61="",1000,Simulations!$J61),Simulations!$DZ61/(IF(Simulations!$G61="",5000,Simulations!$G61)*IF(Simulations!$H61="",5000,Simulations!$H61)*IF(IF(Simulations!$I61="",5000,Simulations!$I61)&gt;0,IF(Simulations!$I61="",5000,Simulations!$I61),1))*Simulations!$EB61*(PI()/2*IF(Simulations!$U61="",200,Simulations!$U61)^2*IF(IF(Simulations!$I61="",5000,Simulations!$I61)&gt;0,SQRT(PI()/2)*IF(Simulations!$X61="",1000,Simulations!$X61),1)),Simulations!$DZ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U61="",200,Simulations!$U61)^2*IF(Simulations!$X61="",1000,Simulations!$X61)/2^1.5*(2/3*LN(Simulations!$EB61/IF(Simulations!$J61="",1000,Simulations!$J61))^1.5+SQRT(LN(Simulations!$EB61/IF(Simulations!$J61="",1000,Simulations!$J61)))+Simulations!$EB61/IF(Simulations!$J61="",1000,Simulations!$J61)*SQRT(PI())/2*ERFC(SQRT(LN(Simulations!$EB61/IF(Simulations!$J61="",1000,Simulations!$J61))))),PI()*IF(Simulations!$U61="",200,Simulations!$U61)^2/2*(LN(Simulations!$EB61/IF(Simulations!$J61="",1000,Simulations!$J61))+1))))</f>
        <v>0</v>
      </c>
      <c r="AH61" s="0" t="n">
        <f aca="false">IF(OR(NOT(AND(Simulations!$A61&lt;&gt;"",OR(Simulations!$DX61&lt;&gt;"",N(Simulations!$DZ61)&gt;0))),N(Simulations!$EC61)&lt;=0,N(Simulations!$DZ61)&lt;=0,3&gt;N(IF(Simulations!$O61="",1,Simulations!$O61))),0,IF(Simulations!$EC61&lt;IF(Simulations!$J61="",1000,Simulations!$J61),Simulations!$DZ61/(IF(Simulations!$G61="",5000,Simulations!$G61)*IF(Simulations!$H61="",5000,Simulations!$H61)*IF(IF(Simulations!$I61="",5000,Simulations!$I61)&gt;0,IF(Simulations!$I61="",5000,Simulations!$I61),1))*Simulations!$EC61*(PI()/2*IF(Simulations!$V61="",200,Simulations!$V61)^2*IF(IF(Simulations!$I61="",5000,Simulations!$I61)&gt;0,SQRT(PI()/2)*IF(Simulations!$Y61="",1000,Simulations!$Y61),1)),Simulations!$DZ61/(IF(Simulations!$G61="",5000,Simulations!$G61)*IF(Simulations!$H61="",5000,Simulations!$H61)*IF(IF(Simulations!$I61="",5000,Simulations!$I61)&gt;0,IF(Simulations!$I61="",5000,Simulations!$I61),1))*IF(Simulations!$J61="",1000,Simulations!$J61)*IF(IF(Simulations!$I61="",5000,Simulations!$I61)&gt;0,2*PI()*IF(Simulations!$V61="",200,Simulations!$V61)^2*IF(Simulations!$Y61="",1000,Simulations!$Y61)/2^1.5*(2/3*LN(Simulations!$EC61/IF(Simulations!$J61="",1000,Simulations!$J61))^1.5+SQRT(LN(Simulations!$EC61/IF(Simulations!$J61="",1000,Simulations!$J61)))+Simulations!$EC61/IF(Simulations!$J61="",1000,Simulations!$J61)*SQRT(PI())/2*ERFC(SQRT(LN(Simulations!$EC61/IF(Simulations!$J61="",1000,Simulations!$J61))))),PI()*IF(Simulations!$V61="",200,Simulations!$V61)^2/2*(LN(Simulations!$EC61/IF(Simulations!$J61="",1000,Simulations!$J61))+1))))</f>
        <v>0</v>
      </c>
      <c r="AI61" s="0" t="n">
        <f aca="false">IF(NOT(AND(Simulations!$A61&lt;&gt;"",OR(Simulations!$DX61&lt;&gt;"",N(Simulations!$DZ61)&gt;0))),0,MAX(N(Simulations!$EA61),N(Simulations!$EB61),N(Simulations!$EC61))/IF(Simulations!$J61="",1000,Simulations!$J61))</f>
        <v>0</v>
      </c>
      <c r="AJ61" s="0" t="n">
        <f aca="false">IF(OR(NOT(AND(Simulations!$A61&lt;&gt;"",OR(Simulations!$DX61&lt;&gt;"",N(Simulations!$DZ61)&gt;0))),N(Simulations!$DY61)&lt;=0),0,SQRT(2*Simulations!$DY61*1000000/(IF(Simulations!$J61="",1000,Simulations!$J61)*1000))/MIN(IF(Simulations!$T61="",200,Simulations!$T61),IF(Simulations!$U61="",200,Simulations!$U61),IF(Simulations!$V61="",200,Simulations!$V61)))</f>
        <v>0</v>
      </c>
      <c r="AK61" s="0" t="n">
        <f aca="false">IF(AND(Simulations!$A61&lt;&gt;"",OR(Simulations!$DX61&lt;&gt;"",N(Simulations!$DZ61)&gt;0)),1,0)</f>
        <v>0</v>
      </c>
    </row>
    <row r="62" customFormat="false" ht="15" hidden="false" customHeight="false" outlineLevel="0" collapsed="false">
      <c r="B62" s="0" t="n">
        <f aca="false">IF(OR(NOT(AND(Simulations!$A62&lt;&gt;"",OR(Simulations!$AL62&lt;&gt;"",N(Simulations!$AN62)&gt;0))),N(Simulations!$AO62)&lt;=0,N(Simulations!$AN62)&lt;=0,1&gt;N(IF(Simulations!$O62="",1,Simulations!$O62))),0,IF(Simulations!$AO62&lt;IF(Simulations!$J62="",1000,Simulations!$J62),Simulations!$AN62/(IF(Simulations!$G62="",5000,Simulations!$G62)*IF(Simulations!$H62="",5000,Simulations!$H62)*IF(IF(Simulations!$I62="",5000,Simulations!$I62)&gt;0,IF(Simulations!$I62="",5000,Simulations!$I62),1))*Simulations!$AO62*(PI()/2*IF(Simulations!$T62="",200,Simulations!$T62)^2*IF(IF(Simulations!$I62="",5000,Simulations!$I62)&gt;0,SQRT(PI()/2)*IF(Simulations!$W62="",1000,Simulations!$W62),1)),Simulations!$AN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T62="",200,Simulations!$T62)^2*IF(Simulations!$W62="",1000,Simulations!$W62)/2^1.5*(2/3*LN(Simulations!$AO62/IF(Simulations!$J62="",1000,Simulations!$J62))^1.5+SQRT(LN(Simulations!$AO62/IF(Simulations!$J62="",1000,Simulations!$J62)))+Simulations!$AO62/IF(Simulations!$J62="",1000,Simulations!$J62)*SQRT(PI())/2*ERFC(SQRT(LN(Simulations!$AO62/IF(Simulations!$J62="",1000,Simulations!$J62))))),PI()*IF(Simulations!$T62="",200,Simulations!$T62)^2/2*(LN(Simulations!$AO62/IF(Simulations!$J62="",1000,Simulations!$J62))+1))))</f>
        <v>0</v>
      </c>
      <c r="C62" s="0" t="n">
        <f aca="false">IF(OR(NOT(AND(Simulations!$A62&lt;&gt;"",OR(Simulations!$AL62&lt;&gt;"",N(Simulations!$AN62)&gt;0))),N(Simulations!$AP62)&lt;=0,N(Simulations!$AN62)&lt;=0,2&gt;N(IF(Simulations!$O62="",1,Simulations!$O62))),0,IF(Simulations!$AP62&lt;IF(Simulations!$J62="",1000,Simulations!$J62),Simulations!$AN62/(IF(Simulations!$G62="",5000,Simulations!$G62)*IF(Simulations!$H62="",5000,Simulations!$H62)*IF(IF(Simulations!$I62="",5000,Simulations!$I62)&gt;0,IF(Simulations!$I62="",5000,Simulations!$I62),1))*Simulations!$AP62*(PI()/2*IF(Simulations!$U62="",200,Simulations!$U62)^2*IF(IF(Simulations!$I62="",5000,Simulations!$I62)&gt;0,SQRT(PI()/2)*IF(Simulations!$X62="",1000,Simulations!$X62),1)),Simulations!$AN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U62="",200,Simulations!$U62)^2*IF(Simulations!$X62="",1000,Simulations!$X62)/2^1.5*(2/3*LN(Simulations!$AP62/IF(Simulations!$J62="",1000,Simulations!$J62))^1.5+SQRT(LN(Simulations!$AP62/IF(Simulations!$J62="",1000,Simulations!$J62)))+Simulations!$AP62/IF(Simulations!$J62="",1000,Simulations!$J62)*SQRT(PI())/2*ERFC(SQRT(LN(Simulations!$AP62/IF(Simulations!$J62="",1000,Simulations!$J62))))),PI()*IF(Simulations!$U62="",200,Simulations!$U62)^2/2*(LN(Simulations!$AP62/IF(Simulations!$J62="",1000,Simulations!$J62))+1))))</f>
        <v>0</v>
      </c>
      <c r="D62" s="0" t="n">
        <f aca="false">IF(OR(NOT(AND(Simulations!$A62&lt;&gt;"",OR(Simulations!$AL62&lt;&gt;"",N(Simulations!$AN62)&gt;0))),N(Simulations!$AQ62)&lt;=0,N(Simulations!$AN62)&lt;=0,3&gt;N(IF(Simulations!$O62="",1,Simulations!$O62))),0,IF(Simulations!$AQ62&lt;IF(Simulations!$J62="",1000,Simulations!$J62),Simulations!$AN62/(IF(Simulations!$G62="",5000,Simulations!$G62)*IF(Simulations!$H62="",5000,Simulations!$H62)*IF(IF(Simulations!$I62="",5000,Simulations!$I62)&gt;0,IF(Simulations!$I62="",5000,Simulations!$I62),1))*Simulations!$AQ62*(PI()/2*IF(Simulations!$V62="",200,Simulations!$V62)^2*IF(IF(Simulations!$I62="",5000,Simulations!$I62)&gt;0,SQRT(PI()/2)*IF(Simulations!$Y62="",1000,Simulations!$Y62),1)),Simulations!$AN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V62="",200,Simulations!$V62)^2*IF(Simulations!$Y62="",1000,Simulations!$Y62)/2^1.5*(2/3*LN(Simulations!$AQ62/IF(Simulations!$J62="",1000,Simulations!$J62))^1.5+SQRT(LN(Simulations!$AQ62/IF(Simulations!$J62="",1000,Simulations!$J62)))+Simulations!$AQ62/IF(Simulations!$J62="",1000,Simulations!$J62)*SQRT(PI())/2*ERFC(SQRT(LN(Simulations!$AQ62/IF(Simulations!$J62="",1000,Simulations!$J62))))),PI()*IF(Simulations!$V62="",200,Simulations!$V62)^2/2*(LN(Simulations!$AQ62/IF(Simulations!$J62="",1000,Simulations!$J62))+1))))</f>
        <v>0</v>
      </c>
      <c r="E62" s="0" t="n">
        <f aca="false">IF(NOT(AND(Simulations!$A62&lt;&gt;"",OR(Simulations!$AL62&lt;&gt;"",N(Simulations!$AN62)&gt;0))),0,MAX(N(Simulations!$AO62),N(Simulations!$AP62),N(Simulations!$AQ62))/IF(Simulations!$J62="",1000,Simulations!$J62))</f>
        <v>0</v>
      </c>
      <c r="F62" s="0" t="n">
        <f aca="false">IF(OR(NOT(AND(Simulations!$A62&lt;&gt;"",OR(Simulations!$AL62&lt;&gt;"",N(Simulations!$AN62)&gt;0))),N(Simulations!$AM62)&lt;=0),0,SQRT(2*Simulations!$AM62*1000000/(IF(Simulations!$J62="",1000,Simulations!$J62)*1000))/MIN(IF(Simulations!$T62="",200,Simulations!$T62),IF(Simulations!$U62="",200,Simulations!$U62),IF(Simulations!$V62="",200,Simulations!$V62)))</f>
        <v>0</v>
      </c>
      <c r="G62" s="0" t="n">
        <f aca="false">IF(AND(Simulations!$A62&lt;&gt;"",OR(Simulations!$AL62&lt;&gt;"",N(Simulations!$AN62)&gt;0)),1,0)</f>
        <v>0</v>
      </c>
      <c r="H62" s="0" t="n">
        <f aca="false">IF(OR(NOT(AND(Simulations!$A62&lt;&gt;"",OR(Simulations!$BD62&lt;&gt;"",N(Simulations!$BF62)&gt;0))),N(Simulations!$BG62)&lt;=0,N(Simulations!$BF62)&lt;=0,1&gt;N(IF(Simulations!$O62="",1,Simulations!$O62))),0,IF(Simulations!$BG62&lt;IF(Simulations!$J62="",1000,Simulations!$J62),Simulations!$BF62/(IF(Simulations!$G62="",5000,Simulations!$G62)*IF(Simulations!$H62="",5000,Simulations!$H62)*IF(IF(Simulations!$I62="",5000,Simulations!$I62)&gt;0,IF(Simulations!$I62="",5000,Simulations!$I62),1))*Simulations!$BG62*(PI()/2*IF(Simulations!$T62="",200,Simulations!$T62)^2*IF(IF(Simulations!$I62="",5000,Simulations!$I62)&gt;0,SQRT(PI()/2)*IF(Simulations!$W62="",1000,Simulations!$W62),1)),Simulations!$BF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T62="",200,Simulations!$T62)^2*IF(Simulations!$W62="",1000,Simulations!$W62)/2^1.5*(2/3*LN(Simulations!$BG62/IF(Simulations!$J62="",1000,Simulations!$J62))^1.5+SQRT(LN(Simulations!$BG62/IF(Simulations!$J62="",1000,Simulations!$J62)))+Simulations!$BG62/IF(Simulations!$J62="",1000,Simulations!$J62)*SQRT(PI())/2*ERFC(SQRT(LN(Simulations!$BG62/IF(Simulations!$J62="",1000,Simulations!$J62))))),PI()*IF(Simulations!$T62="",200,Simulations!$T62)^2/2*(LN(Simulations!$BG62/IF(Simulations!$J62="",1000,Simulations!$J62))+1))))</f>
        <v>0</v>
      </c>
      <c r="I62" s="0" t="n">
        <f aca="false">IF(OR(NOT(AND(Simulations!$A62&lt;&gt;"",OR(Simulations!$BD62&lt;&gt;"",N(Simulations!$BF62)&gt;0))),N(Simulations!$BH62)&lt;=0,N(Simulations!$BF62)&lt;=0,2&gt;N(IF(Simulations!$O62="",1,Simulations!$O62))),0,IF(Simulations!$BH62&lt;IF(Simulations!$J62="",1000,Simulations!$J62),Simulations!$BF62/(IF(Simulations!$G62="",5000,Simulations!$G62)*IF(Simulations!$H62="",5000,Simulations!$H62)*IF(IF(Simulations!$I62="",5000,Simulations!$I62)&gt;0,IF(Simulations!$I62="",5000,Simulations!$I62),1))*Simulations!$BH62*(PI()/2*IF(Simulations!$U62="",200,Simulations!$U62)^2*IF(IF(Simulations!$I62="",5000,Simulations!$I62)&gt;0,SQRT(PI()/2)*IF(Simulations!$X62="",1000,Simulations!$X62),1)),Simulations!$BF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U62="",200,Simulations!$U62)^2*IF(Simulations!$X62="",1000,Simulations!$X62)/2^1.5*(2/3*LN(Simulations!$BH62/IF(Simulations!$J62="",1000,Simulations!$J62))^1.5+SQRT(LN(Simulations!$BH62/IF(Simulations!$J62="",1000,Simulations!$J62)))+Simulations!$BH62/IF(Simulations!$J62="",1000,Simulations!$J62)*SQRT(PI())/2*ERFC(SQRT(LN(Simulations!$BH62/IF(Simulations!$J62="",1000,Simulations!$J62))))),PI()*IF(Simulations!$U62="",200,Simulations!$U62)^2/2*(LN(Simulations!$BH62/IF(Simulations!$J62="",1000,Simulations!$J62))+1))))</f>
        <v>0</v>
      </c>
      <c r="J62" s="0" t="n">
        <f aca="false">IF(OR(NOT(AND(Simulations!$A62&lt;&gt;"",OR(Simulations!$BD62&lt;&gt;"",N(Simulations!$BF62)&gt;0))),N(Simulations!$BI62)&lt;=0,N(Simulations!$BF62)&lt;=0,3&gt;N(IF(Simulations!$O62="",1,Simulations!$O62))),0,IF(Simulations!$BI62&lt;IF(Simulations!$J62="",1000,Simulations!$J62),Simulations!$BF62/(IF(Simulations!$G62="",5000,Simulations!$G62)*IF(Simulations!$H62="",5000,Simulations!$H62)*IF(IF(Simulations!$I62="",5000,Simulations!$I62)&gt;0,IF(Simulations!$I62="",5000,Simulations!$I62),1))*Simulations!$BI62*(PI()/2*IF(Simulations!$V62="",200,Simulations!$V62)^2*IF(IF(Simulations!$I62="",5000,Simulations!$I62)&gt;0,SQRT(PI()/2)*IF(Simulations!$Y62="",1000,Simulations!$Y62),1)),Simulations!$BF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V62="",200,Simulations!$V62)^2*IF(Simulations!$Y62="",1000,Simulations!$Y62)/2^1.5*(2/3*LN(Simulations!$BI62/IF(Simulations!$J62="",1000,Simulations!$J62))^1.5+SQRT(LN(Simulations!$BI62/IF(Simulations!$J62="",1000,Simulations!$J62)))+Simulations!$BI62/IF(Simulations!$J62="",1000,Simulations!$J62)*SQRT(PI())/2*ERFC(SQRT(LN(Simulations!$BI62/IF(Simulations!$J62="",1000,Simulations!$J62))))),PI()*IF(Simulations!$V62="",200,Simulations!$V62)^2/2*(LN(Simulations!$BI62/IF(Simulations!$J62="",1000,Simulations!$J62))+1))))</f>
        <v>0</v>
      </c>
      <c r="K62" s="0" t="n">
        <f aca="false">IF(NOT(AND(Simulations!$A62&lt;&gt;"",OR(Simulations!$BD62&lt;&gt;"",N(Simulations!$BF62)&gt;0))),0,MAX(N(Simulations!$BG62),N(Simulations!$BH62),N(Simulations!$BI62))/IF(Simulations!$J62="",1000,Simulations!$J62))</f>
        <v>0</v>
      </c>
      <c r="L62" s="0" t="n">
        <f aca="false">IF(OR(NOT(AND(Simulations!$A62&lt;&gt;"",OR(Simulations!$BD62&lt;&gt;"",N(Simulations!$BF62)&gt;0))),N(Simulations!$BE62)&lt;=0),0,SQRT(2*Simulations!$BE62*1000000/(IF(Simulations!$J62="",1000,Simulations!$J62)*1000))/MIN(IF(Simulations!$T62="",200,Simulations!$T62),IF(Simulations!$U62="",200,Simulations!$U62),IF(Simulations!$V62="",200,Simulations!$V62)))</f>
        <v>0</v>
      </c>
      <c r="M62" s="0" t="n">
        <f aca="false">IF(AND(Simulations!$A62&lt;&gt;"",OR(Simulations!$BD62&lt;&gt;"",N(Simulations!$BF62)&gt;0)),1,0)</f>
        <v>0</v>
      </c>
      <c r="N62" s="0" t="n">
        <f aca="false">IF(OR(NOT(AND(Simulations!$A62&lt;&gt;"",OR(Simulations!$BV62&lt;&gt;"",N(Simulations!$BX62)&gt;0))),N(Simulations!$BY62)&lt;=0,N(Simulations!$BX62)&lt;=0,1&gt;N(IF(Simulations!$O62="",1,Simulations!$O62))),0,IF(Simulations!$BY62&lt;IF(Simulations!$J62="",1000,Simulations!$J62),Simulations!$BX62/(IF(Simulations!$G62="",5000,Simulations!$G62)*IF(Simulations!$H62="",5000,Simulations!$H62)*IF(IF(Simulations!$I62="",5000,Simulations!$I62)&gt;0,IF(Simulations!$I62="",5000,Simulations!$I62),1))*Simulations!$BY62*(PI()/2*IF(Simulations!$T62="",200,Simulations!$T62)^2*IF(IF(Simulations!$I62="",5000,Simulations!$I62)&gt;0,SQRT(PI()/2)*IF(Simulations!$W62="",1000,Simulations!$W62),1)),Simulations!$BX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T62="",200,Simulations!$T62)^2*IF(Simulations!$W62="",1000,Simulations!$W62)/2^1.5*(2/3*LN(Simulations!$BY62/IF(Simulations!$J62="",1000,Simulations!$J62))^1.5+SQRT(LN(Simulations!$BY62/IF(Simulations!$J62="",1000,Simulations!$J62)))+Simulations!$BY62/IF(Simulations!$J62="",1000,Simulations!$J62)*SQRT(PI())/2*ERFC(SQRT(LN(Simulations!$BY62/IF(Simulations!$J62="",1000,Simulations!$J62))))),PI()*IF(Simulations!$T62="",200,Simulations!$T62)^2/2*(LN(Simulations!$BY62/IF(Simulations!$J62="",1000,Simulations!$J62))+1))))</f>
        <v>0</v>
      </c>
      <c r="O62" s="0" t="n">
        <f aca="false">IF(OR(NOT(AND(Simulations!$A62&lt;&gt;"",OR(Simulations!$BV62&lt;&gt;"",N(Simulations!$BX62)&gt;0))),N(Simulations!$BZ62)&lt;=0,N(Simulations!$BX62)&lt;=0,2&gt;N(IF(Simulations!$O62="",1,Simulations!$O62))),0,IF(Simulations!$BZ62&lt;IF(Simulations!$J62="",1000,Simulations!$J62),Simulations!$BX62/(IF(Simulations!$G62="",5000,Simulations!$G62)*IF(Simulations!$H62="",5000,Simulations!$H62)*IF(IF(Simulations!$I62="",5000,Simulations!$I62)&gt;0,IF(Simulations!$I62="",5000,Simulations!$I62),1))*Simulations!$BZ62*(PI()/2*IF(Simulations!$U62="",200,Simulations!$U62)^2*IF(IF(Simulations!$I62="",5000,Simulations!$I62)&gt;0,SQRT(PI()/2)*IF(Simulations!$X62="",1000,Simulations!$X62),1)),Simulations!$BX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U62="",200,Simulations!$U62)^2*IF(Simulations!$X62="",1000,Simulations!$X62)/2^1.5*(2/3*LN(Simulations!$BZ62/IF(Simulations!$J62="",1000,Simulations!$J62))^1.5+SQRT(LN(Simulations!$BZ62/IF(Simulations!$J62="",1000,Simulations!$J62)))+Simulations!$BZ62/IF(Simulations!$J62="",1000,Simulations!$J62)*SQRT(PI())/2*ERFC(SQRT(LN(Simulations!$BZ62/IF(Simulations!$J62="",1000,Simulations!$J62))))),PI()*IF(Simulations!$U62="",200,Simulations!$U62)^2/2*(LN(Simulations!$BZ62/IF(Simulations!$J62="",1000,Simulations!$J62))+1))))</f>
        <v>0</v>
      </c>
      <c r="P62" s="0" t="n">
        <f aca="false">IF(OR(NOT(AND(Simulations!$A62&lt;&gt;"",OR(Simulations!$BV62&lt;&gt;"",N(Simulations!$BX62)&gt;0))),N(Simulations!$CA62)&lt;=0,N(Simulations!$BX62)&lt;=0,3&gt;N(IF(Simulations!$O62="",1,Simulations!$O62))),0,IF(Simulations!$CA62&lt;IF(Simulations!$J62="",1000,Simulations!$J62),Simulations!$BX62/(IF(Simulations!$G62="",5000,Simulations!$G62)*IF(Simulations!$H62="",5000,Simulations!$H62)*IF(IF(Simulations!$I62="",5000,Simulations!$I62)&gt;0,IF(Simulations!$I62="",5000,Simulations!$I62),1))*Simulations!$CA62*(PI()/2*IF(Simulations!$V62="",200,Simulations!$V62)^2*IF(IF(Simulations!$I62="",5000,Simulations!$I62)&gt;0,SQRT(PI()/2)*IF(Simulations!$Y62="",1000,Simulations!$Y62),1)),Simulations!$BX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V62="",200,Simulations!$V62)^2*IF(Simulations!$Y62="",1000,Simulations!$Y62)/2^1.5*(2/3*LN(Simulations!$CA62/IF(Simulations!$J62="",1000,Simulations!$J62))^1.5+SQRT(LN(Simulations!$CA62/IF(Simulations!$J62="",1000,Simulations!$J62)))+Simulations!$CA62/IF(Simulations!$J62="",1000,Simulations!$J62)*SQRT(PI())/2*ERFC(SQRT(LN(Simulations!$CA62/IF(Simulations!$J62="",1000,Simulations!$J62))))),PI()*IF(Simulations!$V62="",200,Simulations!$V62)^2/2*(LN(Simulations!$CA62/IF(Simulations!$J62="",1000,Simulations!$J62))+1))))</f>
        <v>0</v>
      </c>
      <c r="Q62" s="0" t="n">
        <f aca="false">IF(NOT(AND(Simulations!$A62&lt;&gt;"",OR(Simulations!$BV62&lt;&gt;"",N(Simulations!$BX62)&gt;0))),0,MAX(N(Simulations!$BY62),N(Simulations!$BZ62),N(Simulations!$CA62))/IF(Simulations!$J62="",1000,Simulations!$J62))</f>
        <v>0</v>
      </c>
      <c r="R62" s="0" t="n">
        <f aca="false">IF(OR(NOT(AND(Simulations!$A62&lt;&gt;"",OR(Simulations!$BV62&lt;&gt;"",N(Simulations!$BX62)&gt;0))),N(Simulations!$BW62)&lt;=0),0,SQRT(2*Simulations!$BW62*1000000/(IF(Simulations!$J62="",1000,Simulations!$J62)*1000))/MIN(IF(Simulations!$T62="",200,Simulations!$T62),IF(Simulations!$U62="",200,Simulations!$U62),IF(Simulations!$V62="",200,Simulations!$V62)))</f>
        <v>0</v>
      </c>
      <c r="S62" s="0" t="n">
        <f aca="false">IF(AND(Simulations!$A62&lt;&gt;"",OR(Simulations!$BV62&lt;&gt;"",N(Simulations!$BX62)&gt;0)),1,0)</f>
        <v>0</v>
      </c>
      <c r="T62" s="0" t="n">
        <f aca="false">IF(OR(NOT(AND(Simulations!$A62&lt;&gt;"",OR(Simulations!$CN62&lt;&gt;"",N(Simulations!$CP62)&gt;0))),N(Simulations!$CQ62)&lt;=0,N(Simulations!$CP62)&lt;=0,1&gt;N(IF(Simulations!$O62="",1,Simulations!$O62))),0,IF(Simulations!$CQ62&lt;IF(Simulations!$J62="",1000,Simulations!$J62),Simulations!$CP62/(IF(Simulations!$G62="",5000,Simulations!$G62)*IF(Simulations!$H62="",5000,Simulations!$H62)*IF(IF(Simulations!$I62="",5000,Simulations!$I62)&gt;0,IF(Simulations!$I62="",5000,Simulations!$I62),1))*Simulations!$CQ62*(PI()/2*IF(Simulations!$T62="",200,Simulations!$T62)^2*IF(IF(Simulations!$I62="",5000,Simulations!$I62)&gt;0,SQRT(PI()/2)*IF(Simulations!$W62="",1000,Simulations!$W62),1)),Simulations!$CP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T62="",200,Simulations!$T62)^2*IF(Simulations!$W62="",1000,Simulations!$W62)/2^1.5*(2/3*LN(Simulations!$CQ62/IF(Simulations!$J62="",1000,Simulations!$J62))^1.5+SQRT(LN(Simulations!$CQ62/IF(Simulations!$J62="",1000,Simulations!$J62)))+Simulations!$CQ62/IF(Simulations!$J62="",1000,Simulations!$J62)*SQRT(PI())/2*ERFC(SQRT(LN(Simulations!$CQ62/IF(Simulations!$J62="",1000,Simulations!$J62))))),PI()*IF(Simulations!$T62="",200,Simulations!$T62)^2/2*(LN(Simulations!$CQ62/IF(Simulations!$J62="",1000,Simulations!$J62))+1))))</f>
        <v>0</v>
      </c>
      <c r="U62" s="0" t="n">
        <f aca="false">IF(OR(NOT(AND(Simulations!$A62&lt;&gt;"",OR(Simulations!$CN62&lt;&gt;"",N(Simulations!$CP62)&gt;0))),N(Simulations!$CR62)&lt;=0,N(Simulations!$CP62)&lt;=0,2&gt;N(IF(Simulations!$O62="",1,Simulations!$O62))),0,IF(Simulations!$CR62&lt;IF(Simulations!$J62="",1000,Simulations!$J62),Simulations!$CP62/(IF(Simulations!$G62="",5000,Simulations!$G62)*IF(Simulations!$H62="",5000,Simulations!$H62)*IF(IF(Simulations!$I62="",5000,Simulations!$I62)&gt;0,IF(Simulations!$I62="",5000,Simulations!$I62),1))*Simulations!$CR62*(PI()/2*IF(Simulations!$U62="",200,Simulations!$U62)^2*IF(IF(Simulations!$I62="",5000,Simulations!$I62)&gt;0,SQRT(PI()/2)*IF(Simulations!$X62="",1000,Simulations!$X62),1)),Simulations!$CP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U62="",200,Simulations!$U62)^2*IF(Simulations!$X62="",1000,Simulations!$X62)/2^1.5*(2/3*LN(Simulations!$CR62/IF(Simulations!$J62="",1000,Simulations!$J62))^1.5+SQRT(LN(Simulations!$CR62/IF(Simulations!$J62="",1000,Simulations!$J62)))+Simulations!$CR62/IF(Simulations!$J62="",1000,Simulations!$J62)*SQRT(PI())/2*ERFC(SQRT(LN(Simulations!$CR62/IF(Simulations!$J62="",1000,Simulations!$J62))))),PI()*IF(Simulations!$U62="",200,Simulations!$U62)^2/2*(LN(Simulations!$CR62/IF(Simulations!$J62="",1000,Simulations!$J62))+1))))</f>
        <v>0</v>
      </c>
      <c r="V62" s="0" t="n">
        <f aca="false">IF(OR(NOT(AND(Simulations!$A62&lt;&gt;"",OR(Simulations!$CN62&lt;&gt;"",N(Simulations!$CP62)&gt;0))),N(Simulations!$CS62)&lt;=0,N(Simulations!$CP62)&lt;=0,3&gt;N(IF(Simulations!$O62="",1,Simulations!$O62))),0,IF(Simulations!$CS62&lt;IF(Simulations!$J62="",1000,Simulations!$J62),Simulations!$CP62/(IF(Simulations!$G62="",5000,Simulations!$G62)*IF(Simulations!$H62="",5000,Simulations!$H62)*IF(IF(Simulations!$I62="",5000,Simulations!$I62)&gt;0,IF(Simulations!$I62="",5000,Simulations!$I62),1))*Simulations!$CS62*(PI()/2*IF(Simulations!$V62="",200,Simulations!$V62)^2*IF(IF(Simulations!$I62="",5000,Simulations!$I62)&gt;0,SQRT(PI()/2)*IF(Simulations!$Y62="",1000,Simulations!$Y62),1)),Simulations!$CP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V62="",200,Simulations!$V62)^2*IF(Simulations!$Y62="",1000,Simulations!$Y62)/2^1.5*(2/3*LN(Simulations!$CS62/IF(Simulations!$J62="",1000,Simulations!$J62))^1.5+SQRT(LN(Simulations!$CS62/IF(Simulations!$J62="",1000,Simulations!$J62)))+Simulations!$CS62/IF(Simulations!$J62="",1000,Simulations!$J62)*SQRT(PI())/2*ERFC(SQRT(LN(Simulations!$CS62/IF(Simulations!$J62="",1000,Simulations!$J62))))),PI()*IF(Simulations!$V62="",200,Simulations!$V62)^2/2*(LN(Simulations!$CS62/IF(Simulations!$J62="",1000,Simulations!$J62))+1))))</f>
        <v>0</v>
      </c>
      <c r="W62" s="0" t="n">
        <f aca="false">IF(NOT(AND(Simulations!$A62&lt;&gt;"",OR(Simulations!$CN62&lt;&gt;"",N(Simulations!$CP62)&gt;0))),0,MAX(N(Simulations!$CQ62),N(Simulations!$CR62),N(Simulations!$CS62))/IF(Simulations!$J62="",1000,Simulations!$J62))</f>
        <v>0</v>
      </c>
      <c r="X62" s="0" t="n">
        <f aca="false">IF(OR(NOT(AND(Simulations!$A62&lt;&gt;"",OR(Simulations!$CN62&lt;&gt;"",N(Simulations!$CP62)&gt;0))),N(Simulations!$CO62)&lt;=0),0,SQRT(2*Simulations!$CO62*1000000/(IF(Simulations!$J62="",1000,Simulations!$J62)*1000))/MIN(IF(Simulations!$T62="",200,Simulations!$T62),IF(Simulations!$U62="",200,Simulations!$U62),IF(Simulations!$V62="",200,Simulations!$V62)))</f>
        <v>0</v>
      </c>
      <c r="Y62" s="0" t="n">
        <f aca="false">IF(AND(Simulations!$A62&lt;&gt;"",OR(Simulations!$CN62&lt;&gt;"",N(Simulations!$CP62)&gt;0)),1,0)</f>
        <v>0</v>
      </c>
      <c r="Z62" s="0" t="n">
        <f aca="false">IF(OR(NOT(AND(Simulations!$A62&lt;&gt;"",OR(Simulations!$DF62&lt;&gt;"",N(Simulations!$DH62)&gt;0))),N(Simulations!$DI62)&lt;=0,N(Simulations!$DH62)&lt;=0,1&gt;N(IF(Simulations!$O62="",1,Simulations!$O62))),0,IF(Simulations!$DI62&lt;IF(Simulations!$J62="",1000,Simulations!$J62),Simulations!$DH62/(IF(Simulations!$G62="",5000,Simulations!$G62)*IF(Simulations!$H62="",5000,Simulations!$H62)*IF(IF(Simulations!$I62="",5000,Simulations!$I62)&gt;0,IF(Simulations!$I62="",5000,Simulations!$I62),1))*Simulations!$DI62*(PI()/2*IF(Simulations!$T62="",200,Simulations!$T62)^2*IF(IF(Simulations!$I62="",5000,Simulations!$I62)&gt;0,SQRT(PI()/2)*IF(Simulations!$W62="",1000,Simulations!$W62),1)),Simulations!$DH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T62="",200,Simulations!$T62)^2*IF(Simulations!$W62="",1000,Simulations!$W62)/2^1.5*(2/3*LN(Simulations!$DI62/IF(Simulations!$J62="",1000,Simulations!$J62))^1.5+SQRT(LN(Simulations!$DI62/IF(Simulations!$J62="",1000,Simulations!$J62)))+Simulations!$DI62/IF(Simulations!$J62="",1000,Simulations!$J62)*SQRT(PI())/2*ERFC(SQRT(LN(Simulations!$DI62/IF(Simulations!$J62="",1000,Simulations!$J62))))),PI()*IF(Simulations!$T62="",200,Simulations!$T62)^2/2*(LN(Simulations!$DI62/IF(Simulations!$J62="",1000,Simulations!$J62))+1))))</f>
        <v>0</v>
      </c>
      <c r="AA62" s="0" t="n">
        <f aca="false">IF(OR(NOT(AND(Simulations!$A62&lt;&gt;"",OR(Simulations!$DF62&lt;&gt;"",N(Simulations!$DH62)&gt;0))),N(Simulations!$DJ62)&lt;=0,N(Simulations!$DH62)&lt;=0,2&gt;N(IF(Simulations!$O62="",1,Simulations!$O62))),0,IF(Simulations!$DJ62&lt;IF(Simulations!$J62="",1000,Simulations!$J62),Simulations!$DH62/(IF(Simulations!$G62="",5000,Simulations!$G62)*IF(Simulations!$H62="",5000,Simulations!$H62)*IF(IF(Simulations!$I62="",5000,Simulations!$I62)&gt;0,IF(Simulations!$I62="",5000,Simulations!$I62),1))*Simulations!$DJ62*(PI()/2*IF(Simulations!$U62="",200,Simulations!$U62)^2*IF(IF(Simulations!$I62="",5000,Simulations!$I62)&gt;0,SQRT(PI()/2)*IF(Simulations!$X62="",1000,Simulations!$X62),1)),Simulations!$DH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U62="",200,Simulations!$U62)^2*IF(Simulations!$X62="",1000,Simulations!$X62)/2^1.5*(2/3*LN(Simulations!$DJ62/IF(Simulations!$J62="",1000,Simulations!$J62))^1.5+SQRT(LN(Simulations!$DJ62/IF(Simulations!$J62="",1000,Simulations!$J62)))+Simulations!$DJ62/IF(Simulations!$J62="",1000,Simulations!$J62)*SQRT(PI())/2*ERFC(SQRT(LN(Simulations!$DJ62/IF(Simulations!$J62="",1000,Simulations!$J62))))),PI()*IF(Simulations!$U62="",200,Simulations!$U62)^2/2*(LN(Simulations!$DJ62/IF(Simulations!$J62="",1000,Simulations!$J62))+1))))</f>
        <v>0</v>
      </c>
      <c r="AB62" s="0" t="n">
        <f aca="false">IF(OR(NOT(AND(Simulations!$A62&lt;&gt;"",OR(Simulations!$DF62&lt;&gt;"",N(Simulations!$DH62)&gt;0))),N(Simulations!$DK62)&lt;=0,N(Simulations!$DH62)&lt;=0,3&gt;N(IF(Simulations!$O62="",1,Simulations!$O62))),0,IF(Simulations!$DK62&lt;IF(Simulations!$J62="",1000,Simulations!$J62),Simulations!$DH62/(IF(Simulations!$G62="",5000,Simulations!$G62)*IF(Simulations!$H62="",5000,Simulations!$H62)*IF(IF(Simulations!$I62="",5000,Simulations!$I62)&gt;0,IF(Simulations!$I62="",5000,Simulations!$I62),1))*Simulations!$DK62*(PI()/2*IF(Simulations!$V62="",200,Simulations!$V62)^2*IF(IF(Simulations!$I62="",5000,Simulations!$I62)&gt;0,SQRT(PI()/2)*IF(Simulations!$Y62="",1000,Simulations!$Y62),1)),Simulations!$DH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V62="",200,Simulations!$V62)^2*IF(Simulations!$Y62="",1000,Simulations!$Y62)/2^1.5*(2/3*LN(Simulations!$DK62/IF(Simulations!$J62="",1000,Simulations!$J62))^1.5+SQRT(LN(Simulations!$DK62/IF(Simulations!$J62="",1000,Simulations!$J62)))+Simulations!$DK62/IF(Simulations!$J62="",1000,Simulations!$J62)*SQRT(PI())/2*ERFC(SQRT(LN(Simulations!$DK62/IF(Simulations!$J62="",1000,Simulations!$J62))))),PI()*IF(Simulations!$V62="",200,Simulations!$V62)^2/2*(LN(Simulations!$DK62/IF(Simulations!$J62="",1000,Simulations!$J62))+1))))</f>
        <v>0</v>
      </c>
      <c r="AC62" s="0" t="n">
        <f aca="false">IF(NOT(AND(Simulations!$A62&lt;&gt;"",OR(Simulations!$DF62&lt;&gt;"",N(Simulations!$DH62)&gt;0))),0,MAX(N(Simulations!$DI62),N(Simulations!$DJ62),N(Simulations!$DK62))/IF(Simulations!$J62="",1000,Simulations!$J62))</f>
        <v>0</v>
      </c>
      <c r="AD62" s="0" t="n">
        <f aca="false">IF(OR(NOT(AND(Simulations!$A62&lt;&gt;"",OR(Simulations!$DF62&lt;&gt;"",N(Simulations!$DH62)&gt;0))),N(Simulations!$DG62)&lt;=0),0,SQRT(2*Simulations!$DG62*1000000/(IF(Simulations!$J62="",1000,Simulations!$J62)*1000))/MIN(IF(Simulations!$T62="",200,Simulations!$T62),IF(Simulations!$U62="",200,Simulations!$U62),IF(Simulations!$V62="",200,Simulations!$V62)))</f>
        <v>0</v>
      </c>
      <c r="AE62" s="0" t="n">
        <f aca="false">IF(AND(Simulations!$A62&lt;&gt;"",OR(Simulations!$DF62&lt;&gt;"",N(Simulations!$DH62)&gt;0)),1,0)</f>
        <v>0</v>
      </c>
      <c r="AF62" s="0" t="n">
        <f aca="false">IF(OR(NOT(AND(Simulations!$A62&lt;&gt;"",OR(Simulations!$DX62&lt;&gt;"",N(Simulations!$DZ62)&gt;0))),N(Simulations!$EA62)&lt;=0,N(Simulations!$DZ62)&lt;=0,1&gt;N(IF(Simulations!$O62="",1,Simulations!$O62))),0,IF(Simulations!$EA62&lt;IF(Simulations!$J62="",1000,Simulations!$J62),Simulations!$DZ62/(IF(Simulations!$G62="",5000,Simulations!$G62)*IF(Simulations!$H62="",5000,Simulations!$H62)*IF(IF(Simulations!$I62="",5000,Simulations!$I62)&gt;0,IF(Simulations!$I62="",5000,Simulations!$I62),1))*Simulations!$EA62*(PI()/2*IF(Simulations!$T62="",200,Simulations!$T62)^2*IF(IF(Simulations!$I62="",5000,Simulations!$I62)&gt;0,SQRT(PI()/2)*IF(Simulations!$W62="",1000,Simulations!$W62),1)),Simulations!$DZ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T62="",200,Simulations!$T62)^2*IF(Simulations!$W62="",1000,Simulations!$W62)/2^1.5*(2/3*LN(Simulations!$EA62/IF(Simulations!$J62="",1000,Simulations!$J62))^1.5+SQRT(LN(Simulations!$EA62/IF(Simulations!$J62="",1000,Simulations!$J62)))+Simulations!$EA62/IF(Simulations!$J62="",1000,Simulations!$J62)*SQRT(PI())/2*ERFC(SQRT(LN(Simulations!$EA62/IF(Simulations!$J62="",1000,Simulations!$J62))))),PI()*IF(Simulations!$T62="",200,Simulations!$T62)^2/2*(LN(Simulations!$EA62/IF(Simulations!$J62="",1000,Simulations!$J62))+1))))</f>
        <v>0</v>
      </c>
      <c r="AG62" s="0" t="n">
        <f aca="false">IF(OR(NOT(AND(Simulations!$A62&lt;&gt;"",OR(Simulations!$DX62&lt;&gt;"",N(Simulations!$DZ62)&gt;0))),N(Simulations!$EB62)&lt;=0,N(Simulations!$DZ62)&lt;=0,2&gt;N(IF(Simulations!$O62="",1,Simulations!$O62))),0,IF(Simulations!$EB62&lt;IF(Simulations!$J62="",1000,Simulations!$J62),Simulations!$DZ62/(IF(Simulations!$G62="",5000,Simulations!$G62)*IF(Simulations!$H62="",5000,Simulations!$H62)*IF(IF(Simulations!$I62="",5000,Simulations!$I62)&gt;0,IF(Simulations!$I62="",5000,Simulations!$I62),1))*Simulations!$EB62*(PI()/2*IF(Simulations!$U62="",200,Simulations!$U62)^2*IF(IF(Simulations!$I62="",5000,Simulations!$I62)&gt;0,SQRT(PI()/2)*IF(Simulations!$X62="",1000,Simulations!$X62),1)),Simulations!$DZ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U62="",200,Simulations!$U62)^2*IF(Simulations!$X62="",1000,Simulations!$X62)/2^1.5*(2/3*LN(Simulations!$EB62/IF(Simulations!$J62="",1000,Simulations!$J62))^1.5+SQRT(LN(Simulations!$EB62/IF(Simulations!$J62="",1000,Simulations!$J62)))+Simulations!$EB62/IF(Simulations!$J62="",1000,Simulations!$J62)*SQRT(PI())/2*ERFC(SQRT(LN(Simulations!$EB62/IF(Simulations!$J62="",1000,Simulations!$J62))))),PI()*IF(Simulations!$U62="",200,Simulations!$U62)^2/2*(LN(Simulations!$EB62/IF(Simulations!$J62="",1000,Simulations!$J62))+1))))</f>
        <v>0</v>
      </c>
      <c r="AH62" s="0" t="n">
        <f aca="false">IF(OR(NOT(AND(Simulations!$A62&lt;&gt;"",OR(Simulations!$DX62&lt;&gt;"",N(Simulations!$DZ62)&gt;0))),N(Simulations!$EC62)&lt;=0,N(Simulations!$DZ62)&lt;=0,3&gt;N(IF(Simulations!$O62="",1,Simulations!$O62))),0,IF(Simulations!$EC62&lt;IF(Simulations!$J62="",1000,Simulations!$J62),Simulations!$DZ62/(IF(Simulations!$G62="",5000,Simulations!$G62)*IF(Simulations!$H62="",5000,Simulations!$H62)*IF(IF(Simulations!$I62="",5000,Simulations!$I62)&gt;0,IF(Simulations!$I62="",5000,Simulations!$I62),1))*Simulations!$EC62*(PI()/2*IF(Simulations!$V62="",200,Simulations!$V62)^2*IF(IF(Simulations!$I62="",5000,Simulations!$I62)&gt;0,SQRT(PI()/2)*IF(Simulations!$Y62="",1000,Simulations!$Y62),1)),Simulations!$DZ62/(IF(Simulations!$G62="",5000,Simulations!$G62)*IF(Simulations!$H62="",5000,Simulations!$H62)*IF(IF(Simulations!$I62="",5000,Simulations!$I62)&gt;0,IF(Simulations!$I62="",5000,Simulations!$I62),1))*IF(Simulations!$J62="",1000,Simulations!$J62)*IF(IF(Simulations!$I62="",5000,Simulations!$I62)&gt;0,2*PI()*IF(Simulations!$V62="",200,Simulations!$V62)^2*IF(Simulations!$Y62="",1000,Simulations!$Y62)/2^1.5*(2/3*LN(Simulations!$EC62/IF(Simulations!$J62="",1000,Simulations!$J62))^1.5+SQRT(LN(Simulations!$EC62/IF(Simulations!$J62="",1000,Simulations!$J62)))+Simulations!$EC62/IF(Simulations!$J62="",1000,Simulations!$J62)*SQRT(PI())/2*ERFC(SQRT(LN(Simulations!$EC62/IF(Simulations!$J62="",1000,Simulations!$J62))))),PI()*IF(Simulations!$V62="",200,Simulations!$V62)^2/2*(LN(Simulations!$EC62/IF(Simulations!$J62="",1000,Simulations!$J62))+1))))</f>
        <v>0</v>
      </c>
      <c r="AI62" s="0" t="n">
        <f aca="false">IF(NOT(AND(Simulations!$A62&lt;&gt;"",OR(Simulations!$DX62&lt;&gt;"",N(Simulations!$DZ62)&gt;0))),0,MAX(N(Simulations!$EA62),N(Simulations!$EB62),N(Simulations!$EC62))/IF(Simulations!$J62="",1000,Simulations!$J62))</f>
        <v>0</v>
      </c>
      <c r="AJ62" s="0" t="n">
        <f aca="false">IF(OR(NOT(AND(Simulations!$A62&lt;&gt;"",OR(Simulations!$DX62&lt;&gt;"",N(Simulations!$DZ62)&gt;0))),N(Simulations!$DY62)&lt;=0),0,SQRT(2*Simulations!$DY62*1000000/(IF(Simulations!$J62="",1000,Simulations!$J62)*1000))/MIN(IF(Simulations!$T62="",200,Simulations!$T62),IF(Simulations!$U62="",200,Simulations!$U62),IF(Simulations!$V62="",200,Simulations!$V62)))</f>
        <v>0</v>
      </c>
      <c r="AK62" s="0" t="n">
        <f aca="false">IF(AND(Simulations!$A62&lt;&gt;"",OR(Simulations!$DX62&lt;&gt;"",N(Simulations!$DZ62)&gt;0)),1,0)</f>
        <v>0</v>
      </c>
    </row>
    <row r="63" customFormat="false" ht="15" hidden="false" customHeight="false" outlineLevel="0" collapsed="false">
      <c r="B63" s="0" t="n">
        <f aca="false">IF(OR(NOT(AND(Simulations!$A63&lt;&gt;"",OR(Simulations!$AL63&lt;&gt;"",N(Simulations!$AN63)&gt;0))),N(Simulations!$AO63)&lt;=0,N(Simulations!$AN63)&lt;=0,1&gt;N(IF(Simulations!$O63="",1,Simulations!$O63))),0,IF(Simulations!$AO63&lt;IF(Simulations!$J63="",1000,Simulations!$J63),Simulations!$AN63/(IF(Simulations!$G63="",5000,Simulations!$G63)*IF(Simulations!$H63="",5000,Simulations!$H63)*IF(IF(Simulations!$I63="",5000,Simulations!$I63)&gt;0,IF(Simulations!$I63="",5000,Simulations!$I63),1))*Simulations!$AO63*(PI()/2*IF(Simulations!$T63="",200,Simulations!$T63)^2*IF(IF(Simulations!$I63="",5000,Simulations!$I63)&gt;0,SQRT(PI()/2)*IF(Simulations!$W63="",1000,Simulations!$W63),1)),Simulations!$AN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T63="",200,Simulations!$T63)^2*IF(Simulations!$W63="",1000,Simulations!$W63)/2^1.5*(2/3*LN(Simulations!$AO63/IF(Simulations!$J63="",1000,Simulations!$J63))^1.5+SQRT(LN(Simulations!$AO63/IF(Simulations!$J63="",1000,Simulations!$J63)))+Simulations!$AO63/IF(Simulations!$J63="",1000,Simulations!$J63)*SQRT(PI())/2*ERFC(SQRT(LN(Simulations!$AO63/IF(Simulations!$J63="",1000,Simulations!$J63))))),PI()*IF(Simulations!$T63="",200,Simulations!$T63)^2/2*(LN(Simulations!$AO63/IF(Simulations!$J63="",1000,Simulations!$J63))+1))))</f>
        <v>0</v>
      </c>
      <c r="C63" s="0" t="n">
        <f aca="false">IF(OR(NOT(AND(Simulations!$A63&lt;&gt;"",OR(Simulations!$AL63&lt;&gt;"",N(Simulations!$AN63)&gt;0))),N(Simulations!$AP63)&lt;=0,N(Simulations!$AN63)&lt;=0,2&gt;N(IF(Simulations!$O63="",1,Simulations!$O63))),0,IF(Simulations!$AP63&lt;IF(Simulations!$J63="",1000,Simulations!$J63),Simulations!$AN63/(IF(Simulations!$G63="",5000,Simulations!$G63)*IF(Simulations!$H63="",5000,Simulations!$H63)*IF(IF(Simulations!$I63="",5000,Simulations!$I63)&gt;0,IF(Simulations!$I63="",5000,Simulations!$I63),1))*Simulations!$AP63*(PI()/2*IF(Simulations!$U63="",200,Simulations!$U63)^2*IF(IF(Simulations!$I63="",5000,Simulations!$I63)&gt;0,SQRT(PI()/2)*IF(Simulations!$X63="",1000,Simulations!$X63),1)),Simulations!$AN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U63="",200,Simulations!$U63)^2*IF(Simulations!$X63="",1000,Simulations!$X63)/2^1.5*(2/3*LN(Simulations!$AP63/IF(Simulations!$J63="",1000,Simulations!$J63))^1.5+SQRT(LN(Simulations!$AP63/IF(Simulations!$J63="",1000,Simulations!$J63)))+Simulations!$AP63/IF(Simulations!$J63="",1000,Simulations!$J63)*SQRT(PI())/2*ERFC(SQRT(LN(Simulations!$AP63/IF(Simulations!$J63="",1000,Simulations!$J63))))),PI()*IF(Simulations!$U63="",200,Simulations!$U63)^2/2*(LN(Simulations!$AP63/IF(Simulations!$J63="",1000,Simulations!$J63))+1))))</f>
        <v>0</v>
      </c>
      <c r="D63" s="0" t="n">
        <f aca="false">IF(OR(NOT(AND(Simulations!$A63&lt;&gt;"",OR(Simulations!$AL63&lt;&gt;"",N(Simulations!$AN63)&gt;0))),N(Simulations!$AQ63)&lt;=0,N(Simulations!$AN63)&lt;=0,3&gt;N(IF(Simulations!$O63="",1,Simulations!$O63))),0,IF(Simulations!$AQ63&lt;IF(Simulations!$J63="",1000,Simulations!$J63),Simulations!$AN63/(IF(Simulations!$G63="",5000,Simulations!$G63)*IF(Simulations!$H63="",5000,Simulations!$H63)*IF(IF(Simulations!$I63="",5000,Simulations!$I63)&gt;0,IF(Simulations!$I63="",5000,Simulations!$I63),1))*Simulations!$AQ63*(PI()/2*IF(Simulations!$V63="",200,Simulations!$V63)^2*IF(IF(Simulations!$I63="",5000,Simulations!$I63)&gt;0,SQRT(PI()/2)*IF(Simulations!$Y63="",1000,Simulations!$Y63),1)),Simulations!$AN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V63="",200,Simulations!$V63)^2*IF(Simulations!$Y63="",1000,Simulations!$Y63)/2^1.5*(2/3*LN(Simulations!$AQ63/IF(Simulations!$J63="",1000,Simulations!$J63))^1.5+SQRT(LN(Simulations!$AQ63/IF(Simulations!$J63="",1000,Simulations!$J63)))+Simulations!$AQ63/IF(Simulations!$J63="",1000,Simulations!$J63)*SQRT(PI())/2*ERFC(SQRT(LN(Simulations!$AQ63/IF(Simulations!$J63="",1000,Simulations!$J63))))),PI()*IF(Simulations!$V63="",200,Simulations!$V63)^2/2*(LN(Simulations!$AQ63/IF(Simulations!$J63="",1000,Simulations!$J63))+1))))</f>
        <v>0</v>
      </c>
      <c r="E63" s="0" t="n">
        <f aca="false">IF(NOT(AND(Simulations!$A63&lt;&gt;"",OR(Simulations!$AL63&lt;&gt;"",N(Simulations!$AN63)&gt;0))),0,MAX(N(Simulations!$AO63),N(Simulations!$AP63),N(Simulations!$AQ63))/IF(Simulations!$J63="",1000,Simulations!$J63))</f>
        <v>0</v>
      </c>
      <c r="F63" s="0" t="n">
        <f aca="false">IF(OR(NOT(AND(Simulations!$A63&lt;&gt;"",OR(Simulations!$AL63&lt;&gt;"",N(Simulations!$AN63)&gt;0))),N(Simulations!$AM63)&lt;=0),0,SQRT(2*Simulations!$AM63*1000000/(IF(Simulations!$J63="",1000,Simulations!$J63)*1000))/MIN(IF(Simulations!$T63="",200,Simulations!$T63),IF(Simulations!$U63="",200,Simulations!$U63),IF(Simulations!$V63="",200,Simulations!$V63)))</f>
        <v>0</v>
      </c>
      <c r="G63" s="0" t="n">
        <f aca="false">IF(AND(Simulations!$A63&lt;&gt;"",OR(Simulations!$AL63&lt;&gt;"",N(Simulations!$AN63)&gt;0)),1,0)</f>
        <v>0</v>
      </c>
      <c r="H63" s="0" t="n">
        <f aca="false">IF(OR(NOT(AND(Simulations!$A63&lt;&gt;"",OR(Simulations!$BD63&lt;&gt;"",N(Simulations!$BF63)&gt;0))),N(Simulations!$BG63)&lt;=0,N(Simulations!$BF63)&lt;=0,1&gt;N(IF(Simulations!$O63="",1,Simulations!$O63))),0,IF(Simulations!$BG63&lt;IF(Simulations!$J63="",1000,Simulations!$J63),Simulations!$BF63/(IF(Simulations!$G63="",5000,Simulations!$G63)*IF(Simulations!$H63="",5000,Simulations!$H63)*IF(IF(Simulations!$I63="",5000,Simulations!$I63)&gt;0,IF(Simulations!$I63="",5000,Simulations!$I63),1))*Simulations!$BG63*(PI()/2*IF(Simulations!$T63="",200,Simulations!$T63)^2*IF(IF(Simulations!$I63="",5000,Simulations!$I63)&gt;0,SQRT(PI()/2)*IF(Simulations!$W63="",1000,Simulations!$W63),1)),Simulations!$BF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T63="",200,Simulations!$T63)^2*IF(Simulations!$W63="",1000,Simulations!$W63)/2^1.5*(2/3*LN(Simulations!$BG63/IF(Simulations!$J63="",1000,Simulations!$J63))^1.5+SQRT(LN(Simulations!$BG63/IF(Simulations!$J63="",1000,Simulations!$J63)))+Simulations!$BG63/IF(Simulations!$J63="",1000,Simulations!$J63)*SQRT(PI())/2*ERFC(SQRT(LN(Simulations!$BG63/IF(Simulations!$J63="",1000,Simulations!$J63))))),PI()*IF(Simulations!$T63="",200,Simulations!$T63)^2/2*(LN(Simulations!$BG63/IF(Simulations!$J63="",1000,Simulations!$J63))+1))))</f>
        <v>0</v>
      </c>
      <c r="I63" s="0" t="n">
        <f aca="false">IF(OR(NOT(AND(Simulations!$A63&lt;&gt;"",OR(Simulations!$BD63&lt;&gt;"",N(Simulations!$BF63)&gt;0))),N(Simulations!$BH63)&lt;=0,N(Simulations!$BF63)&lt;=0,2&gt;N(IF(Simulations!$O63="",1,Simulations!$O63))),0,IF(Simulations!$BH63&lt;IF(Simulations!$J63="",1000,Simulations!$J63),Simulations!$BF63/(IF(Simulations!$G63="",5000,Simulations!$G63)*IF(Simulations!$H63="",5000,Simulations!$H63)*IF(IF(Simulations!$I63="",5000,Simulations!$I63)&gt;0,IF(Simulations!$I63="",5000,Simulations!$I63),1))*Simulations!$BH63*(PI()/2*IF(Simulations!$U63="",200,Simulations!$U63)^2*IF(IF(Simulations!$I63="",5000,Simulations!$I63)&gt;0,SQRT(PI()/2)*IF(Simulations!$X63="",1000,Simulations!$X63),1)),Simulations!$BF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U63="",200,Simulations!$U63)^2*IF(Simulations!$X63="",1000,Simulations!$X63)/2^1.5*(2/3*LN(Simulations!$BH63/IF(Simulations!$J63="",1000,Simulations!$J63))^1.5+SQRT(LN(Simulations!$BH63/IF(Simulations!$J63="",1000,Simulations!$J63)))+Simulations!$BH63/IF(Simulations!$J63="",1000,Simulations!$J63)*SQRT(PI())/2*ERFC(SQRT(LN(Simulations!$BH63/IF(Simulations!$J63="",1000,Simulations!$J63))))),PI()*IF(Simulations!$U63="",200,Simulations!$U63)^2/2*(LN(Simulations!$BH63/IF(Simulations!$J63="",1000,Simulations!$J63))+1))))</f>
        <v>0</v>
      </c>
      <c r="J63" s="0" t="n">
        <f aca="false">IF(OR(NOT(AND(Simulations!$A63&lt;&gt;"",OR(Simulations!$BD63&lt;&gt;"",N(Simulations!$BF63)&gt;0))),N(Simulations!$BI63)&lt;=0,N(Simulations!$BF63)&lt;=0,3&gt;N(IF(Simulations!$O63="",1,Simulations!$O63))),0,IF(Simulations!$BI63&lt;IF(Simulations!$J63="",1000,Simulations!$J63),Simulations!$BF63/(IF(Simulations!$G63="",5000,Simulations!$G63)*IF(Simulations!$H63="",5000,Simulations!$H63)*IF(IF(Simulations!$I63="",5000,Simulations!$I63)&gt;0,IF(Simulations!$I63="",5000,Simulations!$I63),1))*Simulations!$BI63*(PI()/2*IF(Simulations!$V63="",200,Simulations!$V63)^2*IF(IF(Simulations!$I63="",5000,Simulations!$I63)&gt;0,SQRT(PI()/2)*IF(Simulations!$Y63="",1000,Simulations!$Y63),1)),Simulations!$BF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V63="",200,Simulations!$V63)^2*IF(Simulations!$Y63="",1000,Simulations!$Y63)/2^1.5*(2/3*LN(Simulations!$BI63/IF(Simulations!$J63="",1000,Simulations!$J63))^1.5+SQRT(LN(Simulations!$BI63/IF(Simulations!$J63="",1000,Simulations!$J63)))+Simulations!$BI63/IF(Simulations!$J63="",1000,Simulations!$J63)*SQRT(PI())/2*ERFC(SQRT(LN(Simulations!$BI63/IF(Simulations!$J63="",1000,Simulations!$J63))))),PI()*IF(Simulations!$V63="",200,Simulations!$V63)^2/2*(LN(Simulations!$BI63/IF(Simulations!$J63="",1000,Simulations!$J63))+1))))</f>
        <v>0</v>
      </c>
      <c r="K63" s="0" t="n">
        <f aca="false">IF(NOT(AND(Simulations!$A63&lt;&gt;"",OR(Simulations!$BD63&lt;&gt;"",N(Simulations!$BF63)&gt;0))),0,MAX(N(Simulations!$BG63),N(Simulations!$BH63),N(Simulations!$BI63))/IF(Simulations!$J63="",1000,Simulations!$J63))</f>
        <v>0</v>
      </c>
      <c r="L63" s="0" t="n">
        <f aca="false">IF(OR(NOT(AND(Simulations!$A63&lt;&gt;"",OR(Simulations!$BD63&lt;&gt;"",N(Simulations!$BF63)&gt;0))),N(Simulations!$BE63)&lt;=0),0,SQRT(2*Simulations!$BE63*1000000/(IF(Simulations!$J63="",1000,Simulations!$J63)*1000))/MIN(IF(Simulations!$T63="",200,Simulations!$T63),IF(Simulations!$U63="",200,Simulations!$U63),IF(Simulations!$V63="",200,Simulations!$V63)))</f>
        <v>0</v>
      </c>
      <c r="M63" s="0" t="n">
        <f aca="false">IF(AND(Simulations!$A63&lt;&gt;"",OR(Simulations!$BD63&lt;&gt;"",N(Simulations!$BF63)&gt;0)),1,0)</f>
        <v>0</v>
      </c>
      <c r="N63" s="0" t="n">
        <f aca="false">IF(OR(NOT(AND(Simulations!$A63&lt;&gt;"",OR(Simulations!$BV63&lt;&gt;"",N(Simulations!$BX63)&gt;0))),N(Simulations!$BY63)&lt;=0,N(Simulations!$BX63)&lt;=0,1&gt;N(IF(Simulations!$O63="",1,Simulations!$O63))),0,IF(Simulations!$BY63&lt;IF(Simulations!$J63="",1000,Simulations!$J63),Simulations!$BX63/(IF(Simulations!$G63="",5000,Simulations!$G63)*IF(Simulations!$H63="",5000,Simulations!$H63)*IF(IF(Simulations!$I63="",5000,Simulations!$I63)&gt;0,IF(Simulations!$I63="",5000,Simulations!$I63),1))*Simulations!$BY63*(PI()/2*IF(Simulations!$T63="",200,Simulations!$T63)^2*IF(IF(Simulations!$I63="",5000,Simulations!$I63)&gt;0,SQRT(PI()/2)*IF(Simulations!$W63="",1000,Simulations!$W63),1)),Simulations!$BX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T63="",200,Simulations!$T63)^2*IF(Simulations!$W63="",1000,Simulations!$W63)/2^1.5*(2/3*LN(Simulations!$BY63/IF(Simulations!$J63="",1000,Simulations!$J63))^1.5+SQRT(LN(Simulations!$BY63/IF(Simulations!$J63="",1000,Simulations!$J63)))+Simulations!$BY63/IF(Simulations!$J63="",1000,Simulations!$J63)*SQRT(PI())/2*ERFC(SQRT(LN(Simulations!$BY63/IF(Simulations!$J63="",1000,Simulations!$J63))))),PI()*IF(Simulations!$T63="",200,Simulations!$T63)^2/2*(LN(Simulations!$BY63/IF(Simulations!$J63="",1000,Simulations!$J63))+1))))</f>
        <v>0</v>
      </c>
      <c r="O63" s="0" t="n">
        <f aca="false">IF(OR(NOT(AND(Simulations!$A63&lt;&gt;"",OR(Simulations!$BV63&lt;&gt;"",N(Simulations!$BX63)&gt;0))),N(Simulations!$BZ63)&lt;=0,N(Simulations!$BX63)&lt;=0,2&gt;N(IF(Simulations!$O63="",1,Simulations!$O63))),0,IF(Simulations!$BZ63&lt;IF(Simulations!$J63="",1000,Simulations!$J63),Simulations!$BX63/(IF(Simulations!$G63="",5000,Simulations!$G63)*IF(Simulations!$H63="",5000,Simulations!$H63)*IF(IF(Simulations!$I63="",5000,Simulations!$I63)&gt;0,IF(Simulations!$I63="",5000,Simulations!$I63),1))*Simulations!$BZ63*(PI()/2*IF(Simulations!$U63="",200,Simulations!$U63)^2*IF(IF(Simulations!$I63="",5000,Simulations!$I63)&gt;0,SQRT(PI()/2)*IF(Simulations!$X63="",1000,Simulations!$X63),1)),Simulations!$BX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U63="",200,Simulations!$U63)^2*IF(Simulations!$X63="",1000,Simulations!$X63)/2^1.5*(2/3*LN(Simulations!$BZ63/IF(Simulations!$J63="",1000,Simulations!$J63))^1.5+SQRT(LN(Simulations!$BZ63/IF(Simulations!$J63="",1000,Simulations!$J63)))+Simulations!$BZ63/IF(Simulations!$J63="",1000,Simulations!$J63)*SQRT(PI())/2*ERFC(SQRT(LN(Simulations!$BZ63/IF(Simulations!$J63="",1000,Simulations!$J63))))),PI()*IF(Simulations!$U63="",200,Simulations!$U63)^2/2*(LN(Simulations!$BZ63/IF(Simulations!$J63="",1000,Simulations!$J63))+1))))</f>
        <v>0</v>
      </c>
      <c r="P63" s="0" t="n">
        <f aca="false">IF(OR(NOT(AND(Simulations!$A63&lt;&gt;"",OR(Simulations!$BV63&lt;&gt;"",N(Simulations!$BX63)&gt;0))),N(Simulations!$CA63)&lt;=0,N(Simulations!$BX63)&lt;=0,3&gt;N(IF(Simulations!$O63="",1,Simulations!$O63))),0,IF(Simulations!$CA63&lt;IF(Simulations!$J63="",1000,Simulations!$J63),Simulations!$BX63/(IF(Simulations!$G63="",5000,Simulations!$G63)*IF(Simulations!$H63="",5000,Simulations!$H63)*IF(IF(Simulations!$I63="",5000,Simulations!$I63)&gt;0,IF(Simulations!$I63="",5000,Simulations!$I63),1))*Simulations!$CA63*(PI()/2*IF(Simulations!$V63="",200,Simulations!$V63)^2*IF(IF(Simulations!$I63="",5000,Simulations!$I63)&gt;0,SQRT(PI()/2)*IF(Simulations!$Y63="",1000,Simulations!$Y63),1)),Simulations!$BX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V63="",200,Simulations!$V63)^2*IF(Simulations!$Y63="",1000,Simulations!$Y63)/2^1.5*(2/3*LN(Simulations!$CA63/IF(Simulations!$J63="",1000,Simulations!$J63))^1.5+SQRT(LN(Simulations!$CA63/IF(Simulations!$J63="",1000,Simulations!$J63)))+Simulations!$CA63/IF(Simulations!$J63="",1000,Simulations!$J63)*SQRT(PI())/2*ERFC(SQRT(LN(Simulations!$CA63/IF(Simulations!$J63="",1000,Simulations!$J63))))),PI()*IF(Simulations!$V63="",200,Simulations!$V63)^2/2*(LN(Simulations!$CA63/IF(Simulations!$J63="",1000,Simulations!$J63))+1))))</f>
        <v>0</v>
      </c>
      <c r="Q63" s="0" t="n">
        <f aca="false">IF(NOT(AND(Simulations!$A63&lt;&gt;"",OR(Simulations!$BV63&lt;&gt;"",N(Simulations!$BX63)&gt;0))),0,MAX(N(Simulations!$BY63),N(Simulations!$BZ63),N(Simulations!$CA63))/IF(Simulations!$J63="",1000,Simulations!$J63))</f>
        <v>0</v>
      </c>
      <c r="R63" s="0" t="n">
        <f aca="false">IF(OR(NOT(AND(Simulations!$A63&lt;&gt;"",OR(Simulations!$BV63&lt;&gt;"",N(Simulations!$BX63)&gt;0))),N(Simulations!$BW63)&lt;=0),0,SQRT(2*Simulations!$BW63*1000000/(IF(Simulations!$J63="",1000,Simulations!$J63)*1000))/MIN(IF(Simulations!$T63="",200,Simulations!$T63),IF(Simulations!$U63="",200,Simulations!$U63),IF(Simulations!$V63="",200,Simulations!$V63)))</f>
        <v>0</v>
      </c>
      <c r="S63" s="0" t="n">
        <f aca="false">IF(AND(Simulations!$A63&lt;&gt;"",OR(Simulations!$BV63&lt;&gt;"",N(Simulations!$BX63)&gt;0)),1,0)</f>
        <v>0</v>
      </c>
      <c r="T63" s="0" t="n">
        <f aca="false">IF(OR(NOT(AND(Simulations!$A63&lt;&gt;"",OR(Simulations!$CN63&lt;&gt;"",N(Simulations!$CP63)&gt;0))),N(Simulations!$CQ63)&lt;=0,N(Simulations!$CP63)&lt;=0,1&gt;N(IF(Simulations!$O63="",1,Simulations!$O63))),0,IF(Simulations!$CQ63&lt;IF(Simulations!$J63="",1000,Simulations!$J63),Simulations!$CP63/(IF(Simulations!$G63="",5000,Simulations!$G63)*IF(Simulations!$H63="",5000,Simulations!$H63)*IF(IF(Simulations!$I63="",5000,Simulations!$I63)&gt;0,IF(Simulations!$I63="",5000,Simulations!$I63),1))*Simulations!$CQ63*(PI()/2*IF(Simulations!$T63="",200,Simulations!$T63)^2*IF(IF(Simulations!$I63="",5000,Simulations!$I63)&gt;0,SQRT(PI()/2)*IF(Simulations!$W63="",1000,Simulations!$W63),1)),Simulations!$CP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T63="",200,Simulations!$T63)^2*IF(Simulations!$W63="",1000,Simulations!$W63)/2^1.5*(2/3*LN(Simulations!$CQ63/IF(Simulations!$J63="",1000,Simulations!$J63))^1.5+SQRT(LN(Simulations!$CQ63/IF(Simulations!$J63="",1000,Simulations!$J63)))+Simulations!$CQ63/IF(Simulations!$J63="",1000,Simulations!$J63)*SQRT(PI())/2*ERFC(SQRT(LN(Simulations!$CQ63/IF(Simulations!$J63="",1000,Simulations!$J63))))),PI()*IF(Simulations!$T63="",200,Simulations!$T63)^2/2*(LN(Simulations!$CQ63/IF(Simulations!$J63="",1000,Simulations!$J63))+1))))</f>
        <v>0</v>
      </c>
      <c r="U63" s="0" t="n">
        <f aca="false">IF(OR(NOT(AND(Simulations!$A63&lt;&gt;"",OR(Simulations!$CN63&lt;&gt;"",N(Simulations!$CP63)&gt;0))),N(Simulations!$CR63)&lt;=0,N(Simulations!$CP63)&lt;=0,2&gt;N(IF(Simulations!$O63="",1,Simulations!$O63))),0,IF(Simulations!$CR63&lt;IF(Simulations!$J63="",1000,Simulations!$J63),Simulations!$CP63/(IF(Simulations!$G63="",5000,Simulations!$G63)*IF(Simulations!$H63="",5000,Simulations!$H63)*IF(IF(Simulations!$I63="",5000,Simulations!$I63)&gt;0,IF(Simulations!$I63="",5000,Simulations!$I63),1))*Simulations!$CR63*(PI()/2*IF(Simulations!$U63="",200,Simulations!$U63)^2*IF(IF(Simulations!$I63="",5000,Simulations!$I63)&gt;0,SQRT(PI()/2)*IF(Simulations!$X63="",1000,Simulations!$X63),1)),Simulations!$CP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U63="",200,Simulations!$U63)^2*IF(Simulations!$X63="",1000,Simulations!$X63)/2^1.5*(2/3*LN(Simulations!$CR63/IF(Simulations!$J63="",1000,Simulations!$J63))^1.5+SQRT(LN(Simulations!$CR63/IF(Simulations!$J63="",1000,Simulations!$J63)))+Simulations!$CR63/IF(Simulations!$J63="",1000,Simulations!$J63)*SQRT(PI())/2*ERFC(SQRT(LN(Simulations!$CR63/IF(Simulations!$J63="",1000,Simulations!$J63))))),PI()*IF(Simulations!$U63="",200,Simulations!$U63)^2/2*(LN(Simulations!$CR63/IF(Simulations!$J63="",1000,Simulations!$J63))+1))))</f>
        <v>0</v>
      </c>
      <c r="V63" s="0" t="n">
        <f aca="false">IF(OR(NOT(AND(Simulations!$A63&lt;&gt;"",OR(Simulations!$CN63&lt;&gt;"",N(Simulations!$CP63)&gt;0))),N(Simulations!$CS63)&lt;=0,N(Simulations!$CP63)&lt;=0,3&gt;N(IF(Simulations!$O63="",1,Simulations!$O63))),0,IF(Simulations!$CS63&lt;IF(Simulations!$J63="",1000,Simulations!$J63),Simulations!$CP63/(IF(Simulations!$G63="",5000,Simulations!$G63)*IF(Simulations!$H63="",5000,Simulations!$H63)*IF(IF(Simulations!$I63="",5000,Simulations!$I63)&gt;0,IF(Simulations!$I63="",5000,Simulations!$I63),1))*Simulations!$CS63*(PI()/2*IF(Simulations!$V63="",200,Simulations!$V63)^2*IF(IF(Simulations!$I63="",5000,Simulations!$I63)&gt;0,SQRT(PI()/2)*IF(Simulations!$Y63="",1000,Simulations!$Y63),1)),Simulations!$CP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V63="",200,Simulations!$V63)^2*IF(Simulations!$Y63="",1000,Simulations!$Y63)/2^1.5*(2/3*LN(Simulations!$CS63/IF(Simulations!$J63="",1000,Simulations!$J63))^1.5+SQRT(LN(Simulations!$CS63/IF(Simulations!$J63="",1000,Simulations!$J63)))+Simulations!$CS63/IF(Simulations!$J63="",1000,Simulations!$J63)*SQRT(PI())/2*ERFC(SQRT(LN(Simulations!$CS63/IF(Simulations!$J63="",1000,Simulations!$J63))))),PI()*IF(Simulations!$V63="",200,Simulations!$V63)^2/2*(LN(Simulations!$CS63/IF(Simulations!$J63="",1000,Simulations!$J63))+1))))</f>
        <v>0</v>
      </c>
      <c r="W63" s="0" t="n">
        <f aca="false">IF(NOT(AND(Simulations!$A63&lt;&gt;"",OR(Simulations!$CN63&lt;&gt;"",N(Simulations!$CP63)&gt;0))),0,MAX(N(Simulations!$CQ63),N(Simulations!$CR63),N(Simulations!$CS63))/IF(Simulations!$J63="",1000,Simulations!$J63))</f>
        <v>0</v>
      </c>
      <c r="X63" s="0" t="n">
        <f aca="false">IF(OR(NOT(AND(Simulations!$A63&lt;&gt;"",OR(Simulations!$CN63&lt;&gt;"",N(Simulations!$CP63)&gt;0))),N(Simulations!$CO63)&lt;=0),0,SQRT(2*Simulations!$CO63*1000000/(IF(Simulations!$J63="",1000,Simulations!$J63)*1000))/MIN(IF(Simulations!$T63="",200,Simulations!$T63),IF(Simulations!$U63="",200,Simulations!$U63),IF(Simulations!$V63="",200,Simulations!$V63)))</f>
        <v>0</v>
      </c>
      <c r="Y63" s="0" t="n">
        <f aca="false">IF(AND(Simulations!$A63&lt;&gt;"",OR(Simulations!$CN63&lt;&gt;"",N(Simulations!$CP63)&gt;0)),1,0)</f>
        <v>0</v>
      </c>
      <c r="Z63" s="0" t="n">
        <f aca="false">IF(OR(NOT(AND(Simulations!$A63&lt;&gt;"",OR(Simulations!$DF63&lt;&gt;"",N(Simulations!$DH63)&gt;0))),N(Simulations!$DI63)&lt;=0,N(Simulations!$DH63)&lt;=0,1&gt;N(IF(Simulations!$O63="",1,Simulations!$O63))),0,IF(Simulations!$DI63&lt;IF(Simulations!$J63="",1000,Simulations!$J63),Simulations!$DH63/(IF(Simulations!$G63="",5000,Simulations!$G63)*IF(Simulations!$H63="",5000,Simulations!$H63)*IF(IF(Simulations!$I63="",5000,Simulations!$I63)&gt;0,IF(Simulations!$I63="",5000,Simulations!$I63),1))*Simulations!$DI63*(PI()/2*IF(Simulations!$T63="",200,Simulations!$T63)^2*IF(IF(Simulations!$I63="",5000,Simulations!$I63)&gt;0,SQRT(PI()/2)*IF(Simulations!$W63="",1000,Simulations!$W63),1)),Simulations!$DH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T63="",200,Simulations!$T63)^2*IF(Simulations!$W63="",1000,Simulations!$W63)/2^1.5*(2/3*LN(Simulations!$DI63/IF(Simulations!$J63="",1000,Simulations!$J63))^1.5+SQRT(LN(Simulations!$DI63/IF(Simulations!$J63="",1000,Simulations!$J63)))+Simulations!$DI63/IF(Simulations!$J63="",1000,Simulations!$J63)*SQRT(PI())/2*ERFC(SQRT(LN(Simulations!$DI63/IF(Simulations!$J63="",1000,Simulations!$J63))))),PI()*IF(Simulations!$T63="",200,Simulations!$T63)^2/2*(LN(Simulations!$DI63/IF(Simulations!$J63="",1000,Simulations!$J63))+1))))</f>
        <v>0</v>
      </c>
      <c r="AA63" s="0" t="n">
        <f aca="false">IF(OR(NOT(AND(Simulations!$A63&lt;&gt;"",OR(Simulations!$DF63&lt;&gt;"",N(Simulations!$DH63)&gt;0))),N(Simulations!$DJ63)&lt;=0,N(Simulations!$DH63)&lt;=0,2&gt;N(IF(Simulations!$O63="",1,Simulations!$O63))),0,IF(Simulations!$DJ63&lt;IF(Simulations!$J63="",1000,Simulations!$J63),Simulations!$DH63/(IF(Simulations!$G63="",5000,Simulations!$G63)*IF(Simulations!$H63="",5000,Simulations!$H63)*IF(IF(Simulations!$I63="",5000,Simulations!$I63)&gt;0,IF(Simulations!$I63="",5000,Simulations!$I63),1))*Simulations!$DJ63*(PI()/2*IF(Simulations!$U63="",200,Simulations!$U63)^2*IF(IF(Simulations!$I63="",5000,Simulations!$I63)&gt;0,SQRT(PI()/2)*IF(Simulations!$X63="",1000,Simulations!$X63),1)),Simulations!$DH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U63="",200,Simulations!$U63)^2*IF(Simulations!$X63="",1000,Simulations!$X63)/2^1.5*(2/3*LN(Simulations!$DJ63/IF(Simulations!$J63="",1000,Simulations!$J63))^1.5+SQRT(LN(Simulations!$DJ63/IF(Simulations!$J63="",1000,Simulations!$J63)))+Simulations!$DJ63/IF(Simulations!$J63="",1000,Simulations!$J63)*SQRT(PI())/2*ERFC(SQRT(LN(Simulations!$DJ63/IF(Simulations!$J63="",1000,Simulations!$J63))))),PI()*IF(Simulations!$U63="",200,Simulations!$U63)^2/2*(LN(Simulations!$DJ63/IF(Simulations!$J63="",1000,Simulations!$J63))+1))))</f>
        <v>0</v>
      </c>
      <c r="AB63" s="0" t="n">
        <f aca="false">IF(OR(NOT(AND(Simulations!$A63&lt;&gt;"",OR(Simulations!$DF63&lt;&gt;"",N(Simulations!$DH63)&gt;0))),N(Simulations!$DK63)&lt;=0,N(Simulations!$DH63)&lt;=0,3&gt;N(IF(Simulations!$O63="",1,Simulations!$O63))),0,IF(Simulations!$DK63&lt;IF(Simulations!$J63="",1000,Simulations!$J63),Simulations!$DH63/(IF(Simulations!$G63="",5000,Simulations!$G63)*IF(Simulations!$H63="",5000,Simulations!$H63)*IF(IF(Simulations!$I63="",5000,Simulations!$I63)&gt;0,IF(Simulations!$I63="",5000,Simulations!$I63),1))*Simulations!$DK63*(PI()/2*IF(Simulations!$V63="",200,Simulations!$V63)^2*IF(IF(Simulations!$I63="",5000,Simulations!$I63)&gt;0,SQRT(PI()/2)*IF(Simulations!$Y63="",1000,Simulations!$Y63),1)),Simulations!$DH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V63="",200,Simulations!$V63)^2*IF(Simulations!$Y63="",1000,Simulations!$Y63)/2^1.5*(2/3*LN(Simulations!$DK63/IF(Simulations!$J63="",1000,Simulations!$J63))^1.5+SQRT(LN(Simulations!$DK63/IF(Simulations!$J63="",1000,Simulations!$J63)))+Simulations!$DK63/IF(Simulations!$J63="",1000,Simulations!$J63)*SQRT(PI())/2*ERFC(SQRT(LN(Simulations!$DK63/IF(Simulations!$J63="",1000,Simulations!$J63))))),PI()*IF(Simulations!$V63="",200,Simulations!$V63)^2/2*(LN(Simulations!$DK63/IF(Simulations!$J63="",1000,Simulations!$J63))+1))))</f>
        <v>0</v>
      </c>
      <c r="AC63" s="0" t="n">
        <f aca="false">IF(NOT(AND(Simulations!$A63&lt;&gt;"",OR(Simulations!$DF63&lt;&gt;"",N(Simulations!$DH63)&gt;0))),0,MAX(N(Simulations!$DI63),N(Simulations!$DJ63),N(Simulations!$DK63))/IF(Simulations!$J63="",1000,Simulations!$J63))</f>
        <v>0</v>
      </c>
      <c r="AD63" s="0" t="n">
        <f aca="false">IF(OR(NOT(AND(Simulations!$A63&lt;&gt;"",OR(Simulations!$DF63&lt;&gt;"",N(Simulations!$DH63)&gt;0))),N(Simulations!$DG63)&lt;=0),0,SQRT(2*Simulations!$DG63*1000000/(IF(Simulations!$J63="",1000,Simulations!$J63)*1000))/MIN(IF(Simulations!$T63="",200,Simulations!$T63),IF(Simulations!$U63="",200,Simulations!$U63),IF(Simulations!$V63="",200,Simulations!$V63)))</f>
        <v>0</v>
      </c>
      <c r="AE63" s="0" t="n">
        <f aca="false">IF(AND(Simulations!$A63&lt;&gt;"",OR(Simulations!$DF63&lt;&gt;"",N(Simulations!$DH63)&gt;0)),1,0)</f>
        <v>0</v>
      </c>
      <c r="AF63" s="0" t="n">
        <f aca="false">IF(OR(NOT(AND(Simulations!$A63&lt;&gt;"",OR(Simulations!$DX63&lt;&gt;"",N(Simulations!$DZ63)&gt;0))),N(Simulations!$EA63)&lt;=0,N(Simulations!$DZ63)&lt;=0,1&gt;N(IF(Simulations!$O63="",1,Simulations!$O63))),0,IF(Simulations!$EA63&lt;IF(Simulations!$J63="",1000,Simulations!$J63),Simulations!$DZ63/(IF(Simulations!$G63="",5000,Simulations!$G63)*IF(Simulations!$H63="",5000,Simulations!$H63)*IF(IF(Simulations!$I63="",5000,Simulations!$I63)&gt;0,IF(Simulations!$I63="",5000,Simulations!$I63),1))*Simulations!$EA63*(PI()/2*IF(Simulations!$T63="",200,Simulations!$T63)^2*IF(IF(Simulations!$I63="",5000,Simulations!$I63)&gt;0,SQRT(PI()/2)*IF(Simulations!$W63="",1000,Simulations!$W63),1)),Simulations!$DZ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T63="",200,Simulations!$T63)^2*IF(Simulations!$W63="",1000,Simulations!$W63)/2^1.5*(2/3*LN(Simulations!$EA63/IF(Simulations!$J63="",1000,Simulations!$J63))^1.5+SQRT(LN(Simulations!$EA63/IF(Simulations!$J63="",1000,Simulations!$J63)))+Simulations!$EA63/IF(Simulations!$J63="",1000,Simulations!$J63)*SQRT(PI())/2*ERFC(SQRT(LN(Simulations!$EA63/IF(Simulations!$J63="",1000,Simulations!$J63))))),PI()*IF(Simulations!$T63="",200,Simulations!$T63)^2/2*(LN(Simulations!$EA63/IF(Simulations!$J63="",1000,Simulations!$J63))+1))))</f>
        <v>0</v>
      </c>
      <c r="AG63" s="0" t="n">
        <f aca="false">IF(OR(NOT(AND(Simulations!$A63&lt;&gt;"",OR(Simulations!$DX63&lt;&gt;"",N(Simulations!$DZ63)&gt;0))),N(Simulations!$EB63)&lt;=0,N(Simulations!$DZ63)&lt;=0,2&gt;N(IF(Simulations!$O63="",1,Simulations!$O63))),0,IF(Simulations!$EB63&lt;IF(Simulations!$J63="",1000,Simulations!$J63),Simulations!$DZ63/(IF(Simulations!$G63="",5000,Simulations!$G63)*IF(Simulations!$H63="",5000,Simulations!$H63)*IF(IF(Simulations!$I63="",5000,Simulations!$I63)&gt;0,IF(Simulations!$I63="",5000,Simulations!$I63),1))*Simulations!$EB63*(PI()/2*IF(Simulations!$U63="",200,Simulations!$U63)^2*IF(IF(Simulations!$I63="",5000,Simulations!$I63)&gt;0,SQRT(PI()/2)*IF(Simulations!$X63="",1000,Simulations!$X63),1)),Simulations!$DZ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U63="",200,Simulations!$U63)^2*IF(Simulations!$X63="",1000,Simulations!$X63)/2^1.5*(2/3*LN(Simulations!$EB63/IF(Simulations!$J63="",1000,Simulations!$J63))^1.5+SQRT(LN(Simulations!$EB63/IF(Simulations!$J63="",1000,Simulations!$J63)))+Simulations!$EB63/IF(Simulations!$J63="",1000,Simulations!$J63)*SQRT(PI())/2*ERFC(SQRT(LN(Simulations!$EB63/IF(Simulations!$J63="",1000,Simulations!$J63))))),PI()*IF(Simulations!$U63="",200,Simulations!$U63)^2/2*(LN(Simulations!$EB63/IF(Simulations!$J63="",1000,Simulations!$J63))+1))))</f>
        <v>0</v>
      </c>
      <c r="AH63" s="0" t="n">
        <f aca="false">IF(OR(NOT(AND(Simulations!$A63&lt;&gt;"",OR(Simulations!$DX63&lt;&gt;"",N(Simulations!$DZ63)&gt;0))),N(Simulations!$EC63)&lt;=0,N(Simulations!$DZ63)&lt;=0,3&gt;N(IF(Simulations!$O63="",1,Simulations!$O63))),0,IF(Simulations!$EC63&lt;IF(Simulations!$J63="",1000,Simulations!$J63),Simulations!$DZ63/(IF(Simulations!$G63="",5000,Simulations!$G63)*IF(Simulations!$H63="",5000,Simulations!$H63)*IF(IF(Simulations!$I63="",5000,Simulations!$I63)&gt;0,IF(Simulations!$I63="",5000,Simulations!$I63),1))*Simulations!$EC63*(PI()/2*IF(Simulations!$V63="",200,Simulations!$V63)^2*IF(IF(Simulations!$I63="",5000,Simulations!$I63)&gt;0,SQRT(PI()/2)*IF(Simulations!$Y63="",1000,Simulations!$Y63),1)),Simulations!$DZ63/(IF(Simulations!$G63="",5000,Simulations!$G63)*IF(Simulations!$H63="",5000,Simulations!$H63)*IF(IF(Simulations!$I63="",5000,Simulations!$I63)&gt;0,IF(Simulations!$I63="",5000,Simulations!$I63),1))*IF(Simulations!$J63="",1000,Simulations!$J63)*IF(IF(Simulations!$I63="",5000,Simulations!$I63)&gt;0,2*PI()*IF(Simulations!$V63="",200,Simulations!$V63)^2*IF(Simulations!$Y63="",1000,Simulations!$Y63)/2^1.5*(2/3*LN(Simulations!$EC63/IF(Simulations!$J63="",1000,Simulations!$J63))^1.5+SQRT(LN(Simulations!$EC63/IF(Simulations!$J63="",1000,Simulations!$J63)))+Simulations!$EC63/IF(Simulations!$J63="",1000,Simulations!$J63)*SQRT(PI())/2*ERFC(SQRT(LN(Simulations!$EC63/IF(Simulations!$J63="",1000,Simulations!$J63))))),PI()*IF(Simulations!$V63="",200,Simulations!$V63)^2/2*(LN(Simulations!$EC63/IF(Simulations!$J63="",1000,Simulations!$J63))+1))))</f>
        <v>0</v>
      </c>
      <c r="AI63" s="0" t="n">
        <f aca="false">IF(NOT(AND(Simulations!$A63&lt;&gt;"",OR(Simulations!$DX63&lt;&gt;"",N(Simulations!$DZ63)&gt;0))),0,MAX(N(Simulations!$EA63),N(Simulations!$EB63),N(Simulations!$EC63))/IF(Simulations!$J63="",1000,Simulations!$J63))</f>
        <v>0</v>
      </c>
      <c r="AJ63" s="0" t="n">
        <f aca="false">IF(OR(NOT(AND(Simulations!$A63&lt;&gt;"",OR(Simulations!$DX63&lt;&gt;"",N(Simulations!$DZ63)&gt;0))),N(Simulations!$DY63)&lt;=0),0,SQRT(2*Simulations!$DY63*1000000/(IF(Simulations!$J63="",1000,Simulations!$J63)*1000))/MIN(IF(Simulations!$T63="",200,Simulations!$T63),IF(Simulations!$U63="",200,Simulations!$U63),IF(Simulations!$V63="",200,Simulations!$V63)))</f>
        <v>0</v>
      </c>
      <c r="AK63" s="0" t="n">
        <f aca="false">IF(AND(Simulations!$A63&lt;&gt;"",OR(Simulations!$DX63&lt;&gt;"",N(Simulations!$DZ63)&gt;0)),1,0)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2026-10-14T09:38:40Z</dcterms:created>
  <dc:creator>openpyxl</dc:creator>
  <dc:description/>
  <dc:language>en-US</dc:language>
  <cp:lastModifiedBy/>
  <dcterms:modified xsi:type="dcterms:W3CDTF">2026-10-14T09:38:41Z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