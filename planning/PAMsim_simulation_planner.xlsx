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ow to use" sheetId="1" state="visible" r:id="rId3"/>
    <sheet name="Simulations" sheetId="2" state="visible" r:id="rId4"/>
    <sheet name="Species" sheetId="3" state="visible" r:id="rId5"/>
    <sheet name="Lists" sheetId="4" state="hidden" r:id="rId6"/>
  </sheets>
  <definedNames>
    <definedName function="false" hidden="true" localSheetId="1" name="_xlnm._FilterDatabase" vbProcedure="false">Simulations!$A$2:$AM$62</definedName>
    <definedName function="false" hidden="true" localSheetId="2" name="_xlnm._FilterDatabase" vbProcedure="false">Species!$A$2:$V$302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Unique short ID, e.g. S12. Used to link species.</t>
        </r>
      </text>
    </comment>
    <comment ref="B2" authorId="0">
      <text>
        <r>
          <rPr>
            <sz val="10"/>
            <rFont val="Arial"/>
            <family val="2"/>
          </rPr>
          <t xml:space="preserve">PAMsim 'File name': files become &lt;name&gt;_1.sim, ...</t>
        </r>
      </text>
    </comment>
    <comment ref="F2" authorId="0">
      <text>
        <r>
          <rPr>
            <sz val="10"/>
            <rFont val="Arial"/>
            <family val="2"/>
          </rPr>
          <t xml:space="preserve">1 = highest</t>
        </r>
      </text>
    </comment>
    <comment ref="I2" authorId="0">
      <text>
        <r>
          <rPr>
            <sz val="10"/>
            <rFont val="Arial"/>
            <family val="2"/>
          </rPr>
          <t xml:space="preserve">0 = 2D (membrane)</t>
        </r>
      </text>
    </comment>
    <comment ref="O2" authorId="0">
      <text>
        <r>
          <rPr>
            <sz val="10"/>
            <rFont val="Arial"/>
            <family val="2"/>
          </rPr>
          <t xml:space="preserve">Number of colours / PIE lasers (1-4)</t>
        </r>
      </text>
    </comment>
    <comment ref="T2" authorId="0">
      <text>
        <r>
          <rPr>
            <sz val="10"/>
            <rFont val="Arial"/>
            <family val="2"/>
          </rPr>
          <t xml:space="preserve">1/e² radius, same for all colours here</t>
        </r>
      </text>
    </comment>
    <comment ref="W2" authorId="0">
      <text>
        <r>
          <rPr>
            <sz val="10"/>
            <rFont val="Arial"/>
            <family val="2"/>
          </rPr>
          <t xml:space="preserve">Empty = random</t>
        </r>
      </text>
    </comment>
    <comment ref="AG2" authorId="0">
      <text>
        <r>
          <rPr>
            <sz val="10"/>
            <rFont val="Arial"/>
            <family val="2"/>
          </rPr>
          <t xml:space="preserve">Largest diffusion step of all species divided by wr; keep &lt; 0.1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2" authorId="0">
      <text>
        <r>
          <rPr>
            <sz val="10"/>
            <rFont val="Arial"/>
            <family val="2"/>
          </rPr>
          <t xml:space="preserve">Largest brightness of this species divided by the sampling frequency. Keep &lt; 10 %.</t>
        </r>
      </text>
    </comment>
    <comment ref="Q2" authorId="0">
      <text>
        <r>
          <rPr>
            <sz val="10"/>
            <rFont val="Arial"/>
            <family val="2"/>
          </rPr>
          <t xml:space="preserve">Gaussian focus: c · brightness · (π/2)^1.5 · wr² · wz. If brightness &gt;= frequency the saturated focus is integrated exactly (same model as the PAMsim Check panel). FRET and crosstalk are ignored.</t>
        </r>
      </text>
    </comment>
    <comment ref="U2" authorId="0">
      <text>
        <r>
          <rPr>
            <sz val="10"/>
            <rFont val="Arial"/>
            <family val="2"/>
          </rPr>
          <t xml:space="preserve">sqrt(2·D·dt) / wr with dt = 1/sampling frequency. Keep &lt; 0.1.</t>
        </r>
      </text>
    </comment>
  </commentList>
</comments>
</file>

<file path=xl/sharedStrings.xml><?xml version="1.0" encoding="utf-8"?>
<sst xmlns="http://schemas.openxmlformats.org/spreadsheetml/2006/main" count="362" uniqueCount="151">
  <si>
    <t xml:space="preserve">PAMsim simulation planner</t>
  </si>
  <si>
    <t xml:space="preserve">Plan your simulations here, then type the values into PAMsim (or Sim.m).</t>
  </si>
  <si>
    <t xml:space="preserve">How it works</t>
  </si>
  <si>
    <t xml:space="preserve">1.  Sheet 'Simulations': one row per simulation (measurement settings, output, status, results).</t>
  </si>
  <si>
    <t xml:space="preserve">2.  Sheet 'Species': one row per molecule species. Link it to its simulation with the Sim ID (dropdown).</t>
  </si>
  <si>
    <t xml:space="preserve">3.  Grey columns are calculated automatically: concentration, expected count rates, photons, memory and checks.</t>
  </si>
  <si>
    <t xml:space="preserve">4.  Fix every red check before running a simulation; orange checks bias the results slightly.</t>
  </si>
  <si>
    <t xml:space="preserve">Colour code</t>
  </si>
  <si>
    <t xml:space="preserve">Yellow cells with blue text = your input.   Grey cells with black text = formulas (do not overwrite).</t>
  </si>
  <si>
    <t xml:space="preserve">Rules of thumb (from the PAMsim checks)</t>
  </si>
  <si>
    <t xml:space="preserve">•  Brightness &lt; 10% of the sampling frequency (e.g. &lt; 100 kHz at 1000 kHz). Above it the focus saturates:</t>
  </si>
  <si>
    <t xml:space="preserve">    the fitted D comes out too small and the concentration too large. At &gt;= 100% the excitation is fully saturated.</t>
  </si>
  <si>
    <t xml:space="preserve">•  One diffusion step sqrt(2·D·dt) should be &lt; 10% of wr; otherwise raise the sampling frequency.</t>
  </si>
  <si>
    <t xml:space="preserve">•  Box &gt;= 8·wr laterally and &gt;= 3·wz axially.</t>
  </si>
  <si>
    <t xml:space="preserve">•  Memory ≈ 12 bytes per photon and file. For very long runs use several files (Number of files) instead.</t>
  </si>
  <si>
    <t xml:space="preserve">•  Expected count rates: Gaussian focus incl. saturation (as in PAMsim's Check panel); FRET and crosstalk are ignored.</t>
  </si>
  <si>
    <t xml:space="preserve">Units</t>
  </si>
  <si>
    <t xml:space="preserve">nm (box, wr, wz) · kHz (sampling frequency, brightness, background) · s (duration) · ns (lifetime, microtime range)</t>
  </si>
  <si>
    <t xml:space="preserve">µm²/s (D) · nM (concentration) · kHz (count rates) · million photons · GB</t>
  </si>
  <si>
    <t xml:space="preserve">Example rows</t>
  </si>
  <si>
    <t xml:space="preserve">S00 is a worked example with realistic values. S01-S11 are the simulations from your earlier spreadsheet</t>
  </si>
  <si>
    <t xml:space="preserve">(box 5000 nm assumed, wr 200 nm, wz 1000 nm) - the checks show which of them saturate. Delete or overwrite rows freely.</t>
  </si>
  <si>
    <t xml:space="preserve">Identification</t>
  </si>
  <si>
    <t xml:space="preserve">Measurement</t>
  </si>
  <si>
    <t xml:space="preserve">Focus</t>
  </si>
  <si>
    <t xml:space="preserve">Output</t>
  </si>
  <si>
    <t xml:space="preserve">Automatic estimates and checks</t>
  </si>
  <si>
    <t xml:space="preserve">Results</t>
  </si>
  <si>
    <t xml:space="preserve">Sim ID</t>
  </si>
  <si>
    <t xml:space="preserve">File name</t>
  </si>
  <si>
    <t xml:space="preserve">Purpose / question</t>
  </si>
  <si>
    <t xml:space="preserve">Output folder</t>
  </si>
  <si>
    <t xml:space="preserve">Status</t>
  </si>
  <si>
    <t xml:space="preserve">Priority</t>
  </si>
  <si>
    <t xml:space="preserve">Box x [nm]</t>
  </si>
  <si>
    <t xml:space="preserve">Box y [nm]</t>
  </si>
  <si>
    <t xml:space="preserve">Box z [nm]</t>
  </si>
  <si>
    <t xml:space="preserve">Sampling freq. [kHz]</t>
  </si>
  <si>
    <t xml:space="preserve">Duration [s]</t>
  </si>
  <si>
    <t xml:space="preserve">Frames</t>
  </si>
  <si>
    <t xml:space="preserve">Microtime range [ns]</t>
  </si>
  <si>
    <t xml:space="preserve">Scan type</t>
  </si>
  <si>
    <t xml:space="preserve">Colours</t>
  </si>
  <si>
    <t xml:space="preserve">Background?</t>
  </si>
  <si>
    <t xml:space="preserve">Background [kHz/ch]</t>
  </si>
  <si>
    <t xml:space="preserve">IRF?</t>
  </si>
  <si>
    <t xml:space="preserve">IRF width [ps]</t>
  </si>
  <si>
    <t xml:space="preserve">wr [nm]</t>
  </si>
  <si>
    <t xml:space="preserve">wz [nm]</t>
  </si>
  <si>
    <t xml:space="preserve">Number of files</t>
  </si>
  <si>
    <t xml:space="preserve">Seed</t>
  </si>
  <si>
    <t xml:space="preserve">Format</t>
  </si>
  <si>
    <t xml:space="preserve">Species</t>
  </si>
  <si>
    <t xml:space="preserve">Total molecules</t>
  </si>
  <si>
    <t xml:space="preserve">Exp. rate ch1 [kHz]</t>
  </si>
  <si>
    <t xml:space="preserve">Exp. rate ch2 [kHz]</t>
  </si>
  <si>
    <t xml:space="preserve">Exp. rate ch3 [kHz]</t>
  </si>
  <si>
    <t xml:space="preserve">Exp. rate ch4 [kHz]</t>
  </si>
  <si>
    <t xml:space="preserve">Photons per file [M]</t>
  </si>
  <si>
    <t xml:space="preserve">Memory per file [GB]</t>
  </si>
  <si>
    <t xml:space="preserve">Diff. step / wr (max)</t>
  </si>
  <si>
    <t xml:space="preserve">Check</t>
  </si>
  <si>
    <t xml:space="preserve">Date run</t>
  </si>
  <si>
    <t xml:space="preserve">Run time [min]</t>
  </si>
  <si>
    <t xml:space="preserve">Fitted D [µm²/s]</t>
  </si>
  <si>
    <t xml:space="preserve">Fitted c [nM]</t>
  </si>
  <si>
    <t xml:space="preserve">Result notes</t>
  </si>
  <si>
    <t xml:space="preserve">S00</t>
  </si>
  <si>
    <t xml:space="preserve">example_3C_realistic</t>
  </si>
  <si>
    <t xml:space="preserve">EXAMPLE: realistic 3-colour FCCS (brightness &lt; 10% of the frequency)</t>
  </si>
  <si>
    <t xml:space="preserve">/Fablab 4/Users/Fabio/PhD/Projects/3C_FCCS/Simulation</t>
  </si>
  <si>
    <t xml:space="preserve">Idea</t>
  </si>
  <si>
    <t xml:space="preserve">Point</t>
  </si>
  <si>
    <t xml:space="preserve">No</t>
  </si>
  <si>
    <t xml:space="preserve">.sim</t>
  </si>
  <si>
    <t xml:space="preserve">Example row - shows the expected format</t>
  </si>
  <si>
    <t xml:space="preserve">S01</t>
  </si>
  <si>
    <t xml:space="preserve">Simulation_800N_15D_200wr_1000wz_60s_60ns</t>
  </si>
  <si>
    <t xml:space="preserve">Just to see if the code works</t>
  </si>
  <si>
    <t xml:space="preserve">Planned</t>
  </si>
  <si>
    <t xml:space="preserve">from Simulation_parameters.xlsx (box size assumed)</t>
  </si>
  <si>
    <t xml:space="preserve">S02</t>
  </si>
  <si>
    <t xml:space="preserve">Simulation_100Nx3_200wr_1000wz_60s_60ns_3colorXspecies</t>
  </si>
  <si>
    <t xml:space="preserve">To verify that no 3C cross-correlation would arise</t>
  </si>
  <si>
    <t xml:space="preserve">S03</t>
  </si>
  <si>
    <t xml:space="preserve">Simulation_complexes_1st_10N_200wr_1000wz_10s_60ns_1000kHz</t>
  </si>
  <si>
    <t xml:space="preserve">To test the code in a crowded environment</t>
  </si>
  <si>
    <t xml:space="preserve">/Fablab 4/Users/Fabio/PhD/Projects/3C_FCCS/Simulation/Complex</t>
  </si>
  <si>
    <t xml:space="preserve">S04</t>
  </si>
  <si>
    <t xml:space="preserve">Simulation_complexes_2nd_10N_200wr_1000wz_10s_60ns_1000kHz</t>
  </si>
  <si>
    <t xml:space="preserve">S05</t>
  </si>
  <si>
    <t xml:space="preserve">Simulation_complexes_3rd_10N_200wr_1000wz_10s_60ns_1000kHz</t>
  </si>
  <si>
    <t xml:space="preserve">To test whether the code would give rise to a 3C cross-correlation when wrong</t>
  </si>
  <si>
    <t xml:space="preserve">S06</t>
  </si>
  <si>
    <t xml:space="preserve">Simulation_complexes_4th_10N_200wr_1000wz_10s_60ns_1000kHz</t>
  </si>
  <si>
    <t xml:space="preserve">S07</t>
  </si>
  <si>
    <t xml:space="preserve">Crazy</t>
  </si>
  <si>
    <t xml:space="preserve">What happens to 3C if the environment is very crowded</t>
  </si>
  <si>
    <t xml:space="preserve">S08</t>
  </si>
  <si>
    <t xml:space="preserve">Crazy_2</t>
  </si>
  <si>
    <t xml:space="preserve">you need to shorten the lag time</t>
  </si>
  <si>
    <t xml:space="preserve">S09</t>
  </si>
  <si>
    <t xml:space="preserve">Crazy_3</t>
  </si>
  <si>
    <t xml:space="preserve">S10</t>
  </si>
  <si>
    <t xml:space="preserve">Crazy_4</t>
  </si>
  <si>
    <t xml:space="preserve">S11</t>
  </si>
  <si>
    <t xml:space="preserve">Crazy_2_checkup_final</t>
  </si>
  <si>
    <t xml:space="preserve">longer simulation with same concept as crazy_2 but better statistics</t>
  </si>
  <si>
    <t xml:space="preserve">/Fablab 4/Users/Fabio/PhD/Projects/3C_FCCS/Simulation/Complex/Crazy_2</t>
  </si>
  <si>
    <t xml:space="preserve">Link</t>
  </si>
  <si>
    <t xml:space="preserve">Molecule</t>
  </si>
  <si>
    <t xml:space="preserve">Brightness per colour (0 = no dye)</t>
  </si>
  <si>
    <t xml:space="preserve">Lifetime per colour</t>
  </si>
  <si>
    <t xml:space="preserve">Other</t>
  </si>
  <si>
    <t xml:space="preserve">Species name</t>
  </si>
  <si>
    <t xml:space="preserve">D [µm²/s]</t>
  </si>
  <si>
    <t xml:space="preserve">Molecules N</t>
  </si>
  <si>
    <t xml:space="preserve">Brightness 1 [kHz]</t>
  </si>
  <si>
    <t xml:space="preserve">Brightness 2 [kHz]</t>
  </si>
  <si>
    <t xml:space="preserve">Brightness 3 [kHz]</t>
  </si>
  <si>
    <t xml:space="preserve">Brightness 4 [kHz]</t>
  </si>
  <si>
    <t xml:space="preserve">Lifetime 1 [ns]</t>
  </si>
  <si>
    <t xml:space="preserve">Lifetime 2 [ns]</t>
  </si>
  <si>
    <t xml:space="preserve">Lifetime 3 [ns]</t>
  </si>
  <si>
    <t xml:space="preserve">Lifetime 4 [ns]</t>
  </si>
  <si>
    <t xml:space="preserve">FRET</t>
  </si>
  <si>
    <t xml:space="preserve">Notes</t>
  </si>
  <si>
    <t xml:space="preserve">Conc. [nM]</t>
  </si>
  <si>
    <t xml:space="preserve">Max brightness / freq.</t>
  </si>
  <si>
    <t xml:space="preserve">Diff. step / wr</t>
  </si>
  <si>
    <t xml:space="preserve">triple complex</t>
  </si>
  <si>
    <t xml:space="preserve">No FRET</t>
  </si>
  <si>
    <t xml:space="preserve">Species 1</t>
  </si>
  <si>
    <t xml:space="preserve">Species 2</t>
  </si>
  <si>
    <t xml:space="preserve">Species 3</t>
  </si>
  <si>
    <t xml:space="preserve">Species 4</t>
  </si>
  <si>
    <t xml:space="preserve">Species 5</t>
  </si>
  <si>
    <t xml:space="preserve">Species 6</t>
  </si>
  <si>
    <t xml:space="preserve">Yes/No</t>
  </si>
  <si>
    <t xml:space="preserve">Yes</t>
  </si>
  <si>
    <t xml:space="preserve">Raster scan</t>
  </si>
  <si>
    <t xml:space="preserve">Static FRET</t>
  </si>
  <si>
    <t xml:space="preserve">.npz</t>
  </si>
  <si>
    <t xml:space="preserve">Running</t>
  </si>
  <si>
    <t xml:space="preserve">Line scan</t>
  </si>
  <si>
    <t xml:space="preserve">Dynamic FRET</t>
  </si>
  <si>
    <t xml:space="preserve">both</t>
  </si>
  <si>
    <t xml:space="preserve">Done</t>
  </si>
  <si>
    <t xml:space="preserve">Circle scan</t>
  </si>
  <si>
    <t xml:space="preserve">Analysed</t>
  </si>
  <si>
    <t xml:space="preserve">Discarded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</si>
</sst>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;\-0.0;\-"/>
    <numFmt numFmtId="167" formatCode="0.00"/>
    <numFmt numFmtId="168" formatCode="0.000"/>
    <numFmt numFmtId="169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6C7"/>
        <bgColor rgb="FFFCE6C4"/>
      </patternFill>
    </fill>
    <fill>
      <patternFill patternType="solid">
        <fgColor rgb="FF2A78D6"/>
        <bgColor rgb="FF3D6B9E"/>
      </patternFill>
    </fill>
    <fill>
      <patternFill patternType="solid">
        <fgColor rgb="FF3D6B9E"/>
        <bgColor rgb="FF5A7FA8"/>
      </patternFill>
    </fill>
    <fill>
      <patternFill patternType="solid">
        <fgColor rgb="FF5A7FA8"/>
        <bgColor rgb="FF6C8EAF"/>
      </patternFill>
    </fill>
    <fill>
      <patternFill patternType="solid">
        <fgColor rgb="FF6C8EAF"/>
        <bgColor rgb="FF5A7FA8"/>
      </patternFill>
    </fill>
    <fill>
      <patternFill patternType="solid">
        <fgColor rgb="FF7A7A7A"/>
        <bgColor rgb="FF5A7FA8"/>
      </patternFill>
    </fill>
    <fill>
      <patternFill patternType="solid">
        <fgColor rgb="FF4E8A5B"/>
        <bgColor rgb="FF5A7FA8"/>
      </patternFill>
    </fill>
    <fill>
      <patternFill patternType="solid">
        <fgColor rgb="FF1F3A5F"/>
        <bgColor rgb="FF333399"/>
      </patternFill>
    </fill>
    <fill>
      <patternFill patternType="solid">
        <fgColor rgb="FFEEF2F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1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1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1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0" fillId="1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0" fillId="1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FF6C7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5EFD5"/>
          <bgColor rgb="FF000000"/>
        </patternFill>
      </fill>
    </dxf>
    <dxf>
      <fill>
        <patternFill patternType="solid">
          <fgColor rgb="FFF8D3D3"/>
          <bgColor rgb="FF000000"/>
        </patternFill>
      </fill>
    </dxf>
    <dxf>
      <fill>
        <patternFill patternType="solid">
          <fgColor rgb="FF1E6B1E"/>
          <bgColor rgb="FF000000"/>
        </patternFill>
      </fill>
    </dxf>
    <dxf>
      <fill>
        <patternFill patternType="solid">
          <fgColor rgb="FF9C1C1C"/>
          <bgColor rgb="FF000000"/>
        </patternFill>
      </fill>
    </dxf>
    <dxf>
      <font>
        <name val="Arial"/>
        <charset val="1"/>
        <family val="0"/>
        <b val="1"/>
        <color rgb="FF9C1C1C"/>
      </font>
      <fill>
        <patternFill>
          <bgColor rgb="FFF8D3D3"/>
        </patternFill>
      </fill>
    </dxf>
    <dxf>
      <font>
        <name val="Arial"/>
        <charset val="1"/>
        <family val="0"/>
        <color rgb="FF8A4B00"/>
      </font>
      <fill>
        <patternFill>
          <bgColor rgb="FFFCE6C4"/>
        </patternFill>
      </fill>
    </dxf>
    <dxf>
      <font>
        <name val="Arial"/>
        <charset val="1"/>
        <family val="0"/>
        <color rgb="FF1E6B1E"/>
      </font>
      <fill>
        <patternFill>
          <bgColor rgb="FFD5EFD5"/>
        </patternFill>
      </fill>
    </dxf>
    <dxf>
      <fill>
        <patternFill>
          <bgColor rgb="FFD5EFD5"/>
        </patternFill>
      </fill>
    </dxf>
    <dxf>
      <fill>
        <patternFill>
          <bgColor rgb="FFBFE3C6"/>
        </patternFill>
      </fill>
    </dxf>
    <dxf>
      <fill>
        <patternFill>
          <bgColor rgb="FFD6E6FA"/>
        </patternFill>
      </fill>
    </dxf>
    <dxf>
      <fill>
        <patternFill>
          <bgColor rgb="FFE3E3E3"/>
        </patternFill>
      </fill>
    </dxf>
    <dxf>
      <fill>
        <patternFill>
          <bgColor rgb="FFF8D3D3"/>
        </patternFill>
      </fill>
    </dxf>
    <dxf>
      <fill>
        <patternFill>
          <bgColor rgb="FFFCE6C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1E"/>
      <rgbColor rgb="FF000080"/>
      <rgbColor rgb="FF808000"/>
      <rgbColor rgb="FF800080"/>
      <rgbColor rgb="FF008080"/>
      <rgbColor rgb="FFBFE3C6"/>
      <rgbColor rgb="FF7A7A7A"/>
      <rgbColor rgb="FF9999FF"/>
      <rgbColor rgb="FF8A4B00"/>
      <rgbColor rgb="FFFFF6C7"/>
      <rgbColor rgb="FFD6E6FA"/>
      <rgbColor rgb="FF660066"/>
      <rgbColor rgb="FFFF8080"/>
      <rgbColor rgb="FF3D6B9E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6"/>
      <rgbColor rgb="FFD5EFD5"/>
      <rgbColor rgb="FFFCE6C4"/>
      <rgbColor rgb="FFE3E3E3"/>
      <rgbColor rgb="FFFF99CC"/>
      <rgbColor rgb="FFCC99FF"/>
      <rgbColor rgb="FFF8D3D3"/>
      <rgbColor rgb="FF2A78D6"/>
      <rgbColor rgb="FF33CCCC"/>
      <rgbColor rgb="FF99CC00"/>
      <rgbColor rgb="FFFFCC00"/>
      <rgbColor rgb="FFFF9900"/>
      <rgbColor rgb="FFFF6600"/>
      <rgbColor rgb="FF5A7FA8"/>
      <rgbColor rgb="FF6C8EAF"/>
      <rgbColor rgb="FF1F3A5F"/>
      <rgbColor rgb="FF4E8A5B"/>
      <rgbColor rgb="FF003300"/>
      <rgbColor rgb="FF333300"/>
      <rgbColor rgb="FF9C1C1C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0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/>
    </row>
    <row r="4" customFormat="false" ht="15" hidden="false" customHeight="false" outlineLevel="0" collapsed="false">
      <c r="B4" s="4" t="s">
        <v>2</v>
      </c>
    </row>
    <row r="5" customFormat="false" ht="15" hidden="false" customHeight="false" outlineLevel="0" collapsed="false">
      <c r="B5" s="3" t="s">
        <v>3</v>
      </c>
    </row>
    <row r="6" customFormat="false" ht="15" hidden="false" customHeight="false" outlineLevel="0" collapsed="false">
      <c r="B6" s="3" t="s">
        <v>4</v>
      </c>
    </row>
    <row r="7" customFormat="false" ht="15" hidden="false" customHeight="false" outlineLevel="0" collapsed="false">
      <c r="B7" s="3" t="s">
        <v>5</v>
      </c>
    </row>
    <row r="8" customFormat="false" ht="15" hidden="false" customHeight="false" outlineLevel="0" collapsed="false">
      <c r="B8" s="3" t="s">
        <v>6</v>
      </c>
    </row>
    <row r="9" customFormat="false" ht="15" hidden="false" customHeight="false" outlineLevel="0" collapsed="false">
      <c r="B9" s="3"/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5" t="s">
        <v>8</v>
      </c>
    </row>
    <row r="12" customFormat="false" ht="15" hidden="false" customHeight="false" outlineLevel="0" collapsed="false">
      <c r="B12" s="3"/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3" t="s">
        <v>10</v>
      </c>
    </row>
    <row r="15" customFormat="false" ht="15" hidden="false" customHeight="false" outlineLevel="0" collapsed="false">
      <c r="B15" s="3" t="s">
        <v>11</v>
      </c>
    </row>
    <row r="16" customFormat="false" ht="15" hidden="false" customHeight="false" outlineLevel="0" collapsed="false">
      <c r="B16" s="3" t="s">
        <v>12</v>
      </c>
    </row>
    <row r="17" customFormat="false" ht="15" hidden="false" customHeight="false" outlineLevel="0" collapsed="false">
      <c r="B17" s="3" t="s">
        <v>13</v>
      </c>
    </row>
    <row r="18" customFormat="false" ht="15" hidden="false" customHeight="false" outlineLevel="0" collapsed="false">
      <c r="B18" s="3" t="s">
        <v>14</v>
      </c>
    </row>
    <row r="19" customFormat="false" ht="15" hidden="false" customHeight="false" outlineLevel="0" collapsed="false">
      <c r="B19" s="3" t="s">
        <v>15</v>
      </c>
    </row>
    <row r="20" customFormat="false" ht="15" hidden="false" customHeight="false" outlineLevel="0" collapsed="false">
      <c r="B20" s="3"/>
    </row>
    <row r="21" customFormat="false" ht="15" hidden="false" customHeight="false" outlineLevel="0" collapsed="false">
      <c r="B21" s="4" t="s">
        <v>16</v>
      </c>
    </row>
    <row r="22" customFormat="false" ht="15" hidden="false" customHeight="false" outlineLevel="0" collapsed="false">
      <c r="B22" s="3" t="s">
        <v>17</v>
      </c>
    </row>
    <row r="23" customFormat="false" ht="15" hidden="false" customHeight="false" outlineLevel="0" collapsed="false">
      <c r="B23" s="3" t="s">
        <v>18</v>
      </c>
    </row>
    <row r="24" customFormat="false" ht="15" hidden="false" customHeight="false" outlineLevel="0" collapsed="false">
      <c r="B24" s="3"/>
    </row>
    <row r="25" customFormat="false" ht="15" hidden="false" customHeight="false" outlineLevel="0" collapsed="false">
      <c r="B25" s="4" t="s">
        <v>19</v>
      </c>
    </row>
    <row r="26" customFormat="false" ht="15" hidden="false" customHeight="false" outlineLevel="0" collapsed="false">
      <c r="B26" s="3" t="s">
        <v>20</v>
      </c>
    </row>
    <row r="27" customFormat="false" ht="15" hidden="false" customHeight="false" outlineLevel="0" collapsed="false">
      <c r="B27" s="3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40"/>
    <col collapsed="false" customWidth="true" hidden="false" outlineLevel="0" max="4" min="4" style="0" width="34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9" min="7" style="0" width="9"/>
    <col collapsed="false" customWidth="true" hidden="false" outlineLevel="0" max="10" min="10" style="0" width="10"/>
    <col collapsed="false" customWidth="true" hidden="false" outlineLevel="0" max="11" min="11" style="0" width="9"/>
    <col collapsed="false" customWidth="true" hidden="false" outlineLevel="0" max="12" min="12" style="0" width="7"/>
    <col collapsed="false" customWidth="true" hidden="false" outlineLevel="0" max="13" min="13" style="0" width="10"/>
    <col collapsed="false" customWidth="true" hidden="false" outlineLevel="0" max="14" min="14" style="0" width="11"/>
    <col collapsed="false" customWidth="true" hidden="false" outlineLevel="0" max="15" min="15" style="0" width="7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6"/>
    <col collapsed="false" customWidth="true" hidden="false" outlineLevel="0" max="19" min="19" style="0" width="8"/>
    <col collapsed="false" customWidth="true" hidden="false" outlineLevel="0" max="21" min="20" style="0" width="7"/>
    <col collapsed="false" customWidth="true" hidden="false" outlineLevel="0" max="23" min="22" style="0" width="8"/>
    <col collapsed="false" customWidth="true" hidden="false" outlineLevel="0" max="24" min="24" style="0" width="7"/>
    <col collapsed="false" customWidth="true" hidden="false" outlineLevel="0" max="25" min="25" style="0" width="8"/>
    <col collapsed="false" customWidth="true" hidden="false" outlineLevel="0" max="26" min="26" style="0" width="9"/>
    <col collapsed="false" customWidth="true" hidden="false" outlineLevel="0" max="33" min="27" style="0" width="10"/>
    <col collapsed="false" customWidth="true" hidden="false" outlineLevel="0" max="34" min="34" style="0" width="44"/>
    <col collapsed="false" customWidth="true" hidden="false" outlineLevel="0" max="35" min="35" style="0" width="11"/>
    <col collapsed="false" customWidth="true" hidden="false" outlineLevel="0" max="36" min="36" style="0" width="9"/>
    <col collapsed="false" customWidth="true" hidden="false" outlineLevel="0" max="37" min="37" style="0" width="10"/>
    <col collapsed="false" customWidth="true" hidden="false" outlineLevel="0" max="38" min="38" style="0" width="9"/>
    <col collapsed="false" customWidth="true" hidden="false" outlineLevel="0" max="39" min="39" style="0" width="40"/>
  </cols>
  <sheetData>
    <row r="1" customFormat="false" ht="15" hidden="false" customHeight="false" outlineLevel="0" collapsed="false">
      <c r="A1" s="6" t="s">
        <v>22</v>
      </c>
      <c r="B1" s="6"/>
      <c r="C1" s="6"/>
      <c r="D1" s="6"/>
      <c r="E1" s="6"/>
      <c r="F1" s="6"/>
      <c r="G1" s="7" t="s">
        <v>23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8" t="s">
        <v>24</v>
      </c>
      <c r="U1" s="8"/>
      <c r="V1" s="9" t="s">
        <v>25</v>
      </c>
      <c r="W1" s="9"/>
      <c r="X1" s="9"/>
      <c r="Y1" s="10" t="s">
        <v>26</v>
      </c>
      <c r="Z1" s="10"/>
      <c r="AA1" s="10"/>
      <c r="AB1" s="10"/>
      <c r="AC1" s="10"/>
      <c r="AD1" s="10"/>
      <c r="AE1" s="10"/>
      <c r="AF1" s="10"/>
      <c r="AG1" s="10"/>
      <c r="AH1" s="10"/>
      <c r="AI1" s="11" t="s">
        <v>27</v>
      </c>
      <c r="AJ1" s="11"/>
      <c r="AK1" s="11"/>
      <c r="AL1" s="11"/>
      <c r="AM1" s="11"/>
    </row>
    <row r="2" customFormat="false" ht="42" hidden="false" customHeight="true" outlineLevel="0" collapsed="false">
      <c r="A2" s="12" t="s">
        <v>28</v>
      </c>
      <c r="B2" s="12" t="s">
        <v>29</v>
      </c>
      <c r="C2" s="12" t="s">
        <v>30</v>
      </c>
      <c r="D2" s="12" t="s">
        <v>31</v>
      </c>
      <c r="E2" s="12" t="s">
        <v>32</v>
      </c>
      <c r="F2" s="12" t="s">
        <v>33</v>
      </c>
      <c r="G2" s="12" t="s">
        <v>34</v>
      </c>
      <c r="H2" s="12" t="s">
        <v>35</v>
      </c>
      <c r="I2" s="12" t="s">
        <v>36</v>
      </c>
      <c r="J2" s="12" t="s">
        <v>37</v>
      </c>
      <c r="K2" s="12" t="s">
        <v>38</v>
      </c>
      <c r="L2" s="12" t="s">
        <v>39</v>
      </c>
      <c r="M2" s="12" t="s">
        <v>40</v>
      </c>
      <c r="N2" s="12" t="s">
        <v>41</v>
      </c>
      <c r="O2" s="12" t="s">
        <v>42</v>
      </c>
      <c r="P2" s="12" t="s">
        <v>43</v>
      </c>
      <c r="Q2" s="12" t="s">
        <v>44</v>
      </c>
      <c r="R2" s="12" t="s">
        <v>45</v>
      </c>
      <c r="S2" s="12" t="s">
        <v>46</v>
      </c>
      <c r="T2" s="12" t="s">
        <v>47</v>
      </c>
      <c r="U2" s="12" t="s">
        <v>48</v>
      </c>
      <c r="V2" s="12" t="s">
        <v>49</v>
      </c>
      <c r="W2" s="12" t="s">
        <v>50</v>
      </c>
      <c r="X2" s="12" t="s">
        <v>51</v>
      </c>
      <c r="Y2" s="12" t="s">
        <v>52</v>
      </c>
      <c r="Z2" s="12" t="s">
        <v>53</v>
      </c>
      <c r="AA2" s="12" t="s">
        <v>54</v>
      </c>
      <c r="AB2" s="12" t="s">
        <v>55</v>
      </c>
      <c r="AC2" s="12" t="s">
        <v>56</v>
      </c>
      <c r="AD2" s="12" t="s">
        <v>57</v>
      </c>
      <c r="AE2" s="12" t="s">
        <v>58</v>
      </c>
      <c r="AF2" s="12" t="s">
        <v>59</v>
      </c>
      <c r="AG2" s="12" t="s">
        <v>60</v>
      </c>
      <c r="AH2" s="12" t="s">
        <v>61</v>
      </c>
      <c r="AI2" s="12" t="s">
        <v>62</v>
      </c>
      <c r="AJ2" s="12" t="s">
        <v>63</v>
      </c>
      <c r="AK2" s="12" t="s">
        <v>64</v>
      </c>
      <c r="AL2" s="12" t="s">
        <v>65</v>
      </c>
      <c r="AM2" s="12" t="s">
        <v>66</v>
      </c>
    </row>
    <row r="3" customFormat="false" ht="35.05" hidden="false" customHeight="false" outlineLevel="0" collapsed="false">
      <c r="A3" s="13" t="s">
        <v>67</v>
      </c>
      <c r="B3" s="13" t="s">
        <v>68</v>
      </c>
      <c r="C3" s="14" t="s">
        <v>69</v>
      </c>
      <c r="D3" s="14" t="s">
        <v>70</v>
      </c>
      <c r="E3" s="13" t="s">
        <v>71</v>
      </c>
      <c r="F3" s="13" t="n">
        <v>1</v>
      </c>
      <c r="G3" s="13" t="n">
        <v>5000</v>
      </c>
      <c r="H3" s="13" t="n">
        <v>5000</v>
      </c>
      <c r="I3" s="13" t="n">
        <v>5000</v>
      </c>
      <c r="J3" s="13" t="n">
        <v>1000</v>
      </c>
      <c r="K3" s="13" t="n">
        <v>60</v>
      </c>
      <c r="L3" s="13" t="n">
        <v>1</v>
      </c>
      <c r="M3" s="13" t="n">
        <v>60</v>
      </c>
      <c r="N3" s="13" t="s">
        <v>72</v>
      </c>
      <c r="O3" s="13" t="n">
        <v>3</v>
      </c>
      <c r="P3" s="13" t="s">
        <v>73</v>
      </c>
      <c r="Q3" s="13" t="n">
        <v>0.2</v>
      </c>
      <c r="R3" s="13" t="s">
        <v>73</v>
      </c>
      <c r="S3" s="13" t="n">
        <v>250</v>
      </c>
      <c r="T3" s="13" t="n">
        <v>200</v>
      </c>
      <c r="U3" s="13" t="n">
        <v>1000</v>
      </c>
      <c r="V3" s="13" t="n">
        <v>1</v>
      </c>
      <c r="W3" s="13"/>
      <c r="X3" s="13" t="s">
        <v>74</v>
      </c>
      <c r="Y3" s="15" t="n">
        <f aca="false">IF($A3="","",COUNTIF(Species!$A$3:$A$302,$A3))</f>
        <v>1</v>
      </c>
      <c r="Z3" s="15" t="n">
        <f aca="false">IF($A3="","",SUMIF(Species!$A$3:$A$302,$A3,Species!$D$3:$D$302))</f>
        <v>1000</v>
      </c>
      <c r="AA3" s="16" t="n">
        <f aca="false">IF($A3="","",SUMIF(Species!$A$3:$A$302,$A3,Species!$Q$3:$Q$302))</f>
        <v>62.9984397828897</v>
      </c>
      <c r="AB3" s="16" t="n">
        <f aca="false">IF($A3="","",SUMIF(Species!$A$3:$A$302,$A3,Species!$R$3:$R$302))</f>
        <v>44.0989078480228</v>
      </c>
      <c r="AC3" s="16" t="n">
        <f aca="false">IF($A3="","",SUMIF(Species!$A$3:$A$302,$A3,Species!$S$3:$S$302))</f>
        <v>31.4992198914448</v>
      </c>
      <c r="AD3" s="16" t="n">
        <f aca="false">IF($A3="","",SUMIF(Species!$A$3:$A$302,$A3,Species!$T$3:$T$302))</f>
        <v>0</v>
      </c>
      <c r="AE3" s="17" t="n">
        <f aca="false">IF($A3="","",(SUM($AA3:$AD3)+IF($P3="Yes",$Q3*$O3,0))*1000*$K3/1000000)</f>
        <v>8.31579405134144</v>
      </c>
      <c r="AF3" s="18" t="n">
        <f aca="false">IF($A3="","",$AE3*1000000*12/1000000000)</f>
        <v>0.0997895286160973</v>
      </c>
      <c r="AG3" s="18" t="n">
        <f aca="false">IF(OR($A3="",$Y3=0),"",_xlfn.MAXIFS(Species!$U$3:$U$302,Species!$A$3:$A$302,$A3))</f>
        <v>0.0418330013267038</v>
      </c>
      <c r="AH3" s="19" t="str">
        <f aca="false">IF($A3="","",IF($Y3=0,"⚠ no species on the Species sheet",IF(COUNTIFS(Species!$A$3:$A$302,$A3,Species!$V$3:$V$302,"✖*")&gt;0,"✖ "&amp;COUNTIFS(Species!$A$3:$A$302,$A3,Species!$V$3:$V$302,"✖*")&amp;" species saturated (brightness &gt;= frequency) - see Species sheet",IF(MIN($G3,$H3)&lt;8*$T3,"⚠ box too small laterally (&lt; 8·wr)",IF(AND($I3&gt;0,$I3&lt;3*$U3),"⚠ box too small axially (&lt; 3·wz)",IF($AF3&gt;8,"⚠ more than 8 GB per file: shorten the duration and use several files",IF(COUNTIFS(Species!$A$3:$A$302,$A3,Species!$V$3:$V$302,"⚠*")&gt;0,"⚠ "&amp;COUNTIFS(Species!$A$3:$A$302,$A3,Species!$V$3:$V$302,"⚠*")&amp;" species with a warning - see Species sheet","✔ OK")))))))</f>
        <v>✔ OK</v>
      </c>
      <c r="AI3" s="13"/>
      <c r="AJ3" s="13"/>
      <c r="AK3" s="13"/>
      <c r="AL3" s="13"/>
      <c r="AM3" s="14" t="s">
        <v>75</v>
      </c>
    </row>
    <row r="4" customFormat="false" ht="35.05" hidden="false" customHeight="false" outlineLevel="0" collapsed="false">
      <c r="A4" s="13" t="s">
        <v>76</v>
      </c>
      <c r="B4" s="13" t="s">
        <v>77</v>
      </c>
      <c r="C4" s="14" t="s">
        <v>78</v>
      </c>
      <c r="D4" s="14" t="s">
        <v>70</v>
      </c>
      <c r="E4" s="13" t="s">
        <v>79</v>
      </c>
      <c r="F4" s="13" t="n">
        <v>2</v>
      </c>
      <c r="G4" s="13" t="n">
        <v>5000</v>
      </c>
      <c r="H4" s="13" t="n">
        <v>5000</v>
      </c>
      <c r="I4" s="13" t="n">
        <v>5000</v>
      </c>
      <c r="J4" s="13" t="n">
        <v>1000</v>
      </c>
      <c r="K4" s="13" t="n">
        <v>60</v>
      </c>
      <c r="L4" s="13" t="n">
        <v>1</v>
      </c>
      <c r="M4" s="13" t="n">
        <v>60</v>
      </c>
      <c r="N4" s="13" t="s">
        <v>72</v>
      </c>
      <c r="O4" s="13" t="n">
        <v>3</v>
      </c>
      <c r="P4" s="13" t="s">
        <v>73</v>
      </c>
      <c r="Q4" s="13" t="n">
        <v>0.2</v>
      </c>
      <c r="R4" s="13" t="s">
        <v>73</v>
      </c>
      <c r="S4" s="13" t="n">
        <v>250</v>
      </c>
      <c r="T4" s="13" t="n">
        <v>200</v>
      </c>
      <c r="U4" s="13" t="n">
        <v>1000</v>
      </c>
      <c r="V4" s="13" t="n">
        <v>1</v>
      </c>
      <c r="W4" s="13"/>
      <c r="X4" s="13" t="s">
        <v>74</v>
      </c>
      <c r="Y4" s="15" t="n">
        <f aca="false">IF($A4="","",COUNTIF(Species!$A$3:$A$302,$A4))</f>
        <v>1</v>
      </c>
      <c r="Z4" s="15" t="n">
        <f aca="false">IF($A4="","",SUMIF(Species!$A$3:$A$302,$A4,Species!$D$3:$D$302))</f>
        <v>800</v>
      </c>
      <c r="AA4" s="16" t="n">
        <f aca="false">IF($A4="","",SUMIF(Species!$A$3:$A$302,$A4,Species!$Q$3:$Q$302))</f>
        <v>25.1993759131559</v>
      </c>
      <c r="AB4" s="16" t="n">
        <f aca="false">IF($A4="","",SUMIF(Species!$A$3:$A$302,$A4,Species!$R$3:$R$302))</f>
        <v>25.1993759131559</v>
      </c>
      <c r="AC4" s="16" t="n">
        <f aca="false">IF($A4="","",SUMIF(Species!$A$3:$A$302,$A4,Species!$S$3:$S$302))</f>
        <v>25.1993759131559</v>
      </c>
      <c r="AD4" s="16" t="n">
        <f aca="false">IF($A4="","",SUMIF(Species!$A$3:$A$302,$A4,Species!$T$3:$T$302))</f>
        <v>0</v>
      </c>
      <c r="AE4" s="17" t="n">
        <f aca="false">IF($A4="","",(SUM($AA4:$AD4)+IF($P4="Yes",$Q4*$O4,0))*1000*$K4/1000000)</f>
        <v>4.53588766436806</v>
      </c>
      <c r="AF4" s="18" t="n">
        <f aca="false">IF($A4="","",$AE4*1000000*12/1000000000)</f>
        <v>0.0544306519724167</v>
      </c>
      <c r="AG4" s="18" t="n">
        <f aca="false">IF(OR($A4="",$Y4=0),"",_xlfn.MAXIFS(Species!$U$3:$U$302,Species!$A$3:$A$302,$A4))</f>
        <v>0.0273861278752583</v>
      </c>
      <c r="AH4" s="19" t="str">
        <f aca="false">IF($A4="","",IF($Y4=0,"⚠ no species on the Species sheet",IF(COUNTIFS(Species!$A$3:$A$302,$A4,Species!$V$3:$V$302,"✖*")&gt;0,"✖ "&amp;COUNTIFS(Species!$A$3:$A$302,$A4,Species!$V$3:$V$302,"✖*")&amp;" species saturated (brightness &gt;= frequency) - see Species sheet",IF(MIN($G4,$H4)&lt;8*$T4,"⚠ box too small laterally (&lt; 8·wr)",IF(AND($I4&gt;0,$I4&lt;3*$U4),"⚠ box too small axially (&lt; 3·wz)",IF($AF4&gt;8,"⚠ more than 8 GB per file: shorten the duration and use several files",IF(COUNTIFS(Species!$A$3:$A$302,$A4,Species!$V$3:$V$302,"⚠*")&gt;0,"⚠ "&amp;COUNTIFS(Species!$A$3:$A$302,$A4,Species!$V$3:$V$302,"⚠*")&amp;" species with a warning - see Species sheet","✔ OK")))))))</f>
        <v>✔ OK</v>
      </c>
      <c r="AI4" s="13"/>
      <c r="AJ4" s="13"/>
      <c r="AK4" s="13"/>
      <c r="AL4" s="13"/>
      <c r="AM4" s="14" t="s">
        <v>80</v>
      </c>
    </row>
    <row r="5" customFormat="false" ht="35.05" hidden="false" customHeight="false" outlineLevel="0" collapsed="false">
      <c r="A5" s="13" t="s">
        <v>81</v>
      </c>
      <c r="B5" s="13" t="s">
        <v>82</v>
      </c>
      <c r="C5" s="14" t="s">
        <v>83</v>
      </c>
      <c r="D5" s="14" t="s">
        <v>70</v>
      </c>
      <c r="E5" s="13" t="s">
        <v>79</v>
      </c>
      <c r="F5" s="13" t="n">
        <v>2</v>
      </c>
      <c r="G5" s="13" t="n">
        <v>5000</v>
      </c>
      <c r="H5" s="13" t="n">
        <v>5000</v>
      </c>
      <c r="I5" s="13" t="n">
        <v>5000</v>
      </c>
      <c r="J5" s="13" t="n">
        <v>1000</v>
      </c>
      <c r="K5" s="13" t="n">
        <v>60</v>
      </c>
      <c r="L5" s="13" t="n">
        <v>1</v>
      </c>
      <c r="M5" s="13" t="n">
        <v>60</v>
      </c>
      <c r="N5" s="13" t="s">
        <v>72</v>
      </c>
      <c r="O5" s="13" t="n">
        <v>3</v>
      </c>
      <c r="P5" s="13" t="s">
        <v>73</v>
      </c>
      <c r="Q5" s="13" t="n">
        <v>0.2</v>
      </c>
      <c r="R5" s="13" t="s">
        <v>73</v>
      </c>
      <c r="S5" s="13" t="n">
        <v>250</v>
      </c>
      <c r="T5" s="13" t="n">
        <v>200</v>
      </c>
      <c r="U5" s="13" t="n">
        <v>1000</v>
      </c>
      <c r="V5" s="13" t="n">
        <v>1</v>
      </c>
      <c r="W5" s="13"/>
      <c r="X5" s="13" t="s">
        <v>74</v>
      </c>
      <c r="Y5" s="15" t="n">
        <f aca="false">IF($A5="","",COUNTIF(Species!$A$3:$A$302,$A5))</f>
        <v>3</v>
      </c>
      <c r="Z5" s="15" t="n">
        <f aca="false">IF($A5="","",SUMIF(Species!$A$3:$A$302,$A5,Species!$D$3:$D$302))</f>
        <v>1000</v>
      </c>
      <c r="AA5" s="16" t="n">
        <f aca="false">IF($A5="","",SUMIF(Species!$A$3:$A$302,$A5,Species!$Q$3:$Q$302))</f>
        <v>28.3492979023004</v>
      </c>
      <c r="AB5" s="16" t="n">
        <f aca="false">IF($A5="","",SUMIF(Species!$A$3:$A$302,$A5,Species!$R$3:$R$302))</f>
        <v>28.3492979023004</v>
      </c>
      <c r="AC5" s="16" t="n">
        <f aca="false">IF($A5="","",SUMIF(Species!$A$3:$A$302,$A5,Species!$S$3:$S$302))</f>
        <v>6.29984397828897</v>
      </c>
      <c r="AD5" s="16" t="n">
        <f aca="false">IF($A5="","",SUMIF(Species!$A$3:$A$302,$A5,Species!$T$3:$T$302))</f>
        <v>0</v>
      </c>
      <c r="AE5" s="17" t="n">
        <f aca="false">IF($A5="","",(SUM($AA5:$AD5)+IF($P5="Yes",$Q5*$O5,0))*1000*$K5/1000000)</f>
        <v>3.77990638697338</v>
      </c>
      <c r="AF5" s="18" t="n">
        <f aca="false">IF($A5="","",$AE5*1000000*12/1000000000)</f>
        <v>0.0453588766436806</v>
      </c>
      <c r="AG5" s="18" t="n">
        <f aca="false">IF(OR($A5="",$Y5=0),"",_xlfn.MAXIFS(Species!$U$3:$U$302,Species!$A$3:$A$302,$A5))</f>
        <v>0.05</v>
      </c>
      <c r="AH5" s="19" t="str">
        <f aca="false">IF($A5="","",IF($Y5=0,"⚠ no species on the Species sheet",IF(COUNTIFS(Species!$A$3:$A$302,$A5,Species!$V$3:$V$302,"✖*")&gt;0,"✖ "&amp;COUNTIFS(Species!$A$3:$A$302,$A5,Species!$V$3:$V$302,"✖*")&amp;" species saturated (brightness &gt;= frequency) - see Species sheet",IF(MIN($G5,$H5)&lt;8*$T5,"⚠ box too small laterally (&lt; 8·wr)",IF(AND($I5&gt;0,$I5&lt;3*$U5),"⚠ box too small axially (&lt; 3·wz)",IF($AF5&gt;8,"⚠ more than 8 GB per file: shorten the duration and use several files",IF(COUNTIFS(Species!$A$3:$A$302,$A5,Species!$V$3:$V$302,"⚠*")&gt;0,"⚠ "&amp;COUNTIFS(Species!$A$3:$A$302,$A5,Species!$V$3:$V$302,"⚠*")&amp;" species with a warning - see Species sheet","✔ OK")))))))</f>
        <v>✔ OK</v>
      </c>
      <c r="AI5" s="13"/>
      <c r="AJ5" s="13"/>
      <c r="AK5" s="13"/>
      <c r="AL5" s="13"/>
      <c r="AM5" s="14" t="s">
        <v>80</v>
      </c>
    </row>
    <row r="6" customFormat="false" ht="35.05" hidden="false" customHeight="false" outlineLevel="0" collapsed="false">
      <c r="A6" s="13" t="s">
        <v>84</v>
      </c>
      <c r="B6" s="13" t="s">
        <v>85</v>
      </c>
      <c r="C6" s="14" t="s">
        <v>86</v>
      </c>
      <c r="D6" s="14" t="s">
        <v>87</v>
      </c>
      <c r="E6" s="13" t="s">
        <v>79</v>
      </c>
      <c r="F6" s="13" t="n">
        <v>3</v>
      </c>
      <c r="G6" s="13" t="n">
        <v>5000</v>
      </c>
      <c r="H6" s="13" t="n">
        <v>5000</v>
      </c>
      <c r="I6" s="13" t="n">
        <v>5000</v>
      </c>
      <c r="J6" s="13" t="n">
        <v>1000</v>
      </c>
      <c r="K6" s="13" t="n">
        <v>10</v>
      </c>
      <c r="L6" s="13" t="n">
        <v>1</v>
      </c>
      <c r="M6" s="13" t="n">
        <v>60</v>
      </c>
      <c r="N6" s="13" t="s">
        <v>72</v>
      </c>
      <c r="O6" s="13" t="n">
        <v>3</v>
      </c>
      <c r="P6" s="13" t="s">
        <v>73</v>
      </c>
      <c r="Q6" s="13" t="n">
        <v>0.2</v>
      </c>
      <c r="R6" s="13" t="s">
        <v>73</v>
      </c>
      <c r="S6" s="13" t="n">
        <v>250</v>
      </c>
      <c r="T6" s="13" t="n">
        <v>200</v>
      </c>
      <c r="U6" s="13" t="n">
        <v>1000</v>
      </c>
      <c r="V6" s="13" t="n">
        <v>1</v>
      </c>
      <c r="W6" s="13"/>
      <c r="X6" s="13" t="s">
        <v>74</v>
      </c>
      <c r="Y6" s="15" t="n">
        <f aca="false">IF($A6="","",COUNTIF(Species!$A$3:$A$302,$A6))</f>
        <v>6</v>
      </c>
      <c r="Z6" s="15" t="n">
        <f aca="false">IF($A6="","",SUMIF(Species!$A$3:$A$302,$A6,Species!$D$3:$D$302))</f>
        <v>60</v>
      </c>
      <c r="AA6" s="16" t="n">
        <f aca="false">IF($A6="","",SUMIF(Species!$A$3:$A$302,$A6,Species!$Q$3:$Q$302))</f>
        <v>126.747204152334</v>
      </c>
      <c r="AB6" s="16" t="n">
        <f aca="false">IF($A6="","",SUMIF(Species!$A$3:$A$302,$A6,Species!$R$3:$R$302))</f>
        <v>117.413092352471</v>
      </c>
      <c r="AC6" s="16" t="n">
        <f aca="false">IF($A6="","",SUMIF(Species!$A$3:$A$302,$A6,Species!$S$3:$S$302))</f>
        <v>58.7065461762353</v>
      </c>
      <c r="AD6" s="16" t="n">
        <f aca="false">IF($A6="","",SUMIF(Species!$A$3:$A$302,$A6,Species!$T$3:$T$302))</f>
        <v>0</v>
      </c>
      <c r="AE6" s="17" t="n">
        <f aca="false">IF($A6="","",(SUM($AA6:$AD6)+IF($P6="Yes",$Q6*$O6,0))*1000*$K6/1000000)</f>
        <v>3.0286684268104</v>
      </c>
      <c r="AF6" s="18" t="n">
        <f aca="false">IF($A6="","",$AE6*1000000*12/1000000000)</f>
        <v>0.0363440211217248</v>
      </c>
      <c r="AG6" s="18" t="n">
        <f aca="false">IF(OR($A6="",$Y6=0),"",_xlfn.MAXIFS(Species!$U$3:$U$302,Species!$A$3:$A$302,$A6))</f>
        <v>0.14142135623731</v>
      </c>
      <c r="AH6" s="19" t="str">
        <f aca="false">IF($A6="","",IF($Y6=0,"⚠ no species on the Species sheet",IF(COUNTIFS(Species!$A$3:$A$302,$A6,Species!$V$3:$V$302,"✖*")&gt;0,"✖ "&amp;COUNTIFS(Species!$A$3:$A$302,$A6,Species!$V$3:$V$302,"✖*")&amp;" species saturated (brightness &gt;= frequency) - see Species sheet",IF(MIN($G6,$H6)&lt;8*$T6,"⚠ box too small laterally (&lt; 8·wr)",IF(AND($I6&gt;0,$I6&lt;3*$U6),"⚠ box too small axially (&lt; 3·wz)",IF($AF6&gt;8,"⚠ more than 8 GB per file: shorten the duration and use several files",IF(COUNTIFS(Species!$A$3:$A$302,$A6,Species!$V$3:$V$302,"⚠*")&gt;0,"⚠ "&amp;COUNTIFS(Species!$A$3:$A$302,$A6,Species!$V$3:$V$302,"⚠*")&amp;" species with a warning - see Species sheet","✔ OK")))))))</f>
        <v>✖ 6 species saturated (brightness &gt;= frequency) - see Species sheet</v>
      </c>
      <c r="AI6" s="13"/>
      <c r="AJ6" s="13"/>
      <c r="AK6" s="13"/>
      <c r="AL6" s="13"/>
      <c r="AM6" s="14" t="s">
        <v>80</v>
      </c>
    </row>
    <row r="7" customFormat="false" ht="35.05" hidden="false" customHeight="false" outlineLevel="0" collapsed="false">
      <c r="A7" s="13" t="s">
        <v>88</v>
      </c>
      <c r="B7" s="13" t="s">
        <v>89</v>
      </c>
      <c r="C7" s="14" t="s">
        <v>86</v>
      </c>
      <c r="D7" s="14" t="s">
        <v>87</v>
      </c>
      <c r="E7" s="13" t="s">
        <v>79</v>
      </c>
      <c r="F7" s="13" t="n">
        <v>3</v>
      </c>
      <c r="G7" s="13" t="n">
        <v>5000</v>
      </c>
      <c r="H7" s="13" t="n">
        <v>5000</v>
      </c>
      <c r="I7" s="13" t="n">
        <v>5000</v>
      </c>
      <c r="J7" s="13" t="n">
        <v>1000</v>
      </c>
      <c r="K7" s="13" t="n">
        <v>10</v>
      </c>
      <c r="L7" s="13" t="n">
        <v>1</v>
      </c>
      <c r="M7" s="13" t="n">
        <v>60</v>
      </c>
      <c r="N7" s="13" t="s">
        <v>72</v>
      </c>
      <c r="O7" s="13" t="n">
        <v>3</v>
      </c>
      <c r="P7" s="13" t="s">
        <v>73</v>
      </c>
      <c r="Q7" s="13" t="n">
        <v>0.2</v>
      </c>
      <c r="R7" s="13" t="s">
        <v>73</v>
      </c>
      <c r="S7" s="13" t="n">
        <v>250</v>
      </c>
      <c r="T7" s="13" t="n">
        <v>200</v>
      </c>
      <c r="U7" s="13" t="n">
        <v>1000</v>
      </c>
      <c r="V7" s="13" t="n">
        <v>1</v>
      </c>
      <c r="W7" s="13"/>
      <c r="X7" s="13" t="s">
        <v>74</v>
      </c>
      <c r="Y7" s="15" t="n">
        <f aca="false">IF($A7="","",COUNTIF(Species!$A$3:$A$302,$A7))</f>
        <v>5</v>
      </c>
      <c r="Z7" s="15" t="n">
        <f aca="false">IF($A7="","",SUMIF(Species!$A$3:$A$302,$A7,Species!$D$3:$D$302))</f>
        <v>50</v>
      </c>
      <c r="AA7" s="16" t="n">
        <f aca="false">IF($A7="","",SUMIF(Species!$A$3:$A$302,$A7,Species!$Q$3:$Q$302))</f>
        <v>97.393931064216</v>
      </c>
      <c r="AB7" s="16" t="n">
        <f aca="false">IF($A7="","",SUMIF(Species!$A$3:$A$302,$A7,Species!$R$3:$R$302))</f>
        <v>74.7600966767359</v>
      </c>
      <c r="AC7" s="16" t="n">
        <f aca="false">IF($A7="","",SUMIF(Species!$A$3:$A$302,$A7,Species!$S$3:$S$302))</f>
        <v>41.9747754151457</v>
      </c>
      <c r="AD7" s="16" t="n">
        <f aca="false">IF($A7="","",SUMIF(Species!$A$3:$A$302,$A7,Species!$T$3:$T$302))</f>
        <v>0</v>
      </c>
      <c r="AE7" s="17" t="n">
        <f aca="false">IF($A7="","",(SUM($AA7:$AD7)+IF($P7="Yes",$Q7*$O7,0))*1000*$K7/1000000)</f>
        <v>2.14128803156098</v>
      </c>
      <c r="AF7" s="18" t="n">
        <f aca="false">IF($A7="","",$AE7*1000000*12/1000000000)</f>
        <v>0.0256954563787317</v>
      </c>
      <c r="AG7" s="18" t="n">
        <f aca="false">IF(OR($A7="",$Y7=0),"",_xlfn.MAXIFS(Species!$U$3:$U$302,Species!$A$3:$A$302,$A7))</f>
        <v>0.14142135623731</v>
      </c>
      <c r="AH7" s="19" t="str">
        <f aca="false">IF($A7="","",IF($Y7=0,"⚠ no species on the Species sheet",IF(COUNTIFS(Species!$A$3:$A$302,$A7,Species!$V$3:$V$302,"✖*")&gt;0,"✖ "&amp;COUNTIFS(Species!$A$3:$A$302,$A7,Species!$V$3:$V$302,"✖*")&amp;" species saturated (brightness &gt;= frequency) - see Species sheet",IF(MIN($G7,$H7)&lt;8*$T7,"⚠ box too small laterally (&lt; 8·wr)",IF(AND($I7&gt;0,$I7&lt;3*$U7),"⚠ box too small axially (&lt; 3·wz)",IF($AF7&gt;8,"⚠ more than 8 GB per file: shorten the duration and use several files",IF(COUNTIFS(Species!$A$3:$A$302,$A7,Species!$V$3:$V$302,"⚠*")&gt;0,"⚠ "&amp;COUNTIFS(Species!$A$3:$A$302,$A7,Species!$V$3:$V$302,"⚠*")&amp;" species with a warning - see Species sheet","✔ OK")))))))</f>
        <v>✖ 5 species saturated (brightness &gt;= frequency) - see Species sheet</v>
      </c>
      <c r="AI7" s="13"/>
      <c r="AJ7" s="13"/>
      <c r="AK7" s="13"/>
      <c r="AL7" s="13"/>
      <c r="AM7" s="14" t="s">
        <v>80</v>
      </c>
    </row>
    <row r="8" customFormat="false" ht="35.05" hidden="false" customHeight="false" outlineLevel="0" collapsed="false">
      <c r="A8" s="13" t="s">
        <v>90</v>
      </c>
      <c r="B8" s="13" t="s">
        <v>91</v>
      </c>
      <c r="C8" s="14" t="s">
        <v>92</v>
      </c>
      <c r="D8" s="14" t="s">
        <v>87</v>
      </c>
      <c r="E8" s="13" t="s">
        <v>79</v>
      </c>
      <c r="F8" s="13" t="n">
        <v>3</v>
      </c>
      <c r="G8" s="13" t="n">
        <v>5000</v>
      </c>
      <c r="H8" s="13" t="n">
        <v>5000</v>
      </c>
      <c r="I8" s="13" t="n">
        <v>5000</v>
      </c>
      <c r="J8" s="13" t="n">
        <v>1000</v>
      </c>
      <c r="K8" s="13" t="n">
        <v>10</v>
      </c>
      <c r="L8" s="13" t="n">
        <v>1</v>
      </c>
      <c r="M8" s="13" t="n">
        <v>60</v>
      </c>
      <c r="N8" s="13" t="s">
        <v>72</v>
      </c>
      <c r="O8" s="13" t="n">
        <v>3</v>
      </c>
      <c r="P8" s="13" t="s">
        <v>73</v>
      </c>
      <c r="Q8" s="13" t="n">
        <v>0.2</v>
      </c>
      <c r="R8" s="13" t="s">
        <v>73</v>
      </c>
      <c r="S8" s="13" t="n">
        <v>250</v>
      </c>
      <c r="T8" s="13" t="n">
        <v>200</v>
      </c>
      <c r="U8" s="13" t="n">
        <v>1000</v>
      </c>
      <c r="V8" s="13" t="n">
        <v>1</v>
      </c>
      <c r="W8" s="13"/>
      <c r="X8" s="13" t="s">
        <v>74</v>
      </c>
      <c r="Y8" s="15" t="n">
        <f aca="false">IF($A8="","",COUNTIF(Species!$A$3:$A$302,$A8))</f>
        <v>5</v>
      </c>
      <c r="Z8" s="15" t="n">
        <f aca="false">IF($A8="","",SUMIF(Species!$A$3:$A$302,$A8,Species!$D$3:$D$302))</f>
        <v>50</v>
      </c>
      <c r="AA8" s="16" t="n">
        <f aca="false">IF($A8="","",SUMIF(Species!$A$3:$A$302,$A8,Species!$Q$3:$Q$302))</f>
        <v>97.393931064216</v>
      </c>
      <c r="AB8" s="16" t="n">
        <f aca="false">IF($A8="","",SUMIF(Species!$A$3:$A$302,$A8,Species!$R$3:$R$302))</f>
        <v>74.7600966767359</v>
      </c>
      <c r="AC8" s="16" t="n">
        <f aca="false">IF($A8="","",SUMIF(Species!$A$3:$A$302,$A8,Species!$S$3:$S$302))</f>
        <v>41.9747754151457</v>
      </c>
      <c r="AD8" s="16" t="n">
        <f aca="false">IF($A8="","",SUMIF(Species!$A$3:$A$302,$A8,Species!$T$3:$T$302))</f>
        <v>0</v>
      </c>
      <c r="AE8" s="17" t="n">
        <f aca="false">IF($A8="","",(SUM($AA8:$AD8)+IF($P8="Yes",$Q8*$O8,0))*1000*$K8/1000000)</f>
        <v>2.14128803156098</v>
      </c>
      <c r="AF8" s="18" t="n">
        <f aca="false">IF($A8="","",$AE8*1000000*12/1000000000)</f>
        <v>0.0256954563787317</v>
      </c>
      <c r="AG8" s="18" t="n">
        <f aca="false">IF(OR($A8="",$Y8=0),"",_xlfn.MAXIFS(Species!$U$3:$U$302,Species!$A$3:$A$302,$A8))</f>
        <v>0.14142135623731</v>
      </c>
      <c r="AH8" s="19" t="str">
        <f aca="false">IF($A8="","",IF($Y8=0,"⚠ no species on the Species sheet",IF(COUNTIFS(Species!$A$3:$A$302,$A8,Species!$V$3:$V$302,"✖*")&gt;0,"✖ "&amp;COUNTIFS(Species!$A$3:$A$302,$A8,Species!$V$3:$V$302,"✖*")&amp;" species saturated (brightness &gt;= frequency) - see Species sheet",IF(MIN($G8,$H8)&lt;8*$T8,"⚠ box too small laterally (&lt; 8·wr)",IF(AND($I8&gt;0,$I8&lt;3*$U8),"⚠ box too small axially (&lt; 3·wz)",IF($AF8&gt;8,"⚠ more than 8 GB per file: shorten the duration and use several files",IF(COUNTIFS(Species!$A$3:$A$302,$A8,Species!$V$3:$V$302,"⚠*")&gt;0,"⚠ "&amp;COUNTIFS(Species!$A$3:$A$302,$A8,Species!$V$3:$V$302,"⚠*")&amp;" species with a warning - see Species sheet","✔ OK")))))))</f>
        <v>✖ 5 species saturated (brightness &gt;= frequency) - see Species sheet</v>
      </c>
      <c r="AI8" s="13"/>
      <c r="AJ8" s="13"/>
      <c r="AK8" s="13"/>
      <c r="AL8" s="13"/>
      <c r="AM8" s="14" t="s">
        <v>80</v>
      </c>
    </row>
    <row r="9" customFormat="false" ht="35.05" hidden="false" customHeight="false" outlineLevel="0" collapsed="false">
      <c r="A9" s="13" t="s">
        <v>93</v>
      </c>
      <c r="B9" s="13" t="s">
        <v>94</v>
      </c>
      <c r="C9" s="14" t="s">
        <v>92</v>
      </c>
      <c r="D9" s="14" t="s">
        <v>87</v>
      </c>
      <c r="E9" s="13" t="s">
        <v>79</v>
      </c>
      <c r="F9" s="13" t="n">
        <v>3</v>
      </c>
      <c r="G9" s="13" t="n">
        <v>5000</v>
      </c>
      <c r="H9" s="13" t="n">
        <v>5000</v>
      </c>
      <c r="I9" s="13" t="n">
        <v>5000</v>
      </c>
      <c r="J9" s="13" t="n">
        <v>1000</v>
      </c>
      <c r="K9" s="13" t="n">
        <v>10</v>
      </c>
      <c r="L9" s="13" t="n">
        <v>1</v>
      </c>
      <c r="M9" s="13" t="n">
        <v>60</v>
      </c>
      <c r="N9" s="13" t="s">
        <v>72</v>
      </c>
      <c r="O9" s="13" t="n">
        <v>3</v>
      </c>
      <c r="P9" s="13" t="s">
        <v>73</v>
      </c>
      <c r="Q9" s="13" t="n">
        <v>0.2</v>
      </c>
      <c r="R9" s="13" t="s">
        <v>73</v>
      </c>
      <c r="S9" s="13" t="n">
        <v>250</v>
      </c>
      <c r="T9" s="13" t="n">
        <v>200</v>
      </c>
      <c r="U9" s="13" t="n">
        <v>1000</v>
      </c>
      <c r="V9" s="13" t="n">
        <v>1</v>
      </c>
      <c r="W9" s="13"/>
      <c r="X9" s="13" t="s">
        <v>74</v>
      </c>
      <c r="Y9" s="15" t="n">
        <f aca="false">IF($A9="","",COUNTIF(Species!$A$3:$A$302,$A9))</f>
        <v>6</v>
      </c>
      <c r="Z9" s="15" t="n">
        <f aca="false">IF($A9="","",SUMIF(Species!$A$3:$A$302,$A9,Species!$D$3:$D$302))</f>
        <v>60</v>
      </c>
      <c r="AA9" s="16" t="n">
        <f aca="false">IF($A9="","",SUMIF(Species!$A$3:$A$302,$A9,Species!$Q$3:$Q$302))</f>
        <v>97.393931064216</v>
      </c>
      <c r="AB9" s="16" t="n">
        <f aca="false">IF($A9="","",SUMIF(Species!$A$3:$A$302,$A9,Species!$R$3:$R$302))</f>
        <v>74.7600966767359</v>
      </c>
      <c r="AC9" s="16" t="n">
        <f aca="false">IF($A9="","",SUMIF(Species!$A$3:$A$302,$A9,Species!$S$3:$S$302))</f>
        <v>71.3280485032634</v>
      </c>
      <c r="AD9" s="16" t="n">
        <f aca="false">IF($A9="","",SUMIF(Species!$A$3:$A$302,$A9,Species!$T$3:$T$302))</f>
        <v>0</v>
      </c>
      <c r="AE9" s="17" t="n">
        <f aca="false">IF($A9="","",(SUM($AA9:$AD9)+IF($P9="Yes",$Q9*$O9,0))*1000*$K9/1000000)</f>
        <v>2.43482076244215</v>
      </c>
      <c r="AF9" s="18" t="n">
        <f aca="false">IF($A9="","",$AE9*1000000*12/1000000000)</f>
        <v>0.0292178491493058</v>
      </c>
      <c r="AG9" s="18" t="n">
        <f aca="false">IF(OR($A9="",$Y9=0),"",_xlfn.MAXIFS(Species!$U$3:$U$302,Species!$A$3:$A$302,$A9))</f>
        <v>0.14142135623731</v>
      </c>
      <c r="AH9" s="19" t="str">
        <f aca="false">IF($A9="","",IF($Y9=0,"⚠ no species on the Species sheet",IF(COUNTIFS(Species!$A$3:$A$302,$A9,Species!$V$3:$V$302,"✖*")&gt;0,"✖ "&amp;COUNTIFS(Species!$A$3:$A$302,$A9,Species!$V$3:$V$302,"✖*")&amp;" species saturated (brightness &gt;= frequency) - see Species sheet",IF(MIN($G9,$H9)&lt;8*$T9,"⚠ box too small laterally (&lt; 8·wr)",IF(AND($I9&gt;0,$I9&lt;3*$U9),"⚠ box too small axially (&lt; 3·wz)",IF($AF9&gt;8,"⚠ more than 8 GB per file: shorten the duration and use several files",IF(COUNTIFS(Species!$A$3:$A$302,$A9,Species!$V$3:$V$302,"⚠*")&gt;0,"⚠ "&amp;COUNTIFS(Species!$A$3:$A$302,$A9,Species!$V$3:$V$302,"⚠*")&amp;" species with a warning - see Species sheet","✔ OK")))))))</f>
        <v>✖ 6 species saturated (brightness &gt;= frequency) - see Species sheet</v>
      </c>
      <c r="AI9" s="13"/>
      <c r="AJ9" s="13"/>
      <c r="AK9" s="13"/>
      <c r="AL9" s="13"/>
      <c r="AM9" s="14" t="s">
        <v>80</v>
      </c>
    </row>
    <row r="10" customFormat="false" ht="35.05" hidden="false" customHeight="false" outlineLevel="0" collapsed="false">
      <c r="A10" s="13" t="s">
        <v>95</v>
      </c>
      <c r="B10" s="13" t="s">
        <v>96</v>
      </c>
      <c r="C10" s="14" t="s">
        <v>97</v>
      </c>
      <c r="D10" s="14" t="s">
        <v>87</v>
      </c>
      <c r="E10" s="13" t="s">
        <v>79</v>
      </c>
      <c r="F10" s="13" t="n">
        <v>3</v>
      </c>
      <c r="G10" s="13" t="n">
        <v>5000</v>
      </c>
      <c r="H10" s="13" t="n">
        <v>5000</v>
      </c>
      <c r="I10" s="13" t="n">
        <v>5000</v>
      </c>
      <c r="J10" s="13" t="n">
        <v>1000</v>
      </c>
      <c r="K10" s="13" t="n">
        <v>30</v>
      </c>
      <c r="L10" s="13" t="n">
        <v>1</v>
      </c>
      <c r="M10" s="13" t="n">
        <v>60</v>
      </c>
      <c r="N10" s="13" t="s">
        <v>72</v>
      </c>
      <c r="O10" s="13" t="n">
        <v>3</v>
      </c>
      <c r="P10" s="13" t="s">
        <v>73</v>
      </c>
      <c r="Q10" s="13" t="n">
        <v>0.2</v>
      </c>
      <c r="R10" s="13" t="s">
        <v>73</v>
      </c>
      <c r="S10" s="13" t="n">
        <v>250</v>
      </c>
      <c r="T10" s="13" t="n">
        <v>200</v>
      </c>
      <c r="U10" s="13" t="n">
        <v>1000</v>
      </c>
      <c r="V10" s="13" t="n">
        <v>1</v>
      </c>
      <c r="W10" s="13"/>
      <c r="X10" s="13" t="s">
        <v>74</v>
      </c>
      <c r="Y10" s="15" t="n">
        <f aca="false">IF($A10="","",COUNTIF(Species!$A$3:$A$302,$A10))</f>
        <v>3</v>
      </c>
      <c r="Z10" s="15" t="n">
        <f aca="false">IF($A10="","",SUMIF(Species!$A$3:$A$302,$A10,Species!$D$3:$D$302))</f>
        <v>1600</v>
      </c>
      <c r="AA10" s="16" t="n">
        <f aca="false">IF($A10="","",SUMIF(Species!$A$3:$A$302,$A10,Species!$Q$3:$Q$302))</f>
        <v>1007.97503652623</v>
      </c>
      <c r="AB10" s="16" t="n">
        <f aca="false">IF($A10="","",SUMIF(Species!$A$3:$A$302,$A10,Species!$R$3:$R$302))</f>
        <v>264.593447088137</v>
      </c>
      <c r="AC10" s="16" t="n">
        <f aca="false">IF($A10="","",SUMIF(Species!$A$3:$A$302,$A10,Species!$S$3:$S$302))</f>
        <v>346.491418805893</v>
      </c>
      <c r="AD10" s="16" t="n">
        <f aca="false">IF($A10="","",SUMIF(Species!$A$3:$A$302,$A10,Species!$T$3:$T$302))</f>
        <v>0</v>
      </c>
      <c r="AE10" s="17" t="n">
        <f aca="false">IF($A10="","",(SUM($AA10:$AD10)+IF($P10="Yes",$Q10*$O10,0))*1000*$K10/1000000)</f>
        <v>48.571797072608</v>
      </c>
      <c r="AF10" s="18" t="n">
        <f aca="false">IF($A10="","",$AE10*1000000*12/1000000000)</f>
        <v>0.582861564871296</v>
      </c>
      <c r="AG10" s="18" t="n">
        <f aca="false">IF(OR($A10="",$Y10=0),"",_xlfn.MAXIFS(Species!$U$3:$U$302,Species!$A$3:$A$302,$A10))</f>
        <v>0.0418330013267038</v>
      </c>
      <c r="AH10" s="19" t="str">
        <f aca="false">IF($A10="","",IF($Y10=0,"⚠ no species on the Species sheet",IF(COUNTIFS(Species!$A$3:$A$302,$A10,Species!$V$3:$V$302,"✖*")&gt;0,"✖ "&amp;COUNTIFS(Species!$A$3:$A$302,$A10,Species!$V$3:$V$302,"✖*")&amp;" species saturated (brightness &gt;= frequency) - see Species sheet",IF(MIN($G10,$H10)&lt;8*$T10,"⚠ box too small laterally (&lt; 8·wr)",IF(AND($I10&gt;0,$I10&lt;3*$U10),"⚠ box too small axially (&lt; 3·wz)",IF($AF10&gt;8,"⚠ more than 8 GB per file: shorten the duration and use several files",IF(COUNTIFS(Species!$A$3:$A$302,$A10,Species!$V$3:$V$302,"⚠*")&gt;0,"⚠ "&amp;COUNTIFS(Species!$A$3:$A$302,$A10,Species!$V$3:$V$302,"⚠*")&amp;" species with a warning - see Species sheet","✔ OK")))))))</f>
        <v>✖ 3 species saturated (brightness &gt;= frequency) - see Species sheet</v>
      </c>
      <c r="AI10" s="13"/>
      <c r="AJ10" s="13"/>
      <c r="AK10" s="13"/>
      <c r="AL10" s="13"/>
      <c r="AM10" s="14" t="s">
        <v>80</v>
      </c>
    </row>
    <row r="11" customFormat="false" ht="35.05" hidden="false" customHeight="false" outlineLevel="0" collapsed="false">
      <c r="A11" s="13" t="s">
        <v>98</v>
      </c>
      <c r="B11" s="13" t="s">
        <v>99</v>
      </c>
      <c r="C11" s="14" t="s">
        <v>100</v>
      </c>
      <c r="D11" s="14" t="s">
        <v>87</v>
      </c>
      <c r="E11" s="13" t="s">
        <v>79</v>
      </c>
      <c r="F11" s="13" t="n">
        <v>3</v>
      </c>
      <c r="G11" s="13" t="n">
        <v>5000</v>
      </c>
      <c r="H11" s="13" t="n">
        <v>5000</v>
      </c>
      <c r="I11" s="13" t="n">
        <v>5000</v>
      </c>
      <c r="J11" s="13" t="n">
        <v>1000</v>
      </c>
      <c r="K11" s="13" t="n">
        <v>30</v>
      </c>
      <c r="L11" s="13" t="n">
        <v>1</v>
      </c>
      <c r="M11" s="13" t="n">
        <v>60</v>
      </c>
      <c r="N11" s="13" t="s">
        <v>72</v>
      </c>
      <c r="O11" s="13" t="n">
        <v>3</v>
      </c>
      <c r="P11" s="13" t="s">
        <v>73</v>
      </c>
      <c r="Q11" s="13" t="n">
        <v>0.2</v>
      </c>
      <c r="R11" s="13" t="s">
        <v>73</v>
      </c>
      <c r="S11" s="13" t="n">
        <v>250</v>
      </c>
      <c r="T11" s="13" t="n">
        <v>200</v>
      </c>
      <c r="U11" s="13" t="n">
        <v>1000</v>
      </c>
      <c r="V11" s="13" t="n">
        <v>1</v>
      </c>
      <c r="W11" s="13"/>
      <c r="X11" s="13" t="s">
        <v>74</v>
      </c>
      <c r="Y11" s="15" t="n">
        <f aca="false">IF($A11="","",COUNTIF(Species!$A$3:$A$302,$A11))</f>
        <v>3</v>
      </c>
      <c r="Z11" s="15" t="n">
        <f aca="false">IF($A11="","",SUMIF(Species!$A$3:$A$302,$A11,Species!$D$3:$D$302))</f>
        <v>3100</v>
      </c>
      <c r="AA11" s="16" t="n">
        <f aca="false">IF($A11="","",SUMIF(Species!$A$3:$A$302,$A11,Species!$Q$3:$Q$302))</f>
        <v>3025.95776972885</v>
      </c>
      <c r="AB11" s="16" t="n">
        <f aca="false">IF($A11="","",SUMIF(Species!$A$3:$A$302,$A11,Species!$R$3:$R$302))</f>
        <v>926.077064808478</v>
      </c>
      <c r="AC11" s="16" t="n">
        <f aca="false">IF($A11="","",SUMIF(Species!$A$3:$A$302,$A11,Species!$S$3:$S$302))</f>
        <v>346.491418805893</v>
      </c>
      <c r="AD11" s="16" t="n">
        <f aca="false">IF($A11="","",SUMIF(Species!$A$3:$A$302,$A11,Species!$T$3:$T$302))</f>
        <v>0</v>
      </c>
      <c r="AE11" s="17" t="n">
        <f aca="false">IF($A11="","",(SUM($AA11:$AD11)+IF($P11="Yes",$Q11*$O11,0))*1000*$K11/1000000)</f>
        <v>128.955787600297</v>
      </c>
      <c r="AF11" s="18" t="n">
        <f aca="false">IF($A11="","",$AE11*1000000*12/1000000000)</f>
        <v>1.54746945120356</v>
      </c>
      <c r="AG11" s="18" t="n">
        <f aca="false">IF(OR($A11="",$Y11=0),"",_xlfn.MAXIFS(Species!$U$3:$U$302,Species!$A$3:$A$302,$A11))</f>
        <v>0.0418330013267038</v>
      </c>
      <c r="AH11" s="19" t="str">
        <f aca="false">IF($A11="","",IF($Y11=0,"⚠ no species on the Species sheet",IF(COUNTIFS(Species!$A$3:$A$302,$A11,Species!$V$3:$V$302,"✖*")&gt;0,"✖ "&amp;COUNTIFS(Species!$A$3:$A$302,$A11,Species!$V$3:$V$302,"✖*")&amp;" species saturated (brightness &gt;= frequency) - see Species sheet",IF(MIN($G11,$H11)&lt;8*$T11,"⚠ box too small laterally (&lt; 8·wr)",IF(AND($I11&gt;0,$I11&lt;3*$U11),"⚠ box too small axially (&lt; 3·wz)",IF($AF11&gt;8,"⚠ more than 8 GB per file: shorten the duration and use several files",IF(COUNTIFS(Species!$A$3:$A$302,$A11,Species!$V$3:$V$302,"⚠*")&gt;0,"⚠ "&amp;COUNTIFS(Species!$A$3:$A$302,$A11,Species!$V$3:$V$302,"⚠*")&amp;" species with a warning - see Species sheet","✔ OK")))))))</f>
        <v>✖ 3 species saturated (brightness &gt;= frequency) - see Species sheet</v>
      </c>
      <c r="AI11" s="13"/>
      <c r="AJ11" s="13"/>
      <c r="AK11" s="13"/>
      <c r="AL11" s="13"/>
      <c r="AM11" s="14" t="s">
        <v>80</v>
      </c>
    </row>
    <row r="12" customFormat="false" ht="35.05" hidden="false" customHeight="false" outlineLevel="0" collapsed="false">
      <c r="A12" s="13" t="s">
        <v>101</v>
      </c>
      <c r="B12" s="13" t="s">
        <v>102</v>
      </c>
      <c r="C12" s="14"/>
      <c r="D12" s="14" t="s">
        <v>87</v>
      </c>
      <c r="E12" s="13" t="s">
        <v>79</v>
      </c>
      <c r="F12" s="13" t="n">
        <v>3</v>
      </c>
      <c r="G12" s="13" t="n">
        <v>5000</v>
      </c>
      <c r="H12" s="13" t="n">
        <v>5000</v>
      </c>
      <c r="I12" s="13" t="n">
        <v>5000</v>
      </c>
      <c r="J12" s="13" t="n">
        <v>1000</v>
      </c>
      <c r="K12" s="13" t="n">
        <v>30</v>
      </c>
      <c r="L12" s="13" t="n">
        <v>1</v>
      </c>
      <c r="M12" s="13" t="n">
        <v>60</v>
      </c>
      <c r="N12" s="13" t="s">
        <v>72</v>
      </c>
      <c r="O12" s="13" t="n">
        <v>3</v>
      </c>
      <c r="P12" s="13" t="s">
        <v>73</v>
      </c>
      <c r="Q12" s="13" t="n">
        <v>0.2</v>
      </c>
      <c r="R12" s="13" t="s">
        <v>73</v>
      </c>
      <c r="S12" s="13" t="n">
        <v>250</v>
      </c>
      <c r="T12" s="13" t="n">
        <v>200</v>
      </c>
      <c r="U12" s="13" t="n">
        <v>1000</v>
      </c>
      <c r="V12" s="13" t="n">
        <v>1</v>
      </c>
      <c r="W12" s="13"/>
      <c r="X12" s="13" t="s">
        <v>74</v>
      </c>
      <c r="Y12" s="15" t="n">
        <f aca="false">IF($A12="","",COUNTIF(Species!$A$3:$A$302,$A12))</f>
        <v>3</v>
      </c>
      <c r="Z12" s="15" t="n">
        <f aca="false">IF($A12="","",SUMIF(Species!$A$3:$A$302,$A12,Species!$D$3:$D$302))</f>
        <v>30</v>
      </c>
      <c r="AA12" s="16" t="n">
        <f aca="false">IF($A12="","",SUMIF(Species!$A$3:$A$302,$A12,Species!$Q$3:$Q$302))</f>
        <v>24.2645626171632</v>
      </c>
      <c r="AB12" s="16" t="n">
        <f aca="false">IF($A12="","",SUMIF(Species!$A$3:$A$302,$A12,Species!$R$3:$R$302))</f>
        <v>8.81978156960456</v>
      </c>
      <c r="AC12" s="16" t="n">
        <f aca="false">IF($A12="","",SUMIF(Species!$A$3:$A$302,$A12,Species!$S$3:$S$302))</f>
        <v>6.29984397828897</v>
      </c>
      <c r="AD12" s="16" t="n">
        <f aca="false">IF($A12="","",SUMIF(Species!$A$3:$A$302,$A12,Species!$T$3:$T$302))</f>
        <v>0</v>
      </c>
      <c r="AE12" s="17" t="n">
        <f aca="false">IF($A12="","",(SUM($AA12:$AD12)+IF($P12="Yes",$Q12*$O12,0))*1000*$K12/1000000)</f>
        <v>1.1815256449517</v>
      </c>
      <c r="AF12" s="18" t="n">
        <f aca="false">IF($A12="","",$AE12*1000000*12/1000000000)</f>
        <v>0.0141783077394204</v>
      </c>
      <c r="AG12" s="18" t="n">
        <f aca="false">IF(OR($A12="",$Y12=0),"",_xlfn.MAXIFS(Species!$U$3:$U$302,Species!$A$3:$A$302,$A12))</f>
        <v>0.0418330013267038</v>
      </c>
      <c r="AH12" s="19" t="str">
        <f aca="false">IF($A12="","",IF($Y12=0,"⚠ no species on the Species sheet",IF(COUNTIFS(Species!$A$3:$A$302,$A12,Species!$V$3:$V$302,"✖*")&gt;0,"✖ "&amp;COUNTIFS(Species!$A$3:$A$302,$A12,Species!$V$3:$V$302,"✖*")&amp;" species saturated (brightness &gt;= frequency) - see Species sheet",IF(MIN($G12,$H12)&lt;8*$T12,"⚠ box too small laterally (&lt; 8·wr)",IF(AND($I12&gt;0,$I12&lt;3*$U12),"⚠ box too small axially (&lt; 3·wz)",IF($AF12&gt;8,"⚠ more than 8 GB per file: shorten the duration and use several files",IF(COUNTIFS(Species!$A$3:$A$302,$A12,Species!$V$3:$V$302,"⚠*")&gt;0,"⚠ "&amp;COUNTIFS(Species!$A$3:$A$302,$A12,Species!$V$3:$V$302,"⚠*")&amp;" species with a warning - see Species sheet","✔ OK")))))))</f>
        <v>✖ 3 species saturated (brightness &gt;= frequency) - see Species sheet</v>
      </c>
      <c r="AI12" s="13"/>
      <c r="AJ12" s="13"/>
      <c r="AK12" s="13"/>
      <c r="AL12" s="13"/>
      <c r="AM12" s="14" t="s">
        <v>80</v>
      </c>
    </row>
    <row r="13" customFormat="false" ht="35.05" hidden="false" customHeight="false" outlineLevel="0" collapsed="false">
      <c r="A13" s="13" t="s">
        <v>103</v>
      </c>
      <c r="B13" s="13" t="s">
        <v>104</v>
      </c>
      <c r="C13" s="14"/>
      <c r="D13" s="14" t="s">
        <v>87</v>
      </c>
      <c r="E13" s="13" t="s">
        <v>79</v>
      </c>
      <c r="F13" s="13" t="n">
        <v>3</v>
      </c>
      <c r="G13" s="13" t="n">
        <v>5000</v>
      </c>
      <c r="H13" s="13" t="n">
        <v>5000</v>
      </c>
      <c r="I13" s="13" t="n">
        <v>5000</v>
      </c>
      <c r="J13" s="13" t="n">
        <v>1000</v>
      </c>
      <c r="K13" s="13" t="n">
        <v>5</v>
      </c>
      <c r="L13" s="13" t="n">
        <v>1</v>
      </c>
      <c r="M13" s="13" t="n">
        <v>60</v>
      </c>
      <c r="N13" s="13" t="s">
        <v>72</v>
      </c>
      <c r="O13" s="13" t="n">
        <v>3</v>
      </c>
      <c r="P13" s="13" t="s">
        <v>73</v>
      </c>
      <c r="Q13" s="13" t="n">
        <v>0.2</v>
      </c>
      <c r="R13" s="13" t="s">
        <v>73</v>
      </c>
      <c r="S13" s="13" t="n">
        <v>250</v>
      </c>
      <c r="T13" s="13" t="n">
        <v>200</v>
      </c>
      <c r="U13" s="13" t="n">
        <v>1000</v>
      </c>
      <c r="V13" s="13" t="n">
        <v>1</v>
      </c>
      <c r="W13" s="13"/>
      <c r="X13" s="13" t="s">
        <v>74</v>
      </c>
      <c r="Y13" s="15" t="n">
        <f aca="false">IF($A13="","",COUNTIF(Species!$A$3:$A$302,$A13))</f>
        <v>3</v>
      </c>
      <c r="Z13" s="15" t="n">
        <f aca="false">IF($A13="","",SUMIF(Species!$A$3:$A$302,$A13,Species!$D$3:$D$302))</f>
        <v>3000</v>
      </c>
      <c r="AA13" s="16" t="n">
        <f aca="false">IF($A13="","",SUMIF(Species!$A$3:$A$302,$A13,Species!$Q$3:$Q$302))</f>
        <v>2426.45626171632</v>
      </c>
      <c r="AB13" s="16" t="n">
        <f aca="false">IF($A13="","",SUMIF(Species!$A$3:$A$302,$A13,Species!$R$3:$R$302))</f>
        <v>881.978156960456</v>
      </c>
      <c r="AC13" s="16" t="n">
        <f aca="false">IF($A13="","",SUMIF(Species!$A$3:$A$302,$A13,Species!$S$3:$S$302))</f>
        <v>629.984397828897</v>
      </c>
      <c r="AD13" s="16" t="n">
        <f aca="false">IF($A13="","",SUMIF(Species!$A$3:$A$302,$A13,Species!$T$3:$T$302))</f>
        <v>0</v>
      </c>
      <c r="AE13" s="17" t="n">
        <f aca="false">IF($A13="","",(SUM($AA13:$AD13)+IF($P13="Yes",$Q13*$O13,0))*1000*$K13/1000000)</f>
        <v>19.6920940825284</v>
      </c>
      <c r="AF13" s="18" t="n">
        <f aca="false">IF($A13="","",$AE13*1000000*12/1000000000)</f>
        <v>0.236305128990341</v>
      </c>
      <c r="AG13" s="18" t="n">
        <f aca="false">IF(OR($A13="",$Y13=0),"",_xlfn.MAXIFS(Species!$U$3:$U$302,Species!$A$3:$A$302,$A13))</f>
        <v>0.0418330013267038</v>
      </c>
      <c r="AH13" s="19" t="str">
        <f aca="false">IF($A13="","",IF($Y13=0,"⚠ no species on the Species sheet",IF(COUNTIFS(Species!$A$3:$A$302,$A13,Species!$V$3:$V$302,"✖*")&gt;0,"✖ "&amp;COUNTIFS(Species!$A$3:$A$302,$A13,Species!$V$3:$V$302,"✖*")&amp;" species saturated (brightness &gt;= frequency) - see Species sheet",IF(MIN($G13,$H13)&lt;8*$T13,"⚠ box too small laterally (&lt; 8·wr)",IF(AND($I13&gt;0,$I13&lt;3*$U13),"⚠ box too small axially (&lt; 3·wz)",IF($AF13&gt;8,"⚠ more than 8 GB per file: shorten the duration and use several files",IF(COUNTIFS(Species!$A$3:$A$302,$A13,Species!$V$3:$V$302,"⚠*")&gt;0,"⚠ "&amp;COUNTIFS(Species!$A$3:$A$302,$A13,Species!$V$3:$V$302,"⚠*")&amp;" species with a warning - see Species sheet","✔ OK")))))))</f>
        <v>✖ 3 species saturated (brightness &gt;= frequency) - see Species sheet</v>
      </c>
      <c r="AI13" s="13"/>
      <c r="AJ13" s="13"/>
      <c r="AK13" s="13"/>
      <c r="AL13" s="13"/>
      <c r="AM13" s="14" t="s">
        <v>80</v>
      </c>
    </row>
    <row r="14" customFormat="false" ht="35.05" hidden="false" customHeight="false" outlineLevel="0" collapsed="false">
      <c r="A14" s="13" t="s">
        <v>105</v>
      </c>
      <c r="B14" s="13" t="s">
        <v>106</v>
      </c>
      <c r="C14" s="14" t="s">
        <v>107</v>
      </c>
      <c r="D14" s="14" t="s">
        <v>108</v>
      </c>
      <c r="E14" s="13" t="s">
        <v>79</v>
      </c>
      <c r="F14" s="13" t="n">
        <v>3</v>
      </c>
      <c r="G14" s="13" t="n">
        <v>5000</v>
      </c>
      <c r="H14" s="13" t="n">
        <v>5000</v>
      </c>
      <c r="I14" s="13" t="n">
        <v>5000</v>
      </c>
      <c r="J14" s="13" t="n">
        <v>1000</v>
      </c>
      <c r="K14" s="13" t="n">
        <v>150</v>
      </c>
      <c r="L14" s="13" t="n">
        <v>1</v>
      </c>
      <c r="M14" s="13" t="n">
        <v>60</v>
      </c>
      <c r="N14" s="13" t="s">
        <v>72</v>
      </c>
      <c r="O14" s="13" t="n">
        <v>3</v>
      </c>
      <c r="P14" s="13" t="s">
        <v>73</v>
      </c>
      <c r="Q14" s="13" t="n">
        <v>0.2</v>
      </c>
      <c r="R14" s="13" t="s">
        <v>73</v>
      </c>
      <c r="S14" s="13" t="n">
        <v>250</v>
      </c>
      <c r="T14" s="13" t="n">
        <v>200</v>
      </c>
      <c r="U14" s="13" t="n">
        <v>1000</v>
      </c>
      <c r="V14" s="13" t="n">
        <v>1</v>
      </c>
      <c r="W14" s="13"/>
      <c r="X14" s="13" t="s">
        <v>74</v>
      </c>
      <c r="Y14" s="15" t="n">
        <f aca="false">IF($A14="","",COUNTIF(Species!$A$3:$A$302,$A14))</f>
        <v>3</v>
      </c>
      <c r="Z14" s="15" t="n">
        <f aca="false">IF($A14="","",SUMIF(Species!$A$3:$A$302,$A14,Species!$D$3:$D$302))</f>
        <v>6200</v>
      </c>
      <c r="AA14" s="16" t="n">
        <f aca="false">IF($A14="","",SUMIF(Species!$A$3:$A$302,$A14,Species!$Q$3:$Q$302))</f>
        <v>21932.6740345782</v>
      </c>
      <c r="AB14" s="16" t="n">
        <f aca="false">IF($A14="","",SUMIF(Species!$A$3:$A$302,$A14,Species!$R$3:$R$302))</f>
        <v>10466.413534743</v>
      </c>
      <c r="AC14" s="16" t="n">
        <f aca="false">IF($A14="","",SUMIF(Species!$A$3:$A$302,$A14,Species!$S$3:$S$302))</f>
        <v>4617.22529566603</v>
      </c>
      <c r="AD14" s="16" t="n">
        <f aca="false">IF($A14="","",SUMIF(Species!$A$3:$A$302,$A14,Species!$T$3:$T$302))</f>
        <v>0</v>
      </c>
      <c r="AE14" s="17" t="n">
        <f aca="false">IF($A14="","",(SUM($AA14:$AD14)+IF($P14="Yes",$Q14*$O14,0))*1000*$K14/1000000)</f>
        <v>5552.44692974808</v>
      </c>
      <c r="AF14" s="18" t="n">
        <f aca="false">IF($A14="","",$AE14*1000000*12/1000000000)</f>
        <v>66.629363156977</v>
      </c>
      <c r="AG14" s="18" t="n">
        <f aca="false">IF(OR($A14="",$Y14=0),"",_xlfn.MAXIFS(Species!$U$3:$U$302,Species!$A$3:$A$302,$A14))</f>
        <v>0.0418330013267038</v>
      </c>
      <c r="AH14" s="19" t="str">
        <f aca="false">IF($A14="","",IF($Y14=0,"⚠ no species on the Species sheet",IF(COUNTIFS(Species!$A$3:$A$302,$A14,Species!$V$3:$V$302,"✖*")&gt;0,"✖ "&amp;COUNTIFS(Species!$A$3:$A$302,$A14,Species!$V$3:$V$302,"✖*")&amp;" species saturated (brightness &gt;= frequency) - see Species sheet",IF(MIN($G14,$H14)&lt;8*$T14,"⚠ box too small laterally (&lt; 8·wr)",IF(AND($I14&gt;0,$I14&lt;3*$U14),"⚠ box too small axially (&lt; 3·wz)",IF($AF14&gt;8,"⚠ more than 8 GB per file: shorten the duration and use several files",IF(COUNTIFS(Species!$A$3:$A$302,$A14,Species!$V$3:$V$302,"⚠*")&gt;0,"⚠ "&amp;COUNTIFS(Species!$A$3:$A$302,$A14,Species!$V$3:$V$302,"⚠*")&amp;" species with a warning - see Species sheet","✔ OK")))))))</f>
        <v>✖ 3 species saturated (brightness &gt;= frequency) - see Species sheet</v>
      </c>
      <c r="AI14" s="13"/>
      <c r="AJ14" s="13"/>
      <c r="AK14" s="13"/>
      <c r="AL14" s="13"/>
      <c r="AM14" s="14" t="s">
        <v>80</v>
      </c>
    </row>
    <row r="15" customFormat="false" ht="15" hidden="false" customHeight="false" outlineLevel="0" collapsed="false">
      <c r="A15" s="13"/>
      <c r="B15" s="13"/>
      <c r="C15" s="14"/>
      <c r="D15" s="14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5" t="str">
        <f aca="false">IF($A15="","",COUNTIF(Species!$A$3:$A$302,$A15))</f>
        <v/>
      </c>
      <c r="Z15" s="15" t="str">
        <f aca="false">IF($A15="","",SUMIF(Species!$A$3:$A$302,$A15,Species!$D$3:$D$302))</f>
        <v/>
      </c>
      <c r="AA15" s="16" t="str">
        <f aca="false">IF($A15="","",SUMIF(Species!$A$3:$A$302,$A15,Species!$Q$3:$Q$302))</f>
        <v/>
      </c>
      <c r="AB15" s="16" t="str">
        <f aca="false">IF($A15="","",SUMIF(Species!$A$3:$A$302,$A15,Species!$R$3:$R$302))</f>
        <v/>
      </c>
      <c r="AC15" s="16" t="str">
        <f aca="false">IF($A15="","",SUMIF(Species!$A$3:$A$302,$A15,Species!$S$3:$S$302))</f>
        <v/>
      </c>
      <c r="AD15" s="16" t="str">
        <f aca="false">IF($A15="","",SUMIF(Species!$A$3:$A$302,$A15,Species!$T$3:$T$302))</f>
        <v/>
      </c>
      <c r="AE15" s="17" t="str">
        <f aca="false">IF($A15="","",(SUM($AA15:$AD15)+IF($P15="Yes",$Q15*$O15,0))*1000*$K15/1000000)</f>
        <v/>
      </c>
      <c r="AF15" s="18" t="str">
        <f aca="false">IF($A15="","",$AE15*1000000*12/1000000000)</f>
        <v/>
      </c>
      <c r="AG15" s="18" t="str">
        <f aca="false">IF(OR($A15="",$Y15=0),"",_xlfn.MAXIFS(Species!$U$3:$U$302,Species!$A$3:$A$302,$A15))</f>
        <v/>
      </c>
      <c r="AH15" s="19" t="str">
        <f aca="false">IF($A15="","",IF($Y15=0,"⚠ no species on the Species sheet",IF(COUNTIFS(Species!$A$3:$A$302,$A15,Species!$V$3:$V$302,"✖*")&gt;0,"✖ "&amp;COUNTIFS(Species!$A$3:$A$302,$A15,Species!$V$3:$V$302,"✖*")&amp;" species saturated (brightness &gt;= frequency) - see Species sheet",IF(MIN($G15,$H15)&lt;8*$T15,"⚠ box too small laterally (&lt; 8·wr)",IF(AND($I15&gt;0,$I15&lt;3*$U15),"⚠ box too small axially (&lt; 3·wz)",IF($AF15&gt;8,"⚠ more than 8 GB per file: shorten the duration and use several files",IF(COUNTIFS(Species!$A$3:$A$302,$A15,Species!$V$3:$V$302,"⚠*")&gt;0,"⚠ "&amp;COUNTIFS(Species!$A$3:$A$302,$A15,Species!$V$3:$V$302,"⚠*")&amp;" species with a warning - see Species sheet","✔ OK")))))))</f>
        <v/>
      </c>
      <c r="AI15" s="13"/>
      <c r="AJ15" s="13"/>
      <c r="AK15" s="13"/>
      <c r="AL15" s="13"/>
      <c r="AM15" s="14"/>
    </row>
    <row r="16" customFormat="false" ht="15" hidden="false" customHeight="false" outlineLevel="0" collapsed="false">
      <c r="A16" s="13"/>
      <c r="B16" s="13"/>
      <c r="C16" s="14"/>
      <c r="D16" s="14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5" t="str">
        <f aca="false">IF($A16="","",COUNTIF(Species!$A$3:$A$302,$A16))</f>
        <v/>
      </c>
      <c r="Z16" s="15" t="str">
        <f aca="false">IF($A16="","",SUMIF(Species!$A$3:$A$302,$A16,Species!$D$3:$D$302))</f>
        <v/>
      </c>
      <c r="AA16" s="16" t="str">
        <f aca="false">IF($A16="","",SUMIF(Species!$A$3:$A$302,$A16,Species!$Q$3:$Q$302))</f>
        <v/>
      </c>
      <c r="AB16" s="16" t="str">
        <f aca="false">IF($A16="","",SUMIF(Species!$A$3:$A$302,$A16,Species!$R$3:$R$302))</f>
        <v/>
      </c>
      <c r="AC16" s="16" t="str">
        <f aca="false">IF($A16="","",SUMIF(Species!$A$3:$A$302,$A16,Species!$S$3:$S$302))</f>
        <v/>
      </c>
      <c r="AD16" s="16" t="str">
        <f aca="false">IF($A16="","",SUMIF(Species!$A$3:$A$302,$A16,Species!$T$3:$T$302))</f>
        <v/>
      </c>
      <c r="AE16" s="17" t="str">
        <f aca="false">IF($A16="","",(SUM($AA16:$AD16)+IF($P16="Yes",$Q16*$O16,0))*1000*$K16/1000000)</f>
        <v/>
      </c>
      <c r="AF16" s="18" t="str">
        <f aca="false">IF($A16="","",$AE16*1000000*12/1000000000)</f>
        <v/>
      </c>
      <c r="AG16" s="18" t="str">
        <f aca="false">IF(OR($A16="",$Y16=0),"",_xlfn.MAXIFS(Species!$U$3:$U$302,Species!$A$3:$A$302,$A16))</f>
        <v/>
      </c>
      <c r="AH16" s="19" t="str">
        <f aca="false">IF($A16="","",IF($Y16=0,"⚠ no species on the Species sheet",IF(COUNTIFS(Species!$A$3:$A$302,$A16,Species!$V$3:$V$302,"✖*")&gt;0,"✖ "&amp;COUNTIFS(Species!$A$3:$A$302,$A16,Species!$V$3:$V$302,"✖*")&amp;" species saturated (brightness &gt;= frequency) - see Species sheet",IF(MIN($G16,$H16)&lt;8*$T16,"⚠ box too small laterally (&lt; 8·wr)",IF(AND($I16&gt;0,$I16&lt;3*$U16),"⚠ box too small axially (&lt; 3·wz)",IF($AF16&gt;8,"⚠ more than 8 GB per file: shorten the duration and use several files",IF(COUNTIFS(Species!$A$3:$A$302,$A16,Species!$V$3:$V$302,"⚠*")&gt;0,"⚠ "&amp;COUNTIFS(Species!$A$3:$A$302,$A16,Species!$V$3:$V$302,"⚠*")&amp;" species with a warning - see Species sheet","✔ OK")))))))</f>
        <v/>
      </c>
      <c r="AI16" s="13"/>
      <c r="AJ16" s="13"/>
      <c r="AK16" s="13"/>
      <c r="AL16" s="13"/>
      <c r="AM16" s="14"/>
    </row>
    <row r="17" customFormat="false" ht="15" hidden="false" customHeight="false" outlineLevel="0" collapsed="false">
      <c r="A17" s="13"/>
      <c r="B17" s="13"/>
      <c r="C17" s="14"/>
      <c r="D17" s="14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5" t="str">
        <f aca="false">IF($A17="","",COUNTIF(Species!$A$3:$A$302,$A17))</f>
        <v/>
      </c>
      <c r="Z17" s="15" t="str">
        <f aca="false">IF($A17="","",SUMIF(Species!$A$3:$A$302,$A17,Species!$D$3:$D$302))</f>
        <v/>
      </c>
      <c r="AA17" s="16" t="str">
        <f aca="false">IF($A17="","",SUMIF(Species!$A$3:$A$302,$A17,Species!$Q$3:$Q$302))</f>
        <v/>
      </c>
      <c r="AB17" s="16" t="str">
        <f aca="false">IF($A17="","",SUMIF(Species!$A$3:$A$302,$A17,Species!$R$3:$R$302))</f>
        <v/>
      </c>
      <c r="AC17" s="16" t="str">
        <f aca="false">IF($A17="","",SUMIF(Species!$A$3:$A$302,$A17,Species!$S$3:$S$302))</f>
        <v/>
      </c>
      <c r="AD17" s="16" t="str">
        <f aca="false">IF($A17="","",SUMIF(Species!$A$3:$A$302,$A17,Species!$T$3:$T$302))</f>
        <v/>
      </c>
      <c r="AE17" s="17" t="str">
        <f aca="false">IF($A17="","",(SUM($AA17:$AD17)+IF($P17="Yes",$Q17*$O17,0))*1000*$K17/1000000)</f>
        <v/>
      </c>
      <c r="AF17" s="18" t="str">
        <f aca="false">IF($A17="","",$AE17*1000000*12/1000000000)</f>
        <v/>
      </c>
      <c r="AG17" s="18" t="str">
        <f aca="false">IF(OR($A17="",$Y17=0),"",_xlfn.MAXIFS(Species!$U$3:$U$302,Species!$A$3:$A$302,$A17))</f>
        <v/>
      </c>
      <c r="AH17" s="19" t="str">
        <f aca="false">IF($A17="","",IF($Y17=0,"⚠ no species on the Species sheet",IF(COUNTIFS(Species!$A$3:$A$302,$A17,Species!$V$3:$V$302,"✖*")&gt;0,"✖ "&amp;COUNTIFS(Species!$A$3:$A$302,$A17,Species!$V$3:$V$302,"✖*")&amp;" species saturated (brightness &gt;= frequency) - see Species sheet",IF(MIN($G17,$H17)&lt;8*$T17,"⚠ box too small laterally (&lt; 8·wr)",IF(AND($I17&gt;0,$I17&lt;3*$U17),"⚠ box too small axially (&lt; 3·wz)",IF($AF17&gt;8,"⚠ more than 8 GB per file: shorten the duration and use several files",IF(COUNTIFS(Species!$A$3:$A$302,$A17,Species!$V$3:$V$302,"⚠*")&gt;0,"⚠ "&amp;COUNTIFS(Species!$A$3:$A$302,$A17,Species!$V$3:$V$302,"⚠*")&amp;" species with a warning - see Species sheet","✔ OK")))))))</f>
        <v/>
      </c>
      <c r="AI17" s="13"/>
      <c r="AJ17" s="13"/>
      <c r="AK17" s="13"/>
      <c r="AL17" s="13"/>
      <c r="AM17" s="14"/>
    </row>
    <row r="18" customFormat="false" ht="15" hidden="false" customHeight="false" outlineLevel="0" collapsed="false">
      <c r="A18" s="13"/>
      <c r="B18" s="13"/>
      <c r="C18" s="14"/>
      <c r="D18" s="14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5" t="str">
        <f aca="false">IF($A18="","",COUNTIF(Species!$A$3:$A$302,$A18))</f>
        <v/>
      </c>
      <c r="Z18" s="15" t="str">
        <f aca="false">IF($A18="","",SUMIF(Species!$A$3:$A$302,$A18,Species!$D$3:$D$302))</f>
        <v/>
      </c>
      <c r="AA18" s="16" t="str">
        <f aca="false">IF($A18="","",SUMIF(Species!$A$3:$A$302,$A18,Species!$Q$3:$Q$302))</f>
        <v/>
      </c>
      <c r="AB18" s="16" t="str">
        <f aca="false">IF($A18="","",SUMIF(Species!$A$3:$A$302,$A18,Species!$R$3:$R$302))</f>
        <v/>
      </c>
      <c r="AC18" s="16" t="str">
        <f aca="false">IF($A18="","",SUMIF(Species!$A$3:$A$302,$A18,Species!$S$3:$S$302))</f>
        <v/>
      </c>
      <c r="AD18" s="16" t="str">
        <f aca="false">IF($A18="","",SUMIF(Species!$A$3:$A$302,$A18,Species!$T$3:$T$302))</f>
        <v/>
      </c>
      <c r="AE18" s="17" t="str">
        <f aca="false">IF($A18="","",(SUM($AA18:$AD18)+IF($P18="Yes",$Q18*$O18,0))*1000*$K18/1000000)</f>
        <v/>
      </c>
      <c r="AF18" s="18" t="str">
        <f aca="false">IF($A18="","",$AE18*1000000*12/1000000000)</f>
        <v/>
      </c>
      <c r="AG18" s="18" t="str">
        <f aca="false">IF(OR($A18="",$Y18=0),"",_xlfn.MAXIFS(Species!$U$3:$U$302,Species!$A$3:$A$302,$A18))</f>
        <v/>
      </c>
      <c r="AH18" s="19" t="str">
        <f aca="false">IF($A18="","",IF($Y18=0,"⚠ no species on the Species sheet",IF(COUNTIFS(Species!$A$3:$A$302,$A18,Species!$V$3:$V$302,"✖*")&gt;0,"✖ "&amp;COUNTIFS(Species!$A$3:$A$302,$A18,Species!$V$3:$V$302,"✖*")&amp;" species saturated (brightness &gt;= frequency) - see Species sheet",IF(MIN($G18,$H18)&lt;8*$T18,"⚠ box too small laterally (&lt; 8·wr)",IF(AND($I18&gt;0,$I18&lt;3*$U18),"⚠ box too small axially (&lt; 3·wz)",IF($AF18&gt;8,"⚠ more than 8 GB per file: shorten the duration and use several files",IF(COUNTIFS(Species!$A$3:$A$302,$A18,Species!$V$3:$V$302,"⚠*")&gt;0,"⚠ "&amp;COUNTIFS(Species!$A$3:$A$302,$A18,Species!$V$3:$V$302,"⚠*")&amp;" species with a warning - see Species sheet","✔ OK")))))))</f>
        <v/>
      </c>
      <c r="AI18" s="13"/>
      <c r="AJ18" s="13"/>
      <c r="AK18" s="13"/>
      <c r="AL18" s="13"/>
      <c r="AM18" s="14"/>
    </row>
    <row r="19" customFormat="false" ht="15" hidden="false" customHeight="false" outlineLevel="0" collapsed="false">
      <c r="A19" s="13"/>
      <c r="B19" s="13"/>
      <c r="C19" s="14"/>
      <c r="D19" s="14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5" t="str">
        <f aca="false">IF($A19="","",COUNTIF(Species!$A$3:$A$302,$A19))</f>
        <v/>
      </c>
      <c r="Z19" s="15" t="str">
        <f aca="false">IF($A19="","",SUMIF(Species!$A$3:$A$302,$A19,Species!$D$3:$D$302))</f>
        <v/>
      </c>
      <c r="AA19" s="16" t="str">
        <f aca="false">IF($A19="","",SUMIF(Species!$A$3:$A$302,$A19,Species!$Q$3:$Q$302))</f>
        <v/>
      </c>
      <c r="AB19" s="16" t="str">
        <f aca="false">IF($A19="","",SUMIF(Species!$A$3:$A$302,$A19,Species!$R$3:$R$302))</f>
        <v/>
      </c>
      <c r="AC19" s="16" t="str">
        <f aca="false">IF($A19="","",SUMIF(Species!$A$3:$A$302,$A19,Species!$S$3:$S$302))</f>
        <v/>
      </c>
      <c r="AD19" s="16" t="str">
        <f aca="false">IF($A19="","",SUMIF(Species!$A$3:$A$302,$A19,Species!$T$3:$T$302))</f>
        <v/>
      </c>
      <c r="AE19" s="17" t="str">
        <f aca="false">IF($A19="","",(SUM($AA19:$AD19)+IF($P19="Yes",$Q19*$O19,0))*1000*$K19/1000000)</f>
        <v/>
      </c>
      <c r="AF19" s="18" t="str">
        <f aca="false">IF($A19="","",$AE19*1000000*12/1000000000)</f>
        <v/>
      </c>
      <c r="AG19" s="18" t="str">
        <f aca="false">IF(OR($A19="",$Y19=0),"",_xlfn.MAXIFS(Species!$U$3:$U$302,Species!$A$3:$A$302,$A19))</f>
        <v/>
      </c>
      <c r="AH19" s="19" t="str">
        <f aca="false">IF($A19="","",IF($Y19=0,"⚠ no species on the Species sheet",IF(COUNTIFS(Species!$A$3:$A$302,$A19,Species!$V$3:$V$302,"✖*")&gt;0,"✖ "&amp;COUNTIFS(Species!$A$3:$A$302,$A19,Species!$V$3:$V$302,"✖*")&amp;" species saturated (brightness &gt;= frequency) - see Species sheet",IF(MIN($G19,$H19)&lt;8*$T19,"⚠ box too small laterally (&lt; 8·wr)",IF(AND($I19&gt;0,$I19&lt;3*$U19),"⚠ box too small axially (&lt; 3·wz)",IF($AF19&gt;8,"⚠ more than 8 GB per file: shorten the duration and use several files",IF(COUNTIFS(Species!$A$3:$A$302,$A19,Species!$V$3:$V$302,"⚠*")&gt;0,"⚠ "&amp;COUNTIFS(Species!$A$3:$A$302,$A19,Species!$V$3:$V$302,"⚠*")&amp;" species with a warning - see Species sheet","✔ OK")))))))</f>
        <v/>
      </c>
      <c r="AI19" s="13"/>
      <c r="AJ19" s="13"/>
      <c r="AK19" s="13"/>
      <c r="AL19" s="13"/>
      <c r="AM19" s="14"/>
    </row>
    <row r="20" customFormat="false" ht="15" hidden="false" customHeight="false" outlineLevel="0" collapsed="false">
      <c r="A20" s="13"/>
      <c r="B20" s="13"/>
      <c r="C20" s="14"/>
      <c r="D20" s="14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5" t="str">
        <f aca="false">IF($A20="","",COUNTIF(Species!$A$3:$A$302,$A20))</f>
        <v/>
      </c>
      <c r="Z20" s="15" t="str">
        <f aca="false">IF($A20="","",SUMIF(Species!$A$3:$A$302,$A20,Species!$D$3:$D$302))</f>
        <v/>
      </c>
      <c r="AA20" s="16" t="str">
        <f aca="false">IF($A20="","",SUMIF(Species!$A$3:$A$302,$A20,Species!$Q$3:$Q$302))</f>
        <v/>
      </c>
      <c r="AB20" s="16" t="str">
        <f aca="false">IF($A20="","",SUMIF(Species!$A$3:$A$302,$A20,Species!$R$3:$R$302))</f>
        <v/>
      </c>
      <c r="AC20" s="16" t="str">
        <f aca="false">IF($A20="","",SUMIF(Species!$A$3:$A$302,$A20,Species!$S$3:$S$302))</f>
        <v/>
      </c>
      <c r="AD20" s="16" t="str">
        <f aca="false">IF($A20="","",SUMIF(Species!$A$3:$A$302,$A20,Species!$T$3:$T$302))</f>
        <v/>
      </c>
      <c r="AE20" s="17" t="str">
        <f aca="false">IF($A20="","",(SUM($AA20:$AD20)+IF($P20="Yes",$Q20*$O20,0))*1000*$K20/1000000)</f>
        <v/>
      </c>
      <c r="AF20" s="18" t="str">
        <f aca="false">IF($A20="","",$AE20*1000000*12/1000000000)</f>
        <v/>
      </c>
      <c r="AG20" s="18" t="str">
        <f aca="false">IF(OR($A20="",$Y20=0),"",_xlfn.MAXIFS(Species!$U$3:$U$302,Species!$A$3:$A$302,$A20))</f>
        <v/>
      </c>
      <c r="AH20" s="19" t="str">
        <f aca="false">IF($A20="","",IF($Y20=0,"⚠ no species on the Species sheet",IF(COUNTIFS(Species!$A$3:$A$302,$A20,Species!$V$3:$V$302,"✖*")&gt;0,"✖ "&amp;COUNTIFS(Species!$A$3:$A$302,$A20,Species!$V$3:$V$302,"✖*")&amp;" species saturated (brightness &gt;= frequency) - see Species sheet",IF(MIN($G20,$H20)&lt;8*$T20,"⚠ box too small laterally (&lt; 8·wr)",IF(AND($I20&gt;0,$I20&lt;3*$U20),"⚠ box too small axially (&lt; 3·wz)",IF($AF20&gt;8,"⚠ more than 8 GB per file: shorten the duration and use several files",IF(COUNTIFS(Species!$A$3:$A$302,$A20,Species!$V$3:$V$302,"⚠*")&gt;0,"⚠ "&amp;COUNTIFS(Species!$A$3:$A$302,$A20,Species!$V$3:$V$302,"⚠*")&amp;" species with a warning - see Species sheet","✔ OK")))))))</f>
        <v/>
      </c>
      <c r="AI20" s="13"/>
      <c r="AJ20" s="13"/>
      <c r="AK20" s="13"/>
      <c r="AL20" s="13"/>
      <c r="AM20" s="14"/>
    </row>
    <row r="21" customFormat="false" ht="15" hidden="false" customHeight="false" outlineLevel="0" collapsed="false">
      <c r="A21" s="13"/>
      <c r="B21" s="13"/>
      <c r="C21" s="14"/>
      <c r="D21" s="14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5" t="str">
        <f aca="false">IF($A21="","",COUNTIF(Species!$A$3:$A$302,$A21))</f>
        <v/>
      </c>
      <c r="Z21" s="15" t="str">
        <f aca="false">IF($A21="","",SUMIF(Species!$A$3:$A$302,$A21,Species!$D$3:$D$302))</f>
        <v/>
      </c>
      <c r="AA21" s="16" t="str">
        <f aca="false">IF($A21="","",SUMIF(Species!$A$3:$A$302,$A21,Species!$Q$3:$Q$302))</f>
        <v/>
      </c>
      <c r="AB21" s="16" t="str">
        <f aca="false">IF($A21="","",SUMIF(Species!$A$3:$A$302,$A21,Species!$R$3:$R$302))</f>
        <v/>
      </c>
      <c r="AC21" s="16" t="str">
        <f aca="false">IF($A21="","",SUMIF(Species!$A$3:$A$302,$A21,Species!$S$3:$S$302))</f>
        <v/>
      </c>
      <c r="AD21" s="16" t="str">
        <f aca="false">IF($A21="","",SUMIF(Species!$A$3:$A$302,$A21,Species!$T$3:$T$302))</f>
        <v/>
      </c>
      <c r="AE21" s="17" t="str">
        <f aca="false">IF($A21="","",(SUM($AA21:$AD21)+IF($P21="Yes",$Q21*$O21,0))*1000*$K21/1000000)</f>
        <v/>
      </c>
      <c r="AF21" s="18" t="str">
        <f aca="false">IF($A21="","",$AE21*1000000*12/1000000000)</f>
        <v/>
      </c>
      <c r="AG21" s="18" t="str">
        <f aca="false">IF(OR($A21="",$Y21=0),"",_xlfn.MAXIFS(Species!$U$3:$U$302,Species!$A$3:$A$302,$A21))</f>
        <v/>
      </c>
      <c r="AH21" s="19" t="str">
        <f aca="false">IF($A21="","",IF($Y21=0,"⚠ no species on the Species sheet",IF(COUNTIFS(Species!$A$3:$A$302,$A21,Species!$V$3:$V$302,"✖*")&gt;0,"✖ "&amp;COUNTIFS(Species!$A$3:$A$302,$A21,Species!$V$3:$V$302,"✖*")&amp;" species saturated (brightness &gt;= frequency) - see Species sheet",IF(MIN($G21,$H21)&lt;8*$T21,"⚠ box too small laterally (&lt; 8·wr)",IF(AND($I21&gt;0,$I21&lt;3*$U21),"⚠ box too small axially (&lt; 3·wz)",IF($AF21&gt;8,"⚠ more than 8 GB per file: shorten the duration and use several files",IF(COUNTIFS(Species!$A$3:$A$302,$A21,Species!$V$3:$V$302,"⚠*")&gt;0,"⚠ "&amp;COUNTIFS(Species!$A$3:$A$302,$A21,Species!$V$3:$V$302,"⚠*")&amp;" species with a warning - see Species sheet","✔ OK")))))))</f>
        <v/>
      </c>
      <c r="AI21" s="13"/>
      <c r="AJ21" s="13"/>
      <c r="AK21" s="13"/>
      <c r="AL21" s="13"/>
      <c r="AM21" s="14"/>
    </row>
    <row r="22" customFormat="false" ht="15" hidden="false" customHeight="false" outlineLevel="0" collapsed="false">
      <c r="A22" s="13"/>
      <c r="B22" s="13"/>
      <c r="C22" s="14"/>
      <c r="D22" s="14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5" t="str">
        <f aca="false">IF($A22="","",COUNTIF(Species!$A$3:$A$302,$A22))</f>
        <v/>
      </c>
      <c r="Z22" s="15" t="str">
        <f aca="false">IF($A22="","",SUMIF(Species!$A$3:$A$302,$A22,Species!$D$3:$D$302))</f>
        <v/>
      </c>
      <c r="AA22" s="16" t="str">
        <f aca="false">IF($A22="","",SUMIF(Species!$A$3:$A$302,$A22,Species!$Q$3:$Q$302))</f>
        <v/>
      </c>
      <c r="AB22" s="16" t="str">
        <f aca="false">IF($A22="","",SUMIF(Species!$A$3:$A$302,$A22,Species!$R$3:$R$302))</f>
        <v/>
      </c>
      <c r="AC22" s="16" t="str">
        <f aca="false">IF($A22="","",SUMIF(Species!$A$3:$A$302,$A22,Species!$S$3:$S$302))</f>
        <v/>
      </c>
      <c r="AD22" s="16" t="str">
        <f aca="false">IF($A22="","",SUMIF(Species!$A$3:$A$302,$A22,Species!$T$3:$T$302))</f>
        <v/>
      </c>
      <c r="AE22" s="17" t="str">
        <f aca="false">IF($A22="","",(SUM($AA22:$AD22)+IF($P22="Yes",$Q22*$O22,0))*1000*$K22/1000000)</f>
        <v/>
      </c>
      <c r="AF22" s="18" t="str">
        <f aca="false">IF($A22="","",$AE22*1000000*12/1000000000)</f>
        <v/>
      </c>
      <c r="AG22" s="18" t="str">
        <f aca="false">IF(OR($A22="",$Y22=0),"",_xlfn.MAXIFS(Species!$U$3:$U$302,Species!$A$3:$A$302,$A22))</f>
        <v/>
      </c>
      <c r="AH22" s="19" t="str">
        <f aca="false">IF($A22="","",IF($Y22=0,"⚠ no species on the Species sheet",IF(COUNTIFS(Species!$A$3:$A$302,$A22,Species!$V$3:$V$302,"✖*")&gt;0,"✖ "&amp;COUNTIFS(Species!$A$3:$A$302,$A22,Species!$V$3:$V$302,"✖*")&amp;" species saturated (brightness &gt;= frequency) - see Species sheet",IF(MIN($G22,$H22)&lt;8*$T22,"⚠ box too small laterally (&lt; 8·wr)",IF(AND($I22&gt;0,$I22&lt;3*$U22),"⚠ box too small axially (&lt; 3·wz)",IF($AF22&gt;8,"⚠ more than 8 GB per file: shorten the duration and use several files",IF(COUNTIFS(Species!$A$3:$A$302,$A22,Species!$V$3:$V$302,"⚠*")&gt;0,"⚠ "&amp;COUNTIFS(Species!$A$3:$A$302,$A22,Species!$V$3:$V$302,"⚠*")&amp;" species with a warning - see Species sheet","✔ OK")))))))</f>
        <v/>
      </c>
      <c r="AI22" s="13"/>
      <c r="AJ22" s="13"/>
      <c r="AK22" s="13"/>
      <c r="AL22" s="13"/>
      <c r="AM22" s="14"/>
    </row>
    <row r="23" customFormat="false" ht="15" hidden="false" customHeight="false" outlineLevel="0" collapsed="false">
      <c r="A23" s="13"/>
      <c r="B23" s="13"/>
      <c r="C23" s="14"/>
      <c r="D23" s="14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5" t="str">
        <f aca="false">IF($A23="","",COUNTIF(Species!$A$3:$A$302,$A23))</f>
        <v/>
      </c>
      <c r="Z23" s="15" t="str">
        <f aca="false">IF($A23="","",SUMIF(Species!$A$3:$A$302,$A23,Species!$D$3:$D$302))</f>
        <v/>
      </c>
      <c r="AA23" s="16" t="str">
        <f aca="false">IF($A23="","",SUMIF(Species!$A$3:$A$302,$A23,Species!$Q$3:$Q$302))</f>
        <v/>
      </c>
      <c r="AB23" s="16" t="str">
        <f aca="false">IF($A23="","",SUMIF(Species!$A$3:$A$302,$A23,Species!$R$3:$R$302))</f>
        <v/>
      </c>
      <c r="AC23" s="16" t="str">
        <f aca="false">IF($A23="","",SUMIF(Species!$A$3:$A$302,$A23,Species!$S$3:$S$302))</f>
        <v/>
      </c>
      <c r="AD23" s="16" t="str">
        <f aca="false">IF($A23="","",SUMIF(Species!$A$3:$A$302,$A23,Species!$T$3:$T$302))</f>
        <v/>
      </c>
      <c r="AE23" s="17" t="str">
        <f aca="false">IF($A23="","",(SUM($AA23:$AD23)+IF($P23="Yes",$Q23*$O23,0))*1000*$K23/1000000)</f>
        <v/>
      </c>
      <c r="AF23" s="18" t="str">
        <f aca="false">IF($A23="","",$AE23*1000000*12/1000000000)</f>
        <v/>
      </c>
      <c r="AG23" s="18" t="str">
        <f aca="false">IF(OR($A23="",$Y23=0),"",_xlfn.MAXIFS(Species!$U$3:$U$302,Species!$A$3:$A$302,$A23))</f>
        <v/>
      </c>
      <c r="AH23" s="19" t="str">
        <f aca="false">IF($A23="","",IF($Y23=0,"⚠ no species on the Species sheet",IF(COUNTIFS(Species!$A$3:$A$302,$A23,Species!$V$3:$V$302,"✖*")&gt;0,"✖ "&amp;COUNTIFS(Species!$A$3:$A$302,$A23,Species!$V$3:$V$302,"✖*")&amp;" species saturated (brightness &gt;= frequency) - see Species sheet",IF(MIN($G23,$H23)&lt;8*$T23,"⚠ box too small laterally (&lt; 8·wr)",IF(AND($I23&gt;0,$I23&lt;3*$U23),"⚠ box too small axially (&lt; 3·wz)",IF($AF23&gt;8,"⚠ more than 8 GB per file: shorten the duration and use several files",IF(COUNTIFS(Species!$A$3:$A$302,$A23,Species!$V$3:$V$302,"⚠*")&gt;0,"⚠ "&amp;COUNTIFS(Species!$A$3:$A$302,$A23,Species!$V$3:$V$302,"⚠*")&amp;" species with a warning - see Species sheet","✔ OK")))))))</f>
        <v/>
      </c>
      <c r="AI23" s="13"/>
      <c r="AJ23" s="13"/>
      <c r="AK23" s="13"/>
      <c r="AL23" s="13"/>
      <c r="AM23" s="14"/>
    </row>
    <row r="24" customFormat="false" ht="15" hidden="false" customHeight="false" outlineLevel="0" collapsed="false">
      <c r="A24" s="13"/>
      <c r="B24" s="13"/>
      <c r="C24" s="14"/>
      <c r="D24" s="14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5" t="str">
        <f aca="false">IF($A24="","",COUNTIF(Species!$A$3:$A$302,$A24))</f>
        <v/>
      </c>
      <c r="Z24" s="15" t="str">
        <f aca="false">IF($A24="","",SUMIF(Species!$A$3:$A$302,$A24,Species!$D$3:$D$302))</f>
        <v/>
      </c>
      <c r="AA24" s="16" t="str">
        <f aca="false">IF($A24="","",SUMIF(Species!$A$3:$A$302,$A24,Species!$Q$3:$Q$302))</f>
        <v/>
      </c>
      <c r="AB24" s="16" t="str">
        <f aca="false">IF($A24="","",SUMIF(Species!$A$3:$A$302,$A24,Species!$R$3:$R$302))</f>
        <v/>
      </c>
      <c r="AC24" s="16" t="str">
        <f aca="false">IF($A24="","",SUMIF(Species!$A$3:$A$302,$A24,Species!$S$3:$S$302))</f>
        <v/>
      </c>
      <c r="AD24" s="16" t="str">
        <f aca="false">IF($A24="","",SUMIF(Species!$A$3:$A$302,$A24,Species!$T$3:$T$302))</f>
        <v/>
      </c>
      <c r="AE24" s="17" t="str">
        <f aca="false">IF($A24="","",(SUM($AA24:$AD24)+IF($P24="Yes",$Q24*$O24,0))*1000*$K24/1000000)</f>
        <v/>
      </c>
      <c r="AF24" s="18" t="str">
        <f aca="false">IF($A24="","",$AE24*1000000*12/1000000000)</f>
        <v/>
      </c>
      <c r="AG24" s="18" t="str">
        <f aca="false">IF(OR($A24="",$Y24=0),"",_xlfn.MAXIFS(Species!$U$3:$U$302,Species!$A$3:$A$302,$A24))</f>
        <v/>
      </c>
      <c r="AH24" s="19" t="str">
        <f aca="false">IF($A24="","",IF($Y24=0,"⚠ no species on the Species sheet",IF(COUNTIFS(Species!$A$3:$A$302,$A24,Species!$V$3:$V$302,"✖*")&gt;0,"✖ "&amp;COUNTIFS(Species!$A$3:$A$302,$A24,Species!$V$3:$V$302,"✖*")&amp;" species saturated (brightness &gt;= frequency) - see Species sheet",IF(MIN($G24,$H24)&lt;8*$T24,"⚠ box too small laterally (&lt; 8·wr)",IF(AND($I24&gt;0,$I24&lt;3*$U24),"⚠ box too small axially (&lt; 3·wz)",IF($AF24&gt;8,"⚠ more than 8 GB per file: shorten the duration and use several files",IF(COUNTIFS(Species!$A$3:$A$302,$A24,Species!$V$3:$V$302,"⚠*")&gt;0,"⚠ "&amp;COUNTIFS(Species!$A$3:$A$302,$A24,Species!$V$3:$V$302,"⚠*")&amp;" species with a warning - see Species sheet","✔ OK")))))))</f>
        <v/>
      </c>
      <c r="AI24" s="13"/>
      <c r="AJ24" s="13"/>
      <c r="AK24" s="13"/>
      <c r="AL24" s="13"/>
      <c r="AM24" s="14"/>
    </row>
    <row r="25" customFormat="false" ht="15" hidden="false" customHeight="false" outlineLevel="0" collapsed="false">
      <c r="A25" s="13"/>
      <c r="B25" s="13"/>
      <c r="C25" s="14"/>
      <c r="D25" s="14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5" t="str">
        <f aca="false">IF($A25="","",COUNTIF(Species!$A$3:$A$302,$A25))</f>
        <v/>
      </c>
      <c r="Z25" s="15" t="str">
        <f aca="false">IF($A25="","",SUMIF(Species!$A$3:$A$302,$A25,Species!$D$3:$D$302))</f>
        <v/>
      </c>
      <c r="AA25" s="16" t="str">
        <f aca="false">IF($A25="","",SUMIF(Species!$A$3:$A$302,$A25,Species!$Q$3:$Q$302))</f>
        <v/>
      </c>
      <c r="AB25" s="16" t="str">
        <f aca="false">IF($A25="","",SUMIF(Species!$A$3:$A$302,$A25,Species!$R$3:$R$302))</f>
        <v/>
      </c>
      <c r="AC25" s="16" t="str">
        <f aca="false">IF($A25="","",SUMIF(Species!$A$3:$A$302,$A25,Species!$S$3:$S$302))</f>
        <v/>
      </c>
      <c r="AD25" s="16" t="str">
        <f aca="false">IF($A25="","",SUMIF(Species!$A$3:$A$302,$A25,Species!$T$3:$T$302))</f>
        <v/>
      </c>
      <c r="AE25" s="17" t="str">
        <f aca="false">IF($A25="","",(SUM($AA25:$AD25)+IF($P25="Yes",$Q25*$O25,0))*1000*$K25/1000000)</f>
        <v/>
      </c>
      <c r="AF25" s="18" t="str">
        <f aca="false">IF($A25="","",$AE25*1000000*12/1000000000)</f>
        <v/>
      </c>
      <c r="AG25" s="18" t="str">
        <f aca="false">IF(OR($A25="",$Y25=0),"",_xlfn.MAXIFS(Species!$U$3:$U$302,Species!$A$3:$A$302,$A25))</f>
        <v/>
      </c>
      <c r="AH25" s="19" t="str">
        <f aca="false">IF($A25="","",IF($Y25=0,"⚠ no species on the Species sheet",IF(COUNTIFS(Species!$A$3:$A$302,$A25,Species!$V$3:$V$302,"✖*")&gt;0,"✖ "&amp;COUNTIFS(Species!$A$3:$A$302,$A25,Species!$V$3:$V$302,"✖*")&amp;" species saturated (brightness &gt;= frequency) - see Species sheet",IF(MIN($G25,$H25)&lt;8*$T25,"⚠ box too small laterally (&lt; 8·wr)",IF(AND($I25&gt;0,$I25&lt;3*$U25),"⚠ box too small axially (&lt; 3·wz)",IF($AF25&gt;8,"⚠ more than 8 GB per file: shorten the duration and use several files",IF(COUNTIFS(Species!$A$3:$A$302,$A25,Species!$V$3:$V$302,"⚠*")&gt;0,"⚠ "&amp;COUNTIFS(Species!$A$3:$A$302,$A25,Species!$V$3:$V$302,"⚠*")&amp;" species with a warning - see Species sheet","✔ OK")))))))</f>
        <v/>
      </c>
      <c r="AI25" s="13"/>
      <c r="AJ25" s="13"/>
      <c r="AK25" s="13"/>
      <c r="AL25" s="13"/>
      <c r="AM25" s="14"/>
    </row>
    <row r="26" customFormat="false" ht="15" hidden="false" customHeight="false" outlineLevel="0" collapsed="false">
      <c r="A26" s="13"/>
      <c r="B26" s="13"/>
      <c r="C26" s="14"/>
      <c r="D26" s="14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5" t="str">
        <f aca="false">IF($A26="","",COUNTIF(Species!$A$3:$A$302,$A26))</f>
        <v/>
      </c>
      <c r="Z26" s="15" t="str">
        <f aca="false">IF($A26="","",SUMIF(Species!$A$3:$A$302,$A26,Species!$D$3:$D$302))</f>
        <v/>
      </c>
      <c r="AA26" s="16" t="str">
        <f aca="false">IF($A26="","",SUMIF(Species!$A$3:$A$302,$A26,Species!$Q$3:$Q$302))</f>
        <v/>
      </c>
      <c r="AB26" s="16" t="str">
        <f aca="false">IF($A26="","",SUMIF(Species!$A$3:$A$302,$A26,Species!$R$3:$R$302))</f>
        <v/>
      </c>
      <c r="AC26" s="16" t="str">
        <f aca="false">IF($A26="","",SUMIF(Species!$A$3:$A$302,$A26,Species!$S$3:$S$302))</f>
        <v/>
      </c>
      <c r="AD26" s="16" t="str">
        <f aca="false">IF($A26="","",SUMIF(Species!$A$3:$A$302,$A26,Species!$T$3:$T$302))</f>
        <v/>
      </c>
      <c r="AE26" s="17" t="str">
        <f aca="false">IF($A26="","",(SUM($AA26:$AD26)+IF($P26="Yes",$Q26*$O26,0))*1000*$K26/1000000)</f>
        <v/>
      </c>
      <c r="AF26" s="18" t="str">
        <f aca="false">IF($A26="","",$AE26*1000000*12/1000000000)</f>
        <v/>
      </c>
      <c r="AG26" s="18" t="str">
        <f aca="false">IF(OR($A26="",$Y26=0),"",_xlfn.MAXIFS(Species!$U$3:$U$302,Species!$A$3:$A$302,$A26))</f>
        <v/>
      </c>
      <c r="AH26" s="19" t="str">
        <f aca="false">IF($A26="","",IF($Y26=0,"⚠ no species on the Species sheet",IF(COUNTIFS(Species!$A$3:$A$302,$A26,Species!$V$3:$V$302,"✖*")&gt;0,"✖ "&amp;COUNTIFS(Species!$A$3:$A$302,$A26,Species!$V$3:$V$302,"✖*")&amp;" species saturated (brightness &gt;= frequency) - see Species sheet",IF(MIN($G26,$H26)&lt;8*$T26,"⚠ box too small laterally (&lt; 8·wr)",IF(AND($I26&gt;0,$I26&lt;3*$U26),"⚠ box too small axially (&lt; 3·wz)",IF($AF26&gt;8,"⚠ more than 8 GB per file: shorten the duration and use several files",IF(COUNTIFS(Species!$A$3:$A$302,$A26,Species!$V$3:$V$302,"⚠*")&gt;0,"⚠ "&amp;COUNTIFS(Species!$A$3:$A$302,$A26,Species!$V$3:$V$302,"⚠*")&amp;" species with a warning - see Species sheet","✔ OK")))))))</f>
        <v/>
      </c>
      <c r="AI26" s="13"/>
      <c r="AJ26" s="13"/>
      <c r="AK26" s="13"/>
      <c r="AL26" s="13"/>
      <c r="AM26" s="14"/>
    </row>
    <row r="27" customFormat="false" ht="15" hidden="false" customHeight="false" outlineLevel="0" collapsed="false">
      <c r="A27" s="13"/>
      <c r="B27" s="13"/>
      <c r="C27" s="14"/>
      <c r="D27" s="14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5" t="str">
        <f aca="false">IF($A27="","",COUNTIF(Species!$A$3:$A$302,$A27))</f>
        <v/>
      </c>
      <c r="Z27" s="15" t="str">
        <f aca="false">IF($A27="","",SUMIF(Species!$A$3:$A$302,$A27,Species!$D$3:$D$302))</f>
        <v/>
      </c>
      <c r="AA27" s="16" t="str">
        <f aca="false">IF($A27="","",SUMIF(Species!$A$3:$A$302,$A27,Species!$Q$3:$Q$302))</f>
        <v/>
      </c>
      <c r="AB27" s="16" t="str">
        <f aca="false">IF($A27="","",SUMIF(Species!$A$3:$A$302,$A27,Species!$R$3:$R$302))</f>
        <v/>
      </c>
      <c r="AC27" s="16" t="str">
        <f aca="false">IF($A27="","",SUMIF(Species!$A$3:$A$302,$A27,Species!$S$3:$S$302))</f>
        <v/>
      </c>
      <c r="AD27" s="16" t="str">
        <f aca="false">IF($A27="","",SUMIF(Species!$A$3:$A$302,$A27,Species!$T$3:$T$302))</f>
        <v/>
      </c>
      <c r="AE27" s="17" t="str">
        <f aca="false">IF($A27="","",(SUM($AA27:$AD27)+IF($P27="Yes",$Q27*$O27,0))*1000*$K27/1000000)</f>
        <v/>
      </c>
      <c r="AF27" s="18" t="str">
        <f aca="false">IF($A27="","",$AE27*1000000*12/1000000000)</f>
        <v/>
      </c>
      <c r="AG27" s="18" t="str">
        <f aca="false">IF(OR($A27="",$Y27=0),"",_xlfn.MAXIFS(Species!$U$3:$U$302,Species!$A$3:$A$302,$A27))</f>
        <v/>
      </c>
      <c r="AH27" s="19" t="str">
        <f aca="false">IF($A27="","",IF($Y27=0,"⚠ no species on the Species sheet",IF(COUNTIFS(Species!$A$3:$A$302,$A27,Species!$V$3:$V$302,"✖*")&gt;0,"✖ "&amp;COUNTIFS(Species!$A$3:$A$302,$A27,Species!$V$3:$V$302,"✖*")&amp;" species saturated (brightness &gt;= frequency) - see Species sheet",IF(MIN($G27,$H27)&lt;8*$T27,"⚠ box too small laterally (&lt; 8·wr)",IF(AND($I27&gt;0,$I27&lt;3*$U27),"⚠ box too small axially (&lt; 3·wz)",IF($AF27&gt;8,"⚠ more than 8 GB per file: shorten the duration and use several files",IF(COUNTIFS(Species!$A$3:$A$302,$A27,Species!$V$3:$V$302,"⚠*")&gt;0,"⚠ "&amp;COUNTIFS(Species!$A$3:$A$302,$A27,Species!$V$3:$V$302,"⚠*")&amp;" species with a warning - see Species sheet","✔ OK")))))))</f>
        <v/>
      </c>
      <c r="AI27" s="13"/>
      <c r="AJ27" s="13"/>
      <c r="AK27" s="13"/>
      <c r="AL27" s="13"/>
      <c r="AM27" s="14"/>
    </row>
    <row r="28" customFormat="false" ht="15" hidden="false" customHeight="false" outlineLevel="0" collapsed="false">
      <c r="A28" s="13"/>
      <c r="B28" s="13"/>
      <c r="C28" s="14"/>
      <c r="D28" s="14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5" t="str">
        <f aca="false">IF($A28="","",COUNTIF(Species!$A$3:$A$302,$A28))</f>
        <v/>
      </c>
      <c r="Z28" s="15" t="str">
        <f aca="false">IF($A28="","",SUMIF(Species!$A$3:$A$302,$A28,Species!$D$3:$D$302))</f>
        <v/>
      </c>
      <c r="AA28" s="16" t="str">
        <f aca="false">IF($A28="","",SUMIF(Species!$A$3:$A$302,$A28,Species!$Q$3:$Q$302))</f>
        <v/>
      </c>
      <c r="AB28" s="16" t="str">
        <f aca="false">IF($A28="","",SUMIF(Species!$A$3:$A$302,$A28,Species!$R$3:$R$302))</f>
        <v/>
      </c>
      <c r="AC28" s="16" t="str">
        <f aca="false">IF($A28="","",SUMIF(Species!$A$3:$A$302,$A28,Species!$S$3:$S$302))</f>
        <v/>
      </c>
      <c r="AD28" s="16" t="str">
        <f aca="false">IF($A28="","",SUMIF(Species!$A$3:$A$302,$A28,Species!$T$3:$T$302))</f>
        <v/>
      </c>
      <c r="AE28" s="17" t="str">
        <f aca="false">IF($A28="","",(SUM($AA28:$AD28)+IF($P28="Yes",$Q28*$O28,0))*1000*$K28/1000000)</f>
        <v/>
      </c>
      <c r="AF28" s="18" t="str">
        <f aca="false">IF($A28="","",$AE28*1000000*12/1000000000)</f>
        <v/>
      </c>
      <c r="AG28" s="18" t="str">
        <f aca="false">IF(OR($A28="",$Y28=0),"",_xlfn.MAXIFS(Species!$U$3:$U$302,Species!$A$3:$A$302,$A28))</f>
        <v/>
      </c>
      <c r="AH28" s="19" t="str">
        <f aca="false">IF($A28="","",IF($Y28=0,"⚠ no species on the Species sheet",IF(COUNTIFS(Species!$A$3:$A$302,$A28,Species!$V$3:$V$302,"✖*")&gt;0,"✖ "&amp;COUNTIFS(Species!$A$3:$A$302,$A28,Species!$V$3:$V$302,"✖*")&amp;" species saturated (brightness &gt;= frequency) - see Species sheet",IF(MIN($G28,$H28)&lt;8*$T28,"⚠ box too small laterally (&lt; 8·wr)",IF(AND($I28&gt;0,$I28&lt;3*$U28),"⚠ box too small axially (&lt; 3·wz)",IF($AF28&gt;8,"⚠ more than 8 GB per file: shorten the duration and use several files",IF(COUNTIFS(Species!$A$3:$A$302,$A28,Species!$V$3:$V$302,"⚠*")&gt;0,"⚠ "&amp;COUNTIFS(Species!$A$3:$A$302,$A28,Species!$V$3:$V$302,"⚠*")&amp;" species with a warning - see Species sheet","✔ OK")))))))</f>
        <v/>
      </c>
      <c r="AI28" s="13"/>
      <c r="AJ28" s="13"/>
      <c r="AK28" s="13"/>
      <c r="AL28" s="13"/>
      <c r="AM28" s="14"/>
    </row>
    <row r="29" customFormat="false" ht="15" hidden="false" customHeight="false" outlineLevel="0" collapsed="false">
      <c r="A29" s="13"/>
      <c r="B29" s="13"/>
      <c r="C29" s="14"/>
      <c r="D29" s="14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5" t="str">
        <f aca="false">IF($A29="","",COUNTIF(Species!$A$3:$A$302,$A29))</f>
        <v/>
      </c>
      <c r="Z29" s="15" t="str">
        <f aca="false">IF($A29="","",SUMIF(Species!$A$3:$A$302,$A29,Species!$D$3:$D$302))</f>
        <v/>
      </c>
      <c r="AA29" s="16" t="str">
        <f aca="false">IF($A29="","",SUMIF(Species!$A$3:$A$302,$A29,Species!$Q$3:$Q$302))</f>
        <v/>
      </c>
      <c r="AB29" s="16" t="str">
        <f aca="false">IF($A29="","",SUMIF(Species!$A$3:$A$302,$A29,Species!$R$3:$R$302))</f>
        <v/>
      </c>
      <c r="AC29" s="16" t="str">
        <f aca="false">IF($A29="","",SUMIF(Species!$A$3:$A$302,$A29,Species!$S$3:$S$302))</f>
        <v/>
      </c>
      <c r="AD29" s="16" t="str">
        <f aca="false">IF($A29="","",SUMIF(Species!$A$3:$A$302,$A29,Species!$T$3:$T$302))</f>
        <v/>
      </c>
      <c r="AE29" s="17" t="str">
        <f aca="false">IF($A29="","",(SUM($AA29:$AD29)+IF($P29="Yes",$Q29*$O29,0))*1000*$K29/1000000)</f>
        <v/>
      </c>
      <c r="AF29" s="18" t="str">
        <f aca="false">IF($A29="","",$AE29*1000000*12/1000000000)</f>
        <v/>
      </c>
      <c r="AG29" s="18" t="str">
        <f aca="false">IF(OR($A29="",$Y29=0),"",_xlfn.MAXIFS(Species!$U$3:$U$302,Species!$A$3:$A$302,$A29))</f>
        <v/>
      </c>
      <c r="AH29" s="19" t="str">
        <f aca="false">IF($A29="","",IF($Y29=0,"⚠ no species on the Species sheet",IF(COUNTIFS(Species!$A$3:$A$302,$A29,Species!$V$3:$V$302,"✖*")&gt;0,"✖ "&amp;COUNTIFS(Species!$A$3:$A$302,$A29,Species!$V$3:$V$302,"✖*")&amp;" species saturated (brightness &gt;= frequency) - see Species sheet",IF(MIN($G29,$H29)&lt;8*$T29,"⚠ box too small laterally (&lt; 8·wr)",IF(AND($I29&gt;0,$I29&lt;3*$U29),"⚠ box too small axially (&lt; 3·wz)",IF($AF29&gt;8,"⚠ more than 8 GB per file: shorten the duration and use several files",IF(COUNTIFS(Species!$A$3:$A$302,$A29,Species!$V$3:$V$302,"⚠*")&gt;0,"⚠ "&amp;COUNTIFS(Species!$A$3:$A$302,$A29,Species!$V$3:$V$302,"⚠*")&amp;" species with a warning - see Species sheet","✔ OK")))))))</f>
        <v/>
      </c>
      <c r="AI29" s="13"/>
      <c r="AJ29" s="13"/>
      <c r="AK29" s="13"/>
      <c r="AL29" s="13"/>
      <c r="AM29" s="14"/>
    </row>
    <row r="30" customFormat="false" ht="15" hidden="false" customHeight="false" outlineLevel="0" collapsed="false">
      <c r="A30" s="13"/>
      <c r="B30" s="13"/>
      <c r="C30" s="14"/>
      <c r="D30" s="14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5" t="str">
        <f aca="false">IF($A30="","",COUNTIF(Species!$A$3:$A$302,$A30))</f>
        <v/>
      </c>
      <c r="Z30" s="15" t="str">
        <f aca="false">IF($A30="","",SUMIF(Species!$A$3:$A$302,$A30,Species!$D$3:$D$302))</f>
        <v/>
      </c>
      <c r="AA30" s="16" t="str">
        <f aca="false">IF($A30="","",SUMIF(Species!$A$3:$A$302,$A30,Species!$Q$3:$Q$302))</f>
        <v/>
      </c>
      <c r="AB30" s="16" t="str">
        <f aca="false">IF($A30="","",SUMIF(Species!$A$3:$A$302,$A30,Species!$R$3:$R$302))</f>
        <v/>
      </c>
      <c r="AC30" s="16" t="str">
        <f aca="false">IF($A30="","",SUMIF(Species!$A$3:$A$302,$A30,Species!$S$3:$S$302))</f>
        <v/>
      </c>
      <c r="AD30" s="16" t="str">
        <f aca="false">IF($A30="","",SUMIF(Species!$A$3:$A$302,$A30,Species!$T$3:$T$302))</f>
        <v/>
      </c>
      <c r="AE30" s="17" t="str">
        <f aca="false">IF($A30="","",(SUM($AA30:$AD30)+IF($P30="Yes",$Q30*$O30,0))*1000*$K30/1000000)</f>
        <v/>
      </c>
      <c r="AF30" s="18" t="str">
        <f aca="false">IF($A30="","",$AE30*1000000*12/1000000000)</f>
        <v/>
      </c>
      <c r="AG30" s="18" t="str">
        <f aca="false">IF(OR($A30="",$Y30=0),"",_xlfn.MAXIFS(Species!$U$3:$U$302,Species!$A$3:$A$302,$A30))</f>
        <v/>
      </c>
      <c r="AH30" s="19" t="str">
        <f aca="false">IF($A30="","",IF($Y30=0,"⚠ no species on the Species sheet",IF(COUNTIFS(Species!$A$3:$A$302,$A30,Species!$V$3:$V$302,"✖*")&gt;0,"✖ "&amp;COUNTIFS(Species!$A$3:$A$302,$A30,Species!$V$3:$V$302,"✖*")&amp;" species saturated (brightness &gt;= frequency) - see Species sheet",IF(MIN($G30,$H30)&lt;8*$T30,"⚠ box too small laterally (&lt; 8·wr)",IF(AND($I30&gt;0,$I30&lt;3*$U30),"⚠ box too small axially (&lt; 3·wz)",IF($AF30&gt;8,"⚠ more than 8 GB per file: shorten the duration and use several files",IF(COUNTIFS(Species!$A$3:$A$302,$A30,Species!$V$3:$V$302,"⚠*")&gt;0,"⚠ "&amp;COUNTIFS(Species!$A$3:$A$302,$A30,Species!$V$3:$V$302,"⚠*")&amp;" species with a warning - see Species sheet","✔ OK")))))))</f>
        <v/>
      </c>
      <c r="AI30" s="13"/>
      <c r="AJ30" s="13"/>
      <c r="AK30" s="13"/>
      <c r="AL30" s="13"/>
      <c r="AM30" s="14"/>
    </row>
    <row r="31" customFormat="false" ht="15" hidden="false" customHeight="false" outlineLevel="0" collapsed="false">
      <c r="A31" s="13"/>
      <c r="B31" s="13"/>
      <c r="C31" s="14"/>
      <c r="D31" s="14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5" t="str">
        <f aca="false">IF($A31="","",COUNTIF(Species!$A$3:$A$302,$A31))</f>
        <v/>
      </c>
      <c r="Z31" s="15" t="str">
        <f aca="false">IF($A31="","",SUMIF(Species!$A$3:$A$302,$A31,Species!$D$3:$D$302))</f>
        <v/>
      </c>
      <c r="AA31" s="16" t="str">
        <f aca="false">IF($A31="","",SUMIF(Species!$A$3:$A$302,$A31,Species!$Q$3:$Q$302))</f>
        <v/>
      </c>
      <c r="AB31" s="16" t="str">
        <f aca="false">IF($A31="","",SUMIF(Species!$A$3:$A$302,$A31,Species!$R$3:$R$302))</f>
        <v/>
      </c>
      <c r="AC31" s="16" t="str">
        <f aca="false">IF($A31="","",SUMIF(Species!$A$3:$A$302,$A31,Species!$S$3:$S$302))</f>
        <v/>
      </c>
      <c r="AD31" s="16" t="str">
        <f aca="false">IF($A31="","",SUMIF(Species!$A$3:$A$302,$A31,Species!$T$3:$T$302))</f>
        <v/>
      </c>
      <c r="AE31" s="17" t="str">
        <f aca="false">IF($A31="","",(SUM($AA31:$AD31)+IF($P31="Yes",$Q31*$O31,0))*1000*$K31/1000000)</f>
        <v/>
      </c>
      <c r="AF31" s="18" t="str">
        <f aca="false">IF($A31="","",$AE31*1000000*12/1000000000)</f>
        <v/>
      </c>
      <c r="AG31" s="18" t="str">
        <f aca="false">IF(OR($A31="",$Y31=0),"",_xlfn.MAXIFS(Species!$U$3:$U$302,Species!$A$3:$A$302,$A31))</f>
        <v/>
      </c>
      <c r="AH31" s="19" t="str">
        <f aca="false">IF($A31="","",IF($Y31=0,"⚠ no species on the Species sheet",IF(COUNTIFS(Species!$A$3:$A$302,$A31,Species!$V$3:$V$302,"✖*")&gt;0,"✖ "&amp;COUNTIFS(Species!$A$3:$A$302,$A31,Species!$V$3:$V$302,"✖*")&amp;" species saturated (brightness &gt;= frequency) - see Species sheet",IF(MIN($G31,$H31)&lt;8*$T31,"⚠ box too small laterally (&lt; 8·wr)",IF(AND($I31&gt;0,$I31&lt;3*$U31),"⚠ box too small axially (&lt; 3·wz)",IF($AF31&gt;8,"⚠ more than 8 GB per file: shorten the duration and use several files",IF(COUNTIFS(Species!$A$3:$A$302,$A31,Species!$V$3:$V$302,"⚠*")&gt;0,"⚠ "&amp;COUNTIFS(Species!$A$3:$A$302,$A31,Species!$V$3:$V$302,"⚠*")&amp;" species with a warning - see Species sheet","✔ OK")))))))</f>
        <v/>
      </c>
      <c r="AI31" s="13"/>
      <c r="AJ31" s="13"/>
      <c r="AK31" s="13"/>
      <c r="AL31" s="13"/>
      <c r="AM31" s="14"/>
    </row>
    <row r="32" customFormat="false" ht="15" hidden="false" customHeight="false" outlineLevel="0" collapsed="false">
      <c r="A32" s="13"/>
      <c r="B32" s="13"/>
      <c r="C32" s="14"/>
      <c r="D32" s="14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5" t="str">
        <f aca="false">IF($A32="","",COUNTIF(Species!$A$3:$A$302,$A32))</f>
        <v/>
      </c>
      <c r="Z32" s="15" t="str">
        <f aca="false">IF($A32="","",SUMIF(Species!$A$3:$A$302,$A32,Species!$D$3:$D$302))</f>
        <v/>
      </c>
      <c r="AA32" s="16" t="str">
        <f aca="false">IF($A32="","",SUMIF(Species!$A$3:$A$302,$A32,Species!$Q$3:$Q$302))</f>
        <v/>
      </c>
      <c r="AB32" s="16" t="str">
        <f aca="false">IF($A32="","",SUMIF(Species!$A$3:$A$302,$A32,Species!$R$3:$R$302))</f>
        <v/>
      </c>
      <c r="AC32" s="16" t="str">
        <f aca="false">IF($A32="","",SUMIF(Species!$A$3:$A$302,$A32,Species!$S$3:$S$302))</f>
        <v/>
      </c>
      <c r="AD32" s="16" t="str">
        <f aca="false">IF($A32="","",SUMIF(Species!$A$3:$A$302,$A32,Species!$T$3:$T$302))</f>
        <v/>
      </c>
      <c r="AE32" s="17" t="str">
        <f aca="false">IF($A32="","",(SUM($AA32:$AD32)+IF($P32="Yes",$Q32*$O32,0))*1000*$K32/1000000)</f>
        <v/>
      </c>
      <c r="AF32" s="18" t="str">
        <f aca="false">IF($A32="","",$AE32*1000000*12/1000000000)</f>
        <v/>
      </c>
      <c r="AG32" s="18" t="str">
        <f aca="false">IF(OR($A32="",$Y32=0),"",_xlfn.MAXIFS(Species!$U$3:$U$302,Species!$A$3:$A$302,$A32))</f>
        <v/>
      </c>
      <c r="AH32" s="19" t="str">
        <f aca="false">IF($A32="","",IF($Y32=0,"⚠ no species on the Species sheet",IF(COUNTIFS(Species!$A$3:$A$302,$A32,Species!$V$3:$V$302,"✖*")&gt;0,"✖ "&amp;COUNTIFS(Species!$A$3:$A$302,$A32,Species!$V$3:$V$302,"✖*")&amp;" species saturated (brightness &gt;= frequency) - see Species sheet",IF(MIN($G32,$H32)&lt;8*$T32,"⚠ box too small laterally (&lt; 8·wr)",IF(AND($I32&gt;0,$I32&lt;3*$U32),"⚠ box too small axially (&lt; 3·wz)",IF($AF32&gt;8,"⚠ more than 8 GB per file: shorten the duration and use several files",IF(COUNTIFS(Species!$A$3:$A$302,$A32,Species!$V$3:$V$302,"⚠*")&gt;0,"⚠ "&amp;COUNTIFS(Species!$A$3:$A$302,$A32,Species!$V$3:$V$302,"⚠*")&amp;" species with a warning - see Species sheet","✔ OK")))))))</f>
        <v/>
      </c>
      <c r="AI32" s="13"/>
      <c r="AJ32" s="13"/>
      <c r="AK32" s="13"/>
      <c r="AL32" s="13"/>
      <c r="AM32" s="14"/>
    </row>
    <row r="33" customFormat="false" ht="15" hidden="false" customHeight="false" outlineLevel="0" collapsed="false">
      <c r="A33" s="13"/>
      <c r="B33" s="13"/>
      <c r="C33" s="14"/>
      <c r="D33" s="14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5" t="str">
        <f aca="false">IF($A33="","",COUNTIF(Species!$A$3:$A$302,$A33))</f>
        <v/>
      </c>
      <c r="Z33" s="15" t="str">
        <f aca="false">IF($A33="","",SUMIF(Species!$A$3:$A$302,$A33,Species!$D$3:$D$302))</f>
        <v/>
      </c>
      <c r="AA33" s="16" t="str">
        <f aca="false">IF($A33="","",SUMIF(Species!$A$3:$A$302,$A33,Species!$Q$3:$Q$302))</f>
        <v/>
      </c>
      <c r="AB33" s="16" t="str">
        <f aca="false">IF($A33="","",SUMIF(Species!$A$3:$A$302,$A33,Species!$R$3:$R$302))</f>
        <v/>
      </c>
      <c r="AC33" s="16" t="str">
        <f aca="false">IF($A33="","",SUMIF(Species!$A$3:$A$302,$A33,Species!$S$3:$S$302))</f>
        <v/>
      </c>
      <c r="AD33" s="16" t="str">
        <f aca="false">IF($A33="","",SUMIF(Species!$A$3:$A$302,$A33,Species!$T$3:$T$302))</f>
        <v/>
      </c>
      <c r="AE33" s="17" t="str">
        <f aca="false">IF($A33="","",(SUM($AA33:$AD33)+IF($P33="Yes",$Q33*$O33,0))*1000*$K33/1000000)</f>
        <v/>
      </c>
      <c r="AF33" s="18" t="str">
        <f aca="false">IF($A33="","",$AE33*1000000*12/1000000000)</f>
        <v/>
      </c>
      <c r="AG33" s="18" t="str">
        <f aca="false">IF(OR($A33="",$Y33=0),"",_xlfn.MAXIFS(Species!$U$3:$U$302,Species!$A$3:$A$302,$A33))</f>
        <v/>
      </c>
      <c r="AH33" s="19" t="str">
        <f aca="false">IF($A33="","",IF($Y33=0,"⚠ no species on the Species sheet",IF(COUNTIFS(Species!$A$3:$A$302,$A33,Species!$V$3:$V$302,"✖*")&gt;0,"✖ "&amp;COUNTIFS(Species!$A$3:$A$302,$A33,Species!$V$3:$V$302,"✖*")&amp;" species saturated (brightness &gt;= frequency) - see Species sheet",IF(MIN($G33,$H33)&lt;8*$T33,"⚠ box too small laterally (&lt; 8·wr)",IF(AND($I33&gt;0,$I33&lt;3*$U33),"⚠ box too small axially (&lt; 3·wz)",IF($AF33&gt;8,"⚠ more than 8 GB per file: shorten the duration and use several files",IF(COUNTIFS(Species!$A$3:$A$302,$A33,Species!$V$3:$V$302,"⚠*")&gt;0,"⚠ "&amp;COUNTIFS(Species!$A$3:$A$302,$A33,Species!$V$3:$V$302,"⚠*")&amp;" species with a warning - see Species sheet","✔ OK")))))))</f>
        <v/>
      </c>
      <c r="AI33" s="13"/>
      <c r="AJ33" s="13"/>
      <c r="AK33" s="13"/>
      <c r="AL33" s="13"/>
      <c r="AM33" s="14"/>
    </row>
    <row r="34" customFormat="false" ht="15" hidden="false" customHeight="false" outlineLevel="0" collapsed="false">
      <c r="A34" s="13"/>
      <c r="B34" s="13"/>
      <c r="C34" s="14"/>
      <c r="D34" s="14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5" t="str">
        <f aca="false">IF($A34="","",COUNTIF(Species!$A$3:$A$302,$A34))</f>
        <v/>
      </c>
      <c r="Z34" s="15" t="str">
        <f aca="false">IF($A34="","",SUMIF(Species!$A$3:$A$302,$A34,Species!$D$3:$D$302))</f>
        <v/>
      </c>
      <c r="AA34" s="16" t="str">
        <f aca="false">IF($A34="","",SUMIF(Species!$A$3:$A$302,$A34,Species!$Q$3:$Q$302))</f>
        <v/>
      </c>
      <c r="AB34" s="16" t="str">
        <f aca="false">IF($A34="","",SUMIF(Species!$A$3:$A$302,$A34,Species!$R$3:$R$302))</f>
        <v/>
      </c>
      <c r="AC34" s="16" t="str">
        <f aca="false">IF($A34="","",SUMIF(Species!$A$3:$A$302,$A34,Species!$S$3:$S$302))</f>
        <v/>
      </c>
      <c r="AD34" s="16" t="str">
        <f aca="false">IF($A34="","",SUMIF(Species!$A$3:$A$302,$A34,Species!$T$3:$T$302))</f>
        <v/>
      </c>
      <c r="AE34" s="17" t="str">
        <f aca="false">IF($A34="","",(SUM($AA34:$AD34)+IF($P34="Yes",$Q34*$O34,0))*1000*$K34/1000000)</f>
        <v/>
      </c>
      <c r="AF34" s="18" t="str">
        <f aca="false">IF($A34="","",$AE34*1000000*12/1000000000)</f>
        <v/>
      </c>
      <c r="AG34" s="18" t="str">
        <f aca="false">IF(OR($A34="",$Y34=0),"",_xlfn.MAXIFS(Species!$U$3:$U$302,Species!$A$3:$A$302,$A34))</f>
        <v/>
      </c>
      <c r="AH34" s="19" t="str">
        <f aca="false">IF($A34="","",IF($Y34=0,"⚠ no species on the Species sheet",IF(COUNTIFS(Species!$A$3:$A$302,$A34,Species!$V$3:$V$302,"✖*")&gt;0,"✖ "&amp;COUNTIFS(Species!$A$3:$A$302,$A34,Species!$V$3:$V$302,"✖*")&amp;" species saturated (brightness &gt;= frequency) - see Species sheet",IF(MIN($G34,$H34)&lt;8*$T34,"⚠ box too small laterally (&lt; 8·wr)",IF(AND($I34&gt;0,$I34&lt;3*$U34),"⚠ box too small axially (&lt; 3·wz)",IF($AF34&gt;8,"⚠ more than 8 GB per file: shorten the duration and use several files",IF(COUNTIFS(Species!$A$3:$A$302,$A34,Species!$V$3:$V$302,"⚠*")&gt;0,"⚠ "&amp;COUNTIFS(Species!$A$3:$A$302,$A34,Species!$V$3:$V$302,"⚠*")&amp;" species with a warning - see Species sheet","✔ OK")))))))</f>
        <v/>
      </c>
      <c r="AI34" s="13"/>
      <c r="AJ34" s="13"/>
      <c r="AK34" s="13"/>
      <c r="AL34" s="13"/>
      <c r="AM34" s="14"/>
    </row>
    <row r="35" customFormat="false" ht="15" hidden="false" customHeight="false" outlineLevel="0" collapsed="false">
      <c r="A35" s="13"/>
      <c r="B35" s="13"/>
      <c r="C35" s="14"/>
      <c r="D35" s="14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5" t="str">
        <f aca="false">IF($A35="","",COUNTIF(Species!$A$3:$A$302,$A35))</f>
        <v/>
      </c>
      <c r="Z35" s="15" t="str">
        <f aca="false">IF($A35="","",SUMIF(Species!$A$3:$A$302,$A35,Species!$D$3:$D$302))</f>
        <v/>
      </c>
      <c r="AA35" s="16" t="str">
        <f aca="false">IF($A35="","",SUMIF(Species!$A$3:$A$302,$A35,Species!$Q$3:$Q$302))</f>
        <v/>
      </c>
      <c r="AB35" s="16" t="str">
        <f aca="false">IF($A35="","",SUMIF(Species!$A$3:$A$302,$A35,Species!$R$3:$R$302))</f>
        <v/>
      </c>
      <c r="AC35" s="16" t="str">
        <f aca="false">IF($A35="","",SUMIF(Species!$A$3:$A$302,$A35,Species!$S$3:$S$302))</f>
        <v/>
      </c>
      <c r="AD35" s="16" t="str">
        <f aca="false">IF($A35="","",SUMIF(Species!$A$3:$A$302,$A35,Species!$T$3:$T$302))</f>
        <v/>
      </c>
      <c r="AE35" s="17" t="str">
        <f aca="false">IF($A35="","",(SUM($AA35:$AD35)+IF($P35="Yes",$Q35*$O35,0))*1000*$K35/1000000)</f>
        <v/>
      </c>
      <c r="AF35" s="18" t="str">
        <f aca="false">IF($A35="","",$AE35*1000000*12/1000000000)</f>
        <v/>
      </c>
      <c r="AG35" s="18" t="str">
        <f aca="false">IF(OR($A35="",$Y35=0),"",_xlfn.MAXIFS(Species!$U$3:$U$302,Species!$A$3:$A$302,$A35))</f>
        <v/>
      </c>
      <c r="AH35" s="19" t="str">
        <f aca="false">IF($A35="","",IF($Y35=0,"⚠ no species on the Species sheet",IF(COUNTIFS(Species!$A$3:$A$302,$A35,Species!$V$3:$V$302,"✖*")&gt;0,"✖ "&amp;COUNTIFS(Species!$A$3:$A$302,$A35,Species!$V$3:$V$302,"✖*")&amp;" species saturated (brightness &gt;= frequency) - see Species sheet",IF(MIN($G35,$H35)&lt;8*$T35,"⚠ box too small laterally (&lt; 8·wr)",IF(AND($I35&gt;0,$I35&lt;3*$U35),"⚠ box too small axially (&lt; 3·wz)",IF($AF35&gt;8,"⚠ more than 8 GB per file: shorten the duration and use several files",IF(COUNTIFS(Species!$A$3:$A$302,$A35,Species!$V$3:$V$302,"⚠*")&gt;0,"⚠ "&amp;COUNTIFS(Species!$A$3:$A$302,$A35,Species!$V$3:$V$302,"⚠*")&amp;" species with a warning - see Species sheet","✔ OK")))))))</f>
        <v/>
      </c>
      <c r="AI35" s="13"/>
      <c r="AJ35" s="13"/>
      <c r="AK35" s="13"/>
      <c r="AL35" s="13"/>
      <c r="AM35" s="14"/>
    </row>
    <row r="36" customFormat="false" ht="15" hidden="false" customHeight="false" outlineLevel="0" collapsed="false">
      <c r="A36" s="13"/>
      <c r="B36" s="13"/>
      <c r="C36" s="14"/>
      <c r="D36" s="14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5" t="str">
        <f aca="false">IF($A36="","",COUNTIF(Species!$A$3:$A$302,$A36))</f>
        <v/>
      </c>
      <c r="Z36" s="15" t="str">
        <f aca="false">IF($A36="","",SUMIF(Species!$A$3:$A$302,$A36,Species!$D$3:$D$302))</f>
        <v/>
      </c>
      <c r="AA36" s="16" t="str">
        <f aca="false">IF($A36="","",SUMIF(Species!$A$3:$A$302,$A36,Species!$Q$3:$Q$302))</f>
        <v/>
      </c>
      <c r="AB36" s="16" t="str">
        <f aca="false">IF($A36="","",SUMIF(Species!$A$3:$A$302,$A36,Species!$R$3:$R$302))</f>
        <v/>
      </c>
      <c r="AC36" s="16" t="str">
        <f aca="false">IF($A36="","",SUMIF(Species!$A$3:$A$302,$A36,Species!$S$3:$S$302))</f>
        <v/>
      </c>
      <c r="AD36" s="16" t="str">
        <f aca="false">IF($A36="","",SUMIF(Species!$A$3:$A$302,$A36,Species!$T$3:$T$302))</f>
        <v/>
      </c>
      <c r="AE36" s="17" t="str">
        <f aca="false">IF($A36="","",(SUM($AA36:$AD36)+IF($P36="Yes",$Q36*$O36,0))*1000*$K36/1000000)</f>
        <v/>
      </c>
      <c r="AF36" s="18" t="str">
        <f aca="false">IF($A36="","",$AE36*1000000*12/1000000000)</f>
        <v/>
      </c>
      <c r="AG36" s="18" t="str">
        <f aca="false">IF(OR($A36="",$Y36=0),"",_xlfn.MAXIFS(Species!$U$3:$U$302,Species!$A$3:$A$302,$A36))</f>
        <v/>
      </c>
      <c r="AH36" s="19" t="str">
        <f aca="false">IF($A36="","",IF($Y36=0,"⚠ no species on the Species sheet",IF(COUNTIFS(Species!$A$3:$A$302,$A36,Species!$V$3:$V$302,"✖*")&gt;0,"✖ "&amp;COUNTIFS(Species!$A$3:$A$302,$A36,Species!$V$3:$V$302,"✖*")&amp;" species saturated (brightness &gt;= frequency) - see Species sheet",IF(MIN($G36,$H36)&lt;8*$T36,"⚠ box too small laterally (&lt; 8·wr)",IF(AND($I36&gt;0,$I36&lt;3*$U36),"⚠ box too small axially (&lt; 3·wz)",IF($AF36&gt;8,"⚠ more than 8 GB per file: shorten the duration and use several files",IF(COUNTIFS(Species!$A$3:$A$302,$A36,Species!$V$3:$V$302,"⚠*")&gt;0,"⚠ "&amp;COUNTIFS(Species!$A$3:$A$302,$A36,Species!$V$3:$V$302,"⚠*")&amp;" species with a warning - see Species sheet","✔ OK")))))))</f>
        <v/>
      </c>
      <c r="AI36" s="13"/>
      <c r="AJ36" s="13"/>
      <c r="AK36" s="13"/>
      <c r="AL36" s="13"/>
      <c r="AM36" s="14"/>
    </row>
    <row r="37" customFormat="false" ht="15" hidden="false" customHeight="false" outlineLevel="0" collapsed="false">
      <c r="A37" s="13"/>
      <c r="B37" s="13"/>
      <c r="C37" s="14"/>
      <c r="D37" s="14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5" t="str">
        <f aca="false">IF($A37="","",COUNTIF(Species!$A$3:$A$302,$A37))</f>
        <v/>
      </c>
      <c r="Z37" s="15" t="str">
        <f aca="false">IF($A37="","",SUMIF(Species!$A$3:$A$302,$A37,Species!$D$3:$D$302))</f>
        <v/>
      </c>
      <c r="AA37" s="16" t="str">
        <f aca="false">IF($A37="","",SUMIF(Species!$A$3:$A$302,$A37,Species!$Q$3:$Q$302))</f>
        <v/>
      </c>
      <c r="AB37" s="16" t="str">
        <f aca="false">IF($A37="","",SUMIF(Species!$A$3:$A$302,$A37,Species!$R$3:$R$302))</f>
        <v/>
      </c>
      <c r="AC37" s="16" t="str">
        <f aca="false">IF($A37="","",SUMIF(Species!$A$3:$A$302,$A37,Species!$S$3:$S$302))</f>
        <v/>
      </c>
      <c r="AD37" s="16" t="str">
        <f aca="false">IF($A37="","",SUMIF(Species!$A$3:$A$302,$A37,Species!$T$3:$T$302))</f>
        <v/>
      </c>
      <c r="AE37" s="17" t="str">
        <f aca="false">IF($A37="","",(SUM($AA37:$AD37)+IF($P37="Yes",$Q37*$O37,0))*1000*$K37/1000000)</f>
        <v/>
      </c>
      <c r="AF37" s="18" t="str">
        <f aca="false">IF($A37="","",$AE37*1000000*12/1000000000)</f>
        <v/>
      </c>
      <c r="AG37" s="18" t="str">
        <f aca="false">IF(OR($A37="",$Y37=0),"",_xlfn.MAXIFS(Species!$U$3:$U$302,Species!$A$3:$A$302,$A37))</f>
        <v/>
      </c>
      <c r="AH37" s="19" t="str">
        <f aca="false">IF($A37="","",IF($Y37=0,"⚠ no species on the Species sheet",IF(COUNTIFS(Species!$A$3:$A$302,$A37,Species!$V$3:$V$302,"✖*")&gt;0,"✖ "&amp;COUNTIFS(Species!$A$3:$A$302,$A37,Species!$V$3:$V$302,"✖*")&amp;" species saturated (brightness &gt;= frequency) - see Species sheet",IF(MIN($G37,$H37)&lt;8*$T37,"⚠ box too small laterally (&lt; 8·wr)",IF(AND($I37&gt;0,$I37&lt;3*$U37),"⚠ box too small axially (&lt; 3·wz)",IF($AF37&gt;8,"⚠ more than 8 GB per file: shorten the duration and use several files",IF(COUNTIFS(Species!$A$3:$A$302,$A37,Species!$V$3:$V$302,"⚠*")&gt;0,"⚠ "&amp;COUNTIFS(Species!$A$3:$A$302,$A37,Species!$V$3:$V$302,"⚠*")&amp;" species with a warning - see Species sheet","✔ OK")))))))</f>
        <v/>
      </c>
      <c r="AI37" s="13"/>
      <c r="AJ37" s="13"/>
      <c r="AK37" s="13"/>
      <c r="AL37" s="13"/>
      <c r="AM37" s="14"/>
    </row>
    <row r="38" customFormat="false" ht="15" hidden="false" customHeight="false" outlineLevel="0" collapsed="false">
      <c r="A38" s="13"/>
      <c r="B38" s="13"/>
      <c r="C38" s="14"/>
      <c r="D38" s="14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5" t="str">
        <f aca="false">IF($A38="","",COUNTIF(Species!$A$3:$A$302,$A38))</f>
        <v/>
      </c>
      <c r="Z38" s="15" t="str">
        <f aca="false">IF($A38="","",SUMIF(Species!$A$3:$A$302,$A38,Species!$D$3:$D$302))</f>
        <v/>
      </c>
      <c r="AA38" s="16" t="str">
        <f aca="false">IF($A38="","",SUMIF(Species!$A$3:$A$302,$A38,Species!$Q$3:$Q$302))</f>
        <v/>
      </c>
      <c r="AB38" s="16" t="str">
        <f aca="false">IF($A38="","",SUMIF(Species!$A$3:$A$302,$A38,Species!$R$3:$R$302))</f>
        <v/>
      </c>
      <c r="AC38" s="16" t="str">
        <f aca="false">IF($A38="","",SUMIF(Species!$A$3:$A$302,$A38,Species!$S$3:$S$302))</f>
        <v/>
      </c>
      <c r="AD38" s="16" t="str">
        <f aca="false">IF($A38="","",SUMIF(Species!$A$3:$A$302,$A38,Species!$T$3:$T$302))</f>
        <v/>
      </c>
      <c r="AE38" s="17" t="str">
        <f aca="false">IF($A38="","",(SUM($AA38:$AD38)+IF($P38="Yes",$Q38*$O38,0))*1000*$K38/1000000)</f>
        <v/>
      </c>
      <c r="AF38" s="18" t="str">
        <f aca="false">IF($A38="","",$AE38*1000000*12/1000000000)</f>
        <v/>
      </c>
      <c r="AG38" s="18" t="str">
        <f aca="false">IF(OR($A38="",$Y38=0),"",_xlfn.MAXIFS(Species!$U$3:$U$302,Species!$A$3:$A$302,$A38))</f>
        <v/>
      </c>
      <c r="AH38" s="19" t="str">
        <f aca="false">IF($A38="","",IF($Y38=0,"⚠ no species on the Species sheet",IF(COUNTIFS(Species!$A$3:$A$302,$A38,Species!$V$3:$V$302,"✖*")&gt;0,"✖ "&amp;COUNTIFS(Species!$A$3:$A$302,$A38,Species!$V$3:$V$302,"✖*")&amp;" species saturated (brightness &gt;= frequency) - see Species sheet",IF(MIN($G38,$H38)&lt;8*$T38,"⚠ box too small laterally (&lt; 8·wr)",IF(AND($I38&gt;0,$I38&lt;3*$U38),"⚠ box too small axially (&lt; 3·wz)",IF($AF38&gt;8,"⚠ more than 8 GB per file: shorten the duration and use several files",IF(COUNTIFS(Species!$A$3:$A$302,$A38,Species!$V$3:$V$302,"⚠*")&gt;0,"⚠ "&amp;COUNTIFS(Species!$A$3:$A$302,$A38,Species!$V$3:$V$302,"⚠*")&amp;" species with a warning - see Species sheet","✔ OK")))))))</f>
        <v/>
      </c>
      <c r="AI38" s="13"/>
      <c r="AJ38" s="13"/>
      <c r="AK38" s="13"/>
      <c r="AL38" s="13"/>
      <c r="AM38" s="14"/>
    </row>
    <row r="39" customFormat="false" ht="15" hidden="false" customHeight="false" outlineLevel="0" collapsed="false">
      <c r="A39" s="13"/>
      <c r="B39" s="13"/>
      <c r="C39" s="14"/>
      <c r="D39" s="14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5" t="str">
        <f aca="false">IF($A39="","",COUNTIF(Species!$A$3:$A$302,$A39))</f>
        <v/>
      </c>
      <c r="Z39" s="15" t="str">
        <f aca="false">IF($A39="","",SUMIF(Species!$A$3:$A$302,$A39,Species!$D$3:$D$302))</f>
        <v/>
      </c>
      <c r="AA39" s="16" t="str">
        <f aca="false">IF($A39="","",SUMIF(Species!$A$3:$A$302,$A39,Species!$Q$3:$Q$302))</f>
        <v/>
      </c>
      <c r="AB39" s="16" t="str">
        <f aca="false">IF($A39="","",SUMIF(Species!$A$3:$A$302,$A39,Species!$R$3:$R$302))</f>
        <v/>
      </c>
      <c r="AC39" s="16" t="str">
        <f aca="false">IF($A39="","",SUMIF(Species!$A$3:$A$302,$A39,Species!$S$3:$S$302))</f>
        <v/>
      </c>
      <c r="AD39" s="16" t="str">
        <f aca="false">IF($A39="","",SUMIF(Species!$A$3:$A$302,$A39,Species!$T$3:$T$302))</f>
        <v/>
      </c>
      <c r="AE39" s="17" t="str">
        <f aca="false">IF($A39="","",(SUM($AA39:$AD39)+IF($P39="Yes",$Q39*$O39,0))*1000*$K39/1000000)</f>
        <v/>
      </c>
      <c r="AF39" s="18" t="str">
        <f aca="false">IF($A39="","",$AE39*1000000*12/1000000000)</f>
        <v/>
      </c>
      <c r="AG39" s="18" t="str">
        <f aca="false">IF(OR($A39="",$Y39=0),"",_xlfn.MAXIFS(Species!$U$3:$U$302,Species!$A$3:$A$302,$A39))</f>
        <v/>
      </c>
      <c r="AH39" s="19" t="str">
        <f aca="false">IF($A39="","",IF($Y39=0,"⚠ no species on the Species sheet",IF(COUNTIFS(Species!$A$3:$A$302,$A39,Species!$V$3:$V$302,"✖*")&gt;0,"✖ "&amp;COUNTIFS(Species!$A$3:$A$302,$A39,Species!$V$3:$V$302,"✖*")&amp;" species saturated (brightness &gt;= frequency) - see Species sheet",IF(MIN($G39,$H39)&lt;8*$T39,"⚠ box too small laterally (&lt; 8·wr)",IF(AND($I39&gt;0,$I39&lt;3*$U39),"⚠ box too small axially (&lt; 3·wz)",IF($AF39&gt;8,"⚠ more than 8 GB per file: shorten the duration and use several files",IF(COUNTIFS(Species!$A$3:$A$302,$A39,Species!$V$3:$V$302,"⚠*")&gt;0,"⚠ "&amp;COUNTIFS(Species!$A$3:$A$302,$A39,Species!$V$3:$V$302,"⚠*")&amp;" species with a warning - see Species sheet","✔ OK")))))))</f>
        <v/>
      </c>
      <c r="AI39" s="13"/>
      <c r="AJ39" s="13"/>
      <c r="AK39" s="13"/>
      <c r="AL39" s="13"/>
      <c r="AM39" s="14"/>
    </row>
    <row r="40" customFormat="false" ht="15" hidden="false" customHeight="false" outlineLevel="0" collapsed="false">
      <c r="A40" s="13"/>
      <c r="B40" s="13"/>
      <c r="C40" s="14"/>
      <c r="D40" s="14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5" t="str">
        <f aca="false">IF($A40="","",COUNTIF(Species!$A$3:$A$302,$A40))</f>
        <v/>
      </c>
      <c r="Z40" s="15" t="str">
        <f aca="false">IF($A40="","",SUMIF(Species!$A$3:$A$302,$A40,Species!$D$3:$D$302))</f>
        <v/>
      </c>
      <c r="AA40" s="16" t="str">
        <f aca="false">IF($A40="","",SUMIF(Species!$A$3:$A$302,$A40,Species!$Q$3:$Q$302))</f>
        <v/>
      </c>
      <c r="AB40" s="16" t="str">
        <f aca="false">IF($A40="","",SUMIF(Species!$A$3:$A$302,$A40,Species!$R$3:$R$302))</f>
        <v/>
      </c>
      <c r="AC40" s="16" t="str">
        <f aca="false">IF($A40="","",SUMIF(Species!$A$3:$A$302,$A40,Species!$S$3:$S$302))</f>
        <v/>
      </c>
      <c r="AD40" s="16" t="str">
        <f aca="false">IF($A40="","",SUMIF(Species!$A$3:$A$302,$A40,Species!$T$3:$T$302))</f>
        <v/>
      </c>
      <c r="AE40" s="17" t="str">
        <f aca="false">IF($A40="","",(SUM($AA40:$AD40)+IF($P40="Yes",$Q40*$O40,0))*1000*$K40/1000000)</f>
        <v/>
      </c>
      <c r="AF40" s="18" t="str">
        <f aca="false">IF($A40="","",$AE40*1000000*12/1000000000)</f>
        <v/>
      </c>
      <c r="AG40" s="18" t="str">
        <f aca="false">IF(OR($A40="",$Y40=0),"",_xlfn.MAXIFS(Species!$U$3:$U$302,Species!$A$3:$A$302,$A40))</f>
        <v/>
      </c>
      <c r="AH40" s="19" t="str">
        <f aca="false">IF($A40="","",IF($Y40=0,"⚠ no species on the Species sheet",IF(COUNTIFS(Species!$A$3:$A$302,$A40,Species!$V$3:$V$302,"✖*")&gt;0,"✖ "&amp;COUNTIFS(Species!$A$3:$A$302,$A40,Species!$V$3:$V$302,"✖*")&amp;" species saturated (brightness &gt;= frequency) - see Species sheet",IF(MIN($G40,$H40)&lt;8*$T40,"⚠ box too small laterally (&lt; 8·wr)",IF(AND($I40&gt;0,$I40&lt;3*$U40),"⚠ box too small axially (&lt; 3·wz)",IF($AF40&gt;8,"⚠ more than 8 GB per file: shorten the duration and use several files",IF(COUNTIFS(Species!$A$3:$A$302,$A40,Species!$V$3:$V$302,"⚠*")&gt;0,"⚠ "&amp;COUNTIFS(Species!$A$3:$A$302,$A40,Species!$V$3:$V$302,"⚠*")&amp;" species with a warning - see Species sheet","✔ OK")))))))</f>
        <v/>
      </c>
      <c r="AI40" s="13"/>
      <c r="AJ40" s="13"/>
      <c r="AK40" s="13"/>
      <c r="AL40" s="13"/>
      <c r="AM40" s="14"/>
    </row>
    <row r="41" customFormat="false" ht="15" hidden="false" customHeight="false" outlineLevel="0" collapsed="false">
      <c r="A41" s="13"/>
      <c r="B41" s="13"/>
      <c r="C41" s="14"/>
      <c r="D41" s="14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5" t="str">
        <f aca="false">IF($A41="","",COUNTIF(Species!$A$3:$A$302,$A41))</f>
        <v/>
      </c>
      <c r="Z41" s="15" t="str">
        <f aca="false">IF($A41="","",SUMIF(Species!$A$3:$A$302,$A41,Species!$D$3:$D$302))</f>
        <v/>
      </c>
      <c r="AA41" s="16" t="str">
        <f aca="false">IF($A41="","",SUMIF(Species!$A$3:$A$302,$A41,Species!$Q$3:$Q$302))</f>
        <v/>
      </c>
      <c r="AB41" s="16" t="str">
        <f aca="false">IF($A41="","",SUMIF(Species!$A$3:$A$302,$A41,Species!$R$3:$R$302))</f>
        <v/>
      </c>
      <c r="AC41" s="16" t="str">
        <f aca="false">IF($A41="","",SUMIF(Species!$A$3:$A$302,$A41,Species!$S$3:$S$302))</f>
        <v/>
      </c>
      <c r="AD41" s="16" t="str">
        <f aca="false">IF($A41="","",SUMIF(Species!$A$3:$A$302,$A41,Species!$T$3:$T$302))</f>
        <v/>
      </c>
      <c r="AE41" s="17" t="str">
        <f aca="false">IF($A41="","",(SUM($AA41:$AD41)+IF($P41="Yes",$Q41*$O41,0))*1000*$K41/1000000)</f>
        <v/>
      </c>
      <c r="AF41" s="18" t="str">
        <f aca="false">IF($A41="","",$AE41*1000000*12/1000000000)</f>
        <v/>
      </c>
      <c r="AG41" s="18" t="str">
        <f aca="false">IF(OR($A41="",$Y41=0),"",_xlfn.MAXIFS(Species!$U$3:$U$302,Species!$A$3:$A$302,$A41))</f>
        <v/>
      </c>
      <c r="AH41" s="19" t="str">
        <f aca="false">IF($A41="","",IF($Y41=0,"⚠ no species on the Species sheet",IF(COUNTIFS(Species!$A$3:$A$302,$A41,Species!$V$3:$V$302,"✖*")&gt;0,"✖ "&amp;COUNTIFS(Species!$A$3:$A$302,$A41,Species!$V$3:$V$302,"✖*")&amp;" species saturated (brightness &gt;= frequency) - see Species sheet",IF(MIN($G41,$H41)&lt;8*$T41,"⚠ box too small laterally (&lt; 8·wr)",IF(AND($I41&gt;0,$I41&lt;3*$U41),"⚠ box too small axially (&lt; 3·wz)",IF($AF41&gt;8,"⚠ more than 8 GB per file: shorten the duration and use several files",IF(COUNTIFS(Species!$A$3:$A$302,$A41,Species!$V$3:$V$302,"⚠*")&gt;0,"⚠ "&amp;COUNTIFS(Species!$A$3:$A$302,$A41,Species!$V$3:$V$302,"⚠*")&amp;" species with a warning - see Species sheet","✔ OK")))))))</f>
        <v/>
      </c>
      <c r="AI41" s="13"/>
      <c r="AJ41" s="13"/>
      <c r="AK41" s="13"/>
      <c r="AL41" s="13"/>
      <c r="AM41" s="14"/>
    </row>
    <row r="42" customFormat="false" ht="15" hidden="false" customHeight="false" outlineLevel="0" collapsed="false">
      <c r="A42" s="13"/>
      <c r="B42" s="13"/>
      <c r="C42" s="14"/>
      <c r="D42" s="14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5" t="str">
        <f aca="false">IF($A42="","",COUNTIF(Species!$A$3:$A$302,$A42))</f>
        <v/>
      </c>
      <c r="Z42" s="15" t="str">
        <f aca="false">IF($A42="","",SUMIF(Species!$A$3:$A$302,$A42,Species!$D$3:$D$302))</f>
        <v/>
      </c>
      <c r="AA42" s="16" t="str">
        <f aca="false">IF($A42="","",SUMIF(Species!$A$3:$A$302,$A42,Species!$Q$3:$Q$302))</f>
        <v/>
      </c>
      <c r="AB42" s="16" t="str">
        <f aca="false">IF($A42="","",SUMIF(Species!$A$3:$A$302,$A42,Species!$R$3:$R$302))</f>
        <v/>
      </c>
      <c r="AC42" s="16" t="str">
        <f aca="false">IF($A42="","",SUMIF(Species!$A$3:$A$302,$A42,Species!$S$3:$S$302))</f>
        <v/>
      </c>
      <c r="AD42" s="16" t="str">
        <f aca="false">IF($A42="","",SUMIF(Species!$A$3:$A$302,$A42,Species!$T$3:$T$302))</f>
        <v/>
      </c>
      <c r="AE42" s="17" t="str">
        <f aca="false">IF($A42="","",(SUM($AA42:$AD42)+IF($P42="Yes",$Q42*$O42,0))*1000*$K42/1000000)</f>
        <v/>
      </c>
      <c r="AF42" s="18" t="str">
        <f aca="false">IF($A42="","",$AE42*1000000*12/1000000000)</f>
        <v/>
      </c>
      <c r="AG42" s="18" t="str">
        <f aca="false">IF(OR($A42="",$Y42=0),"",_xlfn.MAXIFS(Species!$U$3:$U$302,Species!$A$3:$A$302,$A42))</f>
        <v/>
      </c>
      <c r="AH42" s="19" t="str">
        <f aca="false">IF($A42="","",IF($Y42=0,"⚠ no species on the Species sheet",IF(COUNTIFS(Species!$A$3:$A$302,$A42,Species!$V$3:$V$302,"✖*")&gt;0,"✖ "&amp;COUNTIFS(Species!$A$3:$A$302,$A42,Species!$V$3:$V$302,"✖*")&amp;" species saturated (brightness &gt;= frequency) - see Species sheet",IF(MIN($G42,$H42)&lt;8*$T42,"⚠ box too small laterally (&lt; 8·wr)",IF(AND($I42&gt;0,$I42&lt;3*$U42),"⚠ box too small axially (&lt; 3·wz)",IF($AF42&gt;8,"⚠ more than 8 GB per file: shorten the duration and use several files",IF(COUNTIFS(Species!$A$3:$A$302,$A42,Species!$V$3:$V$302,"⚠*")&gt;0,"⚠ "&amp;COUNTIFS(Species!$A$3:$A$302,$A42,Species!$V$3:$V$302,"⚠*")&amp;" species with a warning - see Species sheet","✔ OK")))))))</f>
        <v/>
      </c>
      <c r="AI42" s="13"/>
      <c r="AJ42" s="13"/>
      <c r="AK42" s="13"/>
      <c r="AL42" s="13"/>
      <c r="AM42" s="14"/>
    </row>
    <row r="43" customFormat="false" ht="15" hidden="false" customHeight="false" outlineLevel="0" collapsed="false">
      <c r="A43" s="13"/>
      <c r="B43" s="13"/>
      <c r="C43" s="14"/>
      <c r="D43" s="14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5" t="str">
        <f aca="false">IF($A43="","",COUNTIF(Species!$A$3:$A$302,$A43))</f>
        <v/>
      </c>
      <c r="Z43" s="15" t="str">
        <f aca="false">IF($A43="","",SUMIF(Species!$A$3:$A$302,$A43,Species!$D$3:$D$302))</f>
        <v/>
      </c>
      <c r="AA43" s="16" t="str">
        <f aca="false">IF($A43="","",SUMIF(Species!$A$3:$A$302,$A43,Species!$Q$3:$Q$302))</f>
        <v/>
      </c>
      <c r="AB43" s="16" t="str">
        <f aca="false">IF($A43="","",SUMIF(Species!$A$3:$A$302,$A43,Species!$R$3:$R$302))</f>
        <v/>
      </c>
      <c r="AC43" s="16" t="str">
        <f aca="false">IF($A43="","",SUMIF(Species!$A$3:$A$302,$A43,Species!$S$3:$S$302))</f>
        <v/>
      </c>
      <c r="AD43" s="16" t="str">
        <f aca="false">IF($A43="","",SUMIF(Species!$A$3:$A$302,$A43,Species!$T$3:$T$302))</f>
        <v/>
      </c>
      <c r="AE43" s="17" t="str">
        <f aca="false">IF($A43="","",(SUM($AA43:$AD43)+IF($P43="Yes",$Q43*$O43,0))*1000*$K43/1000000)</f>
        <v/>
      </c>
      <c r="AF43" s="18" t="str">
        <f aca="false">IF($A43="","",$AE43*1000000*12/1000000000)</f>
        <v/>
      </c>
      <c r="AG43" s="18" t="str">
        <f aca="false">IF(OR($A43="",$Y43=0),"",_xlfn.MAXIFS(Species!$U$3:$U$302,Species!$A$3:$A$302,$A43))</f>
        <v/>
      </c>
      <c r="AH43" s="19" t="str">
        <f aca="false">IF($A43="","",IF($Y43=0,"⚠ no species on the Species sheet",IF(COUNTIFS(Species!$A$3:$A$302,$A43,Species!$V$3:$V$302,"✖*")&gt;0,"✖ "&amp;COUNTIFS(Species!$A$3:$A$302,$A43,Species!$V$3:$V$302,"✖*")&amp;" species saturated (brightness &gt;= frequency) - see Species sheet",IF(MIN($G43,$H43)&lt;8*$T43,"⚠ box too small laterally (&lt; 8·wr)",IF(AND($I43&gt;0,$I43&lt;3*$U43),"⚠ box too small axially (&lt; 3·wz)",IF($AF43&gt;8,"⚠ more than 8 GB per file: shorten the duration and use several files",IF(COUNTIFS(Species!$A$3:$A$302,$A43,Species!$V$3:$V$302,"⚠*")&gt;0,"⚠ "&amp;COUNTIFS(Species!$A$3:$A$302,$A43,Species!$V$3:$V$302,"⚠*")&amp;" species with a warning - see Species sheet","✔ OK")))))))</f>
        <v/>
      </c>
      <c r="AI43" s="13"/>
      <c r="AJ43" s="13"/>
      <c r="AK43" s="13"/>
      <c r="AL43" s="13"/>
      <c r="AM43" s="14"/>
    </row>
    <row r="44" customFormat="false" ht="15" hidden="false" customHeight="false" outlineLevel="0" collapsed="false">
      <c r="A44" s="13"/>
      <c r="B44" s="13"/>
      <c r="C44" s="14"/>
      <c r="D44" s="14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5" t="str">
        <f aca="false">IF($A44="","",COUNTIF(Species!$A$3:$A$302,$A44))</f>
        <v/>
      </c>
      <c r="Z44" s="15" t="str">
        <f aca="false">IF($A44="","",SUMIF(Species!$A$3:$A$302,$A44,Species!$D$3:$D$302))</f>
        <v/>
      </c>
      <c r="AA44" s="16" t="str">
        <f aca="false">IF($A44="","",SUMIF(Species!$A$3:$A$302,$A44,Species!$Q$3:$Q$302))</f>
        <v/>
      </c>
      <c r="AB44" s="16" t="str">
        <f aca="false">IF($A44="","",SUMIF(Species!$A$3:$A$302,$A44,Species!$R$3:$R$302))</f>
        <v/>
      </c>
      <c r="AC44" s="16" t="str">
        <f aca="false">IF($A44="","",SUMIF(Species!$A$3:$A$302,$A44,Species!$S$3:$S$302))</f>
        <v/>
      </c>
      <c r="AD44" s="16" t="str">
        <f aca="false">IF($A44="","",SUMIF(Species!$A$3:$A$302,$A44,Species!$T$3:$T$302))</f>
        <v/>
      </c>
      <c r="AE44" s="17" t="str">
        <f aca="false">IF($A44="","",(SUM($AA44:$AD44)+IF($P44="Yes",$Q44*$O44,0))*1000*$K44/1000000)</f>
        <v/>
      </c>
      <c r="AF44" s="18" t="str">
        <f aca="false">IF($A44="","",$AE44*1000000*12/1000000000)</f>
        <v/>
      </c>
      <c r="AG44" s="18" t="str">
        <f aca="false">IF(OR($A44="",$Y44=0),"",_xlfn.MAXIFS(Species!$U$3:$U$302,Species!$A$3:$A$302,$A44))</f>
        <v/>
      </c>
      <c r="AH44" s="19" t="str">
        <f aca="false">IF($A44="","",IF($Y44=0,"⚠ no species on the Species sheet",IF(COUNTIFS(Species!$A$3:$A$302,$A44,Species!$V$3:$V$302,"✖*")&gt;0,"✖ "&amp;COUNTIFS(Species!$A$3:$A$302,$A44,Species!$V$3:$V$302,"✖*")&amp;" species saturated (brightness &gt;= frequency) - see Species sheet",IF(MIN($G44,$H44)&lt;8*$T44,"⚠ box too small laterally (&lt; 8·wr)",IF(AND($I44&gt;0,$I44&lt;3*$U44),"⚠ box too small axially (&lt; 3·wz)",IF($AF44&gt;8,"⚠ more than 8 GB per file: shorten the duration and use several files",IF(COUNTIFS(Species!$A$3:$A$302,$A44,Species!$V$3:$V$302,"⚠*")&gt;0,"⚠ "&amp;COUNTIFS(Species!$A$3:$A$302,$A44,Species!$V$3:$V$302,"⚠*")&amp;" species with a warning - see Species sheet","✔ OK")))))))</f>
        <v/>
      </c>
      <c r="AI44" s="13"/>
      <c r="AJ44" s="13"/>
      <c r="AK44" s="13"/>
      <c r="AL44" s="13"/>
      <c r="AM44" s="14"/>
    </row>
    <row r="45" customFormat="false" ht="15" hidden="false" customHeight="false" outlineLevel="0" collapsed="false">
      <c r="A45" s="13"/>
      <c r="B45" s="13"/>
      <c r="C45" s="14"/>
      <c r="D45" s="14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5" t="str">
        <f aca="false">IF($A45="","",COUNTIF(Species!$A$3:$A$302,$A45))</f>
        <v/>
      </c>
      <c r="Z45" s="15" t="str">
        <f aca="false">IF($A45="","",SUMIF(Species!$A$3:$A$302,$A45,Species!$D$3:$D$302))</f>
        <v/>
      </c>
      <c r="AA45" s="16" t="str">
        <f aca="false">IF($A45="","",SUMIF(Species!$A$3:$A$302,$A45,Species!$Q$3:$Q$302))</f>
        <v/>
      </c>
      <c r="AB45" s="16" t="str">
        <f aca="false">IF($A45="","",SUMIF(Species!$A$3:$A$302,$A45,Species!$R$3:$R$302))</f>
        <v/>
      </c>
      <c r="AC45" s="16" t="str">
        <f aca="false">IF($A45="","",SUMIF(Species!$A$3:$A$302,$A45,Species!$S$3:$S$302))</f>
        <v/>
      </c>
      <c r="AD45" s="16" t="str">
        <f aca="false">IF($A45="","",SUMIF(Species!$A$3:$A$302,$A45,Species!$T$3:$T$302))</f>
        <v/>
      </c>
      <c r="AE45" s="17" t="str">
        <f aca="false">IF($A45="","",(SUM($AA45:$AD45)+IF($P45="Yes",$Q45*$O45,0))*1000*$K45/1000000)</f>
        <v/>
      </c>
      <c r="AF45" s="18" t="str">
        <f aca="false">IF($A45="","",$AE45*1000000*12/1000000000)</f>
        <v/>
      </c>
      <c r="AG45" s="18" t="str">
        <f aca="false">IF(OR($A45="",$Y45=0),"",_xlfn.MAXIFS(Species!$U$3:$U$302,Species!$A$3:$A$302,$A45))</f>
        <v/>
      </c>
      <c r="AH45" s="19" t="str">
        <f aca="false">IF($A45="","",IF($Y45=0,"⚠ no species on the Species sheet",IF(COUNTIFS(Species!$A$3:$A$302,$A45,Species!$V$3:$V$302,"✖*")&gt;0,"✖ "&amp;COUNTIFS(Species!$A$3:$A$302,$A45,Species!$V$3:$V$302,"✖*")&amp;" species saturated (brightness &gt;= frequency) - see Species sheet",IF(MIN($G45,$H45)&lt;8*$T45,"⚠ box too small laterally (&lt; 8·wr)",IF(AND($I45&gt;0,$I45&lt;3*$U45),"⚠ box too small axially (&lt; 3·wz)",IF($AF45&gt;8,"⚠ more than 8 GB per file: shorten the duration and use several files",IF(COUNTIFS(Species!$A$3:$A$302,$A45,Species!$V$3:$V$302,"⚠*")&gt;0,"⚠ "&amp;COUNTIFS(Species!$A$3:$A$302,$A45,Species!$V$3:$V$302,"⚠*")&amp;" species with a warning - see Species sheet","✔ OK")))))))</f>
        <v/>
      </c>
      <c r="AI45" s="13"/>
      <c r="AJ45" s="13"/>
      <c r="AK45" s="13"/>
      <c r="AL45" s="13"/>
      <c r="AM45" s="14"/>
    </row>
    <row r="46" customFormat="false" ht="15" hidden="false" customHeight="false" outlineLevel="0" collapsed="false">
      <c r="A46" s="13"/>
      <c r="B46" s="13"/>
      <c r="C46" s="14"/>
      <c r="D46" s="14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5" t="str">
        <f aca="false">IF($A46="","",COUNTIF(Species!$A$3:$A$302,$A46))</f>
        <v/>
      </c>
      <c r="Z46" s="15" t="str">
        <f aca="false">IF($A46="","",SUMIF(Species!$A$3:$A$302,$A46,Species!$D$3:$D$302))</f>
        <v/>
      </c>
      <c r="AA46" s="16" t="str">
        <f aca="false">IF($A46="","",SUMIF(Species!$A$3:$A$302,$A46,Species!$Q$3:$Q$302))</f>
        <v/>
      </c>
      <c r="AB46" s="16" t="str">
        <f aca="false">IF($A46="","",SUMIF(Species!$A$3:$A$302,$A46,Species!$R$3:$R$302))</f>
        <v/>
      </c>
      <c r="AC46" s="16" t="str">
        <f aca="false">IF($A46="","",SUMIF(Species!$A$3:$A$302,$A46,Species!$S$3:$S$302))</f>
        <v/>
      </c>
      <c r="AD46" s="16" t="str">
        <f aca="false">IF($A46="","",SUMIF(Species!$A$3:$A$302,$A46,Species!$T$3:$T$302))</f>
        <v/>
      </c>
      <c r="AE46" s="17" t="str">
        <f aca="false">IF($A46="","",(SUM($AA46:$AD46)+IF($P46="Yes",$Q46*$O46,0))*1000*$K46/1000000)</f>
        <v/>
      </c>
      <c r="AF46" s="18" t="str">
        <f aca="false">IF($A46="","",$AE46*1000000*12/1000000000)</f>
        <v/>
      </c>
      <c r="AG46" s="18" t="str">
        <f aca="false">IF(OR($A46="",$Y46=0),"",_xlfn.MAXIFS(Species!$U$3:$U$302,Species!$A$3:$A$302,$A46))</f>
        <v/>
      </c>
      <c r="AH46" s="19" t="str">
        <f aca="false">IF($A46="","",IF($Y46=0,"⚠ no species on the Species sheet",IF(COUNTIFS(Species!$A$3:$A$302,$A46,Species!$V$3:$V$302,"✖*")&gt;0,"✖ "&amp;COUNTIFS(Species!$A$3:$A$302,$A46,Species!$V$3:$V$302,"✖*")&amp;" species saturated (brightness &gt;= frequency) - see Species sheet",IF(MIN($G46,$H46)&lt;8*$T46,"⚠ box too small laterally (&lt; 8·wr)",IF(AND($I46&gt;0,$I46&lt;3*$U46),"⚠ box too small axially (&lt; 3·wz)",IF($AF46&gt;8,"⚠ more than 8 GB per file: shorten the duration and use several files",IF(COUNTIFS(Species!$A$3:$A$302,$A46,Species!$V$3:$V$302,"⚠*")&gt;0,"⚠ "&amp;COUNTIFS(Species!$A$3:$A$302,$A46,Species!$V$3:$V$302,"⚠*")&amp;" species with a warning - see Species sheet","✔ OK")))))))</f>
        <v/>
      </c>
      <c r="AI46" s="13"/>
      <c r="AJ46" s="13"/>
      <c r="AK46" s="13"/>
      <c r="AL46" s="13"/>
      <c r="AM46" s="14"/>
    </row>
    <row r="47" customFormat="false" ht="15" hidden="false" customHeight="false" outlineLevel="0" collapsed="false">
      <c r="A47" s="13"/>
      <c r="B47" s="13"/>
      <c r="C47" s="14"/>
      <c r="D47" s="14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5" t="str">
        <f aca="false">IF($A47="","",COUNTIF(Species!$A$3:$A$302,$A47))</f>
        <v/>
      </c>
      <c r="Z47" s="15" t="str">
        <f aca="false">IF($A47="","",SUMIF(Species!$A$3:$A$302,$A47,Species!$D$3:$D$302))</f>
        <v/>
      </c>
      <c r="AA47" s="16" t="str">
        <f aca="false">IF($A47="","",SUMIF(Species!$A$3:$A$302,$A47,Species!$Q$3:$Q$302))</f>
        <v/>
      </c>
      <c r="AB47" s="16" t="str">
        <f aca="false">IF($A47="","",SUMIF(Species!$A$3:$A$302,$A47,Species!$R$3:$R$302))</f>
        <v/>
      </c>
      <c r="AC47" s="16" t="str">
        <f aca="false">IF($A47="","",SUMIF(Species!$A$3:$A$302,$A47,Species!$S$3:$S$302))</f>
        <v/>
      </c>
      <c r="AD47" s="16" t="str">
        <f aca="false">IF($A47="","",SUMIF(Species!$A$3:$A$302,$A47,Species!$T$3:$T$302))</f>
        <v/>
      </c>
      <c r="AE47" s="17" t="str">
        <f aca="false">IF($A47="","",(SUM($AA47:$AD47)+IF($P47="Yes",$Q47*$O47,0))*1000*$K47/1000000)</f>
        <v/>
      </c>
      <c r="AF47" s="18" t="str">
        <f aca="false">IF($A47="","",$AE47*1000000*12/1000000000)</f>
        <v/>
      </c>
      <c r="AG47" s="18" t="str">
        <f aca="false">IF(OR($A47="",$Y47=0),"",_xlfn.MAXIFS(Species!$U$3:$U$302,Species!$A$3:$A$302,$A47))</f>
        <v/>
      </c>
      <c r="AH47" s="19" t="str">
        <f aca="false">IF($A47="","",IF($Y47=0,"⚠ no species on the Species sheet",IF(COUNTIFS(Species!$A$3:$A$302,$A47,Species!$V$3:$V$302,"✖*")&gt;0,"✖ "&amp;COUNTIFS(Species!$A$3:$A$302,$A47,Species!$V$3:$V$302,"✖*")&amp;" species saturated (brightness &gt;= frequency) - see Species sheet",IF(MIN($G47,$H47)&lt;8*$T47,"⚠ box too small laterally (&lt; 8·wr)",IF(AND($I47&gt;0,$I47&lt;3*$U47),"⚠ box too small axially (&lt; 3·wz)",IF($AF47&gt;8,"⚠ more than 8 GB per file: shorten the duration and use several files",IF(COUNTIFS(Species!$A$3:$A$302,$A47,Species!$V$3:$V$302,"⚠*")&gt;0,"⚠ "&amp;COUNTIFS(Species!$A$3:$A$302,$A47,Species!$V$3:$V$302,"⚠*")&amp;" species with a warning - see Species sheet","✔ OK")))))))</f>
        <v/>
      </c>
      <c r="AI47" s="13"/>
      <c r="AJ47" s="13"/>
      <c r="AK47" s="13"/>
      <c r="AL47" s="13"/>
      <c r="AM47" s="14"/>
    </row>
    <row r="48" customFormat="false" ht="15" hidden="false" customHeight="false" outlineLevel="0" collapsed="false">
      <c r="A48" s="13"/>
      <c r="B48" s="13"/>
      <c r="C48" s="14"/>
      <c r="D48" s="14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5" t="str">
        <f aca="false">IF($A48="","",COUNTIF(Species!$A$3:$A$302,$A48))</f>
        <v/>
      </c>
      <c r="Z48" s="15" t="str">
        <f aca="false">IF($A48="","",SUMIF(Species!$A$3:$A$302,$A48,Species!$D$3:$D$302))</f>
        <v/>
      </c>
      <c r="AA48" s="16" t="str">
        <f aca="false">IF($A48="","",SUMIF(Species!$A$3:$A$302,$A48,Species!$Q$3:$Q$302))</f>
        <v/>
      </c>
      <c r="AB48" s="16" t="str">
        <f aca="false">IF($A48="","",SUMIF(Species!$A$3:$A$302,$A48,Species!$R$3:$R$302))</f>
        <v/>
      </c>
      <c r="AC48" s="16" t="str">
        <f aca="false">IF($A48="","",SUMIF(Species!$A$3:$A$302,$A48,Species!$S$3:$S$302))</f>
        <v/>
      </c>
      <c r="AD48" s="16" t="str">
        <f aca="false">IF($A48="","",SUMIF(Species!$A$3:$A$302,$A48,Species!$T$3:$T$302))</f>
        <v/>
      </c>
      <c r="AE48" s="17" t="str">
        <f aca="false">IF($A48="","",(SUM($AA48:$AD48)+IF($P48="Yes",$Q48*$O48,0))*1000*$K48/1000000)</f>
        <v/>
      </c>
      <c r="AF48" s="18" t="str">
        <f aca="false">IF($A48="","",$AE48*1000000*12/1000000000)</f>
        <v/>
      </c>
      <c r="AG48" s="18" t="str">
        <f aca="false">IF(OR($A48="",$Y48=0),"",_xlfn.MAXIFS(Species!$U$3:$U$302,Species!$A$3:$A$302,$A48))</f>
        <v/>
      </c>
      <c r="AH48" s="19" t="str">
        <f aca="false">IF($A48="","",IF($Y48=0,"⚠ no species on the Species sheet",IF(COUNTIFS(Species!$A$3:$A$302,$A48,Species!$V$3:$V$302,"✖*")&gt;0,"✖ "&amp;COUNTIFS(Species!$A$3:$A$302,$A48,Species!$V$3:$V$302,"✖*")&amp;" species saturated (brightness &gt;= frequency) - see Species sheet",IF(MIN($G48,$H48)&lt;8*$T48,"⚠ box too small laterally (&lt; 8·wr)",IF(AND($I48&gt;0,$I48&lt;3*$U48),"⚠ box too small axially (&lt; 3·wz)",IF($AF48&gt;8,"⚠ more than 8 GB per file: shorten the duration and use several files",IF(COUNTIFS(Species!$A$3:$A$302,$A48,Species!$V$3:$V$302,"⚠*")&gt;0,"⚠ "&amp;COUNTIFS(Species!$A$3:$A$302,$A48,Species!$V$3:$V$302,"⚠*")&amp;" species with a warning - see Species sheet","✔ OK")))))))</f>
        <v/>
      </c>
      <c r="AI48" s="13"/>
      <c r="AJ48" s="13"/>
      <c r="AK48" s="13"/>
      <c r="AL48" s="13"/>
      <c r="AM48" s="14"/>
    </row>
    <row r="49" customFormat="false" ht="15" hidden="false" customHeight="false" outlineLevel="0" collapsed="false">
      <c r="A49" s="13"/>
      <c r="B49" s="13"/>
      <c r="C49" s="14"/>
      <c r="D49" s="14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5" t="str">
        <f aca="false">IF($A49="","",COUNTIF(Species!$A$3:$A$302,$A49))</f>
        <v/>
      </c>
      <c r="Z49" s="15" t="str">
        <f aca="false">IF($A49="","",SUMIF(Species!$A$3:$A$302,$A49,Species!$D$3:$D$302))</f>
        <v/>
      </c>
      <c r="AA49" s="16" t="str">
        <f aca="false">IF($A49="","",SUMIF(Species!$A$3:$A$302,$A49,Species!$Q$3:$Q$302))</f>
        <v/>
      </c>
      <c r="AB49" s="16" t="str">
        <f aca="false">IF($A49="","",SUMIF(Species!$A$3:$A$302,$A49,Species!$R$3:$R$302))</f>
        <v/>
      </c>
      <c r="AC49" s="16" t="str">
        <f aca="false">IF($A49="","",SUMIF(Species!$A$3:$A$302,$A49,Species!$S$3:$S$302))</f>
        <v/>
      </c>
      <c r="AD49" s="16" t="str">
        <f aca="false">IF($A49="","",SUMIF(Species!$A$3:$A$302,$A49,Species!$T$3:$T$302))</f>
        <v/>
      </c>
      <c r="AE49" s="17" t="str">
        <f aca="false">IF($A49="","",(SUM($AA49:$AD49)+IF($P49="Yes",$Q49*$O49,0))*1000*$K49/1000000)</f>
        <v/>
      </c>
      <c r="AF49" s="18" t="str">
        <f aca="false">IF($A49="","",$AE49*1000000*12/1000000000)</f>
        <v/>
      </c>
      <c r="AG49" s="18" t="str">
        <f aca="false">IF(OR($A49="",$Y49=0),"",_xlfn.MAXIFS(Species!$U$3:$U$302,Species!$A$3:$A$302,$A49))</f>
        <v/>
      </c>
      <c r="AH49" s="19" t="str">
        <f aca="false">IF($A49="","",IF($Y49=0,"⚠ no species on the Species sheet",IF(COUNTIFS(Species!$A$3:$A$302,$A49,Species!$V$3:$V$302,"✖*")&gt;0,"✖ "&amp;COUNTIFS(Species!$A$3:$A$302,$A49,Species!$V$3:$V$302,"✖*")&amp;" species saturated (brightness &gt;= frequency) - see Species sheet",IF(MIN($G49,$H49)&lt;8*$T49,"⚠ box too small laterally (&lt; 8·wr)",IF(AND($I49&gt;0,$I49&lt;3*$U49),"⚠ box too small axially (&lt; 3·wz)",IF($AF49&gt;8,"⚠ more than 8 GB per file: shorten the duration and use several files",IF(COUNTIFS(Species!$A$3:$A$302,$A49,Species!$V$3:$V$302,"⚠*")&gt;0,"⚠ "&amp;COUNTIFS(Species!$A$3:$A$302,$A49,Species!$V$3:$V$302,"⚠*")&amp;" species with a warning - see Species sheet","✔ OK")))))))</f>
        <v/>
      </c>
      <c r="AI49" s="13"/>
      <c r="AJ49" s="13"/>
      <c r="AK49" s="13"/>
      <c r="AL49" s="13"/>
      <c r="AM49" s="14"/>
    </row>
    <row r="50" customFormat="false" ht="15" hidden="false" customHeight="false" outlineLevel="0" collapsed="false">
      <c r="A50" s="13"/>
      <c r="B50" s="13"/>
      <c r="C50" s="14"/>
      <c r="D50" s="14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5" t="str">
        <f aca="false">IF($A50="","",COUNTIF(Species!$A$3:$A$302,$A50))</f>
        <v/>
      </c>
      <c r="Z50" s="15" t="str">
        <f aca="false">IF($A50="","",SUMIF(Species!$A$3:$A$302,$A50,Species!$D$3:$D$302))</f>
        <v/>
      </c>
      <c r="AA50" s="16" t="str">
        <f aca="false">IF($A50="","",SUMIF(Species!$A$3:$A$302,$A50,Species!$Q$3:$Q$302))</f>
        <v/>
      </c>
      <c r="AB50" s="16" t="str">
        <f aca="false">IF($A50="","",SUMIF(Species!$A$3:$A$302,$A50,Species!$R$3:$R$302))</f>
        <v/>
      </c>
      <c r="AC50" s="16" t="str">
        <f aca="false">IF($A50="","",SUMIF(Species!$A$3:$A$302,$A50,Species!$S$3:$S$302))</f>
        <v/>
      </c>
      <c r="AD50" s="16" t="str">
        <f aca="false">IF($A50="","",SUMIF(Species!$A$3:$A$302,$A50,Species!$T$3:$T$302))</f>
        <v/>
      </c>
      <c r="AE50" s="17" t="str">
        <f aca="false">IF($A50="","",(SUM($AA50:$AD50)+IF($P50="Yes",$Q50*$O50,0))*1000*$K50/1000000)</f>
        <v/>
      </c>
      <c r="AF50" s="18" t="str">
        <f aca="false">IF($A50="","",$AE50*1000000*12/1000000000)</f>
        <v/>
      </c>
      <c r="AG50" s="18" t="str">
        <f aca="false">IF(OR($A50="",$Y50=0),"",_xlfn.MAXIFS(Species!$U$3:$U$302,Species!$A$3:$A$302,$A50))</f>
        <v/>
      </c>
      <c r="AH50" s="19" t="str">
        <f aca="false">IF($A50="","",IF($Y50=0,"⚠ no species on the Species sheet",IF(COUNTIFS(Species!$A$3:$A$302,$A50,Species!$V$3:$V$302,"✖*")&gt;0,"✖ "&amp;COUNTIFS(Species!$A$3:$A$302,$A50,Species!$V$3:$V$302,"✖*")&amp;" species saturated (brightness &gt;= frequency) - see Species sheet",IF(MIN($G50,$H50)&lt;8*$T50,"⚠ box too small laterally (&lt; 8·wr)",IF(AND($I50&gt;0,$I50&lt;3*$U50),"⚠ box too small axially (&lt; 3·wz)",IF($AF50&gt;8,"⚠ more than 8 GB per file: shorten the duration and use several files",IF(COUNTIFS(Species!$A$3:$A$302,$A50,Species!$V$3:$V$302,"⚠*")&gt;0,"⚠ "&amp;COUNTIFS(Species!$A$3:$A$302,$A50,Species!$V$3:$V$302,"⚠*")&amp;" species with a warning - see Species sheet","✔ OK")))))))</f>
        <v/>
      </c>
      <c r="AI50" s="13"/>
      <c r="AJ50" s="13"/>
      <c r="AK50" s="13"/>
      <c r="AL50" s="13"/>
      <c r="AM50" s="14"/>
    </row>
    <row r="51" customFormat="false" ht="15" hidden="false" customHeight="false" outlineLevel="0" collapsed="false">
      <c r="A51" s="13"/>
      <c r="B51" s="13"/>
      <c r="C51" s="14"/>
      <c r="D51" s="14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5" t="str">
        <f aca="false">IF($A51="","",COUNTIF(Species!$A$3:$A$302,$A51))</f>
        <v/>
      </c>
      <c r="Z51" s="15" t="str">
        <f aca="false">IF($A51="","",SUMIF(Species!$A$3:$A$302,$A51,Species!$D$3:$D$302))</f>
        <v/>
      </c>
      <c r="AA51" s="16" t="str">
        <f aca="false">IF($A51="","",SUMIF(Species!$A$3:$A$302,$A51,Species!$Q$3:$Q$302))</f>
        <v/>
      </c>
      <c r="AB51" s="16" t="str">
        <f aca="false">IF($A51="","",SUMIF(Species!$A$3:$A$302,$A51,Species!$R$3:$R$302))</f>
        <v/>
      </c>
      <c r="AC51" s="16" t="str">
        <f aca="false">IF($A51="","",SUMIF(Species!$A$3:$A$302,$A51,Species!$S$3:$S$302))</f>
        <v/>
      </c>
      <c r="AD51" s="16" t="str">
        <f aca="false">IF($A51="","",SUMIF(Species!$A$3:$A$302,$A51,Species!$T$3:$T$302))</f>
        <v/>
      </c>
      <c r="AE51" s="17" t="str">
        <f aca="false">IF($A51="","",(SUM($AA51:$AD51)+IF($P51="Yes",$Q51*$O51,0))*1000*$K51/1000000)</f>
        <v/>
      </c>
      <c r="AF51" s="18" t="str">
        <f aca="false">IF($A51="","",$AE51*1000000*12/1000000000)</f>
        <v/>
      </c>
      <c r="AG51" s="18" t="str">
        <f aca="false">IF(OR($A51="",$Y51=0),"",_xlfn.MAXIFS(Species!$U$3:$U$302,Species!$A$3:$A$302,$A51))</f>
        <v/>
      </c>
      <c r="AH51" s="19" t="str">
        <f aca="false">IF($A51="","",IF($Y51=0,"⚠ no species on the Species sheet",IF(COUNTIFS(Species!$A$3:$A$302,$A51,Species!$V$3:$V$302,"✖*")&gt;0,"✖ "&amp;COUNTIFS(Species!$A$3:$A$302,$A51,Species!$V$3:$V$302,"✖*")&amp;" species saturated (brightness &gt;= frequency) - see Species sheet",IF(MIN($G51,$H51)&lt;8*$T51,"⚠ box too small laterally (&lt; 8·wr)",IF(AND($I51&gt;0,$I51&lt;3*$U51),"⚠ box too small axially (&lt; 3·wz)",IF($AF51&gt;8,"⚠ more than 8 GB per file: shorten the duration and use several files",IF(COUNTIFS(Species!$A$3:$A$302,$A51,Species!$V$3:$V$302,"⚠*")&gt;0,"⚠ "&amp;COUNTIFS(Species!$A$3:$A$302,$A51,Species!$V$3:$V$302,"⚠*")&amp;" species with a warning - see Species sheet","✔ OK")))))))</f>
        <v/>
      </c>
      <c r="AI51" s="13"/>
      <c r="AJ51" s="13"/>
      <c r="AK51" s="13"/>
      <c r="AL51" s="13"/>
      <c r="AM51" s="14"/>
    </row>
    <row r="52" customFormat="false" ht="15" hidden="false" customHeight="false" outlineLevel="0" collapsed="false">
      <c r="A52" s="13"/>
      <c r="B52" s="13"/>
      <c r="C52" s="14"/>
      <c r="D52" s="14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5" t="str">
        <f aca="false">IF($A52="","",COUNTIF(Species!$A$3:$A$302,$A52))</f>
        <v/>
      </c>
      <c r="Z52" s="15" t="str">
        <f aca="false">IF($A52="","",SUMIF(Species!$A$3:$A$302,$A52,Species!$D$3:$D$302))</f>
        <v/>
      </c>
      <c r="AA52" s="16" t="str">
        <f aca="false">IF($A52="","",SUMIF(Species!$A$3:$A$302,$A52,Species!$Q$3:$Q$302))</f>
        <v/>
      </c>
      <c r="AB52" s="16" t="str">
        <f aca="false">IF($A52="","",SUMIF(Species!$A$3:$A$302,$A52,Species!$R$3:$R$302))</f>
        <v/>
      </c>
      <c r="AC52" s="16" t="str">
        <f aca="false">IF($A52="","",SUMIF(Species!$A$3:$A$302,$A52,Species!$S$3:$S$302))</f>
        <v/>
      </c>
      <c r="AD52" s="16" t="str">
        <f aca="false">IF($A52="","",SUMIF(Species!$A$3:$A$302,$A52,Species!$T$3:$T$302))</f>
        <v/>
      </c>
      <c r="AE52" s="17" t="str">
        <f aca="false">IF($A52="","",(SUM($AA52:$AD52)+IF($P52="Yes",$Q52*$O52,0))*1000*$K52/1000000)</f>
        <v/>
      </c>
      <c r="AF52" s="18" t="str">
        <f aca="false">IF($A52="","",$AE52*1000000*12/1000000000)</f>
        <v/>
      </c>
      <c r="AG52" s="18" t="str">
        <f aca="false">IF(OR($A52="",$Y52=0),"",_xlfn.MAXIFS(Species!$U$3:$U$302,Species!$A$3:$A$302,$A52))</f>
        <v/>
      </c>
      <c r="AH52" s="19" t="str">
        <f aca="false">IF($A52="","",IF($Y52=0,"⚠ no species on the Species sheet",IF(COUNTIFS(Species!$A$3:$A$302,$A52,Species!$V$3:$V$302,"✖*")&gt;0,"✖ "&amp;COUNTIFS(Species!$A$3:$A$302,$A52,Species!$V$3:$V$302,"✖*")&amp;" species saturated (brightness &gt;= frequency) - see Species sheet",IF(MIN($G52,$H52)&lt;8*$T52,"⚠ box too small laterally (&lt; 8·wr)",IF(AND($I52&gt;0,$I52&lt;3*$U52),"⚠ box too small axially (&lt; 3·wz)",IF($AF52&gt;8,"⚠ more than 8 GB per file: shorten the duration and use several files",IF(COUNTIFS(Species!$A$3:$A$302,$A52,Species!$V$3:$V$302,"⚠*")&gt;0,"⚠ "&amp;COUNTIFS(Species!$A$3:$A$302,$A52,Species!$V$3:$V$302,"⚠*")&amp;" species with a warning - see Species sheet","✔ OK")))))))</f>
        <v/>
      </c>
      <c r="AI52" s="13"/>
      <c r="AJ52" s="13"/>
      <c r="AK52" s="13"/>
      <c r="AL52" s="13"/>
      <c r="AM52" s="14"/>
    </row>
    <row r="53" customFormat="false" ht="15" hidden="false" customHeight="false" outlineLevel="0" collapsed="false">
      <c r="A53" s="13"/>
      <c r="B53" s="13"/>
      <c r="C53" s="14"/>
      <c r="D53" s="14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5" t="str">
        <f aca="false">IF($A53="","",COUNTIF(Species!$A$3:$A$302,$A53))</f>
        <v/>
      </c>
      <c r="Z53" s="15" t="str">
        <f aca="false">IF($A53="","",SUMIF(Species!$A$3:$A$302,$A53,Species!$D$3:$D$302))</f>
        <v/>
      </c>
      <c r="AA53" s="16" t="str">
        <f aca="false">IF($A53="","",SUMIF(Species!$A$3:$A$302,$A53,Species!$Q$3:$Q$302))</f>
        <v/>
      </c>
      <c r="AB53" s="16" t="str">
        <f aca="false">IF($A53="","",SUMIF(Species!$A$3:$A$302,$A53,Species!$R$3:$R$302))</f>
        <v/>
      </c>
      <c r="AC53" s="16" t="str">
        <f aca="false">IF($A53="","",SUMIF(Species!$A$3:$A$302,$A53,Species!$S$3:$S$302))</f>
        <v/>
      </c>
      <c r="AD53" s="16" t="str">
        <f aca="false">IF($A53="","",SUMIF(Species!$A$3:$A$302,$A53,Species!$T$3:$T$302))</f>
        <v/>
      </c>
      <c r="AE53" s="17" t="str">
        <f aca="false">IF($A53="","",(SUM($AA53:$AD53)+IF($P53="Yes",$Q53*$O53,0))*1000*$K53/1000000)</f>
        <v/>
      </c>
      <c r="AF53" s="18" t="str">
        <f aca="false">IF($A53="","",$AE53*1000000*12/1000000000)</f>
        <v/>
      </c>
      <c r="AG53" s="18" t="str">
        <f aca="false">IF(OR($A53="",$Y53=0),"",_xlfn.MAXIFS(Species!$U$3:$U$302,Species!$A$3:$A$302,$A53))</f>
        <v/>
      </c>
      <c r="AH53" s="19" t="str">
        <f aca="false">IF($A53="","",IF($Y53=0,"⚠ no species on the Species sheet",IF(COUNTIFS(Species!$A$3:$A$302,$A53,Species!$V$3:$V$302,"✖*")&gt;0,"✖ "&amp;COUNTIFS(Species!$A$3:$A$302,$A53,Species!$V$3:$V$302,"✖*")&amp;" species saturated (brightness &gt;= frequency) - see Species sheet",IF(MIN($G53,$H53)&lt;8*$T53,"⚠ box too small laterally (&lt; 8·wr)",IF(AND($I53&gt;0,$I53&lt;3*$U53),"⚠ box too small axially (&lt; 3·wz)",IF($AF53&gt;8,"⚠ more than 8 GB per file: shorten the duration and use several files",IF(COUNTIFS(Species!$A$3:$A$302,$A53,Species!$V$3:$V$302,"⚠*")&gt;0,"⚠ "&amp;COUNTIFS(Species!$A$3:$A$302,$A53,Species!$V$3:$V$302,"⚠*")&amp;" species with a warning - see Species sheet","✔ OK")))))))</f>
        <v/>
      </c>
      <c r="AI53" s="13"/>
      <c r="AJ53" s="13"/>
      <c r="AK53" s="13"/>
      <c r="AL53" s="13"/>
      <c r="AM53" s="14"/>
    </row>
    <row r="54" customFormat="false" ht="15" hidden="false" customHeight="false" outlineLevel="0" collapsed="false">
      <c r="A54" s="13"/>
      <c r="B54" s="13"/>
      <c r="C54" s="14"/>
      <c r="D54" s="14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5" t="str">
        <f aca="false">IF($A54="","",COUNTIF(Species!$A$3:$A$302,$A54))</f>
        <v/>
      </c>
      <c r="Z54" s="15" t="str">
        <f aca="false">IF($A54="","",SUMIF(Species!$A$3:$A$302,$A54,Species!$D$3:$D$302))</f>
        <v/>
      </c>
      <c r="AA54" s="16" t="str">
        <f aca="false">IF($A54="","",SUMIF(Species!$A$3:$A$302,$A54,Species!$Q$3:$Q$302))</f>
        <v/>
      </c>
      <c r="AB54" s="16" t="str">
        <f aca="false">IF($A54="","",SUMIF(Species!$A$3:$A$302,$A54,Species!$R$3:$R$302))</f>
        <v/>
      </c>
      <c r="AC54" s="16" t="str">
        <f aca="false">IF($A54="","",SUMIF(Species!$A$3:$A$302,$A54,Species!$S$3:$S$302))</f>
        <v/>
      </c>
      <c r="AD54" s="16" t="str">
        <f aca="false">IF($A54="","",SUMIF(Species!$A$3:$A$302,$A54,Species!$T$3:$T$302))</f>
        <v/>
      </c>
      <c r="AE54" s="17" t="str">
        <f aca="false">IF($A54="","",(SUM($AA54:$AD54)+IF($P54="Yes",$Q54*$O54,0))*1000*$K54/1000000)</f>
        <v/>
      </c>
      <c r="AF54" s="18" t="str">
        <f aca="false">IF($A54="","",$AE54*1000000*12/1000000000)</f>
        <v/>
      </c>
      <c r="AG54" s="18" t="str">
        <f aca="false">IF(OR($A54="",$Y54=0),"",_xlfn.MAXIFS(Species!$U$3:$U$302,Species!$A$3:$A$302,$A54))</f>
        <v/>
      </c>
      <c r="AH54" s="19" t="str">
        <f aca="false">IF($A54="","",IF($Y54=0,"⚠ no species on the Species sheet",IF(COUNTIFS(Species!$A$3:$A$302,$A54,Species!$V$3:$V$302,"✖*")&gt;0,"✖ "&amp;COUNTIFS(Species!$A$3:$A$302,$A54,Species!$V$3:$V$302,"✖*")&amp;" species saturated (brightness &gt;= frequency) - see Species sheet",IF(MIN($G54,$H54)&lt;8*$T54,"⚠ box too small laterally (&lt; 8·wr)",IF(AND($I54&gt;0,$I54&lt;3*$U54),"⚠ box too small axially (&lt; 3·wz)",IF($AF54&gt;8,"⚠ more than 8 GB per file: shorten the duration and use several files",IF(COUNTIFS(Species!$A$3:$A$302,$A54,Species!$V$3:$V$302,"⚠*")&gt;0,"⚠ "&amp;COUNTIFS(Species!$A$3:$A$302,$A54,Species!$V$3:$V$302,"⚠*")&amp;" species with a warning - see Species sheet","✔ OK")))))))</f>
        <v/>
      </c>
      <c r="AI54" s="13"/>
      <c r="AJ54" s="13"/>
      <c r="AK54" s="13"/>
      <c r="AL54" s="13"/>
      <c r="AM54" s="14"/>
    </row>
    <row r="55" customFormat="false" ht="15" hidden="false" customHeight="false" outlineLevel="0" collapsed="false">
      <c r="A55" s="13"/>
      <c r="B55" s="13"/>
      <c r="C55" s="14"/>
      <c r="D55" s="14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5" t="str">
        <f aca="false">IF($A55="","",COUNTIF(Species!$A$3:$A$302,$A55))</f>
        <v/>
      </c>
      <c r="Z55" s="15" t="str">
        <f aca="false">IF($A55="","",SUMIF(Species!$A$3:$A$302,$A55,Species!$D$3:$D$302))</f>
        <v/>
      </c>
      <c r="AA55" s="16" t="str">
        <f aca="false">IF($A55="","",SUMIF(Species!$A$3:$A$302,$A55,Species!$Q$3:$Q$302))</f>
        <v/>
      </c>
      <c r="AB55" s="16" t="str">
        <f aca="false">IF($A55="","",SUMIF(Species!$A$3:$A$302,$A55,Species!$R$3:$R$302))</f>
        <v/>
      </c>
      <c r="AC55" s="16" t="str">
        <f aca="false">IF($A55="","",SUMIF(Species!$A$3:$A$302,$A55,Species!$S$3:$S$302))</f>
        <v/>
      </c>
      <c r="AD55" s="16" t="str">
        <f aca="false">IF($A55="","",SUMIF(Species!$A$3:$A$302,$A55,Species!$T$3:$T$302))</f>
        <v/>
      </c>
      <c r="AE55" s="17" t="str">
        <f aca="false">IF($A55="","",(SUM($AA55:$AD55)+IF($P55="Yes",$Q55*$O55,0))*1000*$K55/1000000)</f>
        <v/>
      </c>
      <c r="AF55" s="18" t="str">
        <f aca="false">IF($A55="","",$AE55*1000000*12/1000000000)</f>
        <v/>
      </c>
      <c r="AG55" s="18" t="str">
        <f aca="false">IF(OR($A55="",$Y55=0),"",_xlfn.MAXIFS(Species!$U$3:$U$302,Species!$A$3:$A$302,$A55))</f>
        <v/>
      </c>
      <c r="AH55" s="19" t="str">
        <f aca="false">IF($A55="","",IF($Y55=0,"⚠ no species on the Species sheet",IF(COUNTIFS(Species!$A$3:$A$302,$A55,Species!$V$3:$V$302,"✖*")&gt;0,"✖ "&amp;COUNTIFS(Species!$A$3:$A$302,$A55,Species!$V$3:$V$302,"✖*")&amp;" species saturated (brightness &gt;= frequency) - see Species sheet",IF(MIN($G55,$H55)&lt;8*$T55,"⚠ box too small laterally (&lt; 8·wr)",IF(AND($I55&gt;0,$I55&lt;3*$U55),"⚠ box too small axially (&lt; 3·wz)",IF($AF55&gt;8,"⚠ more than 8 GB per file: shorten the duration and use several files",IF(COUNTIFS(Species!$A$3:$A$302,$A55,Species!$V$3:$V$302,"⚠*")&gt;0,"⚠ "&amp;COUNTIFS(Species!$A$3:$A$302,$A55,Species!$V$3:$V$302,"⚠*")&amp;" species with a warning - see Species sheet","✔ OK")))))))</f>
        <v/>
      </c>
      <c r="AI55" s="13"/>
      <c r="AJ55" s="13"/>
      <c r="AK55" s="13"/>
      <c r="AL55" s="13"/>
      <c r="AM55" s="14"/>
    </row>
    <row r="56" customFormat="false" ht="15" hidden="false" customHeight="false" outlineLevel="0" collapsed="false">
      <c r="A56" s="13"/>
      <c r="B56" s="13"/>
      <c r="C56" s="14"/>
      <c r="D56" s="14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5" t="str">
        <f aca="false">IF($A56="","",COUNTIF(Species!$A$3:$A$302,$A56))</f>
        <v/>
      </c>
      <c r="Z56" s="15" t="str">
        <f aca="false">IF($A56="","",SUMIF(Species!$A$3:$A$302,$A56,Species!$D$3:$D$302))</f>
        <v/>
      </c>
      <c r="AA56" s="16" t="str">
        <f aca="false">IF($A56="","",SUMIF(Species!$A$3:$A$302,$A56,Species!$Q$3:$Q$302))</f>
        <v/>
      </c>
      <c r="AB56" s="16" t="str">
        <f aca="false">IF($A56="","",SUMIF(Species!$A$3:$A$302,$A56,Species!$R$3:$R$302))</f>
        <v/>
      </c>
      <c r="AC56" s="16" t="str">
        <f aca="false">IF($A56="","",SUMIF(Species!$A$3:$A$302,$A56,Species!$S$3:$S$302))</f>
        <v/>
      </c>
      <c r="AD56" s="16" t="str">
        <f aca="false">IF($A56="","",SUMIF(Species!$A$3:$A$302,$A56,Species!$T$3:$T$302))</f>
        <v/>
      </c>
      <c r="AE56" s="17" t="str">
        <f aca="false">IF($A56="","",(SUM($AA56:$AD56)+IF($P56="Yes",$Q56*$O56,0))*1000*$K56/1000000)</f>
        <v/>
      </c>
      <c r="AF56" s="18" t="str">
        <f aca="false">IF($A56="","",$AE56*1000000*12/1000000000)</f>
        <v/>
      </c>
      <c r="AG56" s="18" t="str">
        <f aca="false">IF(OR($A56="",$Y56=0),"",_xlfn.MAXIFS(Species!$U$3:$U$302,Species!$A$3:$A$302,$A56))</f>
        <v/>
      </c>
      <c r="AH56" s="19" t="str">
        <f aca="false">IF($A56="","",IF($Y56=0,"⚠ no species on the Species sheet",IF(COUNTIFS(Species!$A$3:$A$302,$A56,Species!$V$3:$V$302,"✖*")&gt;0,"✖ "&amp;COUNTIFS(Species!$A$3:$A$302,$A56,Species!$V$3:$V$302,"✖*")&amp;" species saturated (brightness &gt;= frequency) - see Species sheet",IF(MIN($G56,$H56)&lt;8*$T56,"⚠ box too small laterally (&lt; 8·wr)",IF(AND($I56&gt;0,$I56&lt;3*$U56),"⚠ box too small axially (&lt; 3·wz)",IF($AF56&gt;8,"⚠ more than 8 GB per file: shorten the duration and use several files",IF(COUNTIFS(Species!$A$3:$A$302,$A56,Species!$V$3:$V$302,"⚠*")&gt;0,"⚠ "&amp;COUNTIFS(Species!$A$3:$A$302,$A56,Species!$V$3:$V$302,"⚠*")&amp;" species with a warning - see Species sheet","✔ OK")))))))</f>
        <v/>
      </c>
      <c r="AI56" s="13"/>
      <c r="AJ56" s="13"/>
      <c r="AK56" s="13"/>
      <c r="AL56" s="13"/>
      <c r="AM56" s="14"/>
    </row>
    <row r="57" customFormat="false" ht="15" hidden="false" customHeight="false" outlineLevel="0" collapsed="false">
      <c r="A57" s="13"/>
      <c r="B57" s="13"/>
      <c r="C57" s="14"/>
      <c r="D57" s="14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5" t="str">
        <f aca="false">IF($A57="","",COUNTIF(Species!$A$3:$A$302,$A57))</f>
        <v/>
      </c>
      <c r="Z57" s="15" t="str">
        <f aca="false">IF($A57="","",SUMIF(Species!$A$3:$A$302,$A57,Species!$D$3:$D$302))</f>
        <v/>
      </c>
      <c r="AA57" s="16" t="str">
        <f aca="false">IF($A57="","",SUMIF(Species!$A$3:$A$302,$A57,Species!$Q$3:$Q$302))</f>
        <v/>
      </c>
      <c r="AB57" s="16" t="str">
        <f aca="false">IF($A57="","",SUMIF(Species!$A$3:$A$302,$A57,Species!$R$3:$R$302))</f>
        <v/>
      </c>
      <c r="AC57" s="16" t="str">
        <f aca="false">IF($A57="","",SUMIF(Species!$A$3:$A$302,$A57,Species!$S$3:$S$302))</f>
        <v/>
      </c>
      <c r="AD57" s="16" t="str">
        <f aca="false">IF($A57="","",SUMIF(Species!$A$3:$A$302,$A57,Species!$T$3:$T$302))</f>
        <v/>
      </c>
      <c r="AE57" s="17" t="str">
        <f aca="false">IF($A57="","",(SUM($AA57:$AD57)+IF($P57="Yes",$Q57*$O57,0))*1000*$K57/1000000)</f>
        <v/>
      </c>
      <c r="AF57" s="18" t="str">
        <f aca="false">IF($A57="","",$AE57*1000000*12/1000000000)</f>
        <v/>
      </c>
      <c r="AG57" s="18" t="str">
        <f aca="false">IF(OR($A57="",$Y57=0),"",_xlfn.MAXIFS(Species!$U$3:$U$302,Species!$A$3:$A$302,$A57))</f>
        <v/>
      </c>
      <c r="AH57" s="19" t="str">
        <f aca="false">IF($A57="","",IF($Y57=0,"⚠ no species on the Species sheet",IF(COUNTIFS(Species!$A$3:$A$302,$A57,Species!$V$3:$V$302,"✖*")&gt;0,"✖ "&amp;COUNTIFS(Species!$A$3:$A$302,$A57,Species!$V$3:$V$302,"✖*")&amp;" species saturated (brightness &gt;= frequency) - see Species sheet",IF(MIN($G57,$H57)&lt;8*$T57,"⚠ box too small laterally (&lt; 8·wr)",IF(AND($I57&gt;0,$I57&lt;3*$U57),"⚠ box too small axially (&lt; 3·wz)",IF($AF57&gt;8,"⚠ more than 8 GB per file: shorten the duration and use several files",IF(COUNTIFS(Species!$A$3:$A$302,$A57,Species!$V$3:$V$302,"⚠*")&gt;0,"⚠ "&amp;COUNTIFS(Species!$A$3:$A$302,$A57,Species!$V$3:$V$302,"⚠*")&amp;" species with a warning - see Species sheet","✔ OK")))))))</f>
        <v/>
      </c>
      <c r="AI57" s="13"/>
      <c r="AJ57" s="13"/>
      <c r="AK57" s="13"/>
      <c r="AL57" s="13"/>
      <c r="AM57" s="14"/>
    </row>
    <row r="58" customFormat="false" ht="15" hidden="false" customHeight="false" outlineLevel="0" collapsed="false">
      <c r="A58" s="13"/>
      <c r="B58" s="13"/>
      <c r="C58" s="14"/>
      <c r="D58" s="14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5" t="str">
        <f aca="false">IF($A58="","",COUNTIF(Species!$A$3:$A$302,$A58))</f>
        <v/>
      </c>
      <c r="Z58" s="15" t="str">
        <f aca="false">IF($A58="","",SUMIF(Species!$A$3:$A$302,$A58,Species!$D$3:$D$302))</f>
        <v/>
      </c>
      <c r="AA58" s="16" t="str">
        <f aca="false">IF($A58="","",SUMIF(Species!$A$3:$A$302,$A58,Species!$Q$3:$Q$302))</f>
        <v/>
      </c>
      <c r="AB58" s="16" t="str">
        <f aca="false">IF($A58="","",SUMIF(Species!$A$3:$A$302,$A58,Species!$R$3:$R$302))</f>
        <v/>
      </c>
      <c r="AC58" s="16" t="str">
        <f aca="false">IF($A58="","",SUMIF(Species!$A$3:$A$302,$A58,Species!$S$3:$S$302))</f>
        <v/>
      </c>
      <c r="AD58" s="16" t="str">
        <f aca="false">IF($A58="","",SUMIF(Species!$A$3:$A$302,$A58,Species!$T$3:$T$302))</f>
        <v/>
      </c>
      <c r="AE58" s="17" t="str">
        <f aca="false">IF($A58="","",(SUM($AA58:$AD58)+IF($P58="Yes",$Q58*$O58,0))*1000*$K58/1000000)</f>
        <v/>
      </c>
      <c r="AF58" s="18" t="str">
        <f aca="false">IF($A58="","",$AE58*1000000*12/1000000000)</f>
        <v/>
      </c>
      <c r="AG58" s="18" t="str">
        <f aca="false">IF(OR($A58="",$Y58=0),"",_xlfn.MAXIFS(Species!$U$3:$U$302,Species!$A$3:$A$302,$A58))</f>
        <v/>
      </c>
      <c r="AH58" s="19" t="str">
        <f aca="false">IF($A58="","",IF($Y58=0,"⚠ no species on the Species sheet",IF(COUNTIFS(Species!$A$3:$A$302,$A58,Species!$V$3:$V$302,"✖*")&gt;0,"✖ "&amp;COUNTIFS(Species!$A$3:$A$302,$A58,Species!$V$3:$V$302,"✖*")&amp;" species saturated (brightness &gt;= frequency) - see Species sheet",IF(MIN($G58,$H58)&lt;8*$T58,"⚠ box too small laterally (&lt; 8·wr)",IF(AND($I58&gt;0,$I58&lt;3*$U58),"⚠ box too small axially (&lt; 3·wz)",IF($AF58&gt;8,"⚠ more than 8 GB per file: shorten the duration and use several files",IF(COUNTIFS(Species!$A$3:$A$302,$A58,Species!$V$3:$V$302,"⚠*")&gt;0,"⚠ "&amp;COUNTIFS(Species!$A$3:$A$302,$A58,Species!$V$3:$V$302,"⚠*")&amp;" species with a warning - see Species sheet","✔ OK")))))))</f>
        <v/>
      </c>
      <c r="AI58" s="13"/>
      <c r="AJ58" s="13"/>
      <c r="AK58" s="13"/>
      <c r="AL58" s="13"/>
      <c r="AM58" s="14"/>
    </row>
    <row r="59" customFormat="false" ht="15" hidden="false" customHeight="false" outlineLevel="0" collapsed="false">
      <c r="A59" s="13"/>
      <c r="B59" s="13"/>
      <c r="C59" s="14"/>
      <c r="D59" s="14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5" t="str">
        <f aca="false">IF($A59="","",COUNTIF(Species!$A$3:$A$302,$A59))</f>
        <v/>
      </c>
      <c r="Z59" s="15" t="str">
        <f aca="false">IF($A59="","",SUMIF(Species!$A$3:$A$302,$A59,Species!$D$3:$D$302))</f>
        <v/>
      </c>
      <c r="AA59" s="16" t="str">
        <f aca="false">IF($A59="","",SUMIF(Species!$A$3:$A$302,$A59,Species!$Q$3:$Q$302))</f>
        <v/>
      </c>
      <c r="AB59" s="16" t="str">
        <f aca="false">IF($A59="","",SUMIF(Species!$A$3:$A$302,$A59,Species!$R$3:$R$302))</f>
        <v/>
      </c>
      <c r="AC59" s="16" t="str">
        <f aca="false">IF($A59="","",SUMIF(Species!$A$3:$A$302,$A59,Species!$S$3:$S$302))</f>
        <v/>
      </c>
      <c r="AD59" s="16" t="str">
        <f aca="false">IF($A59="","",SUMIF(Species!$A$3:$A$302,$A59,Species!$T$3:$T$302))</f>
        <v/>
      </c>
      <c r="AE59" s="17" t="str">
        <f aca="false">IF($A59="","",(SUM($AA59:$AD59)+IF($P59="Yes",$Q59*$O59,0))*1000*$K59/1000000)</f>
        <v/>
      </c>
      <c r="AF59" s="18" t="str">
        <f aca="false">IF($A59="","",$AE59*1000000*12/1000000000)</f>
        <v/>
      </c>
      <c r="AG59" s="18" t="str">
        <f aca="false">IF(OR($A59="",$Y59=0),"",_xlfn.MAXIFS(Species!$U$3:$U$302,Species!$A$3:$A$302,$A59))</f>
        <v/>
      </c>
      <c r="AH59" s="19" t="str">
        <f aca="false">IF($A59="","",IF($Y59=0,"⚠ no species on the Species sheet",IF(COUNTIFS(Species!$A$3:$A$302,$A59,Species!$V$3:$V$302,"✖*")&gt;0,"✖ "&amp;COUNTIFS(Species!$A$3:$A$302,$A59,Species!$V$3:$V$302,"✖*")&amp;" species saturated (brightness &gt;= frequency) - see Species sheet",IF(MIN($G59,$H59)&lt;8*$T59,"⚠ box too small laterally (&lt; 8·wr)",IF(AND($I59&gt;0,$I59&lt;3*$U59),"⚠ box too small axially (&lt; 3·wz)",IF($AF59&gt;8,"⚠ more than 8 GB per file: shorten the duration and use several files",IF(COUNTIFS(Species!$A$3:$A$302,$A59,Species!$V$3:$V$302,"⚠*")&gt;0,"⚠ "&amp;COUNTIFS(Species!$A$3:$A$302,$A59,Species!$V$3:$V$302,"⚠*")&amp;" species with a warning - see Species sheet","✔ OK")))))))</f>
        <v/>
      </c>
      <c r="AI59" s="13"/>
      <c r="AJ59" s="13"/>
      <c r="AK59" s="13"/>
      <c r="AL59" s="13"/>
      <c r="AM59" s="14"/>
    </row>
    <row r="60" customFormat="false" ht="15" hidden="false" customHeight="false" outlineLevel="0" collapsed="false">
      <c r="A60" s="13"/>
      <c r="B60" s="13"/>
      <c r="C60" s="14"/>
      <c r="D60" s="14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5" t="str">
        <f aca="false">IF($A60="","",COUNTIF(Species!$A$3:$A$302,$A60))</f>
        <v/>
      </c>
      <c r="Z60" s="15" t="str">
        <f aca="false">IF($A60="","",SUMIF(Species!$A$3:$A$302,$A60,Species!$D$3:$D$302))</f>
        <v/>
      </c>
      <c r="AA60" s="16" t="str">
        <f aca="false">IF($A60="","",SUMIF(Species!$A$3:$A$302,$A60,Species!$Q$3:$Q$302))</f>
        <v/>
      </c>
      <c r="AB60" s="16" t="str">
        <f aca="false">IF($A60="","",SUMIF(Species!$A$3:$A$302,$A60,Species!$R$3:$R$302))</f>
        <v/>
      </c>
      <c r="AC60" s="16" t="str">
        <f aca="false">IF($A60="","",SUMIF(Species!$A$3:$A$302,$A60,Species!$S$3:$S$302))</f>
        <v/>
      </c>
      <c r="AD60" s="16" t="str">
        <f aca="false">IF($A60="","",SUMIF(Species!$A$3:$A$302,$A60,Species!$T$3:$T$302))</f>
        <v/>
      </c>
      <c r="AE60" s="17" t="str">
        <f aca="false">IF($A60="","",(SUM($AA60:$AD60)+IF($P60="Yes",$Q60*$O60,0))*1000*$K60/1000000)</f>
        <v/>
      </c>
      <c r="AF60" s="18" t="str">
        <f aca="false">IF($A60="","",$AE60*1000000*12/1000000000)</f>
        <v/>
      </c>
      <c r="AG60" s="18" t="str">
        <f aca="false">IF(OR($A60="",$Y60=0),"",_xlfn.MAXIFS(Species!$U$3:$U$302,Species!$A$3:$A$302,$A60))</f>
        <v/>
      </c>
      <c r="AH60" s="19" t="str">
        <f aca="false">IF($A60="","",IF($Y60=0,"⚠ no species on the Species sheet",IF(COUNTIFS(Species!$A$3:$A$302,$A60,Species!$V$3:$V$302,"✖*")&gt;0,"✖ "&amp;COUNTIFS(Species!$A$3:$A$302,$A60,Species!$V$3:$V$302,"✖*")&amp;" species saturated (brightness &gt;= frequency) - see Species sheet",IF(MIN($G60,$H60)&lt;8*$T60,"⚠ box too small laterally (&lt; 8·wr)",IF(AND($I60&gt;0,$I60&lt;3*$U60),"⚠ box too small axially (&lt; 3·wz)",IF($AF60&gt;8,"⚠ more than 8 GB per file: shorten the duration and use several files",IF(COUNTIFS(Species!$A$3:$A$302,$A60,Species!$V$3:$V$302,"⚠*")&gt;0,"⚠ "&amp;COUNTIFS(Species!$A$3:$A$302,$A60,Species!$V$3:$V$302,"⚠*")&amp;" species with a warning - see Species sheet","✔ OK")))))))</f>
        <v/>
      </c>
      <c r="AI60" s="13"/>
      <c r="AJ60" s="13"/>
      <c r="AK60" s="13"/>
      <c r="AL60" s="13"/>
      <c r="AM60" s="14"/>
    </row>
    <row r="61" customFormat="false" ht="15" hidden="false" customHeight="false" outlineLevel="0" collapsed="false">
      <c r="A61" s="13"/>
      <c r="B61" s="13"/>
      <c r="C61" s="14"/>
      <c r="D61" s="14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5" t="str">
        <f aca="false">IF($A61="","",COUNTIF(Species!$A$3:$A$302,$A61))</f>
        <v/>
      </c>
      <c r="Z61" s="15" t="str">
        <f aca="false">IF($A61="","",SUMIF(Species!$A$3:$A$302,$A61,Species!$D$3:$D$302))</f>
        <v/>
      </c>
      <c r="AA61" s="16" t="str">
        <f aca="false">IF($A61="","",SUMIF(Species!$A$3:$A$302,$A61,Species!$Q$3:$Q$302))</f>
        <v/>
      </c>
      <c r="AB61" s="16" t="str">
        <f aca="false">IF($A61="","",SUMIF(Species!$A$3:$A$302,$A61,Species!$R$3:$R$302))</f>
        <v/>
      </c>
      <c r="AC61" s="16" t="str">
        <f aca="false">IF($A61="","",SUMIF(Species!$A$3:$A$302,$A61,Species!$S$3:$S$302))</f>
        <v/>
      </c>
      <c r="AD61" s="16" t="str">
        <f aca="false">IF($A61="","",SUMIF(Species!$A$3:$A$302,$A61,Species!$T$3:$T$302))</f>
        <v/>
      </c>
      <c r="AE61" s="17" t="str">
        <f aca="false">IF($A61="","",(SUM($AA61:$AD61)+IF($P61="Yes",$Q61*$O61,0))*1000*$K61/1000000)</f>
        <v/>
      </c>
      <c r="AF61" s="18" t="str">
        <f aca="false">IF($A61="","",$AE61*1000000*12/1000000000)</f>
        <v/>
      </c>
      <c r="AG61" s="18" t="str">
        <f aca="false">IF(OR($A61="",$Y61=0),"",_xlfn.MAXIFS(Species!$U$3:$U$302,Species!$A$3:$A$302,$A61))</f>
        <v/>
      </c>
      <c r="AH61" s="19" t="str">
        <f aca="false">IF($A61="","",IF($Y61=0,"⚠ no species on the Species sheet",IF(COUNTIFS(Species!$A$3:$A$302,$A61,Species!$V$3:$V$302,"✖*")&gt;0,"✖ "&amp;COUNTIFS(Species!$A$3:$A$302,$A61,Species!$V$3:$V$302,"✖*")&amp;" species saturated (brightness &gt;= frequency) - see Species sheet",IF(MIN($G61,$H61)&lt;8*$T61,"⚠ box too small laterally (&lt; 8·wr)",IF(AND($I61&gt;0,$I61&lt;3*$U61),"⚠ box too small axially (&lt; 3·wz)",IF($AF61&gt;8,"⚠ more than 8 GB per file: shorten the duration and use several files",IF(COUNTIFS(Species!$A$3:$A$302,$A61,Species!$V$3:$V$302,"⚠*")&gt;0,"⚠ "&amp;COUNTIFS(Species!$A$3:$A$302,$A61,Species!$V$3:$V$302,"⚠*")&amp;" species with a warning - see Species sheet","✔ OK")))))))</f>
        <v/>
      </c>
      <c r="AI61" s="13"/>
      <c r="AJ61" s="13"/>
      <c r="AK61" s="13"/>
      <c r="AL61" s="13"/>
      <c r="AM61" s="14"/>
    </row>
    <row r="62" customFormat="false" ht="15" hidden="false" customHeight="false" outlineLevel="0" collapsed="false">
      <c r="A62" s="13"/>
      <c r="B62" s="13"/>
      <c r="C62" s="14"/>
      <c r="D62" s="14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5" t="str">
        <f aca="false">IF($A62="","",COUNTIF(Species!$A$3:$A$302,$A62))</f>
        <v/>
      </c>
      <c r="Z62" s="15" t="str">
        <f aca="false">IF($A62="","",SUMIF(Species!$A$3:$A$302,$A62,Species!$D$3:$D$302))</f>
        <v/>
      </c>
      <c r="AA62" s="16" t="str">
        <f aca="false">IF($A62="","",SUMIF(Species!$A$3:$A$302,$A62,Species!$Q$3:$Q$302))</f>
        <v/>
      </c>
      <c r="AB62" s="16" t="str">
        <f aca="false">IF($A62="","",SUMIF(Species!$A$3:$A$302,$A62,Species!$R$3:$R$302))</f>
        <v/>
      </c>
      <c r="AC62" s="16" t="str">
        <f aca="false">IF($A62="","",SUMIF(Species!$A$3:$A$302,$A62,Species!$S$3:$S$302))</f>
        <v/>
      </c>
      <c r="AD62" s="16" t="str">
        <f aca="false">IF($A62="","",SUMIF(Species!$A$3:$A$302,$A62,Species!$T$3:$T$302))</f>
        <v/>
      </c>
      <c r="AE62" s="17" t="str">
        <f aca="false">IF($A62="","",(SUM($AA62:$AD62)+IF($P62="Yes",$Q62*$O62,0))*1000*$K62/1000000)</f>
        <v/>
      </c>
      <c r="AF62" s="18" t="str">
        <f aca="false">IF($A62="","",$AE62*1000000*12/1000000000)</f>
        <v/>
      </c>
      <c r="AG62" s="18" t="str">
        <f aca="false">IF(OR($A62="",$Y62=0),"",_xlfn.MAXIFS(Species!$U$3:$U$302,Species!$A$3:$A$302,$A62))</f>
        <v/>
      </c>
      <c r="AH62" s="19" t="str">
        <f aca="false">IF($A62="","",IF($Y62=0,"⚠ no species on the Species sheet",IF(COUNTIFS(Species!$A$3:$A$302,$A62,Species!$V$3:$V$302,"✖*")&gt;0,"✖ "&amp;COUNTIFS(Species!$A$3:$A$302,$A62,Species!$V$3:$V$302,"✖*")&amp;" species saturated (brightness &gt;= frequency) - see Species sheet",IF(MIN($G62,$H62)&lt;8*$T62,"⚠ box too small laterally (&lt; 8·wr)",IF(AND($I62&gt;0,$I62&lt;3*$U62),"⚠ box too small axially (&lt; 3·wz)",IF($AF62&gt;8,"⚠ more than 8 GB per file: shorten the duration and use several files",IF(COUNTIFS(Species!$A$3:$A$302,$A62,Species!$V$3:$V$302,"⚠*")&gt;0,"⚠ "&amp;COUNTIFS(Species!$A$3:$A$302,$A62,Species!$V$3:$V$302,"⚠*")&amp;" species with a warning - see Species sheet","✔ OK")))))))</f>
        <v/>
      </c>
      <c r="AI62" s="13"/>
      <c r="AJ62" s="13"/>
      <c r="AK62" s="13"/>
      <c r="AL62" s="13"/>
      <c r="AM62" s="14"/>
    </row>
  </sheetData>
  <autoFilter ref="A2:AM62"/>
  <mergeCells count="6">
    <mergeCell ref="A1:F1"/>
    <mergeCell ref="G1:S1"/>
    <mergeCell ref="T1:U1"/>
    <mergeCell ref="V1:X1"/>
    <mergeCell ref="Y1:AH1"/>
    <mergeCell ref="AI1:AM1"/>
  </mergeCells>
  <conditionalFormatting sqref="AH3:AH62">
    <cfRule type="expression" priority="2" aboveAverage="0" equalAverage="0" bottom="0" percent="0" rank="0" text="" dxfId="10">
      <formula>LEFT($AH3,1)="✖"</formula>
    </cfRule>
    <cfRule type="expression" priority="3" aboveAverage="0" equalAverage="0" bottom="0" percent="0" rank="0" text="" dxfId="11">
      <formula>LEFT($AH3,1)="⚠"</formula>
    </cfRule>
    <cfRule type="expression" priority="4" aboveAverage="0" equalAverage="0" bottom="0" percent="0" rank="0" text="" dxfId="12">
      <formula>LEFT($AH3,1)="✔"</formula>
    </cfRule>
  </conditionalFormatting>
  <conditionalFormatting sqref="E3:E62">
    <cfRule type="expression" priority="5" aboveAverage="0" equalAverage="0" bottom="0" percent="0" rank="0" text="" dxfId="13">
      <formula>$E3="Done"</formula>
    </cfRule>
    <cfRule type="expression" priority="6" aboveAverage="0" equalAverage="0" bottom="0" percent="0" rank="0" text="" dxfId="14">
      <formula>$E3="Analysed"</formula>
    </cfRule>
    <cfRule type="expression" priority="7" aboveAverage="0" equalAverage="0" bottom="0" percent="0" rank="0" text="" dxfId="15">
      <formula>$E3="Running"</formula>
    </cfRule>
    <cfRule type="expression" priority="8" aboveAverage="0" equalAverage="0" bottom="0" percent="0" rank="0" text="" dxfId="16">
      <formula>$E3="Discarded"</formula>
    </cfRule>
  </conditionalFormatting>
  <dataValidations count="7">
    <dataValidation allowBlank="true" errorStyle="stop" operator="between" showDropDown="false" showErrorMessage="false" showInputMessage="false" sqref="E3:E62" type="list">
      <formula1>Lists!$A$2:$A$7</formula1>
      <formula2>0</formula2>
    </dataValidation>
    <dataValidation allowBlank="true" errorStyle="stop" operator="between" showDropDown="false" showErrorMessage="false" showInputMessage="false" sqref="N3:N62" type="list">
      <formula1>Lists!$B$2:$B$5</formula1>
      <formula2>0</formula2>
    </dataValidation>
    <dataValidation allowBlank="true" errorStyle="stop" operator="between" showDropDown="false" showErrorMessage="false" showInputMessage="false" sqref="P3:P62" type="list">
      <formula1>Lists!$C$2:$C$3</formula1>
      <formula2>0</formula2>
    </dataValidation>
    <dataValidation allowBlank="true" errorStyle="stop" operator="between" showDropDown="false" showErrorMessage="false" showInputMessage="false" sqref="R3:R62" type="list">
      <formula1>Lists!$C$2:$C$3</formula1>
      <formula2>0</formula2>
    </dataValidation>
    <dataValidation allowBlank="true" errorStyle="stop" operator="between" showDropDown="false" showErrorMessage="false" showInputMessage="false" sqref="X3:X62" type="list">
      <formula1>Lists!$E$2:$E$4</formula1>
      <formula2>0</formula2>
    </dataValidation>
    <dataValidation allowBlank="true" error="Colours must be 1-4" errorStyle="stop" operator="between" showDropDown="false" showErrorMessage="false" showInputMessage="false" sqref="O3:O62" type="whole">
      <formula1>1</formula1>
      <formula2>4</formula2>
    </dataValidation>
    <dataValidation allowBlank="true" error="Must be &gt; 0" errorStyle="stop" operator="greaterThan" showDropDown="false" showErrorMessage="false" showInputMessage="false" sqref="G3:H62 J3:K62 T3:U62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9"/>
    <col collapsed="false" customWidth="true" hidden="false" outlineLevel="0" max="8" min="4" style="0" width="10"/>
    <col collapsed="false" customWidth="true" hidden="false" outlineLevel="0" max="12" min="9" style="0" width="8"/>
    <col collapsed="false" customWidth="true" hidden="false" outlineLevel="0" max="13" min="13" style="0" width="11"/>
    <col collapsed="false" customWidth="true" hidden="false" outlineLevel="0" max="14" min="14" style="0" width="30"/>
    <col collapsed="false" customWidth="true" hidden="false" outlineLevel="0" max="15" min="15" style="0" width="9"/>
    <col collapsed="false" customWidth="true" hidden="false" outlineLevel="0" max="20" min="16" style="0" width="10"/>
    <col collapsed="false" customWidth="true" hidden="false" outlineLevel="0" max="21" min="21" style="0" width="9"/>
    <col collapsed="false" customWidth="true" hidden="false" outlineLevel="0" max="22" min="22" style="0" width="46"/>
  </cols>
  <sheetData>
    <row r="1" customFormat="false" ht="15" hidden="false" customHeight="false" outlineLevel="0" collapsed="false">
      <c r="A1" s="6" t="s">
        <v>109</v>
      </c>
      <c r="B1" s="6"/>
      <c r="C1" s="7" t="s">
        <v>110</v>
      </c>
      <c r="D1" s="7"/>
      <c r="E1" s="8" t="s">
        <v>111</v>
      </c>
      <c r="F1" s="8"/>
      <c r="G1" s="8"/>
      <c r="H1" s="8"/>
      <c r="I1" s="9" t="s">
        <v>112</v>
      </c>
      <c r="J1" s="9"/>
      <c r="K1" s="9"/>
      <c r="L1" s="9"/>
      <c r="M1" s="7" t="s">
        <v>113</v>
      </c>
      <c r="N1" s="7"/>
      <c r="O1" s="10" t="s">
        <v>26</v>
      </c>
      <c r="P1" s="10"/>
      <c r="Q1" s="10"/>
      <c r="R1" s="10"/>
      <c r="S1" s="10"/>
      <c r="T1" s="10"/>
      <c r="U1" s="10"/>
      <c r="V1" s="10"/>
    </row>
    <row r="2" customFormat="false" ht="42" hidden="false" customHeight="true" outlineLevel="0" collapsed="false">
      <c r="A2" s="12" t="s">
        <v>28</v>
      </c>
      <c r="B2" s="12" t="s">
        <v>114</v>
      </c>
      <c r="C2" s="12" t="s">
        <v>115</v>
      </c>
      <c r="D2" s="12" t="s">
        <v>116</v>
      </c>
      <c r="E2" s="12" t="s">
        <v>117</v>
      </c>
      <c r="F2" s="12" t="s">
        <v>118</v>
      </c>
      <c r="G2" s="12" t="s">
        <v>119</v>
      </c>
      <c r="H2" s="12" t="s">
        <v>120</v>
      </c>
      <c r="I2" s="12" t="s">
        <v>121</v>
      </c>
      <c r="J2" s="12" t="s">
        <v>122</v>
      </c>
      <c r="K2" s="12" t="s">
        <v>123</v>
      </c>
      <c r="L2" s="12" t="s">
        <v>124</v>
      </c>
      <c r="M2" s="12" t="s">
        <v>125</v>
      </c>
      <c r="N2" s="12" t="s">
        <v>126</v>
      </c>
      <c r="O2" s="12" t="s">
        <v>127</v>
      </c>
      <c r="P2" s="12" t="s">
        <v>128</v>
      </c>
      <c r="Q2" s="12" t="s">
        <v>54</v>
      </c>
      <c r="R2" s="12" t="s">
        <v>55</v>
      </c>
      <c r="S2" s="12" t="s">
        <v>56</v>
      </c>
      <c r="T2" s="12" t="s">
        <v>57</v>
      </c>
      <c r="U2" s="12" t="s">
        <v>129</v>
      </c>
      <c r="V2" s="12" t="s">
        <v>61</v>
      </c>
    </row>
    <row r="3" customFormat="false" ht="15" hidden="false" customHeight="false" outlineLevel="0" collapsed="false">
      <c r="A3" s="13" t="s">
        <v>67</v>
      </c>
      <c r="B3" s="13" t="s">
        <v>130</v>
      </c>
      <c r="C3" s="13" t="n">
        <v>35</v>
      </c>
      <c r="D3" s="13" t="n">
        <v>1000</v>
      </c>
      <c r="E3" s="13" t="n">
        <v>100</v>
      </c>
      <c r="F3" s="13" t="n">
        <v>70</v>
      </c>
      <c r="G3" s="13" t="n">
        <v>50</v>
      </c>
      <c r="H3" s="13" t="n">
        <v>0</v>
      </c>
      <c r="I3" s="13" t="n">
        <v>4</v>
      </c>
      <c r="J3" s="13" t="n">
        <v>3</v>
      </c>
      <c r="K3" s="13" t="n">
        <v>2</v>
      </c>
      <c r="L3" s="13" t="n">
        <v>2</v>
      </c>
      <c r="M3" s="13" t="s">
        <v>131</v>
      </c>
      <c r="N3" s="14"/>
      <c r="O3" s="18" t="n">
        <f aca="false">IF(OR($A3="",ISNA(MATCH($A3,Simulations!$A$3:$A$62,0))),"",IF(INDEX(Simulations!$I$3:$I$62,MATCH($A3,Simulations!$A$3:$A$62,0))&gt;0,$D3/(INDEX(Simulations!$G$3:$G$62,MATCH($A3,Simulations!$A$3:$A$62,0))*INDEX(Simulations!$H$3:$H$62,MATCH($A3,Simulations!$A$3:$A$62,0))*IF(INDEX(Simulations!$I$3:$I$62,MATCH($A3,Simulations!$A$3:$A$62,0))&gt;0,INDEX(Simulations!$I$3:$I$62,MATCH($A3,Simulations!$A$3:$A$62,0)),1))/1E-024/6.022E+023/0.000000001,""))</f>
        <v>13.284623048821</v>
      </c>
      <c r="P3" s="20" t="n">
        <f aca="false">IF(OR($A3="",ISNA(MATCH($A3,Simulations!$A$3:$A$62,0))),"",MAX($E3:$H3)/INDEX(Simulations!$J$3:$J$62,MATCH($A3,Simulations!$A$3:$A$62,0)))</f>
        <v>0.1</v>
      </c>
      <c r="Q3" s="16" t="n">
        <f aca="false">IF(OR($A3="",ISNA(MATCH($A3,Simulations!$A$3:$A$62,0))),"",IF(N($E3)&lt;=0,0,IF($E3&lt;INDEX(Simulations!$J$3:$J$62,MATCH($A3,Simulations!$A$3:$A$62,0)),$D3/(INDEX(Simulations!$G$3:$G$62,MATCH($A3,Simulations!$A$3:$A$62,0))*INDEX(Simulations!$H$3:$H$62,MATCH($A3,Simulations!$A$3:$A$62,0))*IF(INDEX(Simulations!$I$3:$I$62,MATCH($A3,Simulations!$A$3:$A$62,0))&gt;0,INDEX(Simulations!$I$3:$I$62,MATCH($A3,Simulations!$A$3:$A$62,0)),1))*$E3*(PI()/2*INDEX(Simulations!$T$3:$T$62,MATCH($A3,Simulations!$A$3:$A$62,0))^2*IF(INDEX(Simulations!$I$3:$I$62,MATCH($A3,Simulations!$A$3:$A$62,0))&gt;0,SQRT(PI()/2)*INDEX(Simulations!$U$3:$U$62,MATCH($A3,Simulations!$A$3:$A$62,0)),1)),$D3/(INDEX(Simulations!$G$3:$G$62,MATCH($A3,Simulations!$A$3:$A$62,0))*INDEX(Simulations!$H$3:$H$62,MATCH($A3,Simulations!$A$3:$A$62,0))*IF(INDEX(Simulations!$I$3:$I$62,MATCH($A3,Simulations!$A$3:$A$62,0))&gt;0,INDEX(Simulations!$I$3:$I$62,MATCH($A3,Simulations!$A$3:$A$62,0)),1))*INDEX(Simulations!$J$3:$J$62,MATCH($A3,Simulations!$A$3:$A$62,0))*IF(INDEX(Simulations!$I$3:$I$62,MATCH($A3,Simulations!$A$3:$A$62,0))&gt;0,2*PI()*INDEX(Simulations!$T$3:$T$62,MATCH($A3,Simulations!$A$3:$A$62,0))^2*INDEX(Simulations!$U$3:$U$62,MATCH($A3,Simulations!$A$3:$A$62,0))/2^1.5*(2/3*LN($E3/INDEX(Simulations!$J$3:$J$62,MATCH($A3,Simulations!$A$3:$A$62,0)))^1.5+SQRT(LN($E3/INDEX(Simulations!$J$3:$J$62,MATCH($A3,Simulations!$A$3:$A$62,0))))+$E3/INDEX(Simulations!$J$3:$J$62,MATCH($A3,Simulations!$A$3:$A$62,0))*SQRT(PI())/2*ERFC(SQRT(LN($E3/INDEX(Simulations!$J$3:$J$62,MATCH($A3,Simulations!$A$3:$A$62,0)))))),PI()*INDEX(Simulations!$T$3:$T$62,MATCH($A3,Simulations!$A$3:$A$62,0))^2/2*(LN($E3/INDEX(Simulations!$J$3:$J$62,MATCH($A3,Simulations!$A$3:$A$62,0)))+1)))))</f>
        <v>62.9984397828897</v>
      </c>
      <c r="R3" s="16" t="n">
        <f aca="false">IF(OR($A3="",ISNA(MATCH($A3,Simulations!$A$3:$A$62,0))),"",IF(N($F3)&lt;=0,0,IF($F3&lt;INDEX(Simulations!$J$3:$J$62,MATCH($A3,Simulations!$A$3:$A$62,0)),$D3/(INDEX(Simulations!$G$3:$G$62,MATCH($A3,Simulations!$A$3:$A$62,0))*INDEX(Simulations!$H$3:$H$62,MATCH($A3,Simulations!$A$3:$A$62,0))*IF(INDEX(Simulations!$I$3:$I$62,MATCH($A3,Simulations!$A$3:$A$62,0))&gt;0,INDEX(Simulations!$I$3:$I$62,MATCH($A3,Simulations!$A$3:$A$62,0)),1))*$F3*(PI()/2*INDEX(Simulations!$T$3:$T$62,MATCH($A3,Simulations!$A$3:$A$62,0))^2*IF(INDEX(Simulations!$I$3:$I$62,MATCH($A3,Simulations!$A$3:$A$62,0))&gt;0,SQRT(PI()/2)*INDEX(Simulations!$U$3:$U$62,MATCH($A3,Simulations!$A$3:$A$62,0)),1)),$D3/(INDEX(Simulations!$G$3:$G$62,MATCH($A3,Simulations!$A$3:$A$62,0))*INDEX(Simulations!$H$3:$H$62,MATCH($A3,Simulations!$A$3:$A$62,0))*IF(INDEX(Simulations!$I$3:$I$62,MATCH($A3,Simulations!$A$3:$A$62,0))&gt;0,INDEX(Simulations!$I$3:$I$62,MATCH($A3,Simulations!$A$3:$A$62,0)),1))*INDEX(Simulations!$J$3:$J$62,MATCH($A3,Simulations!$A$3:$A$62,0))*IF(INDEX(Simulations!$I$3:$I$62,MATCH($A3,Simulations!$A$3:$A$62,0))&gt;0,2*PI()*INDEX(Simulations!$T$3:$T$62,MATCH($A3,Simulations!$A$3:$A$62,0))^2*INDEX(Simulations!$U$3:$U$62,MATCH($A3,Simulations!$A$3:$A$62,0))/2^1.5*(2/3*LN($F3/INDEX(Simulations!$J$3:$J$62,MATCH($A3,Simulations!$A$3:$A$62,0)))^1.5+SQRT(LN($F3/INDEX(Simulations!$J$3:$J$62,MATCH($A3,Simulations!$A$3:$A$62,0))))+$F3/INDEX(Simulations!$J$3:$J$62,MATCH($A3,Simulations!$A$3:$A$62,0))*SQRT(PI())/2*ERFC(SQRT(LN($F3/INDEX(Simulations!$J$3:$J$62,MATCH($A3,Simulations!$A$3:$A$62,0)))))),PI()*INDEX(Simulations!$T$3:$T$62,MATCH($A3,Simulations!$A$3:$A$62,0))^2/2*(LN($F3/INDEX(Simulations!$J$3:$J$62,MATCH($A3,Simulations!$A$3:$A$62,0)))+1)))))</f>
        <v>44.0989078480228</v>
      </c>
      <c r="S3" s="16" t="n">
        <f aca="false">IF(OR($A3="",ISNA(MATCH($A3,Simulations!$A$3:$A$62,0))),"",IF(N($G3)&lt;=0,0,IF($G3&lt;INDEX(Simulations!$J$3:$J$62,MATCH($A3,Simulations!$A$3:$A$62,0)),$D3/(INDEX(Simulations!$G$3:$G$62,MATCH($A3,Simulations!$A$3:$A$62,0))*INDEX(Simulations!$H$3:$H$62,MATCH($A3,Simulations!$A$3:$A$62,0))*IF(INDEX(Simulations!$I$3:$I$62,MATCH($A3,Simulations!$A$3:$A$62,0))&gt;0,INDEX(Simulations!$I$3:$I$62,MATCH($A3,Simulations!$A$3:$A$62,0)),1))*$G3*(PI()/2*INDEX(Simulations!$T$3:$T$62,MATCH($A3,Simulations!$A$3:$A$62,0))^2*IF(INDEX(Simulations!$I$3:$I$62,MATCH($A3,Simulations!$A$3:$A$62,0))&gt;0,SQRT(PI()/2)*INDEX(Simulations!$U$3:$U$62,MATCH($A3,Simulations!$A$3:$A$62,0)),1)),$D3/(INDEX(Simulations!$G$3:$G$62,MATCH($A3,Simulations!$A$3:$A$62,0))*INDEX(Simulations!$H$3:$H$62,MATCH($A3,Simulations!$A$3:$A$62,0))*IF(INDEX(Simulations!$I$3:$I$62,MATCH($A3,Simulations!$A$3:$A$62,0))&gt;0,INDEX(Simulations!$I$3:$I$62,MATCH($A3,Simulations!$A$3:$A$62,0)),1))*INDEX(Simulations!$J$3:$J$62,MATCH($A3,Simulations!$A$3:$A$62,0))*IF(INDEX(Simulations!$I$3:$I$62,MATCH($A3,Simulations!$A$3:$A$62,0))&gt;0,2*PI()*INDEX(Simulations!$T$3:$T$62,MATCH($A3,Simulations!$A$3:$A$62,0))^2*INDEX(Simulations!$U$3:$U$62,MATCH($A3,Simulations!$A$3:$A$62,0))/2^1.5*(2/3*LN($G3/INDEX(Simulations!$J$3:$J$62,MATCH($A3,Simulations!$A$3:$A$62,0)))^1.5+SQRT(LN($G3/INDEX(Simulations!$J$3:$J$62,MATCH($A3,Simulations!$A$3:$A$62,0))))+$G3/INDEX(Simulations!$J$3:$J$62,MATCH($A3,Simulations!$A$3:$A$62,0))*SQRT(PI())/2*ERFC(SQRT(LN($G3/INDEX(Simulations!$J$3:$J$62,MATCH($A3,Simulations!$A$3:$A$62,0)))))),PI()*INDEX(Simulations!$T$3:$T$62,MATCH($A3,Simulations!$A$3:$A$62,0))^2/2*(LN($G3/INDEX(Simulations!$J$3:$J$62,MATCH($A3,Simulations!$A$3:$A$62,0)))+1)))))</f>
        <v>31.4992198914448</v>
      </c>
      <c r="T3" s="16" t="n">
        <f aca="false">IF(OR($A3="",ISNA(MATCH($A3,Simulations!$A$3:$A$62,0))),"",IF(N($H3)&lt;=0,0,IF($H3&lt;INDEX(Simulations!$J$3:$J$62,MATCH($A3,Simulations!$A$3:$A$62,0)),$D3/(INDEX(Simulations!$G$3:$G$62,MATCH($A3,Simulations!$A$3:$A$62,0))*INDEX(Simulations!$H$3:$H$62,MATCH($A3,Simulations!$A$3:$A$62,0))*IF(INDEX(Simulations!$I$3:$I$62,MATCH($A3,Simulations!$A$3:$A$62,0))&gt;0,INDEX(Simulations!$I$3:$I$62,MATCH($A3,Simulations!$A$3:$A$62,0)),1))*$H3*(PI()/2*INDEX(Simulations!$T$3:$T$62,MATCH($A3,Simulations!$A$3:$A$62,0))^2*IF(INDEX(Simulations!$I$3:$I$62,MATCH($A3,Simulations!$A$3:$A$62,0))&gt;0,SQRT(PI()/2)*INDEX(Simulations!$U$3:$U$62,MATCH($A3,Simulations!$A$3:$A$62,0)),1)),$D3/(INDEX(Simulations!$G$3:$G$62,MATCH($A3,Simulations!$A$3:$A$62,0))*INDEX(Simulations!$H$3:$H$62,MATCH($A3,Simulations!$A$3:$A$62,0))*IF(INDEX(Simulations!$I$3:$I$62,MATCH($A3,Simulations!$A$3:$A$62,0))&gt;0,INDEX(Simulations!$I$3:$I$62,MATCH($A3,Simulations!$A$3:$A$62,0)),1))*INDEX(Simulations!$J$3:$J$62,MATCH($A3,Simulations!$A$3:$A$62,0))*IF(INDEX(Simulations!$I$3:$I$62,MATCH($A3,Simulations!$A$3:$A$62,0))&gt;0,2*PI()*INDEX(Simulations!$T$3:$T$62,MATCH($A3,Simulations!$A$3:$A$62,0))^2*INDEX(Simulations!$U$3:$U$62,MATCH($A3,Simulations!$A$3:$A$62,0))/2^1.5*(2/3*LN($H3/INDEX(Simulations!$J$3:$J$62,MATCH($A3,Simulations!$A$3:$A$62,0)))^1.5+SQRT(LN($H3/INDEX(Simulations!$J$3:$J$62,MATCH($A3,Simulations!$A$3:$A$62,0))))+$H3/INDEX(Simulations!$J$3:$J$62,MATCH($A3,Simulations!$A$3:$A$62,0))*SQRT(PI())/2*ERFC(SQRT(LN($H3/INDEX(Simulations!$J$3:$J$62,MATCH($A3,Simulations!$A$3:$A$62,0)))))),PI()*INDEX(Simulations!$T$3:$T$62,MATCH($A3,Simulations!$A$3:$A$62,0))^2/2*(LN($H3/INDEX(Simulations!$J$3:$J$62,MATCH($A3,Simulations!$A$3:$A$62,0)))+1)))))</f>
        <v>0</v>
      </c>
      <c r="U3" s="18" t="n">
        <f aca="false">IF(OR(OR($A3="",ISNA(MATCH($A3,Simulations!$A$3:$A$62,0))),N($C3)&lt;=0),"",SQRT(2*$C3*1000000/(INDEX(Simulations!$J$3:$J$62,MATCH($A3,Simulations!$A$3:$A$62,0))*1000))/INDEX(Simulations!$T$3:$T$62,MATCH($A3,Simulations!$A$3:$A$62,0)))</f>
        <v>0.0418330013267038</v>
      </c>
      <c r="V3" s="19" t="str">
        <f aca="false">IF($A3="","",IF(ISNA(MATCH($A3,Simulations!$A$3:$A$62,0)),"✖ Sim ID not found on the Simulations sheet",IF($P3&gt;=1,"✖ brightness &gt;= sampling frequency: completely saturated (D too small, c too large)",IF($P3&gt;0.1,"⚠ brightness &gt; 10% of the sampling frequency: focus starts to saturate",IF(N($U3)&gt;0.1,"⚠ diffusion step &gt; 10% of wr: raise the sampling frequency",IF(MAX($E3:$H3)=0,"⚠ no brightness set","✔ OK"))))))</f>
        <v>✔ OK</v>
      </c>
    </row>
    <row r="4" customFormat="false" ht="15" hidden="false" customHeight="false" outlineLevel="0" collapsed="false">
      <c r="A4" s="13" t="s">
        <v>76</v>
      </c>
      <c r="B4" s="13" t="s">
        <v>132</v>
      </c>
      <c r="C4" s="13" t="n">
        <v>15</v>
      </c>
      <c r="D4" s="13" t="n">
        <v>800</v>
      </c>
      <c r="E4" s="13" t="n">
        <v>50</v>
      </c>
      <c r="F4" s="13" t="n">
        <v>50</v>
      </c>
      <c r="G4" s="13" t="n">
        <v>50</v>
      </c>
      <c r="H4" s="13" t="n">
        <v>0</v>
      </c>
      <c r="I4" s="13" t="n">
        <v>4</v>
      </c>
      <c r="J4" s="13" t="n">
        <v>3</v>
      </c>
      <c r="K4" s="13" t="n">
        <v>2</v>
      </c>
      <c r="L4" s="13" t="n">
        <v>2</v>
      </c>
      <c r="M4" s="13" t="s">
        <v>131</v>
      </c>
      <c r="N4" s="14"/>
      <c r="O4" s="18" t="n">
        <f aca="false">IF(OR($A4="",ISNA(MATCH($A4,Simulations!$A$3:$A$62,0))),"",IF(INDEX(Simulations!$I$3:$I$62,MATCH($A4,Simulations!$A$3:$A$62,0))&gt;0,$D4/(INDEX(Simulations!$G$3:$G$62,MATCH($A4,Simulations!$A$3:$A$62,0))*INDEX(Simulations!$H$3:$H$62,MATCH($A4,Simulations!$A$3:$A$62,0))*IF(INDEX(Simulations!$I$3:$I$62,MATCH($A4,Simulations!$A$3:$A$62,0))&gt;0,INDEX(Simulations!$I$3:$I$62,MATCH($A4,Simulations!$A$3:$A$62,0)),1))/1E-024/6.022E+023/0.000000001,""))</f>
        <v>10.6276984390568</v>
      </c>
      <c r="P4" s="20" t="n">
        <f aca="false">IF(OR($A4="",ISNA(MATCH($A4,Simulations!$A$3:$A$62,0))),"",MAX($E4:$H4)/INDEX(Simulations!$J$3:$J$62,MATCH($A4,Simulations!$A$3:$A$62,0)))</f>
        <v>0.05</v>
      </c>
      <c r="Q4" s="16" t="n">
        <f aca="false">IF(OR($A4="",ISNA(MATCH($A4,Simulations!$A$3:$A$62,0))),"",IF(N($E4)&lt;=0,0,IF($E4&lt;INDEX(Simulations!$J$3:$J$62,MATCH($A4,Simulations!$A$3:$A$62,0)),$D4/(INDEX(Simulations!$G$3:$G$62,MATCH($A4,Simulations!$A$3:$A$62,0))*INDEX(Simulations!$H$3:$H$62,MATCH($A4,Simulations!$A$3:$A$62,0))*IF(INDEX(Simulations!$I$3:$I$62,MATCH($A4,Simulations!$A$3:$A$62,0))&gt;0,INDEX(Simulations!$I$3:$I$62,MATCH($A4,Simulations!$A$3:$A$62,0)),1))*$E4*(PI()/2*INDEX(Simulations!$T$3:$T$62,MATCH($A4,Simulations!$A$3:$A$62,0))^2*IF(INDEX(Simulations!$I$3:$I$62,MATCH($A4,Simulations!$A$3:$A$62,0))&gt;0,SQRT(PI()/2)*INDEX(Simulations!$U$3:$U$62,MATCH($A4,Simulations!$A$3:$A$62,0)),1)),$D4/(INDEX(Simulations!$G$3:$G$62,MATCH($A4,Simulations!$A$3:$A$62,0))*INDEX(Simulations!$H$3:$H$62,MATCH($A4,Simulations!$A$3:$A$62,0))*IF(INDEX(Simulations!$I$3:$I$62,MATCH($A4,Simulations!$A$3:$A$62,0))&gt;0,INDEX(Simulations!$I$3:$I$62,MATCH($A4,Simulations!$A$3:$A$62,0)),1))*INDEX(Simulations!$J$3:$J$62,MATCH($A4,Simulations!$A$3:$A$62,0))*IF(INDEX(Simulations!$I$3:$I$62,MATCH($A4,Simulations!$A$3:$A$62,0))&gt;0,2*PI()*INDEX(Simulations!$T$3:$T$62,MATCH($A4,Simulations!$A$3:$A$62,0))^2*INDEX(Simulations!$U$3:$U$62,MATCH($A4,Simulations!$A$3:$A$62,0))/2^1.5*(2/3*LN($E4/INDEX(Simulations!$J$3:$J$62,MATCH($A4,Simulations!$A$3:$A$62,0)))^1.5+SQRT(LN($E4/INDEX(Simulations!$J$3:$J$62,MATCH($A4,Simulations!$A$3:$A$62,0))))+$E4/INDEX(Simulations!$J$3:$J$62,MATCH($A4,Simulations!$A$3:$A$62,0))*SQRT(PI())/2*ERFC(SQRT(LN($E4/INDEX(Simulations!$J$3:$J$62,MATCH($A4,Simulations!$A$3:$A$62,0)))))),PI()*INDEX(Simulations!$T$3:$T$62,MATCH($A4,Simulations!$A$3:$A$62,0))^2/2*(LN($E4/INDEX(Simulations!$J$3:$J$62,MATCH($A4,Simulations!$A$3:$A$62,0)))+1)))))</f>
        <v>25.1993759131559</v>
      </c>
      <c r="R4" s="16" t="n">
        <f aca="false">IF(OR($A4="",ISNA(MATCH($A4,Simulations!$A$3:$A$62,0))),"",IF(N($F4)&lt;=0,0,IF($F4&lt;INDEX(Simulations!$J$3:$J$62,MATCH($A4,Simulations!$A$3:$A$62,0)),$D4/(INDEX(Simulations!$G$3:$G$62,MATCH($A4,Simulations!$A$3:$A$62,0))*INDEX(Simulations!$H$3:$H$62,MATCH($A4,Simulations!$A$3:$A$62,0))*IF(INDEX(Simulations!$I$3:$I$62,MATCH($A4,Simulations!$A$3:$A$62,0))&gt;0,INDEX(Simulations!$I$3:$I$62,MATCH($A4,Simulations!$A$3:$A$62,0)),1))*$F4*(PI()/2*INDEX(Simulations!$T$3:$T$62,MATCH($A4,Simulations!$A$3:$A$62,0))^2*IF(INDEX(Simulations!$I$3:$I$62,MATCH($A4,Simulations!$A$3:$A$62,0))&gt;0,SQRT(PI()/2)*INDEX(Simulations!$U$3:$U$62,MATCH($A4,Simulations!$A$3:$A$62,0)),1)),$D4/(INDEX(Simulations!$G$3:$G$62,MATCH($A4,Simulations!$A$3:$A$62,0))*INDEX(Simulations!$H$3:$H$62,MATCH($A4,Simulations!$A$3:$A$62,0))*IF(INDEX(Simulations!$I$3:$I$62,MATCH($A4,Simulations!$A$3:$A$62,0))&gt;0,INDEX(Simulations!$I$3:$I$62,MATCH($A4,Simulations!$A$3:$A$62,0)),1))*INDEX(Simulations!$J$3:$J$62,MATCH($A4,Simulations!$A$3:$A$62,0))*IF(INDEX(Simulations!$I$3:$I$62,MATCH($A4,Simulations!$A$3:$A$62,0))&gt;0,2*PI()*INDEX(Simulations!$T$3:$T$62,MATCH($A4,Simulations!$A$3:$A$62,0))^2*INDEX(Simulations!$U$3:$U$62,MATCH($A4,Simulations!$A$3:$A$62,0))/2^1.5*(2/3*LN($F4/INDEX(Simulations!$J$3:$J$62,MATCH($A4,Simulations!$A$3:$A$62,0)))^1.5+SQRT(LN($F4/INDEX(Simulations!$J$3:$J$62,MATCH($A4,Simulations!$A$3:$A$62,0))))+$F4/INDEX(Simulations!$J$3:$J$62,MATCH($A4,Simulations!$A$3:$A$62,0))*SQRT(PI())/2*ERFC(SQRT(LN($F4/INDEX(Simulations!$J$3:$J$62,MATCH($A4,Simulations!$A$3:$A$62,0)))))),PI()*INDEX(Simulations!$T$3:$T$62,MATCH($A4,Simulations!$A$3:$A$62,0))^2/2*(LN($F4/INDEX(Simulations!$J$3:$J$62,MATCH($A4,Simulations!$A$3:$A$62,0)))+1)))))</f>
        <v>25.1993759131559</v>
      </c>
      <c r="S4" s="16" t="n">
        <f aca="false">IF(OR($A4="",ISNA(MATCH($A4,Simulations!$A$3:$A$62,0))),"",IF(N($G4)&lt;=0,0,IF($G4&lt;INDEX(Simulations!$J$3:$J$62,MATCH($A4,Simulations!$A$3:$A$62,0)),$D4/(INDEX(Simulations!$G$3:$G$62,MATCH($A4,Simulations!$A$3:$A$62,0))*INDEX(Simulations!$H$3:$H$62,MATCH($A4,Simulations!$A$3:$A$62,0))*IF(INDEX(Simulations!$I$3:$I$62,MATCH($A4,Simulations!$A$3:$A$62,0))&gt;0,INDEX(Simulations!$I$3:$I$62,MATCH($A4,Simulations!$A$3:$A$62,0)),1))*$G4*(PI()/2*INDEX(Simulations!$T$3:$T$62,MATCH($A4,Simulations!$A$3:$A$62,0))^2*IF(INDEX(Simulations!$I$3:$I$62,MATCH($A4,Simulations!$A$3:$A$62,0))&gt;0,SQRT(PI()/2)*INDEX(Simulations!$U$3:$U$62,MATCH($A4,Simulations!$A$3:$A$62,0)),1)),$D4/(INDEX(Simulations!$G$3:$G$62,MATCH($A4,Simulations!$A$3:$A$62,0))*INDEX(Simulations!$H$3:$H$62,MATCH($A4,Simulations!$A$3:$A$62,0))*IF(INDEX(Simulations!$I$3:$I$62,MATCH($A4,Simulations!$A$3:$A$62,0))&gt;0,INDEX(Simulations!$I$3:$I$62,MATCH($A4,Simulations!$A$3:$A$62,0)),1))*INDEX(Simulations!$J$3:$J$62,MATCH($A4,Simulations!$A$3:$A$62,0))*IF(INDEX(Simulations!$I$3:$I$62,MATCH($A4,Simulations!$A$3:$A$62,0))&gt;0,2*PI()*INDEX(Simulations!$T$3:$T$62,MATCH($A4,Simulations!$A$3:$A$62,0))^2*INDEX(Simulations!$U$3:$U$62,MATCH($A4,Simulations!$A$3:$A$62,0))/2^1.5*(2/3*LN($G4/INDEX(Simulations!$J$3:$J$62,MATCH($A4,Simulations!$A$3:$A$62,0)))^1.5+SQRT(LN($G4/INDEX(Simulations!$J$3:$J$62,MATCH($A4,Simulations!$A$3:$A$62,0))))+$G4/INDEX(Simulations!$J$3:$J$62,MATCH($A4,Simulations!$A$3:$A$62,0))*SQRT(PI())/2*ERFC(SQRT(LN($G4/INDEX(Simulations!$J$3:$J$62,MATCH($A4,Simulations!$A$3:$A$62,0)))))),PI()*INDEX(Simulations!$T$3:$T$62,MATCH($A4,Simulations!$A$3:$A$62,0))^2/2*(LN($G4/INDEX(Simulations!$J$3:$J$62,MATCH($A4,Simulations!$A$3:$A$62,0)))+1)))))</f>
        <v>25.1993759131559</v>
      </c>
      <c r="T4" s="16" t="n">
        <f aca="false">IF(OR($A4="",ISNA(MATCH($A4,Simulations!$A$3:$A$62,0))),"",IF(N($H4)&lt;=0,0,IF($H4&lt;INDEX(Simulations!$J$3:$J$62,MATCH($A4,Simulations!$A$3:$A$62,0)),$D4/(INDEX(Simulations!$G$3:$G$62,MATCH($A4,Simulations!$A$3:$A$62,0))*INDEX(Simulations!$H$3:$H$62,MATCH($A4,Simulations!$A$3:$A$62,0))*IF(INDEX(Simulations!$I$3:$I$62,MATCH($A4,Simulations!$A$3:$A$62,0))&gt;0,INDEX(Simulations!$I$3:$I$62,MATCH($A4,Simulations!$A$3:$A$62,0)),1))*$H4*(PI()/2*INDEX(Simulations!$T$3:$T$62,MATCH($A4,Simulations!$A$3:$A$62,0))^2*IF(INDEX(Simulations!$I$3:$I$62,MATCH($A4,Simulations!$A$3:$A$62,0))&gt;0,SQRT(PI()/2)*INDEX(Simulations!$U$3:$U$62,MATCH($A4,Simulations!$A$3:$A$62,0)),1)),$D4/(INDEX(Simulations!$G$3:$G$62,MATCH($A4,Simulations!$A$3:$A$62,0))*INDEX(Simulations!$H$3:$H$62,MATCH($A4,Simulations!$A$3:$A$62,0))*IF(INDEX(Simulations!$I$3:$I$62,MATCH($A4,Simulations!$A$3:$A$62,0))&gt;0,INDEX(Simulations!$I$3:$I$62,MATCH($A4,Simulations!$A$3:$A$62,0)),1))*INDEX(Simulations!$J$3:$J$62,MATCH($A4,Simulations!$A$3:$A$62,0))*IF(INDEX(Simulations!$I$3:$I$62,MATCH($A4,Simulations!$A$3:$A$62,0))&gt;0,2*PI()*INDEX(Simulations!$T$3:$T$62,MATCH($A4,Simulations!$A$3:$A$62,0))^2*INDEX(Simulations!$U$3:$U$62,MATCH($A4,Simulations!$A$3:$A$62,0))/2^1.5*(2/3*LN($H4/INDEX(Simulations!$J$3:$J$62,MATCH($A4,Simulations!$A$3:$A$62,0)))^1.5+SQRT(LN($H4/INDEX(Simulations!$J$3:$J$62,MATCH($A4,Simulations!$A$3:$A$62,0))))+$H4/INDEX(Simulations!$J$3:$J$62,MATCH($A4,Simulations!$A$3:$A$62,0))*SQRT(PI())/2*ERFC(SQRT(LN($H4/INDEX(Simulations!$J$3:$J$62,MATCH($A4,Simulations!$A$3:$A$62,0)))))),PI()*INDEX(Simulations!$T$3:$T$62,MATCH($A4,Simulations!$A$3:$A$62,0))^2/2*(LN($H4/INDEX(Simulations!$J$3:$J$62,MATCH($A4,Simulations!$A$3:$A$62,0)))+1)))))</f>
        <v>0</v>
      </c>
      <c r="U4" s="18" t="n">
        <f aca="false">IF(OR(OR($A4="",ISNA(MATCH($A4,Simulations!$A$3:$A$62,0))),N($C4)&lt;=0),"",SQRT(2*$C4*1000000/(INDEX(Simulations!$J$3:$J$62,MATCH($A4,Simulations!$A$3:$A$62,0))*1000))/INDEX(Simulations!$T$3:$T$62,MATCH($A4,Simulations!$A$3:$A$62,0)))</f>
        <v>0.0273861278752583</v>
      </c>
      <c r="V4" s="19" t="str">
        <f aca="false">IF($A4="","",IF(ISNA(MATCH($A4,Simulations!$A$3:$A$62,0)),"✖ Sim ID not found on the Simulations sheet",IF($P4&gt;=1,"✖ brightness &gt;= sampling frequency: completely saturated (D too small, c too large)",IF($P4&gt;0.1,"⚠ brightness &gt; 10% of the sampling frequency: focus starts to saturate",IF(N($U4)&gt;0.1,"⚠ diffusion step &gt; 10% of wr: raise the sampling frequency",IF(MAX($E4:$H4)=0,"⚠ no brightness set","✔ OK"))))))</f>
        <v>✔ OK</v>
      </c>
    </row>
    <row r="5" customFormat="false" ht="15" hidden="false" customHeight="false" outlineLevel="0" collapsed="false">
      <c r="A5" s="13" t="s">
        <v>81</v>
      </c>
      <c r="B5" s="13" t="s">
        <v>132</v>
      </c>
      <c r="C5" s="13" t="n">
        <v>50</v>
      </c>
      <c r="D5" s="13" t="n">
        <v>800</v>
      </c>
      <c r="E5" s="13" t="n">
        <v>50</v>
      </c>
      <c r="F5" s="13" t="n">
        <v>50</v>
      </c>
      <c r="G5" s="13" t="n">
        <v>0</v>
      </c>
      <c r="H5" s="13" t="n">
        <v>0</v>
      </c>
      <c r="I5" s="13" t="n">
        <v>4</v>
      </c>
      <c r="J5" s="13" t="n">
        <v>3</v>
      </c>
      <c r="K5" s="13" t="n">
        <v>2</v>
      </c>
      <c r="L5" s="13" t="n">
        <v>2</v>
      </c>
      <c r="M5" s="13" t="s">
        <v>131</v>
      </c>
      <c r="N5" s="14"/>
      <c r="O5" s="18" t="n">
        <f aca="false">IF(OR($A5="",ISNA(MATCH($A5,Simulations!$A$3:$A$62,0))),"",IF(INDEX(Simulations!$I$3:$I$62,MATCH($A5,Simulations!$A$3:$A$62,0))&gt;0,$D5/(INDEX(Simulations!$G$3:$G$62,MATCH($A5,Simulations!$A$3:$A$62,0))*INDEX(Simulations!$H$3:$H$62,MATCH($A5,Simulations!$A$3:$A$62,0))*IF(INDEX(Simulations!$I$3:$I$62,MATCH($A5,Simulations!$A$3:$A$62,0))&gt;0,INDEX(Simulations!$I$3:$I$62,MATCH($A5,Simulations!$A$3:$A$62,0)),1))/1E-024/6.022E+023/0.000000001,""))</f>
        <v>10.6276984390568</v>
      </c>
      <c r="P5" s="20" t="n">
        <f aca="false">IF(OR($A5="",ISNA(MATCH($A5,Simulations!$A$3:$A$62,0))),"",MAX($E5:$H5)/INDEX(Simulations!$J$3:$J$62,MATCH($A5,Simulations!$A$3:$A$62,0)))</f>
        <v>0.05</v>
      </c>
      <c r="Q5" s="16" t="n">
        <f aca="false">IF(OR($A5="",ISNA(MATCH($A5,Simulations!$A$3:$A$62,0))),"",IF(N($E5)&lt;=0,0,IF($E5&lt;INDEX(Simulations!$J$3:$J$62,MATCH($A5,Simulations!$A$3:$A$62,0)),$D5/(INDEX(Simulations!$G$3:$G$62,MATCH($A5,Simulations!$A$3:$A$62,0))*INDEX(Simulations!$H$3:$H$62,MATCH($A5,Simulations!$A$3:$A$62,0))*IF(INDEX(Simulations!$I$3:$I$62,MATCH($A5,Simulations!$A$3:$A$62,0))&gt;0,INDEX(Simulations!$I$3:$I$62,MATCH($A5,Simulations!$A$3:$A$62,0)),1))*$E5*(PI()/2*INDEX(Simulations!$T$3:$T$62,MATCH($A5,Simulations!$A$3:$A$62,0))^2*IF(INDEX(Simulations!$I$3:$I$62,MATCH($A5,Simulations!$A$3:$A$62,0))&gt;0,SQRT(PI()/2)*INDEX(Simulations!$U$3:$U$62,MATCH($A5,Simulations!$A$3:$A$62,0)),1)),$D5/(INDEX(Simulations!$G$3:$G$62,MATCH($A5,Simulations!$A$3:$A$62,0))*INDEX(Simulations!$H$3:$H$62,MATCH($A5,Simulations!$A$3:$A$62,0))*IF(INDEX(Simulations!$I$3:$I$62,MATCH($A5,Simulations!$A$3:$A$62,0))&gt;0,INDEX(Simulations!$I$3:$I$62,MATCH($A5,Simulations!$A$3:$A$62,0)),1))*INDEX(Simulations!$J$3:$J$62,MATCH($A5,Simulations!$A$3:$A$62,0))*IF(INDEX(Simulations!$I$3:$I$62,MATCH($A5,Simulations!$A$3:$A$62,0))&gt;0,2*PI()*INDEX(Simulations!$T$3:$T$62,MATCH($A5,Simulations!$A$3:$A$62,0))^2*INDEX(Simulations!$U$3:$U$62,MATCH($A5,Simulations!$A$3:$A$62,0))/2^1.5*(2/3*LN($E5/INDEX(Simulations!$J$3:$J$62,MATCH($A5,Simulations!$A$3:$A$62,0)))^1.5+SQRT(LN($E5/INDEX(Simulations!$J$3:$J$62,MATCH($A5,Simulations!$A$3:$A$62,0))))+$E5/INDEX(Simulations!$J$3:$J$62,MATCH($A5,Simulations!$A$3:$A$62,0))*SQRT(PI())/2*ERFC(SQRT(LN($E5/INDEX(Simulations!$J$3:$J$62,MATCH($A5,Simulations!$A$3:$A$62,0)))))),PI()*INDEX(Simulations!$T$3:$T$62,MATCH($A5,Simulations!$A$3:$A$62,0))^2/2*(LN($E5/INDEX(Simulations!$J$3:$J$62,MATCH($A5,Simulations!$A$3:$A$62,0)))+1)))))</f>
        <v>25.1993759131559</v>
      </c>
      <c r="R5" s="16" t="n">
        <f aca="false">IF(OR($A5="",ISNA(MATCH($A5,Simulations!$A$3:$A$62,0))),"",IF(N($F5)&lt;=0,0,IF($F5&lt;INDEX(Simulations!$J$3:$J$62,MATCH($A5,Simulations!$A$3:$A$62,0)),$D5/(INDEX(Simulations!$G$3:$G$62,MATCH($A5,Simulations!$A$3:$A$62,0))*INDEX(Simulations!$H$3:$H$62,MATCH($A5,Simulations!$A$3:$A$62,0))*IF(INDEX(Simulations!$I$3:$I$62,MATCH($A5,Simulations!$A$3:$A$62,0))&gt;0,INDEX(Simulations!$I$3:$I$62,MATCH($A5,Simulations!$A$3:$A$62,0)),1))*$F5*(PI()/2*INDEX(Simulations!$T$3:$T$62,MATCH($A5,Simulations!$A$3:$A$62,0))^2*IF(INDEX(Simulations!$I$3:$I$62,MATCH($A5,Simulations!$A$3:$A$62,0))&gt;0,SQRT(PI()/2)*INDEX(Simulations!$U$3:$U$62,MATCH($A5,Simulations!$A$3:$A$62,0)),1)),$D5/(INDEX(Simulations!$G$3:$G$62,MATCH($A5,Simulations!$A$3:$A$62,0))*INDEX(Simulations!$H$3:$H$62,MATCH($A5,Simulations!$A$3:$A$62,0))*IF(INDEX(Simulations!$I$3:$I$62,MATCH($A5,Simulations!$A$3:$A$62,0))&gt;0,INDEX(Simulations!$I$3:$I$62,MATCH($A5,Simulations!$A$3:$A$62,0)),1))*INDEX(Simulations!$J$3:$J$62,MATCH($A5,Simulations!$A$3:$A$62,0))*IF(INDEX(Simulations!$I$3:$I$62,MATCH($A5,Simulations!$A$3:$A$62,0))&gt;0,2*PI()*INDEX(Simulations!$T$3:$T$62,MATCH($A5,Simulations!$A$3:$A$62,0))^2*INDEX(Simulations!$U$3:$U$62,MATCH($A5,Simulations!$A$3:$A$62,0))/2^1.5*(2/3*LN($F5/INDEX(Simulations!$J$3:$J$62,MATCH($A5,Simulations!$A$3:$A$62,0)))^1.5+SQRT(LN($F5/INDEX(Simulations!$J$3:$J$62,MATCH($A5,Simulations!$A$3:$A$62,0))))+$F5/INDEX(Simulations!$J$3:$J$62,MATCH($A5,Simulations!$A$3:$A$62,0))*SQRT(PI())/2*ERFC(SQRT(LN($F5/INDEX(Simulations!$J$3:$J$62,MATCH($A5,Simulations!$A$3:$A$62,0)))))),PI()*INDEX(Simulations!$T$3:$T$62,MATCH($A5,Simulations!$A$3:$A$62,0))^2/2*(LN($F5/INDEX(Simulations!$J$3:$J$62,MATCH($A5,Simulations!$A$3:$A$62,0)))+1)))))</f>
        <v>25.1993759131559</v>
      </c>
      <c r="S5" s="16" t="n">
        <f aca="false">IF(OR($A5="",ISNA(MATCH($A5,Simulations!$A$3:$A$62,0))),"",IF(N($G5)&lt;=0,0,IF($G5&lt;INDEX(Simulations!$J$3:$J$62,MATCH($A5,Simulations!$A$3:$A$62,0)),$D5/(INDEX(Simulations!$G$3:$G$62,MATCH($A5,Simulations!$A$3:$A$62,0))*INDEX(Simulations!$H$3:$H$62,MATCH($A5,Simulations!$A$3:$A$62,0))*IF(INDEX(Simulations!$I$3:$I$62,MATCH($A5,Simulations!$A$3:$A$62,0))&gt;0,INDEX(Simulations!$I$3:$I$62,MATCH($A5,Simulations!$A$3:$A$62,0)),1))*$G5*(PI()/2*INDEX(Simulations!$T$3:$T$62,MATCH($A5,Simulations!$A$3:$A$62,0))^2*IF(INDEX(Simulations!$I$3:$I$62,MATCH($A5,Simulations!$A$3:$A$62,0))&gt;0,SQRT(PI()/2)*INDEX(Simulations!$U$3:$U$62,MATCH($A5,Simulations!$A$3:$A$62,0)),1)),$D5/(INDEX(Simulations!$G$3:$G$62,MATCH($A5,Simulations!$A$3:$A$62,0))*INDEX(Simulations!$H$3:$H$62,MATCH($A5,Simulations!$A$3:$A$62,0))*IF(INDEX(Simulations!$I$3:$I$62,MATCH($A5,Simulations!$A$3:$A$62,0))&gt;0,INDEX(Simulations!$I$3:$I$62,MATCH($A5,Simulations!$A$3:$A$62,0)),1))*INDEX(Simulations!$J$3:$J$62,MATCH($A5,Simulations!$A$3:$A$62,0))*IF(INDEX(Simulations!$I$3:$I$62,MATCH($A5,Simulations!$A$3:$A$62,0))&gt;0,2*PI()*INDEX(Simulations!$T$3:$T$62,MATCH($A5,Simulations!$A$3:$A$62,0))^2*INDEX(Simulations!$U$3:$U$62,MATCH($A5,Simulations!$A$3:$A$62,0))/2^1.5*(2/3*LN($G5/INDEX(Simulations!$J$3:$J$62,MATCH($A5,Simulations!$A$3:$A$62,0)))^1.5+SQRT(LN($G5/INDEX(Simulations!$J$3:$J$62,MATCH($A5,Simulations!$A$3:$A$62,0))))+$G5/INDEX(Simulations!$J$3:$J$62,MATCH($A5,Simulations!$A$3:$A$62,0))*SQRT(PI())/2*ERFC(SQRT(LN($G5/INDEX(Simulations!$J$3:$J$62,MATCH($A5,Simulations!$A$3:$A$62,0)))))),PI()*INDEX(Simulations!$T$3:$T$62,MATCH($A5,Simulations!$A$3:$A$62,0))^2/2*(LN($G5/INDEX(Simulations!$J$3:$J$62,MATCH($A5,Simulations!$A$3:$A$62,0)))+1)))))</f>
        <v>0</v>
      </c>
      <c r="T5" s="16" t="n">
        <f aca="false">IF(OR($A5="",ISNA(MATCH($A5,Simulations!$A$3:$A$62,0))),"",IF(N($H5)&lt;=0,0,IF($H5&lt;INDEX(Simulations!$J$3:$J$62,MATCH($A5,Simulations!$A$3:$A$62,0)),$D5/(INDEX(Simulations!$G$3:$G$62,MATCH($A5,Simulations!$A$3:$A$62,0))*INDEX(Simulations!$H$3:$H$62,MATCH($A5,Simulations!$A$3:$A$62,0))*IF(INDEX(Simulations!$I$3:$I$62,MATCH($A5,Simulations!$A$3:$A$62,0))&gt;0,INDEX(Simulations!$I$3:$I$62,MATCH($A5,Simulations!$A$3:$A$62,0)),1))*$H5*(PI()/2*INDEX(Simulations!$T$3:$T$62,MATCH($A5,Simulations!$A$3:$A$62,0))^2*IF(INDEX(Simulations!$I$3:$I$62,MATCH($A5,Simulations!$A$3:$A$62,0))&gt;0,SQRT(PI()/2)*INDEX(Simulations!$U$3:$U$62,MATCH($A5,Simulations!$A$3:$A$62,0)),1)),$D5/(INDEX(Simulations!$G$3:$G$62,MATCH($A5,Simulations!$A$3:$A$62,0))*INDEX(Simulations!$H$3:$H$62,MATCH($A5,Simulations!$A$3:$A$62,0))*IF(INDEX(Simulations!$I$3:$I$62,MATCH($A5,Simulations!$A$3:$A$62,0))&gt;0,INDEX(Simulations!$I$3:$I$62,MATCH($A5,Simulations!$A$3:$A$62,0)),1))*INDEX(Simulations!$J$3:$J$62,MATCH($A5,Simulations!$A$3:$A$62,0))*IF(INDEX(Simulations!$I$3:$I$62,MATCH($A5,Simulations!$A$3:$A$62,0))&gt;0,2*PI()*INDEX(Simulations!$T$3:$T$62,MATCH($A5,Simulations!$A$3:$A$62,0))^2*INDEX(Simulations!$U$3:$U$62,MATCH($A5,Simulations!$A$3:$A$62,0))/2^1.5*(2/3*LN($H5/INDEX(Simulations!$J$3:$J$62,MATCH($A5,Simulations!$A$3:$A$62,0)))^1.5+SQRT(LN($H5/INDEX(Simulations!$J$3:$J$62,MATCH($A5,Simulations!$A$3:$A$62,0))))+$H5/INDEX(Simulations!$J$3:$J$62,MATCH($A5,Simulations!$A$3:$A$62,0))*SQRT(PI())/2*ERFC(SQRT(LN($H5/INDEX(Simulations!$J$3:$J$62,MATCH($A5,Simulations!$A$3:$A$62,0)))))),PI()*INDEX(Simulations!$T$3:$T$62,MATCH($A5,Simulations!$A$3:$A$62,0))^2/2*(LN($H5/INDEX(Simulations!$J$3:$J$62,MATCH($A5,Simulations!$A$3:$A$62,0)))+1)))))</f>
        <v>0</v>
      </c>
      <c r="U5" s="18" t="n">
        <f aca="false">IF(OR(OR($A5="",ISNA(MATCH($A5,Simulations!$A$3:$A$62,0))),N($C5)&lt;=0),"",SQRT(2*$C5*1000000/(INDEX(Simulations!$J$3:$J$62,MATCH($A5,Simulations!$A$3:$A$62,0))*1000))/INDEX(Simulations!$T$3:$T$62,MATCH($A5,Simulations!$A$3:$A$62,0)))</f>
        <v>0.05</v>
      </c>
      <c r="V5" s="19" t="str">
        <f aca="false">IF($A5="","",IF(ISNA(MATCH($A5,Simulations!$A$3:$A$62,0)),"✖ Sim ID not found on the Simulations sheet",IF($P5&gt;=1,"✖ brightness &gt;= sampling frequency: completely saturated (D too small, c too large)",IF($P5&gt;0.1,"⚠ brightness &gt; 10% of the sampling frequency: focus starts to saturate",IF(N($U5)&gt;0.1,"⚠ diffusion step &gt; 10% of wr: raise the sampling frequency",IF(MAX($E5:$H5)=0,"⚠ no brightness set","✔ OK"))))))</f>
        <v>✔ OK</v>
      </c>
    </row>
    <row r="6" customFormat="false" ht="15" hidden="false" customHeight="false" outlineLevel="0" collapsed="false">
      <c r="A6" s="13" t="s">
        <v>81</v>
      </c>
      <c r="B6" s="13" t="s">
        <v>133</v>
      </c>
      <c r="C6" s="13" t="n">
        <v>50</v>
      </c>
      <c r="D6" s="13" t="n">
        <v>100</v>
      </c>
      <c r="E6" s="13" t="n">
        <v>50</v>
      </c>
      <c r="F6" s="13" t="n">
        <v>0</v>
      </c>
      <c r="G6" s="13" t="n">
        <v>50</v>
      </c>
      <c r="H6" s="13" t="n">
        <v>0</v>
      </c>
      <c r="I6" s="13" t="n">
        <v>4</v>
      </c>
      <c r="J6" s="13" t="n">
        <v>3</v>
      </c>
      <c r="K6" s="13" t="n">
        <v>2</v>
      </c>
      <c r="L6" s="13" t="n">
        <v>2</v>
      </c>
      <c r="M6" s="13" t="s">
        <v>131</v>
      </c>
      <c r="N6" s="14"/>
      <c r="O6" s="18" t="n">
        <f aca="false">IF(OR($A6="",ISNA(MATCH($A6,Simulations!$A$3:$A$62,0))),"",IF(INDEX(Simulations!$I$3:$I$62,MATCH($A6,Simulations!$A$3:$A$62,0))&gt;0,$D6/(INDEX(Simulations!$G$3:$G$62,MATCH($A6,Simulations!$A$3:$A$62,0))*INDEX(Simulations!$H$3:$H$62,MATCH($A6,Simulations!$A$3:$A$62,0))*IF(INDEX(Simulations!$I$3:$I$62,MATCH($A6,Simulations!$A$3:$A$62,0))&gt;0,INDEX(Simulations!$I$3:$I$62,MATCH($A6,Simulations!$A$3:$A$62,0)),1))/1E-024/6.022E+023/0.000000001,""))</f>
        <v>1.3284623048821</v>
      </c>
      <c r="P6" s="20" t="n">
        <f aca="false">IF(OR($A6="",ISNA(MATCH($A6,Simulations!$A$3:$A$62,0))),"",MAX($E6:$H6)/INDEX(Simulations!$J$3:$J$62,MATCH($A6,Simulations!$A$3:$A$62,0)))</f>
        <v>0.05</v>
      </c>
      <c r="Q6" s="16" t="n">
        <f aca="false">IF(OR($A6="",ISNA(MATCH($A6,Simulations!$A$3:$A$62,0))),"",IF(N($E6)&lt;=0,0,IF($E6&lt;INDEX(Simulations!$J$3:$J$62,MATCH($A6,Simulations!$A$3:$A$62,0)),$D6/(INDEX(Simulations!$G$3:$G$62,MATCH($A6,Simulations!$A$3:$A$62,0))*INDEX(Simulations!$H$3:$H$62,MATCH($A6,Simulations!$A$3:$A$62,0))*IF(INDEX(Simulations!$I$3:$I$62,MATCH($A6,Simulations!$A$3:$A$62,0))&gt;0,INDEX(Simulations!$I$3:$I$62,MATCH($A6,Simulations!$A$3:$A$62,0)),1))*$E6*(PI()/2*INDEX(Simulations!$T$3:$T$62,MATCH($A6,Simulations!$A$3:$A$62,0))^2*IF(INDEX(Simulations!$I$3:$I$62,MATCH($A6,Simulations!$A$3:$A$62,0))&gt;0,SQRT(PI()/2)*INDEX(Simulations!$U$3:$U$62,MATCH($A6,Simulations!$A$3:$A$62,0)),1)),$D6/(INDEX(Simulations!$G$3:$G$62,MATCH($A6,Simulations!$A$3:$A$62,0))*INDEX(Simulations!$H$3:$H$62,MATCH($A6,Simulations!$A$3:$A$62,0))*IF(INDEX(Simulations!$I$3:$I$62,MATCH($A6,Simulations!$A$3:$A$62,0))&gt;0,INDEX(Simulations!$I$3:$I$62,MATCH($A6,Simulations!$A$3:$A$62,0)),1))*INDEX(Simulations!$J$3:$J$62,MATCH($A6,Simulations!$A$3:$A$62,0))*IF(INDEX(Simulations!$I$3:$I$62,MATCH($A6,Simulations!$A$3:$A$62,0))&gt;0,2*PI()*INDEX(Simulations!$T$3:$T$62,MATCH($A6,Simulations!$A$3:$A$62,0))^2*INDEX(Simulations!$U$3:$U$62,MATCH($A6,Simulations!$A$3:$A$62,0))/2^1.5*(2/3*LN($E6/INDEX(Simulations!$J$3:$J$62,MATCH($A6,Simulations!$A$3:$A$62,0)))^1.5+SQRT(LN($E6/INDEX(Simulations!$J$3:$J$62,MATCH($A6,Simulations!$A$3:$A$62,0))))+$E6/INDEX(Simulations!$J$3:$J$62,MATCH($A6,Simulations!$A$3:$A$62,0))*SQRT(PI())/2*ERFC(SQRT(LN($E6/INDEX(Simulations!$J$3:$J$62,MATCH($A6,Simulations!$A$3:$A$62,0)))))),PI()*INDEX(Simulations!$T$3:$T$62,MATCH($A6,Simulations!$A$3:$A$62,0))^2/2*(LN($E6/INDEX(Simulations!$J$3:$J$62,MATCH($A6,Simulations!$A$3:$A$62,0)))+1)))))</f>
        <v>3.14992198914448</v>
      </c>
      <c r="R6" s="16" t="n">
        <f aca="false">IF(OR($A6="",ISNA(MATCH($A6,Simulations!$A$3:$A$62,0))),"",IF(N($F6)&lt;=0,0,IF($F6&lt;INDEX(Simulations!$J$3:$J$62,MATCH($A6,Simulations!$A$3:$A$62,0)),$D6/(INDEX(Simulations!$G$3:$G$62,MATCH($A6,Simulations!$A$3:$A$62,0))*INDEX(Simulations!$H$3:$H$62,MATCH($A6,Simulations!$A$3:$A$62,0))*IF(INDEX(Simulations!$I$3:$I$62,MATCH($A6,Simulations!$A$3:$A$62,0))&gt;0,INDEX(Simulations!$I$3:$I$62,MATCH($A6,Simulations!$A$3:$A$62,0)),1))*$F6*(PI()/2*INDEX(Simulations!$T$3:$T$62,MATCH($A6,Simulations!$A$3:$A$62,0))^2*IF(INDEX(Simulations!$I$3:$I$62,MATCH($A6,Simulations!$A$3:$A$62,0))&gt;0,SQRT(PI()/2)*INDEX(Simulations!$U$3:$U$62,MATCH($A6,Simulations!$A$3:$A$62,0)),1)),$D6/(INDEX(Simulations!$G$3:$G$62,MATCH($A6,Simulations!$A$3:$A$62,0))*INDEX(Simulations!$H$3:$H$62,MATCH($A6,Simulations!$A$3:$A$62,0))*IF(INDEX(Simulations!$I$3:$I$62,MATCH($A6,Simulations!$A$3:$A$62,0))&gt;0,INDEX(Simulations!$I$3:$I$62,MATCH($A6,Simulations!$A$3:$A$62,0)),1))*INDEX(Simulations!$J$3:$J$62,MATCH($A6,Simulations!$A$3:$A$62,0))*IF(INDEX(Simulations!$I$3:$I$62,MATCH($A6,Simulations!$A$3:$A$62,0))&gt;0,2*PI()*INDEX(Simulations!$T$3:$T$62,MATCH($A6,Simulations!$A$3:$A$62,0))^2*INDEX(Simulations!$U$3:$U$62,MATCH($A6,Simulations!$A$3:$A$62,0))/2^1.5*(2/3*LN($F6/INDEX(Simulations!$J$3:$J$62,MATCH($A6,Simulations!$A$3:$A$62,0)))^1.5+SQRT(LN($F6/INDEX(Simulations!$J$3:$J$62,MATCH($A6,Simulations!$A$3:$A$62,0))))+$F6/INDEX(Simulations!$J$3:$J$62,MATCH($A6,Simulations!$A$3:$A$62,0))*SQRT(PI())/2*ERFC(SQRT(LN($F6/INDEX(Simulations!$J$3:$J$62,MATCH($A6,Simulations!$A$3:$A$62,0)))))),PI()*INDEX(Simulations!$T$3:$T$62,MATCH($A6,Simulations!$A$3:$A$62,0))^2/2*(LN($F6/INDEX(Simulations!$J$3:$J$62,MATCH($A6,Simulations!$A$3:$A$62,0)))+1)))))</f>
        <v>0</v>
      </c>
      <c r="S6" s="16" t="n">
        <f aca="false">IF(OR($A6="",ISNA(MATCH($A6,Simulations!$A$3:$A$62,0))),"",IF(N($G6)&lt;=0,0,IF($G6&lt;INDEX(Simulations!$J$3:$J$62,MATCH($A6,Simulations!$A$3:$A$62,0)),$D6/(INDEX(Simulations!$G$3:$G$62,MATCH($A6,Simulations!$A$3:$A$62,0))*INDEX(Simulations!$H$3:$H$62,MATCH($A6,Simulations!$A$3:$A$62,0))*IF(INDEX(Simulations!$I$3:$I$62,MATCH($A6,Simulations!$A$3:$A$62,0))&gt;0,INDEX(Simulations!$I$3:$I$62,MATCH($A6,Simulations!$A$3:$A$62,0)),1))*$G6*(PI()/2*INDEX(Simulations!$T$3:$T$62,MATCH($A6,Simulations!$A$3:$A$62,0))^2*IF(INDEX(Simulations!$I$3:$I$62,MATCH($A6,Simulations!$A$3:$A$62,0))&gt;0,SQRT(PI()/2)*INDEX(Simulations!$U$3:$U$62,MATCH($A6,Simulations!$A$3:$A$62,0)),1)),$D6/(INDEX(Simulations!$G$3:$G$62,MATCH($A6,Simulations!$A$3:$A$62,0))*INDEX(Simulations!$H$3:$H$62,MATCH($A6,Simulations!$A$3:$A$62,0))*IF(INDEX(Simulations!$I$3:$I$62,MATCH($A6,Simulations!$A$3:$A$62,0))&gt;0,INDEX(Simulations!$I$3:$I$62,MATCH($A6,Simulations!$A$3:$A$62,0)),1))*INDEX(Simulations!$J$3:$J$62,MATCH($A6,Simulations!$A$3:$A$62,0))*IF(INDEX(Simulations!$I$3:$I$62,MATCH($A6,Simulations!$A$3:$A$62,0))&gt;0,2*PI()*INDEX(Simulations!$T$3:$T$62,MATCH($A6,Simulations!$A$3:$A$62,0))^2*INDEX(Simulations!$U$3:$U$62,MATCH($A6,Simulations!$A$3:$A$62,0))/2^1.5*(2/3*LN($G6/INDEX(Simulations!$J$3:$J$62,MATCH($A6,Simulations!$A$3:$A$62,0)))^1.5+SQRT(LN($G6/INDEX(Simulations!$J$3:$J$62,MATCH($A6,Simulations!$A$3:$A$62,0))))+$G6/INDEX(Simulations!$J$3:$J$62,MATCH($A6,Simulations!$A$3:$A$62,0))*SQRT(PI())/2*ERFC(SQRT(LN($G6/INDEX(Simulations!$J$3:$J$62,MATCH($A6,Simulations!$A$3:$A$62,0)))))),PI()*INDEX(Simulations!$T$3:$T$62,MATCH($A6,Simulations!$A$3:$A$62,0))^2/2*(LN($G6/INDEX(Simulations!$J$3:$J$62,MATCH($A6,Simulations!$A$3:$A$62,0)))+1)))))</f>
        <v>3.14992198914448</v>
      </c>
      <c r="T6" s="16" t="n">
        <f aca="false">IF(OR($A6="",ISNA(MATCH($A6,Simulations!$A$3:$A$62,0))),"",IF(N($H6)&lt;=0,0,IF($H6&lt;INDEX(Simulations!$J$3:$J$62,MATCH($A6,Simulations!$A$3:$A$62,0)),$D6/(INDEX(Simulations!$G$3:$G$62,MATCH($A6,Simulations!$A$3:$A$62,0))*INDEX(Simulations!$H$3:$H$62,MATCH($A6,Simulations!$A$3:$A$62,0))*IF(INDEX(Simulations!$I$3:$I$62,MATCH($A6,Simulations!$A$3:$A$62,0))&gt;0,INDEX(Simulations!$I$3:$I$62,MATCH($A6,Simulations!$A$3:$A$62,0)),1))*$H6*(PI()/2*INDEX(Simulations!$T$3:$T$62,MATCH($A6,Simulations!$A$3:$A$62,0))^2*IF(INDEX(Simulations!$I$3:$I$62,MATCH($A6,Simulations!$A$3:$A$62,0))&gt;0,SQRT(PI()/2)*INDEX(Simulations!$U$3:$U$62,MATCH($A6,Simulations!$A$3:$A$62,0)),1)),$D6/(INDEX(Simulations!$G$3:$G$62,MATCH($A6,Simulations!$A$3:$A$62,0))*INDEX(Simulations!$H$3:$H$62,MATCH($A6,Simulations!$A$3:$A$62,0))*IF(INDEX(Simulations!$I$3:$I$62,MATCH($A6,Simulations!$A$3:$A$62,0))&gt;0,INDEX(Simulations!$I$3:$I$62,MATCH($A6,Simulations!$A$3:$A$62,0)),1))*INDEX(Simulations!$J$3:$J$62,MATCH($A6,Simulations!$A$3:$A$62,0))*IF(INDEX(Simulations!$I$3:$I$62,MATCH($A6,Simulations!$A$3:$A$62,0))&gt;0,2*PI()*INDEX(Simulations!$T$3:$T$62,MATCH($A6,Simulations!$A$3:$A$62,0))^2*INDEX(Simulations!$U$3:$U$62,MATCH($A6,Simulations!$A$3:$A$62,0))/2^1.5*(2/3*LN($H6/INDEX(Simulations!$J$3:$J$62,MATCH($A6,Simulations!$A$3:$A$62,0)))^1.5+SQRT(LN($H6/INDEX(Simulations!$J$3:$J$62,MATCH($A6,Simulations!$A$3:$A$62,0))))+$H6/INDEX(Simulations!$J$3:$J$62,MATCH($A6,Simulations!$A$3:$A$62,0))*SQRT(PI())/2*ERFC(SQRT(LN($H6/INDEX(Simulations!$J$3:$J$62,MATCH($A6,Simulations!$A$3:$A$62,0)))))),PI()*INDEX(Simulations!$T$3:$T$62,MATCH($A6,Simulations!$A$3:$A$62,0))^2/2*(LN($H6/INDEX(Simulations!$J$3:$J$62,MATCH($A6,Simulations!$A$3:$A$62,0)))+1)))))</f>
        <v>0</v>
      </c>
      <c r="U6" s="18" t="n">
        <f aca="false">IF(OR(OR($A6="",ISNA(MATCH($A6,Simulations!$A$3:$A$62,0))),N($C6)&lt;=0),"",SQRT(2*$C6*1000000/(INDEX(Simulations!$J$3:$J$62,MATCH($A6,Simulations!$A$3:$A$62,0))*1000))/INDEX(Simulations!$T$3:$T$62,MATCH($A6,Simulations!$A$3:$A$62,0)))</f>
        <v>0.05</v>
      </c>
      <c r="V6" s="19" t="str">
        <f aca="false">IF($A6="","",IF(ISNA(MATCH($A6,Simulations!$A$3:$A$62,0)),"✖ Sim ID not found on the Simulations sheet",IF($P6&gt;=1,"✖ brightness &gt;= sampling frequency: completely saturated (D too small, c too large)",IF($P6&gt;0.1,"⚠ brightness &gt; 10% of the sampling frequency: focus starts to saturate",IF(N($U6)&gt;0.1,"⚠ diffusion step &gt; 10% of wr: raise the sampling frequency",IF(MAX($E6:$H6)=0,"⚠ no brightness set","✔ OK"))))))</f>
        <v>✔ OK</v>
      </c>
    </row>
    <row r="7" customFormat="false" ht="15" hidden="false" customHeight="false" outlineLevel="0" collapsed="false">
      <c r="A7" s="13" t="s">
        <v>81</v>
      </c>
      <c r="B7" s="13" t="s">
        <v>134</v>
      </c>
      <c r="C7" s="13" t="n">
        <v>50</v>
      </c>
      <c r="D7" s="13" t="n">
        <v>100</v>
      </c>
      <c r="E7" s="13" t="n">
        <v>0</v>
      </c>
      <c r="F7" s="13" t="n">
        <v>50</v>
      </c>
      <c r="G7" s="13" t="n">
        <v>50</v>
      </c>
      <c r="H7" s="13" t="n">
        <v>0</v>
      </c>
      <c r="I7" s="13" t="n">
        <v>4</v>
      </c>
      <c r="J7" s="13" t="n">
        <v>3</v>
      </c>
      <c r="K7" s="13" t="n">
        <v>2</v>
      </c>
      <c r="L7" s="13" t="n">
        <v>2</v>
      </c>
      <c r="M7" s="13" t="s">
        <v>131</v>
      </c>
      <c r="N7" s="14"/>
      <c r="O7" s="18" t="n">
        <f aca="false">IF(OR($A7="",ISNA(MATCH($A7,Simulations!$A$3:$A$62,0))),"",IF(INDEX(Simulations!$I$3:$I$62,MATCH($A7,Simulations!$A$3:$A$62,0))&gt;0,$D7/(INDEX(Simulations!$G$3:$G$62,MATCH($A7,Simulations!$A$3:$A$62,0))*INDEX(Simulations!$H$3:$H$62,MATCH($A7,Simulations!$A$3:$A$62,0))*IF(INDEX(Simulations!$I$3:$I$62,MATCH($A7,Simulations!$A$3:$A$62,0))&gt;0,INDEX(Simulations!$I$3:$I$62,MATCH($A7,Simulations!$A$3:$A$62,0)),1))/1E-024/6.022E+023/0.000000001,""))</f>
        <v>1.3284623048821</v>
      </c>
      <c r="P7" s="20" t="n">
        <f aca="false">IF(OR($A7="",ISNA(MATCH($A7,Simulations!$A$3:$A$62,0))),"",MAX($E7:$H7)/INDEX(Simulations!$J$3:$J$62,MATCH($A7,Simulations!$A$3:$A$62,0)))</f>
        <v>0.05</v>
      </c>
      <c r="Q7" s="16" t="n">
        <f aca="false">IF(OR($A7="",ISNA(MATCH($A7,Simulations!$A$3:$A$62,0))),"",IF(N($E7)&lt;=0,0,IF($E7&lt;INDEX(Simulations!$J$3:$J$62,MATCH($A7,Simulations!$A$3:$A$62,0)),$D7/(INDEX(Simulations!$G$3:$G$62,MATCH($A7,Simulations!$A$3:$A$62,0))*INDEX(Simulations!$H$3:$H$62,MATCH($A7,Simulations!$A$3:$A$62,0))*IF(INDEX(Simulations!$I$3:$I$62,MATCH($A7,Simulations!$A$3:$A$62,0))&gt;0,INDEX(Simulations!$I$3:$I$62,MATCH($A7,Simulations!$A$3:$A$62,0)),1))*$E7*(PI()/2*INDEX(Simulations!$T$3:$T$62,MATCH($A7,Simulations!$A$3:$A$62,0))^2*IF(INDEX(Simulations!$I$3:$I$62,MATCH($A7,Simulations!$A$3:$A$62,0))&gt;0,SQRT(PI()/2)*INDEX(Simulations!$U$3:$U$62,MATCH($A7,Simulations!$A$3:$A$62,0)),1)),$D7/(INDEX(Simulations!$G$3:$G$62,MATCH($A7,Simulations!$A$3:$A$62,0))*INDEX(Simulations!$H$3:$H$62,MATCH($A7,Simulations!$A$3:$A$62,0))*IF(INDEX(Simulations!$I$3:$I$62,MATCH($A7,Simulations!$A$3:$A$62,0))&gt;0,INDEX(Simulations!$I$3:$I$62,MATCH($A7,Simulations!$A$3:$A$62,0)),1))*INDEX(Simulations!$J$3:$J$62,MATCH($A7,Simulations!$A$3:$A$62,0))*IF(INDEX(Simulations!$I$3:$I$62,MATCH($A7,Simulations!$A$3:$A$62,0))&gt;0,2*PI()*INDEX(Simulations!$T$3:$T$62,MATCH($A7,Simulations!$A$3:$A$62,0))^2*INDEX(Simulations!$U$3:$U$62,MATCH($A7,Simulations!$A$3:$A$62,0))/2^1.5*(2/3*LN($E7/INDEX(Simulations!$J$3:$J$62,MATCH($A7,Simulations!$A$3:$A$62,0)))^1.5+SQRT(LN($E7/INDEX(Simulations!$J$3:$J$62,MATCH($A7,Simulations!$A$3:$A$62,0))))+$E7/INDEX(Simulations!$J$3:$J$62,MATCH($A7,Simulations!$A$3:$A$62,0))*SQRT(PI())/2*ERFC(SQRT(LN($E7/INDEX(Simulations!$J$3:$J$62,MATCH($A7,Simulations!$A$3:$A$62,0)))))),PI()*INDEX(Simulations!$T$3:$T$62,MATCH($A7,Simulations!$A$3:$A$62,0))^2/2*(LN($E7/INDEX(Simulations!$J$3:$J$62,MATCH($A7,Simulations!$A$3:$A$62,0)))+1)))))</f>
        <v>0</v>
      </c>
      <c r="R7" s="16" t="n">
        <f aca="false">IF(OR($A7="",ISNA(MATCH($A7,Simulations!$A$3:$A$62,0))),"",IF(N($F7)&lt;=0,0,IF($F7&lt;INDEX(Simulations!$J$3:$J$62,MATCH($A7,Simulations!$A$3:$A$62,0)),$D7/(INDEX(Simulations!$G$3:$G$62,MATCH($A7,Simulations!$A$3:$A$62,0))*INDEX(Simulations!$H$3:$H$62,MATCH($A7,Simulations!$A$3:$A$62,0))*IF(INDEX(Simulations!$I$3:$I$62,MATCH($A7,Simulations!$A$3:$A$62,0))&gt;0,INDEX(Simulations!$I$3:$I$62,MATCH($A7,Simulations!$A$3:$A$62,0)),1))*$F7*(PI()/2*INDEX(Simulations!$T$3:$T$62,MATCH($A7,Simulations!$A$3:$A$62,0))^2*IF(INDEX(Simulations!$I$3:$I$62,MATCH($A7,Simulations!$A$3:$A$62,0))&gt;0,SQRT(PI()/2)*INDEX(Simulations!$U$3:$U$62,MATCH($A7,Simulations!$A$3:$A$62,0)),1)),$D7/(INDEX(Simulations!$G$3:$G$62,MATCH($A7,Simulations!$A$3:$A$62,0))*INDEX(Simulations!$H$3:$H$62,MATCH($A7,Simulations!$A$3:$A$62,0))*IF(INDEX(Simulations!$I$3:$I$62,MATCH($A7,Simulations!$A$3:$A$62,0))&gt;0,INDEX(Simulations!$I$3:$I$62,MATCH($A7,Simulations!$A$3:$A$62,0)),1))*INDEX(Simulations!$J$3:$J$62,MATCH($A7,Simulations!$A$3:$A$62,0))*IF(INDEX(Simulations!$I$3:$I$62,MATCH($A7,Simulations!$A$3:$A$62,0))&gt;0,2*PI()*INDEX(Simulations!$T$3:$T$62,MATCH($A7,Simulations!$A$3:$A$62,0))^2*INDEX(Simulations!$U$3:$U$62,MATCH($A7,Simulations!$A$3:$A$62,0))/2^1.5*(2/3*LN($F7/INDEX(Simulations!$J$3:$J$62,MATCH($A7,Simulations!$A$3:$A$62,0)))^1.5+SQRT(LN($F7/INDEX(Simulations!$J$3:$J$62,MATCH($A7,Simulations!$A$3:$A$62,0))))+$F7/INDEX(Simulations!$J$3:$J$62,MATCH($A7,Simulations!$A$3:$A$62,0))*SQRT(PI())/2*ERFC(SQRT(LN($F7/INDEX(Simulations!$J$3:$J$62,MATCH($A7,Simulations!$A$3:$A$62,0)))))),PI()*INDEX(Simulations!$T$3:$T$62,MATCH($A7,Simulations!$A$3:$A$62,0))^2/2*(LN($F7/INDEX(Simulations!$J$3:$J$62,MATCH($A7,Simulations!$A$3:$A$62,0)))+1)))))</f>
        <v>3.14992198914448</v>
      </c>
      <c r="S7" s="16" t="n">
        <f aca="false">IF(OR($A7="",ISNA(MATCH($A7,Simulations!$A$3:$A$62,0))),"",IF(N($G7)&lt;=0,0,IF($G7&lt;INDEX(Simulations!$J$3:$J$62,MATCH($A7,Simulations!$A$3:$A$62,0)),$D7/(INDEX(Simulations!$G$3:$G$62,MATCH($A7,Simulations!$A$3:$A$62,0))*INDEX(Simulations!$H$3:$H$62,MATCH($A7,Simulations!$A$3:$A$62,0))*IF(INDEX(Simulations!$I$3:$I$62,MATCH($A7,Simulations!$A$3:$A$62,0))&gt;0,INDEX(Simulations!$I$3:$I$62,MATCH($A7,Simulations!$A$3:$A$62,0)),1))*$G7*(PI()/2*INDEX(Simulations!$T$3:$T$62,MATCH($A7,Simulations!$A$3:$A$62,0))^2*IF(INDEX(Simulations!$I$3:$I$62,MATCH($A7,Simulations!$A$3:$A$62,0))&gt;0,SQRT(PI()/2)*INDEX(Simulations!$U$3:$U$62,MATCH($A7,Simulations!$A$3:$A$62,0)),1)),$D7/(INDEX(Simulations!$G$3:$G$62,MATCH($A7,Simulations!$A$3:$A$62,0))*INDEX(Simulations!$H$3:$H$62,MATCH($A7,Simulations!$A$3:$A$62,0))*IF(INDEX(Simulations!$I$3:$I$62,MATCH($A7,Simulations!$A$3:$A$62,0))&gt;0,INDEX(Simulations!$I$3:$I$62,MATCH($A7,Simulations!$A$3:$A$62,0)),1))*INDEX(Simulations!$J$3:$J$62,MATCH($A7,Simulations!$A$3:$A$62,0))*IF(INDEX(Simulations!$I$3:$I$62,MATCH($A7,Simulations!$A$3:$A$62,0))&gt;0,2*PI()*INDEX(Simulations!$T$3:$T$62,MATCH($A7,Simulations!$A$3:$A$62,0))^2*INDEX(Simulations!$U$3:$U$62,MATCH($A7,Simulations!$A$3:$A$62,0))/2^1.5*(2/3*LN($G7/INDEX(Simulations!$J$3:$J$62,MATCH($A7,Simulations!$A$3:$A$62,0)))^1.5+SQRT(LN($G7/INDEX(Simulations!$J$3:$J$62,MATCH($A7,Simulations!$A$3:$A$62,0))))+$G7/INDEX(Simulations!$J$3:$J$62,MATCH($A7,Simulations!$A$3:$A$62,0))*SQRT(PI())/2*ERFC(SQRT(LN($G7/INDEX(Simulations!$J$3:$J$62,MATCH($A7,Simulations!$A$3:$A$62,0)))))),PI()*INDEX(Simulations!$T$3:$T$62,MATCH($A7,Simulations!$A$3:$A$62,0))^2/2*(LN($G7/INDEX(Simulations!$J$3:$J$62,MATCH($A7,Simulations!$A$3:$A$62,0)))+1)))))</f>
        <v>3.14992198914448</v>
      </c>
      <c r="T7" s="16" t="n">
        <f aca="false">IF(OR($A7="",ISNA(MATCH($A7,Simulations!$A$3:$A$62,0))),"",IF(N($H7)&lt;=0,0,IF($H7&lt;INDEX(Simulations!$J$3:$J$62,MATCH($A7,Simulations!$A$3:$A$62,0)),$D7/(INDEX(Simulations!$G$3:$G$62,MATCH($A7,Simulations!$A$3:$A$62,0))*INDEX(Simulations!$H$3:$H$62,MATCH($A7,Simulations!$A$3:$A$62,0))*IF(INDEX(Simulations!$I$3:$I$62,MATCH($A7,Simulations!$A$3:$A$62,0))&gt;0,INDEX(Simulations!$I$3:$I$62,MATCH($A7,Simulations!$A$3:$A$62,0)),1))*$H7*(PI()/2*INDEX(Simulations!$T$3:$T$62,MATCH($A7,Simulations!$A$3:$A$62,0))^2*IF(INDEX(Simulations!$I$3:$I$62,MATCH($A7,Simulations!$A$3:$A$62,0))&gt;0,SQRT(PI()/2)*INDEX(Simulations!$U$3:$U$62,MATCH($A7,Simulations!$A$3:$A$62,0)),1)),$D7/(INDEX(Simulations!$G$3:$G$62,MATCH($A7,Simulations!$A$3:$A$62,0))*INDEX(Simulations!$H$3:$H$62,MATCH($A7,Simulations!$A$3:$A$62,0))*IF(INDEX(Simulations!$I$3:$I$62,MATCH($A7,Simulations!$A$3:$A$62,0))&gt;0,INDEX(Simulations!$I$3:$I$62,MATCH($A7,Simulations!$A$3:$A$62,0)),1))*INDEX(Simulations!$J$3:$J$62,MATCH($A7,Simulations!$A$3:$A$62,0))*IF(INDEX(Simulations!$I$3:$I$62,MATCH($A7,Simulations!$A$3:$A$62,0))&gt;0,2*PI()*INDEX(Simulations!$T$3:$T$62,MATCH($A7,Simulations!$A$3:$A$62,0))^2*INDEX(Simulations!$U$3:$U$62,MATCH($A7,Simulations!$A$3:$A$62,0))/2^1.5*(2/3*LN($H7/INDEX(Simulations!$J$3:$J$62,MATCH($A7,Simulations!$A$3:$A$62,0)))^1.5+SQRT(LN($H7/INDEX(Simulations!$J$3:$J$62,MATCH($A7,Simulations!$A$3:$A$62,0))))+$H7/INDEX(Simulations!$J$3:$J$62,MATCH($A7,Simulations!$A$3:$A$62,0))*SQRT(PI())/2*ERFC(SQRT(LN($H7/INDEX(Simulations!$J$3:$J$62,MATCH($A7,Simulations!$A$3:$A$62,0)))))),PI()*INDEX(Simulations!$T$3:$T$62,MATCH($A7,Simulations!$A$3:$A$62,0))^2/2*(LN($H7/INDEX(Simulations!$J$3:$J$62,MATCH($A7,Simulations!$A$3:$A$62,0)))+1)))))</f>
        <v>0</v>
      </c>
      <c r="U7" s="18" t="n">
        <f aca="false">IF(OR(OR($A7="",ISNA(MATCH($A7,Simulations!$A$3:$A$62,0))),N($C7)&lt;=0),"",SQRT(2*$C7*1000000/(INDEX(Simulations!$J$3:$J$62,MATCH($A7,Simulations!$A$3:$A$62,0))*1000))/INDEX(Simulations!$T$3:$T$62,MATCH($A7,Simulations!$A$3:$A$62,0)))</f>
        <v>0.05</v>
      </c>
      <c r="V7" s="19" t="str">
        <f aca="false">IF($A7="","",IF(ISNA(MATCH($A7,Simulations!$A$3:$A$62,0)),"✖ Sim ID not found on the Simulations sheet",IF($P7&gt;=1,"✖ brightness &gt;= sampling frequency: completely saturated (D too small, c too large)",IF($P7&gt;0.1,"⚠ brightness &gt; 10% of the sampling frequency: focus starts to saturate",IF(N($U7)&gt;0.1,"⚠ diffusion step &gt; 10% of wr: raise the sampling frequency",IF(MAX($E7:$H7)=0,"⚠ no brightness set","✔ OK"))))))</f>
        <v>✔ OK</v>
      </c>
    </row>
    <row r="8" customFormat="false" ht="23.85" hidden="false" customHeight="false" outlineLevel="0" collapsed="false">
      <c r="A8" s="13" t="s">
        <v>84</v>
      </c>
      <c r="B8" s="13" t="s">
        <v>132</v>
      </c>
      <c r="C8" s="13" t="n">
        <v>400</v>
      </c>
      <c r="D8" s="13" t="n">
        <v>10</v>
      </c>
      <c r="E8" s="13" t="n">
        <v>10000</v>
      </c>
      <c r="F8" s="13" t="n">
        <v>0</v>
      </c>
      <c r="G8" s="13" t="n">
        <v>0</v>
      </c>
      <c r="H8" s="13" t="n">
        <v>0</v>
      </c>
      <c r="I8" s="13" t="n">
        <v>4</v>
      </c>
      <c r="J8" s="13" t="n">
        <v>3</v>
      </c>
      <c r="K8" s="13" t="n">
        <v>2.5</v>
      </c>
      <c r="L8" s="13" t="n">
        <v>2.5</v>
      </c>
      <c r="M8" s="13" t="s">
        <v>131</v>
      </c>
      <c r="N8" s="14"/>
      <c r="O8" s="18" t="n">
        <f aca="false">IF(OR($A8="",ISNA(MATCH($A8,Simulations!$A$3:$A$62,0))),"",IF(INDEX(Simulations!$I$3:$I$62,MATCH($A8,Simulations!$A$3:$A$62,0))&gt;0,$D8/(INDEX(Simulations!$G$3:$G$62,MATCH($A8,Simulations!$A$3:$A$62,0))*INDEX(Simulations!$H$3:$H$62,MATCH($A8,Simulations!$A$3:$A$62,0))*IF(INDEX(Simulations!$I$3:$I$62,MATCH($A8,Simulations!$A$3:$A$62,0))&gt;0,INDEX(Simulations!$I$3:$I$62,MATCH($A8,Simulations!$A$3:$A$62,0)),1))/1E-024/6.022E+023/0.000000001,""))</f>
        <v>0.13284623048821</v>
      </c>
      <c r="P8" s="20" t="n">
        <f aca="false">IF(OR($A8="",ISNA(MATCH($A8,Simulations!$A$3:$A$62,0))),"",MAX($E8:$H8)/INDEX(Simulations!$J$3:$J$62,MATCH($A8,Simulations!$A$3:$A$62,0)))</f>
        <v>10</v>
      </c>
      <c r="Q8" s="16" t="n">
        <f aca="false">IF(OR($A8="",ISNA(MATCH($A8,Simulations!$A$3:$A$62,0))),"",IF(N($E8)&lt;=0,0,IF($E8&lt;INDEX(Simulations!$J$3:$J$62,MATCH($A8,Simulations!$A$3:$A$62,0)),$D8/(INDEX(Simulations!$G$3:$G$62,MATCH($A8,Simulations!$A$3:$A$62,0))*INDEX(Simulations!$H$3:$H$62,MATCH($A8,Simulations!$A$3:$A$62,0))*IF(INDEX(Simulations!$I$3:$I$62,MATCH($A8,Simulations!$A$3:$A$62,0))&gt;0,INDEX(Simulations!$I$3:$I$62,MATCH($A8,Simulations!$A$3:$A$62,0)),1))*$E8*(PI()/2*INDEX(Simulations!$T$3:$T$62,MATCH($A8,Simulations!$A$3:$A$62,0))^2*IF(INDEX(Simulations!$I$3:$I$62,MATCH($A8,Simulations!$A$3:$A$62,0))&gt;0,SQRT(PI()/2)*INDEX(Simulations!$U$3:$U$62,MATCH($A8,Simulations!$A$3:$A$62,0)),1)),$D8/(INDEX(Simulations!$G$3:$G$62,MATCH($A8,Simulations!$A$3:$A$62,0))*INDEX(Simulations!$H$3:$H$62,MATCH($A8,Simulations!$A$3:$A$62,0))*IF(INDEX(Simulations!$I$3:$I$62,MATCH($A8,Simulations!$A$3:$A$62,0))&gt;0,INDEX(Simulations!$I$3:$I$62,MATCH($A8,Simulations!$A$3:$A$62,0)),1))*INDEX(Simulations!$J$3:$J$62,MATCH($A8,Simulations!$A$3:$A$62,0))*IF(INDEX(Simulations!$I$3:$I$62,MATCH($A8,Simulations!$A$3:$A$62,0))&gt;0,2*PI()*INDEX(Simulations!$T$3:$T$62,MATCH($A8,Simulations!$A$3:$A$62,0))^2*INDEX(Simulations!$U$3:$U$62,MATCH($A8,Simulations!$A$3:$A$62,0))/2^1.5*(2/3*LN($E8/INDEX(Simulations!$J$3:$J$62,MATCH($A8,Simulations!$A$3:$A$62,0)))^1.5+SQRT(LN($E8/INDEX(Simulations!$J$3:$J$62,MATCH($A8,Simulations!$A$3:$A$62,0))))+$E8/INDEX(Simulations!$J$3:$J$62,MATCH($A8,Simulations!$A$3:$A$62,0))*SQRT(PI())/2*ERFC(SQRT(LN($E8/INDEX(Simulations!$J$3:$J$62,MATCH($A8,Simulations!$A$3:$A$62,0)))))),PI()*INDEX(Simulations!$T$3:$T$62,MATCH($A8,Simulations!$A$3:$A$62,0))^2/2*(LN($E8/INDEX(Simulations!$J$3:$J$62,MATCH($A8,Simulations!$A$3:$A$62,0)))+1)))))</f>
        <v>29.3532730881177</v>
      </c>
      <c r="R8" s="16" t="n">
        <f aca="false">IF(OR($A8="",ISNA(MATCH($A8,Simulations!$A$3:$A$62,0))),"",IF(N($F8)&lt;=0,0,IF($F8&lt;INDEX(Simulations!$J$3:$J$62,MATCH($A8,Simulations!$A$3:$A$62,0)),$D8/(INDEX(Simulations!$G$3:$G$62,MATCH($A8,Simulations!$A$3:$A$62,0))*INDEX(Simulations!$H$3:$H$62,MATCH($A8,Simulations!$A$3:$A$62,0))*IF(INDEX(Simulations!$I$3:$I$62,MATCH($A8,Simulations!$A$3:$A$62,0))&gt;0,INDEX(Simulations!$I$3:$I$62,MATCH($A8,Simulations!$A$3:$A$62,0)),1))*$F8*(PI()/2*INDEX(Simulations!$T$3:$T$62,MATCH($A8,Simulations!$A$3:$A$62,0))^2*IF(INDEX(Simulations!$I$3:$I$62,MATCH($A8,Simulations!$A$3:$A$62,0))&gt;0,SQRT(PI()/2)*INDEX(Simulations!$U$3:$U$62,MATCH($A8,Simulations!$A$3:$A$62,0)),1)),$D8/(INDEX(Simulations!$G$3:$G$62,MATCH($A8,Simulations!$A$3:$A$62,0))*INDEX(Simulations!$H$3:$H$62,MATCH($A8,Simulations!$A$3:$A$62,0))*IF(INDEX(Simulations!$I$3:$I$62,MATCH($A8,Simulations!$A$3:$A$62,0))&gt;0,INDEX(Simulations!$I$3:$I$62,MATCH($A8,Simulations!$A$3:$A$62,0)),1))*INDEX(Simulations!$J$3:$J$62,MATCH($A8,Simulations!$A$3:$A$62,0))*IF(INDEX(Simulations!$I$3:$I$62,MATCH($A8,Simulations!$A$3:$A$62,0))&gt;0,2*PI()*INDEX(Simulations!$T$3:$T$62,MATCH($A8,Simulations!$A$3:$A$62,0))^2*INDEX(Simulations!$U$3:$U$62,MATCH($A8,Simulations!$A$3:$A$62,0))/2^1.5*(2/3*LN($F8/INDEX(Simulations!$J$3:$J$62,MATCH($A8,Simulations!$A$3:$A$62,0)))^1.5+SQRT(LN($F8/INDEX(Simulations!$J$3:$J$62,MATCH($A8,Simulations!$A$3:$A$62,0))))+$F8/INDEX(Simulations!$J$3:$J$62,MATCH($A8,Simulations!$A$3:$A$62,0))*SQRT(PI())/2*ERFC(SQRT(LN($F8/INDEX(Simulations!$J$3:$J$62,MATCH($A8,Simulations!$A$3:$A$62,0)))))),PI()*INDEX(Simulations!$T$3:$T$62,MATCH($A8,Simulations!$A$3:$A$62,0))^2/2*(LN($F8/INDEX(Simulations!$J$3:$J$62,MATCH($A8,Simulations!$A$3:$A$62,0)))+1)))))</f>
        <v>0</v>
      </c>
      <c r="S8" s="16" t="n">
        <f aca="false">IF(OR($A8="",ISNA(MATCH($A8,Simulations!$A$3:$A$62,0))),"",IF(N($G8)&lt;=0,0,IF($G8&lt;INDEX(Simulations!$J$3:$J$62,MATCH($A8,Simulations!$A$3:$A$62,0)),$D8/(INDEX(Simulations!$G$3:$G$62,MATCH($A8,Simulations!$A$3:$A$62,0))*INDEX(Simulations!$H$3:$H$62,MATCH($A8,Simulations!$A$3:$A$62,0))*IF(INDEX(Simulations!$I$3:$I$62,MATCH($A8,Simulations!$A$3:$A$62,0))&gt;0,INDEX(Simulations!$I$3:$I$62,MATCH($A8,Simulations!$A$3:$A$62,0)),1))*$G8*(PI()/2*INDEX(Simulations!$T$3:$T$62,MATCH($A8,Simulations!$A$3:$A$62,0))^2*IF(INDEX(Simulations!$I$3:$I$62,MATCH($A8,Simulations!$A$3:$A$62,0))&gt;0,SQRT(PI()/2)*INDEX(Simulations!$U$3:$U$62,MATCH($A8,Simulations!$A$3:$A$62,0)),1)),$D8/(INDEX(Simulations!$G$3:$G$62,MATCH($A8,Simulations!$A$3:$A$62,0))*INDEX(Simulations!$H$3:$H$62,MATCH($A8,Simulations!$A$3:$A$62,0))*IF(INDEX(Simulations!$I$3:$I$62,MATCH($A8,Simulations!$A$3:$A$62,0))&gt;0,INDEX(Simulations!$I$3:$I$62,MATCH($A8,Simulations!$A$3:$A$62,0)),1))*INDEX(Simulations!$J$3:$J$62,MATCH($A8,Simulations!$A$3:$A$62,0))*IF(INDEX(Simulations!$I$3:$I$62,MATCH($A8,Simulations!$A$3:$A$62,0))&gt;0,2*PI()*INDEX(Simulations!$T$3:$T$62,MATCH($A8,Simulations!$A$3:$A$62,0))^2*INDEX(Simulations!$U$3:$U$62,MATCH($A8,Simulations!$A$3:$A$62,0))/2^1.5*(2/3*LN($G8/INDEX(Simulations!$J$3:$J$62,MATCH($A8,Simulations!$A$3:$A$62,0)))^1.5+SQRT(LN($G8/INDEX(Simulations!$J$3:$J$62,MATCH($A8,Simulations!$A$3:$A$62,0))))+$G8/INDEX(Simulations!$J$3:$J$62,MATCH($A8,Simulations!$A$3:$A$62,0))*SQRT(PI())/2*ERFC(SQRT(LN($G8/INDEX(Simulations!$J$3:$J$62,MATCH($A8,Simulations!$A$3:$A$62,0)))))),PI()*INDEX(Simulations!$T$3:$T$62,MATCH($A8,Simulations!$A$3:$A$62,0))^2/2*(LN($G8/INDEX(Simulations!$J$3:$J$62,MATCH($A8,Simulations!$A$3:$A$62,0)))+1)))))</f>
        <v>0</v>
      </c>
      <c r="T8" s="16" t="n">
        <f aca="false">IF(OR($A8="",ISNA(MATCH($A8,Simulations!$A$3:$A$62,0))),"",IF(N($H8)&lt;=0,0,IF($H8&lt;INDEX(Simulations!$J$3:$J$62,MATCH($A8,Simulations!$A$3:$A$62,0)),$D8/(INDEX(Simulations!$G$3:$G$62,MATCH($A8,Simulations!$A$3:$A$62,0))*INDEX(Simulations!$H$3:$H$62,MATCH($A8,Simulations!$A$3:$A$62,0))*IF(INDEX(Simulations!$I$3:$I$62,MATCH($A8,Simulations!$A$3:$A$62,0))&gt;0,INDEX(Simulations!$I$3:$I$62,MATCH($A8,Simulations!$A$3:$A$62,0)),1))*$H8*(PI()/2*INDEX(Simulations!$T$3:$T$62,MATCH($A8,Simulations!$A$3:$A$62,0))^2*IF(INDEX(Simulations!$I$3:$I$62,MATCH($A8,Simulations!$A$3:$A$62,0))&gt;0,SQRT(PI()/2)*INDEX(Simulations!$U$3:$U$62,MATCH($A8,Simulations!$A$3:$A$62,0)),1)),$D8/(INDEX(Simulations!$G$3:$G$62,MATCH($A8,Simulations!$A$3:$A$62,0))*INDEX(Simulations!$H$3:$H$62,MATCH($A8,Simulations!$A$3:$A$62,0))*IF(INDEX(Simulations!$I$3:$I$62,MATCH($A8,Simulations!$A$3:$A$62,0))&gt;0,INDEX(Simulations!$I$3:$I$62,MATCH($A8,Simulations!$A$3:$A$62,0)),1))*INDEX(Simulations!$J$3:$J$62,MATCH($A8,Simulations!$A$3:$A$62,0))*IF(INDEX(Simulations!$I$3:$I$62,MATCH($A8,Simulations!$A$3:$A$62,0))&gt;0,2*PI()*INDEX(Simulations!$T$3:$T$62,MATCH($A8,Simulations!$A$3:$A$62,0))^2*INDEX(Simulations!$U$3:$U$62,MATCH($A8,Simulations!$A$3:$A$62,0))/2^1.5*(2/3*LN($H8/INDEX(Simulations!$J$3:$J$62,MATCH($A8,Simulations!$A$3:$A$62,0)))^1.5+SQRT(LN($H8/INDEX(Simulations!$J$3:$J$62,MATCH($A8,Simulations!$A$3:$A$62,0))))+$H8/INDEX(Simulations!$J$3:$J$62,MATCH($A8,Simulations!$A$3:$A$62,0))*SQRT(PI())/2*ERFC(SQRT(LN($H8/INDEX(Simulations!$J$3:$J$62,MATCH($A8,Simulations!$A$3:$A$62,0)))))),PI()*INDEX(Simulations!$T$3:$T$62,MATCH($A8,Simulations!$A$3:$A$62,0))^2/2*(LN($H8/INDEX(Simulations!$J$3:$J$62,MATCH($A8,Simulations!$A$3:$A$62,0)))+1)))))</f>
        <v>0</v>
      </c>
      <c r="U8" s="18" t="n">
        <f aca="false">IF(OR(OR($A8="",ISNA(MATCH($A8,Simulations!$A$3:$A$62,0))),N($C8)&lt;=0),"",SQRT(2*$C8*1000000/(INDEX(Simulations!$J$3:$J$62,MATCH($A8,Simulations!$A$3:$A$62,0))*1000))/INDEX(Simulations!$T$3:$T$62,MATCH($A8,Simulations!$A$3:$A$62,0)))</f>
        <v>0.14142135623731</v>
      </c>
      <c r="V8" s="19" t="str">
        <f aca="false">IF($A8="","",IF(ISNA(MATCH($A8,Simulations!$A$3:$A$62,0)),"✖ Sim ID not found on the Simulations sheet",IF($P8&gt;=1,"✖ brightness &gt;= sampling frequency: completely saturated (D too small, c too large)",IF($P8&gt;0.1,"⚠ brightness &gt; 10% of the sampling frequency: focus starts to saturate",IF(N($U8)&gt;0.1,"⚠ diffusion step &gt; 10% of wr: raise the sampling frequency",IF(MAX($E8:$H8)=0,"⚠ no brightness set","✔ OK"))))))</f>
        <v>✖ brightness &gt;= sampling frequency: completely saturated (D too small, c too large)</v>
      </c>
    </row>
    <row r="9" customFormat="false" ht="23.85" hidden="false" customHeight="false" outlineLevel="0" collapsed="false">
      <c r="A9" s="13" t="s">
        <v>84</v>
      </c>
      <c r="B9" s="13" t="s">
        <v>133</v>
      </c>
      <c r="C9" s="13" t="n">
        <v>400</v>
      </c>
      <c r="D9" s="13" t="n">
        <v>10</v>
      </c>
      <c r="E9" s="13" t="n">
        <v>0</v>
      </c>
      <c r="F9" s="13" t="n">
        <v>10000</v>
      </c>
      <c r="G9" s="13" t="n">
        <v>0</v>
      </c>
      <c r="H9" s="13" t="n">
        <v>0</v>
      </c>
      <c r="I9" s="13" t="n">
        <v>4</v>
      </c>
      <c r="J9" s="13" t="n">
        <v>3</v>
      </c>
      <c r="K9" s="13" t="n">
        <v>2.5</v>
      </c>
      <c r="L9" s="13" t="n">
        <v>2.5</v>
      </c>
      <c r="M9" s="13" t="s">
        <v>131</v>
      </c>
      <c r="N9" s="14"/>
      <c r="O9" s="18" t="n">
        <f aca="false">IF(OR($A9="",ISNA(MATCH($A9,Simulations!$A$3:$A$62,0))),"",IF(INDEX(Simulations!$I$3:$I$62,MATCH($A9,Simulations!$A$3:$A$62,0))&gt;0,$D9/(INDEX(Simulations!$G$3:$G$62,MATCH($A9,Simulations!$A$3:$A$62,0))*INDEX(Simulations!$H$3:$H$62,MATCH($A9,Simulations!$A$3:$A$62,0))*IF(INDEX(Simulations!$I$3:$I$62,MATCH($A9,Simulations!$A$3:$A$62,0))&gt;0,INDEX(Simulations!$I$3:$I$62,MATCH($A9,Simulations!$A$3:$A$62,0)),1))/1E-024/6.022E+023/0.000000001,""))</f>
        <v>0.13284623048821</v>
      </c>
      <c r="P9" s="20" t="n">
        <f aca="false">IF(OR($A9="",ISNA(MATCH($A9,Simulations!$A$3:$A$62,0))),"",MAX($E9:$H9)/INDEX(Simulations!$J$3:$J$62,MATCH($A9,Simulations!$A$3:$A$62,0)))</f>
        <v>10</v>
      </c>
      <c r="Q9" s="16" t="n">
        <f aca="false">IF(OR($A9="",ISNA(MATCH($A9,Simulations!$A$3:$A$62,0))),"",IF(N($E9)&lt;=0,0,IF($E9&lt;INDEX(Simulations!$J$3:$J$62,MATCH($A9,Simulations!$A$3:$A$62,0)),$D9/(INDEX(Simulations!$G$3:$G$62,MATCH($A9,Simulations!$A$3:$A$62,0))*INDEX(Simulations!$H$3:$H$62,MATCH($A9,Simulations!$A$3:$A$62,0))*IF(INDEX(Simulations!$I$3:$I$62,MATCH($A9,Simulations!$A$3:$A$62,0))&gt;0,INDEX(Simulations!$I$3:$I$62,MATCH($A9,Simulations!$A$3:$A$62,0)),1))*$E9*(PI()/2*INDEX(Simulations!$T$3:$T$62,MATCH($A9,Simulations!$A$3:$A$62,0))^2*IF(INDEX(Simulations!$I$3:$I$62,MATCH($A9,Simulations!$A$3:$A$62,0))&gt;0,SQRT(PI()/2)*INDEX(Simulations!$U$3:$U$62,MATCH($A9,Simulations!$A$3:$A$62,0)),1)),$D9/(INDEX(Simulations!$G$3:$G$62,MATCH($A9,Simulations!$A$3:$A$62,0))*INDEX(Simulations!$H$3:$H$62,MATCH($A9,Simulations!$A$3:$A$62,0))*IF(INDEX(Simulations!$I$3:$I$62,MATCH($A9,Simulations!$A$3:$A$62,0))&gt;0,INDEX(Simulations!$I$3:$I$62,MATCH($A9,Simulations!$A$3:$A$62,0)),1))*INDEX(Simulations!$J$3:$J$62,MATCH($A9,Simulations!$A$3:$A$62,0))*IF(INDEX(Simulations!$I$3:$I$62,MATCH($A9,Simulations!$A$3:$A$62,0))&gt;0,2*PI()*INDEX(Simulations!$T$3:$T$62,MATCH($A9,Simulations!$A$3:$A$62,0))^2*INDEX(Simulations!$U$3:$U$62,MATCH($A9,Simulations!$A$3:$A$62,0))/2^1.5*(2/3*LN($E9/INDEX(Simulations!$J$3:$J$62,MATCH($A9,Simulations!$A$3:$A$62,0)))^1.5+SQRT(LN($E9/INDEX(Simulations!$J$3:$J$62,MATCH($A9,Simulations!$A$3:$A$62,0))))+$E9/INDEX(Simulations!$J$3:$J$62,MATCH($A9,Simulations!$A$3:$A$62,0))*SQRT(PI())/2*ERFC(SQRT(LN($E9/INDEX(Simulations!$J$3:$J$62,MATCH($A9,Simulations!$A$3:$A$62,0)))))),PI()*INDEX(Simulations!$T$3:$T$62,MATCH($A9,Simulations!$A$3:$A$62,0))^2/2*(LN($E9/INDEX(Simulations!$J$3:$J$62,MATCH($A9,Simulations!$A$3:$A$62,0)))+1)))))</f>
        <v>0</v>
      </c>
      <c r="R9" s="16" t="n">
        <f aca="false">IF(OR($A9="",ISNA(MATCH($A9,Simulations!$A$3:$A$62,0))),"",IF(N($F9)&lt;=0,0,IF($F9&lt;INDEX(Simulations!$J$3:$J$62,MATCH($A9,Simulations!$A$3:$A$62,0)),$D9/(INDEX(Simulations!$G$3:$G$62,MATCH($A9,Simulations!$A$3:$A$62,0))*INDEX(Simulations!$H$3:$H$62,MATCH($A9,Simulations!$A$3:$A$62,0))*IF(INDEX(Simulations!$I$3:$I$62,MATCH($A9,Simulations!$A$3:$A$62,0))&gt;0,INDEX(Simulations!$I$3:$I$62,MATCH($A9,Simulations!$A$3:$A$62,0)),1))*$F9*(PI()/2*INDEX(Simulations!$T$3:$T$62,MATCH($A9,Simulations!$A$3:$A$62,0))^2*IF(INDEX(Simulations!$I$3:$I$62,MATCH($A9,Simulations!$A$3:$A$62,0))&gt;0,SQRT(PI()/2)*INDEX(Simulations!$U$3:$U$62,MATCH($A9,Simulations!$A$3:$A$62,0)),1)),$D9/(INDEX(Simulations!$G$3:$G$62,MATCH($A9,Simulations!$A$3:$A$62,0))*INDEX(Simulations!$H$3:$H$62,MATCH($A9,Simulations!$A$3:$A$62,0))*IF(INDEX(Simulations!$I$3:$I$62,MATCH($A9,Simulations!$A$3:$A$62,0))&gt;0,INDEX(Simulations!$I$3:$I$62,MATCH($A9,Simulations!$A$3:$A$62,0)),1))*INDEX(Simulations!$J$3:$J$62,MATCH($A9,Simulations!$A$3:$A$62,0))*IF(INDEX(Simulations!$I$3:$I$62,MATCH($A9,Simulations!$A$3:$A$62,0))&gt;0,2*PI()*INDEX(Simulations!$T$3:$T$62,MATCH($A9,Simulations!$A$3:$A$62,0))^2*INDEX(Simulations!$U$3:$U$62,MATCH($A9,Simulations!$A$3:$A$62,0))/2^1.5*(2/3*LN($F9/INDEX(Simulations!$J$3:$J$62,MATCH($A9,Simulations!$A$3:$A$62,0)))^1.5+SQRT(LN($F9/INDEX(Simulations!$J$3:$J$62,MATCH($A9,Simulations!$A$3:$A$62,0))))+$F9/INDEX(Simulations!$J$3:$J$62,MATCH($A9,Simulations!$A$3:$A$62,0))*SQRT(PI())/2*ERFC(SQRT(LN($F9/INDEX(Simulations!$J$3:$J$62,MATCH($A9,Simulations!$A$3:$A$62,0)))))),PI()*INDEX(Simulations!$T$3:$T$62,MATCH($A9,Simulations!$A$3:$A$62,0))^2/2*(LN($F9/INDEX(Simulations!$J$3:$J$62,MATCH($A9,Simulations!$A$3:$A$62,0)))+1)))))</f>
        <v>29.3532730881177</v>
      </c>
      <c r="S9" s="16" t="n">
        <f aca="false">IF(OR($A9="",ISNA(MATCH($A9,Simulations!$A$3:$A$62,0))),"",IF(N($G9)&lt;=0,0,IF($G9&lt;INDEX(Simulations!$J$3:$J$62,MATCH($A9,Simulations!$A$3:$A$62,0)),$D9/(INDEX(Simulations!$G$3:$G$62,MATCH($A9,Simulations!$A$3:$A$62,0))*INDEX(Simulations!$H$3:$H$62,MATCH($A9,Simulations!$A$3:$A$62,0))*IF(INDEX(Simulations!$I$3:$I$62,MATCH($A9,Simulations!$A$3:$A$62,0))&gt;0,INDEX(Simulations!$I$3:$I$62,MATCH($A9,Simulations!$A$3:$A$62,0)),1))*$G9*(PI()/2*INDEX(Simulations!$T$3:$T$62,MATCH($A9,Simulations!$A$3:$A$62,0))^2*IF(INDEX(Simulations!$I$3:$I$62,MATCH($A9,Simulations!$A$3:$A$62,0))&gt;0,SQRT(PI()/2)*INDEX(Simulations!$U$3:$U$62,MATCH($A9,Simulations!$A$3:$A$62,0)),1)),$D9/(INDEX(Simulations!$G$3:$G$62,MATCH($A9,Simulations!$A$3:$A$62,0))*INDEX(Simulations!$H$3:$H$62,MATCH($A9,Simulations!$A$3:$A$62,0))*IF(INDEX(Simulations!$I$3:$I$62,MATCH($A9,Simulations!$A$3:$A$62,0))&gt;0,INDEX(Simulations!$I$3:$I$62,MATCH($A9,Simulations!$A$3:$A$62,0)),1))*INDEX(Simulations!$J$3:$J$62,MATCH($A9,Simulations!$A$3:$A$62,0))*IF(INDEX(Simulations!$I$3:$I$62,MATCH($A9,Simulations!$A$3:$A$62,0))&gt;0,2*PI()*INDEX(Simulations!$T$3:$T$62,MATCH($A9,Simulations!$A$3:$A$62,0))^2*INDEX(Simulations!$U$3:$U$62,MATCH($A9,Simulations!$A$3:$A$62,0))/2^1.5*(2/3*LN($G9/INDEX(Simulations!$J$3:$J$62,MATCH($A9,Simulations!$A$3:$A$62,0)))^1.5+SQRT(LN($G9/INDEX(Simulations!$J$3:$J$62,MATCH($A9,Simulations!$A$3:$A$62,0))))+$G9/INDEX(Simulations!$J$3:$J$62,MATCH($A9,Simulations!$A$3:$A$62,0))*SQRT(PI())/2*ERFC(SQRT(LN($G9/INDEX(Simulations!$J$3:$J$62,MATCH($A9,Simulations!$A$3:$A$62,0)))))),PI()*INDEX(Simulations!$T$3:$T$62,MATCH($A9,Simulations!$A$3:$A$62,0))^2/2*(LN($G9/INDEX(Simulations!$J$3:$J$62,MATCH($A9,Simulations!$A$3:$A$62,0)))+1)))))</f>
        <v>0</v>
      </c>
      <c r="T9" s="16" t="n">
        <f aca="false">IF(OR($A9="",ISNA(MATCH($A9,Simulations!$A$3:$A$62,0))),"",IF(N($H9)&lt;=0,0,IF($H9&lt;INDEX(Simulations!$J$3:$J$62,MATCH($A9,Simulations!$A$3:$A$62,0)),$D9/(INDEX(Simulations!$G$3:$G$62,MATCH($A9,Simulations!$A$3:$A$62,0))*INDEX(Simulations!$H$3:$H$62,MATCH($A9,Simulations!$A$3:$A$62,0))*IF(INDEX(Simulations!$I$3:$I$62,MATCH($A9,Simulations!$A$3:$A$62,0))&gt;0,INDEX(Simulations!$I$3:$I$62,MATCH($A9,Simulations!$A$3:$A$62,0)),1))*$H9*(PI()/2*INDEX(Simulations!$T$3:$T$62,MATCH($A9,Simulations!$A$3:$A$62,0))^2*IF(INDEX(Simulations!$I$3:$I$62,MATCH($A9,Simulations!$A$3:$A$62,0))&gt;0,SQRT(PI()/2)*INDEX(Simulations!$U$3:$U$62,MATCH($A9,Simulations!$A$3:$A$62,0)),1)),$D9/(INDEX(Simulations!$G$3:$G$62,MATCH($A9,Simulations!$A$3:$A$62,0))*INDEX(Simulations!$H$3:$H$62,MATCH($A9,Simulations!$A$3:$A$62,0))*IF(INDEX(Simulations!$I$3:$I$62,MATCH($A9,Simulations!$A$3:$A$62,0))&gt;0,INDEX(Simulations!$I$3:$I$62,MATCH($A9,Simulations!$A$3:$A$62,0)),1))*INDEX(Simulations!$J$3:$J$62,MATCH($A9,Simulations!$A$3:$A$62,0))*IF(INDEX(Simulations!$I$3:$I$62,MATCH($A9,Simulations!$A$3:$A$62,0))&gt;0,2*PI()*INDEX(Simulations!$T$3:$T$62,MATCH($A9,Simulations!$A$3:$A$62,0))^2*INDEX(Simulations!$U$3:$U$62,MATCH($A9,Simulations!$A$3:$A$62,0))/2^1.5*(2/3*LN($H9/INDEX(Simulations!$J$3:$J$62,MATCH($A9,Simulations!$A$3:$A$62,0)))^1.5+SQRT(LN($H9/INDEX(Simulations!$J$3:$J$62,MATCH($A9,Simulations!$A$3:$A$62,0))))+$H9/INDEX(Simulations!$J$3:$J$62,MATCH($A9,Simulations!$A$3:$A$62,0))*SQRT(PI())/2*ERFC(SQRT(LN($H9/INDEX(Simulations!$J$3:$J$62,MATCH($A9,Simulations!$A$3:$A$62,0)))))),PI()*INDEX(Simulations!$T$3:$T$62,MATCH($A9,Simulations!$A$3:$A$62,0))^2/2*(LN($H9/INDEX(Simulations!$J$3:$J$62,MATCH($A9,Simulations!$A$3:$A$62,0)))+1)))))</f>
        <v>0</v>
      </c>
      <c r="U9" s="18" t="n">
        <f aca="false">IF(OR(OR($A9="",ISNA(MATCH($A9,Simulations!$A$3:$A$62,0))),N($C9)&lt;=0),"",SQRT(2*$C9*1000000/(INDEX(Simulations!$J$3:$J$62,MATCH($A9,Simulations!$A$3:$A$62,0))*1000))/INDEX(Simulations!$T$3:$T$62,MATCH($A9,Simulations!$A$3:$A$62,0)))</f>
        <v>0.14142135623731</v>
      </c>
      <c r="V9" s="19" t="str">
        <f aca="false">IF($A9="","",IF(ISNA(MATCH($A9,Simulations!$A$3:$A$62,0)),"✖ Sim ID not found on the Simulations sheet",IF($P9&gt;=1,"✖ brightness &gt;= sampling frequency: completely saturated (D too small, c too large)",IF($P9&gt;0.1,"⚠ brightness &gt; 10% of the sampling frequency: focus starts to saturate",IF(N($U9)&gt;0.1,"⚠ diffusion step &gt; 10% of wr: raise the sampling frequency",IF(MAX($E9:$H9)=0,"⚠ no brightness set","✔ OK"))))))</f>
        <v>✖ brightness &gt;= sampling frequency: completely saturated (D too small, c too large)</v>
      </c>
    </row>
    <row r="10" customFormat="false" ht="23.85" hidden="false" customHeight="false" outlineLevel="0" collapsed="false">
      <c r="A10" s="13" t="s">
        <v>84</v>
      </c>
      <c r="B10" s="13" t="s">
        <v>134</v>
      </c>
      <c r="C10" s="13" t="n">
        <v>400</v>
      </c>
      <c r="D10" s="13" t="n">
        <v>10</v>
      </c>
      <c r="E10" s="13" t="n">
        <v>0</v>
      </c>
      <c r="F10" s="13" t="n">
        <v>0</v>
      </c>
      <c r="G10" s="13" t="n">
        <v>10000</v>
      </c>
      <c r="H10" s="13" t="n">
        <v>0</v>
      </c>
      <c r="I10" s="13" t="n">
        <v>4</v>
      </c>
      <c r="J10" s="13" t="n">
        <v>3</v>
      </c>
      <c r="K10" s="13" t="n">
        <v>2.5</v>
      </c>
      <c r="L10" s="13" t="n">
        <v>2.5</v>
      </c>
      <c r="M10" s="13" t="s">
        <v>131</v>
      </c>
      <c r="N10" s="14"/>
      <c r="O10" s="18" t="n">
        <f aca="false">IF(OR($A10="",ISNA(MATCH($A10,Simulations!$A$3:$A$62,0))),"",IF(INDEX(Simulations!$I$3:$I$62,MATCH($A10,Simulations!$A$3:$A$62,0))&gt;0,$D10/(INDEX(Simulations!$G$3:$G$62,MATCH($A10,Simulations!$A$3:$A$62,0))*INDEX(Simulations!$H$3:$H$62,MATCH($A10,Simulations!$A$3:$A$62,0))*IF(INDEX(Simulations!$I$3:$I$62,MATCH($A10,Simulations!$A$3:$A$62,0))&gt;0,INDEX(Simulations!$I$3:$I$62,MATCH($A10,Simulations!$A$3:$A$62,0)),1))/1E-024/6.022E+023/0.000000001,""))</f>
        <v>0.13284623048821</v>
      </c>
      <c r="P10" s="20" t="n">
        <f aca="false">IF(OR($A10="",ISNA(MATCH($A10,Simulations!$A$3:$A$62,0))),"",MAX($E10:$H10)/INDEX(Simulations!$J$3:$J$62,MATCH($A10,Simulations!$A$3:$A$62,0)))</f>
        <v>10</v>
      </c>
      <c r="Q10" s="16" t="n">
        <f aca="false">IF(OR($A10="",ISNA(MATCH($A10,Simulations!$A$3:$A$62,0))),"",IF(N($E10)&lt;=0,0,IF($E10&lt;INDEX(Simulations!$J$3:$J$62,MATCH($A10,Simulations!$A$3:$A$62,0)),$D10/(INDEX(Simulations!$G$3:$G$62,MATCH($A10,Simulations!$A$3:$A$62,0))*INDEX(Simulations!$H$3:$H$62,MATCH($A10,Simulations!$A$3:$A$62,0))*IF(INDEX(Simulations!$I$3:$I$62,MATCH($A10,Simulations!$A$3:$A$62,0))&gt;0,INDEX(Simulations!$I$3:$I$62,MATCH($A10,Simulations!$A$3:$A$62,0)),1))*$E10*(PI()/2*INDEX(Simulations!$T$3:$T$62,MATCH($A10,Simulations!$A$3:$A$62,0))^2*IF(INDEX(Simulations!$I$3:$I$62,MATCH($A10,Simulations!$A$3:$A$62,0))&gt;0,SQRT(PI()/2)*INDEX(Simulations!$U$3:$U$62,MATCH($A10,Simulations!$A$3:$A$62,0)),1)),$D10/(INDEX(Simulations!$G$3:$G$62,MATCH($A10,Simulations!$A$3:$A$62,0))*INDEX(Simulations!$H$3:$H$62,MATCH($A10,Simulations!$A$3:$A$62,0))*IF(INDEX(Simulations!$I$3:$I$62,MATCH($A10,Simulations!$A$3:$A$62,0))&gt;0,INDEX(Simulations!$I$3:$I$62,MATCH($A10,Simulations!$A$3:$A$62,0)),1))*INDEX(Simulations!$J$3:$J$62,MATCH($A10,Simulations!$A$3:$A$62,0))*IF(INDEX(Simulations!$I$3:$I$62,MATCH($A10,Simulations!$A$3:$A$62,0))&gt;0,2*PI()*INDEX(Simulations!$T$3:$T$62,MATCH($A10,Simulations!$A$3:$A$62,0))^2*INDEX(Simulations!$U$3:$U$62,MATCH($A10,Simulations!$A$3:$A$62,0))/2^1.5*(2/3*LN($E10/INDEX(Simulations!$J$3:$J$62,MATCH($A10,Simulations!$A$3:$A$62,0)))^1.5+SQRT(LN($E10/INDEX(Simulations!$J$3:$J$62,MATCH($A10,Simulations!$A$3:$A$62,0))))+$E10/INDEX(Simulations!$J$3:$J$62,MATCH($A10,Simulations!$A$3:$A$62,0))*SQRT(PI())/2*ERFC(SQRT(LN($E10/INDEX(Simulations!$J$3:$J$62,MATCH($A10,Simulations!$A$3:$A$62,0)))))),PI()*INDEX(Simulations!$T$3:$T$62,MATCH($A10,Simulations!$A$3:$A$62,0))^2/2*(LN($E10/INDEX(Simulations!$J$3:$J$62,MATCH($A10,Simulations!$A$3:$A$62,0)))+1)))))</f>
        <v>0</v>
      </c>
      <c r="R10" s="16" t="n">
        <f aca="false">IF(OR($A10="",ISNA(MATCH($A10,Simulations!$A$3:$A$62,0))),"",IF(N($F10)&lt;=0,0,IF($F10&lt;INDEX(Simulations!$J$3:$J$62,MATCH($A10,Simulations!$A$3:$A$62,0)),$D10/(INDEX(Simulations!$G$3:$G$62,MATCH($A10,Simulations!$A$3:$A$62,0))*INDEX(Simulations!$H$3:$H$62,MATCH($A10,Simulations!$A$3:$A$62,0))*IF(INDEX(Simulations!$I$3:$I$62,MATCH($A10,Simulations!$A$3:$A$62,0))&gt;0,INDEX(Simulations!$I$3:$I$62,MATCH($A10,Simulations!$A$3:$A$62,0)),1))*$F10*(PI()/2*INDEX(Simulations!$T$3:$T$62,MATCH($A10,Simulations!$A$3:$A$62,0))^2*IF(INDEX(Simulations!$I$3:$I$62,MATCH($A10,Simulations!$A$3:$A$62,0))&gt;0,SQRT(PI()/2)*INDEX(Simulations!$U$3:$U$62,MATCH($A10,Simulations!$A$3:$A$62,0)),1)),$D10/(INDEX(Simulations!$G$3:$G$62,MATCH($A10,Simulations!$A$3:$A$62,0))*INDEX(Simulations!$H$3:$H$62,MATCH($A10,Simulations!$A$3:$A$62,0))*IF(INDEX(Simulations!$I$3:$I$62,MATCH($A10,Simulations!$A$3:$A$62,0))&gt;0,INDEX(Simulations!$I$3:$I$62,MATCH($A10,Simulations!$A$3:$A$62,0)),1))*INDEX(Simulations!$J$3:$J$62,MATCH($A10,Simulations!$A$3:$A$62,0))*IF(INDEX(Simulations!$I$3:$I$62,MATCH($A10,Simulations!$A$3:$A$62,0))&gt;0,2*PI()*INDEX(Simulations!$T$3:$T$62,MATCH($A10,Simulations!$A$3:$A$62,0))^2*INDEX(Simulations!$U$3:$U$62,MATCH($A10,Simulations!$A$3:$A$62,0))/2^1.5*(2/3*LN($F10/INDEX(Simulations!$J$3:$J$62,MATCH($A10,Simulations!$A$3:$A$62,0)))^1.5+SQRT(LN($F10/INDEX(Simulations!$J$3:$J$62,MATCH($A10,Simulations!$A$3:$A$62,0))))+$F10/INDEX(Simulations!$J$3:$J$62,MATCH($A10,Simulations!$A$3:$A$62,0))*SQRT(PI())/2*ERFC(SQRT(LN($F10/INDEX(Simulations!$J$3:$J$62,MATCH($A10,Simulations!$A$3:$A$62,0)))))),PI()*INDEX(Simulations!$T$3:$T$62,MATCH($A10,Simulations!$A$3:$A$62,0))^2/2*(LN($F10/INDEX(Simulations!$J$3:$J$62,MATCH($A10,Simulations!$A$3:$A$62,0)))+1)))))</f>
        <v>0</v>
      </c>
      <c r="S10" s="16" t="n">
        <f aca="false">IF(OR($A10="",ISNA(MATCH($A10,Simulations!$A$3:$A$62,0))),"",IF(N($G10)&lt;=0,0,IF($G10&lt;INDEX(Simulations!$J$3:$J$62,MATCH($A10,Simulations!$A$3:$A$62,0)),$D10/(INDEX(Simulations!$G$3:$G$62,MATCH($A10,Simulations!$A$3:$A$62,0))*INDEX(Simulations!$H$3:$H$62,MATCH($A10,Simulations!$A$3:$A$62,0))*IF(INDEX(Simulations!$I$3:$I$62,MATCH($A10,Simulations!$A$3:$A$62,0))&gt;0,INDEX(Simulations!$I$3:$I$62,MATCH($A10,Simulations!$A$3:$A$62,0)),1))*$G10*(PI()/2*INDEX(Simulations!$T$3:$T$62,MATCH($A10,Simulations!$A$3:$A$62,0))^2*IF(INDEX(Simulations!$I$3:$I$62,MATCH($A10,Simulations!$A$3:$A$62,0))&gt;0,SQRT(PI()/2)*INDEX(Simulations!$U$3:$U$62,MATCH($A10,Simulations!$A$3:$A$62,0)),1)),$D10/(INDEX(Simulations!$G$3:$G$62,MATCH($A10,Simulations!$A$3:$A$62,0))*INDEX(Simulations!$H$3:$H$62,MATCH($A10,Simulations!$A$3:$A$62,0))*IF(INDEX(Simulations!$I$3:$I$62,MATCH($A10,Simulations!$A$3:$A$62,0))&gt;0,INDEX(Simulations!$I$3:$I$62,MATCH($A10,Simulations!$A$3:$A$62,0)),1))*INDEX(Simulations!$J$3:$J$62,MATCH($A10,Simulations!$A$3:$A$62,0))*IF(INDEX(Simulations!$I$3:$I$62,MATCH($A10,Simulations!$A$3:$A$62,0))&gt;0,2*PI()*INDEX(Simulations!$T$3:$T$62,MATCH($A10,Simulations!$A$3:$A$62,0))^2*INDEX(Simulations!$U$3:$U$62,MATCH($A10,Simulations!$A$3:$A$62,0))/2^1.5*(2/3*LN($G10/INDEX(Simulations!$J$3:$J$62,MATCH($A10,Simulations!$A$3:$A$62,0)))^1.5+SQRT(LN($G10/INDEX(Simulations!$J$3:$J$62,MATCH($A10,Simulations!$A$3:$A$62,0))))+$G10/INDEX(Simulations!$J$3:$J$62,MATCH($A10,Simulations!$A$3:$A$62,0))*SQRT(PI())/2*ERFC(SQRT(LN($G10/INDEX(Simulations!$J$3:$J$62,MATCH($A10,Simulations!$A$3:$A$62,0)))))),PI()*INDEX(Simulations!$T$3:$T$62,MATCH($A10,Simulations!$A$3:$A$62,0))^2/2*(LN($G10/INDEX(Simulations!$J$3:$J$62,MATCH($A10,Simulations!$A$3:$A$62,0)))+1)))))</f>
        <v>29.3532730881177</v>
      </c>
      <c r="T10" s="16" t="n">
        <f aca="false">IF(OR($A10="",ISNA(MATCH($A10,Simulations!$A$3:$A$62,0))),"",IF(N($H10)&lt;=0,0,IF($H10&lt;INDEX(Simulations!$J$3:$J$62,MATCH($A10,Simulations!$A$3:$A$62,0)),$D10/(INDEX(Simulations!$G$3:$G$62,MATCH($A10,Simulations!$A$3:$A$62,0))*INDEX(Simulations!$H$3:$H$62,MATCH($A10,Simulations!$A$3:$A$62,0))*IF(INDEX(Simulations!$I$3:$I$62,MATCH($A10,Simulations!$A$3:$A$62,0))&gt;0,INDEX(Simulations!$I$3:$I$62,MATCH($A10,Simulations!$A$3:$A$62,0)),1))*$H10*(PI()/2*INDEX(Simulations!$T$3:$T$62,MATCH($A10,Simulations!$A$3:$A$62,0))^2*IF(INDEX(Simulations!$I$3:$I$62,MATCH($A10,Simulations!$A$3:$A$62,0))&gt;0,SQRT(PI()/2)*INDEX(Simulations!$U$3:$U$62,MATCH($A10,Simulations!$A$3:$A$62,0)),1)),$D10/(INDEX(Simulations!$G$3:$G$62,MATCH($A10,Simulations!$A$3:$A$62,0))*INDEX(Simulations!$H$3:$H$62,MATCH($A10,Simulations!$A$3:$A$62,0))*IF(INDEX(Simulations!$I$3:$I$62,MATCH($A10,Simulations!$A$3:$A$62,0))&gt;0,INDEX(Simulations!$I$3:$I$62,MATCH($A10,Simulations!$A$3:$A$62,0)),1))*INDEX(Simulations!$J$3:$J$62,MATCH($A10,Simulations!$A$3:$A$62,0))*IF(INDEX(Simulations!$I$3:$I$62,MATCH($A10,Simulations!$A$3:$A$62,0))&gt;0,2*PI()*INDEX(Simulations!$T$3:$T$62,MATCH($A10,Simulations!$A$3:$A$62,0))^2*INDEX(Simulations!$U$3:$U$62,MATCH($A10,Simulations!$A$3:$A$62,0))/2^1.5*(2/3*LN($H10/INDEX(Simulations!$J$3:$J$62,MATCH($A10,Simulations!$A$3:$A$62,0)))^1.5+SQRT(LN($H10/INDEX(Simulations!$J$3:$J$62,MATCH($A10,Simulations!$A$3:$A$62,0))))+$H10/INDEX(Simulations!$J$3:$J$62,MATCH($A10,Simulations!$A$3:$A$62,0))*SQRT(PI())/2*ERFC(SQRT(LN($H10/INDEX(Simulations!$J$3:$J$62,MATCH($A10,Simulations!$A$3:$A$62,0)))))),PI()*INDEX(Simulations!$T$3:$T$62,MATCH($A10,Simulations!$A$3:$A$62,0))^2/2*(LN($H10/INDEX(Simulations!$J$3:$J$62,MATCH($A10,Simulations!$A$3:$A$62,0)))+1)))))</f>
        <v>0</v>
      </c>
      <c r="U10" s="18" t="n">
        <f aca="false">IF(OR(OR($A10="",ISNA(MATCH($A10,Simulations!$A$3:$A$62,0))),N($C10)&lt;=0),"",SQRT(2*$C10*1000000/(INDEX(Simulations!$J$3:$J$62,MATCH($A10,Simulations!$A$3:$A$62,0))*1000))/INDEX(Simulations!$T$3:$T$62,MATCH($A10,Simulations!$A$3:$A$62,0)))</f>
        <v>0.14142135623731</v>
      </c>
      <c r="V10" s="19" t="str">
        <f aca="false">IF($A10="","",IF(ISNA(MATCH($A10,Simulations!$A$3:$A$62,0)),"✖ Sim ID not found on the Simulations sheet",IF($P10&gt;=1,"✖ brightness &gt;= sampling frequency: completely saturated (D too small, c too large)",IF($P10&gt;0.1,"⚠ brightness &gt; 10% of the sampling frequency: focus starts to saturate",IF(N($U10)&gt;0.1,"⚠ diffusion step &gt; 10% of wr: raise the sampling frequency",IF(MAX($E10:$H10)=0,"⚠ no brightness set","✔ OK"))))))</f>
        <v>✖ brightness &gt;= sampling frequency: completely saturated (D too small, c too large)</v>
      </c>
    </row>
    <row r="11" customFormat="false" ht="23.85" hidden="false" customHeight="false" outlineLevel="0" collapsed="false">
      <c r="A11" s="13" t="s">
        <v>84</v>
      </c>
      <c r="B11" s="13" t="s">
        <v>135</v>
      </c>
      <c r="C11" s="13" t="n">
        <v>33</v>
      </c>
      <c r="D11" s="13" t="n">
        <v>10</v>
      </c>
      <c r="E11" s="13" t="n">
        <v>10000</v>
      </c>
      <c r="F11" s="13" t="n">
        <v>10000</v>
      </c>
      <c r="G11" s="13" t="n">
        <v>10000</v>
      </c>
      <c r="H11" s="13" t="n">
        <v>0</v>
      </c>
      <c r="I11" s="13" t="n">
        <v>4</v>
      </c>
      <c r="J11" s="13" t="n">
        <v>3</v>
      </c>
      <c r="K11" s="13" t="n">
        <v>2.5</v>
      </c>
      <c r="L11" s="13" t="n">
        <v>2.5</v>
      </c>
      <c r="M11" s="13" t="s">
        <v>131</v>
      </c>
      <c r="N11" s="14"/>
      <c r="O11" s="18" t="n">
        <f aca="false">IF(OR($A11="",ISNA(MATCH($A11,Simulations!$A$3:$A$62,0))),"",IF(INDEX(Simulations!$I$3:$I$62,MATCH($A11,Simulations!$A$3:$A$62,0))&gt;0,$D11/(INDEX(Simulations!$G$3:$G$62,MATCH($A11,Simulations!$A$3:$A$62,0))*INDEX(Simulations!$H$3:$H$62,MATCH($A11,Simulations!$A$3:$A$62,0))*IF(INDEX(Simulations!$I$3:$I$62,MATCH($A11,Simulations!$A$3:$A$62,0))&gt;0,INDEX(Simulations!$I$3:$I$62,MATCH($A11,Simulations!$A$3:$A$62,0)),1))/1E-024/6.022E+023/0.000000001,""))</f>
        <v>0.13284623048821</v>
      </c>
      <c r="P11" s="20" t="n">
        <f aca="false">IF(OR($A11="",ISNA(MATCH($A11,Simulations!$A$3:$A$62,0))),"",MAX($E11:$H11)/INDEX(Simulations!$J$3:$J$62,MATCH($A11,Simulations!$A$3:$A$62,0)))</f>
        <v>10</v>
      </c>
      <c r="Q11" s="16" t="n">
        <f aca="false">IF(OR($A11="",ISNA(MATCH($A11,Simulations!$A$3:$A$62,0))),"",IF(N($E11)&lt;=0,0,IF($E11&lt;INDEX(Simulations!$J$3:$J$62,MATCH($A11,Simulations!$A$3:$A$62,0)),$D11/(INDEX(Simulations!$G$3:$G$62,MATCH($A11,Simulations!$A$3:$A$62,0))*INDEX(Simulations!$H$3:$H$62,MATCH($A11,Simulations!$A$3:$A$62,0))*IF(INDEX(Simulations!$I$3:$I$62,MATCH($A11,Simulations!$A$3:$A$62,0))&gt;0,INDEX(Simulations!$I$3:$I$62,MATCH($A11,Simulations!$A$3:$A$62,0)),1))*$E11*(PI()/2*INDEX(Simulations!$T$3:$T$62,MATCH($A11,Simulations!$A$3:$A$62,0))^2*IF(INDEX(Simulations!$I$3:$I$62,MATCH($A11,Simulations!$A$3:$A$62,0))&gt;0,SQRT(PI()/2)*INDEX(Simulations!$U$3:$U$62,MATCH($A11,Simulations!$A$3:$A$62,0)),1)),$D11/(INDEX(Simulations!$G$3:$G$62,MATCH($A11,Simulations!$A$3:$A$62,0))*INDEX(Simulations!$H$3:$H$62,MATCH($A11,Simulations!$A$3:$A$62,0))*IF(INDEX(Simulations!$I$3:$I$62,MATCH($A11,Simulations!$A$3:$A$62,0))&gt;0,INDEX(Simulations!$I$3:$I$62,MATCH($A11,Simulations!$A$3:$A$62,0)),1))*INDEX(Simulations!$J$3:$J$62,MATCH($A11,Simulations!$A$3:$A$62,0))*IF(INDEX(Simulations!$I$3:$I$62,MATCH($A11,Simulations!$A$3:$A$62,0))&gt;0,2*PI()*INDEX(Simulations!$T$3:$T$62,MATCH($A11,Simulations!$A$3:$A$62,0))^2*INDEX(Simulations!$U$3:$U$62,MATCH($A11,Simulations!$A$3:$A$62,0))/2^1.5*(2/3*LN($E11/INDEX(Simulations!$J$3:$J$62,MATCH($A11,Simulations!$A$3:$A$62,0)))^1.5+SQRT(LN($E11/INDEX(Simulations!$J$3:$J$62,MATCH($A11,Simulations!$A$3:$A$62,0))))+$E11/INDEX(Simulations!$J$3:$J$62,MATCH($A11,Simulations!$A$3:$A$62,0))*SQRT(PI())/2*ERFC(SQRT(LN($E11/INDEX(Simulations!$J$3:$J$62,MATCH($A11,Simulations!$A$3:$A$62,0)))))),PI()*INDEX(Simulations!$T$3:$T$62,MATCH($A11,Simulations!$A$3:$A$62,0))^2/2*(LN($E11/INDEX(Simulations!$J$3:$J$62,MATCH($A11,Simulations!$A$3:$A$62,0)))+1)))))</f>
        <v>29.3532730881177</v>
      </c>
      <c r="R11" s="16" t="n">
        <f aca="false">IF(OR($A11="",ISNA(MATCH($A11,Simulations!$A$3:$A$62,0))),"",IF(N($F11)&lt;=0,0,IF($F11&lt;INDEX(Simulations!$J$3:$J$62,MATCH($A11,Simulations!$A$3:$A$62,0)),$D11/(INDEX(Simulations!$G$3:$G$62,MATCH($A11,Simulations!$A$3:$A$62,0))*INDEX(Simulations!$H$3:$H$62,MATCH($A11,Simulations!$A$3:$A$62,0))*IF(INDEX(Simulations!$I$3:$I$62,MATCH($A11,Simulations!$A$3:$A$62,0))&gt;0,INDEX(Simulations!$I$3:$I$62,MATCH($A11,Simulations!$A$3:$A$62,0)),1))*$F11*(PI()/2*INDEX(Simulations!$T$3:$T$62,MATCH($A11,Simulations!$A$3:$A$62,0))^2*IF(INDEX(Simulations!$I$3:$I$62,MATCH($A11,Simulations!$A$3:$A$62,0))&gt;0,SQRT(PI()/2)*INDEX(Simulations!$U$3:$U$62,MATCH($A11,Simulations!$A$3:$A$62,0)),1)),$D11/(INDEX(Simulations!$G$3:$G$62,MATCH($A11,Simulations!$A$3:$A$62,0))*INDEX(Simulations!$H$3:$H$62,MATCH($A11,Simulations!$A$3:$A$62,0))*IF(INDEX(Simulations!$I$3:$I$62,MATCH($A11,Simulations!$A$3:$A$62,0))&gt;0,INDEX(Simulations!$I$3:$I$62,MATCH($A11,Simulations!$A$3:$A$62,0)),1))*INDEX(Simulations!$J$3:$J$62,MATCH($A11,Simulations!$A$3:$A$62,0))*IF(INDEX(Simulations!$I$3:$I$62,MATCH($A11,Simulations!$A$3:$A$62,0))&gt;0,2*PI()*INDEX(Simulations!$T$3:$T$62,MATCH($A11,Simulations!$A$3:$A$62,0))^2*INDEX(Simulations!$U$3:$U$62,MATCH($A11,Simulations!$A$3:$A$62,0))/2^1.5*(2/3*LN($F11/INDEX(Simulations!$J$3:$J$62,MATCH($A11,Simulations!$A$3:$A$62,0)))^1.5+SQRT(LN($F11/INDEX(Simulations!$J$3:$J$62,MATCH($A11,Simulations!$A$3:$A$62,0))))+$F11/INDEX(Simulations!$J$3:$J$62,MATCH($A11,Simulations!$A$3:$A$62,0))*SQRT(PI())/2*ERFC(SQRT(LN($F11/INDEX(Simulations!$J$3:$J$62,MATCH($A11,Simulations!$A$3:$A$62,0)))))),PI()*INDEX(Simulations!$T$3:$T$62,MATCH($A11,Simulations!$A$3:$A$62,0))^2/2*(LN($F11/INDEX(Simulations!$J$3:$J$62,MATCH($A11,Simulations!$A$3:$A$62,0)))+1)))))</f>
        <v>29.3532730881177</v>
      </c>
      <c r="S11" s="16" t="n">
        <f aca="false">IF(OR($A11="",ISNA(MATCH($A11,Simulations!$A$3:$A$62,0))),"",IF(N($G11)&lt;=0,0,IF($G11&lt;INDEX(Simulations!$J$3:$J$62,MATCH($A11,Simulations!$A$3:$A$62,0)),$D11/(INDEX(Simulations!$G$3:$G$62,MATCH($A11,Simulations!$A$3:$A$62,0))*INDEX(Simulations!$H$3:$H$62,MATCH($A11,Simulations!$A$3:$A$62,0))*IF(INDEX(Simulations!$I$3:$I$62,MATCH($A11,Simulations!$A$3:$A$62,0))&gt;0,INDEX(Simulations!$I$3:$I$62,MATCH($A11,Simulations!$A$3:$A$62,0)),1))*$G11*(PI()/2*INDEX(Simulations!$T$3:$T$62,MATCH($A11,Simulations!$A$3:$A$62,0))^2*IF(INDEX(Simulations!$I$3:$I$62,MATCH($A11,Simulations!$A$3:$A$62,0))&gt;0,SQRT(PI()/2)*INDEX(Simulations!$U$3:$U$62,MATCH($A11,Simulations!$A$3:$A$62,0)),1)),$D11/(INDEX(Simulations!$G$3:$G$62,MATCH($A11,Simulations!$A$3:$A$62,0))*INDEX(Simulations!$H$3:$H$62,MATCH($A11,Simulations!$A$3:$A$62,0))*IF(INDEX(Simulations!$I$3:$I$62,MATCH($A11,Simulations!$A$3:$A$62,0))&gt;0,INDEX(Simulations!$I$3:$I$62,MATCH($A11,Simulations!$A$3:$A$62,0)),1))*INDEX(Simulations!$J$3:$J$62,MATCH($A11,Simulations!$A$3:$A$62,0))*IF(INDEX(Simulations!$I$3:$I$62,MATCH($A11,Simulations!$A$3:$A$62,0))&gt;0,2*PI()*INDEX(Simulations!$T$3:$T$62,MATCH($A11,Simulations!$A$3:$A$62,0))^2*INDEX(Simulations!$U$3:$U$62,MATCH($A11,Simulations!$A$3:$A$62,0))/2^1.5*(2/3*LN($G11/INDEX(Simulations!$J$3:$J$62,MATCH($A11,Simulations!$A$3:$A$62,0)))^1.5+SQRT(LN($G11/INDEX(Simulations!$J$3:$J$62,MATCH($A11,Simulations!$A$3:$A$62,0))))+$G11/INDEX(Simulations!$J$3:$J$62,MATCH($A11,Simulations!$A$3:$A$62,0))*SQRT(PI())/2*ERFC(SQRT(LN($G11/INDEX(Simulations!$J$3:$J$62,MATCH($A11,Simulations!$A$3:$A$62,0)))))),PI()*INDEX(Simulations!$T$3:$T$62,MATCH($A11,Simulations!$A$3:$A$62,0))^2/2*(LN($G11/INDEX(Simulations!$J$3:$J$62,MATCH($A11,Simulations!$A$3:$A$62,0)))+1)))))</f>
        <v>29.3532730881177</v>
      </c>
      <c r="T11" s="16" t="n">
        <f aca="false">IF(OR($A11="",ISNA(MATCH($A11,Simulations!$A$3:$A$62,0))),"",IF(N($H11)&lt;=0,0,IF($H11&lt;INDEX(Simulations!$J$3:$J$62,MATCH($A11,Simulations!$A$3:$A$62,0)),$D11/(INDEX(Simulations!$G$3:$G$62,MATCH($A11,Simulations!$A$3:$A$62,0))*INDEX(Simulations!$H$3:$H$62,MATCH($A11,Simulations!$A$3:$A$62,0))*IF(INDEX(Simulations!$I$3:$I$62,MATCH($A11,Simulations!$A$3:$A$62,0))&gt;0,INDEX(Simulations!$I$3:$I$62,MATCH($A11,Simulations!$A$3:$A$62,0)),1))*$H11*(PI()/2*INDEX(Simulations!$T$3:$T$62,MATCH($A11,Simulations!$A$3:$A$62,0))^2*IF(INDEX(Simulations!$I$3:$I$62,MATCH($A11,Simulations!$A$3:$A$62,0))&gt;0,SQRT(PI()/2)*INDEX(Simulations!$U$3:$U$62,MATCH($A11,Simulations!$A$3:$A$62,0)),1)),$D11/(INDEX(Simulations!$G$3:$G$62,MATCH($A11,Simulations!$A$3:$A$62,0))*INDEX(Simulations!$H$3:$H$62,MATCH($A11,Simulations!$A$3:$A$62,0))*IF(INDEX(Simulations!$I$3:$I$62,MATCH($A11,Simulations!$A$3:$A$62,0))&gt;0,INDEX(Simulations!$I$3:$I$62,MATCH($A11,Simulations!$A$3:$A$62,0)),1))*INDEX(Simulations!$J$3:$J$62,MATCH($A11,Simulations!$A$3:$A$62,0))*IF(INDEX(Simulations!$I$3:$I$62,MATCH($A11,Simulations!$A$3:$A$62,0))&gt;0,2*PI()*INDEX(Simulations!$T$3:$T$62,MATCH($A11,Simulations!$A$3:$A$62,0))^2*INDEX(Simulations!$U$3:$U$62,MATCH($A11,Simulations!$A$3:$A$62,0))/2^1.5*(2/3*LN($H11/INDEX(Simulations!$J$3:$J$62,MATCH($A11,Simulations!$A$3:$A$62,0)))^1.5+SQRT(LN($H11/INDEX(Simulations!$J$3:$J$62,MATCH($A11,Simulations!$A$3:$A$62,0))))+$H11/INDEX(Simulations!$J$3:$J$62,MATCH($A11,Simulations!$A$3:$A$62,0))*SQRT(PI())/2*ERFC(SQRT(LN($H11/INDEX(Simulations!$J$3:$J$62,MATCH($A11,Simulations!$A$3:$A$62,0)))))),PI()*INDEX(Simulations!$T$3:$T$62,MATCH($A11,Simulations!$A$3:$A$62,0))^2/2*(LN($H11/INDEX(Simulations!$J$3:$J$62,MATCH($A11,Simulations!$A$3:$A$62,0)))+1)))))</f>
        <v>0</v>
      </c>
      <c r="U11" s="18" t="n">
        <f aca="false">IF(OR(OR($A11="",ISNA(MATCH($A11,Simulations!$A$3:$A$62,0))),N($C11)&lt;=0),"",SQRT(2*$C11*1000000/(INDEX(Simulations!$J$3:$J$62,MATCH($A11,Simulations!$A$3:$A$62,0))*1000))/INDEX(Simulations!$T$3:$T$62,MATCH($A11,Simulations!$A$3:$A$62,0)))</f>
        <v>0.0406201920231798</v>
      </c>
      <c r="V11" s="19" t="str">
        <f aca="false">IF($A11="","",IF(ISNA(MATCH($A11,Simulations!$A$3:$A$62,0)),"✖ Sim ID not found on the Simulations sheet",IF($P11&gt;=1,"✖ brightness &gt;= sampling frequency: completely saturated (D too small, c too large)",IF($P11&gt;0.1,"⚠ brightness &gt; 10% of the sampling frequency: focus starts to saturate",IF(N($U11)&gt;0.1,"⚠ diffusion step &gt; 10% of wr: raise the sampling frequency",IF(MAX($E11:$H11)=0,"⚠ no brightness set","✔ OK"))))))</f>
        <v>✖ brightness &gt;= sampling frequency: completely saturated (D too small, c too large)</v>
      </c>
    </row>
    <row r="12" customFormat="false" ht="23.85" hidden="false" customHeight="false" outlineLevel="0" collapsed="false">
      <c r="A12" s="13" t="s">
        <v>84</v>
      </c>
      <c r="B12" s="13" t="s">
        <v>136</v>
      </c>
      <c r="C12" s="13" t="n">
        <v>35</v>
      </c>
      <c r="D12" s="13" t="n">
        <v>10</v>
      </c>
      <c r="E12" s="13" t="n">
        <v>10000</v>
      </c>
      <c r="F12" s="13" t="n">
        <v>10000</v>
      </c>
      <c r="G12" s="13" t="n">
        <v>0</v>
      </c>
      <c r="H12" s="13" t="n">
        <v>0</v>
      </c>
      <c r="I12" s="13" t="n">
        <v>4</v>
      </c>
      <c r="J12" s="13" t="n">
        <v>3</v>
      </c>
      <c r="K12" s="13" t="n">
        <v>2.5</v>
      </c>
      <c r="L12" s="13" t="n">
        <v>2.5</v>
      </c>
      <c r="M12" s="13" t="s">
        <v>131</v>
      </c>
      <c r="N12" s="14"/>
      <c r="O12" s="18" t="n">
        <f aca="false">IF(OR($A12="",ISNA(MATCH($A12,Simulations!$A$3:$A$62,0))),"",IF(INDEX(Simulations!$I$3:$I$62,MATCH($A12,Simulations!$A$3:$A$62,0))&gt;0,$D12/(INDEX(Simulations!$G$3:$G$62,MATCH($A12,Simulations!$A$3:$A$62,0))*INDEX(Simulations!$H$3:$H$62,MATCH($A12,Simulations!$A$3:$A$62,0))*IF(INDEX(Simulations!$I$3:$I$62,MATCH($A12,Simulations!$A$3:$A$62,0))&gt;0,INDEX(Simulations!$I$3:$I$62,MATCH($A12,Simulations!$A$3:$A$62,0)),1))/1E-024/6.022E+023/0.000000001,""))</f>
        <v>0.13284623048821</v>
      </c>
      <c r="P12" s="20" t="n">
        <f aca="false">IF(OR($A12="",ISNA(MATCH($A12,Simulations!$A$3:$A$62,0))),"",MAX($E12:$H12)/INDEX(Simulations!$J$3:$J$62,MATCH($A12,Simulations!$A$3:$A$62,0)))</f>
        <v>10</v>
      </c>
      <c r="Q12" s="16" t="n">
        <f aca="false">IF(OR($A12="",ISNA(MATCH($A12,Simulations!$A$3:$A$62,0))),"",IF(N($E12)&lt;=0,0,IF($E12&lt;INDEX(Simulations!$J$3:$J$62,MATCH($A12,Simulations!$A$3:$A$62,0)),$D12/(INDEX(Simulations!$G$3:$G$62,MATCH($A12,Simulations!$A$3:$A$62,0))*INDEX(Simulations!$H$3:$H$62,MATCH($A12,Simulations!$A$3:$A$62,0))*IF(INDEX(Simulations!$I$3:$I$62,MATCH($A12,Simulations!$A$3:$A$62,0))&gt;0,INDEX(Simulations!$I$3:$I$62,MATCH($A12,Simulations!$A$3:$A$62,0)),1))*$E12*(PI()/2*INDEX(Simulations!$T$3:$T$62,MATCH($A12,Simulations!$A$3:$A$62,0))^2*IF(INDEX(Simulations!$I$3:$I$62,MATCH($A12,Simulations!$A$3:$A$62,0))&gt;0,SQRT(PI()/2)*INDEX(Simulations!$U$3:$U$62,MATCH($A12,Simulations!$A$3:$A$62,0)),1)),$D12/(INDEX(Simulations!$G$3:$G$62,MATCH($A12,Simulations!$A$3:$A$62,0))*INDEX(Simulations!$H$3:$H$62,MATCH($A12,Simulations!$A$3:$A$62,0))*IF(INDEX(Simulations!$I$3:$I$62,MATCH($A12,Simulations!$A$3:$A$62,0))&gt;0,INDEX(Simulations!$I$3:$I$62,MATCH($A12,Simulations!$A$3:$A$62,0)),1))*INDEX(Simulations!$J$3:$J$62,MATCH($A12,Simulations!$A$3:$A$62,0))*IF(INDEX(Simulations!$I$3:$I$62,MATCH($A12,Simulations!$A$3:$A$62,0))&gt;0,2*PI()*INDEX(Simulations!$T$3:$T$62,MATCH($A12,Simulations!$A$3:$A$62,0))^2*INDEX(Simulations!$U$3:$U$62,MATCH($A12,Simulations!$A$3:$A$62,0))/2^1.5*(2/3*LN($E12/INDEX(Simulations!$J$3:$J$62,MATCH($A12,Simulations!$A$3:$A$62,0)))^1.5+SQRT(LN($E12/INDEX(Simulations!$J$3:$J$62,MATCH($A12,Simulations!$A$3:$A$62,0))))+$E12/INDEX(Simulations!$J$3:$J$62,MATCH($A12,Simulations!$A$3:$A$62,0))*SQRT(PI())/2*ERFC(SQRT(LN($E12/INDEX(Simulations!$J$3:$J$62,MATCH($A12,Simulations!$A$3:$A$62,0)))))),PI()*INDEX(Simulations!$T$3:$T$62,MATCH($A12,Simulations!$A$3:$A$62,0))^2/2*(LN($E12/INDEX(Simulations!$J$3:$J$62,MATCH($A12,Simulations!$A$3:$A$62,0)))+1)))))</f>
        <v>29.3532730881177</v>
      </c>
      <c r="R12" s="16" t="n">
        <f aca="false">IF(OR($A12="",ISNA(MATCH($A12,Simulations!$A$3:$A$62,0))),"",IF(N($F12)&lt;=0,0,IF($F12&lt;INDEX(Simulations!$J$3:$J$62,MATCH($A12,Simulations!$A$3:$A$62,0)),$D12/(INDEX(Simulations!$G$3:$G$62,MATCH($A12,Simulations!$A$3:$A$62,0))*INDEX(Simulations!$H$3:$H$62,MATCH($A12,Simulations!$A$3:$A$62,0))*IF(INDEX(Simulations!$I$3:$I$62,MATCH($A12,Simulations!$A$3:$A$62,0))&gt;0,INDEX(Simulations!$I$3:$I$62,MATCH($A12,Simulations!$A$3:$A$62,0)),1))*$F12*(PI()/2*INDEX(Simulations!$T$3:$T$62,MATCH($A12,Simulations!$A$3:$A$62,0))^2*IF(INDEX(Simulations!$I$3:$I$62,MATCH($A12,Simulations!$A$3:$A$62,0))&gt;0,SQRT(PI()/2)*INDEX(Simulations!$U$3:$U$62,MATCH($A12,Simulations!$A$3:$A$62,0)),1)),$D12/(INDEX(Simulations!$G$3:$G$62,MATCH($A12,Simulations!$A$3:$A$62,0))*INDEX(Simulations!$H$3:$H$62,MATCH($A12,Simulations!$A$3:$A$62,0))*IF(INDEX(Simulations!$I$3:$I$62,MATCH($A12,Simulations!$A$3:$A$62,0))&gt;0,INDEX(Simulations!$I$3:$I$62,MATCH($A12,Simulations!$A$3:$A$62,0)),1))*INDEX(Simulations!$J$3:$J$62,MATCH($A12,Simulations!$A$3:$A$62,0))*IF(INDEX(Simulations!$I$3:$I$62,MATCH($A12,Simulations!$A$3:$A$62,0))&gt;0,2*PI()*INDEX(Simulations!$T$3:$T$62,MATCH($A12,Simulations!$A$3:$A$62,0))^2*INDEX(Simulations!$U$3:$U$62,MATCH($A12,Simulations!$A$3:$A$62,0))/2^1.5*(2/3*LN($F12/INDEX(Simulations!$J$3:$J$62,MATCH($A12,Simulations!$A$3:$A$62,0)))^1.5+SQRT(LN($F12/INDEX(Simulations!$J$3:$J$62,MATCH($A12,Simulations!$A$3:$A$62,0))))+$F12/INDEX(Simulations!$J$3:$J$62,MATCH($A12,Simulations!$A$3:$A$62,0))*SQRT(PI())/2*ERFC(SQRT(LN($F12/INDEX(Simulations!$J$3:$J$62,MATCH($A12,Simulations!$A$3:$A$62,0)))))),PI()*INDEX(Simulations!$T$3:$T$62,MATCH($A12,Simulations!$A$3:$A$62,0))^2/2*(LN($F12/INDEX(Simulations!$J$3:$J$62,MATCH($A12,Simulations!$A$3:$A$62,0)))+1)))))</f>
        <v>29.3532730881177</v>
      </c>
      <c r="S12" s="16" t="n">
        <f aca="false">IF(OR($A12="",ISNA(MATCH($A12,Simulations!$A$3:$A$62,0))),"",IF(N($G12)&lt;=0,0,IF($G12&lt;INDEX(Simulations!$J$3:$J$62,MATCH($A12,Simulations!$A$3:$A$62,0)),$D12/(INDEX(Simulations!$G$3:$G$62,MATCH($A12,Simulations!$A$3:$A$62,0))*INDEX(Simulations!$H$3:$H$62,MATCH($A12,Simulations!$A$3:$A$62,0))*IF(INDEX(Simulations!$I$3:$I$62,MATCH($A12,Simulations!$A$3:$A$62,0))&gt;0,INDEX(Simulations!$I$3:$I$62,MATCH($A12,Simulations!$A$3:$A$62,0)),1))*$G12*(PI()/2*INDEX(Simulations!$T$3:$T$62,MATCH($A12,Simulations!$A$3:$A$62,0))^2*IF(INDEX(Simulations!$I$3:$I$62,MATCH($A12,Simulations!$A$3:$A$62,0))&gt;0,SQRT(PI()/2)*INDEX(Simulations!$U$3:$U$62,MATCH($A12,Simulations!$A$3:$A$62,0)),1)),$D12/(INDEX(Simulations!$G$3:$G$62,MATCH($A12,Simulations!$A$3:$A$62,0))*INDEX(Simulations!$H$3:$H$62,MATCH($A12,Simulations!$A$3:$A$62,0))*IF(INDEX(Simulations!$I$3:$I$62,MATCH($A12,Simulations!$A$3:$A$62,0))&gt;0,INDEX(Simulations!$I$3:$I$62,MATCH($A12,Simulations!$A$3:$A$62,0)),1))*INDEX(Simulations!$J$3:$J$62,MATCH($A12,Simulations!$A$3:$A$62,0))*IF(INDEX(Simulations!$I$3:$I$62,MATCH($A12,Simulations!$A$3:$A$62,0))&gt;0,2*PI()*INDEX(Simulations!$T$3:$T$62,MATCH($A12,Simulations!$A$3:$A$62,0))^2*INDEX(Simulations!$U$3:$U$62,MATCH($A12,Simulations!$A$3:$A$62,0))/2^1.5*(2/3*LN($G12/INDEX(Simulations!$J$3:$J$62,MATCH($A12,Simulations!$A$3:$A$62,0)))^1.5+SQRT(LN($G12/INDEX(Simulations!$J$3:$J$62,MATCH($A12,Simulations!$A$3:$A$62,0))))+$G12/INDEX(Simulations!$J$3:$J$62,MATCH($A12,Simulations!$A$3:$A$62,0))*SQRT(PI())/2*ERFC(SQRT(LN($G12/INDEX(Simulations!$J$3:$J$62,MATCH($A12,Simulations!$A$3:$A$62,0)))))),PI()*INDEX(Simulations!$T$3:$T$62,MATCH($A12,Simulations!$A$3:$A$62,0))^2/2*(LN($G12/INDEX(Simulations!$J$3:$J$62,MATCH($A12,Simulations!$A$3:$A$62,0)))+1)))))</f>
        <v>0</v>
      </c>
      <c r="T12" s="16" t="n">
        <f aca="false">IF(OR($A12="",ISNA(MATCH($A12,Simulations!$A$3:$A$62,0))),"",IF(N($H12)&lt;=0,0,IF($H12&lt;INDEX(Simulations!$J$3:$J$62,MATCH($A12,Simulations!$A$3:$A$62,0)),$D12/(INDEX(Simulations!$G$3:$G$62,MATCH($A12,Simulations!$A$3:$A$62,0))*INDEX(Simulations!$H$3:$H$62,MATCH($A12,Simulations!$A$3:$A$62,0))*IF(INDEX(Simulations!$I$3:$I$62,MATCH($A12,Simulations!$A$3:$A$62,0))&gt;0,INDEX(Simulations!$I$3:$I$62,MATCH($A12,Simulations!$A$3:$A$62,0)),1))*$H12*(PI()/2*INDEX(Simulations!$T$3:$T$62,MATCH($A12,Simulations!$A$3:$A$62,0))^2*IF(INDEX(Simulations!$I$3:$I$62,MATCH($A12,Simulations!$A$3:$A$62,0))&gt;0,SQRT(PI()/2)*INDEX(Simulations!$U$3:$U$62,MATCH($A12,Simulations!$A$3:$A$62,0)),1)),$D12/(INDEX(Simulations!$G$3:$G$62,MATCH($A12,Simulations!$A$3:$A$62,0))*INDEX(Simulations!$H$3:$H$62,MATCH($A12,Simulations!$A$3:$A$62,0))*IF(INDEX(Simulations!$I$3:$I$62,MATCH($A12,Simulations!$A$3:$A$62,0))&gt;0,INDEX(Simulations!$I$3:$I$62,MATCH($A12,Simulations!$A$3:$A$62,0)),1))*INDEX(Simulations!$J$3:$J$62,MATCH($A12,Simulations!$A$3:$A$62,0))*IF(INDEX(Simulations!$I$3:$I$62,MATCH($A12,Simulations!$A$3:$A$62,0))&gt;0,2*PI()*INDEX(Simulations!$T$3:$T$62,MATCH($A12,Simulations!$A$3:$A$62,0))^2*INDEX(Simulations!$U$3:$U$62,MATCH($A12,Simulations!$A$3:$A$62,0))/2^1.5*(2/3*LN($H12/INDEX(Simulations!$J$3:$J$62,MATCH($A12,Simulations!$A$3:$A$62,0)))^1.5+SQRT(LN($H12/INDEX(Simulations!$J$3:$J$62,MATCH($A12,Simulations!$A$3:$A$62,0))))+$H12/INDEX(Simulations!$J$3:$J$62,MATCH($A12,Simulations!$A$3:$A$62,0))*SQRT(PI())/2*ERFC(SQRT(LN($H12/INDEX(Simulations!$J$3:$J$62,MATCH($A12,Simulations!$A$3:$A$62,0)))))),PI()*INDEX(Simulations!$T$3:$T$62,MATCH($A12,Simulations!$A$3:$A$62,0))^2/2*(LN($H12/INDEX(Simulations!$J$3:$J$62,MATCH($A12,Simulations!$A$3:$A$62,0)))+1)))))</f>
        <v>0</v>
      </c>
      <c r="U12" s="18" t="n">
        <f aca="false">IF(OR(OR($A12="",ISNA(MATCH($A12,Simulations!$A$3:$A$62,0))),N($C12)&lt;=0),"",SQRT(2*$C12*1000000/(INDEX(Simulations!$J$3:$J$62,MATCH($A12,Simulations!$A$3:$A$62,0))*1000))/INDEX(Simulations!$T$3:$T$62,MATCH($A12,Simulations!$A$3:$A$62,0)))</f>
        <v>0.0418330013267038</v>
      </c>
      <c r="V12" s="19" t="str">
        <f aca="false">IF($A12="","",IF(ISNA(MATCH($A12,Simulations!$A$3:$A$62,0)),"✖ Sim ID not found on the Simulations sheet",IF($P12&gt;=1,"✖ brightness &gt;= sampling frequency: completely saturated (D too small, c too large)",IF($P12&gt;0.1,"⚠ brightness &gt; 10% of the sampling frequency: focus starts to saturate",IF(N($U12)&gt;0.1,"⚠ diffusion step &gt; 10% of wr: raise the sampling frequency",IF(MAX($E12:$H12)=0,"⚠ no brightness set","✔ OK"))))))</f>
        <v>✖ brightness &gt;= sampling frequency: completely saturated (D too small, c too large)</v>
      </c>
    </row>
    <row r="13" customFormat="false" ht="23.85" hidden="false" customHeight="false" outlineLevel="0" collapsed="false">
      <c r="A13" s="13" t="s">
        <v>84</v>
      </c>
      <c r="B13" s="13" t="s">
        <v>137</v>
      </c>
      <c r="C13" s="13" t="n">
        <v>33</v>
      </c>
      <c r="D13" s="13" t="n">
        <v>10</v>
      </c>
      <c r="E13" s="13" t="n">
        <v>20000</v>
      </c>
      <c r="F13" s="13" t="n">
        <v>10000</v>
      </c>
      <c r="G13" s="13" t="n">
        <v>0</v>
      </c>
      <c r="H13" s="13" t="n">
        <v>0</v>
      </c>
      <c r="I13" s="13" t="n">
        <v>4</v>
      </c>
      <c r="J13" s="13" t="n">
        <v>3</v>
      </c>
      <c r="K13" s="13" t="n">
        <v>2.5</v>
      </c>
      <c r="L13" s="13" t="n">
        <v>2.5</v>
      </c>
      <c r="M13" s="13" t="s">
        <v>131</v>
      </c>
      <c r="N13" s="14"/>
      <c r="O13" s="18" t="n">
        <f aca="false">IF(OR($A13="",ISNA(MATCH($A13,Simulations!$A$3:$A$62,0))),"",IF(INDEX(Simulations!$I$3:$I$62,MATCH($A13,Simulations!$A$3:$A$62,0))&gt;0,$D13/(INDEX(Simulations!$G$3:$G$62,MATCH($A13,Simulations!$A$3:$A$62,0))*INDEX(Simulations!$H$3:$H$62,MATCH($A13,Simulations!$A$3:$A$62,0))*IF(INDEX(Simulations!$I$3:$I$62,MATCH($A13,Simulations!$A$3:$A$62,0))&gt;0,INDEX(Simulations!$I$3:$I$62,MATCH($A13,Simulations!$A$3:$A$62,0)),1))/1E-024/6.022E+023/0.000000001,""))</f>
        <v>0.13284623048821</v>
      </c>
      <c r="P13" s="20" t="n">
        <f aca="false">IF(OR($A13="",ISNA(MATCH($A13,Simulations!$A$3:$A$62,0))),"",MAX($E13:$H13)/INDEX(Simulations!$J$3:$J$62,MATCH($A13,Simulations!$A$3:$A$62,0)))</f>
        <v>20</v>
      </c>
      <c r="Q13" s="16" t="n">
        <f aca="false">IF(OR($A13="",ISNA(MATCH($A13,Simulations!$A$3:$A$62,0))),"",IF(N($E13)&lt;=0,0,IF($E13&lt;INDEX(Simulations!$J$3:$J$62,MATCH($A13,Simulations!$A$3:$A$62,0)),$D13/(INDEX(Simulations!$G$3:$G$62,MATCH($A13,Simulations!$A$3:$A$62,0))*INDEX(Simulations!$H$3:$H$62,MATCH($A13,Simulations!$A$3:$A$62,0))*IF(INDEX(Simulations!$I$3:$I$62,MATCH($A13,Simulations!$A$3:$A$62,0))&gt;0,INDEX(Simulations!$I$3:$I$62,MATCH($A13,Simulations!$A$3:$A$62,0)),1))*$E13*(PI()/2*INDEX(Simulations!$T$3:$T$62,MATCH($A13,Simulations!$A$3:$A$62,0))^2*IF(INDEX(Simulations!$I$3:$I$62,MATCH($A13,Simulations!$A$3:$A$62,0))&gt;0,SQRT(PI()/2)*INDEX(Simulations!$U$3:$U$62,MATCH($A13,Simulations!$A$3:$A$62,0)),1)),$D13/(INDEX(Simulations!$G$3:$G$62,MATCH($A13,Simulations!$A$3:$A$62,0))*INDEX(Simulations!$H$3:$H$62,MATCH($A13,Simulations!$A$3:$A$62,0))*IF(INDEX(Simulations!$I$3:$I$62,MATCH($A13,Simulations!$A$3:$A$62,0))&gt;0,INDEX(Simulations!$I$3:$I$62,MATCH($A13,Simulations!$A$3:$A$62,0)),1))*INDEX(Simulations!$J$3:$J$62,MATCH($A13,Simulations!$A$3:$A$62,0))*IF(INDEX(Simulations!$I$3:$I$62,MATCH($A13,Simulations!$A$3:$A$62,0))&gt;0,2*PI()*INDEX(Simulations!$T$3:$T$62,MATCH($A13,Simulations!$A$3:$A$62,0))^2*INDEX(Simulations!$U$3:$U$62,MATCH($A13,Simulations!$A$3:$A$62,0))/2^1.5*(2/3*LN($E13/INDEX(Simulations!$J$3:$J$62,MATCH($A13,Simulations!$A$3:$A$62,0)))^1.5+SQRT(LN($E13/INDEX(Simulations!$J$3:$J$62,MATCH($A13,Simulations!$A$3:$A$62,0))))+$E13/INDEX(Simulations!$J$3:$J$62,MATCH($A13,Simulations!$A$3:$A$62,0))*SQRT(PI())/2*ERFC(SQRT(LN($E13/INDEX(Simulations!$J$3:$J$62,MATCH($A13,Simulations!$A$3:$A$62,0)))))),PI()*INDEX(Simulations!$T$3:$T$62,MATCH($A13,Simulations!$A$3:$A$62,0))^2/2*(LN($E13/INDEX(Simulations!$J$3:$J$62,MATCH($A13,Simulations!$A$3:$A$62,0)))+1)))))</f>
        <v>38.6873848879807</v>
      </c>
      <c r="R13" s="16" t="n">
        <f aca="false">IF(OR($A13="",ISNA(MATCH($A13,Simulations!$A$3:$A$62,0))),"",IF(N($F13)&lt;=0,0,IF($F13&lt;INDEX(Simulations!$J$3:$J$62,MATCH($A13,Simulations!$A$3:$A$62,0)),$D13/(INDEX(Simulations!$G$3:$G$62,MATCH($A13,Simulations!$A$3:$A$62,0))*INDEX(Simulations!$H$3:$H$62,MATCH($A13,Simulations!$A$3:$A$62,0))*IF(INDEX(Simulations!$I$3:$I$62,MATCH($A13,Simulations!$A$3:$A$62,0))&gt;0,INDEX(Simulations!$I$3:$I$62,MATCH($A13,Simulations!$A$3:$A$62,0)),1))*$F13*(PI()/2*INDEX(Simulations!$T$3:$T$62,MATCH($A13,Simulations!$A$3:$A$62,0))^2*IF(INDEX(Simulations!$I$3:$I$62,MATCH($A13,Simulations!$A$3:$A$62,0))&gt;0,SQRT(PI()/2)*INDEX(Simulations!$U$3:$U$62,MATCH($A13,Simulations!$A$3:$A$62,0)),1)),$D13/(INDEX(Simulations!$G$3:$G$62,MATCH($A13,Simulations!$A$3:$A$62,0))*INDEX(Simulations!$H$3:$H$62,MATCH($A13,Simulations!$A$3:$A$62,0))*IF(INDEX(Simulations!$I$3:$I$62,MATCH($A13,Simulations!$A$3:$A$62,0))&gt;0,INDEX(Simulations!$I$3:$I$62,MATCH($A13,Simulations!$A$3:$A$62,0)),1))*INDEX(Simulations!$J$3:$J$62,MATCH($A13,Simulations!$A$3:$A$62,0))*IF(INDEX(Simulations!$I$3:$I$62,MATCH($A13,Simulations!$A$3:$A$62,0))&gt;0,2*PI()*INDEX(Simulations!$T$3:$T$62,MATCH($A13,Simulations!$A$3:$A$62,0))^2*INDEX(Simulations!$U$3:$U$62,MATCH($A13,Simulations!$A$3:$A$62,0))/2^1.5*(2/3*LN($F13/INDEX(Simulations!$J$3:$J$62,MATCH($A13,Simulations!$A$3:$A$62,0)))^1.5+SQRT(LN($F13/INDEX(Simulations!$J$3:$J$62,MATCH($A13,Simulations!$A$3:$A$62,0))))+$F13/INDEX(Simulations!$J$3:$J$62,MATCH($A13,Simulations!$A$3:$A$62,0))*SQRT(PI())/2*ERFC(SQRT(LN($F13/INDEX(Simulations!$J$3:$J$62,MATCH($A13,Simulations!$A$3:$A$62,0)))))),PI()*INDEX(Simulations!$T$3:$T$62,MATCH($A13,Simulations!$A$3:$A$62,0))^2/2*(LN($F13/INDEX(Simulations!$J$3:$J$62,MATCH($A13,Simulations!$A$3:$A$62,0)))+1)))))</f>
        <v>29.3532730881177</v>
      </c>
      <c r="S13" s="16" t="n">
        <f aca="false">IF(OR($A13="",ISNA(MATCH($A13,Simulations!$A$3:$A$62,0))),"",IF(N($G13)&lt;=0,0,IF($G13&lt;INDEX(Simulations!$J$3:$J$62,MATCH($A13,Simulations!$A$3:$A$62,0)),$D13/(INDEX(Simulations!$G$3:$G$62,MATCH($A13,Simulations!$A$3:$A$62,0))*INDEX(Simulations!$H$3:$H$62,MATCH($A13,Simulations!$A$3:$A$62,0))*IF(INDEX(Simulations!$I$3:$I$62,MATCH($A13,Simulations!$A$3:$A$62,0))&gt;0,INDEX(Simulations!$I$3:$I$62,MATCH($A13,Simulations!$A$3:$A$62,0)),1))*$G13*(PI()/2*INDEX(Simulations!$T$3:$T$62,MATCH($A13,Simulations!$A$3:$A$62,0))^2*IF(INDEX(Simulations!$I$3:$I$62,MATCH($A13,Simulations!$A$3:$A$62,0))&gt;0,SQRT(PI()/2)*INDEX(Simulations!$U$3:$U$62,MATCH($A13,Simulations!$A$3:$A$62,0)),1)),$D13/(INDEX(Simulations!$G$3:$G$62,MATCH($A13,Simulations!$A$3:$A$62,0))*INDEX(Simulations!$H$3:$H$62,MATCH($A13,Simulations!$A$3:$A$62,0))*IF(INDEX(Simulations!$I$3:$I$62,MATCH($A13,Simulations!$A$3:$A$62,0))&gt;0,INDEX(Simulations!$I$3:$I$62,MATCH($A13,Simulations!$A$3:$A$62,0)),1))*INDEX(Simulations!$J$3:$J$62,MATCH($A13,Simulations!$A$3:$A$62,0))*IF(INDEX(Simulations!$I$3:$I$62,MATCH($A13,Simulations!$A$3:$A$62,0))&gt;0,2*PI()*INDEX(Simulations!$T$3:$T$62,MATCH($A13,Simulations!$A$3:$A$62,0))^2*INDEX(Simulations!$U$3:$U$62,MATCH($A13,Simulations!$A$3:$A$62,0))/2^1.5*(2/3*LN($G13/INDEX(Simulations!$J$3:$J$62,MATCH($A13,Simulations!$A$3:$A$62,0)))^1.5+SQRT(LN($G13/INDEX(Simulations!$J$3:$J$62,MATCH($A13,Simulations!$A$3:$A$62,0))))+$G13/INDEX(Simulations!$J$3:$J$62,MATCH($A13,Simulations!$A$3:$A$62,0))*SQRT(PI())/2*ERFC(SQRT(LN($G13/INDEX(Simulations!$J$3:$J$62,MATCH($A13,Simulations!$A$3:$A$62,0)))))),PI()*INDEX(Simulations!$T$3:$T$62,MATCH($A13,Simulations!$A$3:$A$62,0))^2/2*(LN($G13/INDEX(Simulations!$J$3:$J$62,MATCH($A13,Simulations!$A$3:$A$62,0)))+1)))))</f>
        <v>0</v>
      </c>
      <c r="T13" s="16" t="n">
        <f aca="false">IF(OR($A13="",ISNA(MATCH($A13,Simulations!$A$3:$A$62,0))),"",IF(N($H13)&lt;=0,0,IF($H13&lt;INDEX(Simulations!$J$3:$J$62,MATCH($A13,Simulations!$A$3:$A$62,0)),$D13/(INDEX(Simulations!$G$3:$G$62,MATCH($A13,Simulations!$A$3:$A$62,0))*INDEX(Simulations!$H$3:$H$62,MATCH($A13,Simulations!$A$3:$A$62,0))*IF(INDEX(Simulations!$I$3:$I$62,MATCH($A13,Simulations!$A$3:$A$62,0))&gt;0,INDEX(Simulations!$I$3:$I$62,MATCH($A13,Simulations!$A$3:$A$62,0)),1))*$H13*(PI()/2*INDEX(Simulations!$T$3:$T$62,MATCH($A13,Simulations!$A$3:$A$62,0))^2*IF(INDEX(Simulations!$I$3:$I$62,MATCH($A13,Simulations!$A$3:$A$62,0))&gt;0,SQRT(PI()/2)*INDEX(Simulations!$U$3:$U$62,MATCH($A13,Simulations!$A$3:$A$62,0)),1)),$D13/(INDEX(Simulations!$G$3:$G$62,MATCH($A13,Simulations!$A$3:$A$62,0))*INDEX(Simulations!$H$3:$H$62,MATCH($A13,Simulations!$A$3:$A$62,0))*IF(INDEX(Simulations!$I$3:$I$62,MATCH($A13,Simulations!$A$3:$A$62,0))&gt;0,INDEX(Simulations!$I$3:$I$62,MATCH($A13,Simulations!$A$3:$A$62,0)),1))*INDEX(Simulations!$J$3:$J$62,MATCH($A13,Simulations!$A$3:$A$62,0))*IF(INDEX(Simulations!$I$3:$I$62,MATCH($A13,Simulations!$A$3:$A$62,0))&gt;0,2*PI()*INDEX(Simulations!$T$3:$T$62,MATCH($A13,Simulations!$A$3:$A$62,0))^2*INDEX(Simulations!$U$3:$U$62,MATCH($A13,Simulations!$A$3:$A$62,0))/2^1.5*(2/3*LN($H13/INDEX(Simulations!$J$3:$J$62,MATCH($A13,Simulations!$A$3:$A$62,0)))^1.5+SQRT(LN($H13/INDEX(Simulations!$J$3:$J$62,MATCH($A13,Simulations!$A$3:$A$62,0))))+$H13/INDEX(Simulations!$J$3:$J$62,MATCH($A13,Simulations!$A$3:$A$62,0))*SQRT(PI())/2*ERFC(SQRT(LN($H13/INDEX(Simulations!$J$3:$J$62,MATCH($A13,Simulations!$A$3:$A$62,0)))))),PI()*INDEX(Simulations!$T$3:$T$62,MATCH($A13,Simulations!$A$3:$A$62,0))^2/2*(LN($H13/INDEX(Simulations!$J$3:$J$62,MATCH($A13,Simulations!$A$3:$A$62,0)))+1)))))</f>
        <v>0</v>
      </c>
      <c r="U13" s="18" t="n">
        <f aca="false">IF(OR(OR($A13="",ISNA(MATCH($A13,Simulations!$A$3:$A$62,0))),N($C13)&lt;=0),"",SQRT(2*$C13*1000000/(INDEX(Simulations!$J$3:$J$62,MATCH($A13,Simulations!$A$3:$A$62,0))*1000))/INDEX(Simulations!$T$3:$T$62,MATCH($A13,Simulations!$A$3:$A$62,0)))</f>
        <v>0.0406201920231798</v>
      </c>
      <c r="V13" s="19" t="str">
        <f aca="false">IF($A13="","",IF(ISNA(MATCH($A13,Simulations!$A$3:$A$62,0)),"✖ Sim ID not found on the Simulations sheet",IF($P13&gt;=1,"✖ brightness &gt;= sampling frequency: completely saturated (D too small, c too large)",IF($P13&gt;0.1,"⚠ brightness &gt; 10% of the sampling frequency: focus starts to saturate",IF(N($U13)&gt;0.1,"⚠ diffusion step &gt; 10% of wr: raise the sampling frequency",IF(MAX($E13:$H13)=0,"⚠ no brightness set","✔ OK"))))))</f>
        <v>✖ brightness &gt;= sampling frequency: completely saturated (D too small, c too large)</v>
      </c>
    </row>
    <row r="14" customFormat="false" ht="23.85" hidden="false" customHeight="false" outlineLevel="0" collapsed="false">
      <c r="A14" s="13" t="s">
        <v>88</v>
      </c>
      <c r="B14" s="13" t="s">
        <v>132</v>
      </c>
      <c r="C14" s="13" t="n">
        <v>400</v>
      </c>
      <c r="D14" s="13" t="n">
        <v>10</v>
      </c>
      <c r="E14" s="13" t="n">
        <v>10000</v>
      </c>
      <c r="F14" s="13" t="n">
        <v>0</v>
      </c>
      <c r="G14" s="13" t="n">
        <v>0</v>
      </c>
      <c r="H14" s="13" t="n">
        <v>0</v>
      </c>
      <c r="I14" s="13" t="n">
        <v>4</v>
      </c>
      <c r="J14" s="13" t="n">
        <v>3</v>
      </c>
      <c r="K14" s="13" t="n">
        <v>2.5</v>
      </c>
      <c r="L14" s="13" t="n">
        <v>2.5</v>
      </c>
      <c r="M14" s="13" t="s">
        <v>131</v>
      </c>
      <c r="N14" s="14"/>
      <c r="O14" s="18" t="n">
        <f aca="false">IF(OR($A14="",ISNA(MATCH($A14,Simulations!$A$3:$A$62,0))),"",IF(INDEX(Simulations!$I$3:$I$62,MATCH($A14,Simulations!$A$3:$A$62,0))&gt;0,$D14/(INDEX(Simulations!$G$3:$G$62,MATCH($A14,Simulations!$A$3:$A$62,0))*INDEX(Simulations!$H$3:$H$62,MATCH($A14,Simulations!$A$3:$A$62,0))*IF(INDEX(Simulations!$I$3:$I$62,MATCH($A14,Simulations!$A$3:$A$62,0))&gt;0,INDEX(Simulations!$I$3:$I$62,MATCH($A14,Simulations!$A$3:$A$62,0)),1))/1E-024/6.022E+023/0.000000001,""))</f>
        <v>0.13284623048821</v>
      </c>
      <c r="P14" s="20" t="n">
        <f aca="false">IF(OR($A14="",ISNA(MATCH($A14,Simulations!$A$3:$A$62,0))),"",MAX($E14:$H14)/INDEX(Simulations!$J$3:$J$62,MATCH($A14,Simulations!$A$3:$A$62,0)))</f>
        <v>10</v>
      </c>
      <c r="Q14" s="16" t="n">
        <f aca="false">IF(OR($A14="",ISNA(MATCH($A14,Simulations!$A$3:$A$62,0))),"",IF(N($E14)&lt;=0,0,IF($E14&lt;INDEX(Simulations!$J$3:$J$62,MATCH($A14,Simulations!$A$3:$A$62,0)),$D14/(INDEX(Simulations!$G$3:$G$62,MATCH($A14,Simulations!$A$3:$A$62,0))*INDEX(Simulations!$H$3:$H$62,MATCH($A14,Simulations!$A$3:$A$62,0))*IF(INDEX(Simulations!$I$3:$I$62,MATCH($A14,Simulations!$A$3:$A$62,0))&gt;0,INDEX(Simulations!$I$3:$I$62,MATCH($A14,Simulations!$A$3:$A$62,0)),1))*$E14*(PI()/2*INDEX(Simulations!$T$3:$T$62,MATCH($A14,Simulations!$A$3:$A$62,0))^2*IF(INDEX(Simulations!$I$3:$I$62,MATCH($A14,Simulations!$A$3:$A$62,0))&gt;0,SQRT(PI()/2)*INDEX(Simulations!$U$3:$U$62,MATCH($A14,Simulations!$A$3:$A$62,0)),1)),$D14/(INDEX(Simulations!$G$3:$G$62,MATCH($A14,Simulations!$A$3:$A$62,0))*INDEX(Simulations!$H$3:$H$62,MATCH($A14,Simulations!$A$3:$A$62,0))*IF(INDEX(Simulations!$I$3:$I$62,MATCH($A14,Simulations!$A$3:$A$62,0))&gt;0,INDEX(Simulations!$I$3:$I$62,MATCH($A14,Simulations!$A$3:$A$62,0)),1))*INDEX(Simulations!$J$3:$J$62,MATCH($A14,Simulations!$A$3:$A$62,0))*IF(INDEX(Simulations!$I$3:$I$62,MATCH($A14,Simulations!$A$3:$A$62,0))&gt;0,2*PI()*INDEX(Simulations!$T$3:$T$62,MATCH($A14,Simulations!$A$3:$A$62,0))^2*INDEX(Simulations!$U$3:$U$62,MATCH($A14,Simulations!$A$3:$A$62,0))/2^1.5*(2/3*LN($E14/INDEX(Simulations!$J$3:$J$62,MATCH($A14,Simulations!$A$3:$A$62,0)))^1.5+SQRT(LN($E14/INDEX(Simulations!$J$3:$J$62,MATCH($A14,Simulations!$A$3:$A$62,0))))+$E14/INDEX(Simulations!$J$3:$J$62,MATCH($A14,Simulations!$A$3:$A$62,0))*SQRT(PI())/2*ERFC(SQRT(LN($E14/INDEX(Simulations!$J$3:$J$62,MATCH($A14,Simulations!$A$3:$A$62,0)))))),PI()*INDEX(Simulations!$T$3:$T$62,MATCH($A14,Simulations!$A$3:$A$62,0))^2/2*(LN($E14/INDEX(Simulations!$J$3:$J$62,MATCH($A14,Simulations!$A$3:$A$62,0)))+1)))))</f>
        <v>29.3532730881177</v>
      </c>
      <c r="R14" s="16" t="n">
        <f aca="false">IF(OR($A14="",ISNA(MATCH($A14,Simulations!$A$3:$A$62,0))),"",IF(N($F14)&lt;=0,0,IF($F14&lt;INDEX(Simulations!$J$3:$J$62,MATCH($A14,Simulations!$A$3:$A$62,0)),$D14/(INDEX(Simulations!$G$3:$G$62,MATCH($A14,Simulations!$A$3:$A$62,0))*INDEX(Simulations!$H$3:$H$62,MATCH($A14,Simulations!$A$3:$A$62,0))*IF(INDEX(Simulations!$I$3:$I$62,MATCH($A14,Simulations!$A$3:$A$62,0))&gt;0,INDEX(Simulations!$I$3:$I$62,MATCH($A14,Simulations!$A$3:$A$62,0)),1))*$F14*(PI()/2*INDEX(Simulations!$T$3:$T$62,MATCH($A14,Simulations!$A$3:$A$62,0))^2*IF(INDEX(Simulations!$I$3:$I$62,MATCH($A14,Simulations!$A$3:$A$62,0))&gt;0,SQRT(PI()/2)*INDEX(Simulations!$U$3:$U$62,MATCH($A14,Simulations!$A$3:$A$62,0)),1)),$D14/(INDEX(Simulations!$G$3:$G$62,MATCH($A14,Simulations!$A$3:$A$62,0))*INDEX(Simulations!$H$3:$H$62,MATCH($A14,Simulations!$A$3:$A$62,0))*IF(INDEX(Simulations!$I$3:$I$62,MATCH($A14,Simulations!$A$3:$A$62,0))&gt;0,INDEX(Simulations!$I$3:$I$62,MATCH($A14,Simulations!$A$3:$A$62,0)),1))*INDEX(Simulations!$J$3:$J$62,MATCH($A14,Simulations!$A$3:$A$62,0))*IF(INDEX(Simulations!$I$3:$I$62,MATCH($A14,Simulations!$A$3:$A$62,0))&gt;0,2*PI()*INDEX(Simulations!$T$3:$T$62,MATCH($A14,Simulations!$A$3:$A$62,0))^2*INDEX(Simulations!$U$3:$U$62,MATCH($A14,Simulations!$A$3:$A$62,0))/2^1.5*(2/3*LN($F14/INDEX(Simulations!$J$3:$J$62,MATCH($A14,Simulations!$A$3:$A$62,0)))^1.5+SQRT(LN($F14/INDEX(Simulations!$J$3:$J$62,MATCH($A14,Simulations!$A$3:$A$62,0))))+$F14/INDEX(Simulations!$J$3:$J$62,MATCH($A14,Simulations!$A$3:$A$62,0))*SQRT(PI())/2*ERFC(SQRT(LN($F14/INDEX(Simulations!$J$3:$J$62,MATCH($A14,Simulations!$A$3:$A$62,0)))))),PI()*INDEX(Simulations!$T$3:$T$62,MATCH($A14,Simulations!$A$3:$A$62,0))^2/2*(LN($F14/INDEX(Simulations!$J$3:$J$62,MATCH($A14,Simulations!$A$3:$A$62,0)))+1)))))</f>
        <v>0</v>
      </c>
      <c r="S14" s="16" t="n">
        <f aca="false">IF(OR($A14="",ISNA(MATCH($A14,Simulations!$A$3:$A$62,0))),"",IF(N($G14)&lt;=0,0,IF($G14&lt;INDEX(Simulations!$J$3:$J$62,MATCH($A14,Simulations!$A$3:$A$62,0)),$D14/(INDEX(Simulations!$G$3:$G$62,MATCH($A14,Simulations!$A$3:$A$62,0))*INDEX(Simulations!$H$3:$H$62,MATCH($A14,Simulations!$A$3:$A$62,0))*IF(INDEX(Simulations!$I$3:$I$62,MATCH($A14,Simulations!$A$3:$A$62,0))&gt;0,INDEX(Simulations!$I$3:$I$62,MATCH($A14,Simulations!$A$3:$A$62,0)),1))*$G14*(PI()/2*INDEX(Simulations!$T$3:$T$62,MATCH($A14,Simulations!$A$3:$A$62,0))^2*IF(INDEX(Simulations!$I$3:$I$62,MATCH($A14,Simulations!$A$3:$A$62,0))&gt;0,SQRT(PI()/2)*INDEX(Simulations!$U$3:$U$62,MATCH($A14,Simulations!$A$3:$A$62,0)),1)),$D14/(INDEX(Simulations!$G$3:$G$62,MATCH($A14,Simulations!$A$3:$A$62,0))*INDEX(Simulations!$H$3:$H$62,MATCH($A14,Simulations!$A$3:$A$62,0))*IF(INDEX(Simulations!$I$3:$I$62,MATCH($A14,Simulations!$A$3:$A$62,0))&gt;0,INDEX(Simulations!$I$3:$I$62,MATCH($A14,Simulations!$A$3:$A$62,0)),1))*INDEX(Simulations!$J$3:$J$62,MATCH($A14,Simulations!$A$3:$A$62,0))*IF(INDEX(Simulations!$I$3:$I$62,MATCH($A14,Simulations!$A$3:$A$62,0))&gt;0,2*PI()*INDEX(Simulations!$T$3:$T$62,MATCH($A14,Simulations!$A$3:$A$62,0))^2*INDEX(Simulations!$U$3:$U$62,MATCH($A14,Simulations!$A$3:$A$62,0))/2^1.5*(2/3*LN($G14/INDEX(Simulations!$J$3:$J$62,MATCH($A14,Simulations!$A$3:$A$62,0)))^1.5+SQRT(LN($G14/INDEX(Simulations!$J$3:$J$62,MATCH($A14,Simulations!$A$3:$A$62,0))))+$G14/INDEX(Simulations!$J$3:$J$62,MATCH($A14,Simulations!$A$3:$A$62,0))*SQRT(PI())/2*ERFC(SQRT(LN($G14/INDEX(Simulations!$J$3:$J$62,MATCH($A14,Simulations!$A$3:$A$62,0)))))),PI()*INDEX(Simulations!$T$3:$T$62,MATCH($A14,Simulations!$A$3:$A$62,0))^2/2*(LN($G14/INDEX(Simulations!$J$3:$J$62,MATCH($A14,Simulations!$A$3:$A$62,0)))+1)))))</f>
        <v>0</v>
      </c>
      <c r="T14" s="16" t="n">
        <f aca="false">IF(OR($A14="",ISNA(MATCH($A14,Simulations!$A$3:$A$62,0))),"",IF(N($H14)&lt;=0,0,IF($H14&lt;INDEX(Simulations!$J$3:$J$62,MATCH($A14,Simulations!$A$3:$A$62,0)),$D14/(INDEX(Simulations!$G$3:$G$62,MATCH($A14,Simulations!$A$3:$A$62,0))*INDEX(Simulations!$H$3:$H$62,MATCH($A14,Simulations!$A$3:$A$62,0))*IF(INDEX(Simulations!$I$3:$I$62,MATCH($A14,Simulations!$A$3:$A$62,0))&gt;0,INDEX(Simulations!$I$3:$I$62,MATCH($A14,Simulations!$A$3:$A$62,0)),1))*$H14*(PI()/2*INDEX(Simulations!$T$3:$T$62,MATCH($A14,Simulations!$A$3:$A$62,0))^2*IF(INDEX(Simulations!$I$3:$I$62,MATCH($A14,Simulations!$A$3:$A$62,0))&gt;0,SQRT(PI()/2)*INDEX(Simulations!$U$3:$U$62,MATCH($A14,Simulations!$A$3:$A$62,0)),1)),$D14/(INDEX(Simulations!$G$3:$G$62,MATCH($A14,Simulations!$A$3:$A$62,0))*INDEX(Simulations!$H$3:$H$62,MATCH($A14,Simulations!$A$3:$A$62,0))*IF(INDEX(Simulations!$I$3:$I$62,MATCH($A14,Simulations!$A$3:$A$62,0))&gt;0,INDEX(Simulations!$I$3:$I$62,MATCH($A14,Simulations!$A$3:$A$62,0)),1))*INDEX(Simulations!$J$3:$J$62,MATCH($A14,Simulations!$A$3:$A$62,0))*IF(INDEX(Simulations!$I$3:$I$62,MATCH($A14,Simulations!$A$3:$A$62,0))&gt;0,2*PI()*INDEX(Simulations!$T$3:$T$62,MATCH($A14,Simulations!$A$3:$A$62,0))^2*INDEX(Simulations!$U$3:$U$62,MATCH($A14,Simulations!$A$3:$A$62,0))/2^1.5*(2/3*LN($H14/INDEX(Simulations!$J$3:$J$62,MATCH($A14,Simulations!$A$3:$A$62,0)))^1.5+SQRT(LN($H14/INDEX(Simulations!$J$3:$J$62,MATCH($A14,Simulations!$A$3:$A$62,0))))+$H14/INDEX(Simulations!$J$3:$J$62,MATCH($A14,Simulations!$A$3:$A$62,0))*SQRT(PI())/2*ERFC(SQRT(LN($H14/INDEX(Simulations!$J$3:$J$62,MATCH($A14,Simulations!$A$3:$A$62,0)))))),PI()*INDEX(Simulations!$T$3:$T$62,MATCH($A14,Simulations!$A$3:$A$62,0))^2/2*(LN($H14/INDEX(Simulations!$J$3:$J$62,MATCH($A14,Simulations!$A$3:$A$62,0)))+1)))))</f>
        <v>0</v>
      </c>
      <c r="U14" s="18" t="n">
        <f aca="false">IF(OR(OR($A14="",ISNA(MATCH($A14,Simulations!$A$3:$A$62,0))),N($C14)&lt;=0),"",SQRT(2*$C14*1000000/(INDEX(Simulations!$J$3:$J$62,MATCH($A14,Simulations!$A$3:$A$62,0))*1000))/INDEX(Simulations!$T$3:$T$62,MATCH($A14,Simulations!$A$3:$A$62,0)))</f>
        <v>0.14142135623731</v>
      </c>
      <c r="V14" s="19" t="str">
        <f aca="false">IF($A14="","",IF(ISNA(MATCH($A14,Simulations!$A$3:$A$62,0)),"✖ Sim ID not found on the Simulations sheet",IF($P14&gt;=1,"✖ brightness &gt;= sampling frequency: completely saturated (D too small, c too large)",IF($P14&gt;0.1,"⚠ brightness &gt; 10% of the sampling frequency: focus starts to saturate",IF(N($U14)&gt;0.1,"⚠ diffusion step &gt; 10% of wr: raise the sampling frequency",IF(MAX($E14:$H14)=0,"⚠ no brightness set","✔ OK"))))))</f>
        <v>✖ brightness &gt;= sampling frequency: completely saturated (D too small, c too large)</v>
      </c>
    </row>
    <row r="15" customFormat="false" ht="23.85" hidden="false" customHeight="false" outlineLevel="0" collapsed="false">
      <c r="A15" s="13" t="s">
        <v>88</v>
      </c>
      <c r="B15" s="13" t="s">
        <v>133</v>
      </c>
      <c r="C15" s="13" t="n">
        <v>400</v>
      </c>
      <c r="D15" s="13" t="n">
        <v>10</v>
      </c>
      <c r="E15" s="13" t="n">
        <v>0</v>
      </c>
      <c r="F15" s="13" t="n">
        <v>7000</v>
      </c>
      <c r="G15" s="13" t="n">
        <v>0</v>
      </c>
      <c r="H15" s="13" t="n">
        <v>0</v>
      </c>
      <c r="I15" s="13" t="n">
        <v>4</v>
      </c>
      <c r="J15" s="13" t="n">
        <v>3</v>
      </c>
      <c r="K15" s="13" t="n">
        <v>2.5</v>
      </c>
      <c r="L15" s="13" t="n">
        <v>2.5</v>
      </c>
      <c r="M15" s="13" t="s">
        <v>131</v>
      </c>
      <c r="N15" s="14"/>
      <c r="O15" s="18" t="n">
        <f aca="false">IF(OR($A15="",ISNA(MATCH($A15,Simulations!$A$3:$A$62,0))),"",IF(INDEX(Simulations!$I$3:$I$62,MATCH($A15,Simulations!$A$3:$A$62,0))&gt;0,$D15/(INDEX(Simulations!$G$3:$G$62,MATCH($A15,Simulations!$A$3:$A$62,0))*INDEX(Simulations!$H$3:$H$62,MATCH($A15,Simulations!$A$3:$A$62,0))*IF(INDEX(Simulations!$I$3:$I$62,MATCH($A15,Simulations!$A$3:$A$62,0))&gt;0,INDEX(Simulations!$I$3:$I$62,MATCH($A15,Simulations!$A$3:$A$62,0)),1))/1E-024/6.022E+023/0.000000001,""))</f>
        <v>0.13284623048821</v>
      </c>
      <c r="P15" s="20" t="n">
        <f aca="false">IF(OR($A15="",ISNA(MATCH($A15,Simulations!$A$3:$A$62,0))),"",MAX($E15:$H15)/INDEX(Simulations!$J$3:$J$62,MATCH($A15,Simulations!$A$3:$A$62,0)))</f>
        <v>7</v>
      </c>
      <c r="Q15" s="16" t="n">
        <f aca="false">IF(OR($A15="",ISNA(MATCH($A15,Simulations!$A$3:$A$62,0))),"",IF(N($E15)&lt;=0,0,IF($E15&lt;INDEX(Simulations!$J$3:$J$62,MATCH($A15,Simulations!$A$3:$A$62,0)),$D15/(INDEX(Simulations!$G$3:$G$62,MATCH($A15,Simulations!$A$3:$A$62,0))*INDEX(Simulations!$H$3:$H$62,MATCH($A15,Simulations!$A$3:$A$62,0))*IF(INDEX(Simulations!$I$3:$I$62,MATCH($A15,Simulations!$A$3:$A$62,0))&gt;0,INDEX(Simulations!$I$3:$I$62,MATCH($A15,Simulations!$A$3:$A$62,0)),1))*$E15*(PI()/2*INDEX(Simulations!$T$3:$T$62,MATCH($A15,Simulations!$A$3:$A$62,0))^2*IF(INDEX(Simulations!$I$3:$I$62,MATCH($A15,Simulations!$A$3:$A$62,0))&gt;0,SQRT(PI()/2)*INDEX(Simulations!$U$3:$U$62,MATCH($A15,Simulations!$A$3:$A$62,0)),1)),$D15/(INDEX(Simulations!$G$3:$G$62,MATCH($A15,Simulations!$A$3:$A$62,0))*INDEX(Simulations!$H$3:$H$62,MATCH($A15,Simulations!$A$3:$A$62,0))*IF(INDEX(Simulations!$I$3:$I$62,MATCH($A15,Simulations!$A$3:$A$62,0))&gt;0,INDEX(Simulations!$I$3:$I$62,MATCH($A15,Simulations!$A$3:$A$62,0)),1))*INDEX(Simulations!$J$3:$J$62,MATCH($A15,Simulations!$A$3:$A$62,0))*IF(INDEX(Simulations!$I$3:$I$62,MATCH($A15,Simulations!$A$3:$A$62,0))&gt;0,2*PI()*INDEX(Simulations!$T$3:$T$62,MATCH($A15,Simulations!$A$3:$A$62,0))^2*INDEX(Simulations!$U$3:$U$62,MATCH($A15,Simulations!$A$3:$A$62,0))/2^1.5*(2/3*LN($E15/INDEX(Simulations!$J$3:$J$62,MATCH($A15,Simulations!$A$3:$A$62,0)))^1.5+SQRT(LN($E15/INDEX(Simulations!$J$3:$J$62,MATCH($A15,Simulations!$A$3:$A$62,0))))+$E15/INDEX(Simulations!$J$3:$J$62,MATCH($A15,Simulations!$A$3:$A$62,0))*SQRT(PI())/2*ERFC(SQRT(LN($E15/INDEX(Simulations!$J$3:$J$62,MATCH($A15,Simulations!$A$3:$A$62,0)))))),PI()*INDEX(Simulations!$T$3:$T$62,MATCH($A15,Simulations!$A$3:$A$62,0))^2/2*(LN($E15/INDEX(Simulations!$J$3:$J$62,MATCH($A15,Simulations!$A$3:$A$62,0)))+1)))))</f>
        <v>0</v>
      </c>
      <c r="R15" s="16" t="n">
        <f aca="false">IF(OR($A15="",ISNA(MATCH($A15,Simulations!$A$3:$A$62,0))),"",IF(N($F15)&lt;=0,0,IF($F15&lt;INDEX(Simulations!$J$3:$J$62,MATCH($A15,Simulations!$A$3:$A$62,0)),$D15/(INDEX(Simulations!$G$3:$G$62,MATCH($A15,Simulations!$A$3:$A$62,0))*INDEX(Simulations!$H$3:$H$62,MATCH($A15,Simulations!$A$3:$A$62,0))*IF(INDEX(Simulations!$I$3:$I$62,MATCH($A15,Simulations!$A$3:$A$62,0))&gt;0,INDEX(Simulations!$I$3:$I$62,MATCH($A15,Simulations!$A$3:$A$62,0)),1))*$F15*(PI()/2*INDEX(Simulations!$T$3:$T$62,MATCH($A15,Simulations!$A$3:$A$62,0))^2*IF(INDEX(Simulations!$I$3:$I$62,MATCH($A15,Simulations!$A$3:$A$62,0))&gt;0,SQRT(PI()/2)*INDEX(Simulations!$U$3:$U$62,MATCH($A15,Simulations!$A$3:$A$62,0)),1)),$D15/(INDEX(Simulations!$G$3:$G$62,MATCH($A15,Simulations!$A$3:$A$62,0))*INDEX(Simulations!$H$3:$H$62,MATCH($A15,Simulations!$A$3:$A$62,0))*IF(INDEX(Simulations!$I$3:$I$62,MATCH($A15,Simulations!$A$3:$A$62,0))&gt;0,INDEX(Simulations!$I$3:$I$62,MATCH($A15,Simulations!$A$3:$A$62,0)),1))*INDEX(Simulations!$J$3:$J$62,MATCH($A15,Simulations!$A$3:$A$62,0))*IF(INDEX(Simulations!$I$3:$I$62,MATCH($A15,Simulations!$A$3:$A$62,0))&gt;0,2*PI()*INDEX(Simulations!$T$3:$T$62,MATCH($A15,Simulations!$A$3:$A$62,0))^2*INDEX(Simulations!$U$3:$U$62,MATCH($A15,Simulations!$A$3:$A$62,0))/2^1.5*(2/3*LN($F15/INDEX(Simulations!$J$3:$J$62,MATCH($A15,Simulations!$A$3:$A$62,0)))^1.5+SQRT(LN($F15/INDEX(Simulations!$J$3:$J$62,MATCH($A15,Simulations!$A$3:$A$62,0))))+$F15/INDEX(Simulations!$J$3:$J$62,MATCH($A15,Simulations!$A$3:$A$62,0))*SQRT(PI())/2*ERFC(SQRT(LN($F15/INDEX(Simulations!$J$3:$J$62,MATCH($A15,Simulations!$A$3:$A$62,0)))))),PI()*INDEX(Simulations!$T$3:$T$62,MATCH($A15,Simulations!$A$3:$A$62,0))^2/2*(LN($F15/INDEX(Simulations!$J$3:$J$62,MATCH($A15,Simulations!$A$3:$A$62,0)))+1)))))</f>
        <v>24.9200322255786</v>
      </c>
      <c r="S15" s="16" t="n">
        <f aca="false">IF(OR($A15="",ISNA(MATCH($A15,Simulations!$A$3:$A$62,0))),"",IF(N($G15)&lt;=0,0,IF($G15&lt;INDEX(Simulations!$J$3:$J$62,MATCH($A15,Simulations!$A$3:$A$62,0)),$D15/(INDEX(Simulations!$G$3:$G$62,MATCH($A15,Simulations!$A$3:$A$62,0))*INDEX(Simulations!$H$3:$H$62,MATCH($A15,Simulations!$A$3:$A$62,0))*IF(INDEX(Simulations!$I$3:$I$62,MATCH($A15,Simulations!$A$3:$A$62,0))&gt;0,INDEX(Simulations!$I$3:$I$62,MATCH($A15,Simulations!$A$3:$A$62,0)),1))*$G15*(PI()/2*INDEX(Simulations!$T$3:$T$62,MATCH($A15,Simulations!$A$3:$A$62,0))^2*IF(INDEX(Simulations!$I$3:$I$62,MATCH($A15,Simulations!$A$3:$A$62,0))&gt;0,SQRT(PI()/2)*INDEX(Simulations!$U$3:$U$62,MATCH($A15,Simulations!$A$3:$A$62,0)),1)),$D15/(INDEX(Simulations!$G$3:$G$62,MATCH($A15,Simulations!$A$3:$A$62,0))*INDEX(Simulations!$H$3:$H$62,MATCH($A15,Simulations!$A$3:$A$62,0))*IF(INDEX(Simulations!$I$3:$I$62,MATCH($A15,Simulations!$A$3:$A$62,0))&gt;0,INDEX(Simulations!$I$3:$I$62,MATCH($A15,Simulations!$A$3:$A$62,0)),1))*INDEX(Simulations!$J$3:$J$62,MATCH($A15,Simulations!$A$3:$A$62,0))*IF(INDEX(Simulations!$I$3:$I$62,MATCH($A15,Simulations!$A$3:$A$62,0))&gt;0,2*PI()*INDEX(Simulations!$T$3:$T$62,MATCH($A15,Simulations!$A$3:$A$62,0))^2*INDEX(Simulations!$U$3:$U$62,MATCH($A15,Simulations!$A$3:$A$62,0))/2^1.5*(2/3*LN($G15/INDEX(Simulations!$J$3:$J$62,MATCH($A15,Simulations!$A$3:$A$62,0)))^1.5+SQRT(LN($G15/INDEX(Simulations!$J$3:$J$62,MATCH($A15,Simulations!$A$3:$A$62,0))))+$G15/INDEX(Simulations!$J$3:$J$62,MATCH($A15,Simulations!$A$3:$A$62,0))*SQRT(PI())/2*ERFC(SQRT(LN($G15/INDEX(Simulations!$J$3:$J$62,MATCH($A15,Simulations!$A$3:$A$62,0)))))),PI()*INDEX(Simulations!$T$3:$T$62,MATCH($A15,Simulations!$A$3:$A$62,0))^2/2*(LN($G15/INDEX(Simulations!$J$3:$J$62,MATCH($A15,Simulations!$A$3:$A$62,0)))+1)))))</f>
        <v>0</v>
      </c>
      <c r="T15" s="16" t="n">
        <f aca="false">IF(OR($A15="",ISNA(MATCH($A15,Simulations!$A$3:$A$62,0))),"",IF(N($H15)&lt;=0,0,IF($H15&lt;INDEX(Simulations!$J$3:$J$62,MATCH($A15,Simulations!$A$3:$A$62,0)),$D15/(INDEX(Simulations!$G$3:$G$62,MATCH($A15,Simulations!$A$3:$A$62,0))*INDEX(Simulations!$H$3:$H$62,MATCH($A15,Simulations!$A$3:$A$62,0))*IF(INDEX(Simulations!$I$3:$I$62,MATCH($A15,Simulations!$A$3:$A$62,0))&gt;0,INDEX(Simulations!$I$3:$I$62,MATCH($A15,Simulations!$A$3:$A$62,0)),1))*$H15*(PI()/2*INDEX(Simulations!$T$3:$T$62,MATCH($A15,Simulations!$A$3:$A$62,0))^2*IF(INDEX(Simulations!$I$3:$I$62,MATCH($A15,Simulations!$A$3:$A$62,0))&gt;0,SQRT(PI()/2)*INDEX(Simulations!$U$3:$U$62,MATCH($A15,Simulations!$A$3:$A$62,0)),1)),$D15/(INDEX(Simulations!$G$3:$G$62,MATCH($A15,Simulations!$A$3:$A$62,0))*INDEX(Simulations!$H$3:$H$62,MATCH($A15,Simulations!$A$3:$A$62,0))*IF(INDEX(Simulations!$I$3:$I$62,MATCH($A15,Simulations!$A$3:$A$62,0))&gt;0,INDEX(Simulations!$I$3:$I$62,MATCH($A15,Simulations!$A$3:$A$62,0)),1))*INDEX(Simulations!$J$3:$J$62,MATCH($A15,Simulations!$A$3:$A$62,0))*IF(INDEX(Simulations!$I$3:$I$62,MATCH($A15,Simulations!$A$3:$A$62,0))&gt;0,2*PI()*INDEX(Simulations!$T$3:$T$62,MATCH($A15,Simulations!$A$3:$A$62,0))^2*INDEX(Simulations!$U$3:$U$62,MATCH($A15,Simulations!$A$3:$A$62,0))/2^1.5*(2/3*LN($H15/INDEX(Simulations!$J$3:$J$62,MATCH($A15,Simulations!$A$3:$A$62,0)))^1.5+SQRT(LN($H15/INDEX(Simulations!$J$3:$J$62,MATCH($A15,Simulations!$A$3:$A$62,0))))+$H15/INDEX(Simulations!$J$3:$J$62,MATCH($A15,Simulations!$A$3:$A$62,0))*SQRT(PI())/2*ERFC(SQRT(LN($H15/INDEX(Simulations!$J$3:$J$62,MATCH($A15,Simulations!$A$3:$A$62,0)))))),PI()*INDEX(Simulations!$T$3:$T$62,MATCH($A15,Simulations!$A$3:$A$62,0))^2/2*(LN($H15/INDEX(Simulations!$J$3:$J$62,MATCH($A15,Simulations!$A$3:$A$62,0)))+1)))))</f>
        <v>0</v>
      </c>
      <c r="U15" s="18" t="n">
        <f aca="false">IF(OR(OR($A15="",ISNA(MATCH($A15,Simulations!$A$3:$A$62,0))),N($C15)&lt;=0),"",SQRT(2*$C15*1000000/(INDEX(Simulations!$J$3:$J$62,MATCH($A15,Simulations!$A$3:$A$62,0))*1000))/INDEX(Simulations!$T$3:$T$62,MATCH($A15,Simulations!$A$3:$A$62,0)))</f>
        <v>0.14142135623731</v>
      </c>
      <c r="V15" s="19" t="str">
        <f aca="false">IF($A15="","",IF(ISNA(MATCH($A15,Simulations!$A$3:$A$62,0)),"✖ Sim ID not found on the Simulations sheet",IF($P15&gt;=1,"✖ brightness &gt;= sampling frequency: completely saturated (D too small, c too large)",IF($P15&gt;0.1,"⚠ brightness &gt; 10% of the sampling frequency: focus starts to saturate",IF(N($U15)&gt;0.1,"⚠ diffusion step &gt; 10% of wr: raise the sampling frequency",IF(MAX($E15:$H15)=0,"⚠ no brightness set","✔ OK"))))))</f>
        <v>✖ brightness &gt;= sampling frequency: completely saturated (D too small, c too large)</v>
      </c>
    </row>
    <row r="16" customFormat="false" ht="23.85" hidden="false" customHeight="false" outlineLevel="0" collapsed="false">
      <c r="A16" s="13" t="s">
        <v>88</v>
      </c>
      <c r="B16" s="13" t="s">
        <v>134</v>
      </c>
      <c r="C16" s="13" t="n">
        <v>400</v>
      </c>
      <c r="D16" s="13" t="n">
        <v>10</v>
      </c>
      <c r="E16" s="13" t="n">
        <v>0</v>
      </c>
      <c r="F16" s="13" t="n">
        <v>0</v>
      </c>
      <c r="G16" s="13" t="n">
        <v>5000</v>
      </c>
      <c r="H16" s="13" t="n">
        <v>0</v>
      </c>
      <c r="I16" s="13" t="n">
        <v>4</v>
      </c>
      <c r="J16" s="13" t="n">
        <v>3</v>
      </c>
      <c r="K16" s="13" t="n">
        <v>2.5</v>
      </c>
      <c r="L16" s="13" t="n">
        <v>2.5</v>
      </c>
      <c r="M16" s="13" t="s">
        <v>131</v>
      </c>
      <c r="N16" s="14"/>
      <c r="O16" s="18" t="n">
        <f aca="false">IF(OR($A16="",ISNA(MATCH($A16,Simulations!$A$3:$A$62,0))),"",IF(INDEX(Simulations!$I$3:$I$62,MATCH($A16,Simulations!$A$3:$A$62,0))&gt;0,$D16/(INDEX(Simulations!$G$3:$G$62,MATCH($A16,Simulations!$A$3:$A$62,0))*INDEX(Simulations!$H$3:$H$62,MATCH($A16,Simulations!$A$3:$A$62,0))*IF(INDEX(Simulations!$I$3:$I$62,MATCH($A16,Simulations!$A$3:$A$62,0))&gt;0,INDEX(Simulations!$I$3:$I$62,MATCH($A16,Simulations!$A$3:$A$62,0)),1))/1E-024/6.022E+023/0.000000001,""))</f>
        <v>0.13284623048821</v>
      </c>
      <c r="P16" s="20" t="n">
        <f aca="false">IF(OR($A16="",ISNA(MATCH($A16,Simulations!$A$3:$A$62,0))),"",MAX($E16:$H16)/INDEX(Simulations!$J$3:$J$62,MATCH($A16,Simulations!$A$3:$A$62,0)))</f>
        <v>5</v>
      </c>
      <c r="Q16" s="16" t="n">
        <f aca="false">IF(OR($A16="",ISNA(MATCH($A16,Simulations!$A$3:$A$62,0))),"",IF(N($E16)&lt;=0,0,IF($E16&lt;INDEX(Simulations!$J$3:$J$62,MATCH($A16,Simulations!$A$3:$A$62,0)),$D16/(INDEX(Simulations!$G$3:$G$62,MATCH($A16,Simulations!$A$3:$A$62,0))*INDEX(Simulations!$H$3:$H$62,MATCH($A16,Simulations!$A$3:$A$62,0))*IF(INDEX(Simulations!$I$3:$I$62,MATCH($A16,Simulations!$A$3:$A$62,0))&gt;0,INDEX(Simulations!$I$3:$I$62,MATCH($A16,Simulations!$A$3:$A$62,0)),1))*$E16*(PI()/2*INDEX(Simulations!$T$3:$T$62,MATCH($A16,Simulations!$A$3:$A$62,0))^2*IF(INDEX(Simulations!$I$3:$I$62,MATCH($A16,Simulations!$A$3:$A$62,0))&gt;0,SQRT(PI()/2)*INDEX(Simulations!$U$3:$U$62,MATCH($A16,Simulations!$A$3:$A$62,0)),1)),$D16/(INDEX(Simulations!$G$3:$G$62,MATCH($A16,Simulations!$A$3:$A$62,0))*INDEX(Simulations!$H$3:$H$62,MATCH($A16,Simulations!$A$3:$A$62,0))*IF(INDEX(Simulations!$I$3:$I$62,MATCH($A16,Simulations!$A$3:$A$62,0))&gt;0,INDEX(Simulations!$I$3:$I$62,MATCH($A16,Simulations!$A$3:$A$62,0)),1))*INDEX(Simulations!$J$3:$J$62,MATCH($A16,Simulations!$A$3:$A$62,0))*IF(INDEX(Simulations!$I$3:$I$62,MATCH($A16,Simulations!$A$3:$A$62,0))&gt;0,2*PI()*INDEX(Simulations!$T$3:$T$62,MATCH($A16,Simulations!$A$3:$A$62,0))^2*INDEX(Simulations!$U$3:$U$62,MATCH($A16,Simulations!$A$3:$A$62,0))/2^1.5*(2/3*LN($E16/INDEX(Simulations!$J$3:$J$62,MATCH($A16,Simulations!$A$3:$A$62,0)))^1.5+SQRT(LN($E16/INDEX(Simulations!$J$3:$J$62,MATCH($A16,Simulations!$A$3:$A$62,0))))+$E16/INDEX(Simulations!$J$3:$J$62,MATCH($A16,Simulations!$A$3:$A$62,0))*SQRT(PI())/2*ERFC(SQRT(LN($E16/INDEX(Simulations!$J$3:$J$62,MATCH($A16,Simulations!$A$3:$A$62,0)))))),PI()*INDEX(Simulations!$T$3:$T$62,MATCH($A16,Simulations!$A$3:$A$62,0))^2/2*(LN($E16/INDEX(Simulations!$J$3:$J$62,MATCH($A16,Simulations!$A$3:$A$62,0)))+1)))))</f>
        <v>0</v>
      </c>
      <c r="R16" s="16" t="n">
        <f aca="false">IF(OR($A16="",ISNA(MATCH($A16,Simulations!$A$3:$A$62,0))),"",IF(N($F16)&lt;=0,0,IF($F16&lt;INDEX(Simulations!$J$3:$J$62,MATCH($A16,Simulations!$A$3:$A$62,0)),$D16/(INDEX(Simulations!$G$3:$G$62,MATCH($A16,Simulations!$A$3:$A$62,0))*INDEX(Simulations!$H$3:$H$62,MATCH($A16,Simulations!$A$3:$A$62,0))*IF(INDEX(Simulations!$I$3:$I$62,MATCH($A16,Simulations!$A$3:$A$62,0))&gt;0,INDEX(Simulations!$I$3:$I$62,MATCH($A16,Simulations!$A$3:$A$62,0)),1))*$F16*(PI()/2*INDEX(Simulations!$T$3:$T$62,MATCH($A16,Simulations!$A$3:$A$62,0))^2*IF(INDEX(Simulations!$I$3:$I$62,MATCH($A16,Simulations!$A$3:$A$62,0))&gt;0,SQRT(PI()/2)*INDEX(Simulations!$U$3:$U$62,MATCH($A16,Simulations!$A$3:$A$62,0)),1)),$D16/(INDEX(Simulations!$G$3:$G$62,MATCH($A16,Simulations!$A$3:$A$62,0))*INDEX(Simulations!$H$3:$H$62,MATCH($A16,Simulations!$A$3:$A$62,0))*IF(INDEX(Simulations!$I$3:$I$62,MATCH($A16,Simulations!$A$3:$A$62,0))&gt;0,INDEX(Simulations!$I$3:$I$62,MATCH($A16,Simulations!$A$3:$A$62,0)),1))*INDEX(Simulations!$J$3:$J$62,MATCH($A16,Simulations!$A$3:$A$62,0))*IF(INDEX(Simulations!$I$3:$I$62,MATCH($A16,Simulations!$A$3:$A$62,0))&gt;0,2*PI()*INDEX(Simulations!$T$3:$T$62,MATCH($A16,Simulations!$A$3:$A$62,0))^2*INDEX(Simulations!$U$3:$U$62,MATCH($A16,Simulations!$A$3:$A$62,0))/2^1.5*(2/3*LN($F16/INDEX(Simulations!$J$3:$J$62,MATCH($A16,Simulations!$A$3:$A$62,0)))^1.5+SQRT(LN($F16/INDEX(Simulations!$J$3:$J$62,MATCH($A16,Simulations!$A$3:$A$62,0))))+$F16/INDEX(Simulations!$J$3:$J$62,MATCH($A16,Simulations!$A$3:$A$62,0))*SQRT(PI())/2*ERFC(SQRT(LN($F16/INDEX(Simulations!$J$3:$J$62,MATCH($A16,Simulations!$A$3:$A$62,0)))))),PI()*INDEX(Simulations!$T$3:$T$62,MATCH($A16,Simulations!$A$3:$A$62,0))^2/2*(LN($F16/INDEX(Simulations!$J$3:$J$62,MATCH($A16,Simulations!$A$3:$A$62,0)))+1)))))</f>
        <v>0</v>
      </c>
      <c r="S16" s="16" t="n">
        <f aca="false">IF(OR($A16="",ISNA(MATCH($A16,Simulations!$A$3:$A$62,0))),"",IF(N($G16)&lt;=0,0,IF($G16&lt;INDEX(Simulations!$J$3:$J$62,MATCH($A16,Simulations!$A$3:$A$62,0)),$D16/(INDEX(Simulations!$G$3:$G$62,MATCH($A16,Simulations!$A$3:$A$62,0))*INDEX(Simulations!$H$3:$H$62,MATCH($A16,Simulations!$A$3:$A$62,0))*IF(INDEX(Simulations!$I$3:$I$62,MATCH($A16,Simulations!$A$3:$A$62,0))&gt;0,INDEX(Simulations!$I$3:$I$62,MATCH($A16,Simulations!$A$3:$A$62,0)),1))*$G16*(PI()/2*INDEX(Simulations!$T$3:$T$62,MATCH($A16,Simulations!$A$3:$A$62,0))^2*IF(INDEX(Simulations!$I$3:$I$62,MATCH($A16,Simulations!$A$3:$A$62,0))&gt;0,SQRT(PI()/2)*INDEX(Simulations!$U$3:$U$62,MATCH($A16,Simulations!$A$3:$A$62,0)),1)),$D16/(INDEX(Simulations!$G$3:$G$62,MATCH($A16,Simulations!$A$3:$A$62,0))*INDEX(Simulations!$H$3:$H$62,MATCH($A16,Simulations!$A$3:$A$62,0))*IF(INDEX(Simulations!$I$3:$I$62,MATCH($A16,Simulations!$A$3:$A$62,0))&gt;0,INDEX(Simulations!$I$3:$I$62,MATCH($A16,Simulations!$A$3:$A$62,0)),1))*INDEX(Simulations!$J$3:$J$62,MATCH($A16,Simulations!$A$3:$A$62,0))*IF(INDEX(Simulations!$I$3:$I$62,MATCH($A16,Simulations!$A$3:$A$62,0))&gt;0,2*PI()*INDEX(Simulations!$T$3:$T$62,MATCH($A16,Simulations!$A$3:$A$62,0))^2*INDEX(Simulations!$U$3:$U$62,MATCH($A16,Simulations!$A$3:$A$62,0))/2^1.5*(2/3*LN($G16/INDEX(Simulations!$J$3:$J$62,MATCH($A16,Simulations!$A$3:$A$62,0)))^1.5+SQRT(LN($G16/INDEX(Simulations!$J$3:$J$62,MATCH($A16,Simulations!$A$3:$A$62,0))))+$G16/INDEX(Simulations!$J$3:$J$62,MATCH($A16,Simulations!$A$3:$A$62,0))*SQRT(PI())/2*ERFC(SQRT(LN($G16/INDEX(Simulations!$J$3:$J$62,MATCH($A16,Simulations!$A$3:$A$62,0)))))),PI()*INDEX(Simulations!$T$3:$T$62,MATCH($A16,Simulations!$A$3:$A$62,0))^2/2*(LN($G16/INDEX(Simulations!$J$3:$J$62,MATCH($A16,Simulations!$A$3:$A$62,0)))+1)))))</f>
        <v>20.9873877075729</v>
      </c>
      <c r="T16" s="16" t="n">
        <f aca="false">IF(OR($A16="",ISNA(MATCH($A16,Simulations!$A$3:$A$62,0))),"",IF(N($H16)&lt;=0,0,IF($H16&lt;INDEX(Simulations!$J$3:$J$62,MATCH($A16,Simulations!$A$3:$A$62,0)),$D16/(INDEX(Simulations!$G$3:$G$62,MATCH($A16,Simulations!$A$3:$A$62,0))*INDEX(Simulations!$H$3:$H$62,MATCH($A16,Simulations!$A$3:$A$62,0))*IF(INDEX(Simulations!$I$3:$I$62,MATCH($A16,Simulations!$A$3:$A$62,0))&gt;0,INDEX(Simulations!$I$3:$I$62,MATCH($A16,Simulations!$A$3:$A$62,0)),1))*$H16*(PI()/2*INDEX(Simulations!$T$3:$T$62,MATCH($A16,Simulations!$A$3:$A$62,0))^2*IF(INDEX(Simulations!$I$3:$I$62,MATCH($A16,Simulations!$A$3:$A$62,0))&gt;0,SQRT(PI()/2)*INDEX(Simulations!$U$3:$U$62,MATCH($A16,Simulations!$A$3:$A$62,0)),1)),$D16/(INDEX(Simulations!$G$3:$G$62,MATCH($A16,Simulations!$A$3:$A$62,0))*INDEX(Simulations!$H$3:$H$62,MATCH($A16,Simulations!$A$3:$A$62,0))*IF(INDEX(Simulations!$I$3:$I$62,MATCH($A16,Simulations!$A$3:$A$62,0))&gt;0,INDEX(Simulations!$I$3:$I$62,MATCH($A16,Simulations!$A$3:$A$62,0)),1))*INDEX(Simulations!$J$3:$J$62,MATCH($A16,Simulations!$A$3:$A$62,0))*IF(INDEX(Simulations!$I$3:$I$62,MATCH($A16,Simulations!$A$3:$A$62,0))&gt;0,2*PI()*INDEX(Simulations!$T$3:$T$62,MATCH($A16,Simulations!$A$3:$A$62,0))^2*INDEX(Simulations!$U$3:$U$62,MATCH($A16,Simulations!$A$3:$A$62,0))/2^1.5*(2/3*LN($H16/INDEX(Simulations!$J$3:$J$62,MATCH($A16,Simulations!$A$3:$A$62,0)))^1.5+SQRT(LN($H16/INDEX(Simulations!$J$3:$J$62,MATCH($A16,Simulations!$A$3:$A$62,0))))+$H16/INDEX(Simulations!$J$3:$J$62,MATCH($A16,Simulations!$A$3:$A$62,0))*SQRT(PI())/2*ERFC(SQRT(LN($H16/INDEX(Simulations!$J$3:$J$62,MATCH($A16,Simulations!$A$3:$A$62,0)))))),PI()*INDEX(Simulations!$T$3:$T$62,MATCH($A16,Simulations!$A$3:$A$62,0))^2/2*(LN($H16/INDEX(Simulations!$J$3:$J$62,MATCH($A16,Simulations!$A$3:$A$62,0)))+1)))))</f>
        <v>0</v>
      </c>
      <c r="U16" s="18" t="n">
        <f aca="false">IF(OR(OR($A16="",ISNA(MATCH($A16,Simulations!$A$3:$A$62,0))),N($C16)&lt;=0),"",SQRT(2*$C16*1000000/(INDEX(Simulations!$J$3:$J$62,MATCH($A16,Simulations!$A$3:$A$62,0))*1000))/INDEX(Simulations!$T$3:$T$62,MATCH($A16,Simulations!$A$3:$A$62,0)))</f>
        <v>0.14142135623731</v>
      </c>
      <c r="V16" s="19" t="str">
        <f aca="false">IF($A16="","",IF(ISNA(MATCH($A16,Simulations!$A$3:$A$62,0)),"✖ Sim ID not found on the Simulations sheet",IF($P16&gt;=1,"✖ brightness &gt;= sampling frequency: completely saturated (D too small, c too large)",IF($P16&gt;0.1,"⚠ brightness &gt; 10% of the sampling frequency: focus starts to saturate",IF(N($U16)&gt;0.1,"⚠ diffusion step &gt; 10% of wr: raise the sampling frequency",IF(MAX($E16:$H16)=0,"⚠ no brightness set","✔ OK"))))))</f>
        <v>✖ brightness &gt;= sampling frequency: completely saturated (D too small, c too large)</v>
      </c>
    </row>
    <row r="17" customFormat="false" ht="23.85" hidden="false" customHeight="false" outlineLevel="0" collapsed="false">
      <c r="A17" s="13" t="s">
        <v>88</v>
      </c>
      <c r="B17" s="13" t="s">
        <v>135</v>
      </c>
      <c r="C17" s="13" t="n">
        <v>33</v>
      </c>
      <c r="D17" s="13" t="n">
        <v>10</v>
      </c>
      <c r="E17" s="13" t="n">
        <v>10000</v>
      </c>
      <c r="F17" s="13" t="n">
        <v>7000</v>
      </c>
      <c r="G17" s="13" t="n">
        <v>5000</v>
      </c>
      <c r="H17" s="13" t="n">
        <v>0</v>
      </c>
      <c r="I17" s="13" t="n">
        <v>4</v>
      </c>
      <c r="J17" s="13" t="n">
        <v>3</v>
      </c>
      <c r="K17" s="13" t="n">
        <v>2.5</v>
      </c>
      <c r="L17" s="13" t="n">
        <v>2.5</v>
      </c>
      <c r="M17" s="13" t="s">
        <v>131</v>
      </c>
      <c r="N17" s="14"/>
      <c r="O17" s="18" t="n">
        <f aca="false">IF(OR($A17="",ISNA(MATCH($A17,Simulations!$A$3:$A$62,0))),"",IF(INDEX(Simulations!$I$3:$I$62,MATCH($A17,Simulations!$A$3:$A$62,0))&gt;0,$D17/(INDEX(Simulations!$G$3:$G$62,MATCH($A17,Simulations!$A$3:$A$62,0))*INDEX(Simulations!$H$3:$H$62,MATCH($A17,Simulations!$A$3:$A$62,0))*IF(INDEX(Simulations!$I$3:$I$62,MATCH($A17,Simulations!$A$3:$A$62,0))&gt;0,INDEX(Simulations!$I$3:$I$62,MATCH($A17,Simulations!$A$3:$A$62,0)),1))/1E-024/6.022E+023/0.000000001,""))</f>
        <v>0.13284623048821</v>
      </c>
      <c r="P17" s="20" t="n">
        <f aca="false">IF(OR($A17="",ISNA(MATCH($A17,Simulations!$A$3:$A$62,0))),"",MAX($E17:$H17)/INDEX(Simulations!$J$3:$J$62,MATCH($A17,Simulations!$A$3:$A$62,0)))</f>
        <v>10</v>
      </c>
      <c r="Q17" s="16" t="n">
        <f aca="false">IF(OR($A17="",ISNA(MATCH($A17,Simulations!$A$3:$A$62,0))),"",IF(N($E17)&lt;=0,0,IF($E17&lt;INDEX(Simulations!$J$3:$J$62,MATCH($A17,Simulations!$A$3:$A$62,0)),$D17/(INDEX(Simulations!$G$3:$G$62,MATCH($A17,Simulations!$A$3:$A$62,0))*INDEX(Simulations!$H$3:$H$62,MATCH($A17,Simulations!$A$3:$A$62,0))*IF(INDEX(Simulations!$I$3:$I$62,MATCH($A17,Simulations!$A$3:$A$62,0))&gt;0,INDEX(Simulations!$I$3:$I$62,MATCH($A17,Simulations!$A$3:$A$62,0)),1))*$E17*(PI()/2*INDEX(Simulations!$T$3:$T$62,MATCH($A17,Simulations!$A$3:$A$62,0))^2*IF(INDEX(Simulations!$I$3:$I$62,MATCH($A17,Simulations!$A$3:$A$62,0))&gt;0,SQRT(PI()/2)*INDEX(Simulations!$U$3:$U$62,MATCH($A17,Simulations!$A$3:$A$62,0)),1)),$D17/(INDEX(Simulations!$G$3:$G$62,MATCH($A17,Simulations!$A$3:$A$62,0))*INDEX(Simulations!$H$3:$H$62,MATCH($A17,Simulations!$A$3:$A$62,0))*IF(INDEX(Simulations!$I$3:$I$62,MATCH($A17,Simulations!$A$3:$A$62,0))&gt;0,INDEX(Simulations!$I$3:$I$62,MATCH($A17,Simulations!$A$3:$A$62,0)),1))*INDEX(Simulations!$J$3:$J$62,MATCH($A17,Simulations!$A$3:$A$62,0))*IF(INDEX(Simulations!$I$3:$I$62,MATCH($A17,Simulations!$A$3:$A$62,0))&gt;0,2*PI()*INDEX(Simulations!$T$3:$T$62,MATCH($A17,Simulations!$A$3:$A$62,0))^2*INDEX(Simulations!$U$3:$U$62,MATCH($A17,Simulations!$A$3:$A$62,0))/2^1.5*(2/3*LN($E17/INDEX(Simulations!$J$3:$J$62,MATCH($A17,Simulations!$A$3:$A$62,0)))^1.5+SQRT(LN($E17/INDEX(Simulations!$J$3:$J$62,MATCH($A17,Simulations!$A$3:$A$62,0))))+$E17/INDEX(Simulations!$J$3:$J$62,MATCH($A17,Simulations!$A$3:$A$62,0))*SQRT(PI())/2*ERFC(SQRT(LN($E17/INDEX(Simulations!$J$3:$J$62,MATCH($A17,Simulations!$A$3:$A$62,0)))))),PI()*INDEX(Simulations!$T$3:$T$62,MATCH($A17,Simulations!$A$3:$A$62,0))^2/2*(LN($E17/INDEX(Simulations!$J$3:$J$62,MATCH($A17,Simulations!$A$3:$A$62,0)))+1)))))</f>
        <v>29.3532730881177</v>
      </c>
      <c r="R17" s="16" t="n">
        <f aca="false">IF(OR($A17="",ISNA(MATCH($A17,Simulations!$A$3:$A$62,0))),"",IF(N($F17)&lt;=0,0,IF($F17&lt;INDEX(Simulations!$J$3:$J$62,MATCH($A17,Simulations!$A$3:$A$62,0)),$D17/(INDEX(Simulations!$G$3:$G$62,MATCH($A17,Simulations!$A$3:$A$62,0))*INDEX(Simulations!$H$3:$H$62,MATCH($A17,Simulations!$A$3:$A$62,0))*IF(INDEX(Simulations!$I$3:$I$62,MATCH($A17,Simulations!$A$3:$A$62,0))&gt;0,INDEX(Simulations!$I$3:$I$62,MATCH($A17,Simulations!$A$3:$A$62,0)),1))*$F17*(PI()/2*INDEX(Simulations!$T$3:$T$62,MATCH($A17,Simulations!$A$3:$A$62,0))^2*IF(INDEX(Simulations!$I$3:$I$62,MATCH($A17,Simulations!$A$3:$A$62,0))&gt;0,SQRT(PI()/2)*INDEX(Simulations!$U$3:$U$62,MATCH($A17,Simulations!$A$3:$A$62,0)),1)),$D17/(INDEX(Simulations!$G$3:$G$62,MATCH($A17,Simulations!$A$3:$A$62,0))*INDEX(Simulations!$H$3:$H$62,MATCH($A17,Simulations!$A$3:$A$62,0))*IF(INDEX(Simulations!$I$3:$I$62,MATCH($A17,Simulations!$A$3:$A$62,0))&gt;0,INDEX(Simulations!$I$3:$I$62,MATCH($A17,Simulations!$A$3:$A$62,0)),1))*INDEX(Simulations!$J$3:$J$62,MATCH($A17,Simulations!$A$3:$A$62,0))*IF(INDEX(Simulations!$I$3:$I$62,MATCH($A17,Simulations!$A$3:$A$62,0))&gt;0,2*PI()*INDEX(Simulations!$T$3:$T$62,MATCH($A17,Simulations!$A$3:$A$62,0))^2*INDEX(Simulations!$U$3:$U$62,MATCH($A17,Simulations!$A$3:$A$62,0))/2^1.5*(2/3*LN($F17/INDEX(Simulations!$J$3:$J$62,MATCH($A17,Simulations!$A$3:$A$62,0)))^1.5+SQRT(LN($F17/INDEX(Simulations!$J$3:$J$62,MATCH($A17,Simulations!$A$3:$A$62,0))))+$F17/INDEX(Simulations!$J$3:$J$62,MATCH($A17,Simulations!$A$3:$A$62,0))*SQRT(PI())/2*ERFC(SQRT(LN($F17/INDEX(Simulations!$J$3:$J$62,MATCH($A17,Simulations!$A$3:$A$62,0)))))),PI()*INDEX(Simulations!$T$3:$T$62,MATCH($A17,Simulations!$A$3:$A$62,0))^2/2*(LN($F17/INDEX(Simulations!$J$3:$J$62,MATCH($A17,Simulations!$A$3:$A$62,0)))+1)))))</f>
        <v>24.9200322255786</v>
      </c>
      <c r="S17" s="16" t="n">
        <f aca="false">IF(OR($A17="",ISNA(MATCH($A17,Simulations!$A$3:$A$62,0))),"",IF(N($G17)&lt;=0,0,IF($G17&lt;INDEX(Simulations!$J$3:$J$62,MATCH($A17,Simulations!$A$3:$A$62,0)),$D17/(INDEX(Simulations!$G$3:$G$62,MATCH($A17,Simulations!$A$3:$A$62,0))*INDEX(Simulations!$H$3:$H$62,MATCH($A17,Simulations!$A$3:$A$62,0))*IF(INDEX(Simulations!$I$3:$I$62,MATCH($A17,Simulations!$A$3:$A$62,0))&gt;0,INDEX(Simulations!$I$3:$I$62,MATCH($A17,Simulations!$A$3:$A$62,0)),1))*$G17*(PI()/2*INDEX(Simulations!$T$3:$T$62,MATCH($A17,Simulations!$A$3:$A$62,0))^2*IF(INDEX(Simulations!$I$3:$I$62,MATCH($A17,Simulations!$A$3:$A$62,0))&gt;0,SQRT(PI()/2)*INDEX(Simulations!$U$3:$U$62,MATCH($A17,Simulations!$A$3:$A$62,0)),1)),$D17/(INDEX(Simulations!$G$3:$G$62,MATCH($A17,Simulations!$A$3:$A$62,0))*INDEX(Simulations!$H$3:$H$62,MATCH($A17,Simulations!$A$3:$A$62,0))*IF(INDEX(Simulations!$I$3:$I$62,MATCH($A17,Simulations!$A$3:$A$62,0))&gt;0,INDEX(Simulations!$I$3:$I$62,MATCH($A17,Simulations!$A$3:$A$62,0)),1))*INDEX(Simulations!$J$3:$J$62,MATCH($A17,Simulations!$A$3:$A$62,0))*IF(INDEX(Simulations!$I$3:$I$62,MATCH($A17,Simulations!$A$3:$A$62,0))&gt;0,2*PI()*INDEX(Simulations!$T$3:$T$62,MATCH($A17,Simulations!$A$3:$A$62,0))^2*INDEX(Simulations!$U$3:$U$62,MATCH($A17,Simulations!$A$3:$A$62,0))/2^1.5*(2/3*LN($G17/INDEX(Simulations!$J$3:$J$62,MATCH($A17,Simulations!$A$3:$A$62,0)))^1.5+SQRT(LN($G17/INDEX(Simulations!$J$3:$J$62,MATCH($A17,Simulations!$A$3:$A$62,0))))+$G17/INDEX(Simulations!$J$3:$J$62,MATCH($A17,Simulations!$A$3:$A$62,0))*SQRT(PI())/2*ERFC(SQRT(LN($G17/INDEX(Simulations!$J$3:$J$62,MATCH($A17,Simulations!$A$3:$A$62,0)))))),PI()*INDEX(Simulations!$T$3:$T$62,MATCH($A17,Simulations!$A$3:$A$62,0))^2/2*(LN($G17/INDEX(Simulations!$J$3:$J$62,MATCH($A17,Simulations!$A$3:$A$62,0)))+1)))))</f>
        <v>20.9873877075729</v>
      </c>
      <c r="T17" s="16" t="n">
        <f aca="false">IF(OR($A17="",ISNA(MATCH($A17,Simulations!$A$3:$A$62,0))),"",IF(N($H17)&lt;=0,0,IF($H17&lt;INDEX(Simulations!$J$3:$J$62,MATCH($A17,Simulations!$A$3:$A$62,0)),$D17/(INDEX(Simulations!$G$3:$G$62,MATCH($A17,Simulations!$A$3:$A$62,0))*INDEX(Simulations!$H$3:$H$62,MATCH($A17,Simulations!$A$3:$A$62,0))*IF(INDEX(Simulations!$I$3:$I$62,MATCH($A17,Simulations!$A$3:$A$62,0))&gt;0,INDEX(Simulations!$I$3:$I$62,MATCH($A17,Simulations!$A$3:$A$62,0)),1))*$H17*(PI()/2*INDEX(Simulations!$T$3:$T$62,MATCH($A17,Simulations!$A$3:$A$62,0))^2*IF(INDEX(Simulations!$I$3:$I$62,MATCH($A17,Simulations!$A$3:$A$62,0))&gt;0,SQRT(PI()/2)*INDEX(Simulations!$U$3:$U$62,MATCH($A17,Simulations!$A$3:$A$62,0)),1)),$D17/(INDEX(Simulations!$G$3:$G$62,MATCH($A17,Simulations!$A$3:$A$62,0))*INDEX(Simulations!$H$3:$H$62,MATCH($A17,Simulations!$A$3:$A$62,0))*IF(INDEX(Simulations!$I$3:$I$62,MATCH($A17,Simulations!$A$3:$A$62,0))&gt;0,INDEX(Simulations!$I$3:$I$62,MATCH($A17,Simulations!$A$3:$A$62,0)),1))*INDEX(Simulations!$J$3:$J$62,MATCH($A17,Simulations!$A$3:$A$62,0))*IF(INDEX(Simulations!$I$3:$I$62,MATCH($A17,Simulations!$A$3:$A$62,0))&gt;0,2*PI()*INDEX(Simulations!$T$3:$T$62,MATCH($A17,Simulations!$A$3:$A$62,0))^2*INDEX(Simulations!$U$3:$U$62,MATCH($A17,Simulations!$A$3:$A$62,0))/2^1.5*(2/3*LN($H17/INDEX(Simulations!$J$3:$J$62,MATCH($A17,Simulations!$A$3:$A$62,0)))^1.5+SQRT(LN($H17/INDEX(Simulations!$J$3:$J$62,MATCH($A17,Simulations!$A$3:$A$62,0))))+$H17/INDEX(Simulations!$J$3:$J$62,MATCH($A17,Simulations!$A$3:$A$62,0))*SQRT(PI())/2*ERFC(SQRT(LN($H17/INDEX(Simulations!$J$3:$J$62,MATCH($A17,Simulations!$A$3:$A$62,0)))))),PI()*INDEX(Simulations!$T$3:$T$62,MATCH($A17,Simulations!$A$3:$A$62,0))^2/2*(LN($H17/INDEX(Simulations!$J$3:$J$62,MATCH($A17,Simulations!$A$3:$A$62,0)))+1)))))</f>
        <v>0</v>
      </c>
      <c r="U17" s="18" t="n">
        <f aca="false">IF(OR(OR($A17="",ISNA(MATCH($A17,Simulations!$A$3:$A$62,0))),N($C17)&lt;=0),"",SQRT(2*$C17*1000000/(INDEX(Simulations!$J$3:$J$62,MATCH($A17,Simulations!$A$3:$A$62,0))*1000))/INDEX(Simulations!$T$3:$T$62,MATCH($A17,Simulations!$A$3:$A$62,0)))</f>
        <v>0.0406201920231798</v>
      </c>
      <c r="V17" s="19" t="str">
        <f aca="false">IF($A17="","",IF(ISNA(MATCH($A17,Simulations!$A$3:$A$62,0)),"✖ Sim ID not found on the Simulations sheet",IF($P17&gt;=1,"✖ brightness &gt;= sampling frequency: completely saturated (D too small, c too large)",IF($P17&gt;0.1,"⚠ brightness &gt; 10% of the sampling frequency: focus starts to saturate",IF(N($U17)&gt;0.1,"⚠ diffusion step &gt; 10% of wr: raise the sampling frequency",IF(MAX($E17:$H17)=0,"⚠ no brightness set","✔ OK"))))))</f>
        <v>✖ brightness &gt;= sampling frequency: completely saturated (D too small, c too large)</v>
      </c>
    </row>
    <row r="18" customFormat="false" ht="23.85" hidden="false" customHeight="false" outlineLevel="0" collapsed="false">
      <c r="A18" s="13" t="s">
        <v>88</v>
      </c>
      <c r="B18" s="13" t="s">
        <v>136</v>
      </c>
      <c r="C18" s="13" t="n">
        <v>33</v>
      </c>
      <c r="D18" s="13" t="n">
        <v>10</v>
      </c>
      <c r="E18" s="13" t="n">
        <v>20000</v>
      </c>
      <c r="F18" s="13" t="n">
        <v>7000</v>
      </c>
      <c r="G18" s="13" t="n">
        <v>0</v>
      </c>
      <c r="H18" s="13" t="n">
        <v>0</v>
      </c>
      <c r="I18" s="13" t="n">
        <v>4</v>
      </c>
      <c r="J18" s="13" t="n">
        <v>3</v>
      </c>
      <c r="K18" s="13" t="n">
        <v>2.5</v>
      </c>
      <c r="L18" s="13" t="n">
        <v>2.5</v>
      </c>
      <c r="M18" s="13" t="s">
        <v>131</v>
      </c>
      <c r="N18" s="14"/>
      <c r="O18" s="18" t="n">
        <f aca="false">IF(OR($A18="",ISNA(MATCH($A18,Simulations!$A$3:$A$62,0))),"",IF(INDEX(Simulations!$I$3:$I$62,MATCH($A18,Simulations!$A$3:$A$62,0))&gt;0,$D18/(INDEX(Simulations!$G$3:$G$62,MATCH($A18,Simulations!$A$3:$A$62,0))*INDEX(Simulations!$H$3:$H$62,MATCH($A18,Simulations!$A$3:$A$62,0))*IF(INDEX(Simulations!$I$3:$I$62,MATCH($A18,Simulations!$A$3:$A$62,0))&gt;0,INDEX(Simulations!$I$3:$I$62,MATCH($A18,Simulations!$A$3:$A$62,0)),1))/1E-024/6.022E+023/0.000000001,""))</f>
        <v>0.13284623048821</v>
      </c>
      <c r="P18" s="20" t="n">
        <f aca="false">IF(OR($A18="",ISNA(MATCH($A18,Simulations!$A$3:$A$62,0))),"",MAX($E18:$H18)/INDEX(Simulations!$J$3:$J$62,MATCH($A18,Simulations!$A$3:$A$62,0)))</f>
        <v>20</v>
      </c>
      <c r="Q18" s="16" t="n">
        <f aca="false">IF(OR($A18="",ISNA(MATCH($A18,Simulations!$A$3:$A$62,0))),"",IF(N($E18)&lt;=0,0,IF($E18&lt;INDEX(Simulations!$J$3:$J$62,MATCH($A18,Simulations!$A$3:$A$62,0)),$D18/(INDEX(Simulations!$G$3:$G$62,MATCH($A18,Simulations!$A$3:$A$62,0))*INDEX(Simulations!$H$3:$H$62,MATCH($A18,Simulations!$A$3:$A$62,0))*IF(INDEX(Simulations!$I$3:$I$62,MATCH($A18,Simulations!$A$3:$A$62,0))&gt;0,INDEX(Simulations!$I$3:$I$62,MATCH($A18,Simulations!$A$3:$A$62,0)),1))*$E18*(PI()/2*INDEX(Simulations!$T$3:$T$62,MATCH($A18,Simulations!$A$3:$A$62,0))^2*IF(INDEX(Simulations!$I$3:$I$62,MATCH($A18,Simulations!$A$3:$A$62,0))&gt;0,SQRT(PI()/2)*INDEX(Simulations!$U$3:$U$62,MATCH($A18,Simulations!$A$3:$A$62,0)),1)),$D18/(INDEX(Simulations!$G$3:$G$62,MATCH($A18,Simulations!$A$3:$A$62,0))*INDEX(Simulations!$H$3:$H$62,MATCH($A18,Simulations!$A$3:$A$62,0))*IF(INDEX(Simulations!$I$3:$I$62,MATCH($A18,Simulations!$A$3:$A$62,0))&gt;0,INDEX(Simulations!$I$3:$I$62,MATCH($A18,Simulations!$A$3:$A$62,0)),1))*INDEX(Simulations!$J$3:$J$62,MATCH($A18,Simulations!$A$3:$A$62,0))*IF(INDEX(Simulations!$I$3:$I$62,MATCH($A18,Simulations!$A$3:$A$62,0))&gt;0,2*PI()*INDEX(Simulations!$T$3:$T$62,MATCH($A18,Simulations!$A$3:$A$62,0))^2*INDEX(Simulations!$U$3:$U$62,MATCH($A18,Simulations!$A$3:$A$62,0))/2^1.5*(2/3*LN($E18/INDEX(Simulations!$J$3:$J$62,MATCH($A18,Simulations!$A$3:$A$62,0)))^1.5+SQRT(LN($E18/INDEX(Simulations!$J$3:$J$62,MATCH($A18,Simulations!$A$3:$A$62,0))))+$E18/INDEX(Simulations!$J$3:$J$62,MATCH($A18,Simulations!$A$3:$A$62,0))*SQRT(PI())/2*ERFC(SQRT(LN($E18/INDEX(Simulations!$J$3:$J$62,MATCH($A18,Simulations!$A$3:$A$62,0)))))),PI()*INDEX(Simulations!$T$3:$T$62,MATCH($A18,Simulations!$A$3:$A$62,0))^2/2*(LN($E18/INDEX(Simulations!$J$3:$J$62,MATCH($A18,Simulations!$A$3:$A$62,0)))+1)))))</f>
        <v>38.6873848879807</v>
      </c>
      <c r="R18" s="16" t="n">
        <f aca="false">IF(OR($A18="",ISNA(MATCH($A18,Simulations!$A$3:$A$62,0))),"",IF(N($F18)&lt;=0,0,IF($F18&lt;INDEX(Simulations!$J$3:$J$62,MATCH($A18,Simulations!$A$3:$A$62,0)),$D18/(INDEX(Simulations!$G$3:$G$62,MATCH($A18,Simulations!$A$3:$A$62,0))*INDEX(Simulations!$H$3:$H$62,MATCH($A18,Simulations!$A$3:$A$62,0))*IF(INDEX(Simulations!$I$3:$I$62,MATCH($A18,Simulations!$A$3:$A$62,0))&gt;0,INDEX(Simulations!$I$3:$I$62,MATCH($A18,Simulations!$A$3:$A$62,0)),1))*$F18*(PI()/2*INDEX(Simulations!$T$3:$T$62,MATCH($A18,Simulations!$A$3:$A$62,0))^2*IF(INDEX(Simulations!$I$3:$I$62,MATCH($A18,Simulations!$A$3:$A$62,0))&gt;0,SQRT(PI()/2)*INDEX(Simulations!$U$3:$U$62,MATCH($A18,Simulations!$A$3:$A$62,0)),1)),$D18/(INDEX(Simulations!$G$3:$G$62,MATCH($A18,Simulations!$A$3:$A$62,0))*INDEX(Simulations!$H$3:$H$62,MATCH($A18,Simulations!$A$3:$A$62,0))*IF(INDEX(Simulations!$I$3:$I$62,MATCH($A18,Simulations!$A$3:$A$62,0))&gt;0,INDEX(Simulations!$I$3:$I$62,MATCH($A18,Simulations!$A$3:$A$62,0)),1))*INDEX(Simulations!$J$3:$J$62,MATCH($A18,Simulations!$A$3:$A$62,0))*IF(INDEX(Simulations!$I$3:$I$62,MATCH($A18,Simulations!$A$3:$A$62,0))&gt;0,2*PI()*INDEX(Simulations!$T$3:$T$62,MATCH($A18,Simulations!$A$3:$A$62,0))^2*INDEX(Simulations!$U$3:$U$62,MATCH($A18,Simulations!$A$3:$A$62,0))/2^1.5*(2/3*LN($F18/INDEX(Simulations!$J$3:$J$62,MATCH($A18,Simulations!$A$3:$A$62,0)))^1.5+SQRT(LN($F18/INDEX(Simulations!$J$3:$J$62,MATCH($A18,Simulations!$A$3:$A$62,0))))+$F18/INDEX(Simulations!$J$3:$J$62,MATCH($A18,Simulations!$A$3:$A$62,0))*SQRT(PI())/2*ERFC(SQRT(LN($F18/INDEX(Simulations!$J$3:$J$62,MATCH($A18,Simulations!$A$3:$A$62,0)))))),PI()*INDEX(Simulations!$T$3:$T$62,MATCH($A18,Simulations!$A$3:$A$62,0))^2/2*(LN($F18/INDEX(Simulations!$J$3:$J$62,MATCH($A18,Simulations!$A$3:$A$62,0)))+1)))))</f>
        <v>24.9200322255786</v>
      </c>
      <c r="S18" s="16" t="n">
        <f aca="false">IF(OR($A18="",ISNA(MATCH($A18,Simulations!$A$3:$A$62,0))),"",IF(N($G18)&lt;=0,0,IF($G18&lt;INDEX(Simulations!$J$3:$J$62,MATCH($A18,Simulations!$A$3:$A$62,0)),$D18/(INDEX(Simulations!$G$3:$G$62,MATCH($A18,Simulations!$A$3:$A$62,0))*INDEX(Simulations!$H$3:$H$62,MATCH($A18,Simulations!$A$3:$A$62,0))*IF(INDEX(Simulations!$I$3:$I$62,MATCH($A18,Simulations!$A$3:$A$62,0))&gt;0,INDEX(Simulations!$I$3:$I$62,MATCH($A18,Simulations!$A$3:$A$62,0)),1))*$G18*(PI()/2*INDEX(Simulations!$T$3:$T$62,MATCH($A18,Simulations!$A$3:$A$62,0))^2*IF(INDEX(Simulations!$I$3:$I$62,MATCH($A18,Simulations!$A$3:$A$62,0))&gt;0,SQRT(PI()/2)*INDEX(Simulations!$U$3:$U$62,MATCH($A18,Simulations!$A$3:$A$62,0)),1)),$D18/(INDEX(Simulations!$G$3:$G$62,MATCH($A18,Simulations!$A$3:$A$62,0))*INDEX(Simulations!$H$3:$H$62,MATCH($A18,Simulations!$A$3:$A$62,0))*IF(INDEX(Simulations!$I$3:$I$62,MATCH($A18,Simulations!$A$3:$A$62,0))&gt;0,INDEX(Simulations!$I$3:$I$62,MATCH($A18,Simulations!$A$3:$A$62,0)),1))*INDEX(Simulations!$J$3:$J$62,MATCH($A18,Simulations!$A$3:$A$62,0))*IF(INDEX(Simulations!$I$3:$I$62,MATCH($A18,Simulations!$A$3:$A$62,0))&gt;0,2*PI()*INDEX(Simulations!$T$3:$T$62,MATCH($A18,Simulations!$A$3:$A$62,0))^2*INDEX(Simulations!$U$3:$U$62,MATCH($A18,Simulations!$A$3:$A$62,0))/2^1.5*(2/3*LN($G18/INDEX(Simulations!$J$3:$J$62,MATCH($A18,Simulations!$A$3:$A$62,0)))^1.5+SQRT(LN($G18/INDEX(Simulations!$J$3:$J$62,MATCH($A18,Simulations!$A$3:$A$62,0))))+$G18/INDEX(Simulations!$J$3:$J$62,MATCH($A18,Simulations!$A$3:$A$62,0))*SQRT(PI())/2*ERFC(SQRT(LN($G18/INDEX(Simulations!$J$3:$J$62,MATCH($A18,Simulations!$A$3:$A$62,0)))))),PI()*INDEX(Simulations!$T$3:$T$62,MATCH($A18,Simulations!$A$3:$A$62,0))^2/2*(LN($G18/INDEX(Simulations!$J$3:$J$62,MATCH($A18,Simulations!$A$3:$A$62,0)))+1)))))</f>
        <v>0</v>
      </c>
      <c r="T18" s="16" t="n">
        <f aca="false">IF(OR($A18="",ISNA(MATCH($A18,Simulations!$A$3:$A$62,0))),"",IF(N($H18)&lt;=0,0,IF($H18&lt;INDEX(Simulations!$J$3:$J$62,MATCH($A18,Simulations!$A$3:$A$62,0)),$D18/(INDEX(Simulations!$G$3:$G$62,MATCH($A18,Simulations!$A$3:$A$62,0))*INDEX(Simulations!$H$3:$H$62,MATCH($A18,Simulations!$A$3:$A$62,0))*IF(INDEX(Simulations!$I$3:$I$62,MATCH($A18,Simulations!$A$3:$A$62,0))&gt;0,INDEX(Simulations!$I$3:$I$62,MATCH($A18,Simulations!$A$3:$A$62,0)),1))*$H18*(PI()/2*INDEX(Simulations!$T$3:$T$62,MATCH($A18,Simulations!$A$3:$A$62,0))^2*IF(INDEX(Simulations!$I$3:$I$62,MATCH($A18,Simulations!$A$3:$A$62,0))&gt;0,SQRT(PI()/2)*INDEX(Simulations!$U$3:$U$62,MATCH($A18,Simulations!$A$3:$A$62,0)),1)),$D18/(INDEX(Simulations!$G$3:$G$62,MATCH($A18,Simulations!$A$3:$A$62,0))*INDEX(Simulations!$H$3:$H$62,MATCH($A18,Simulations!$A$3:$A$62,0))*IF(INDEX(Simulations!$I$3:$I$62,MATCH($A18,Simulations!$A$3:$A$62,0))&gt;0,INDEX(Simulations!$I$3:$I$62,MATCH($A18,Simulations!$A$3:$A$62,0)),1))*INDEX(Simulations!$J$3:$J$62,MATCH($A18,Simulations!$A$3:$A$62,0))*IF(INDEX(Simulations!$I$3:$I$62,MATCH($A18,Simulations!$A$3:$A$62,0))&gt;0,2*PI()*INDEX(Simulations!$T$3:$T$62,MATCH($A18,Simulations!$A$3:$A$62,0))^2*INDEX(Simulations!$U$3:$U$62,MATCH($A18,Simulations!$A$3:$A$62,0))/2^1.5*(2/3*LN($H18/INDEX(Simulations!$J$3:$J$62,MATCH($A18,Simulations!$A$3:$A$62,0)))^1.5+SQRT(LN($H18/INDEX(Simulations!$J$3:$J$62,MATCH($A18,Simulations!$A$3:$A$62,0))))+$H18/INDEX(Simulations!$J$3:$J$62,MATCH($A18,Simulations!$A$3:$A$62,0))*SQRT(PI())/2*ERFC(SQRT(LN($H18/INDEX(Simulations!$J$3:$J$62,MATCH($A18,Simulations!$A$3:$A$62,0)))))),PI()*INDEX(Simulations!$T$3:$T$62,MATCH($A18,Simulations!$A$3:$A$62,0))^2/2*(LN($H18/INDEX(Simulations!$J$3:$J$62,MATCH($A18,Simulations!$A$3:$A$62,0)))+1)))))</f>
        <v>0</v>
      </c>
      <c r="U18" s="18" t="n">
        <f aca="false">IF(OR(OR($A18="",ISNA(MATCH($A18,Simulations!$A$3:$A$62,0))),N($C18)&lt;=0),"",SQRT(2*$C18*1000000/(INDEX(Simulations!$J$3:$J$62,MATCH($A18,Simulations!$A$3:$A$62,0))*1000))/INDEX(Simulations!$T$3:$T$62,MATCH($A18,Simulations!$A$3:$A$62,0)))</f>
        <v>0.0406201920231798</v>
      </c>
      <c r="V18" s="19" t="str">
        <f aca="false">IF($A18="","",IF(ISNA(MATCH($A18,Simulations!$A$3:$A$62,0)),"✖ Sim ID not found on the Simulations sheet",IF($P18&gt;=1,"✖ brightness &gt;= sampling frequency: completely saturated (D too small, c too large)",IF($P18&gt;0.1,"⚠ brightness &gt; 10% of the sampling frequency: focus starts to saturate",IF(N($U18)&gt;0.1,"⚠ diffusion step &gt; 10% of wr: raise the sampling frequency",IF(MAX($E18:$H18)=0,"⚠ no brightness set","✔ OK"))))))</f>
        <v>✖ brightness &gt;= sampling frequency: completely saturated (D too small, c too large)</v>
      </c>
    </row>
    <row r="19" customFormat="false" ht="23.85" hidden="false" customHeight="false" outlineLevel="0" collapsed="false">
      <c r="A19" s="13" t="s">
        <v>90</v>
      </c>
      <c r="B19" s="13" t="s">
        <v>132</v>
      </c>
      <c r="C19" s="13" t="n">
        <v>400</v>
      </c>
      <c r="D19" s="13" t="n">
        <v>10</v>
      </c>
      <c r="E19" s="13" t="n">
        <v>10000</v>
      </c>
      <c r="F19" s="13" t="n">
        <v>0</v>
      </c>
      <c r="G19" s="13" t="n">
        <v>0</v>
      </c>
      <c r="H19" s="13" t="n">
        <v>0</v>
      </c>
      <c r="I19" s="13" t="n">
        <v>4</v>
      </c>
      <c r="J19" s="13" t="n">
        <v>3</v>
      </c>
      <c r="K19" s="13" t="n">
        <v>2.5</v>
      </c>
      <c r="L19" s="13" t="n">
        <v>2.5</v>
      </c>
      <c r="M19" s="13" t="s">
        <v>131</v>
      </c>
      <c r="N19" s="14"/>
      <c r="O19" s="18" t="n">
        <f aca="false">IF(OR($A19="",ISNA(MATCH($A19,Simulations!$A$3:$A$62,0))),"",IF(INDEX(Simulations!$I$3:$I$62,MATCH($A19,Simulations!$A$3:$A$62,0))&gt;0,$D19/(INDEX(Simulations!$G$3:$G$62,MATCH($A19,Simulations!$A$3:$A$62,0))*INDEX(Simulations!$H$3:$H$62,MATCH($A19,Simulations!$A$3:$A$62,0))*IF(INDEX(Simulations!$I$3:$I$62,MATCH($A19,Simulations!$A$3:$A$62,0))&gt;0,INDEX(Simulations!$I$3:$I$62,MATCH($A19,Simulations!$A$3:$A$62,0)),1))/1E-024/6.022E+023/0.000000001,""))</f>
        <v>0.13284623048821</v>
      </c>
      <c r="P19" s="20" t="n">
        <f aca="false">IF(OR($A19="",ISNA(MATCH($A19,Simulations!$A$3:$A$62,0))),"",MAX($E19:$H19)/INDEX(Simulations!$J$3:$J$62,MATCH($A19,Simulations!$A$3:$A$62,0)))</f>
        <v>10</v>
      </c>
      <c r="Q19" s="16" t="n">
        <f aca="false">IF(OR($A19="",ISNA(MATCH($A19,Simulations!$A$3:$A$62,0))),"",IF(N($E19)&lt;=0,0,IF($E19&lt;INDEX(Simulations!$J$3:$J$62,MATCH($A19,Simulations!$A$3:$A$62,0)),$D19/(INDEX(Simulations!$G$3:$G$62,MATCH($A19,Simulations!$A$3:$A$62,0))*INDEX(Simulations!$H$3:$H$62,MATCH($A19,Simulations!$A$3:$A$62,0))*IF(INDEX(Simulations!$I$3:$I$62,MATCH($A19,Simulations!$A$3:$A$62,0))&gt;0,INDEX(Simulations!$I$3:$I$62,MATCH($A19,Simulations!$A$3:$A$62,0)),1))*$E19*(PI()/2*INDEX(Simulations!$T$3:$T$62,MATCH($A19,Simulations!$A$3:$A$62,0))^2*IF(INDEX(Simulations!$I$3:$I$62,MATCH($A19,Simulations!$A$3:$A$62,0))&gt;0,SQRT(PI()/2)*INDEX(Simulations!$U$3:$U$62,MATCH($A19,Simulations!$A$3:$A$62,0)),1)),$D19/(INDEX(Simulations!$G$3:$G$62,MATCH($A19,Simulations!$A$3:$A$62,0))*INDEX(Simulations!$H$3:$H$62,MATCH($A19,Simulations!$A$3:$A$62,0))*IF(INDEX(Simulations!$I$3:$I$62,MATCH($A19,Simulations!$A$3:$A$62,0))&gt;0,INDEX(Simulations!$I$3:$I$62,MATCH($A19,Simulations!$A$3:$A$62,0)),1))*INDEX(Simulations!$J$3:$J$62,MATCH($A19,Simulations!$A$3:$A$62,0))*IF(INDEX(Simulations!$I$3:$I$62,MATCH($A19,Simulations!$A$3:$A$62,0))&gt;0,2*PI()*INDEX(Simulations!$T$3:$T$62,MATCH($A19,Simulations!$A$3:$A$62,0))^2*INDEX(Simulations!$U$3:$U$62,MATCH($A19,Simulations!$A$3:$A$62,0))/2^1.5*(2/3*LN($E19/INDEX(Simulations!$J$3:$J$62,MATCH($A19,Simulations!$A$3:$A$62,0)))^1.5+SQRT(LN($E19/INDEX(Simulations!$J$3:$J$62,MATCH($A19,Simulations!$A$3:$A$62,0))))+$E19/INDEX(Simulations!$J$3:$J$62,MATCH($A19,Simulations!$A$3:$A$62,0))*SQRT(PI())/2*ERFC(SQRT(LN($E19/INDEX(Simulations!$J$3:$J$62,MATCH($A19,Simulations!$A$3:$A$62,0)))))),PI()*INDEX(Simulations!$T$3:$T$62,MATCH($A19,Simulations!$A$3:$A$62,0))^2/2*(LN($E19/INDEX(Simulations!$J$3:$J$62,MATCH($A19,Simulations!$A$3:$A$62,0)))+1)))))</f>
        <v>29.3532730881177</v>
      </c>
      <c r="R19" s="16" t="n">
        <f aca="false">IF(OR($A19="",ISNA(MATCH($A19,Simulations!$A$3:$A$62,0))),"",IF(N($F19)&lt;=0,0,IF($F19&lt;INDEX(Simulations!$J$3:$J$62,MATCH($A19,Simulations!$A$3:$A$62,0)),$D19/(INDEX(Simulations!$G$3:$G$62,MATCH($A19,Simulations!$A$3:$A$62,0))*INDEX(Simulations!$H$3:$H$62,MATCH($A19,Simulations!$A$3:$A$62,0))*IF(INDEX(Simulations!$I$3:$I$62,MATCH($A19,Simulations!$A$3:$A$62,0))&gt;0,INDEX(Simulations!$I$3:$I$62,MATCH($A19,Simulations!$A$3:$A$62,0)),1))*$F19*(PI()/2*INDEX(Simulations!$T$3:$T$62,MATCH($A19,Simulations!$A$3:$A$62,0))^2*IF(INDEX(Simulations!$I$3:$I$62,MATCH($A19,Simulations!$A$3:$A$62,0))&gt;0,SQRT(PI()/2)*INDEX(Simulations!$U$3:$U$62,MATCH($A19,Simulations!$A$3:$A$62,0)),1)),$D19/(INDEX(Simulations!$G$3:$G$62,MATCH($A19,Simulations!$A$3:$A$62,0))*INDEX(Simulations!$H$3:$H$62,MATCH($A19,Simulations!$A$3:$A$62,0))*IF(INDEX(Simulations!$I$3:$I$62,MATCH($A19,Simulations!$A$3:$A$62,0))&gt;0,INDEX(Simulations!$I$3:$I$62,MATCH($A19,Simulations!$A$3:$A$62,0)),1))*INDEX(Simulations!$J$3:$J$62,MATCH($A19,Simulations!$A$3:$A$62,0))*IF(INDEX(Simulations!$I$3:$I$62,MATCH($A19,Simulations!$A$3:$A$62,0))&gt;0,2*PI()*INDEX(Simulations!$T$3:$T$62,MATCH($A19,Simulations!$A$3:$A$62,0))^2*INDEX(Simulations!$U$3:$U$62,MATCH($A19,Simulations!$A$3:$A$62,0))/2^1.5*(2/3*LN($F19/INDEX(Simulations!$J$3:$J$62,MATCH($A19,Simulations!$A$3:$A$62,0)))^1.5+SQRT(LN($F19/INDEX(Simulations!$J$3:$J$62,MATCH($A19,Simulations!$A$3:$A$62,0))))+$F19/INDEX(Simulations!$J$3:$J$62,MATCH($A19,Simulations!$A$3:$A$62,0))*SQRT(PI())/2*ERFC(SQRT(LN($F19/INDEX(Simulations!$J$3:$J$62,MATCH($A19,Simulations!$A$3:$A$62,0)))))),PI()*INDEX(Simulations!$T$3:$T$62,MATCH($A19,Simulations!$A$3:$A$62,0))^2/2*(LN($F19/INDEX(Simulations!$J$3:$J$62,MATCH($A19,Simulations!$A$3:$A$62,0)))+1)))))</f>
        <v>0</v>
      </c>
      <c r="S19" s="16" t="n">
        <f aca="false">IF(OR($A19="",ISNA(MATCH($A19,Simulations!$A$3:$A$62,0))),"",IF(N($G19)&lt;=0,0,IF($G19&lt;INDEX(Simulations!$J$3:$J$62,MATCH($A19,Simulations!$A$3:$A$62,0)),$D19/(INDEX(Simulations!$G$3:$G$62,MATCH($A19,Simulations!$A$3:$A$62,0))*INDEX(Simulations!$H$3:$H$62,MATCH($A19,Simulations!$A$3:$A$62,0))*IF(INDEX(Simulations!$I$3:$I$62,MATCH($A19,Simulations!$A$3:$A$62,0))&gt;0,INDEX(Simulations!$I$3:$I$62,MATCH($A19,Simulations!$A$3:$A$62,0)),1))*$G19*(PI()/2*INDEX(Simulations!$T$3:$T$62,MATCH($A19,Simulations!$A$3:$A$62,0))^2*IF(INDEX(Simulations!$I$3:$I$62,MATCH($A19,Simulations!$A$3:$A$62,0))&gt;0,SQRT(PI()/2)*INDEX(Simulations!$U$3:$U$62,MATCH($A19,Simulations!$A$3:$A$62,0)),1)),$D19/(INDEX(Simulations!$G$3:$G$62,MATCH($A19,Simulations!$A$3:$A$62,0))*INDEX(Simulations!$H$3:$H$62,MATCH($A19,Simulations!$A$3:$A$62,0))*IF(INDEX(Simulations!$I$3:$I$62,MATCH($A19,Simulations!$A$3:$A$62,0))&gt;0,INDEX(Simulations!$I$3:$I$62,MATCH($A19,Simulations!$A$3:$A$62,0)),1))*INDEX(Simulations!$J$3:$J$62,MATCH($A19,Simulations!$A$3:$A$62,0))*IF(INDEX(Simulations!$I$3:$I$62,MATCH($A19,Simulations!$A$3:$A$62,0))&gt;0,2*PI()*INDEX(Simulations!$T$3:$T$62,MATCH($A19,Simulations!$A$3:$A$62,0))^2*INDEX(Simulations!$U$3:$U$62,MATCH($A19,Simulations!$A$3:$A$62,0))/2^1.5*(2/3*LN($G19/INDEX(Simulations!$J$3:$J$62,MATCH($A19,Simulations!$A$3:$A$62,0)))^1.5+SQRT(LN($G19/INDEX(Simulations!$J$3:$J$62,MATCH($A19,Simulations!$A$3:$A$62,0))))+$G19/INDEX(Simulations!$J$3:$J$62,MATCH($A19,Simulations!$A$3:$A$62,0))*SQRT(PI())/2*ERFC(SQRT(LN($G19/INDEX(Simulations!$J$3:$J$62,MATCH($A19,Simulations!$A$3:$A$62,0)))))),PI()*INDEX(Simulations!$T$3:$T$62,MATCH($A19,Simulations!$A$3:$A$62,0))^2/2*(LN($G19/INDEX(Simulations!$J$3:$J$62,MATCH($A19,Simulations!$A$3:$A$62,0)))+1)))))</f>
        <v>0</v>
      </c>
      <c r="T19" s="16" t="n">
        <f aca="false">IF(OR($A19="",ISNA(MATCH($A19,Simulations!$A$3:$A$62,0))),"",IF(N($H19)&lt;=0,0,IF($H19&lt;INDEX(Simulations!$J$3:$J$62,MATCH($A19,Simulations!$A$3:$A$62,0)),$D19/(INDEX(Simulations!$G$3:$G$62,MATCH($A19,Simulations!$A$3:$A$62,0))*INDEX(Simulations!$H$3:$H$62,MATCH($A19,Simulations!$A$3:$A$62,0))*IF(INDEX(Simulations!$I$3:$I$62,MATCH($A19,Simulations!$A$3:$A$62,0))&gt;0,INDEX(Simulations!$I$3:$I$62,MATCH($A19,Simulations!$A$3:$A$62,0)),1))*$H19*(PI()/2*INDEX(Simulations!$T$3:$T$62,MATCH($A19,Simulations!$A$3:$A$62,0))^2*IF(INDEX(Simulations!$I$3:$I$62,MATCH($A19,Simulations!$A$3:$A$62,0))&gt;0,SQRT(PI()/2)*INDEX(Simulations!$U$3:$U$62,MATCH($A19,Simulations!$A$3:$A$62,0)),1)),$D19/(INDEX(Simulations!$G$3:$G$62,MATCH($A19,Simulations!$A$3:$A$62,0))*INDEX(Simulations!$H$3:$H$62,MATCH($A19,Simulations!$A$3:$A$62,0))*IF(INDEX(Simulations!$I$3:$I$62,MATCH($A19,Simulations!$A$3:$A$62,0))&gt;0,INDEX(Simulations!$I$3:$I$62,MATCH($A19,Simulations!$A$3:$A$62,0)),1))*INDEX(Simulations!$J$3:$J$62,MATCH($A19,Simulations!$A$3:$A$62,0))*IF(INDEX(Simulations!$I$3:$I$62,MATCH($A19,Simulations!$A$3:$A$62,0))&gt;0,2*PI()*INDEX(Simulations!$T$3:$T$62,MATCH($A19,Simulations!$A$3:$A$62,0))^2*INDEX(Simulations!$U$3:$U$62,MATCH($A19,Simulations!$A$3:$A$62,0))/2^1.5*(2/3*LN($H19/INDEX(Simulations!$J$3:$J$62,MATCH($A19,Simulations!$A$3:$A$62,0)))^1.5+SQRT(LN($H19/INDEX(Simulations!$J$3:$J$62,MATCH($A19,Simulations!$A$3:$A$62,0))))+$H19/INDEX(Simulations!$J$3:$J$62,MATCH($A19,Simulations!$A$3:$A$62,0))*SQRT(PI())/2*ERFC(SQRT(LN($H19/INDEX(Simulations!$J$3:$J$62,MATCH($A19,Simulations!$A$3:$A$62,0)))))),PI()*INDEX(Simulations!$T$3:$T$62,MATCH($A19,Simulations!$A$3:$A$62,0))^2/2*(LN($H19/INDEX(Simulations!$J$3:$J$62,MATCH($A19,Simulations!$A$3:$A$62,0)))+1)))))</f>
        <v>0</v>
      </c>
      <c r="U19" s="18" t="n">
        <f aca="false">IF(OR(OR($A19="",ISNA(MATCH($A19,Simulations!$A$3:$A$62,0))),N($C19)&lt;=0),"",SQRT(2*$C19*1000000/(INDEX(Simulations!$J$3:$J$62,MATCH($A19,Simulations!$A$3:$A$62,0))*1000))/INDEX(Simulations!$T$3:$T$62,MATCH($A19,Simulations!$A$3:$A$62,0)))</f>
        <v>0.14142135623731</v>
      </c>
      <c r="V19" s="19" t="str">
        <f aca="false">IF($A19="","",IF(ISNA(MATCH($A19,Simulations!$A$3:$A$62,0)),"✖ Sim ID not found on the Simulations sheet",IF($P19&gt;=1,"✖ brightness &gt;= sampling frequency: completely saturated (D too small, c too large)",IF($P19&gt;0.1,"⚠ brightness &gt; 10% of the sampling frequency: focus starts to saturate",IF(N($U19)&gt;0.1,"⚠ diffusion step &gt; 10% of wr: raise the sampling frequency",IF(MAX($E19:$H19)=0,"⚠ no brightness set","✔ OK"))))))</f>
        <v>✖ brightness &gt;= sampling frequency: completely saturated (D too small, c too large)</v>
      </c>
    </row>
    <row r="20" customFormat="false" ht="23.85" hidden="false" customHeight="false" outlineLevel="0" collapsed="false">
      <c r="A20" s="13" t="s">
        <v>90</v>
      </c>
      <c r="B20" s="13" t="s">
        <v>133</v>
      </c>
      <c r="C20" s="13" t="n">
        <v>400</v>
      </c>
      <c r="D20" s="13" t="n">
        <v>10</v>
      </c>
      <c r="E20" s="13" t="n">
        <v>0</v>
      </c>
      <c r="F20" s="13" t="n">
        <v>7000</v>
      </c>
      <c r="G20" s="13" t="n">
        <v>0</v>
      </c>
      <c r="H20" s="13" t="n">
        <v>0</v>
      </c>
      <c r="I20" s="13" t="n">
        <v>4</v>
      </c>
      <c r="J20" s="13" t="n">
        <v>3</v>
      </c>
      <c r="K20" s="13" t="n">
        <v>2.5</v>
      </c>
      <c r="L20" s="13" t="n">
        <v>2.5</v>
      </c>
      <c r="M20" s="13" t="s">
        <v>131</v>
      </c>
      <c r="N20" s="14"/>
      <c r="O20" s="18" t="n">
        <f aca="false">IF(OR($A20="",ISNA(MATCH($A20,Simulations!$A$3:$A$62,0))),"",IF(INDEX(Simulations!$I$3:$I$62,MATCH($A20,Simulations!$A$3:$A$62,0))&gt;0,$D20/(INDEX(Simulations!$G$3:$G$62,MATCH($A20,Simulations!$A$3:$A$62,0))*INDEX(Simulations!$H$3:$H$62,MATCH($A20,Simulations!$A$3:$A$62,0))*IF(INDEX(Simulations!$I$3:$I$62,MATCH($A20,Simulations!$A$3:$A$62,0))&gt;0,INDEX(Simulations!$I$3:$I$62,MATCH($A20,Simulations!$A$3:$A$62,0)),1))/1E-024/6.022E+023/0.000000001,""))</f>
        <v>0.13284623048821</v>
      </c>
      <c r="P20" s="20" t="n">
        <f aca="false">IF(OR($A20="",ISNA(MATCH($A20,Simulations!$A$3:$A$62,0))),"",MAX($E20:$H20)/INDEX(Simulations!$J$3:$J$62,MATCH($A20,Simulations!$A$3:$A$62,0)))</f>
        <v>7</v>
      </c>
      <c r="Q20" s="16" t="n">
        <f aca="false">IF(OR($A20="",ISNA(MATCH($A20,Simulations!$A$3:$A$62,0))),"",IF(N($E20)&lt;=0,0,IF($E20&lt;INDEX(Simulations!$J$3:$J$62,MATCH($A20,Simulations!$A$3:$A$62,0)),$D20/(INDEX(Simulations!$G$3:$G$62,MATCH($A20,Simulations!$A$3:$A$62,0))*INDEX(Simulations!$H$3:$H$62,MATCH($A20,Simulations!$A$3:$A$62,0))*IF(INDEX(Simulations!$I$3:$I$62,MATCH($A20,Simulations!$A$3:$A$62,0))&gt;0,INDEX(Simulations!$I$3:$I$62,MATCH($A20,Simulations!$A$3:$A$62,0)),1))*$E20*(PI()/2*INDEX(Simulations!$T$3:$T$62,MATCH($A20,Simulations!$A$3:$A$62,0))^2*IF(INDEX(Simulations!$I$3:$I$62,MATCH($A20,Simulations!$A$3:$A$62,0))&gt;0,SQRT(PI()/2)*INDEX(Simulations!$U$3:$U$62,MATCH($A20,Simulations!$A$3:$A$62,0)),1)),$D20/(INDEX(Simulations!$G$3:$G$62,MATCH($A20,Simulations!$A$3:$A$62,0))*INDEX(Simulations!$H$3:$H$62,MATCH($A20,Simulations!$A$3:$A$62,0))*IF(INDEX(Simulations!$I$3:$I$62,MATCH($A20,Simulations!$A$3:$A$62,0))&gt;0,INDEX(Simulations!$I$3:$I$62,MATCH($A20,Simulations!$A$3:$A$62,0)),1))*INDEX(Simulations!$J$3:$J$62,MATCH($A20,Simulations!$A$3:$A$62,0))*IF(INDEX(Simulations!$I$3:$I$62,MATCH($A20,Simulations!$A$3:$A$62,0))&gt;0,2*PI()*INDEX(Simulations!$T$3:$T$62,MATCH($A20,Simulations!$A$3:$A$62,0))^2*INDEX(Simulations!$U$3:$U$62,MATCH($A20,Simulations!$A$3:$A$62,0))/2^1.5*(2/3*LN($E20/INDEX(Simulations!$J$3:$J$62,MATCH($A20,Simulations!$A$3:$A$62,0)))^1.5+SQRT(LN($E20/INDEX(Simulations!$J$3:$J$62,MATCH($A20,Simulations!$A$3:$A$62,0))))+$E20/INDEX(Simulations!$J$3:$J$62,MATCH($A20,Simulations!$A$3:$A$62,0))*SQRT(PI())/2*ERFC(SQRT(LN($E20/INDEX(Simulations!$J$3:$J$62,MATCH($A20,Simulations!$A$3:$A$62,0)))))),PI()*INDEX(Simulations!$T$3:$T$62,MATCH($A20,Simulations!$A$3:$A$62,0))^2/2*(LN($E20/INDEX(Simulations!$J$3:$J$62,MATCH($A20,Simulations!$A$3:$A$62,0)))+1)))))</f>
        <v>0</v>
      </c>
      <c r="R20" s="16" t="n">
        <f aca="false">IF(OR($A20="",ISNA(MATCH($A20,Simulations!$A$3:$A$62,0))),"",IF(N($F20)&lt;=0,0,IF($F20&lt;INDEX(Simulations!$J$3:$J$62,MATCH($A20,Simulations!$A$3:$A$62,0)),$D20/(INDEX(Simulations!$G$3:$G$62,MATCH($A20,Simulations!$A$3:$A$62,0))*INDEX(Simulations!$H$3:$H$62,MATCH($A20,Simulations!$A$3:$A$62,0))*IF(INDEX(Simulations!$I$3:$I$62,MATCH($A20,Simulations!$A$3:$A$62,0))&gt;0,INDEX(Simulations!$I$3:$I$62,MATCH($A20,Simulations!$A$3:$A$62,0)),1))*$F20*(PI()/2*INDEX(Simulations!$T$3:$T$62,MATCH($A20,Simulations!$A$3:$A$62,0))^2*IF(INDEX(Simulations!$I$3:$I$62,MATCH($A20,Simulations!$A$3:$A$62,0))&gt;0,SQRT(PI()/2)*INDEX(Simulations!$U$3:$U$62,MATCH($A20,Simulations!$A$3:$A$62,0)),1)),$D20/(INDEX(Simulations!$G$3:$G$62,MATCH($A20,Simulations!$A$3:$A$62,0))*INDEX(Simulations!$H$3:$H$62,MATCH($A20,Simulations!$A$3:$A$62,0))*IF(INDEX(Simulations!$I$3:$I$62,MATCH($A20,Simulations!$A$3:$A$62,0))&gt;0,INDEX(Simulations!$I$3:$I$62,MATCH($A20,Simulations!$A$3:$A$62,0)),1))*INDEX(Simulations!$J$3:$J$62,MATCH($A20,Simulations!$A$3:$A$62,0))*IF(INDEX(Simulations!$I$3:$I$62,MATCH($A20,Simulations!$A$3:$A$62,0))&gt;0,2*PI()*INDEX(Simulations!$T$3:$T$62,MATCH($A20,Simulations!$A$3:$A$62,0))^2*INDEX(Simulations!$U$3:$U$62,MATCH($A20,Simulations!$A$3:$A$62,0))/2^1.5*(2/3*LN($F20/INDEX(Simulations!$J$3:$J$62,MATCH($A20,Simulations!$A$3:$A$62,0)))^1.5+SQRT(LN($F20/INDEX(Simulations!$J$3:$J$62,MATCH($A20,Simulations!$A$3:$A$62,0))))+$F20/INDEX(Simulations!$J$3:$J$62,MATCH($A20,Simulations!$A$3:$A$62,0))*SQRT(PI())/2*ERFC(SQRT(LN($F20/INDEX(Simulations!$J$3:$J$62,MATCH($A20,Simulations!$A$3:$A$62,0)))))),PI()*INDEX(Simulations!$T$3:$T$62,MATCH($A20,Simulations!$A$3:$A$62,0))^2/2*(LN($F20/INDEX(Simulations!$J$3:$J$62,MATCH($A20,Simulations!$A$3:$A$62,0)))+1)))))</f>
        <v>24.9200322255786</v>
      </c>
      <c r="S20" s="16" t="n">
        <f aca="false">IF(OR($A20="",ISNA(MATCH($A20,Simulations!$A$3:$A$62,0))),"",IF(N($G20)&lt;=0,0,IF($G20&lt;INDEX(Simulations!$J$3:$J$62,MATCH($A20,Simulations!$A$3:$A$62,0)),$D20/(INDEX(Simulations!$G$3:$G$62,MATCH($A20,Simulations!$A$3:$A$62,0))*INDEX(Simulations!$H$3:$H$62,MATCH($A20,Simulations!$A$3:$A$62,0))*IF(INDEX(Simulations!$I$3:$I$62,MATCH($A20,Simulations!$A$3:$A$62,0))&gt;0,INDEX(Simulations!$I$3:$I$62,MATCH($A20,Simulations!$A$3:$A$62,0)),1))*$G20*(PI()/2*INDEX(Simulations!$T$3:$T$62,MATCH($A20,Simulations!$A$3:$A$62,0))^2*IF(INDEX(Simulations!$I$3:$I$62,MATCH($A20,Simulations!$A$3:$A$62,0))&gt;0,SQRT(PI()/2)*INDEX(Simulations!$U$3:$U$62,MATCH($A20,Simulations!$A$3:$A$62,0)),1)),$D20/(INDEX(Simulations!$G$3:$G$62,MATCH($A20,Simulations!$A$3:$A$62,0))*INDEX(Simulations!$H$3:$H$62,MATCH($A20,Simulations!$A$3:$A$62,0))*IF(INDEX(Simulations!$I$3:$I$62,MATCH($A20,Simulations!$A$3:$A$62,0))&gt;0,INDEX(Simulations!$I$3:$I$62,MATCH($A20,Simulations!$A$3:$A$62,0)),1))*INDEX(Simulations!$J$3:$J$62,MATCH($A20,Simulations!$A$3:$A$62,0))*IF(INDEX(Simulations!$I$3:$I$62,MATCH($A20,Simulations!$A$3:$A$62,0))&gt;0,2*PI()*INDEX(Simulations!$T$3:$T$62,MATCH($A20,Simulations!$A$3:$A$62,0))^2*INDEX(Simulations!$U$3:$U$62,MATCH($A20,Simulations!$A$3:$A$62,0))/2^1.5*(2/3*LN($G20/INDEX(Simulations!$J$3:$J$62,MATCH($A20,Simulations!$A$3:$A$62,0)))^1.5+SQRT(LN($G20/INDEX(Simulations!$J$3:$J$62,MATCH($A20,Simulations!$A$3:$A$62,0))))+$G20/INDEX(Simulations!$J$3:$J$62,MATCH($A20,Simulations!$A$3:$A$62,0))*SQRT(PI())/2*ERFC(SQRT(LN($G20/INDEX(Simulations!$J$3:$J$62,MATCH($A20,Simulations!$A$3:$A$62,0)))))),PI()*INDEX(Simulations!$T$3:$T$62,MATCH($A20,Simulations!$A$3:$A$62,0))^2/2*(LN($G20/INDEX(Simulations!$J$3:$J$62,MATCH($A20,Simulations!$A$3:$A$62,0)))+1)))))</f>
        <v>0</v>
      </c>
      <c r="T20" s="16" t="n">
        <f aca="false">IF(OR($A20="",ISNA(MATCH($A20,Simulations!$A$3:$A$62,0))),"",IF(N($H20)&lt;=0,0,IF($H20&lt;INDEX(Simulations!$J$3:$J$62,MATCH($A20,Simulations!$A$3:$A$62,0)),$D20/(INDEX(Simulations!$G$3:$G$62,MATCH($A20,Simulations!$A$3:$A$62,0))*INDEX(Simulations!$H$3:$H$62,MATCH($A20,Simulations!$A$3:$A$62,0))*IF(INDEX(Simulations!$I$3:$I$62,MATCH($A20,Simulations!$A$3:$A$62,0))&gt;0,INDEX(Simulations!$I$3:$I$62,MATCH($A20,Simulations!$A$3:$A$62,0)),1))*$H20*(PI()/2*INDEX(Simulations!$T$3:$T$62,MATCH($A20,Simulations!$A$3:$A$62,0))^2*IF(INDEX(Simulations!$I$3:$I$62,MATCH($A20,Simulations!$A$3:$A$62,0))&gt;0,SQRT(PI()/2)*INDEX(Simulations!$U$3:$U$62,MATCH($A20,Simulations!$A$3:$A$62,0)),1)),$D20/(INDEX(Simulations!$G$3:$G$62,MATCH($A20,Simulations!$A$3:$A$62,0))*INDEX(Simulations!$H$3:$H$62,MATCH($A20,Simulations!$A$3:$A$62,0))*IF(INDEX(Simulations!$I$3:$I$62,MATCH($A20,Simulations!$A$3:$A$62,0))&gt;0,INDEX(Simulations!$I$3:$I$62,MATCH($A20,Simulations!$A$3:$A$62,0)),1))*INDEX(Simulations!$J$3:$J$62,MATCH($A20,Simulations!$A$3:$A$62,0))*IF(INDEX(Simulations!$I$3:$I$62,MATCH($A20,Simulations!$A$3:$A$62,0))&gt;0,2*PI()*INDEX(Simulations!$T$3:$T$62,MATCH($A20,Simulations!$A$3:$A$62,0))^2*INDEX(Simulations!$U$3:$U$62,MATCH($A20,Simulations!$A$3:$A$62,0))/2^1.5*(2/3*LN($H20/INDEX(Simulations!$J$3:$J$62,MATCH($A20,Simulations!$A$3:$A$62,0)))^1.5+SQRT(LN($H20/INDEX(Simulations!$J$3:$J$62,MATCH($A20,Simulations!$A$3:$A$62,0))))+$H20/INDEX(Simulations!$J$3:$J$62,MATCH($A20,Simulations!$A$3:$A$62,0))*SQRT(PI())/2*ERFC(SQRT(LN($H20/INDEX(Simulations!$J$3:$J$62,MATCH($A20,Simulations!$A$3:$A$62,0)))))),PI()*INDEX(Simulations!$T$3:$T$62,MATCH($A20,Simulations!$A$3:$A$62,0))^2/2*(LN($H20/INDEX(Simulations!$J$3:$J$62,MATCH($A20,Simulations!$A$3:$A$62,0)))+1)))))</f>
        <v>0</v>
      </c>
      <c r="U20" s="18" t="n">
        <f aca="false">IF(OR(OR($A20="",ISNA(MATCH($A20,Simulations!$A$3:$A$62,0))),N($C20)&lt;=0),"",SQRT(2*$C20*1000000/(INDEX(Simulations!$J$3:$J$62,MATCH($A20,Simulations!$A$3:$A$62,0))*1000))/INDEX(Simulations!$T$3:$T$62,MATCH($A20,Simulations!$A$3:$A$62,0)))</f>
        <v>0.14142135623731</v>
      </c>
      <c r="V20" s="19" t="str">
        <f aca="false">IF($A20="","",IF(ISNA(MATCH($A20,Simulations!$A$3:$A$62,0)),"✖ Sim ID not found on the Simulations sheet",IF($P20&gt;=1,"✖ brightness &gt;= sampling frequency: completely saturated (D too small, c too large)",IF($P20&gt;0.1,"⚠ brightness &gt; 10% of the sampling frequency: focus starts to saturate",IF(N($U20)&gt;0.1,"⚠ diffusion step &gt; 10% of wr: raise the sampling frequency",IF(MAX($E20:$H20)=0,"⚠ no brightness set","✔ OK"))))))</f>
        <v>✖ brightness &gt;= sampling frequency: completely saturated (D too small, c too large)</v>
      </c>
    </row>
    <row r="21" customFormat="false" ht="23.85" hidden="false" customHeight="false" outlineLevel="0" collapsed="false">
      <c r="A21" s="13" t="s">
        <v>90</v>
      </c>
      <c r="B21" s="13" t="s">
        <v>134</v>
      </c>
      <c r="C21" s="13" t="n">
        <v>400</v>
      </c>
      <c r="D21" s="13" t="n">
        <v>10</v>
      </c>
      <c r="E21" s="13" t="n">
        <v>0</v>
      </c>
      <c r="F21" s="13" t="n">
        <v>0</v>
      </c>
      <c r="G21" s="13" t="n">
        <v>5000</v>
      </c>
      <c r="H21" s="13" t="n">
        <v>0</v>
      </c>
      <c r="I21" s="13" t="n">
        <v>4</v>
      </c>
      <c r="J21" s="13" t="n">
        <v>3</v>
      </c>
      <c r="K21" s="13" t="n">
        <v>2.5</v>
      </c>
      <c r="L21" s="13" t="n">
        <v>2.5</v>
      </c>
      <c r="M21" s="13" t="s">
        <v>131</v>
      </c>
      <c r="N21" s="14"/>
      <c r="O21" s="18" t="n">
        <f aca="false">IF(OR($A21="",ISNA(MATCH($A21,Simulations!$A$3:$A$62,0))),"",IF(INDEX(Simulations!$I$3:$I$62,MATCH($A21,Simulations!$A$3:$A$62,0))&gt;0,$D21/(INDEX(Simulations!$G$3:$G$62,MATCH($A21,Simulations!$A$3:$A$62,0))*INDEX(Simulations!$H$3:$H$62,MATCH($A21,Simulations!$A$3:$A$62,0))*IF(INDEX(Simulations!$I$3:$I$62,MATCH($A21,Simulations!$A$3:$A$62,0))&gt;0,INDEX(Simulations!$I$3:$I$62,MATCH($A21,Simulations!$A$3:$A$62,0)),1))/1E-024/6.022E+023/0.000000001,""))</f>
        <v>0.13284623048821</v>
      </c>
      <c r="P21" s="20" t="n">
        <f aca="false">IF(OR($A21="",ISNA(MATCH($A21,Simulations!$A$3:$A$62,0))),"",MAX($E21:$H21)/INDEX(Simulations!$J$3:$J$62,MATCH($A21,Simulations!$A$3:$A$62,0)))</f>
        <v>5</v>
      </c>
      <c r="Q21" s="16" t="n">
        <f aca="false">IF(OR($A21="",ISNA(MATCH($A21,Simulations!$A$3:$A$62,0))),"",IF(N($E21)&lt;=0,0,IF($E21&lt;INDEX(Simulations!$J$3:$J$62,MATCH($A21,Simulations!$A$3:$A$62,0)),$D21/(INDEX(Simulations!$G$3:$G$62,MATCH($A21,Simulations!$A$3:$A$62,0))*INDEX(Simulations!$H$3:$H$62,MATCH($A21,Simulations!$A$3:$A$62,0))*IF(INDEX(Simulations!$I$3:$I$62,MATCH($A21,Simulations!$A$3:$A$62,0))&gt;0,INDEX(Simulations!$I$3:$I$62,MATCH($A21,Simulations!$A$3:$A$62,0)),1))*$E21*(PI()/2*INDEX(Simulations!$T$3:$T$62,MATCH($A21,Simulations!$A$3:$A$62,0))^2*IF(INDEX(Simulations!$I$3:$I$62,MATCH($A21,Simulations!$A$3:$A$62,0))&gt;0,SQRT(PI()/2)*INDEX(Simulations!$U$3:$U$62,MATCH($A21,Simulations!$A$3:$A$62,0)),1)),$D21/(INDEX(Simulations!$G$3:$G$62,MATCH($A21,Simulations!$A$3:$A$62,0))*INDEX(Simulations!$H$3:$H$62,MATCH($A21,Simulations!$A$3:$A$62,0))*IF(INDEX(Simulations!$I$3:$I$62,MATCH($A21,Simulations!$A$3:$A$62,0))&gt;0,INDEX(Simulations!$I$3:$I$62,MATCH($A21,Simulations!$A$3:$A$62,0)),1))*INDEX(Simulations!$J$3:$J$62,MATCH($A21,Simulations!$A$3:$A$62,0))*IF(INDEX(Simulations!$I$3:$I$62,MATCH($A21,Simulations!$A$3:$A$62,0))&gt;0,2*PI()*INDEX(Simulations!$T$3:$T$62,MATCH($A21,Simulations!$A$3:$A$62,0))^2*INDEX(Simulations!$U$3:$U$62,MATCH($A21,Simulations!$A$3:$A$62,0))/2^1.5*(2/3*LN($E21/INDEX(Simulations!$J$3:$J$62,MATCH($A21,Simulations!$A$3:$A$62,0)))^1.5+SQRT(LN($E21/INDEX(Simulations!$J$3:$J$62,MATCH($A21,Simulations!$A$3:$A$62,0))))+$E21/INDEX(Simulations!$J$3:$J$62,MATCH($A21,Simulations!$A$3:$A$62,0))*SQRT(PI())/2*ERFC(SQRT(LN($E21/INDEX(Simulations!$J$3:$J$62,MATCH($A21,Simulations!$A$3:$A$62,0)))))),PI()*INDEX(Simulations!$T$3:$T$62,MATCH($A21,Simulations!$A$3:$A$62,0))^2/2*(LN($E21/INDEX(Simulations!$J$3:$J$62,MATCH($A21,Simulations!$A$3:$A$62,0)))+1)))))</f>
        <v>0</v>
      </c>
      <c r="R21" s="16" t="n">
        <f aca="false">IF(OR($A21="",ISNA(MATCH($A21,Simulations!$A$3:$A$62,0))),"",IF(N($F21)&lt;=0,0,IF($F21&lt;INDEX(Simulations!$J$3:$J$62,MATCH($A21,Simulations!$A$3:$A$62,0)),$D21/(INDEX(Simulations!$G$3:$G$62,MATCH($A21,Simulations!$A$3:$A$62,0))*INDEX(Simulations!$H$3:$H$62,MATCH($A21,Simulations!$A$3:$A$62,0))*IF(INDEX(Simulations!$I$3:$I$62,MATCH($A21,Simulations!$A$3:$A$62,0))&gt;0,INDEX(Simulations!$I$3:$I$62,MATCH($A21,Simulations!$A$3:$A$62,0)),1))*$F21*(PI()/2*INDEX(Simulations!$T$3:$T$62,MATCH($A21,Simulations!$A$3:$A$62,0))^2*IF(INDEX(Simulations!$I$3:$I$62,MATCH($A21,Simulations!$A$3:$A$62,0))&gt;0,SQRT(PI()/2)*INDEX(Simulations!$U$3:$U$62,MATCH($A21,Simulations!$A$3:$A$62,0)),1)),$D21/(INDEX(Simulations!$G$3:$G$62,MATCH($A21,Simulations!$A$3:$A$62,0))*INDEX(Simulations!$H$3:$H$62,MATCH($A21,Simulations!$A$3:$A$62,0))*IF(INDEX(Simulations!$I$3:$I$62,MATCH($A21,Simulations!$A$3:$A$62,0))&gt;0,INDEX(Simulations!$I$3:$I$62,MATCH($A21,Simulations!$A$3:$A$62,0)),1))*INDEX(Simulations!$J$3:$J$62,MATCH($A21,Simulations!$A$3:$A$62,0))*IF(INDEX(Simulations!$I$3:$I$62,MATCH($A21,Simulations!$A$3:$A$62,0))&gt;0,2*PI()*INDEX(Simulations!$T$3:$T$62,MATCH($A21,Simulations!$A$3:$A$62,0))^2*INDEX(Simulations!$U$3:$U$62,MATCH($A21,Simulations!$A$3:$A$62,0))/2^1.5*(2/3*LN($F21/INDEX(Simulations!$J$3:$J$62,MATCH($A21,Simulations!$A$3:$A$62,0)))^1.5+SQRT(LN($F21/INDEX(Simulations!$J$3:$J$62,MATCH($A21,Simulations!$A$3:$A$62,0))))+$F21/INDEX(Simulations!$J$3:$J$62,MATCH($A21,Simulations!$A$3:$A$62,0))*SQRT(PI())/2*ERFC(SQRT(LN($F21/INDEX(Simulations!$J$3:$J$62,MATCH($A21,Simulations!$A$3:$A$62,0)))))),PI()*INDEX(Simulations!$T$3:$T$62,MATCH($A21,Simulations!$A$3:$A$62,0))^2/2*(LN($F21/INDEX(Simulations!$J$3:$J$62,MATCH($A21,Simulations!$A$3:$A$62,0)))+1)))))</f>
        <v>0</v>
      </c>
      <c r="S21" s="16" t="n">
        <f aca="false">IF(OR($A21="",ISNA(MATCH($A21,Simulations!$A$3:$A$62,0))),"",IF(N($G21)&lt;=0,0,IF($G21&lt;INDEX(Simulations!$J$3:$J$62,MATCH($A21,Simulations!$A$3:$A$62,0)),$D21/(INDEX(Simulations!$G$3:$G$62,MATCH($A21,Simulations!$A$3:$A$62,0))*INDEX(Simulations!$H$3:$H$62,MATCH($A21,Simulations!$A$3:$A$62,0))*IF(INDEX(Simulations!$I$3:$I$62,MATCH($A21,Simulations!$A$3:$A$62,0))&gt;0,INDEX(Simulations!$I$3:$I$62,MATCH($A21,Simulations!$A$3:$A$62,0)),1))*$G21*(PI()/2*INDEX(Simulations!$T$3:$T$62,MATCH($A21,Simulations!$A$3:$A$62,0))^2*IF(INDEX(Simulations!$I$3:$I$62,MATCH($A21,Simulations!$A$3:$A$62,0))&gt;0,SQRT(PI()/2)*INDEX(Simulations!$U$3:$U$62,MATCH($A21,Simulations!$A$3:$A$62,0)),1)),$D21/(INDEX(Simulations!$G$3:$G$62,MATCH($A21,Simulations!$A$3:$A$62,0))*INDEX(Simulations!$H$3:$H$62,MATCH($A21,Simulations!$A$3:$A$62,0))*IF(INDEX(Simulations!$I$3:$I$62,MATCH($A21,Simulations!$A$3:$A$62,0))&gt;0,INDEX(Simulations!$I$3:$I$62,MATCH($A21,Simulations!$A$3:$A$62,0)),1))*INDEX(Simulations!$J$3:$J$62,MATCH($A21,Simulations!$A$3:$A$62,0))*IF(INDEX(Simulations!$I$3:$I$62,MATCH($A21,Simulations!$A$3:$A$62,0))&gt;0,2*PI()*INDEX(Simulations!$T$3:$T$62,MATCH($A21,Simulations!$A$3:$A$62,0))^2*INDEX(Simulations!$U$3:$U$62,MATCH($A21,Simulations!$A$3:$A$62,0))/2^1.5*(2/3*LN($G21/INDEX(Simulations!$J$3:$J$62,MATCH($A21,Simulations!$A$3:$A$62,0)))^1.5+SQRT(LN($G21/INDEX(Simulations!$J$3:$J$62,MATCH($A21,Simulations!$A$3:$A$62,0))))+$G21/INDEX(Simulations!$J$3:$J$62,MATCH($A21,Simulations!$A$3:$A$62,0))*SQRT(PI())/2*ERFC(SQRT(LN($G21/INDEX(Simulations!$J$3:$J$62,MATCH($A21,Simulations!$A$3:$A$62,0)))))),PI()*INDEX(Simulations!$T$3:$T$62,MATCH($A21,Simulations!$A$3:$A$62,0))^2/2*(LN($G21/INDEX(Simulations!$J$3:$J$62,MATCH($A21,Simulations!$A$3:$A$62,0)))+1)))))</f>
        <v>20.9873877075729</v>
      </c>
      <c r="T21" s="16" t="n">
        <f aca="false">IF(OR($A21="",ISNA(MATCH($A21,Simulations!$A$3:$A$62,0))),"",IF(N($H21)&lt;=0,0,IF($H21&lt;INDEX(Simulations!$J$3:$J$62,MATCH($A21,Simulations!$A$3:$A$62,0)),$D21/(INDEX(Simulations!$G$3:$G$62,MATCH($A21,Simulations!$A$3:$A$62,0))*INDEX(Simulations!$H$3:$H$62,MATCH($A21,Simulations!$A$3:$A$62,0))*IF(INDEX(Simulations!$I$3:$I$62,MATCH($A21,Simulations!$A$3:$A$62,0))&gt;0,INDEX(Simulations!$I$3:$I$62,MATCH($A21,Simulations!$A$3:$A$62,0)),1))*$H21*(PI()/2*INDEX(Simulations!$T$3:$T$62,MATCH($A21,Simulations!$A$3:$A$62,0))^2*IF(INDEX(Simulations!$I$3:$I$62,MATCH($A21,Simulations!$A$3:$A$62,0))&gt;0,SQRT(PI()/2)*INDEX(Simulations!$U$3:$U$62,MATCH($A21,Simulations!$A$3:$A$62,0)),1)),$D21/(INDEX(Simulations!$G$3:$G$62,MATCH($A21,Simulations!$A$3:$A$62,0))*INDEX(Simulations!$H$3:$H$62,MATCH($A21,Simulations!$A$3:$A$62,0))*IF(INDEX(Simulations!$I$3:$I$62,MATCH($A21,Simulations!$A$3:$A$62,0))&gt;0,INDEX(Simulations!$I$3:$I$62,MATCH($A21,Simulations!$A$3:$A$62,0)),1))*INDEX(Simulations!$J$3:$J$62,MATCH($A21,Simulations!$A$3:$A$62,0))*IF(INDEX(Simulations!$I$3:$I$62,MATCH($A21,Simulations!$A$3:$A$62,0))&gt;0,2*PI()*INDEX(Simulations!$T$3:$T$62,MATCH($A21,Simulations!$A$3:$A$62,0))^2*INDEX(Simulations!$U$3:$U$62,MATCH($A21,Simulations!$A$3:$A$62,0))/2^1.5*(2/3*LN($H21/INDEX(Simulations!$J$3:$J$62,MATCH($A21,Simulations!$A$3:$A$62,0)))^1.5+SQRT(LN($H21/INDEX(Simulations!$J$3:$J$62,MATCH($A21,Simulations!$A$3:$A$62,0))))+$H21/INDEX(Simulations!$J$3:$J$62,MATCH($A21,Simulations!$A$3:$A$62,0))*SQRT(PI())/2*ERFC(SQRT(LN($H21/INDEX(Simulations!$J$3:$J$62,MATCH($A21,Simulations!$A$3:$A$62,0)))))),PI()*INDEX(Simulations!$T$3:$T$62,MATCH($A21,Simulations!$A$3:$A$62,0))^2/2*(LN($H21/INDEX(Simulations!$J$3:$J$62,MATCH($A21,Simulations!$A$3:$A$62,0)))+1)))))</f>
        <v>0</v>
      </c>
      <c r="U21" s="18" t="n">
        <f aca="false">IF(OR(OR($A21="",ISNA(MATCH($A21,Simulations!$A$3:$A$62,0))),N($C21)&lt;=0),"",SQRT(2*$C21*1000000/(INDEX(Simulations!$J$3:$J$62,MATCH($A21,Simulations!$A$3:$A$62,0))*1000))/INDEX(Simulations!$T$3:$T$62,MATCH($A21,Simulations!$A$3:$A$62,0)))</f>
        <v>0.14142135623731</v>
      </c>
      <c r="V21" s="19" t="str">
        <f aca="false">IF($A21="","",IF(ISNA(MATCH($A21,Simulations!$A$3:$A$62,0)),"✖ Sim ID not found on the Simulations sheet",IF($P21&gt;=1,"✖ brightness &gt;= sampling frequency: completely saturated (D too small, c too large)",IF($P21&gt;0.1,"⚠ brightness &gt; 10% of the sampling frequency: focus starts to saturate",IF(N($U21)&gt;0.1,"⚠ diffusion step &gt; 10% of wr: raise the sampling frequency",IF(MAX($E21:$H21)=0,"⚠ no brightness set","✔ OK"))))))</f>
        <v>✖ brightness &gt;= sampling frequency: completely saturated (D too small, c too large)</v>
      </c>
    </row>
    <row r="22" customFormat="false" ht="23.85" hidden="false" customHeight="false" outlineLevel="0" collapsed="false">
      <c r="A22" s="13" t="s">
        <v>90</v>
      </c>
      <c r="B22" s="13" t="s">
        <v>135</v>
      </c>
      <c r="C22" s="13" t="n">
        <v>33</v>
      </c>
      <c r="D22" s="13" t="n">
        <v>10</v>
      </c>
      <c r="E22" s="13" t="n">
        <v>20000</v>
      </c>
      <c r="F22" s="13" t="n">
        <v>7000</v>
      </c>
      <c r="G22" s="13" t="n">
        <v>0</v>
      </c>
      <c r="H22" s="13" t="n">
        <v>0</v>
      </c>
      <c r="I22" s="13" t="n">
        <v>4</v>
      </c>
      <c r="J22" s="13" t="n">
        <v>3</v>
      </c>
      <c r="K22" s="13" t="n">
        <v>2.5</v>
      </c>
      <c r="L22" s="13" t="n">
        <v>2.5</v>
      </c>
      <c r="M22" s="13" t="s">
        <v>131</v>
      </c>
      <c r="N22" s="14"/>
      <c r="O22" s="18" t="n">
        <f aca="false">IF(OR($A22="",ISNA(MATCH($A22,Simulations!$A$3:$A$62,0))),"",IF(INDEX(Simulations!$I$3:$I$62,MATCH($A22,Simulations!$A$3:$A$62,0))&gt;0,$D22/(INDEX(Simulations!$G$3:$G$62,MATCH($A22,Simulations!$A$3:$A$62,0))*INDEX(Simulations!$H$3:$H$62,MATCH($A22,Simulations!$A$3:$A$62,0))*IF(INDEX(Simulations!$I$3:$I$62,MATCH($A22,Simulations!$A$3:$A$62,0))&gt;0,INDEX(Simulations!$I$3:$I$62,MATCH($A22,Simulations!$A$3:$A$62,0)),1))/1E-024/6.022E+023/0.000000001,""))</f>
        <v>0.13284623048821</v>
      </c>
      <c r="P22" s="20" t="n">
        <f aca="false">IF(OR($A22="",ISNA(MATCH($A22,Simulations!$A$3:$A$62,0))),"",MAX($E22:$H22)/INDEX(Simulations!$J$3:$J$62,MATCH($A22,Simulations!$A$3:$A$62,0)))</f>
        <v>20</v>
      </c>
      <c r="Q22" s="16" t="n">
        <f aca="false">IF(OR($A22="",ISNA(MATCH($A22,Simulations!$A$3:$A$62,0))),"",IF(N($E22)&lt;=0,0,IF($E22&lt;INDEX(Simulations!$J$3:$J$62,MATCH($A22,Simulations!$A$3:$A$62,0)),$D22/(INDEX(Simulations!$G$3:$G$62,MATCH($A22,Simulations!$A$3:$A$62,0))*INDEX(Simulations!$H$3:$H$62,MATCH($A22,Simulations!$A$3:$A$62,0))*IF(INDEX(Simulations!$I$3:$I$62,MATCH($A22,Simulations!$A$3:$A$62,0))&gt;0,INDEX(Simulations!$I$3:$I$62,MATCH($A22,Simulations!$A$3:$A$62,0)),1))*$E22*(PI()/2*INDEX(Simulations!$T$3:$T$62,MATCH($A22,Simulations!$A$3:$A$62,0))^2*IF(INDEX(Simulations!$I$3:$I$62,MATCH($A22,Simulations!$A$3:$A$62,0))&gt;0,SQRT(PI()/2)*INDEX(Simulations!$U$3:$U$62,MATCH($A22,Simulations!$A$3:$A$62,0)),1)),$D22/(INDEX(Simulations!$G$3:$G$62,MATCH($A22,Simulations!$A$3:$A$62,0))*INDEX(Simulations!$H$3:$H$62,MATCH($A22,Simulations!$A$3:$A$62,0))*IF(INDEX(Simulations!$I$3:$I$62,MATCH($A22,Simulations!$A$3:$A$62,0))&gt;0,INDEX(Simulations!$I$3:$I$62,MATCH($A22,Simulations!$A$3:$A$62,0)),1))*INDEX(Simulations!$J$3:$J$62,MATCH($A22,Simulations!$A$3:$A$62,0))*IF(INDEX(Simulations!$I$3:$I$62,MATCH($A22,Simulations!$A$3:$A$62,0))&gt;0,2*PI()*INDEX(Simulations!$T$3:$T$62,MATCH($A22,Simulations!$A$3:$A$62,0))^2*INDEX(Simulations!$U$3:$U$62,MATCH($A22,Simulations!$A$3:$A$62,0))/2^1.5*(2/3*LN($E22/INDEX(Simulations!$J$3:$J$62,MATCH($A22,Simulations!$A$3:$A$62,0)))^1.5+SQRT(LN($E22/INDEX(Simulations!$J$3:$J$62,MATCH($A22,Simulations!$A$3:$A$62,0))))+$E22/INDEX(Simulations!$J$3:$J$62,MATCH($A22,Simulations!$A$3:$A$62,0))*SQRT(PI())/2*ERFC(SQRT(LN($E22/INDEX(Simulations!$J$3:$J$62,MATCH($A22,Simulations!$A$3:$A$62,0)))))),PI()*INDEX(Simulations!$T$3:$T$62,MATCH($A22,Simulations!$A$3:$A$62,0))^2/2*(LN($E22/INDEX(Simulations!$J$3:$J$62,MATCH($A22,Simulations!$A$3:$A$62,0)))+1)))))</f>
        <v>38.6873848879807</v>
      </c>
      <c r="R22" s="16" t="n">
        <f aca="false">IF(OR($A22="",ISNA(MATCH($A22,Simulations!$A$3:$A$62,0))),"",IF(N($F22)&lt;=0,0,IF($F22&lt;INDEX(Simulations!$J$3:$J$62,MATCH($A22,Simulations!$A$3:$A$62,0)),$D22/(INDEX(Simulations!$G$3:$G$62,MATCH($A22,Simulations!$A$3:$A$62,0))*INDEX(Simulations!$H$3:$H$62,MATCH($A22,Simulations!$A$3:$A$62,0))*IF(INDEX(Simulations!$I$3:$I$62,MATCH($A22,Simulations!$A$3:$A$62,0))&gt;0,INDEX(Simulations!$I$3:$I$62,MATCH($A22,Simulations!$A$3:$A$62,0)),1))*$F22*(PI()/2*INDEX(Simulations!$T$3:$T$62,MATCH($A22,Simulations!$A$3:$A$62,0))^2*IF(INDEX(Simulations!$I$3:$I$62,MATCH($A22,Simulations!$A$3:$A$62,0))&gt;0,SQRT(PI()/2)*INDEX(Simulations!$U$3:$U$62,MATCH($A22,Simulations!$A$3:$A$62,0)),1)),$D22/(INDEX(Simulations!$G$3:$G$62,MATCH($A22,Simulations!$A$3:$A$62,0))*INDEX(Simulations!$H$3:$H$62,MATCH($A22,Simulations!$A$3:$A$62,0))*IF(INDEX(Simulations!$I$3:$I$62,MATCH($A22,Simulations!$A$3:$A$62,0))&gt;0,INDEX(Simulations!$I$3:$I$62,MATCH($A22,Simulations!$A$3:$A$62,0)),1))*INDEX(Simulations!$J$3:$J$62,MATCH($A22,Simulations!$A$3:$A$62,0))*IF(INDEX(Simulations!$I$3:$I$62,MATCH($A22,Simulations!$A$3:$A$62,0))&gt;0,2*PI()*INDEX(Simulations!$T$3:$T$62,MATCH($A22,Simulations!$A$3:$A$62,0))^2*INDEX(Simulations!$U$3:$U$62,MATCH($A22,Simulations!$A$3:$A$62,0))/2^1.5*(2/3*LN($F22/INDEX(Simulations!$J$3:$J$62,MATCH($A22,Simulations!$A$3:$A$62,0)))^1.5+SQRT(LN($F22/INDEX(Simulations!$J$3:$J$62,MATCH($A22,Simulations!$A$3:$A$62,0))))+$F22/INDEX(Simulations!$J$3:$J$62,MATCH($A22,Simulations!$A$3:$A$62,0))*SQRT(PI())/2*ERFC(SQRT(LN($F22/INDEX(Simulations!$J$3:$J$62,MATCH($A22,Simulations!$A$3:$A$62,0)))))),PI()*INDEX(Simulations!$T$3:$T$62,MATCH($A22,Simulations!$A$3:$A$62,0))^2/2*(LN($F22/INDEX(Simulations!$J$3:$J$62,MATCH($A22,Simulations!$A$3:$A$62,0)))+1)))))</f>
        <v>24.9200322255786</v>
      </c>
      <c r="S22" s="16" t="n">
        <f aca="false">IF(OR($A22="",ISNA(MATCH($A22,Simulations!$A$3:$A$62,0))),"",IF(N($G22)&lt;=0,0,IF($G22&lt;INDEX(Simulations!$J$3:$J$62,MATCH($A22,Simulations!$A$3:$A$62,0)),$D22/(INDEX(Simulations!$G$3:$G$62,MATCH($A22,Simulations!$A$3:$A$62,0))*INDEX(Simulations!$H$3:$H$62,MATCH($A22,Simulations!$A$3:$A$62,0))*IF(INDEX(Simulations!$I$3:$I$62,MATCH($A22,Simulations!$A$3:$A$62,0))&gt;0,INDEX(Simulations!$I$3:$I$62,MATCH($A22,Simulations!$A$3:$A$62,0)),1))*$G22*(PI()/2*INDEX(Simulations!$T$3:$T$62,MATCH($A22,Simulations!$A$3:$A$62,0))^2*IF(INDEX(Simulations!$I$3:$I$62,MATCH($A22,Simulations!$A$3:$A$62,0))&gt;0,SQRT(PI()/2)*INDEX(Simulations!$U$3:$U$62,MATCH($A22,Simulations!$A$3:$A$62,0)),1)),$D22/(INDEX(Simulations!$G$3:$G$62,MATCH($A22,Simulations!$A$3:$A$62,0))*INDEX(Simulations!$H$3:$H$62,MATCH($A22,Simulations!$A$3:$A$62,0))*IF(INDEX(Simulations!$I$3:$I$62,MATCH($A22,Simulations!$A$3:$A$62,0))&gt;0,INDEX(Simulations!$I$3:$I$62,MATCH($A22,Simulations!$A$3:$A$62,0)),1))*INDEX(Simulations!$J$3:$J$62,MATCH($A22,Simulations!$A$3:$A$62,0))*IF(INDEX(Simulations!$I$3:$I$62,MATCH($A22,Simulations!$A$3:$A$62,0))&gt;0,2*PI()*INDEX(Simulations!$T$3:$T$62,MATCH($A22,Simulations!$A$3:$A$62,0))^2*INDEX(Simulations!$U$3:$U$62,MATCH($A22,Simulations!$A$3:$A$62,0))/2^1.5*(2/3*LN($G22/INDEX(Simulations!$J$3:$J$62,MATCH($A22,Simulations!$A$3:$A$62,0)))^1.5+SQRT(LN($G22/INDEX(Simulations!$J$3:$J$62,MATCH($A22,Simulations!$A$3:$A$62,0))))+$G22/INDEX(Simulations!$J$3:$J$62,MATCH($A22,Simulations!$A$3:$A$62,0))*SQRT(PI())/2*ERFC(SQRT(LN($G22/INDEX(Simulations!$J$3:$J$62,MATCH($A22,Simulations!$A$3:$A$62,0)))))),PI()*INDEX(Simulations!$T$3:$T$62,MATCH($A22,Simulations!$A$3:$A$62,0))^2/2*(LN($G22/INDEX(Simulations!$J$3:$J$62,MATCH($A22,Simulations!$A$3:$A$62,0)))+1)))))</f>
        <v>0</v>
      </c>
      <c r="T22" s="16" t="n">
        <f aca="false">IF(OR($A22="",ISNA(MATCH($A22,Simulations!$A$3:$A$62,0))),"",IF(N($H22)&lt;=0,0,IF($H22&lt;INDEX(Simulations!$J$3:$J$62,MATCH($A22,Simulations!$A$3:$A$62,0)),$D22/(INDEX(Simulations!$G$3:$G$62,MATCH($A22,Simulations!$A$3:$A$62,0))*INDEX(Simulations!$H$3:$H$62,MATCH($A22,Simulations!$A$3:$A$62,0))*IF(INDEX(Simulations!$I$3:$I$62,MATCH($A22,Simulations!$A$3:$A$62,0))&gt;0,INDEX(Simulations!$I$3:$I$62,MATCH($A22,Simulations!$A$3:$A$62,0)),1))*$H22*(PI()/2*INDEX(Simulations!$T$3:$T$62,MATCH($A22,Simulations!$A$3:$A$62,0))^2*IF(INDEX(Simulations!$I$3:$I$62,MATCH($A22,Simulations!$A$3:$A$62,0))&gt;0,SQRT(PI()/2)*INDEX(Simulations!$U$3:$U$62,MATCH($A22,Simulations!$A$3:$A$62,0)),1)),$D22/(INDEX(Simulations!$G$3:$G$62,MATCH($A22,Simulations!$A$3:$A$62,0))*INDEX(Simulations!$H$3:$H$62,MATCH($A22,Simulations!$A$3:$A$62,0))*IF(INDEX(Simulations!$I$3:$I$62,MATCH($A22,Simulations!$A$3:$A$62,0))&gt;0,INDEX(Simulations!$I$3:$I$62,MATCH($A22,Simulations!$A$3:$A$62,0)),1))*INDEX(Simulations!$J$3:$J$62,MATCH($A22,Simulations!$A$3:$A$62,0))*IF(INDEX(Simulations!$I$3:$I$62,MATCH($A22,Simulations!$A$3:$A$62,0))&gt;0,2*PI()*INDEX(Simulations!$T$3:$T$62,MATCH($A22,Simulations!$A$3:$A$62,0))^2*INDEX(Simulations!$U$3:$U$62,MATCH($A22,Simulations!$A$3:$A$62,0))/2^1.5*(2/3*LN($H22/INDEX(Simulations!$J$3:$J$62,MATCH($A22,Simulations!$A$3:$A$62,0)))^1.5+SQRT(LN($H22/INDEX(Simulations!$J$3:$J$62,MATCH($A22,Simulations!$A$3:$A$62,0))))+$H22/INDEX(Simulations!$J$3:$J$62,MATCH($A22,Simulations!$A$3:$A$62,0))*SQRT(PI())/2*ERFC(SQRT(LN($H22/INDEX(Simulations!$J$3:$J$62,MATCH($A22,Simulations!$A$3:$A$62,0)))))),PI()*INDEX(Simulations!$T$3:$T$62,MATCH($A22,Simulations!$A$3:$A$62,0))^2/2*(LN($H22/INDEX(Simulations!$J$3:$J$62,MATCH($A22,Simulations!$A$3:$A$62,0)))+1)))))</f>
        <v>0</v>
      </c>
      <c r="U22" s="18" t="n">
        <f aca="false">IF(OR(OR($A22="",ISNA(MATCH($A22,Simulations!$A$3:$A$62,0))),N($C22)&lt;=0),"",SQRT(2*$C22*1000000/(INDEX(Simulations!$J$3:$J$62,MATCH($A22,Simulations!$A$3:$A$62,0))*1000))/INDEX(Simulations!$T$3:$T$62,MATCH($A22,Simulations!$A$3:$A$62,0)))</f>
        <v>0.0406201920231798</v>
      </c>
      <c r="V22" s="19" t="str">
        <f aca="false">IF($A22="","",IF(ISNA(MATCH($A22,Simulations!$A$3:$A$62,0)),"✖ Sim ID not found on the Simulations sheet",IF($P22&gt;=1,"✖ brightness &gt;= sampling frequency: completely saturated (D too small, c too large)",IF($P22&gt;0.1,"⚠ brightness &gt; 10% of the sampling frequency: focus starts to saturate",IF(N($U22)&gt;0.1,"⚠ diffusion step &gt; 10% of wr: raise the sampling frequency",IF(MAX($E22:$H22)=0,"⚠ no brightness set","✔ OK"))))))</f>
        <v>✖ brightness &gt;= sampling frequency: completely saturated (D too small, c too large)</v>
      </c>
    </row>
    <row r="23" customFormat="false" ht="23.85" hidden="false" customHeight="false" outlineLevel="0" collapsed="false">
      <c r="A23" s="13" t="s">
        <v>90</v>
      </c>
      <c r="B23" s="13" t="s">
        <v>136</v>
      </c>
      <c r="C23" s="13" t="n">
        <v>33</v>
      </c>
      <c r="D23" s="13" t="n">
        <v>10</v>
      </c>
      <c r="E23" s="13" t="n">
        <v>10000</v>
      </c>
      <c r="F23" s="13" t="n">
        <v>7000</v>
      </c>
      <c r="G23" s="13" t="n">
        <v>5000</v>
      </c>
      <c r="H23" s="13" t="n">
        <v>0</v>
      </c>
      <c r="I23" s="13" t="n">
        <v>4</v>
      </c>
      <c r="J23" s="13" t="n">
        <v>3</v>
      </c>
      <c r="K23" s="13" t="n">
        <v>2.5</v>
      </c>
      <c r="L23" s="13" t="n">
        <v>2.5</v>
      </c>
      <c r="M23" s="13" t="s">
        <v>131</v>
      </c>
      <c r="N23" s="14"/>
      <c r="O23" s="18" t="n">
        <f aca="false">IF(OR($A23="",ISNA(MATCH($A23,Simulations!$A$3:$A$62,0))),"",IF(INDEX(Simulations!$I$3:$I$62,MATCH($A23,Simulations!$A$3:$A$62,0))&gt;0,$D23/(INDEX(Simulations!$G$3:$G$62,MATCH($A23,Simulations!$A$3:$A$62,0))*INDEX(Simulations!$H$3:$H$62,MATCH($A23,Simulations!$A$3:$A$62,0))*IF(INDEX(Simulations!$I$3:$I$62,MATCH($A23,Simulations!$A$3:$A$62,0))&gt;0,INDEX(Simulations!$I$3:$I$62,MATCH($A23,Simulations!$A$3:$A$62,0)),1))/1E-024/6.022E+023/0.000000001,""))</f>
        <v>0.13284623048821</v>
      </c>
      <c r="P23" s="20" t="n">
        <f aca="false">IF(OR($A23="",ISNA(MATCH($A23,Simulations!$A$3:$A$62,0))),"",MAX($E23:$H23)/INDEX(Simulations!$J$3:$J$62,MATCH($A23,Simulations!$A$3:$A$62,0)))</f>
        <v>10</v>
      </c>
      <c r="Q23" s="16" t="n">
        <f aca="false">IF(OR($A23="",ISNA(MATCH($A23,Simulations!$A$3:$A$62,0))),"",IF(N($E23)&lt;=0,0,IF($E23&lt;INDEX(Simulations!$J$3:$J$62,MATCH($A23,Simulations!$A$3:$A$62,0)),$D23/(INDEX(Simulations!$G$3:$G$62,MATCH($A23,Simulations!$A$3:$A$62,0))*INDEX(Simulations!$H$3:$H$62,MATCH($A23,Simulations!$A$3:$A$62,0))*IF(INDEX(Simulations!$I$3:$I$62,MATCH($A23,Simulations!$A$3:$A$62,0))&gt;0,INDEX(Simulations!$I$3:$I$62,MATCH($A23,Simulations!$A$3:$A$62,0)),1))*$E23*(PI()/2*INDEX(Simulations!$T$3:$T$62,MATCH($A23,Simulations!$A$3:$A$62,0))^2*IF(INDEX(Simulations!$I$3:$I$62,MATCH($A23,Simulations!$A$3:$A$62,0))&gt;0,SQRT(PI()/2)*INDEX(Simulations!$U$3:$U$62,MATCH($A23,Simulations!$A$3:$A$62,0)),1)),$D23/(INDEX(Simulations!$G$3:$G$62,MATCH($A23,Simulations!$A$3:$A$62,0))*INDEX(Simulations!$H$3:$H$62,MATCH($A23,Simulations!$A$3:$A$62,0))*IF(INDEX(Simulations!$I$3:$I$62,MATCH($A23,Simulations!$A$3:$A$62,0))&gt;0,INDEX(Simulations!$I$3:$I$62,MATCH($A23,Simulations!$A$3:$A$62,0)),1))*INDEX(Simulations!$J$3:$J$62,MATCH($A23,Simulations!$A$3:$A$62,0))*IF(INDEX(Simulations!$I$3:$I$62,MATCH($A23,Simulations!$A$3:$A$62,0))&gt;0,2*PI()*INDEX(Simulations!$T$3:$T$62,MATCH($A23,Simulations!$A$3:$A$62,0))^2*INDEX(Simulations!$U$3:$U$62,MATCH($A23,Simulations!$A$3:$A$62,0))/2^1.5*(2/3*LN($E23/INDEX(Simulations!$J$3:$J$62,MATCH($A23,Simulations!$A$3:$A$62,0)))^1.5+SQRT(LN($E23/INDEX(Simulations!$J$3:$J$62,MATCH($A23,Simulations!$A$3:$A$62,0))))+$E23/INDEX(Simulations!$J$3:$J$62,MATCH($A23,Simulations!$A$3:$A$62,0))*SQRT(PI())/2*ERFC(SQRT(LN($E23/INDEX(Simulations!$J$3:$J$62,MATCH($A23,Simulations!$A$3:$A$62,0)))))),PI()*INDEX(Simulations!$T$3:$T$62,MATCH($A23,Simulations!$A$3:$A$62,0))^2/2*(LN($E23/INDEX(Simulations!$J$3:$J$62,MATCH($A23,Simulations!$A$3:$A$62,0)))+1)))))</f>
        <v>29.3532730881177</v>
      </c>
      <c r="R23" s="16" t="n">
        <f aca="false">IF(OR($A23="",ISNA(MATCH($A23,Simulations!$A$3:$A$62,0))),"",IF(N($F23)&lt;=0,0,IF($F23&lt;INDEX(Simulations!$J$3:$J$62,MATCH($A23,Simulations!$A$3:$A$62,0)),$D23/(INDEX(Simulations!$G$3:$G$62,MATCH($A23,Simulations!$A$3:$A$62,0))*INDEX(Simulations!$H$3:$H$62,MATCH($A23,Simulations!$A$3:$A$62,0))*IF(INDEX(Simulations!$I$3:$I$62,MATCH($A23,Simulations!$A$3:$A$62,0))&gt;0,INDEX(Simulations!$I$3:$I$62,MATCH($A23,Simulations!$A$3:$A$62,0)),1))*$F23*(PI()/2*INDEX(Simulations!$T$3:$T$62,MATCH($A23,Simulations!$A$3:$A$62,0))^2*IF(INDEX(Simulations!$I$3:$I$62,MATCH($A23,Simulations!$A$3:$A$62,0))&gt;0,SQRT(PI()/2)*INDEX(Simulations!$U$3:$U$62,MATCH($A23,Simulations!$A$3:$A$62,0)),1)),$D23/(INDEX(Simulations!$G$3:$G$62,MATCH($A23,Simulations!$A$3:$A$62,0))*INDEX(Simulations!$H$3:$H$62,MATCH($A23,Simulations!$A$3:$A$62,0))*IF(INDEX(Simulations!$I$3:$I$62,MATCH($A23,Simulations!$A$3:$A$62,0))&gt;0,INDEX(Simulations!$I$3:$I$62,MATCH($A23,Simulations!$A$3:$A$62,0)),1))*INDEX(Simulations!$J$3:$J$62,MATCH($A23,Simulations!$A$3:$A$62,0))*IF(INDEX(Simulations!$I$3:$I$62,MATCH($A23,Simulations!$A$3:$A$62,0))&gt;0,2*PI()*INDEX(Simulations!$T$3:$T$62,MATCH($A23,Simulations!$A$3:$A$62,0))^2*INDEX(Simulations!$U$3:$U$62,MATCH($A23,Simulations!$A$3:$A$62,0))/2^1.5*(2/3*LN($F23/INDEX(Simulations!$J$3:$J$62,MATCH($A23,Simulations!$A$3:$A$62,0)))^1.5+SQRT(LN($F23/INDEX(Simulations!$J$3:$J$62,MATCH($A23,Simulations!$A$3:$A$62,0))))+$F23/INDEX(Simulations!$J$3:$J$62,MATCH($A23,Simulations!$A$3:$A$62,0))*SQRT(PI())/2*ERFC(SQRT(LN($F23/INDEX(Simulations!$J$3:$J$62,MATCH($A23,Simulations!$A$3:$A$62,0)))))),PI()*INDEX(Simulations!$T$3:$T$62,MATCH($A23,Simulations!$A$3:$A$62,0))^2/2*(LN($F23/INDEX(Simulations!$J$3:$J$62,MATCH($A23,Simulations!$A$3:$A$62,0)))+1)))))</f>
        <v>24.9200322255786</v>
      </c>
      <c r="S23" s="16" t="n">
        <f aca="false">IF(OR($A23="",ISNA(MATCH($A23,Simulations!$A$3:$A$62,0))),"",IF(N($G23)&lt;=0,0,IF($G23&lt;INDEX(Simulations!$J$3:$J$62,MATCH($A23,Simulations!$A$3:$A$62,0)),$D23/(INDEX(Simulations!$G$3:$G$62,MATCH($A23,Simulations!$A$3:$A$62,0))*INDEX(Simulations!$H$3:$H$62,MATCH($A23,Simulations!$A$3:$A$62,0))*IF(INDEX(Simulations!$I$3:$I$62,MATCH($A23,Simulations!$A$3:$A$62,0))&gt;0,INDEX(Simulations!$I$3:$I$62,MATCH($A23,Simulations!$A$3:$A$62,0)),1))*$G23*(PI()/2*INDEX(Simulations!$T$3:$T$62,MATCH($A23,Simulations!$A$3:$A$62,0))^2*IF(INDEX(Simulations!$I$3:$I$62,MATCH($A23,Simulations!$A$3:$A$62,0))&gt;0,SQRT(PI()/2)*INDEX(Simulations!$U$3:$U$62,MATCH($A23,Simulations!$A$3:$A$62,0)),1)),$D23/(INDEX(Simulations!$G$3:$G$62,MATCH($A23,Simulations!$A$3:$A$62,0))*INDEX(Simulations!$H$3:$H$62,MATCH($A23,Simulations!$A$3:$A$62,0))*IF(INDEX(Simulations!$I$3:$I$62,MATCH($A23,Simulations!$A$3:$A$62,0))&gt;0,INDEX(Simulations!$I$3:$I$62,MATCH($A23,Simulations!$A$3:$A$62,0)),1))*INDEX(Simulations!$J$3:$J$62,MATCH($A23,Simulations!$A$3:$A$62,0))*IF(INDEX(Simulations!$I$3:$I$62,MATCH($A23,Simulations!$A$3:$A$62,0))&gt;0,2*PI()*INDEX(Simulations!$T$3:$T$62,MATCH($A23,Simulations!$A$3:$A$62,0))^2*INDEX(Simulations!$U$3:$U$62,MATCH($A23,Simulations!$A$3:$A$62,0))/2^1.5*(2/3*LN($G23/INDEX(Simulations!$J$3:$J$62,MATCH($A23,Simulations!$A$3:$A$62,0)))^1.5+SQRT(LN($G23/INDEX(Simulations!$J$3:$J$62,MATCH($A23,Simulations!$A$3:$A$62,0))))+$G23/INDEX(Simulations!$J$3:$J$62,MATCH($A23,Simulations!$A$3:$A$62,0))*SQRT(PI())/2*ERFC(SQRT(LN($G23/INDEX(Simulations!$J$3:$J$62,MATCH($A23,Simulations!$A$3:$A$62,0)))))),PI()*INDEX(Simulations!$T$3:$T$62,MATCH($A23,Simulations!$A$3:$A$62,0))^2/2*(LN($G23/INDEX(Simulations!$J$3:$J$62,MATCH($A23,Simulations!$A$3:$A$62,0)))+1)))))</f>
        <v>20.9873877075729</v>
      </c>
      <c r="T23" s="16" t="n">
        <f aca="false">IF(OR($A23="",ISNA(MATCH($A23,Simulations!$A$3:$A$62,0))),"",IF(N($H23)&lt;=0,0,IF($H23&lt;INDEX(Simulations!$J$3:$J$62,MATCH($A23,Simulations!$A$3:$A$62,0)),$D23/(INDEX(Simulations!$G$3:$G$62,MATCH($A23,Simulations!$A$3:$A$62,0))*INDEX(Simulations!$H$3:$H$62,MATCH($A23,Simulations!$A$3:$A$62,0))*IF(INDEX(Simulations!$I$3:$I$62,MATCH($A23,Simulations!$A$3:$A$62,0))&gt;0,INDEX(Simulations!$I$3:$I$62,MATCH($A23,Simulations!$A$3:$A$62,0)),1))*$H23*(PI()/2*INDEX(Simulations!$T$3:$T$62,MATCH($A23,Simulations!$A$3:$A$62,0))^2*IF(INDEX(Simulations!$I$3:$I$62,MATCH($A23,Simulations!$A$3:$A$62,0))&gt;0,SQRT(PI()/2)*INDEX(Simulations!$U$3:$U$62,MATCH($A23,Simulations!$A$3:$A$62,0)),1)),$D23/(INDEX(Simulations!$G$3:$G$62,MATCH($A23,Simulations!$A$3:$A$62,0))*INDEX(Simulations!$H$3:$H$62,MATCH($A23,Simulations!$A$3:$A$62,0))*IF(INDEX(Simulations!$I$3:$I$62,MATCH($A23,Simulations!$A$3:$A$62,0))&gt;0,INDEX(Simulations!$I$3:$I$62,MATCH($A23,Simulations!$A$3:$A$62,0)),1))*INDEX(Simulations!$J$3:$J$62,MATCH($A23,Simulations!$A$3:$A$62,0))*IF(INDEX(Simulations!$I$3:$I$62,MATCH($A23,Simulations!$A$3:$A$62,0))&gt;0,2*PI()*INDEX(Simulations!$T$3:$T$62,MATCH($A23,Simulations!$A$3:$A$62,0))^2*INDEX(Simulations!$U$3:$U$62,MATCH($A23,Simulations!$A$3:$A$62,0))/2^1.5*(2/3*LN($H23/INDEX(Simulations!$J$3:$J$62,MATCH($A23,Simulations!$A$3:$A$62,0)))^1.5+SQRT(LN($H23/INDEX(Simulations!$J$3:$J$62,MATCH($A23,Simulations!$A$3:$A$62,0))))+$H23/INDEX(Simulations!$J$3:$J$62,MATCH($A23,Simulations!$A$3:$A$62,0))*SQRT(PI())/2*ERFC(SQRT(LN($H23/INDEX(Simulations!$J$3:$J$62,MATCH($A23,Simulations!$A$3:$A$62,0)))))),PI()*INDEX(Simulations!$T$3:$T$62,MATCH($A23,Simulations!$A$3:$A$62,0))^2/2*(LN($H23/INDEX(Simulations!$J$3:$J$62,MATCH($A23,Simulations!$A$3:$A$62,0)))+1)))))</f>
        <v>0</v>
      </c>
      <c r="U23" s="18" t="n">
        <f aca="false">IF(OR(OR($A23="",ISNA(MATCH($A23,Simulations!$A$3:$A$62,0))),N($C23)&lt;=0),"",SQRT(2*$C23*1000000/(INDEX(Simulations!$J$3:$J$62,MATCH($A23,Simulations!$A$3:$A$62,0))*1000))/INDEX(Simulations!$T$3:$T$62,MATCH($A23,Simulations!$A$3:$A$62,0)))</f>
        <v>0.0406201920231798</v>
      </c>
      <c r="V23" s="19" t="str">
        <f aca="false">IF($A23="","",IF(ISNA(MATCH($A23,Simulations!$A$3:$A$62,0)),"✖ Sim ID not found on the Simulations sheet",IF($P23&gt;=1,"✖ brightness &gt;= sampling frequency: completely saturated (D too small, c too large)",IF($P23&gt;0.1,"⚠ brightness &gt; 10% of the sampling frequency: focus starts to saturate",IF(N($U23)&gt;0.1,"⚠ diffusion step &gt; 10% of wr: raise the sampling frequency",IF(MAX($E23:$H23)=0,"⚠ no brightness set","✔ OK"))))))</f>
        <v>✖ brightness &gt;= sampling frequency: completely saturated (D too small, c too large)</v>
      </c>
    </row>
    <row r="24" customFormat="false" ht="23.85" hidden="false" customHeight="false" outlineLevel="0" collapsed="false">
      <c r="A24" s="13" t="s">
        <v>93</v>
      </c>
      <c r="B24" s="13" t="s">
        <v>132</v>
      </c>
      <c r="C24" s="13" t="n">
        <v>400</v>
      </c>
      <c r="D24" s="13" t="n">
        <v>10</v>
      </c>
      <c r="E24" s="13" t="n">
        <v>10000</v>
      </c>
      <c r="F24" s="13" t="n">
        <v>0</v>
      </c>
      <c r="G24" s="13" t="n">
        <v>0</v>
      </c>
      <c r="H24" s="13" t="n">
        <v>0</v>
      </c>
      <c r="I24" s="13" t="n">
        <v>4</v>
      </c>
      <c r="J24" s="13" t="n">
        <v>3</v>
      </c>
      <c r="K24" s="13" t="n">
        <v>2.5</v>
      </c>
      <c r="L24" s="13" t="n">
        <v>2.5</v>
      </c>
      <c r="M24" s="13" t="s">
        <v>131</v>
      </c>
      <c r="N24" s="14"/>
      <c r="O24" s="18" t="n">
        <f aca="false">IF(OR($A24="",ISNA(MATCH($A24,Simulations!$A$3:$A$62,0))),"",IF(INDEX(Simulations!$I$3:$I$62,MATCH($A24,Simulations!$A$3:$A$62,0))&gt;0,$D24/(INDEX(Simulations!$G$3:$G$62,MATCH($A24,Simulations!$A$3:$A$62,0))*INDEX(Simulations!$H$3:$H$62,MATCH($A24,Simulations!$A$3:$A$62,0))*IF(INDEX(Simulations!$I$3:$I$62,MATCH($A24,Simulations!$A$3:$A$62,0))&gt;0,INDEX(Simulations!$I$3:$I$62,MATCH($A24,Simulations!$A$3:$A$62,0)),1))/1E-024/6.022E+023/0.000000001,""))</f>
        <v>0.13284623048821</v>
      </c>
      <c r="P24" s="20" t="n">
        <f aca="false">IF(OR($A24="",ISNA(MATCH($A24,Simulations!$A$3:$A$62,0))),"",MAX($E24:$H24)/INDEX(Simulations!$J$3:$J$62,MATCH($A24,Simulations!$A$3:$A$62,0)))</f>
        <v>10</v>
      </c>
      <c r="Q24" s="16" t="n">
        <f aca="false">IF(OR($A24="",ISNA(MATCH($A24,Simulations!$A$3:$A$62,0))),"",IF(N($E24)&lt;=0,0,IF($E24&lt;INDEX(Simulations!$J$3:$J$62,MATCH($A24,Simulations!$A$3:$A$62,0)),$D24/(INDEX(Simulations!$G$3:$G$62,MATCH($A24,Simulations!$A$3:$A$62,0))*INDEX(Simulations!$H$3:$H$62,MATCH($A24,Simulations!$A$3:$A$62,0))*IF(INDEX(Simulations!$I$3:$I$62,MATCH($A24,Simulations!$A$3:$A$62,0))&gt;0,INDEX(Simulations!$I$3:$I$62,MATCH($A24,Simulations!$A$3:$A$62,0)),1))*$E24*(PI()/2*INDEX(Simulations!$T$3:$T$62,MATCH($A24,Simulations!$A$3:$A$62,0))^2*IF(INDEX(Simulations!$I$3:$I$62,MATCH($A24,Simulations!$A$3:$A$62,0))&gt;0,SQRT(PI()/2)*INDEX(Simulations!$U$3:$U$62,MATCH($A24,Simulations!$A$3:$A$62,0)),1)),$D24/(INDEX(Simulations!$G$3:$G$62,MATCH($A24,Simulations!$A$3:$A$62,0))*INDEX(Simulations!$H$3:$H$62,MATCH($A24,Simulations!$A$3:$A$62,0))*IF(INDEX(Simulations!$I$3:$I$62,MATCH($A24,Simulations!$A$3:$A$62,0))&gt;0,INDEX(Simulations!$I$3:$I$62,MATCH($A24,Simulations!$A$3:$A$62,0)),1))*INDEX(Simulations!$J$3:$J$62,MATCH($A24,Simulations!$A$3:$A$62,0))*IF(INDEX(Simulations!$I$3:$I$62,MATCH($A24,Simulations!$A$3:$A$62,0))&gt;0,2*PI()*INDEX(Simulations!$T$3:$T$62,MATCH($A24,Simulations!$A$3:$A$62,0))^2*INDEX(Simulations!$U$3:$U$62,MATCH($A24,Simulations!$A$3:$A$62,0))/2^1.5*(2/3*LN($E24/INDEX(Simulations!$J$3:$J$62,MATCH($A24,Simulations!$A$3:$A$62,0)))^1.5+SQRT(LN($E24/INDEX(Simulations!$J$3:$J$62,MATCH($A24,Simulations!$A$3:$A$62,0))))+$E24/INDEX(Simulations!$J$3:$J$62,MATCH($A24,Simulations!$A$3:$A$62,0))*SQRT(PI())/2*ERFC(SQRT(LN($E24/INDEX(Simulations!$J$3:$J$62,MATCH($A24,Simulations!$A$3:$A$62,0)))))),PI()*INDEX(Simulations!$T$3:$T$62,MATCH($A24,Simulations!$A$3:$A$62,0))^2/2*(LN($E24/INDEX(Simulations!$J$3:$J$62,MATCH($A24,Simulations!$A$3:$A$62,0)))+1)))))</f>
        <v>29.3532730881177</v>
      </c>
      <c r="R24" s="16" t="n">
        <f aca="false">IF(OR($A24="",ISNA(MATCH($A24,Simulations!$A$3:$A$62,0))),"",IF(N($F24)&lt;=0,0,IF($F24&lt;INDEX(Simulations!$J$3:$J$62,MATCH($A24,Simulations!$A$3:$A$62,0)),$D24/(INDEX(Simulations!$G$3:$G$62,MATCH($A24,Simulations!$A$3:$A$62,0))*INDEX(Simulations!$H$3:$H$62,MATCH($A24,Simulations!$A$3:$A$62,0))*IF(INDEX(Simulations!$I$3:$I$62,MATCH($A24,Simulations!$A$3:$A$62,0))&gt;0,INDEX(Simulations!$I$3:$I$62,MATCH($A24,Simulations!$A$3:$A$62,0)),1))*$F24*(PI()/2*INDEX(Simulations!$T$3:$T$62,MATCH($A24,Simulations!$A$3:$A$62,0))^2*IF(INDEX(Simulations!$I$3:$I$62,MATCH($A24,Simulations!$A$3:$A$62,0))&gt;0,SQRT(PI()/2)*INDEX(Simulations!$U$3:$U$62,MATCH($A24,Simulations!$A$3:$A$62,0)),1)),$D24/(INDEX(Simulations!$G$3:$G$62,MATCH($A24,Simulations!$A$3:$A$62,0))*INDEX(Simulations!$H$3:$H$62,MATCH($A24,Simulations!$A$3:$A$62,0))*IF(INDEX(Simulations!$I$3:$I$62,MATCH($A24,Simulations!$A$3:$A$62,0))&gt;0,INDEX(Simulations!$I$3:$I$62,MATCH($A24,Simulations!$A$3:$A$62,0)),1))*INDEX(Simulations!$J$3:$J$62,MATCH($A24,Simulations!$A$3:$A$62,0))*IF(INDEX(Simulations!$I$3:$I$62,MATCH($A24,Simulations!$A$3:$A$62,0))&gt;0,2*PI()*INDEX(Simulations!$T$3:$T$62,MATCH($A24,Simulations!$A$3:$A$62,0))^2*INDEX(Simulations!$U$3:$U$62,MATCH($A24,Simulations!$A$3:$A$62,0))/2^1.5*(2/3*LN($F24/INDEX(Simulations!$J$3:$J$62,MATCH($A24,Simulations!$A$3:$A$62,0)))^1.5+SQRT(LN($F24/INDEX(Simulations!$J$3:$J$62,MATCH($A24,Simulations!$A$3:$A$62,0))))+$F24/INDEX(Simulations!$J$3:$J$62,MATCH($A24,Simulations!$A$3:$A$62,0))*SQRT(PI())/2*ERFC(SQRT(LN($F24/INDEX(Simulations!$J$3:$J$62,MATCH($A24,Simulations!$A$3:$A$62,0)))))),PI()*INDEX(Simulations!$T$3:$T$62,MATCH($A24,Simulations!$A$3:$A$62,0))^2/2*(LN($F24/INDEX(Simulations!$J$3:$J$62,MATCH($A24,Simulations!$A$3:$A$62,0)))+1)))))</f>
        <v>0</v>
      </c>
      <c r="S24" s="16" t="n">
        <f aca="false">IF(OR($A24="",ISNA(MATCH($A24,Simulations!$A$3:$A$62,0))),"",IF(N($G24)&lt;=0,0,IF($G24&lt;INDEX(Simulations!$J$3:$J$62,MATCH($A24,Simulations!$A$3:$A$62,0)),$D24/(INDEX(Simulations!$G$3:$G$62,MATCH($A24,Simulations!$A$3:$A$62,0))*INDEX(Simulations!$H$3:$H$62,MATCH($A24,Simulations!$A$3:$A$62,0))*IF(INDEX(Simulations!$I$3:$I$62,MATCH($A24,Simulations!$A$3:$A$62,0))&gt;0,INDEX(Simulations!$I$3:$I$62,MATCH($A24,Simulations!$A$3:$A$62,0)),1))*$G24*(PI()/2*INDEX(Simulations!$T$3:$T$62,MATCH($A24,Simulations!$A$3:$A$62,0))^2*IF(INDEX(Simulations!$I$3:$I$62,MATCH($A24,Simulations!$A$3:$A$62,0))&gt;0,SQRT(PI()/2)*INDEX(Simulations!$U$3:$U$62,MATCH($A24,Simulations!$A$3:$A$62,0)),1)),$D24/(INDEX(Simulations!$G$3:$G$62,MATCH($A24,Simulations!$A$3:$A$62,0))*INDEX(Simulations!$H$3:$H$62,MATCH($A24,Simulations!$A$3:$A$62,0))*IF(INDEX(Simulations!$I$3:$I$62,MATCH($A24,Simulations!$A$3:$A$62,0))&gt;0,INDEX(Simulations!$I$3:$I$62,MATCH($A24,Simulations!$A$3:$A$62,0)),1))*INDEX(Simulations!$J$3:$J$62,MATCH($A24,Simulations!$A$3:$A$62,0))*IF(INDEX(Simulations!$I$3:$I$62,MATCH($A24,Simulations!$A$3:$A$62,0))&gt;0,2*PI()*INDEX(Simulations!$T$3:$T$62,MATCH($A24,Simulations!$A$3:$A$62,0))^2*INDEX(Simulations!$U$3:$U$62,MATCH($A24,Simulations!$A$3:$A$62,0))/2^1.5*(2/3*LN($G24/INDEX(Simulations!$J$3:$J$62,MATCH($A24,Simulations!$A$3:$A$62,0)))^1.5+SQRT(LN($G24/INDEX(Simulations!$J$3:$J$62,MATCH($A24,Simulations!$A$3:$A$62,0))))+$G24/INDEX(Simulations!$J$3:$J$62,MATCH($A24,Simulations!$A$3:$A$62,0))*SQRT(PI())/2*ERFC(SQRT(LN($G24/INDEX(Simulations!$J$3:$J$62,MATCH($A24,Simulations!$A$3:$A$62,0)))))),PI()*INDEX(Simulations!$T$3:$T$62,MATCH($A24,Simulations!$A$3:$A$62,0))^2/2*(LN($G24/INDEX(Simulations!$J$3:$J$62,MATCH($A24,Simulations!$A$3:$A$62,0)))+1)))))</f>
        <v>0</v>
      </c>
      <c r="T24" s="16" t="n">
        <f aca="false">IF(OR($A24="",ISNA(MATCH($A24,Simulations!$A$3:$A$62,0))),"",IF(N($H24)&lt;=0,0,IF($H24&lt;INDEX(Simulations!$J$3:$J$62,MATCH($A24,Simulations!$A$3:$A$62,0)),$D24/(INDEX(Simulations!$G$3:$G$62,MATCH($A24,Simulations!$A$3:$A$62,0))*INDEX(Simulations!$H$3:$H$62,MATCH($A24,Simulations!$A$3:$A$62,0))*IF(INDEX(Simulations!$I$3:$I$62,MATCH($A24,Simulations!$A$3:$A$62,0))&gt;0,INDEX(Simulations!$I$3:$I$62,MATCH($A24,Simulations!$A$3:$A$62,0)),1))*$H24*(PI()/2*INDEX(Simulations!$T$3:$T$62,MATCH($A24,Simulations!$A$3:$A$62,0))^2*IF(INDEX(Simulations!$I$3:$I$62,MATCH($A24,Simulations!$A$3:$A$62,0))&gt;0,SQRT(PI()/2)*INDEX(Simulations!$U$3:$U$62,MATCH($A24,Simulations!$A$3:$A$62,0)),1)),$D24/(INDEX(Simulations!$G$3:$G$62,MATCH($A24,Simulations!$A$3:$A$62,0))*INDEX(Simulations!$H$3:$H$62,MATCH($A24,Simulations!$A$3:$A$62,0))*IF(INDEX(Simulations!$I$3:$I$62,MATCH($A24,Simulations!$A$3:$A$62,0))&gt;0,INDEX(Simulations!$I$3:$I$62,MATCH($A24,Simulations!$A$3:$A$62,0)),1))*INDEX(Simulations!$J$3:$J$62,MATCH($A24,Simulations!$A$3:$A$62,0))*IF(INDEX(Simulations!$I$3:$I$62,MATCH($A24,Simulations!$A$3:$A$62,0))&gt;0,2*PI()*INDEX(Simulations!$T$3:$T$62,MATCH($A24,Simulations!$A$3:$A$62,0))^2*INDEX(Simulations!$U$3:$U$62,MATCH($A24,Simulations!$A$3:$A$62,0))/2^1.5*(2/3*LN($H24/INDEX(Simulations!$J$3:$J$62,MATCH($A24,Simulations!$A$3:$A$62,0)))^1.5+SQRT(LN($H24/INDEX(Simulations!$J$3:$J$62,MATCH($A24,Simulations!$A$3:$A$62,0))))+$H24/INDEX(Simulations!$J$3:$J$62,MATCH($A24,Simulations!$A$3:$A$62,0))*SQRT(PI())/2*ERFC(SQRT(LN($H24/INDEX(Simulations!$J$3:$J$62,MATCH($A24,Simulations!$A$3:$A$62,0)))))),PI()*INDEX(Simulations!$T$3:$T$62,MATCH($A24,Simulations!$A$3:$A$62,0))^2/2*(LN($H24/INDEX(Simulations!$J$3:$J$62,MATCH($A24,Simulations!$A$3:$A$62,0)))+1)))))</f>
        <v>0</v>
      </c>
      <c r="U24" s="18" t="n">
        <f aca="false">IF(OR(OR($A24="",ISNA(MATCH($A24,Simulations!$A$3:$A$62,0))),N($C24)&lt;=0),"",SQRT(2*$C24*1000000/(INDEX(Simulations!$J$3:$J$62,MATCH($A24,Simulations!$A$3:$A$62,0))*1000))/INDEX(Simulations!$T$3:$T$62,MATCH($A24,Simulations!$A$3:$A$62,0)))</f>
        <v>0.14142135623731</v>
      </c>
      <c r="V24" s="19" t="str">
        <f aca="false">IF($A24="","",IF(ISNA(MATCH($A24,Simulations!$A$3:$A$62,0)),"✖ Sim ID not found on the Simulations sheet",IF($P24&gt;=1,"✖ brightness &gt;= sampling frequency: completely saturated (D too small, c too large)",IF($P24&gt;0.1,"⚠ brightness &gt; 10% of the sampling frequency: focus starts to saturate",IF(N($U24)&gt;0.1,"⚠ diffusion step &gt; 10% of wr: raise the sampling frequency",IF(MAX($E24:$H24)=0,"⚠ no brightness set","✔ OK"))))))</f>
        <v>✖ brightness &gt;= sampling frequency: completely saturated (D too small, c too large)</v>
      </c>
    </row>
    <row r="25" customFormat="false" ht="23.85" hidden="false" customHeight="false" outlineLevel="0" collapsed="false">
      <c r="A25" s="13" t="s">
        <v>93</v>
      </c>
      <c r="B25" s="13" t="s">
        <v>133</v>
      </c>
      <c r="C25" s="13" t="n">
        <v>400</v>
      </c>
      <c r="D25" s="13" t="n">
        <v>10</v>
      </c>
      <c r="E25" s="13" t="n">
        <v>0</v>
      </c>
      <c r="F25" s="13" t="n">
        <v>7000</v>
      </c>
      <c r="G25" s="13" t="n">
        <v>0</v>
      </c>
      <c r="H25" s="13" t="n">
        <v>0</v>
      </c>
      <c r="I25" s="13" t="n">
        <v>4</v>
      </c>
      <c r="J25" s="13" t="n">
        <v>3</v>
      </c>
      <c r="K25" s="13" t="n">
        <v>2.5</v>
      </c>
      <c r="L25" s="13" t="n">
        <v>2.5</v>
      </c>
      <c r="M25" s="13" t="s">
        <v>131</v>
      </c>
      <c r="N25" s="14"/>
      <c r="O25" s="18" t="n">
        <f aca="false">IF(OR($A25="",ISNA(MATCH($A25,Simulations!$A$3:$A$62,0))),"",IF(INDEX(Simulations!$I$3:$I$62,MATCH($A25,Simulations!$A$3:$A$62,0))&gt;0,$D25/(INDEX(Simulations!$G$3:$G$62,MATCH($A25,Simulations!$A$3:$A$62,0))*INDEX(Simulations!$H$3:$H$62,MATCH($A25,Simulations!$A$3:$A$62,0))*IF(INDEX(Simulations!$I$3:$I$62,MATCH($A25,Simulations!$A$3:$A$62,0))&gt;0,INDEX(Simulations!$I$3:$I$62,MATCH($A25,Simulations!$A$3:$A$62,0)),1))/1E-024/6.022E+023/0.000000001,""))</f>
        <v>0.13284623048821</v>
      </c>
      <c r="P25" s="20" t="n">
        <f aca="false">IF(OR($A25="",ISNA(MATCH($A25,Simulations!$A$3:$A$62,0))),"",MAX($E25:$H25)/INDEX(Simulations!$J$3:$J$62,MATCH($A25,Simulations!$A$3:$A$62,0)))</f>
        <v>7</v>
      </c>
      <c r="Q25" s="16" t="n">
        <f aca="false">IF(OR($A25="",ISNA(MATCH($A25,Simulations!$A$3:$A$62,0))),"",IF(N($E25)&lt;=0,0,IF($E25&lt;INDEX(Simulations!$J$3:$J$62,MATCH($A25,Simulations!$A$3:$A$62,0)),$D25/(INDEX(Simulations!$G$3:$G$62,MATCH($A25,Simulations!$A$3:$A$62,0))*INDEX(Simulations!$H$3:$H$62,MATCH($A25,Simulations!$A$3:$A$62,0))*IF(INDEX(Simulations!$I$3:$I$62,MATCH($A25,Simulations!$A$3:$A$62,0))&gt;0,INDEX(Simulations!$I$3:$I$62,MATCH($A25,Simulations!$A$3:$A$62,0)),1))*$E25*(PI()/2*INDEX(Simulations!$T$3:$T$62,MATCH($A25,Simulations!$A$3:$A$62,0))^2*IF(INDEX(Simulations!$I$3:$I$62,MATCH($A25,Simulations!$A$3:$A$62,0))&gt;0,SQRT(PI()/2)*INDEX(Simulations!$U$3:$U$62,MATCH($A25,Simulations!$A$3:$A$62,0)),1)),$D25/(INDEX(Simulations!$G$3:$G$62,MATCH($A25,Simulations!$A$3:$A$62,0))*INDEX(Simulations!$H$3:$H$62,MATCH($A25,Simulations!$A$3:$A$62,0))*IF(INDEX(Simulations!$I$3:$I$62,MATCH($A25,Simulations!$A$3:$A$62,0))&gt;0,INDEX(Simulations!$I$3:$I$62,MATCH($A25,Simulations!$A$3:$A$62,0)),1))*INDEX(Simulations!$J$3:$J$62,MATCH($A25,Simulations!$A$3:$A$62,0))*IF(INDEX(Simulations!$I$3:$I$62,MATCH($A25,Simulations!$A$3:$A$62,0))&gt;0,2*PI()*INDEX(Simulations!$T$3:$T$62,MATCH($A25,Simulations!$A$3:$A$62,0))^2*INDEX(Simulations!$U$3:$U$62,MATCH($A25,Simulations!$A$3:$A$62,0))/2^1.5*(2/3*LN($E25/INDEX(Simulations!$J$3:$J$62,MATCH($A25,Simulations!$A$3:$A$62,0)))^1.5+SQRT(LN($E25/INDEX(Simulations!$J$3:$J$62,MATCH($A25,Simulations!$A$3:$A$62,0))))+$E25/INDEX(Simulations!$J$3:$J$62,MATCH($A25,Simulations!$A$3:$A$62,0))*SQRT(PI())/2*ERFC(SQRT(LN($E25/INDEX(Simulations!$J$3:$J$62,MATCH($A25,Simulations!$A$3:$A$62,0)))))),PI()*INDEX(Simulations!$T$3:$T$62,MATCH($A25,Simulations!$A$3:$A$62,0))^2/2*(LN($E25/INDEX(Simulations!$J$3:$J$62,MATCH($A25,Simulations!$A$3:$A$62,0)))+1)))))</f>
        <v>0</v>
      </c>
      <c r="R25" s="16" t="n">
        <f aca="false">IF(OR($A25="",ISNA(MATCH($A25,Simulations!$A$3:$A$62,0))),"",IF(N($F25)&lt;=0,0,IF($F25&lt;INDEX(Simulations!$J$3:$J$62,MATCH($A25,Simulations!$A$3:$A$62,0)),$D25/(INDEX(Simulations!$G$3:$G$62,MATCH($A25,Simulations!$A$3:$A$62,0))*INDEX(Simulations!$H$3:$H$62,MATCH($A25,Simulations!$A$3:$A$62,0))*IF(INDEX(Simulations!$I$3:$I$62,MATCH($A25,Simulations!$A$3:$A$62,0))&gt;0,INDEX(Simulations!$I$3:$I$62,MATCH($A25,Simulations!$A$3:$A$62,0)),1))*$F25*(PI()/2*INDEX(Simulations!$T$3:$T$62,MATCH($A25,Simulations!$A$3:$A$62,0))^2*IF(INDEX(Simulations!$I$3:$I$62,MATCH($A25,Simulations!$A$3:$A$62,0))&gt;0,SQRT(PI()/2)*INDEX(Simulations!$U$3:$U$62,MATCH($A25,Simulations!$A$3:$A$62,0)),1)),$D25/(INDEX(Simulations!$G$3:$G$62,MATCH($A25,Simulations!$A$3:$A$62,0))*INDEX(Simulations!$H$3:$H$62,MATCH($A25,Simulations!$A$3:$A$62,0))*IF(INDEX(Simulations!$I$3:$I$62,MATCH($A25,Simulations!$A$3:$A$62,0))&gt;0,INDEX(Simulations!$I$3:$I$62,MATCH($A25,Simulations!$A$3:$A$62,0)),1))*INDEX(Simulations!$J$3:$J$62,MATCH($A25,Simulations!$A$3:$A$62,0))*IF(INDEX(Simulations!$I$3:$I$62,MATCH($A25,Simulations!$A$3:$A$62,0))&gt;0,2*PI()*INDEX(Simulations!$T$3:$T$62,MATCH($A25,Simulations!$A$3:$A$62,0))^2*INDEX(Simulations!$U$3:$U$62,MATCH($A25,Simulations!$A$3:$A$62,0))/2^1.5*(2/3*LN($F25/INDEX(Simulations!$J$3:$J$62,MATCH($A25,Simulations!$A$3:$A$62,0)))^1.5+SQRT(LN($F25/INDEX(Simulations!$J$3:$J$62,MATCH($A25,Simulations!$A$3:$A$62,0))))+$F25/INDEX(Simulations!$J$3:$J$62,MATCH($A25,Simulations!$A$3:$A$62,0))*SQRT(PI())/2*ERFC(SQRT(LN($F25/INDEX(Simulations!$J$3:$J$62,MATCH($A25,Simulations!$A$3:$A$62,0)))))),PI()*INDEX(Simulations!$T$3:$T$62,MATCH($A25,Simulations!$A$3:$A$62,0))^2/2*(LN($F25/INDEX(Simulations!$J$3:$J$62,MATCH($A25,Simulations!$A$3:$A$62,0)))+1)))))</f>
        <v>24.9200322255786</v>
      </c>
      <c r="S25" s="16" t="n">
        <f aca="false">IF(OR($A25="",ISNA(MATCH($A25,Simulations!$A$3:$A$62,0))),"",IF(N($G25)&lt;=0,0,IF($G25&lt;INDEX(Simulations!$J$3:$J$62,MATCH($A25,Simulations!$A$3:$A$62,0)),$D25/(INDEX(Simulations!$G$3:$G$62,MATCH($A25,Simulations!$A$3:$A$62,0))*INDEX(Simulations!$H$3:$H$62,MATCH($A25,Simulations!$A$3:$A$62,0))*IF(INDEX(Simulations!$I$3:$I$62,MATCH($A25,Simulations!$A$3:$A$62,0))&gt;0,INDEX(Simulations!$I$3:$I$62,MATCH($A25,Simulations!$A$3:$A$62,0)),1))*$G25*(PI()/2*INDEX(Simulations!$T$3:$T$62,MATCH($A25,Simulations!$A$3:$A$62,0))^2*IF(INDEX(Simulations!$I$3:$I$62,MATCH($A25,Simulations!$A$3:$A$62,0))&gt;0,SQRT(PI()/2)*INDEX(Simulations!$U$3:$U$62,MATCH($A25,Simulations!$A$3:$A$62,0)),1)),$D25/(INDEX(Simulations!$G$3:$G$62,MATCH($A25,Simulations!$A$3:$A$62,0))*INDEX(Simulations!$H$3:$H$62,MATCH($A25,Simulations!$A$3:$A$62,0))*IF(INDEX(Simulations!$I$3:$I$62,MATCH($A25,Simulations!$A$3:$A$62,0))&gt;0,INDEX(Simulations!$I$3:$I$62,MATCH($A25,Simulations!$A$3:$A$62,0)),1))*INDEX(Simulations!$J$3:$J$62,MATCH($A25,Simulations!$A$3:$A$62,0))*IF(INDEX(Simulations!$I$3:$I$62,MATCH($A25,Simulations!$A$3:$A$62,0))&gt;0,2*PI()*INDEX(Simulations!$T$3:$T$62,MATCH($A25,Simulations!$A$3:$A$62,0))^2*INDEX(Simulations!$U$3:$U$62,MATCH($A25,Simulations!$A$3:$A$62,0))/2^1.5*(2/3*LN($G25/INDEX(Simulations!$J$3:$J$62,MATCH($A25,Simulations!$A$3:$A$62,0)))^1.5+SQRT(LN($G25/INDEX(Simulations!$J$3:$J$62,MATCH($A25,Simulations!$A$3:$A$62,0))))+$G25/INDEX(Simulations!$J$3:$J$62,MATCH($A25,Simulations!$A$3:$A$62,0))*SQRT(PI())/2*ERFC(SQRT(LN($G25/INDEX(Simulations!$J$3:$J$62,MATCH($A25,Simulations!$A$3:$A$62,0)))))),PI()*INDEX(Simulations!$T$3:$T$62,MATCH($A25,Simulations!$A$3:$A$62,0))^2/2*(LN($G25/INDEX(Simulations!$J$3:$J$62,MATCH($A25,Simulations!$A$3:$A$62,0)))+1)))))</f>
        <v>0</v>
      </c>
      <c r="T25" s="16" t="n">
        <f aca="false">IF(OR($A25="",ISNA(MATCH($A25,Simulations!$A$3:$A$62,0))),"",IF(N($H25)&lt;=0,0,IF($H25&lt;INDEX(Simulations!$J$3:$J$62,MATCH($A25,Simulations!$A$3:$A$62,0)),$D25/(INDEX(Simulations!$G$3:$G$62,MATCH($A25,Simulations!$A$3:$A$62,0))*INDEX(Simulations!$H$3:$H$62,MATCH($A25,Simulations!$A$3:$A$62,0))*IF(INDEX(Simulations!$I$3:$I$62,MATCH($A25,Simulations!$A$3:$A$62,0))&gt;0,INDEX(Simulations!$I$3:$I$62,MATCH($A25,Simulations!$A$3:$A$62,0)),1))*$H25*(PI()/2*INDEX(Simulations!$T$3:$T$62,MATCH($A25,Simulations!$A$3:$A$62,0))^2*IF(INDEX(Simulations!$I$3:$I$62,MATCH($A25,Simulations!$A$3:$A$62,0))&gt;0,SQRT(PI()/2)*INDEX(Simulations!$U$3:$U$62,MATCH($A25,Simulations!$A$3:$A$62,0)),1)),$D25/(INDEX(Simulations!$G$3:$G$62,MATCH($A25,Simulations!$A$3:$A$62,0))*INDEX(Simulations!$H$3:$H$62,MATCH($A25,Simulations!$A$3:$A$62,0))*IF(INDEX(Simulations!$I$3:$I$62,MATCH($A25,Simulations!$A$3:$A$62,0))&gt;0,INDEX(Simulations!$I$3:$I$62,MATCH($A25,Simulations!$A$3:$A$62,0)),1))*INDEX(Simulations!$J$3:$J$62,MATCH($A25,Simulations!$A$3:$A$62,0))*IF(INDEX(Simulations!$I$3:$I$62,MATCH($A25,Simulations!$A$3:$A$62,0))&gt;0,2*PI()*INDEX(Simulations!$T$3:$T$62,MATCH($A25,Simulations!$A$3:$A$62,0))^2*INDEX(Simulations!$U$3:$U$62,MATCH($A25,Simulations!$A$3:$A$62,0))/2^1.5*(2/3*LN($H25/INDEX(Simulations!$J$3:$J$62,MATCH($A25,Simulations!$A$3:$A$62,0)))^1.5+SQRT(LN($H25/INDEX(Simulations!$J$3:$J$62,MATCH($A25,Simulations!$A$3:$A$62,0))))+$H25/INDEX(Simulations!$J$3:$J$62,MATCH($A25,Simulations!$A$3:$A$62,0))*SQRT(PI())/2*ERFC(SQRT(LN($H25/INDEX(Simulations!$J$3:$J$62,MATCH($A25,Simulations!$A$3:$A$62,0)))))),PI()*INDEX(Simulations!$T$3:$T$62,MATCH($A25,Simulations!$A$3:$A$62,0))^2/2*(LN($H25/INDEX(Simulations!$J$3:$J$62,MATCH($A25,Simulations!$A$3:$A$62,0)))+1)))))</f>
        <v>0</v>
      </c>
      <c r="U25" s="18" t="n">
        <f aca="false">IF(OR(OR($A25="",ISNA(MATCH($A25,Simulations!$A$3:$A$62,0))),N($C25)&lt;=0),"",SQRT(2*$C25*1000000/(INDEX(Simulations!$J$3:$J$62,MATCH($A25,Simulations!$A$3:$A$62,0))*1000))/INDEX(Simulations!$T$3:$T$62,MATCH($A25,Simulations!$A$3:$A$62,0)))</f>
        <v>0.14142135623731</v>
      </c>
      <c r="V25" s="19" t="str">
        <f aca="false">IF($A25="","",IF(ISNA(MATCH($A25,Simulations!$A$3:$A$62,0)),"✖ Sim ID not found on the Simulations sheet",IF($P25&gt;=1,"✖ brightness &gt;= sampling frequency: completely saturated (D too small, c too large)",IF($P25&gt;0.1,"⚠ brightness &gt; 10% of the sampling frequency: focus starts to saturate",IF(N($U25)&gt;0.1,"⚠ diffusion step &gt; 10% of wr: raise the sampling frequency",IF(MAX($E25:$H25)=0,"⚠ no brightness set","✔ OK"))))))</f>
        <v>✖ brightness &gt;= sampling frequency: completely saturated (D too small, c too large)</v>
      </c>
    </row>
    <row r="26" customFormat="false" ht="23.85" hidden="false" customHeight="false" outlineLevel="0" collapsed="false">
      <c r="A26" s="13" t="s">
        <v>93</v>
      </c>
      <c r="B26" s="13" t="s">
        <v>134</v>
      </c>
      <c r="C26" s="13" t="n">
        <v>400</v>
      </c>
      <c r="D26" s="13" t="n">
        <v>10</v>
      </c>
      <c r="E26" s="13" t="n">
        <v>0</v>
      </c>
      <c r="F26" s="13" t="n">
        <v>0</v>
      </c>
      <c r="G26" s="13" t="n">
        <v>5000</v>
      </c>
      <c r="H26" s="13" t="n">
        <v>0</v>
      </c>
      <c r="I26" s="13" t="n">
        <v>4</v>
      </c>
      <c r="J26" s="13" t="n">
        <v>3</v>
      </c>
      <c r="K26" s="13" t="n">
        <v>2.5</v>
      </c>
      <c r="L26" s="13" t="n">
        <v>2.5</v>
      </c>
      <c r="M26" s="13" t="s">
        <v>131</v>
      </c>
      <c r="N26" s="14"/>
      <c r="O26" s="18" t="n">
        <f aca="false">IF(OR($A26="",ISNA(MATCH($A26,Simulations!$A$3:$A$62,0))),"",IF(INDEX(Simulations!$I$3:$I$62,MATCH($A26,Simulations!$A$3:$A$62,0))&gt;0,$D26/(INDEX(Simulations!$G$3:$G$62,MATCH($A26,Simulations!$A$3:$A$62,0))*INDEX(Simulations!$H$3:$H$62,MATCH($A26,Simulations!$A$3:$A$62,0))*IF(INDEX(Simulations!$I$3:$I$62,MATCH($A26,Simulations!$A$3:$A$62,0))&gt;0,INDEX(Simulations!$I$3:$I$62,MATCH($A26,Simulations!$A$3:$A$62,0)),1))/1E-024/6.022E+023/0.000000001,""))</f>
        <v>0.13284623048821</v>
      </c>
      <c r="P26" s="20" t="n">
        <f aca="false">IF(OR($A26="",ISNA(MATCH($A26,Simulations!$A$3:$A$62,0))),"",MAX($E26:$H26)/INDEX(Simulations!$J$3:$J$62,MATCH($A26,Simulations!$A$3:$A$62,0)))</f>
        <v>5</v>
      </c>
      <c r="Q26" s="16" t="n">
        <f aca="false">IF(OR($A26="",ISNA(MATCH($A26,Simulations!$A$3:$A$62,0))),"",IF(N($E26)&lt;=0,0,IF($E26&lt;INDEX(Simulations!$J$3:$J$62,MATCH($A26,Simulations!$A$3:$A$62,0)),$D26/(INDEX(Simulations!$G$3:$G$62,MATCH($A26,Simulations!$A$3:$A$62,0))*INDEX(Simulations!$H$3:$H$62,MATCH($A26,Simulations!$A$3:$A$62,0))*IF(INDEX(Simulations!$I$3:$I$62,MATCH($A26,Simulations!$A$3:$A$62,0))&gt;0,INDEX(Simulations!$I$3:$I$62,MATCH($A26,Simulations!$A$3:$A$62,0)),1))*$E26*(PI()/2*INDEX(Simulations!$T$3:$T$62,MATCH($A26,Simulations!$A$3:$A$62,0))^2*IF(INDEX(Simulations!$I$3:$I$62,MATCH($A26,Simulations!$A$3:$A$62,0))&gt;0,SQRT(PI()/2)*INDEX(Simulations!$U$3:$U$62,MATCH($A26,Simulations!$A$3:$A$62,0)),1)),$D26/(INDEX(Simulations!$G$3:$G$62,MATCH($A26,Simulations!$A$3:$A$62,0))*INDEX(Simulations!$H$3:$H$62,MATCH($A26,Simulations!$A$3:$A$62,0))*IF(INDEX(Simulations!$I$3:$I$62,MATCH($A26,Simulations!$A$3:$A$62,0))&gt;0,INDEX(Simulations!$I$3:$I$62,MATCH($A26,Simulations!$A$3:$A$62,0)),1))*INDEX(Simulations!$J$3:$J$62,MATCH($A26,Simulations!$A$3:$A$62,0))*IF(INDEX(Simulations!$I$3:$I$62,MATCH($A26,Simulations!$A$3:$A$62,0))&gt;0,2*PI()*INDEX(Simulations!$T$3:$T$62,MATCH($A26,Simulations!$A$3:$A$62,0))^2*INDEX(Simulations!$U$3:$U$62,MATCH($A26,Simulations!$A$3:$A$62,0))/2^1.5*(2/3*LN($E26/INDEX(Simulations!$J$3:$J$62,MATCH($A26,Simulations!$A$3:$A$62,0)))^1.5+SQRT(LN($E26/INDEX(Simulations!$J$3:$J$62,MATCH($A26,Simulations!$A$3:$A$62,0))))+$E26/INDEX(Simulations!$J$3:$J$62,MATCH($A26,Simulations!$A$3:$A$62,0))*SQRT(PI())/2*ERFC(SQRT(LN($E26/INDEX(Simulations!$J$3:$J$62,MATCH($A26,Simulations!$A$3:$A$62,0)))))),PI()*INDEX(Simulations!$T$3:$T$62,MATCH($A26,Simulations!$A$3:$A$62,0))^2/2*(LN($E26/INDEX(Simulations!$J$3:$J$62,MATCH($A26,Simulations!$A$3:$A$62,0)))+1)))))</f>
        <v>0</v>
      </c>
      <c r="R26" s="16" t="n">
        <f aca="false">IF(OR($A26="",ISNA(MATCH($A26,Simulations!$A$3:$A$62,0))),"",IF(N($F26)&lt;=0,0,IF($F26&lt;INDEX(Simulations!$J$3:$J$62,MATCH($A26,Simulations!$A$3:$A$62,0)),$D26/(INDEX(Simulations!$G$3:$G$62,MATCH($A26,Simulations!$A$3:$A$62,0))*INDEX(Simulations!$H$3:$H$62,MATCH($A26,Simulations!$A$3:$A$62,0))*IF(INDEX(Simulations!$I$3:$I$62,MATCH($A26,Simulations!$A$3:$A$62,0))&gt;0,INDEX(Simulations!$I$3:$I$62,MATCH($A26,Simulations!$A$3:$A$62,0)),1))*$F26*(PI()/2*INDEX(Simulations!$T$3:$T$62,MATCH($A26,Simulations!$A$3:$A$62,0))^2*IF(INDEX(Simulations!$I$3:$I$62,MATCH($A26,Simulations!$A$3:$A$62,0))&gt;0,SQRT(PI()/2)*INDEX(Simulations!$U$3:$U$62,MATCH($A26,Simulations!$A$3:$A$62,0)),1)),$D26/(INDEX(Simulations!$G$3:$G$62,MATCH($A26,Simulations!$A$3:$A$62,0))*INDEX(Simulations!$H$3:$H$62,MATCH($A26,Simulations!$A$3:$A$62,0))*IF(INDEX(Simulations!$I$3:$I$62,MATCH($A26,Simulations!$A$3:$A$62,0))&gt;0,INDEX(Simulations!$I$3:$I$62,MATCH($A26,Simulations!$A$3:$A$62,0)),1))*INDEX(Simulations!$J$3:$J$62,MATCH($A26,Simulations!$A$3:$A$62,0))*IF(INDEX(Simulations!$I$3:$I$62,MATCH($A26,Simulations!$A$3:$A$62,0))&gt;0,2*PI()*INDEX(Simulations!$T$3:$T$62,MATCH($A26,Simulations!$A$3:$A$62,0))^2*INDEX(Simulations!$U$3:$U$62,MATCH($A26,Simulations!$A$3:$A$62,0))/2^1.5*(2/3*LN($F26/INDEX(Simulations!$J$3:$J$62,MATCH($A26,Simulations!$A$3:$A$62,0)))^1.5+SQRT(LN($F26/INDEX(Simulations!$J$3:$J$62,MATCH($A26,Simulations!$A$3:$A$62,0))))+$F26/INDEX(Simulations!$J$3:$J$62,MATCH($A26,Simulations!$A$3:$A$62,0))*SQRT(PI())/2*ERFC(SQRT(LN($F26/INDEX(Simulations!$J$3:$J$62,MATCH($A26,Simulations!$A$3:$A$62,0)))))),PI()*INDEX(Simulations!$T$3:$T$62,MATCH($A26,Simulations!$A$3:$A$62,0))^2/2*(LN($F26/INDEX(Simulations!$J$3:$J$62,MATCH($A26,Simulations!$A$3:$A$62,0)))+1)))))</f>
        <v>0</v>
      </c>
      <c r="S26" s="16" t="n">
        <f aca="false">IF(OR($A26="",ISNA(MATCH($A26,Simulations!$A$3:$A$62,0))),"",IF(N($G26)&lt;=0,0,IF($G26&lt;INDEX(Simulations!$J$3:$J$62,MATCH($A26,Simulations!$A$3:$A$62,0)),$D26/(INDEX(Simulations!$G$3:$G$62,MATCH($A26,Simulations!$A$3:$A$62,0))*INDEX(Simulations!$H$3:$H$62,MATCH($A26,Simulations!$A$3:$A$62,0))*IF(INDEX(Simulations!$I$3:$I$62,MATCH($A26,Simulations!$A$3:$A$62,0))&gt;0,INDEX(Simulations!$I$3:$I$62,MATCH($A26,Simulations!$A$3:$A$62,0)),1))*$G26*(PI()/2*INDEX(Simulations!$T$3:$T$62,MATCH($A26,Simulations!$A$3:$A$62,0))^2*IF(INDEX(Simulations!$I$3:$I$62,MATCH($A26,Simulations!$A$3:$A$62,0))&gt;0,SQRT(PI()/2)*INDEX(Simulations!$U$3:$U$62,MATCH($A26,Simulations!$A$3:$A$62,0)),1)),$D26/(INDEX(Simulations!$G$3:$G$62,MATCH($A26,Simulations!$A$3:$A$62,0))*INDEX(Simulations!$H$3:$H$62,MATCH($A26,Simulations!$A$3:$A$62,0))*IF(INDEX(Simulations!$I$3:$I$62,MATCH($A26,Simulations!$A$3:$A$62,0))&gt;0,INDEX(Simulations!$I$3:$I$62,MATCH($A26,Simulations!$A$3:$A$62,0)),1))*INDEX(Simulations!$J$3:$J$62,MATCH($A26,Simulations!$A$3:$A$62,0))*IF(INDEX(Simulations!$I$3:$I$62,MATCH($A26,Simulations!$A$3:$A$62,0))&gt;0,2*PI()*INDEX(Simulations!$T$3:$T$62,MATCH($A26,Simulations!$A$3:$A$62,0))^2*INDEX(Simulations!$U$3:$U$62,MATCH($A26,Simulations!$A$3:$A$62,0))/2^1.5*(2/3*LN($G26/INDEX(Simulations!$J$3:$J$62,MATCH($A26,Simulations!$A$3:$A$62,0)))^1.5+SQRT(LN($G26/INDEX(Simulations!$J$3:$J$62,MATCH($A26,Simulations!$A$3:$A$62,0))))+$G26/INDEX(Simulations!$J$3:$J$62,MATCH($A26,Simulations!$A$3:$A$62,0))*SQRT(PI())/2*ERFC(SQRT(LN($G26/INDEX(Simulations!$J$3:$J$62,MATCH($A26,Simulations!$A$3:$A$62,0)))))),PI()*INDEX(Simulations!$T$3:$T$62,MATCH($A26,Simulations!$A$3:$A$62,0))^2/2*(LN($G26/INDEX(Simulations!$J$3:$J$62,MATCH($A26,Simulations!$A$3:$A$62,0)))+1)))))</f>
        <v>20.9873877075729</v>
      </c>
      <c r="T26" s="16" t="n">
        <f aca="false">IF(OR($A26="",ISNA(MATCH($A26,Simulations!$A$3:$A$62,0))),"",IF(N($H26)&lt;=0,0,IF($H26&lt;INDEX(Simulations!$J$3:$J$62,MATCH($A26,Simulations!$A$3:$A$62,0)),$D26/(INDEX(Simulations!$G$3:$G$62,MATCH($A26,Simulations!$A$3:$A$62,0))*INDEX(Simulations!$H$3:$H$62,MATCH($A26,Simulations!$A$3:$A$62,0))*IF(INDEX(Simulations!$I$3:$I$62,MATCH($A26,Simulations!$A$3:$A$62,0))&gt;0,INDEX(Simulations!$I$3:$I$62,MATCH($A26,Simulations!$A$3:$A$62,0)),1))*$H26*(PI()/2*INDEX(Simulations!$T$3:$T$62,MATCH($A26,Simulations!$A$3:$A$62,0))^2*IF(INDEX(Simulations!$I$3:$I$62,MATCH($A26,Simulations!$A$3:$A$62,0))&gt;0,SQRT(PI()/2)*INDEX(Simulations!$U$3:$U$62,MATCH($A26,Simulations!$A$3:$A$62,0)),1)),$D26/(INDEX(Simulations!$G$3:$G$62,MATCH($A26,Simulations!$A$3:$A$62,0))*INDEX(Simulations!$H$3:$H$62,MATCH($A26,Simulations!$A$3:$A$62,0))*IF(INDEX(Simulations!$I$3:$I$62,MATCH($A26,Simulations!$A$3:$A$62,0))&gt;0,INDEX(Simulations!$I$3:$I$62,MATCH($A26,Simulations!$A$3:$A$62,0)),1))*INDEX(Simulations!$J$3:$J$62,MATCH($A26,Simulations!$A$3:$A$62,0))*IF(INDEX(Simulations!$I$3:$I$62,MATCH($A26,Simulations!$A$3:$A$62,0))&gt;0,2*PI()*INDEX(Simulations!$T$3:$T$62,MATCH($A26,Simulations!$A$3:$A$62,0))^2*INDEX(Simulations!$U$3:$U$62,MATCH($A26,Simulations!$A$3:$A$62,0))/2^1.5*(2/3*LN($H26/INDEX(Simulations!$J$3:$J$62,MATCH($A26,Simulations!$A$3:$A$62,0)))^1.5+SQRT(LN($H26/INDEX(Simulations!$J$3:$J$62,MATCH($A26,Simulations!$A$3:$A$62,0))))+$H26/INDEX(Simulations!$J$3:$J$62,MATCH($A26,Simulations!$A$3:$A$62,0))*SQRT(PI())/2*ERFC(SQRT(LN($H26/INDEX(Simulations!$J$3:$J$62,MATCH($A26,Simulations!$A$3:$A$62,0)))))),PI()*INDEX(Simulations!$T$3:$T$62,MATCH($A26,Simulations!$A$3:$A$62,0))^2/2*(LN($H26/INDEX(Simulations!$J$3:$J$62,MATCH($A26,Simulations!$A$3:$A$62,0)))+1)))))</f>
        <v>0</v>
      </c>
      <c r="U26" s="18" t="n">
        <f aca="false">IF(OR(OR($A26="",ISNA(MATCH($A26,Simulations!$A$3:$A$62,0))),N($C26)&lt;=0),"",SQRT(2*$C26*1000000/(INDEX(Simulations!$J$3:$J$62,MATCH($A26,Simulations!$A$3:$A$62,0))*1000))/INDEX(Simulations!$T$3:$T$62,MATCH($A26,Simulations!$A$3:$A$62,0)))</f>
        <v>0.14142135623731</v>
      </c>
      <c r="V26" s="19" t="str">
        <f aca="false">IF($A26="","",IF(ISNA(MATCH($A26,Simulations!$A$3:$A$62,0)),"✖ Sim ID not found on the Simulations sheet",IF($P26&gt;=1,"✖ brightness &gt;= sampling frequency: completely saturated (D too small, c too large)",IF($P26&gt;0.1,"⚠ brightness &gt; 10% of the sampling frequency: focus starts to saturate",IF(N($U26)&gt;0.1,"⚠ diffusion step &gt; 10% of wr: raise the sampling frequency",IF(MAX($E26:$H26)=0,"⚠ no brightness set","✔ OK"))))))</f>
        <v>✖ brightness &gt;= sampling frequency: completely saturated (D too small, c too large)</v>
      </c>
    </row>
    <row r="27" customFormat="false" ht="23.85" hidden="false" customHeight="false" outlineLevel="0" collapsed="false">
      <c r="A27" s="13" t="s">
        <v>93</v>
      </c>
      <c r="B27" s="13" t="s">
        <v>135</v>
      </c>
      <c r="C27" s="13" t="n">
        <v>33</v>
      </c>
      <c r="D27" s="13" t="n">
        <v>10</v>
      </c>
      <c r="E27" s="13" t="n">
        <v>20000</v>
      </c>
      <c r="F27" s="13" t="n">
        <v>7000</v>
      </c>
      <c r="G27" s="13" t="n">
        <v>0</v>
      </c>
      <c r="H27" s="13" t="n">
        <v>0</v>
      </c>
      <c r="I27" s="13" t="n">
        <v>4</v>
      </c>
      <c r="J27" s="13" t="n">
        <v>3</v>
      </c>
      <c r="K27" s="13" t="n">
        <v>2.5</v>
      </c>
      <c r="L27" s="13" t="n">
        <v>2.5</v>
      </c>
      <c r="M27" s="13" t="s">
        <v>131</v>
      </c>
      <c r="N27" s="14"/>
      <c r="O27" s="18" t="n">
        <f aca="false">IF(OR($A27="",ISNA(MATCH($A27,Simulations!$A$3:$A$62,0))),"",IF(INDEX(Simulations!$I$3:$I$62,MATCH($A27,Simulations!$A$3:$A$62,0))&gt;0,$D27/(INDEX(Simulations!$G$3:$G$62,MATCH($A27,Simulations!$A$3:$A$62,0))*INDEX(Simulations!$H$3:$H$62,MATCH($A27,Simulations!$A$3:$A$62,0))*IF(INDEX(Simulations!$I$3:$I$62,MATCH($A27,Simulations!$A$3:$A$62,0))&gt;0,INDEX(Simulations!$I$3:$I$62,MATCH($A27,Simulations!$A$3:$A$62,0)),1))/1E-024/6.022E+023/0.000000001,""))</f>
        <v>0.13284623048821</v>
      </c>
      <c r="P27" s="20" t="n">
        <f aca="false">IF(OR($A27="",ISNA(MATCH($A27,Simulations!$A$3:$A$62,0))),"",MAX($E27:$H27)/INDEX(Simulations!$J$3:$J$62,MATCH($A27,Simulations!$A$3:$A$62,0)))</f>
        <v>20</v>
      </c>
      <c r="Q27" s="16" t="n">
        <f aca="false">IF(OR($A27="",ISNA(MATCH($A27,Simulations!$A$3:$A$62,0))),"",IF(N($E27)&lt;=0,0,IF($E27&lt;INDEX(Simulations!$J$3:$J$62,MATCH($A27,Simulations!$A$3:$A$62,0)),$D27/(INDEX(Simulations!$G$3:$G$62,MATCH($A27,Simulations!$A$3:$A$62,0))*INDEX(Simulations!$H$3:$H$62,MATCH($A27,Simulations!$A$3:$A$62,0))*IF(INDEX(Simulations!$I$3:$I$62,MATCH($A27,Simulations!$A$3:$A$62,0))&gt;0,INDEX(Simulations!$I$3:$I$62,MATCH($A27,Simulations!$A$3:$A$62,0)),1))*$E27*(PI()/2*INDEX(Simulations!$T$3:$T$62,MATCH($A27,Simulations!$A$3:$A$62,0))^2*IF(INDEX(Simulations!$I$3:$I$62,MATCH($A27,Simulations!$A$3:$A$62,0))&gt;0,SQRT(PI()/2)*INDEX(Simulations!$U$3:$U$62,MATCH($A27,Simulations!$A$3:$A$62,0)),1)),$D27/(INDEX(Simulations!$G$3:$G$62,MATCH($A27,Simulations!$A$3:$A$62,0))*INDEX(Simulations!$H$3:$H$62,MATCH($A27,Simulations!$A$3:$A$62,0))*IF(INDEX(Simulations!$I$3:$I$62,MATCH($A27,Simulations!$A$3:$A$62,0))&gt;0,INDEX(Simulations!$I$3:$I$62,MATCH($A27,Simulations!$A$3:$A$62,0)),1))*INDEX(Simulations!$J$3:$J$62,MATCH($A27,Simulations!$A$3:$A$62,0))*IF(INDEX(Simulations!$I$3:$I$62,MATCH($A27,Simulations!$A$3:$A$62,0))&gt;0,2*PI()*INDEX(Simulations!$T$3:$T$62,MATCH($A27,Simulations!$A$3:$A$62,0))^2*INDEX(Simulations!$U$3:$U$62,MATCH($A27,Simulations!$A$3:$A$62,0))/2^1.5*(2/3*LN($E27/INDEX(Simulations!$J$3:$J$62,MATCH($A27,Simulations!$A$3:$A$62,0)))^1.5+SQRT(LN($E27/INDEX(Simulations!$J$3:$J$62,MATCH($A27,Simulations!$A$3:$A$62,0))))+$E27/INDEX(Simulations!$J$3:$J$62,MATCH($A27,Simulations!$A$3:$A$62,0))*SQRT(PI())/2*ERFC(SQRT(LN($E27/INDEX(Simulations!$J$3:$J$62,MATCH($A27,Simulations!$A$3:$A$62,0)))))),PI()*INDEX(Simulations!$T$3:$T$62,MATCH($A27,Simulations!$A$3:$A$62,0))^2/2*(LN($E27/INDEX(Simulations!$J$3:$J$62,MATCH($A27,Simulations!$A$3:$A$62,0)))+1)))))</f>
        <v>38.6873848879807</v>
      </c>
      <c r="R27" s="16" t="n">
        <f aca="false">IF(OR($A27="",ISNA(MATCH($A27,Simulations!$A$3:$A$62,0))),"",IF(N($F27)&lt;=0,0,IF($F27&lt;INDEX(Simulations!$J$3:$J$62,MATCH($A27,Simulations!$A$3:$A$62,0)),$D27/(INDEX(Simulations!$G$3:$G$62,MATCH($A27,Simulations!$A$3:$A$62,0))*INDEX(Simulations!$H$3:$H$62,MATCH($A27,Simulations!$A$3:$A$62,0))*IF(INDEX(Simulations!$I$3:$I$62,MATCH($A27,Simulations!$A$3:$A$62,0))&gt;0,INDEX(Simulations!$I$3:$I$62,MATCH($A27,Simulations!$A$3:$A$62,0)),1))*$F27*(PI()/2*INDEX(Simulations!$T$3:$T$62,MATCH($A27,Simulations!$A$3:$A$62,0))^2*IF(INDEX(Simulations!$I$3:$I$62,MATCH($A27,Simulations!$A$3:$A$62,0))&gt;0,SQRT(PI()/2)*INDEX(Simulations!$U$3:$U$62,MATCH($A27,Simulations!$A$3:$A$62,0)),1)),$D27/(INDEX(Simulations!$G$3:$G$62,MATCH($A27,Simulations!$A$3:$A$62,0))*INDEX(Simulations!$H$3:$H$62,MATCH($A27,Simulations!$A$3:$A$62,0))*IF(INDEX(Simulations!$I$3:$I$62,MATCH($A27,Simulations!$A$3:$A$62,0))&gt;0,INDEX(Simulations!$I$3:$I$62,MATCH($A27,Simulations!$A$3:$A$62,0)),1))*INDEX(Simulations!$J$3:$J$62,MATCH($A27,Simulations!$A$3:$A$62,0))*IF(INDEX(Simulations!$I$3:$I$62,MATCH($A27,Simulations!$A$3:$A$62,0))&gt;0,2*PI()*INDEX(Simulations!$T$3:$T$62,MATCH($A27,Simulations!$A$3:$A$62,0))^2*INDEX(Simulations!$U$3:$U$62,MATCH($A27,Simulations!$A$3:$A$62,0))/2^1.5*(2/3*LN($F27/INDEX(Simulations!$J$3:$J$62,MATCH($A27,Simulations!$A$3:$A$62,0)))^1.5+SQRT(LN($F27/INDEX(Simulations!$J$3:$J$62,MATCH($A27,Simulations!$A$3:$A$62,0))))+$F27/INDEX(Simulations!$J$3:$J$62,MATCH($A27,Simulations!$A$3:$A$62,0))*SQRT(PI())/2*ERFC(SQRT(LN($F27/INDEX(Simulations!$J$3:$J$62,MATCH($A27,Simulations!$A$3:$A$62,0)))))),PI()*INDEX(Simulations!$T$3:$T$62,MATCH($A27,Simulations!$A$3:$A$62,0))^2/2*(LN($F27/INDEX(Simulations!$J$3:$J$62,MATCH($A27,Simulations!$A$3:$A$62,0)))+1)))))</f>
        <v>24.9200322255786</v>
      </c>
      <c r="S27" s="16" t="n">
        <f aca="false">IF(OR($A27="",ISNA(MATCH($A27,Simulations!$A$3:$A$62,0))),"",IF(N($G27)&lt;=0,0,IF($G27&lt;INDEX(Simulations!$J$3:$J$62,MATCH($A27,Simulations!$A$3:$A$62,0)),$D27/(INDEX(Simulations!$G$3:$G$62,MATCH($A27,Simulations!$A$3:$A$62,0))*INDEX(Simulations!$H$3:$H$62,MATCH($A27,Simulations!$A$3:$A$62,0))*IF(INDEX(Simulations!$I$3:$I$62,MATCH($A27,Simulations!$A$3:$A$62,0))&gt;0,INDEX(Simulations!$I$3:$I$62,MATCH($A27,Simulations!$A$3:$A$62,0)),1))*$G27*(PI()/2*INDEX(Simulations!$T$3:$T$62,MATCH($A27,Simulations!$A$3:$A$62,0))^2*IF(INDEX(Simulations!$I$3:$I$62,MATCH($A27,Simulations!$A$3:$A$62,0))&gt;0,SQRT(PI()/2)*INDEX(Simulations!$U$3:$U$62,MATCH($A27,Simulations!$A$3:$A$62,0)),1)),$D27/(INDEX(Simulations!$G$3:$G$62,MATCH($A27,Simulations!$A$3:$A$62,0))*INDEX(Simulations!$H$3:$H$62,MATCH($A27,Simulations!$A$3:$A$62,0))*IF(INDEX(Simulations!$I$3:$I$62,MATCH($A27,Simulations!$A$3:$A$62,0))&gt;0,INDEX(Simulations!$I$3:$I$62,MATCH($A27,Simulations!$A$3:$A$62,0)),1))*INDEX(Simulations!$J$3:$J$62,MATCH($A27,Simulations!$A$3:$A$62,0))*IF(INDEX(Simulations!$I$3:$I$62,MATCH($A27,Simulations!$A$3:$A$62,0))&gt;0,2*PI()*INDEX(Simulations!$T$3:$T$62,MATCH($A27,Simulations!$A$3:$A$62,0))^2*INDEX(Simulations!$U$3:$U$62,MATCH($A27,Simulations!$A$3:$A$62,0))/2^1.5*(2/3*LN($G27/INDEX(Simulations!$J$3:$J$62,MATCH($A27,Simulations!$A$3:$A$62,0)))^1.5+SQRT(LN($G27/INDEX(Simulations!$J$3:$J$62,MATCH($A27,Simulations!$A$3:$A$62,0))))+$G27/INDEX(Simulations!$J$3:$J$62,MATCH($A27,Simulations!$A$3:$A$62,0))*SQRT(PI())/2*ERFC(SQRT(LN($G27/INDEX(Simulations!$J$3:$J$62,MATCH($A27,Simulations!$A$3:$A$62,0)))))),PI()*INDEX(Simulations!$T$3:$T$62,MATCH($A27,Simulations!$A$3:$A$62,0))^2/2*(LN($G27/INDEX(Simulations!$J$3:$J$62,MATCH($A27,Simulations!$A$3:$A$62,0)))+1)))))</f>
        <v>0</v>
      </c>
      <c r="T27" s="16" t="n">
        <f aca="false">IF(OR($A27="",ISNA(MATCH($A27,Simulations!$A$3:$A$62,0))),"",IF(N($H27)&lt;=0,0,IF($H27&lt;INDEX(Simulations!$J$3:$J$62,MATCH($A27,Simulations!$A$3:$A$62,0)),$D27/(INDEX(Simulations!$G$3:$G$62,MATCH($A27,Simulations!$A$3:$A$62,0))*INDEX(Simulations!$H$3:$H$62,MATCH($A27,Simulations!$A$3:$A$62,0))*IF(INDEX(Simulations!$I$3:$I$62,MATCH($A27,Simulations!$A$3:$A$62,0))&gt;0,INDEX(Simulations!$I$3:$I$62,MATCH($A27,Simulations!$A$3:$A$62,0)),1))*$H27*(PI()/2*INDEX(Simulations!$T$3:$T$62,MATCH($A27,Simulations!$A$3:$A$62,0))^2*IF(INDEX(Simulations!$I$3:$I$62,MATCH($A27,Simulations!$A$3:$A$62,0))&gt;0,SQRT(PI()/2)*INDEX(Simulations!$U$3:$U$62,MATCH($A27,Simulations!$A$3:$A$62,0)),1)),$D27/(INDEX(Simulations!$G$3:$G$62,MATCH($A27,Simulations!$A$3:$A$62,0))*INDEX(Simulations!$H$3:$H$62,MATCH($A27,Simulations!$A$3:$A$62,0))*IF(INDEX(Simulations!$I$3:$I$62,MATCH($A27,Simulations!$A$3:$A$62,0))&gt;0,INDEX(Simulations!$I$3:$I$62,MATCH($A27,Simulations!$A$3:$A$62,0)),1))*INDEX(Simulations!$J$3:$J$62,MATCH($A27,Simulations!$A$3:$A$62,0))*IF(INDEX(Simulations!$I$3:$I$62,MATCH($A27,Simulations!$A$3:$A$62,0))&gt;0,2*PI()*INDEX(Simulations!$T$3:$T$62,MATCH($A27,Simulations!$A$3:$A$62,0))^2*INDEX(Simulations!$U$3:$U$62,MATCH($A27,Simulations!$A$3:$A$62,0))/2^1.5*(2/3*LN($H27/INDEX(Simulations!$J$3:$J$62,MATCH($A27,Simulations!$A$3:$A$62,0)))^1.5+SQRT(LN($H27/INDEX(Simulations!$J$3:$J$62,MATCH($A27,Simulations!$A$3:$A$62,0))))+$H27/INDEX(Simulations!$J$3:$J$62,MATCH($A27,Simulations!$A$3:$A$62,0))*SQRT(PI())/2*ERFC(SQRT(LN($H27/INDEX(Simulations!$J$3:$J$62,MATCH($A27,Simulations!$A$3:$A$62,0)))))),PI()*INDEX(Simulations!$T$3:$T$62,MATCH($A27,Simulations!$A$3:$A$62,0))^2/2*(LN($H27/INDEX(Simulations!$J$3:$J$62,MATCH($A27,Simulations!$A$3:$A$62,0)))+1)))))</f>
        <v>0</v>
      </c>
      <c r="U27" s="18" t="n">
        <f aca="false">IF(OR(OR($A27="",ISNA(MATCH($A27,Simulations!$A$3:$A$62,0))),N($C27)&lt;=0),"",SQRT(2*$C27*1000000/(INDEX(Simulations!$J$3:$J$62,MATCH($A27,Simulations!$A$3:$A$62,0))*1000))/INDEX(Simulations!$T$3:$T$62,MATCH($A27,Simulations!$A$3:$A$62,0)))</f>
        <v>0.0406201920231798</v>
      </c>
      <c r="V27" s="19" t="str">
        <f aca="false">IF($A27="","",IF(ISNA(MATCH($A27,Simulations!$A$3:$A$62,0)),"✖ Sim ID not found on the Simulations sheet",IF($P27&gt;=1,"✖ brightness &gt;= sampling frequency: completely saturated (D too small, c too large)",IF($P27&gt;0.1,"⚠ brightness &gt; 10% of the sampling frequency: focus starts to saturate",IF(N($U27)&gt;0.1,"⚠ diffusion step &gt; 10% of wr: raise the sampling frequency",IF(MAX($E27:$H27)=0,"⚠ no brightness set","✔ OK"))))))</f>
        <v>✖ brightness &gt;= sampling frequency: completely saturated (D too small, c too large)</v>
      </c>
    </row>
    <row r="28" customFormat="false" ht="23.85" hidden="false" customHeight="false" outlineLevel="0" collapsed="false">
      <c r="A28" s="13" t="s">
        <v>93</v>
      </c>
      <c r="B28" s="13" t="s">
        <v>136</v>
      </c>
      <c r="C28" s="13" t="n">
        <v>33</v>
      </c>
      <c r="D28" s="13" t="n">
        <v>10</v>
      </c>
      <c r="E28" s="13" t="n">
        <v>10000</v>
      </c>
      <c r="F28" s="13" t="n">
        <v>0</v>
      </c>
      <c r="G28" s="13" t="n">
        <v>5000</v>
      </c>
      <c r="H28" s="13" t="n">
        <v>0</v>
      </c>
      <c r="I28" s="13" t="n">
        <v>4</v>
      </c>
      <c r="J28" s="13" t="n">
        <v>3</v>
      </c>
      <c r="K28" s="13" t="n">
        <v>2.5</v>
      </c>
      <c r="L28" s="13" t="n">
        <v>2.5</v>
      </c>
      <c r="M28" s="13" t="s">
        <v>131</v>
      </c>
      <c r="N28" s="14"/>
      <c r="O28" s="18" t="n">
        <f aca="false">IF(OR($A28="",ISNA(MATCH($A28,Simulations!$A$3:$A$62,0))),"",IF(INDEX(Simulations!$I$3:$I$62,MATCH($A28,Simulations!$A$3:$A$62,0))&gt;0,$D28/(INDEX(Simulations!$G$3:$G$62,MATCH($A28,Simulations!$A$3:$A$62,0))*INDEX(Simulations!$H$3:$H$62,MATCH($A28,Simulations!$A$3:$A$62,0))*IF(INDEX(Simulations!$I$3:$I$62,MATCH($A28,Simulations!$A$3:$A$62,0))&gt;0,INDEX(Simulations!$I$3:$I$62,MATCH($A28,Simulations!$A$3:$A$62,0)),1))/1E-024/6.022E+023/0.000000001,""))</f>
        <v>0.13284623048821</v>
      </c>
      <c r="P28" s="20" t="n">
        <f aca="false">IF(OR($A28="",ISNA(MATCH($A28,Simulations!$A$3:$A$62,0))),"",MAX($E28:$H28)/INDEX(Simulations!$J$3:$J$62,MATCH($A28,Simulations!$A$3:$A$62,0)))</f>
        <v>10</v>
      </c>
      <c r="Q28" s="16" t="n">
        <f aca="false">IF(OR($A28="",ISNA(MATCH($A28,Simulations!$A$3:$A$62,0))),"",IF(N($E28)&lt;=0,0,IF($E28&lt;INDEX(Simulations!$J$3:$J$62,MATCH($A28,Simulations!$A$3:$A$62,0)),$D28/(INDEX(Simulations!$G$3:$G$62,MATCH($A28,Simulations!$A$3:$A$62,0))*INDEX(Simulations!$H$3:$H$62,MATCH($A28,Simulations!$A$3:$A$62,0))*IF(INDEX(Simulations!$I$3:$I$62,MATCH($A28,Simulations!$A$3:$A$62,0))&gt;0,INDEX(Simulations!$I$3:$I$62,MATCH($A28,Simulations!$A$3:$A$62,0)),1))*$E28*(PI()/2*INDEX(Simulations!$T$3:$T$62,MATCH($A28,Simulations!$A$3:$A$62,0))^2*IF(INDEX(Simulations!$I$3:$I$62,MATCH($A28,Simulations!$A$3:$A$62,0))&gt;0,SQRT(PI()/2)*INDEX(Simulations!$U$3:$U$62,MATCH($A28,Simulations!$A$3:$A$62,0)),1)),$D28/(INDEX(Simulations!$G$3:$G$62,MATCH($A28,Simulations!$A$3:$A$62,0))*INDEX(Simulations!$H$3:$H$62,MATCH($A28,Simulations!$A$3:$A$62,0))*IF(INDEX(Simulations!$I$3:$I$62,MATCH($A28,Simulations!$A$3:$A$62,0))&gt;0,INDEX(Simulations!$I$3:$I$62,MATCH($A28,Simulations!$A$3:$A$62,0)),1))*INDEX(Simulations!$J$3:$J$62,MATCH($A28,Simulations!$A$3:$A$62,0))*IF(INDEX(Simulations!$I$3:$I$62,MATCH($A28,Simulations!$A$3:$A$62,0))&gt;0,2*PI()*INDEX(Simulations!$T$3:$T$62,MATCH($A28,Simulations!$A$3:$A$62,0))^2*INDEX(Simulations!$U$3:$U$62,MATCH($A28,Simulations!$A$3:$A$62,0))/2^1.5*(2/3*LN($E28/INDEX(Simulations!$J$3:$J$62,MATCH($A28,Simulations!$A$3:$A$62,0)))^1.5+SQRT(LN($E28/INDEX(Simulations!$J$3:$J$62,MATCH($A28,Simulations!$A$3:$A$62,0))))+$E28/INDEX(Simulations!$J$3:$J$62,MATCH($A28,Simulations!$A$3:$A$62,0))*SQRT(PI())/2*ERFC(SQRT(LN($E28/INDEX(Simulations!$J$3:$J$62,MATCH($A28,Simulations!$A$3:$A$62,0)))))),PI()*INDEX(Simulations!$T$3:$T$62,MATCH($A28,Simulations!$A$3:$A$62,0))^2/2*(LN($E28/INDEX(Simulations!$J$3:$J$62,MATCH($A28,Simulations!$A$3:$A$62,0)))+1)))))</f>
        <v>29.3532730881177</v>
      </c>
      <c r="R28" s="16" t="n">
        <f aca="false">IF(OR($A28="",ISNA(MATCH($A28,Simulations!$A$3:$A$62,0))),"",IF(N($F28)&lt;=0,0,IF($F28&lt;INDEX(Simulations!$J$3:$J$62,MATCH($A28,Simulations!$A$3:$A$62,0)),$D28/(INDEX(Simulations!$G$3:$G$62,MATCH($A28,Simulations!$A$3:$A$62,0))*INDEX(Simulations!$H$3:$H$62,MATCH($A28,Simulations!$A$3:$A$62,0))*IF(INDEX(Simulations!$I$3:$I$62,MATCH($A28,Simulations!$A$3:$A$62,0))&gt;0,INDEX(Simulations!$I$3:$I$62,MATCH($A28,Simulations!$A$3:$A$62,0)),1))*$F28*(PI()/2*INDEX(Simulations!$T$3:$T$62,MATCH($A28,Simulations!$A$3:$A$62,0))^2*IF(INDEX(Simulations!$I$3:$I$62,MATCH($A28,Simulations!$A$3:$A$62,0))&gt;0,SQRT(PI()/2)*INDEX(Simulations!$U$3:$U$62,MATCH($A28,Simulations!$A$3:$A$62,0)),1)),$D28/(INDEX(Simulations!$G$3:$G$62,MATCH($A28,Simulations!$A$3:$A$62,0))*INDEX(Simulations!$H$3:$H$62,MATCH($A28,Simulations!$A$3:$A$62,0))*IF(INDEX(Simulations!$I$3:$I$62,MATCH($A28,Simulations!$A$3:$A$62,0))&gt;0,INDEX(Simulations!$I$3:$I$62,MATCH($A28,Simulations!$A$3:$A$62,0)),1))*INDEX(Simulations!$J$3:$J$62,MATCH($A28,Simulations!$A$3:$A$62,0))*IF(INDEX(Simulations!$I$3:$I$62,MATCH($A28,Simulations!$A$3:$A$62,0))&gt;0,2*PI()*INDEX(Simulations!$T$3:$T$62,MATCH($A28,Simulations!$A$3:$A$62,0))^2*INDEX(Simulations!$U$3:$U$62,MATCH($A28,Simulations!$A$3:$A$62,0))/2^1.5*(2/3*LN($F28/INDEX(Simulations!$J$3:$J$62,MATCH($A28,Simulations!$A$3:$A$62,0)))^1.5+SQRT(LN($F28/INDEX(Simulations!$J$3:$J$62,MATCH($A28,Simulations!$A$3:$A$62,0))))+$F28/INDEX(Simulations!$J$3:$J$62,MATCH($A28,Simulations!$A$3:$A$62,0))*SQRT(PI())/2*ERFC(SQRT(LN($F28/INDEX(Simulations!$J$3:$J$62,MATCH($A28,Simulations!$A$3:$A$62,0)))))),PI()*INDEX(Simulations!$T$3:$T$62,MATCH($A28,Simulations!$A$3:$A$62,0))^2/2*(LN($F28/INDEX(Simulations!$J$3:$J$62,MATCH($A28,Simulations!$A$3:$A$62,0)))+1)))))</f>
        <v>0</v>
      </c>
      <c r="S28" s="16" t="n">
        <f aca="false">IF(OR($A28="",ISNA(MATCH($A28,Simulations!$A$3:$A$62,0))),"",IF(N($G28)&lt;=0,0,IF($G28&lt;INDEX(Simulations!$J$3:$J$62,MATCH($A28,Simulations!$A$3:$A$62,0)),$D28/(INDEX(Simulations!$G$3:$G$62,MATCH($A28,Simulations!$A$3:$A$62,0))*INDEX(Simulations!$H$3:$H$62,MATCH($A28,Simulations!$A$3:$A$62,0))*IF(INDEX(Simulations!$I$3:$I$62,MATCH($A28,Simulations!$A$3:$A$62,0))&gt;0,INDEX(Simulations!$I$3:$I$62,MATCH($A28,Simulations!$A$3:$A$62,0)),1))*$G28*(PI()/2*INDEX(Simulations!$T$3:$T$62,MATCH($A28,Simulations!$A$3:$A$62,0))^2*IF(INDEX(Simulations!$I$3:$I$62,MATCH($A28,Simulations!$A$3:$A$62,0))&gt;0,SQRT(PI()/2)*INDEX(Simulations!$U$3:$U$62,MATCH($A28,Simulations!$A$3:$A$62,0)),1)),$D28/(INDEX(Simulations!$G$3:$G$62,MATCH($A28,Simulations!$A$3:$A$62,0))*INDEX(Simulations!$H$3:$H$62,MATCH($A28,Simulations!$A$3:$A$62,0))*IF(INDEX(Simulations!$I$3:$I$62,MATCH($A28,Simulations!$A$3:$A$62,0))&gt;0,INDEX(Simulations!$I$3:$I$62,MATCH($A28,Simulations!$A$3:$A$62,0)),1))*INDEX(Simulations!$J$3:$J$62,MATCH($A28,Simulations!$A$3:$A$62,0))*IF(INDEX(Simulations!$I$3:$I$62,MATCH($A28,Simulations!$A$3:$A$62,0))&gt;0,2*PI()*INDEX(Simulations!$T$3:$T$62,MATCH($A28,Simulations!$A$3:$A$62,0))^2*INDEX(Simulations!$U$3:$U$62,MATCH($A28,Simulations!$A$3:$A$62,0))/2^1.5*(2/3*LN($G28/INDEX(Simulations!$J$3:$J$62,MATCH($A28,Simulations!$A$3:$A$62,0)))^1.5+SQRT(LN($G28/INDEX(Simulations!$J$3:$J$62,MATCH($A28,Simulations!$A$3:$A$62,0))))+$G28/INDEX(Simulations!$J$3:$J$62,MATCH($A28,Simulations!$A$3:$A$62,0))*SQRT(PI())/2*ERFC(SQRT(LN($G28/INDEX(Simulations!$J$3:$J$62,MATCH($A28,Simulations!$A$3:$A$62,0)))))),PI()*INDEX(Simulations!$T$3:$T$62,MATCH($A28,Simulations!$A$3:$A$62,0))^2/2*(LN($G28/INDEX(Simulations!$J$3:$J$62,MATCH($A28,Simulations!$A$3:$A$62,0)))+1)))))</f>
        <v>20.9873877075729</v>
      </c>
      <c r="T28" s="16" t="n">
        <f aca="false">IF(OR($A28="",ISNA(MATCH($A28,Simulations!$A$3:$A$62,0))),"",IF(N($H28)&lt;=0,0,IF($H28&lt;INDEX(Simulations!$J$3:$J$62,MATCH($A28,Simulations!$A$3:$A$62,0)),$D28/(INDEX(Simulations!$G$3:$G$62,MATCH($A28,Simulations!$A$3:$A$62,0))*INDEX(Simulations!$H$3:$H$62,MATCH($A28,Simulations!$A$3:$A$62,0))*IF(INDEX(Simulations!$I$3:$I$62,MATCH($A28,Simulations!$A$3:$A$62,0))&gt;0,INDEX(Simulations!$I$3:$I$62,MATCH($A28,Simulations!$A$3:$A$62,0)),1))*$H28*(PI()/2*INDEX(Simulations!$T$3:$T$62,MATCH($A28,Simulations!$A$3:$A$62,0))^2*IF(INDEX(Simulations!$I$3:$I$62,MATCH($A28,Simulations!$A$3:$A$62,0))&gt;0,SQRT(PI()/2)*INDEX(Simulations!$U$3:$U$62,MATCH($A28,Simulations!$A$3:$A$62,0)),1)),$D28/(INDEX(Simulations!$G$3:$G$62,MATCH($A28,Simulations!$A$3:$A$62,0))*INDEX(Simulations!$H$3:$H$62,MATCH($A28,Simulations!$A$3:$A$62,0))*IF(INDEX(Simulations!$I$3:$I$62,MATCH($A28,Simulations!$A$3:$A$62,0))&gt;0,INDEX(Simulations!$I$3:$I$62,MATCH($A28,Simulations!$A$3:$A$62,0)),1))*INDEX(Simulations!$J$3:$J$62,MATCH($A28,Simulations!$A$3:$A$62,0))*IF(INDEX(Simulations!$I$3:$I$62,MATCH($A28,Simulations!$A$3:$A$62,0))&gt;0,2*PI()*INDEX(Simulations!$T$3:$T$62,MATCH($A28,Simulations!$A$3:$A$62,0))^2*INDEX(Simulations!$U$3:$U$62,MATCH($A28,Simulations!$A$3:$A$62,0))/2^1.5*(2/3*LN($H28/INDEX(Simulations!$J$3:$J$62,MATCH($A28,Simulations!$A$3:$A$62,0)))^1.5+SQRT(LN($H28/INDEX(Simulations!$J$3:$J$62,MATCH($A28,Simulations!$A$3:$A$62,0))))+$H28/INDEX(Simulations!$J$3:$J$62,MATCH($A28,Simulations!$A$3:$A$62,0))*SQRT(PI())/2*ERFC(SQRT(LN($H28/INDEX(Simulations!$J$3:$J$62,MATCH($A28,Simulations!$A$3:$A$62,0)))))),PI()*INDEX(Simulations!$T$3:$T$62,MATCH($A28,Simulations!$A$3:$A$62,0))^2/2*(LN($H28/INDEX(Simulations!$J$3:$J$62,MATCH($A28,Simulations!$A$3:$A$62,0)))+1)))))</f>
        <v>0</v>
      </c>
      <c r="U28" s="18" t="n">
        <f aca="false">IF(OR(OR($A28="",ISNA(MATCH($A28,Simulations!$A$3:$A$62,0))),N($C28)&lt;=0),"",SQRT(2*$C28*1000000/(INDEX(Simulations!$J$3:$J$62,MATCH($A28,Simulations!$A$3:$A$62,0))*1000))/INDEX(Simulations!$T$3:$T$62,MATCH($A28,Simulations!$A$3:$A$62,0)))</f>
        <v>0.0406201920231798</v>
      </c>
      <c r="V28" s="19" t="str">
        <f aca="false">IF($A28="","",IF(ISNA(MATCH($A28,Simulations!$A$3:$A$62,0)),"✖ Sim ID not found on the Simulations sheet",IF($P28&gt;=1,"✖ brightness &gt;= sampling frequency: completely saturated (D too small, c too large)",IF($P28&gt;0.1,"⚠ brightness &gt; 10% of the sampling frequency: focus starts to saturate",IF(N($U28)&gt;0.1,"⚠ diffusion step &gt; 10% of wr: raise the sampling frequency",IF(MAX($E28:$H28)=0,"⚠ no brightness set","✔ OK"))))))</f>
        <v>✖ brightness &gt;= sampling frequency: completely saturated (D too small, c too large)</v>
      </c>
    </row>
    <row r="29" customFormat="false" ht="23.85" hidden="false" customHeight="false" outlineLevel="0" collapsed="false">
      <c r="A29" s="13" t="s">
        <v>93</v>
      </c>
      <c r="B29" s="13" t="s">
        <v>137</v>
      </c>
      <c r="C29" s="13" t="n">
        <v>33</v>
      </c>
      <c r="D29" s="13" t="n">
        <v>10</v>
      </c>
      <c r="E29" s="13" t="n">
        <v>0</v>
      </c>
      <c r="F29" s="13" t="n">
        <v>7000</v>
      </c>
      <c r="G29" s="13" t="n">
        <v>10000</v>
      </c>
      <c r="H29" s="13" t="n">
        <v>0</v>
      </c>
      <c r="I29" s="13" t="n">
        <v>4</v>
      </c>
      <c r="J29" s="13" t="n">
        <v>3</v>
      </c>
      <c r="K29" s="13" t="n">
        <v>2.5</v>
      </c>
      <c r="L29" s="13" t="n">
        <v>2.5</v>
      </c>
      <c r="M29" s="13" t="s">
        <v>131</v>
      </c>
      <c r="N29" s="14"/>
      <c r="O29" s="18" t="n">
        <f aca="false">IF(OR($A29="",ISNA(MATCH($A29,Simulations!$A$3:$A$62,0))),"",IF(INDEX(Simulations!$I$3:$I$62,MATCH($A29,Simulations!$A$3:$A$62,0))&gt;0,$D29/(INDEX(Simulations!$G$3:$G$62,MATCH($A29,Simulations!$A$3:$A$62,0))*INDEX(Simulations!$H$3:$H$62,MATCH($A29,Simulations!$A$3:$A$62,0))*IF(INDEX(Simulations!$I$3:$I$62,MATCH($A29,Simulations!$A$3:$A$62,0))&gt;0,INDEX(Simulations!$I$3:$I$62,MATCH($A29,Simulations!$A$3:$A$62,0)),1))/1E-024/6.022E+023/0.000000001,""))</f>
        <v>0.13284623048821</v>
      </c>
      <c r="P29" s="20" t="n">
        <f aca="false">IF(OR($A29="",ISNA(MATCH($A29,Simulations!$A$3:$A$62,0))),"",MAX($E29:$H29)/INDEX(Simulations!$J$3:$J$62,MATCH($A29,Simulations!$A$3:$A$62,0)))</f>
        <v>10</v>
      </c>
      <c r="Q29" s="16" t="n">
        <f aca="false">IF(OR($A29="",ISNA(MATCH($A29,Simulations!$A$3:$A$62,0))),"",IF(N($E29)&lt;=0,0,IF($E29&lt;INDEX(Simulations!$J$3:$J$62,MATCH($A29,Simulations!$A$3:$A$62,0)),$D29/(INDEX(Simulations!$G$3:$G$62,MATCH($A29,Simulations!$A$3:$A$62,0))*INDEX(Simulations!$H$3:$H$62,MATCH($A29,Simulations!$A$3:$A$62,0))*IF(INDEX(Simulations!$I$3:$I$62,MATCH($A29,Simulations!$A$3:$A$62,0))&gt;0,INDEX(Simulations!$I$3:$I$62,MATCH($A29,Simulations!$A$3:$A$62,0)),1))*$E29*(PI()/2*INDEX(Simulations!$T$3:$T$62,MATCH($A29,Simulations!$A$3:$A$62,0))^2*IF(INDEX(Simulations!$I$3:$I$62,MATCH($A29,Simulations!$A$3:$A$62,0))&gt;0,SQRT(PI()/2)*INDEX(Simulations!$U$3:$U$62,MATCH($A29,Simulations!$A$3:$A$62,0)),1)),$D29/(INDEX(Simulations!$G$3:$G$62,MATCH($A29,Simulations!$A$3:$A$62,0))*INDEX(Simulations!$H$3:$H$62,MATCH($A29,Simulations!$A$3:$A$62,0))*IF(INDEX(Simulations!$I$3:$I$62,MATCH($A29,Simulations!$A$3:$A$62,0))&gt;0,INDEX(Simulations!$I$3:$I$62,MATCH($A29,Simulations!$A$3:$A$62,0)),1))*INDEX(Simulations!$J$3:$J$62,MATCH($A29,Simulations!$A$3:$A$62,0))*IF(INDEX(Simulations!$I$3:$I$62,MATCH($A29,Simulations!$A$3:$A$62,0))&gt;0,2*PI()*INDEX(Simulations!$T$3:$T$62,MATCH($A29,Simulations!$A$3:$A$62,0))^2*INDEX(Simulations!$U$3:$U$62,MATCH($A29,Simulations!$A$3:$A$62,0))/2^1.5*(2/3*LN($E29/INDEX(Simulations!$J$3:$J$62,MATCH($A29,Simulations!$A$3:$A$62,0)))^1.5+SQRT(LN($E29/INDEX(Simulations!$J$3:$J$62,MATCH($A29,Simulations!$A$3:$A$62,0))))+$E29/INDEX(Simulations!$J$3:$J$62,MATCH($A29,Simulations!$A$3:$A$62,0))*SQRT(PI())/2*ERFC(SQRT(LN($E29/INDEX(Simulations!$J$3:$J$62,MATCH($A29,Simulations!$A$3:$A$62,0)))))),PI()*INDEX(Simulations!$T$3:$T$62,MATCH($A29,Simulations!$A$3:$A$62,0))^2/2*(LN($E29/INDEX(Simulations!$J$3:$J$62,MATCH($A29,Simulations!$A$3:$A$62,0)))+1)))))</f>
        <v>0</v>
      </c>
      <c r="R29" s="16" t="n">
        <f aca="false">IF(OR($A29="",ISNA(MATCH($A29,Simulations!$A$3:$A$62,0))),"",IF(N($F29)&lt;=0,0,IF($F29&lt;INDEX(Simulations!$J$3:$J$62,MATCH($A29,Simulations!$A$3:$A$62,0)),$D29/(INDEX(Simulations!$G$3:$G$62,MATCH($A29,Simulations!$A$3:$A$62,0))*INDEX(Simulations!$H$3:$H$62,MATCH($A29,Simulations!$A$3:$A$62,0))*IF(INDEX(Simulations!$I$3:$I$62,MATCH($A29,Simulations!$A$3:$A$62,0))&gt;0,INDEX(Simulations!$I$3:$I$62,MATCH($A29,Simulations!$A$3:$A$62,0)),1))*$F29*(PI()/2*INDEX(Simulations!$T$3:$T$62,MATCH($A29,Simulations!$A$3:$A$62,0))^2*IF(INDEX(Simulations!$I$3:$I$62,MATCH($A29,Simulations!$A$3:$A$62,0))&gt;0,SQRT(PI()/2)*INDEX(Simulations!$U$3:$U$62,MATCH($A29,Simulations!$A$3:$A$62,0)),1)),$D29/(INDEX(Simulations!$G$3:$G$62,MATCH($A29,Simulations!$A$3:$A$62,0))*INDEX(Simulations!$H$3:$H$62,MATCH($A29,Simulations!$A$3:$A$62,0))*IF(INDEX(Simulations!$I$3:$I$62,MATCH($A29,Simulations!$A$3:$A$62,0))&gt;0,INDEX(Simulations!$I$3:$I$62,MATCH($A29,Simulations!$A$3:$A$62,0)),1))*INDEX(Simulations!$J$3:$J$62,MATCH($A29,Simulations!$A$3:$A$62,0))*IF(INDEX(Simulations!$I$3:$I$62,MATCH($A29,Simulations!$A$3:$A$62,0))&gt;0,2*PI()*INDEX(Simulations!$T$3:$T$62,MATCH($A29,Simulations!$A$3:$A$62,0))^2*INDEX(Simulations!$U$3:$U$62,MATCH($A29,Simulations!$A$3:$A$62,0))/2^1.5*(2/3*LN($F29/INDEX(Simulations!$J$3:$J$62,MATCH($A29,Simulations!$A$3:$A$62,0)))^1.5+SQRT(LN($F29/INDEX(Simulations!$J$3:$J$62,MATCH($A29,Simulations!$A$3:$A$62,0))))+$F29/INDEX(Simulations!$J$3:$J$62,MATCH($A29,Simulations!$A$3:$A$62,0))*SQRT(PI())/2*ERFC(SQRT(LN($F29/INDEX(Simulations!$J$3:$J$62,MATCH($A29,Simulations!$A$3:$A$62,0)))))),PI()*INDEX(Simulations!$T$3:$T$62,MATCH($A29,Simulations!$A$3:$A$62,0))^2/2*(LN($F29/INDEX(Simulations!$J$3:$J$62,MATCH($A29,Simulations!$A$3:$A$62,0)))+1)))))</f>
        <v>24.9200322255786</v>
      </c>
      <c r="S29" s="16" t="n">
        <f aca="false">IF(OR($A29="",ISNA(MATCH($A29,Simulations!$A$3:$A$62,0))),"",IF(N($G29)&lt;=0,0,IF($G29&lt;INDEX(Simulations!$J$3:$J$62,MATCH($A29,Simulations!$A$3:$A$62,0)),$D29/(INDEX(Simulations!$G$3:$G$62,MATCH($A29,Simulations!$A$3:$A$62,0))*INDEX(Simulations!$H$3:$H$62,MATCH($A29,Simulations!$A$3:$A$62,0))*IF(INDEX(Simulations!$I$3:$I$62,MATCH($A29,Simulations!$A$3:$A$62,0))&gt;0,INDEX(Simulations!$I$3:$I$62,MATCH($A29,Simulations!$A$3:$A$62,0)),1))*$G29*(PI()/2*INDEX(Simulations!$T$3:$T$62,MATCH($A29,Simulations!$A$3:$A$62,0))^2*IF(INDEX(Simulations!$I$3:$I$62,MATCH($A29,Simulations!$A$3:$A$62,0))&gt;0,SQRT(PI()/2)*INDEX(Simulations!$U$3:$U$62,MATCH($A29,Simulations!$A$3:$A$62,0)),1)),$D29/(INDEX(Simulations!$G$3:$G$62,MATCH($A29,Simulations!$A$3:$A$62,0))*INDEX(Simulations!$H$3:$H$62,MATCH($A29,Simulations!$A$3:$A$62,0))*IF(INDEX(Simulations!$I$3:$I$62,MATCH($A29,Simulations!$A$3:$A$62,0))&gt;0,INDEX(Simulations!$I$3:$I$62,MATCH($A29,Simulations!$A$3:$A$62,0)),1))*INDEX(Simulations!$J$3:$J$62,MATCH($A29,Simulations!$A$3:$A$62,0))*IF(INDEX(Simulations!$I$3:$I$62,MATCH($A29,Simulations!$A$3:$A$62,0))&gt;0,2*PI()*INDEX(Simulations!$T$3:$T$62,MATCH($A29,Simulations!$A$3:$A$62,0))^2*INDEX(Simulations!$U$3:$U$62,MATCH($A29,Simulations!$A$3:$A$62,0))/2^1.5*(2/3*LN($G29/INDEX(Simulations!$J$3:$J$62,MATCH($A29,Simulations!$A$3:$A$62,0)))^1.5+SQRT(LN($G29/INDEX(Simulations!$J$3:$J$62,MATCH($A29,Simulations!$A$3:$A$62,0))))+$G29/INDEX(Simulations!$J$3:$J$62,MATCH($A29,Simulations!$A$3:$A$62,0))*SQRT(PI())/2*ERFC(SQRT(LN($G29/INDEX(Simulations!$J$3:$J$62,MATCH($A29,Simulations!$A$3:$A$62,0)))))),PI()*INDEX(Simulations!$T$3:$T$62,MATCH($A29,Simulations!$A$3:$A$62,0))^2/2*(LN($G29/INDEX(Simulations!$J$3:$J$62,MATCH($A29,Simulations!$A$3:$A$62,0)))+1)))))</f>
        <v>29.3532730881177</v>
      </c>
      <c r="T29" s="16" t="n">
        <f aca="false">IF(OR($A29="",ISNA(MATCH($A29,Simulations!$A$3:$A$62,0))),"",IF(N($H29)&lt;=0,0,IF($H29&lt;INDEX(Simulations!$J$3:$J$62,MATCH($A29,Simulations!$A$3:$A$62,0)),$D29/(INDEX(Simulations!$G$3:$G$62,MATCH($A29,Simulations!$A$3:$A$62,0))*INDEX(Simulations!$H$3:$H$62,MATCH($A29,Simulations!$A$3:$A$62,0))*IF(INDEX(Simulations!$I$3:$I$62,MATCH($A29,Simulations!$A$3:$A$62,0))&gt;0,INDEX(Simulations!$I$3:$I$62,MATCH($A29,Simulations!$A$3:$A$62,0)),1))*$H29*(PI()/2*INDEX(Simulations!$T$3:$T$62,MATCH($A29,Simulations!$A$3:$A$62,0))^2*IF(INDEX(Simulations!$I$3:$I$62,MATCH($A29,Simulations!$A$3:$A$62,0))&gt;0,SQRT(PI()/2)*INDEX(Simulations!$U$3:$U$62,MATCH($A29,Simulations!$A$3:$A$62,0)),1)),$D29/(INDEX(Simulations!$G$3:$G$62,MATCH($A29,Simulations!$A$3:$A$62,0))*INDEX(Simulations!$H$3:$H$62,MATCH($A29,Simulations!$A$3:$A$62,0))*IF(INDEX(Simulations!$I$3:$I$62,MATCH($A29,Simulations!$A$3:$A$62,0))&gt;0,INDEX(Simulations!$I$3:$I$62,MATCH($A29,Simulations!$A$3:$A$62,0)),1))*INDEX(Simulations!$J$3:$J$62,MATCH($A29,Simulations!$A$3:$A$62,0))*IF(INDEX(Simulations!$I$3:$I$62,MATCH($A29,Simulations!$A$3:$A$62,0))&gt;0,2*PI()*INDEX(Simulations!$T$3:$T$62,MATCH($A29,Simulations!$A$3:$A$62,0))^2*INDEX(Simulations!$U$3:$U$62,MATCH($A29,Simulations!$A$3:$A$62,0))/2^1.5*(2/3*LN($H29/INDEX(Simulations!$J$3:$J$62,MATCH($A29,Simulations!$A$3:$A$62,0)))^1.5+SQRT(LN($H29/INDEX(Simulations!$J$3:$J$62,MATCH($A29,Simulations!$A$3:$A$62,0))))+$H29/INDEX(Simulations!$J$3:$J$62,MATCH($A29,Simulations!$A$3:$A$62,0))*SQRT(PI())/2*ERFC(SQRT(LN($H29/INDEX(Simulations!$J$3:$J$62,MATCH($A29,Simulations!$A$3:$A$62,0)))))),PI()*INDEX(Simulations!$T$3:$T$62,MATCH($A29,Simulations!$A$3:$A$62,0))^2/2*(LN($H29/INDEX(Simulations!$J$3:$J$62,MATCH($A29,Simulations!$A$3:$A$62,0)))+1)))))</f>
        <v>0</v>
      </c>
      <c r="U29" s="18" t="n">
        <f aca="false">IF(OR(OR($A29="",ISNA(MATCH($A29,Simulations!$A$3:$A$62,0))),N($C29)&lt;=0),"",SQRT(2*$C29*1000000/(INDEX(Simulations!$J$3:$J$62,MATCH($A29,Simulations!$A$3:$A$62,0))*1000))/INDEX(Simulations!$T$3:$T$62,MATCH($A29,Simulations!$A$3:$A$62,0)))</f>
        <v>0.0406201920231798</v>
      </c>
      <c r="V29" s="19" t="str">
        <f aca="false">IF($A29="","",IF(ISNA(MATCH($A29,Simulations!$A$3:$A$62,0)),"✖ Sim ID not found on the Simulations sheet",IF($P29&gt;=1,"✖ brightness &gt;= sampling frequency: completely saturated (D too small, c too large)",IF($P29&gt;0.1,"⚠ brightness &gt; 10% of the sampling frequency: focus starts to saturate",IF(N($U29)&gt;0.1,"⚠ diffusion step &gt; 10% of wr: raise the sampling frequency",IF(MAX($E29:$H29)=0,"⚠ no brightness set","✔ OK"))))))</f>
        <v>✖ brightness &gt;= sampling frequency: completely saturated (D too small, c too large)</v>
      </c>
    </row>
    <row r="30" customFormat="false" ht="23.85" hidden="false" customHeight="false" outlineLevel="0" collapsed="false">
      <c r="A30" s="13" t="s">
        <v>95</v>
      </c>
      <c r="B30" s="13" t="s">
        <v>132</v>
      </c>
      <c r="C30" s="13" t="n">
        <v>35</v>
      </c>
      <c r="D30" s="13" t="n">
        <v>100</v>
      </c>
      <c r="E30" s="13" t="n">
        <v>1000</v>
      </c>
      <c r="F30" s="13" t="n">
        <v>700</v>
      </c>
      <c r="G30" s="13" t="n">
        <v>500</v>
      </c>
      <c r="H30" s="13" t="n">
        <v>0</v>
      </c>
      <c r="I30" s="13" t="n">
        <v>4</v>
      </c>
      <c r="J30" s="13" t="n">
        <v>3</v>
      </c>
      <c r="K30" s="13" t="n">
        <v>2</v>
      </c>
      <c r="L30" s="13" t="n">
        <v>2</v>
      </c>
      <c r="M30" s="13" t="s">
        <v>131</v>
      </c>
      <c r="N30" s="14"/>
      <c r="O30" s="18" t="n">
        <f aca="false">IF(OR($A30="",ISNA(MATCH($A30,Simulations!$A$3:$A$62,0))),"",IF(INDEX(Simulations!$I$3:$I$62,MATCH($A30,Simulations!$A$3:$A$62,0))&gt;0,$D30/(INDEX(Simulations!$G$3:$G$62,MATCH($A30,Simulations!$A$3:$A$62,0))*INDEX(Simulations!$H$3:$H$62,MATCH($A30,Simulations!$A$3:$A$62,0))*IF(INDEX(Simulations!$I$3:$I$62,MATCH($A30,Simulations!$A$3:$A$62,0))&gt;0,INDEX(Simulations!$I$3:$I$62,MATCH($A30,Simulations!$A$3:$A$62,0)),1))/1E-024/6.022E+023/0.000000001,""))</f>
        <v>1.3284623048821</v>
      </c>
      <c r="P30" s="20" t="n">
        <f aca="false">IF(OR($A30="",ISNA(MATCH($A30,Simulations!$A$3:$A$62,0))),"",MAX($E30:$H30)/INDEX(Simulations!$J$3:$J$62,MATCH($A30,Simulations!$A$3:$A$62,0)))</f>
        <v>1</v>
      </c>
      <c r="Q30" s="16" t="n">
        <f aca="false">IF(OR($A30="",ISNA(MATCH($A30,Simulations!$A$3:$A$62,0))),"",IF(N($E30)&lt;=0,0,IF($E30&lt;INDEX(Simulations!$J$3:$J$62,MATCH($A30,Simulations!$A$3:$A$62,0)),$D30/(INDEX(Simulations!$G$3:$G$62,MATCH($A30,Simulations!$A$3:$A$62,0))*INDEX(Simulations!$H$3:$H$62,MATCH($A30,Simulations!$A$3:$A$62,0))*IF(INDEX(Simulations!$I$3:$I$62,MATCH($A30,Simulations!$A$3:$A$62,0))&gt;0,INDEX(Simulations!$I$3:$I$62,MATCH($A30,Simulations!$A$3:$A$62,0)),1))*$E30*(PI()/2*INDEX(Simulations!$T$3:$T$62,MATCH($A30,Simulations!$A$3:$A$62,0))^2*IF(INDEX(Simulations!$I$3:$I$62,MATCH($A30,Simulations!$A$3:$A$62,0))&gt;0,SQRT(PI()/2)*INDEX(Simulations!$U$3:$U$62,MATCH($A30,Simulations!$A$3:$A$62,0)),1)),$D30/(INDEX(Simulations!$G$3:$G$62,MATCH($A30,Simulations!$A$3:$A$62,0))*INDEX(Simulations!$H$3:$H$62,MATCH($A30,Simulations!$A$3:$A$62,0))*IF(INDEX(Simulations!$I$3:$I$62,MATCH($A30,Simulations!$A$3:$A$62,0))&gt;0,INDEX(Simulations!$I$3:$I$62,MATCH($A30,Simulations!$A$3:$A$62,0)),1))*INDEX(Simulations!$J$3:$J$62,MATCH($A30,Simulations!$A$3:$A$62,0))*IF(INDEX(Simulations!$I$3:$I$62,MATCH($A30,Simulations!$A$3:$A$62,0))&gt;0,2*PI()*INDEX(Simulations!$T$3:$T$62,MATCH($A30,Simulations!$A$3:$A$62,0))^2*INDEX(Simulations!$U$3:$U$62,MATCH($A30,Simulations!$A$3:$A$62,0))/2^1.5*(2/3*LN($E30/INDEX(Simulations!$J$3:$J$62,MATCH($A30,Simulations!$A$3:$A$62,0)))^1.5+SQRT(LN($E30/INDEX(Simulations!$J$3:$J$62,MATCH($A30,Simulations!$A$3:$A$62,0))))+$E30/INDEX(Simulations!$J$3:$J$62,MATCH($A30,Simulations!$A$3:$A$62,0))*SQRT(PI())/2*ERFC(SQRT(LN($E30/INDEX(Simulations!$J$3:$J$62,MATCH($A30,Simulations!$A$3:$A$62,0)))))),PI()*INDEX(Simulations!$T$3:$T$62,MATCH($A30,Simulations!$A$3:$A$62,0))^2/2*(LN($E30/INDEX(Simulations!$J$3:$J$62,MATCH($A30,Simulations!$A$3:$A$62,0)))+1)))))</f>
        <v>62.9984397828897</v>
      </c>
      <c r="R30" s="16" t="n">
        <f aca="false">IF(OR($A30="",ISNA(MATCH($A30,Simulations!$A$3:$A$62,0))),"",IF(N($F30)&lt;=0,0,IF($F30&lt;INDEX(Simulations!$J$3:$J$62,MATCH($A30,Simulations!$A$3:$A$62,0)),$D30/(INDEX(Simulations!$G$3:$G$62,MATCH($A30,Simulations!$A$3:$A$62,0))*INDEX(Simulations!$H$3:$H$62,MATCH($A30,Simulations!$A$3:$A$62,0))*IF(INDEX(Simulations!$I$3:$I$62,MATCH($A30,Simulations!$A$3:$A$62,0))&gt;0,INDEX(Simulations!$I$3:$I$62,MATCH($A30,Simulations!$A$3:$A$62,0)),1))*$F30*(PI()/2*INDEX(Simulations!$T$3:$T$62,MATCH($A30,Simulations!$A$3:$A$62,0))^2*IF(INDEX(Simulations!$I$3:$I$62,MATCH($A30,Simulations!$A$3:$A$62,0))&gt;0,SQRT(PI()/2)*INDEX(Simulations!$U$3:$U$62,MATCH($A30,Simulations!$A$3:$A$62,0)),1)),$D30/(INDEX(Simulations!$G$3:$G$62,MATCH($A30,Simulations!$A$3:$A$62,0))*INDEX(Simulations!$H$3:$H$62,MATCH($A30,Simulations!$A$3:$A$62,0))*IF(INDEX(Simulations!$I$3:$I$62,MATCH($A30,Simulations!$A$3:$A$62,0))&gt;0,INDEX(Simulations!$I$3:$I$62,MATCH($A30,Simulations!$A$3:$A$62,0)),1))*INDEX(Simulations!$J$3:$J$62,MATCH($A30,Simulations!$A$3:$A$62,0))*IF(INDEX(Simulations!$I$3:$I$62,MATCH($A30,Simulations!$A$3:$A$62,0))&gt;0,2*PI()*INDEX(Simulations!$T$3:$T$62,MATCH($A30,Simulations!$A$3:$A$62,0))^2*INDEX(Simulations!$U$3:$U$62,MATCH($A30,Simulations!$A$3:$A$62,0))/2^1.5*(2/3*LN($F30/INDEX(Simulations!$J$3:$J$62,MATCH($A30,Simulations!$A$3:$A$62,0)))^1.5+SQRT(LN($F30/INDEX(Simulations!$J$3:$J$62,MATCH($A30,Simulations!$A$3:$A$62,0))))+$F30/INDEX(Simulations!$J$3:$J$62,MATCH($A30,Simulations!$A$3:$A$62,0))*SQRT(PI())/2*ERFC(SQRT(LN($F30/INDEX(Simulations!$J$3:$J$62,MATCH($A30,Simulations!$A$3:$A$62,0)))))),PI()*INDEX(Simulations!$T$3:$T$62,MATCH($A30,Simulations!$A$3:$A$62,0))^2/2*(LN($F30/INDEX(Simulations!$J$3:$J$62,MATCH($A30,Simulations!$A$3:$A$62,0)))+1)))))</f>
        <v>44.0989078480228</v>
      </c>
      <c r="S30" s="16" t="n">
        <f aca="false">IF(OR($A30="",ISNA(MATCH($A30,Simulations!$A$3:$A$62,0))),"",IF(N($G30)&lt;=0,0,IF($G30&lt;INDEX(Simulations!$J$3:$J$62,MATCH($A30,Simulations!$A$3:$A$62,0)),$D30/(INDEX(Simulations!$G$3:$G$62,MATCH($A30,Simulations!$A$3:$A$62,0))*INDEX(Simulations!$H$3:$H$62,MATCH($A30,Simulations!$A$3:$A$62,0))*IF(INDEX(Simulations!$I$3:$I$62,MATCH($A30,Simulations!$A$3:$A$62,0))&gt;0,INDEX(Simulations!$I$3:$I$62,MATCH($A30,Simulations!$A$3:$A$62,0)),1))*$G30*(PI()/2*INDEX(Simulations!$T$3:$T$62,MATCH($A30,Simulations!$A$3:$A$62,0))^2*IF(INDEX(Simulations!$I$3:$I$62,MATCH($A30,Simulations!$A$3:$A$62,0))&gt;0,SQRT(PI()/2)*INDEX(Simulations!$U$3:$U$62,MATCH($A30,Simulations!$A$3:$A$62,0)),1)),$D30/(INDEX(Simulations!$G$3:$G$62,MATCH($A30,Simulations!$A$3:$A$62,0))*INDEX(Simulations!$H$3:$H$62,MATCH($A30,Simulations!$A$3:$A$62,0))*IF(INDEX(Simulations!$I$3:$I$62,MATCH($A30,Simulations!$A$3:$A$62,0))&gt;0,INDEX(Simulations!$I$3:$I$62,MATCH($A30,Simulations!$A$3:$A$62,0)),1))*INDEX(Simulations!$J$3:$J$62,MATCH($A30,Simulations!$A$3:$A$62,0))*IF(INDEX(Simulations!$I$3:$I$62,MATCH($A30,Simulations!$A$3:$A$62,0))&gt;0,2*PI()*INDEX(Simulations!$T$3:$T$62,MATCH($A30,Simulations!$A$3:$A$62,0))^2*INDEX(Simulations!$U$3:$U$62,MATCH($A30,Simulations!$A$3:$A$62,0))/2^1.5*(2/3*LN($G30/INDEX(Simulations!$J$3:$J$62,MATCH($A30,Simulations!$A$3:$A$62,0)))^1.5+SQRT(LN($G30/INDEX(Simulations!$J$3:$J$62,MATCH($A30,Simulations!$A$3:$A$62,0))))+$G30/INDEX(Simulations!$J$3:$J$62,MATCH($A30,Simulations!$A$3:$A$62,0))*SQRT(PI())/2*ERFC(SQRT(LN($G30/INDEX(Simulations!$J$3:$J$62,MATCH($A30,Simulations!$A$3:$A$62,0)))))),PI()*INDEX(Simulations!$T$3:$T$62,MATCH($A30,Simulations!$A$3:$A$62,0))^2/2*(LN($G30/INDEX(Simulations!$J$3:$J$62,MATCH($A30,Simulations!$A$3:$A$62,0)))+1)))))</f>
        <v>31.4992198914448</v>
      </c>
      <c r="T30" s="16" t="n">
        <f aca="false">IF(OR($A30="",ISNA(MATCH($A30,Simulations!$A$3:$A$62,0))),"",IF(N($H30)&lt;=0,0,IF($H30&lt;INDEX(Simulations!$J$3:$J$62,MATCH($A30,Simulations!$A$3:$A$62,0)),$D30/(INDEX(Simulations!$G$3:$G$62,MATCH($A30,Simulations!$A$3:$A$62,0))*INDEX(Simulations!$H$3:$H$62,MATCH($A30,Simulations!$A$3:$A$62,0))*IF(INDEX(Simulations!$I$3:$I$62,MATCH($A30,Simulations!$A$3:$A$62,0))&gt;0,INDEX(Simulations!$I$3:$I$62,MATCH($A30,Simulations!$A$3:$A$62,0)),1))*$H30*(PI()/2*INDEX(Simulations!$T$3:$T$62,MATCH($A30,Simulations!$A$3:$A$62,0))^2*IF(INDEX(Simulations!$I$3:$I$62,MATCH($A30,Simulations!$A$3:$A$62,0))&gt;0,SQRT(PI()/2)*INDEX(Simulations!$U$3:$U$62,MATCH($A30,Simulations!$A$3:$A$62,0)),1)),$D30/(INDEX(Simulations!$G$3:$G$62,MATCH($A30,Simulations!$A$3:$A$62,0))*INDEX(Simulations!$H$3:$H$62,MATCH($A30,Simulations!$A$3:$A$62,0))*IF(INDEX(Simulations!$I$3:$I$62,MATCH($A30,Simulations!$A$3:$A$62,0))&gt;0,INDEX(Simulations!$I$3:$I$62,MATCH($A30,Simulations!$A$3:$A$62,0)),1))*INDEX(Simulations!$J$3:$J$62,MATCH($A30,Simulations!$A$3:$A$62,0))*IF(INDEX(Simulations!$I$3:$I$62,MATCH($A30,Simulations!$A$3:$A$62,0))&gt;0,2*PI()*INDEX(Simulations!$T$3:$T$62,MATCH($A30,Simulations!$A$3:$A$62,0))^2*INDEX(Simulations!$U$3:$U$62,MATCH($A30,Simulations!$A$3:$A$62,0))/2^1.5*(2/3*LN($H30/INDEX(Simulations!$J$3:$J$62,MATCH($A30,Simulations!$A$3:$A$62,0)))^1.5+SQRT(LN($H30/INDEX(Simulations!$J$3:$J$62,MATCH($A30,Simulations!$A$3:$A$62,0))))+$H30/INDEX(Simulations!$J$3:$J$62,MATCH($A30,Simulations!$A$3:$A$62,0))*SQRT(PI())/2*ERFC(SQRT(LN($H30/INDEX(Simulations!$J$3:$J$62,MATCH($A30,Simulations!$A$3:$A$62,0)))))),PI()*INDEX(Simulations!$T$3:$T$62,MATCH($A30,Simulations!$A$3:$A$62,0))^2/2*(LN($H30/INDEX(Simulations!$J$3:$J$62,MATCH($A30,Simulations!$A$3:$A$62,0)))+1)))))</f>
        <v>0</v>
      </c>
      <c r="U30" s="18" t="n">
        <f aca="false">IF(OR(OR($A30="",ISNA(MATCH($A30,Simulations!$A$3:$A$62,0))),N($C30)&lt;=0),"",SQRT(2*$C30*1000000/(INDEX(Simulations!$J$3:$J$62,MATCH($A30,Simulations!$A$3:$A$62,0))*1000))/INDEX(Simulations!$T$3:$T$62,MATCH($A30,Simulations!$A$3:$A$62,0)))</f>
        <v>0.0418330013267038</v>
      </c>
      <c r="V30" s="19" t="str">
        <f aca="false">IF($A30="","",IF(ISNA(MATCH($A30,Simulations!$A$3:$A$62,0)),"✖ Sim ID not found on the Simulations sheet",IF($P30&gt;=1,"✖ brightness &gt;= sampling frequency: completely saturated (D too small, c too large)",IF($P30&gt;0.1,"⚠ brightness &gt; 10% of the sampling frequency: focus starts to saturate",IF(N($U30)&gt;0.1,"⚠ diffusion step &gt; 10% of wr: raise the sampling frequency",IF(MAX($E30:$H30)=0,"⚠ no brightness set","✔ OK"))))))</f>
        <v>✖ brightness &gt;= sampling frequency: completely saturated (D too small, c too large)</v>
      </c>
    </row>
    <row r="31" customFormat="false" ht="23.85" hidden="false" customHeight="false" outlineLevel="0" collapsed="false">
      <c r="A31" s="13" t="s">
        <v>95</v>
      </c>
      <c r="B31" s="13" t="s">
        <v>133</v>
      </c>
      <c r="C31" s="13" t="n">
        <v>35</v>
      </c>
      <c r="D31" s="13" t="n">
        <v>1000</v>
      </c>
      <c r="E31" s="13" t="n">
        <v>1000</v>
      </c>
      <c r="F31" s="13" t="n">
        <v>0</v>
      </c>
      <c r="G31" s="13" t="n">
        <v>500</v>
      </c>
      <c r="H31" s="13" t="n">
        <v>0</v>
      </c>
      <c r="I31" s="13" t="n">
        <v>4</v>
      </c>
      <c r="J31" s="13" t="n">
        <v>3</v>
      </c>
      <c r="K31" s="13" t="n">
        <v>2</v>
      </c>
      <c r="L31" s="13" t="n">
        <v>2</v>
      </c>
      <c r="M31" s="13" t="s">
        <v>131</v>
      </c>
      <c r="N31" s="14"/>
      <c r="O31" s="18" t="n">
        <f aca="false">IF(OR($A31="",ISNA(MATCH($A31,Simulations!$A$3:$A$62,0))),"",IF(INDEX(Simulations!$I$3:$I$62,MATCH($A31,Simulations!$A$3:$A$62,0))&gt;0,$D31/(INDEX(Simulations!$G$3:$G$62,MATCH($A31,Simulations!$A$3:$A$62,0))*INDEX(Simulations!$H$3:$H$62,MATCH($A31,Simulations!$A$3:$A$62,0))*IF(INDEX(Simulations!$I$3:$I$62,MATCH($A31,Simulations!$A$3:$A$62,0))&gt;0,INDEX(Simulations!$I$3:$I$62,MATCH($A31,Simulations!$A$3:$A$62,0)),1))/1E-024/6.022E+023/0.000000001,""))</f>
        <v>13.284623048821</v>
      </c>
      <c r="P31" s="20" t="n">
        <f aca="false">IF(OR($A31="",ISNA(MATCH($A31,Simulations!$A$3:$A$62,0))),"",MAX($E31:$H31)/INDEX(Simulations!$J$3:$J$62,MATCH($A31,Simulations!$A$3:$A$62,0)))</f>
        <v>1</v>
      </c>
      <c r="Q31" s="16" t="n">
        <f aca="false">IF(OR($A31="",ISNA(MATCH($A31,Simulations!$A$3:$A$62,0))),"",IF(N($E31)&lt;=0,0,IF($E31&lt;INDEX(Simulations!$J$3:$J$62,MATCH($A31,Simulations!$A$3:$A$62,0)),$D31/(INDEX(Simulations!$G$3:$G$62,MATCH($A31,Simulations!$A$3:$A$62,0))*INDEX(Simulations!$H$3:$H$62,MATCH($A31,Simulations!$A$3:$A$62,0))*IF(INDEX(Simulations!$I$3:$I$62,MATCH($A31,Simulations!$A$3:$A$62,0))&gt;0,INDEX(Simulations!$I$3:$I$62,MATCH($A31,Simulations!$A$3:$A$62,0)),1))*$E31*(PI()/2*INDEX(Simulations!$T$3:$T$62,MATCH($A31,Simulations!$A$3:$A$62,0))^2*IF(INDEX(Simulations!$I$3:$I$62,MATCH($A31,Simulations!$A$3:$A$62,0))&gt;0,SQRT(PI()/2)*INDEX(Simulations!$U$3:$U$62,MATCH($A31,Simulations!$A$3:$A$62,0)),1)),$D31/(INDEX(Simulations!$G$3:$G$62,MATCH($A31,Simulations!$A$3:$A$62,0))*INDEX(Simulations!$H$3:$H$62,MATCH($A31,Simulations!$A$3:$A$62,0))*IF(INDEX(Simulations!$I$3:$I$62,MATCH($A31,Simulations!$A$3:$A$62,0))&gt;0,INDEX(Simulations!$I$3:$I$62,MATCH($A31,Simulations!$A$3:$A$62,0)),1))*INDEX(Simulations!$J$3:$J$62,MATCH($A31,Simulations!$A$3:$A$62,0))*IF(INDEX(Simulations!$I$3:$I$62,MATCH($A31,Simulations!$A$3:$A$62,0))&gt;0,2*PI()*INDEX(Simulations!$T$3:$T$62,MATCH($A31,Simulations!$A$3:$A$62,0))^2*INDEX(Simulations!$U$3:$U$62,MATCH($A31,Simulations!$A$3:$A$62,0))/2^1.5*(2/3*LN($E31/INDEX(Simulations!$J$3:$J$62,MATCH($A31,Simulations!$A$3:$A$62,0)))^1.5+SQRT(LN($E31/INDEX(Simulations!$J$3:$J$62,MATCH($A31,Simulations!$A$3:$A$62,0))))+$E31/INDEX(Simulations!$J$3:$J$62,MATCH($A31,Simulations!$A$3:$A$62,0))*SQRT(PI())/2*ERFC(SQRT(LN($E31/INDEX(Simulations!$J$3:$J$62,MATCH($A31,Simulations!$A$3:$A$62,0)))))),PI()*INDEX(Simulations!$T$3:$T$62,MATCH($A31,Simulations!$A$3:$A$62,0))^2/2*(LN($E31/INDEX(Simulations!$J$3:$J$62,MATCH($A31,Simulations!$A$3:$A$62,0)))+1)))))</f>
        <v>629.984397828897</v>
      </c>
      <c r="R31" s="16" t="n">
        <f aca="false">IF(OR($A31="",ISNA(MATCH($A31,Simulations!$A$3:$A$62,0))),"",IF(N($F31)&lt;=0,0,IF($F31&lt;INDEX(Simulations!$J$3:$J$62,MATCH($A31,Simulations!$A$3:$A$62,0)),$D31/(INDEX(Simulations!$G$3:$G$62,MATCH($A31,Simulations!$A$3:$A$62,0))*INDEX(Simulations!$H$3:$H$62,MATCH($A31,Simulations!$A$3:$A$62,0))*IF(INDEX(Simulations!$I$3:$I$62,MATCH($A31,Simulations!$A$3:$A$62,0))&gt;0,INDEX(Simulations!$I$3:$I$62,MATCH($A31,Simulations!$A$3:$A$62,0)),1))*$F31*(PI()/2*INDEX(Simulations!$T$3:$T$62,MATCH($A31,Simulations!$A$3:$A$62,0))^2*IF(INDEX(Simulations!$I$3:$I$62,MATCH($A31,Simulations!$A$3:$A$62,0))&gt;0,SQRT(PI()/2)*INDEX(Simulations!$U$3:$U$62,MATCH($A31,Simulations!$A$3:$A$62,0)),1)),$D31/(INDEX(Simulations!$G$3:$G$62,MATCH($A31,Simulations!$A$3:$A$62,0))*INDEX(Simulations!$H$3:$H$62,MATCH($A31,Simulations!$A$3:$A$62,0))*IF(INDEX(Simulations!$I$3:$I$62,MATCH($A31,Simulations!$A$3:$A$62,0))&gt;0,INDEX(Simulations!$I$3:$I$62,MATCH($A31,Simulations!$A$3:$A$62,0)),1))*INDEX(Simulations!$J$3:$J$62,MATCH($A31,Simulations!$A$3:$A$62,0))*IF(INDEX(Simulations!$I$3:$I$62,MATCH($A31,Simulations!$A$3:$A$62,0))&gt;0,2*PI()*INDEX(Simulations!$T$3:$T$62,MATCH($A31,Simulations!$A$3:$A$62,0))^2*INDEX(Simulations!$U$3:$U$62,MATCH($A31,Simulations!$A$3:$A$62,0))/2^1.5*(2/3*LN($F31/INDEX(Simulations!$J$3:$J$62,MATCH($A31,Simulations!$A$3:$A$62,0)))^1.5+SQRT(LN($F31/INDEX(Simulations!$J$3:$J$62,MATCH($A31,Simulations!$A$3:$A$62,0))))+$F31/INDEX(Simulations!$J$3:$J$62,MATCH($A31,Simulations!$A$3:$A$62,0))*SQRT(PI())/2*ERFC(SQRT(LN($F31/INDEX(Simulations!$J$3:$J$62,MATCH($A31,Simulations!$A$3:$A$62,0)))))),PI()*INDEX(Simulations!$T$3:$T$62,MATCH($A31,Simulations!$A$3:$A$62,0))^2/2*(LN($F31/INDEX(Simulations!$J$3:$J$62,MATCH($A31,Simulations!$A$3:$A$62,0)))+1)))))</f>
        <v>0</v>
      </c>
      <c r="S31" s="16" t="n">
        <f aca="false">IF(OR($A31="",ISNA(MATCH($A31,Simulations!$A$3:$A$62,0))),"",IF(N($G31)&lt;=0,0,IF($G31&lt;INDEX(Simulations!$J$3:$J$62,MATCH($A31,Simulations!$A$3:$A$62,0)),$D31/(INDEX(Simulations!$G$3:$G$62,MATCH($A31,Simulations!$A$3:$A$62,0))*INDEX(Simulations!$H$3:$H$62,MATCH($A31,Simulations!$A$3:$A$62,0))*IF(INDEX(Simulations!$I$3:$I$62,MATCH($A31,Simulations!$A$3:$A$62,0))&gt;0,INDEX(Simulations!$I$3:$I$62,MATCH($A31,Simulations!$A$3:$A$62,0)),1))*$G31*(PI()/2*INDEX(Simulations!$T$3:$T$62,MATCH($A31,Simulations!$A$3:$A$62,0))^2*IF(INDEX(Simulations!$I$3:$I$62,MATCH($A31,Simulations!$A$3:$A$62,0))&gt;0,SQRT(PI()/2)*INDEX(Simulations!$U$3:$U$62,MATCH($A31,Simulations!$A$3:$A$62,0)),1)),$D31/(INDEX(Simulations!$G$3:$G$62,MATCH($A31,Simulations!$A$3:$A$62,0))*INDEX(Simulations!$H$3:$H$62,MATCH($A31,Simulations!$A$3:$A$62,0))*IF(INDEX(Simulations!$I$3:$I$62,MATCH($A31,Simulations!$A$3:$A$62,0))&gt;0,INDEX(Simulations!$I$3:$I$62,MATCH($A31,Simulations!$A$3:$A$62,0)),1))*INDEX(Simulations!$J$3:$J$62,MATCH($A31,Simulations!$A$3:$A$62,0))*IF(INDEX(Simulations!$I$3:$I$62,MATCH($A31,Simulations!$A$3:$A$62,0))&gt;0,2*PI()*INDEX(Simulations!$T$3:$T$62,MATCH($A31,Simulations!$A$3:$A$62,0))^2*INDEX(Simulations!$U$3:$U$62,MATCH($A31,Simulations!$A$3:$A$62,0))/2^1.5*(2/3*LN($G31/INDEX(Simulations!$J$3:$J$62,MATCH($A31,Simulations!$A$3:$A$62,0)))^1.5+SQRT(LN($G31/INDEX(Simulations!$J$3:$J$62,MATCH($A31,Simulations!$A$3:$A$62,0))))+$G31/INDEX(Simulations!$J$3:$J$62,MATCH($A31,Simulations!$A$3:$A$62,0))*SQRT(PI())/2*ERFC(SQRT(LN($G31/INDEX(Simulations!$J$3:$J$62,MATCH($A31,Simulations!$A$3:$A$62,0)))))),PI()*INDEX(Simulations!$T$3:$T$62,MATCH($A31,Simulations!$A$3:$A$62,0))^2/2*(LN($G31/INDEX(Simulations!$J$3:$J$62,MATCH($A31,Simulations!$A$3:$A$62,0)))+1)))))</f>
        <v>314.992198914448</v>
      </c>
      <c r="T31" s="16" t="n">
        <f aca="false">IF(OR($A31="",ISNA(MATCH($A31,Simulations!$A$3:$A$62,0))),"",IF(N($H31)&lt;=0,0,IF($H31&lt;INDEX(Simulations!$J$3:$J$62,MATCH($A31,Simulations!$A$3:$A$62,0)),$D31/(INDEX(Simulations!$G$3:$G$62,MATCH($A31,Simulations!$A$3:$A$62,0))*INDEX(Simulations!$H$3:$H$62,MATCH($A31,Simulations!$A$3:$A$62,0))*IF(INDEX(Simulations!$I$3:$I$62,MATCH($A31,Simulations!$A$3:$A$62,0))&gt;0,INDEX(Simulations!$I$3:$I$62,MATCH($A31,Simulations!$A$3:$A$62,0)),1))*$H31*(PI()/2*INDEX(Simulations!$T$3:$T$62,MATCH($A31,Simulations!$A$3:$A$62,0))^2*IF(INDEX(Simulations!$I$3:$I$62,MATCH($A31,Simulations!$A$3:$A$62,0))&gt;0,SQRT(PI()/2)*INDEX(Simulations!$U$3:$U$62,MATCH($A31,Simulations!$A$3:$A$62,0)),1)),$D31/(INDEX(Simulations!$G$3:$G$62,MATCH($A31,Simulations!$A$3:$A$62,0))*INDEX(Simulations!$H$3:$H$62,MATCH($A31,Simulations!$A$3:$A$62,0))*IF(INDEX(Simulations!$I$3:$I$62,MATCH($A31,Simulations!$A$3:$A$62,0))&gt;0,INDEX(Simulations!$I$3:$I$62,MATCH($A31,Simulations!$A$3:$A$62,0)),1))*INDEX(Simulations!$J$3:$J$62,MATCH($A31,Simulations!$A$3:$A$62,0))*IF(INDEX(Simulations!$I$3:$I$62,MATCH($A31,Simulations!$A$3:$A$62,0))&gt;0,2*PI()*INDEX(Simulations!$T$3:$T$62,MATCH($A31,Simulations!$A$3:$A$62,0))^2*INDEX(Simulations!$U$3:$U$62,MATCH($A31,Simulations!$A$3:$A$62,0))/2^1.5*(2/3*LN($H31/INDEX(Simulations!$J$3:$J$62,MATCH($A31,Simulations!$A$3:$A$62,0)))^1.5+SQRT(LN($H31/INDEX(Simulations!$J$3:$J$62,MATCH($A31,Simulations!$A$3:$A$62,0))))+$H31/INDEX(Simulations!$J$3:$J$62,MATCH($A31,Simulations!$A$3:$A$62,0))*SQRT(PI())/2*ERFC(SQRT(LN($H31/INDEX(Simulations!$J$3:$J$62,MATCH($A31,Simulations!$A$3:$A$62,0)))))),PI()*INDEX(Simulations!$T$3:$T$62,MATCH($A31,Simulations!$A$3:$A$62,0))^2/2*(LN($H31/INDEX(Simulations!$J$3:$J$62,MATCH($A31,Simulations!$A$3:$A$62,0)))+1)))))</f>
        <v>0</v>
      </c>
      <c r="U31" s="18" t="n">
        <f aca="false">IF(OR(OR($A31="",ISNA(MATCH($A31,Simulations!$A$3:$A$62,0))),N($C31)&lt;=0),"",SQRT(2*$C31*1000000/(INDEX(Simulations!$J$3:$J$62,MATCH($A31,Simulations!$A$3:$A$62,0))*1000))/INDEX(Simulations!$T$3:$T$62,MATCH($A31,Simulations!$A$3:$A$62,0)))</f>
        <v>0.0418330013267038</v>
      </c>
      <c r="V31" s="19" t="str">
        <f aca="false">IF($A31="","",IF(ISNA(MATCH($A31,Simulations!$A$3:$A$62,0)),"✖ Sim ID not found on the Simulations sheet",IF($P31&gt;=1,"✖ brightness &gt;= sampling frequency: completely saturated (D too small, c too large)",IF($P31&gt;0.1,"⚠ brightness &gt; 10% of the sampling frequency: focus starts to saturate",IF(N($U31)&gt;0.1,"⚠ diffusion step &gt; 10% of wr: raise the sampling frequency",IF(MAX($E31:$H31)=0,"⚠ no brightness set","✔ OK"))))))</f>
        <v>✖ brightness &gt;= sampling frequency: completely saturated (D too small, c too large)</v>
      </c>
    </row>
    <row r="32" customFormat="false" ht="23.85" hidden="false" customHeight="false" outlineLevel="0" collapsed="false">
      <c r="A32" s="13" t="s">
        <v>95</v>
      </c>
      <c r="B32" s="13" t="s">
        <v>134</v>
      </c>
      <c r="C32" s="13" t="n">
        <v>35</v>
      </c>
      <c r="D32" s="13" t="n">
        <v>500</v>
      </c>
      <c r="E32" s="13" t="n">
        <v>1000</v>
      </c>
      <c r="F32" s="13" t="n">
        <v>700</v>
      </c>
      <c r="G32" s="13" t="n">
        <v>0</v>
      </c>
      <c r="H32" s="13" t="n">
        <v>0</v>
      </c>
      <c r="I32" s="13" t="n">
        <v>4</v>
      </c>
      <c r="J32" s="13" t="n">
        <v>3</v>
      </c>
      <c r="K32" s="13" t="n">
        <v>2</v>
      </c>
      <c r="L32" s="13" t="n">
        <v>2</v>
      </c>
      <c r="M32" s="13" t="s">
        <v>131</v>
      </c>
      <c r="N32" s="14"/>
      <c r="O32" s="18" t="n">
        <f aca="false">IF(OR($A32="",ISNA(MATCH($A32,Simulations!$A$3:$A$62,0))),"",IF(INDEX(Simulations!$I$3:$I$62,MATCH($A32,Simulations!$A$3:$A$62,0))&gt;0,$D32/(INDEX(Simulations!$G$3:$G$62,MATCH($A32,Simulations!$A$3:$A$62,0))*INDEX(Simulations!$H$3:$H$62,MATCH($A32,Simulations!$A$3:$A$62,0))*IF(INDEX(Simulations!$I$3:$I$62,MATCH($A32,Simulations!$A$3:$A$62,0))&gt;0,INDEX(Simulations!$I$3:$I$62,MATCH($A32,Simulations!$A$3:$A$62,0)),1))/1E-024/6.022E+023/0.000000001,""))</f>
        <v>6.6423115244105</v>
      </c>
      <c r="P32" s="20" t="n">
        <f aca="false">IF(OR($A32="",ISNA(MATCH($A32,Simulations!$A$3:$A$62,0))),"",MAX($E32:$H32)/INDEX(Simulations!$J$3:$J$62,MATCH($A32,Simulations!$A$3:$A$62,0)))</f>
        <v>1</v>
      </c>
      <c r="Q32" s="16" t="n">
        <f aca="false">IF(OR($A32="",ISNA(MATCH($A32,Simulations!$A$3:$A$62,0))),"",IF(N($E32)&lt;=0,0,IF($E32&lt;INDEX(Simulations!$J$3:$J$62,MATCH($A32,Simulations!$A$3:$A$62,0)),$D32/(INDEX(Simulations!$G$3:$G$62,MATCH($A32,Simulations!$A$3:$A$62,0))*INDEX(Simulations!$H$3:$H$62,MATCH($A32,Simulations!$A$3:$A$62,0))*IF(INDEX(Simulations!$I$3:$I$62,MATCH($A32,Simulations!$A$3:$A$62,0))&gt;0,INDEX(Simulations!$I$3:$I$62,MATCH($A32,Simulations!$A$3:$A$62,0)),1))*$E32*(PI()/2*INDEX(Simulations!$T$3:$T$62,MATCH($A32,Simulations!$A$3:$A$62,0))^2*IF(INDEX(Simulations!$I$3:$I$62,MATCH($A32,Simulations!$A$3:$A$62,0))&gt;0,SQRT(PI()/2)*INDEX(Simulations!$U$3:$U$62,MATCH($A32,Simulations!$A$3:$A$62,0)),1)),$D32/(INDEX(Simulations!$G$3:$G$62,MATCH($A32,Simulations!$A$3:$A$62,0))*INDEX(Simulations!$H$3:$H$62,MATCH($A32,Simulations!$A$3:$A$62,0))*IF(INDEX(Simulations!$I$3:$I$62,MATCH($A32,Simulations!$A$3:$A$62,0))&gt;0,INDEX(Simulations!$I$3:$I$62,MATCH($A32,Simulations!$A$3:$A$62,0)),1))*INDEX(Simulations!$J$3:$J$62,MATCH($A32,Simulations!$A$3:$A$62,0))*IF(INDEX(Simulations!$I$3:$I$62,MATCH($A32,Simulations!$A$3:$A$62,0))&gt;0,2*PI()*INDEX(Simulations!$T$3:$T$62,MATCH($A32,Simulations!$A$3:$A$62,0))^2*INDEX(Simulations!$U$3:$U$62,MATCH($A32,Simulations!$A$3:$A$62,0))/2^1.5*(2/3*LN($E32/INDEX(Simulations!$J$3:$J$62,MATCH($A32,Simulations!$A$3:$A$62,0)))^1.5+SQRT(LN($E32/INDEX(Simulations!$J$3:$J$62,MATCH($A32,Simulations!$A$3:$A$62,0))))+$E32/INDEX(Simulations!$J$3:$J$62,MATCH($A32,Simulations!$A$3:$A$62,0))*SQRT(PI())/2*ERFC(SQRT(LN($E32/INDEX(Simulations!$J$3:$J$62,MATCH($A32,Simulations!$A$3:$A$62,0)))))),PI()*INDEX(Simulations!$T$3:$T$62,MATCH($A32,Simulations!$A$3:$A$62,0))^2/2*(LN($E32/INDEX(Simulations!$J$3:$J$62,MATCH($A32,Simulations!$A$3:$A$62,0)))+1)))))</f>
        <v>314.992198914448</v>
      </c>
      <c r="R32" s="16" t="n">
        <f aca="false">IF(OR($A32="",ISNA(MATCH($A32,Simulations!$A$3:$A$62,0))),"",IF(N($F32)&lt;=0,0,IF($F32&lt;INDEX(Simulations!$J$3:$J$62,MATCH($A32,Simulations!$A$3:$A$62,0)),$D32/(INDEX(Simulations!$G$3:$G$62,MATCH($A32,Simulations!$A$3:$A$62,0))*INDEX(Simulations!$H$3:$H$62,MATCH($A32,Simulations!$A$3:$A$62,0))*IF(INDEX(Simulations!$I$3:$I$62,MATCH($A32,Simulations!$A$3:$A$62,0))&gt;0,INDEX(Simulations!$I$3:$I$62,MATCH($A32,Simulations!$A$3:$A$62,0)),1))*$F32*(PI()/2*INDEX(Simulations!$T$3:$T$62,MATCH($A32,Simulations!$A$3:$A$62,0))^2*IF(INDEX(Simulations!$I$3:$I$62,MATCH($A32,Simulations!$A$3:$A$62,0))&gt;0,SQRT(PI()/2)*INDEX(Simulations!$U$3:$U$62,MATCH($A32,Simulations!$A$3:$A$62,0)),1)),$D32/(INDEX(Simulations!$G$3:$G$62,MATCH($A32,Simulations!$A$3:$A$62,0))*INDEX(Simulations!$H$3:$H$62,MATCH($A32,Simulations!$A$3:$A$62,0))*IF(INDEX(Simulations!$I$3:$I$62,MATCH($A32,Simulations!$A$3:$A$62,0))&gt;0,INDEX(Simulations!$I$3:$I$62,MATCH($A32,Simulations!$A$3:$A$62,0)),1))*INDEX(Simulations!$J$3:$J$62,MATCH($A32,Simulations!$A$3:$A$62,0))*IF(INDEX(Simulations!$I$3:$I$62,MATCH($A32,Simulations!$A$3:$A$62,0))&gt;0,2*PI()*INDEX(Simulations!$T$3:$T$62,MATCH($A32,Simulations!$A$3:$A$62,0))^2*INDEX(Simulations!$U$3:$U$62,MATCH($A32,Simulations!$A$3:$A$62,0))/2^1.5*(2/3*LN($F32/INDEX(Simulations!$J$3:$J$62,MATCH($A32,Simulations!$A$3:$A$62,0)))^1.5+SQRT(LN($F32/INDEX(Simulations!$J$3:$J$62,MATCH($A32,Simulations!$A$3:$A$62,0))))+$F32/INDEX(Simulations!$J$3:$J$62,MATCH($A32,Simulations!$A$3:$A$62,0))*SQRT(PI())/2*ERFC(SQRT(LN($F32/INDEX(Simulations!$J$3:$J$62,MATCH($A32,Simulations!$A$3:$A$62,0)))))),PI()*INDEX(Simulations!$T$3:$T$62,MATCH($A32,Simulations!$A$3:$A$62,0))^2/2*(LN($F32/INDEX(Simulations!$J$3:$J$62,MATCH($A32,Simulations!$A$3:$A$62,0)))+1)))))</f>
        <v>220.494539240114</v>
      </c>
      <c r="S32" s="16" t="n">
        <f aca="false">IF(OR($A32="",ISNA(MATCH($A32,Simulations!$A$3:$A$62,0))),"",IF(N($G32)&lt;=0,0,IF($G32&lt;INDEX(Simulations!$J$3:$J$62,MATCH($A32,Simulations!$A$3:$A$62,0)),$D32/(INDEX(Simulations!$G$3:$G$62,MATCH($A32,Simulations!$A$3:$A$62,0))*INDEX(Simulations!$H$3:$H$62,MATCH($A32,Simulations!$A$3:$A$62,0))*IF(INDEX(Simulations!$I$3:$I$62,MATCH($A32,Simulations!$A$3:$A$62,0))&gt;0,INDEX(Simulations!$I$3:$I$62,MATCH($A32,Simulations!$A$3:$A$62,0)),1))*$G32*(PI()/2*INDEX(Simulations!$T$3:$T$62,MATCH($A32,Simulations!$A$3:$A$62,0))^2*IF(INDEX(Simulations!$I$3:$I$62,MATCH($A32,Simulations!$A$3:$A$62,0))&gt;0,SQRT(PI()/2)*INDEX(Simulations!$U$3:$U$62,MATCH($A32,Simulations!$A$3:$A$62,0)),1)),$D32/(INDEX(Simulations!$G$3:$G$62,MATCH($A32,Simulations!$A$3:$A$62,0))*INDEX(Simulations!$H$3:$H$62,MATCH($A32,Simulations!$A$3:$A$62,0))*IF(INDEX(Simulations!$I$3:$I$62,MATCH($A32,Simulations!$A$3:$A$62,0))&gt;0,INDEX(Simulations!$I$3:$I$62,MATCH($A32,Simulations!$A$3:$A$62,0)),1))*INDEX(Simulations!$J$3:$J$62,MATCH($A32,Simulations!$A$3:$A$62,0))*IF(INDEX(Simulations!$I$3:$I$62,MATCH($A32,Simulations!$A$3:$A$62,0))&gt;0,2*PI()*INDEX(Simulations!$T$3:$T$62,MATCH($A32,Simulations!$A$3:$A$62,0))^2*INDEX(Simulations!$U$3:$U$62,MATCH($A32,Simulations!$A$3:$A$62,0))/2^1.5*(2/3*LN($G32/INDEX(Simulations!$J$3:$J$62,MATCH($A32,Simulations!$A$3:$A$62,0)))^1.5+SQRT(LN($G32/INDEX(Simulations!$J$3:$J$62,MATCH($A32,Simulations!$A$3:$A$62,0))))+$G32/INDEX(Simulations!$J$3:$J$62,MATCH($A32,Simulations!$A$3:$A$62,0))*SQRT(PI())/2*ERFC(SQRT(LN($G32/INDEX(Simulations!$J$3:$J$62,MATCH($A32,Simulations!$A$3:$A$62,0)))))),PI()*INDEX(Simulations!$T$3:$T$62,MATCH($A32,Simulations!$A$3:$A$62,0))^2/2*(LN($G32/INDEX(Simulations!$J$3:$J$62,MATCH($A32,Simulations!$A$3:$A$62,0)))+1)))))</f>
        <v>0</v>
      </c>
      <c r="T32" s="16" t="n">
        <f aca="false">IF(OR($A32="",ISNA(MATCH($A32,Simulations!$A$3:$A$62,0))),"",IF(N($H32)&lt;=0,0,IF($H32&lt;INDEX(Simulations!$J$3:$J$62,MATCH($A32,Simulations!$A$3:$A$62,0)),$D32/(INDEX(Simulations!$G$3:$G$62,MATCH($A32,Simulations!$A$3:$A$62,0))*INDEX(Simulations!$H$3:$H$62,MATCH($A32,Simulations!$A$3:$A$62,0))*IF(INDEX(Simulations!$I$3:$I$62,MATCH($A32,Simulations!$A$3:$A$62,0))&gt;0,INDEX(Simulations!$I$3:$I$62,MATCH($A32,Simulations!$A$3:$A$62,0)),1))*$H32*(PI()/2*INDEX(Simulations!$T$3:$T$62,MATCH($A32,Simulations!$A$3:$A$62,0))^2*IF(INDEX(Simulations!$I$3:$I$62,MATCH($A32,Simulations!$A$3:$A$62,0))&gt;0,SQRT(PI()/2)*INDEX(Simulations!$U$3:$U$62,MATCH($A32,Simulations!$A$3:$A$62,0)),1)),$D32/(INDEX(Simulations!$G$3:$G$62,MATCH($A32,Simulations!$A$3:$A$62,0))*INDEX(Simulations!$H$3:$H$62,MATCH($A32,Simulations!$A$3:$A$62,0))*IF(INDEX(Simulations!$I$3:$I$62,MATCH($A32,Simulations!$A$3:$A$62,0))&gt;0,INDEX(Simulations!$I$3:$I$62,MATCH($A32,Simulations!$A$3:$A$62,0)),1))*INDEX(Simulations!$J$3:$J$62,MATCH($A32,Simulations!$A$3:$A$62,0))*IF(INDEX(Simulations!$I$3:$I$62,MATCH($A32,Simulations!$A$3:$A$62,0))&gt;0,2*PI()*INDEX(Simulations!$T$3:$T$62,MATCH($A32,Simulations!$A$3:$A$62,0))^2*INDEX(Simulations!$U$3:$U$62,MATCH($A32,Simulations!$A$3:$A$62,0))/2^1.5*(2/3*LN($H32/INDEX(Simulations!$J$3:$J$62,MATCH($A32,Simulations!$A$3:$A$62,0)))^1.5+SQRT(LN($H32/INDEX(Simulations!$J$3:$J$62,MATCH($A32,Simulations!$A$3:$A$62,0))))+$H32/INDEX(Simulations!$J$3:$J$62,MATCH($A32,Simulations!$A$3:$A$62,0))*SQRT(PI())/2*ERFC(SQRT(LN($H32/INDEX(Simulations!$J$3:$J$62,MATCH($A32,Simulations!$A$3:$A$62,0)))))),PI()*INDEX(Simulations!$T$3:$T$62,MATCH($A32,Simulations!$A$3:$A$62,0))^2/2*(LN($H32/INDEX(Simulations!$J$3:$J$62,MATCH($A32,Simulations!$A$3:$A$62,0)))+1)))))</f>
        <v>0</v>
      </c>
      <c r="U32" s="18" t="n">
        <f aca="false">IF(OR(OR($A32="",ISNA(MATCH($A32,Simulations!$A$3:$A$62,0))),N($C32)&lt;=0),"",SQRT(2*$C32*1000000/(INDEX(Simulations!$J$3:$J$62,MATCH($A32,Simulations!$A$3:$A$62,0))*1000))/INDEX(Simulations!$T$3:$T$62,MATCH($A32,Simulations!$A$3:$A$62,0)))</f>
        <v>0.0418330013267038</v>
      </c>
      <c r="V32" s="19" t="str">
        <f aca="false">IF($A32="","",IF(ISNA(MATCH($A32,Simulations!$A$3:$A$62,0)),"✖ Sim ID not found on the Simulations sheet",IF($P32&gt;=1,"✖ brightness &gt;= sampling frequency: completely saturated (D too small, c too large)",IF($P32&gt;0.1,"⚠ brightness &gt; 10% of the sampling frequency: focus starts to saturate",IF(N($U32)&gt;0.1,"⚠ diffusion step &gt; 10% of wr: raise the sampling frequency",IF(MAX($E32:$H32)=0,"⚠ no brightness set","✔ OK"))))))</f>
        <v>✖ brightness &gt;= sampling frequency: completely saturated (D too small, c too large)</v>
      </c>
    </row>
    <row r="33" customFormat="false" ht="23.85" hidden="false" customHeight="false" outlineLevel="0" collapsed="false">
      <c r="A33" s="13" t="s">
        <v>98</v>
      </c>
      <c r="B33" s="13" t="s">
        <v>132</v>
      </c>
      <c r="C33" s="13" t="n">
        <v>35</v>
      </c>
      <c r="D33" s="13" t="n">
        <v>100</v>
      </c>
      <c r="E33" s="13" t="n">
        <v>1000</v>
      </c>
      <c r="F33" s="13" t="n">
        <v>700</v>
      </c>
      <c r="G33" s="13" t="n">
        <v>500</v>
      </c>
      <c r="H33" s="13" t="n">
        <v>0</v>
      </c>
      <c r="I33" s="13" t="n">
        <v>4</v>
      </c>
      <c r="J33" s="13" t="n">
        <v>3</v>
      </c>
      <c r="K33" s="13" t="n">
        <v>2</v>
      </c>
      <c r="L33" s="13" t="n">
        <v>2</v>
      </c>
      <c r="M33" s="13" t="s">
        <v>131</v>
      </c>
      <c r="N33" s="14"/>
      <c r="O33" s="18" t="n">
        <f aca="false">IF(OR($A33="",ISNA(MATCH($A33,Simulations!$A$3:$A$62,0))),"",IF(INDEX(Simulations!$I$3:$I$62,MATCH($A33,Simulations!$A$3:$A$62,0))&gt;0,$D33/(INDEX(Simulations!$G$3:$G$62,MATCH($A33,Simulations!$A$3:$A$62,0))*INDEX(Simulations!$H$3:$H$62,MATCH($A33,Simulations!$A$3:$A$62,0))*IF(INDEX(Simulations!$I$3:$I$62,MATCH($A33,Simulations!$A$3:$A$62,0))&gt;0,INDEX(Simulations!$I$3:$I$62,MATCH($A33,Simulations!$A$3:$A$62,0)),1))/1E-024/6.022E+023/0.000000001,""))</f>
        <v>1.3284623048821</v>
      </c>
      <c r="P33" s="20" t="n">
        <f aca="false">IF(OR($A33="",ISNA(MATCH($A33,Simulations!$A$3:$A$62,0))),"",MAX($E33:$H33)/INDEX(Simulations!$J$3:$J$62,MATCH($A33,Simulations!$A$3:$A$62,0)))</f>
        <v>1</v>
      </c>
      <c r="Q33" s="16" t="n">
        <f aca="false">IF(OR($A33="",ISNA(MATCH($A33,Simulations!$A$3:$A$62,0))),"",IF(N($E33)&lt;=0,0,IF($E33&lt;INDEX(Simulations!$J$3:$J$62,MATCH($A33,Simulations!$A$3:$A$62,0)),$D33/(INDEX(Simulations!$G$3:$G$62,MATCH($A33,Simulations!$A$3:$A$62,0))*INDEX(Simulations!$H$3:$H$62,MATCH($A33,Simulations!$A$3:$A$62,0))*IF(INDEX(Simulations!$I$3:$I$62,MATCH($A33,Simulations!$A$3:$A$62,0))&gt;0,INDEX(Simulations!$I$3:$I$62,MATCH($A33,Simulations!$A$3:$A$62,0)),1))*$E33*(PI()/2*INDEX(Simulations!$T$3:$T$62,MATCH($A33,Simulations!$A$3:$A$62,0))^2*IF(INDEX(Simulations!$I$3:$I$62,MATCH($A33,Simulations!$A$3:$A$62,0))&gt;0,SQRT(PI()/2)*INDEX(Simulations!$U$3:$U$62,MATCH($A33,Simulations!$A$3:$A$62,0)),1)),$D33/(INDEX(Simulations!$G$3:$G$62,MATCH($A33,Simulations!$A$3:$A$62,0))*INDEX(Simulations!$H$3:$H$62,MATCH($A33,Simulations!$A$3:$A$62,0))*IF(INDEX(Simulations!$I$3:$I$62,MATCH($A33,Simulations!$A$3:$A$62,0))&gt;0,INDEX(Simulations!$I$3:$I$62,MATCH($A33,Simulations!$A$3:$A$62,0)),1))*INDEX(Simulations!$J$3:$J$62,MATCH($A33,Simulations!$A$3:$A$62,0))*IF(INDEX(Simulations!$I$3:$I$62,MATCH($A33,Simulations!$A$3:$A$62,0))&gt;0,2*PI()*INDEX(Simulations!$T$3:$T$62,MATCH($A33,Simulations!$A$3:$A$62,0))^2*INDEX(Simulations!$U$3:$U$62,MATCH($A33,Simulations!$A$3:$A$62,0))/2^1.5*(2/3*LN($E33/INDEX(Simulations!$J$3:$J$62,MATCH($A33,Simulations!$A$3:$A$62,0)))^1.5+SQRT(LN($E33/INDEX(Simulations!$J$3:$J$62,MATCH($A33,Simulations!$A$3:$A$62,0))))+$E33/INDEX(Simulations!$J$3:$J$62,MATCH($A33,Simulations!$A$3:$A$62,0))*SQRT(PI())/2*ERFC(SQRT(LN($E33/INDEX(Simulations!$J$3:$J$62,MATCH($A33,Simulations!$A$3:$A$62,0)))))),PI()*INDEX(Simulations!$T$3:$T$62,MATCH($A33,Simulations!$A$3:$A$62,0))^2/2*(LN($E33/INDEX(Simulations!$J$3:$J$62,MATCH($A33,Simulations!$A$3:$A$62,0)))+1)))))</f>
        <v>62.9984397828897</v>
      </c>
      <c r="R33" s="16" t="n">
        <f aca="false">IF(OR($A33="",ISNA(MATCH($A33,Simulations!$A$3:$A$62,0))),"",IF(N($F33)&lt;=0,0,IF($F33&lt;INDEX(Simulations!$J$3:$J$62,MATCH($A33,Simulations!$A$3:$A$62,0)),$D33/(INDEX(Simulations!$G$3:$G$62,MATCH($A33,Simulations!$A$3:$A$62,0))*INDEX(Simulations!$H$3:$H$62,MATCH($A33,Simulations!$A$3:$A$62,0))*IF(INDEX(Simulations!$I$3:$I$62,MATCH($A33,Simulations!$A$3:$A$62,0))&gt;0,INDEX(Simulations!$I$3:$I$62,MATCH($A33,Simulations!$A$3:$A$62,0)),1))*$F33*(PI()/2*INDEX(Simulations!$T$3:$T$62,MATCH($A33,Simulations!$A$3:$A$62,0))^2*IF(INDEX(Simulations!$I$3:$I$62,MATCH($A33,Simulations!$A$3:$A$62,0))&gt;0,SQRT(PI()/2)*INDEX(Simulations!$U$3:$U$62,MATCH($A33,Simulations!$A$3:$A$62,0)),1)),$D33/(INDEX(Simulations!$G$3:$G$62,MATCH($A33,Simulations!$A$3:$A$62,0))*INDEX(Simulations!$H$3:$H$62,MATCH($A33,Simulations!$A$3:$A$62,0))*IF(INDEX(Simulations!$I$3:$I$62,MATCH($A33,Simulations!$A$3:$A$62,0))&gt;0,INDEX(Simulations!$I$3:$I$62,MATCH($A33,Simulations!$A$3:$A$62,0)),1))*INDEX(Simulations!$J$3:$J$62,MATCH($A33,Simulations!$A$3:$A$62,0))*IF(INDEX(Simulations!$I$3:$I$62,MATCH($A33,Simulations!$A$3:$A$62,0))&gt;0,2*PI()*INDEX(Simulations!$T$3:$T$62,MATCH($A33,Simulations!$A$3:$A$62,0))^2*INDEX(Simulations!$U$3:$U$62,MATCH($A33,Simulations!$A$3:$A$62,0))/2^1.5*(2/3*LN($F33/INDEX(Simulations!$J$3:$J$62,MATCH($A33,Simulations!$A$3:$A$62,0)))^1.5+SQRT(LN($F33/INDEX(Simulations!$J$3:$J$62,MATCH($A33,Simulations!$A$3:$A$62,0))))+$F33/INDEX(Simulations!$J$3:$J$62,MATCH($A33,Simulations!$A$3:$A$62,0))*SQRT(PI())/2*ERFC(SQRT(LN($F33/INDEX(Simulations!$J$3:$J$62,MATCH($A33,Simulations!$A$3:$A$62,0)))))),PI()*INDEX(Simulations!$T$3:$T$62,MATCH($A33,Simulations!$A$3:$A$62,0))^2/2*(LN($F33/INDEX(Simulations!$J$3:$J$62,MATCH($A33,Simulations!$A$3:$A$62,0)))+1)))))</f>
        <v>44.0989078480228</v>
      </c>
      <c r="S33" s="16" t="n">
        <f aca="false">IF(OR($A33="",ISNA(MATCH($A33,Simulations!$A$3:$A$62,0))),"",IF(N($G33)&lt;=0,0,IF($G33&lt;INDEX(Simulations!$J$3:$J$62,MATCH($A33,Simulations!$A$3:$A$62,0)),$D33/(INDEX(Simulations!$G$3:$G$62,MATCH($A33,Simulations!$A$3:$A$62,0))*INDEX(Simulations!$H$3:$H$62,MATCH($A33,Simulations!$A$3:$A$62,0))*IF(INDEX(Simulations!$I$3:$I$62,MATCH($A33,Simulations!$A$3:$A$62,0))&gt;0,INDEX(Simulations!$I$3:$I$62,MATCH($A33,Simulations!$A$3:$A$62,0)),1))*$G33*(PI()/2*INDEX(Simulations!$T$3:$T$62,MATCH($A33,Simulations!$A$3:$A$62,0))^2*IF(INDEX(Simulations!$I$3:$I$62,MATCH($A33,Simulations!$A$3:$A$62,0))&gt;0,SQRT(PI()/2)*INDEX(Simulations!$U$3:$U$62,MATCH($A33,Simulations!$A$3:$A$62,0)),1)),$D33/(INDEX(Simulations!$G$3:$G$62,MATCH($A33,Simulations!$A$3:$A$62,0))*INDEX(Simulations!$H$3:$H$62,MATCH($A33,Simulations!$A$3:$A$62,0))*IF(INDEX(Simulations!$I$3:$I$62,MATCH($A33,Simulations!$A$3:$A$62,0))&gt;0,INDEX(Simulations!$I$3:$I$62,MATCH($A33,Simulations!$A$3:$A$62,0)),1))*INDEX(Simulations!$J$3:$J$62,MATCH($A33,Simulations!$A$3:$A$62,0))*IF(INDEX(Simulations!$I$3:$I$62,MATCH($A33,Simulations!$A$3:$A$62,0))&gt;0,2*PI()*INDEX(Simulations!$T$3:$T$62,MATCH($A33,Simulations!$A$3:$A$62,0))^2*INDEX(Simulations!$U$3:$U$62,MATCH($A33,Simulations!$A$3:$A$62,0))/2^1.5*(2/3*LN($G33/INDEX(Simulations!$J$3:$J$62,MATCH($A33,Simulations!$A$3:$A$62,0)))^1.5+SQRT(LN($G33/INDEX(Simulations!$J$3:$J$62,MATCH($A33,Simulations!$A$3:$A$62,0))))+$G33/INDEX(Simulations!$J$3:$J$62,MATCH($A33,Simulations!$A$3:$A$62,0))*SQRT(PI())/2*ERFC(SQRT(LN($G33/INDEX(Simulations!$J$3:$J$62,MATCH($A33,Simulations!$A$3:$A$62,0)))))),PI()*INDEX(Simulations!$T$3:$T$62,MATCH($A33,Simulations!$A$3:$A$62,0))^2/2*(LN($G33/INDEX(Simulations!$J$3:$J$62,MATCH($A33,Simulations!$A$3:$A$62,0)))+1)))))</f>
        <v>31.4992198914448</v>
      </c>
      <c r="T33" s="16" t="n">
        <f aca="false">IF(OR($A33="",ISNA(MATCH($A33,Simulations!$A$3:$A$62,0))),"",IF(N($H33)&lt;=0,0,IF($H33&lt;INDEX(Simulations!$J$3:$J$62,MATCH($A33,Simulations!$A$3:$A$62,0)),$D33/(INDEX(Simulations!$G$3:$G$62,MATCH($A33,Simulations!$A$3:$A$62,0))*INDEX(Simulations!$H$3:$H$62,MATCH($A33,Simulations!$A$3:$A$62,0))*IF(INDEX(Simulations!$I$3:$I$62,MATCH($A33,Simulations!$A$3:$A$62,0))&gt;0,INDEX(Simulations!$I$3:$I$62,MATCH($A33,Simulations!$A$3:$A$62,0)),1))*$H33*(PI()/2*INDEX(Simulations!$T$3:$T$62,MATCH($A33,Simulations!$A$3:$A$62,0))^2*IF(INDEX(Simulations!$I$3:$I$62,MATCH($A33,Simulations!$A$3:$A$62,0))&gt;0,SQRT(PI()/2)*INDEX(Simulations!$U$3:$U$62,MATCH($A33,Simulations!$A$3:$A$62,0)),1)),$D33/(INDEX(Simulations!$G$3:$G$62,MATCH($A33,Simulations!$A$3:$A$62,0))*INDEX(Simulations!$H$3:$H$62,MATCH($A33,Simulations!$A$3:$A$62,0))*IF(INDEX(Simulations!$I$3:$I$62,MATCH($A33,Simulations!$A$3:$A$62,0))&gt;0,INDEX(Simulations!$I$3:$I$62,MATCH($A33,Simulations!$A$3:$A$62,0)),1))*INDEX(Simulations!$J$3:$J$62,MATCH($A33,Simulations!$A$3:$A$62,0))*IF(INDEX(Simulations!$I$3:$I$62,MATCH($A33,Simulations!$A$3:$A$62,0))&gt;0,2*PI()*INDEX(Simulations!$T$3:$T$62,MATCH($A33,Simulations!$A$3:$A$62,0))^2*INDEX(Simulations!$U$3:$U$62,MATCH($A33,Simulations!$A$3:$A$62,0))/2^1.5*(2/3*LN($H33/INDEX(Simulations!$J$3:$J$62,MATCH($A33,Simulations!$A$3:$A$62,0)))^1.5+SQRT(LN($H33/INDEX(Simulations!$J$3:$J$62,MATCH($A33,Simulations!$A$3:$A$62,0))))+$H33/INDEX(Simulations!$J$3:$J$62,MATCH($A33,Simulations!$A$3:$A$62,0))*SQRT(PI())/2*ERFC(SQRT(LN($H33/INDEX(Simulations!$J$3:$J$62,MATCH($A33,Simulations!$A$3:$A$62,0)))))),PI()*INDEX(Simulations!$T$3:$T$62,MATCH($A33,Simulations!$A$3:$A$62,0))^2/2*(LN($H33/INDEX(Simulations!$J$3:$J$62,MATCH($A33,Simulations!$A$3:$A$62,0)))+1)))))</f>
        <v>0</v>
      </c>
      <c r="U33" s="18" t="n">
        <f aca="false">IF(OR(OR($A33="",ISNA(MATCH($A33,Simulations!$A$3:$A$62,0))),N($C33)&lt;=0),"",SQRT(2*$C33*1000000/(INDEX(Simulations!$J$3:$J$62,MATCH($A33,Simulations!$A$3:$A$62,0))*1000))/INDEX(Simulations!$T$3:$T$62,MATCH($A33,Simulations!$A$3:$A$62,0)))</f>
        <v>0.0418330013267038</v>
      </c>
      <c r="V33" s="19" t="str">
        <f aca="false">IF($A33="","",IF(ISNA(MATCH($A33,Simulations!$A$3:$A$62,0)),"✖ Sim ID not found on the Simulations sheet",IF($P33&gt;=1,"✖ brightness &gt;= sampling frequency: completely saturated (D too small, c too large)",IF($P33&gt;0.1,"⚠ brightness &gt; 10% of the sampling frequency: focus starts to saturate",IF(N($U33)&gt;0.1,"⚠ diffusion step &gt; 10% of wr: raise the sampling frequency",IF(MAX($E33:$H33)=0,"⚠ no brightness set","✔ OK"))))))</f>
        <v>✖ brightness &gt;= sampling frequency: completely saturated (D too small, c too large)</v>
      </c>
    </row>
    <row r="34" customFormat="false" ht="23.85" hidden="false" customHeight="false" outlineLevel="0" collapsed="false">
      <c r="A34" s="13" t="s">
        <v>98</v>
      </c>
      <c r="B34" s="13" t="s">
        <v>133</v>
      </c>
      <c r="C34" s="13" t="n">
        <v>35</v>
      </c>
      <c r="D34" s="13" t="n">
        <v>1000</v>
      </c>
      <c r="E34" s="13" t="n">
        <v>1000</v>
      </c>
      <c r="F34" s="13" t="n">
        <v>0</v>
      </c>
      <c r="G34" s="13" t="n">
        <v>500</v>
      </c>
      <c r="H34" s="13" t="n">
        <v>0</v>
      </c>
      <c r="I34" s="13" t="n">
        <v>4</v>
      </c>
      <c r="J34" s="13" t="n">
        <v>3</v>
      </c>
      <c r="K34" s="13" t="n">
        <v>2</v>
      </c>
      <c r="L34" s="13" t="n">
        <v>2</v>
      </c>
      <c r="M34" s="13" t="s">
        <v>131</v>
      </c>
      <c r="N34" s="14"/>
      <c r="O34" s="18" t="n">
        <f aca="false">IF(OR($A34="",ISNA(MATCH($A34,Simulations!$A$3:$A$62,0))),"",IF(INDEX(Simulations!$I$3:$I$62,MATCH($A34,Simulations!$A$3:$A$62,0))&gt;0,$D34/(INDEX(Simulations!$G$3:$G$62,MATCH($A34,Simulations!$A$3:$A$62,0))*INDEX(Simulations!$H$3:$H$62,MATCH($A34,Simulations!$A$3:$A$62,0))*IF(INDEX(Simulations!$I$3:$I$62,MATCH($A34,Simulations!$A$3:$A$62,0))&gt;0,INDEX(Simulations!$I$3:$I$62,MATCH($A34,Simulations!$A$3:$A$62,0)),1))/1E-024/6.022E+023/0.000000001,""))</f>
        <v>13.284623048821</v>
      </c>
      <c r="P34" s="20" t="n">
        <f aca="false">IF(OR($A34="",ISNA(MATCH($A34,Simulations!$A$3:$A$62,0))),"",MAX($E34:$H34)/INDEX(Simulations!$J$3:$J$62,MATCH($A34,Simulations!$A$3:$A$62,0)))</f>
        <v>1</v>
      </c>
      <c r="Q34" s="16" t="n">
        <f aca="false">IF(OR($A34="",ISNA(MATCH($A34,Simulations!$A$3:$A$62,0))),"",IF(N($E34)&lt;=0,0,IF($E34&lt;INDEX(Simulations!$J$3:$J$62,MATCH($A34,Simulations!$A$3:$A$62,0)),$D34/(INDEX(Simulations!$G$3:$G$62,MATCH($A34,Simulations!$A$3:$A$62,0))*INDEX(Simulations!$H$3:$H$62,MATCH($A34,Simulations!$A$3:$A$62,0))*IF(INDEX(Simulations!$I$3:$I$62,MATCH($A34,Simulations!$A$3:$A$62,0))&gt;0,INDEX(Simulations!$I$3:$I$62,MATCH($A34,Simulations!$A$3:$A$62,0)),1))*$E34*(PI()/2*INDEX(Simulations!$T$3:$T$62,MATCH($A34,Simulations!$A$3:$A$62,0))^2*IF(INDEX(Simulations!$I$3:$I$62,MATCH($A34,Simulations!$A$3:$A$62,0))&gt;0,SQRT(PI()/2)*INDEX(Simulations!$U$3:$U$62,MATCH($A34,Simulations!$A$3:$A$62,0)),1)),$D34/(INDEX(Simulations!$G$3:$G$62,MATCH($A34,Simulations!$A$3:$A$62,0))*INDEX(Simulations!$H$3:$H$62,MATCH($A34,Simulations!$A$3:$A$62,0))*IF(INDEX(Simulations!$I$3:$I$62,MATCH($A34,Simulations!$A$3:$A$62,0))&gt;0,INDEX(Simulations!$I$3:$I$62,MATCH($A34,Simulations!$A$3:$A$62,0)),1))*INDEX(Simulations!$J$3:$J$62,MATCH($A34,Simulations!$A$3:$A$62,0))*IF(INDEX(Simulations!$I$3:$I$62,MATCH($A34,Simulations!$A$3:$A$62,0))&gt;0,2*PI()*INDEX(Simulations!$T$3:$T$62,MATCH($A34,Simulations!$A$3:$A$62,0))^2*INDEX(Simulations!$U$3:$U$62,MATCH($A34,Simulations!$A$3:$A$62,0))/2^1.5*(2/3*LN($E34/INDEX(Simulations!$J$3:$J$62,MATCH($A34,Simulations!$A$3:$A$62,0)))^1.5+SQRT(LN($E34/INDEX(Simulations!$J$3:$J$62,MATCH($A34,Simulations!$A$3:$A$62,0))))+$E34/INDEX(Simulations!$J$3:$J$62,MATCH($A34,Simulations!$A$3:$A$62,0))*SQRT(PI())/2*ERFC(SQRT(LN($E34/INDEX(Simulations!$J$3:$J$62,MATCH($A34,Simulations!$A$3:$A$62,0)))))),PI()*INDEX(Simulations!$T$3:$T$62,MATCH($A34,Simulations!$A$3:$A$62,0))^2/2*(LN($E34/INDEX(Simulations!$J$3:$J$62,MATCH($A34,Simulations!$A$3:$A$62,0)))+1)))))</f>
        <v>629.984397828897</v>
      </c>
      <c r="R34" s="16" t="n">
        <f aca="false">IF(OR($A34="",ISNA(MATCH($A34,Simulations!$A$3:$A$62,0))),"",IF(N($F34)&lt;=0,0,IF($F34&lt;INDEX(Simulations!$J$3:$J$62,MATCH($A34,Simulations!$A$3:$A$62,0)),$D34/(INDEX(Simulations!$G$3:$G$62,MATCH($A34,Simulations!$A$3:$A$62,0))*INDEX(Simulations!$H$3:$H$62,MATCH($A34,Simulations!$A$3:$A$62,0))*IF(INDEX(Simulations!$I$3:$I$62,MATCH($A34,Simulations!$A$3:$A$62,0))&gt;0,INDEX(Simulations!$I$3:$I$62,MATCH($A34,Simulations!$A$3:$A$62,0)),1))*$F34*(PI()/2*INDEX(Simulations!$T$3:$T$62,MATCH($A34,Simulations!$A$3:$A$62,0))^2*IF(INDEX(Simulations!$I$3:$I$62,MATCH($A34,Simulations!$A$3:$A$62,0))&gt;0,SQRT(PI()/2)*INDEX(Simulations!$U$3:$U$62,MATCH($A34,Simulations!$A$3:$A$62,0)),1)),$D34/(INDEX(Simulations!$G$3:$G$62,MATCH($A34,Simulations!$A$3:$A$62,0))*INDEX(Simulations!$H$3:$H$62,MATCH($A34,Simulations!$A$3:$A$62,0))*IF(INDEX(Simulations!$I$3:$I$62,MATCH($A34,Simulations!$A$3:$A$62,0))&gt;0,INDEX(Simulations!$I$3:$I$62,MATCH($A34,Simulations!$A$3:$A$62,0)),1))*INDEX(Simulations!$J$3:$J$62,MATCH($A34,Simulations!$A$3:$A$62,0))*IF(INDEX(Simulations!$I$3:$I$62,MATCH($A34,Simulations!$A$3:$A$62,0))&gt;0,2*PI()*INDEX(Simulations!$T$3:$T$62,MATCH($A34,Simulations!$A$3:$A$62,0))^2*INDEX(Simulations!$U$3:$U$62,MATCH($A34,Simulations!$A$3:$A$62,0))/2^1.5*(2/3*LN($F34/INDEX(Simulations!$J$3:$J$62,MATCH($A34,Simulations!$A$3:$A$62,0)))^1.5+SQRT(LN($F34/INDEX(Simulations!$J$3:$J$62,MATCH($A34,Simulations!$A$3:$A$62,0))))+$F34/INDEX(Simulations!$J$3:$J$62,MATCH($A34,Simulations!$A$3:$A$62,0))*SQRT(PI())/2*ERFC(SQRT(LN($F34/INDEX(Simulations!$J$3:$J$62,MATCH($A34,Simulations!$A$3:$A$62,0)))))),PI()*INDEX(Simulations!$T$3:$T$62,MATCH($A34,Simulations!$A$3:$A$62,0))^2/2*(LN($F34/INDEX(Simulations!$J$3:$J$62,MATCH($A34,Simulations!$A$3:$A$62,0)))+1)))))</f>
        <v>0</v>
      </c>
      <c r="S34" s="16" t="n">
        <f aca="false">IF(OR($A34="",ISNA(MATCH($A34,Simulations!$A$3:$A$62,0))),"",IF(N($G34)&lt;=0,0,IF($G34&lt;INDEX(Simulations!$J$3:$J$62,MATCH($A34,Simulations!$A$3:$A$62,0)),$D34/(INDEX(Simulations!$G$3:$G$62,MATCH($A34,Simulations!$A$3:$A$62,0))*INDEX(Simulations!$H$3:$H$62,MATCH($A34,Simulations!$A$3:$A$62,0))*IF(INDEX(Simulations!$I$3:$I$62,MATCH($A34,Simulations!$A$3:$A$62,0))&gt;0,INDEX(Simulations!$I$3:$I$62,MATCH($A34,Simulations!$A$3:$A$62,0)),1))*$G34*(PI()/2*INDEX(Simulations!$T$3:$T$62,MATCH($A34,Simulations!$A$3:$A$62,0))^2*IF(INDEX(Simulations!$I$3:$I$62,MATCH($A34,Simulations!$A$3:$A$62,0))&gt;0,SQRT(PI()/2)*INDEX(Simulations!$U$3:$U$62,MATCH($A34,Simulations!$A$3:$A$62,0)),1)),$D34/(INDEX(Simulations!$G$3:$G$62,MATCH($A34,Simulations!$A$3:$A$62,0))*INDEX(Simulations!$H$3:$H$62,MATCH($A34,Simulations!$A$3:$A$62,0))*IF(INDEX(Simulations!$I$3:$I$62,MATCH($A34,Simulations!$A$3:$A$62,0))&gt;0,INDEX(Simulations!$I$3:$I$62,MATCH($A34,Simulations!$A$3:$A$62,0)),1))*INDEX(Simulations!$J$3:$J$62,MATCH($A34,Simulations!$A$3:$A$62,0))*IF(INDEX(Simulations!$I$3:$I$62,MATCH($A34,Simulations!$A$3:$A$62,0))&gt;0,2*PI()*INDEX(Simulations!$T$3:$T$62,MATCH($A34,Simulations!$A$3:$A$62,0))^2*INDEX(Simulations!$U$3:$U$62,MATCH($A34,Simulations!$A$3:$A$62,0))/2^1.5*(2/3*LN($G34/INDEX(Simulations!$J$3:$J$62,MATCH($A34,Simulations!$A$3:$A$62,0)))^1.5+SQRT(LN($G34/INDEX(Simulations!$J$3:$J$62,MATCH($A34,Simulations!$A$3:$A$62,0))))+$G34/INDEX(Simulations!$J$3:$J$62,MATCH($A34,Simulations!$A$3:$A$62,0))*SQRT(PI())/2*ERFC(SQRT(LN($G34/INDEX(Simulations!$J$3:$J$62,MATCH($A34,Simulations!$A$3:$A$62,0)))))),PI()*INDEX(Simulations!$T$3:$T$62,MATCH($A34,Simulations!$A$3:$A$62,0))^2/2*(LN($G34/INDEX(Simulations!$J$3:$J$62,MATCH($A34,Simulations!$A$3:$A$62,0)))+1)))))</f>
        <v>314.992198914448</v>
      </c>
      <c r="T34" s="16" t="n">
        <f aca="false">IF(OR($A34="",ISNA(MATCH($A34,Simulations!$A$3:$A$62,0))),"",IF(N($H34)&lt;=0,0,IF($H34&lt;INDEX(Simulations!$J$3:$J$62,MATCH($A34,Simulations!$A$3:$A$62,0)),$D34/(INDEX(Simulations!$G$3:$G$62,MATCH($A34,Simulations!$A$3:$A$62,0))*INDEX(Simulations!$H$3:$H$62,MATCH($A34,Simulations!$A$3:$A$62,0))*IF(INDEX(Simulations!$I$3:$I$62,MATCH($A34,Simulations!$A$3:$A$62,0))&gt;0,INDEX(Simulations!$I$3:$I$62,MATCH($A34,Simulations!$A$3:$A$62,0)),1))*$H34*(PI()/2*INDEX(Simulations!$T$3:$T$62,MATCH($A34,Simulations!$A$3:$A$62,0))^2*IF(INDEX(Simulations!$I$3:$I$62,MATCH($A34,Simulations!$A$3:$A$62,0))&gt;0,SQRT(PI()/2)*INDEX(Simulations!$U$3:$U$62,MATCH($A34,Simulations!$A$3:$A$62,0)),1)),$D34/(INDEX(Simulations!$G$3:$G$62,MATCH($A34,Simulations!$A$3:$A$62,0))*INDEX(Simulations!$H$3:$H$62,MATCH($A34,Simulations!$A$3:$A$62,0))*IF(INDEX(Simulations!$I$3:$I$62,MATCH($A34,Simulations!$A$3:$A$62,0))&gt;0,INDEX(Simulations!$I$3:$I$62,MATCH($A34,Simulations!$A$3:$A$62,0)),1))*INDEX(Simulations!$J$3:$J$62,MATCH($A34,Simulations!$A$3:$A$62,0))*IF(INDEX(Simulations!$I$3:$I$62,MATCH($A34,Simulations!$A$3:$A$62,0))&gt;0,2*PI()*INDEX(Simulations!$T$3:$T$62,MATCH($A34,Simulations!$A$3:$A$62,0))^2*INDEX(Simulations!$U$3:$U$62,MATCH($A34,Simulations!$A$3:$A$62,0))/2^1.5*(2/3*LN($H34/INDEX(Simulations!$J$3:$J$62,MATCH($A34,Simulations!$A$3:$A$62,0)))^1.5+SQRT(LN($H34/INDEX(Simulations!$J$3:$J$62,MATCH($A34,Simulations!$A$3:$A$62,0))))+$H34/INDEX(Simulations!$J$3:$J$62,MATCH($A34,Simulations!$A$3:$A$62,0))*SQRT(PI())/2*ERFC(SQRT(LN($H34/INDEX(Simulations!$J$3:$J$62,MATCH($A34,Simulations!$A$3:$A$62,0)))))),PI()*INDEX(Simulations!$T$3:$T$62,MATCH($A34,Simulations!$A$3:$A$62,0))^2/2*(LN($H34/INDEX(Simulations!$J$3:$J$62,MATCH($A34,Simulations!$A$3:$A$62,0)))+1)))))</f>
        <v>0</v>
      </c>
      <c r="U34" s="18" t="n">
        <f aca="false">IF(OR(OR($A34="",ISNA(MATCH($A34,Simulations!$A$3:$A$62,0))),N($C34)&lt;=0),"",SQRT(2*$C34*1000000/(INDEX(Simulations!$J$3:$J$62,MATCH($A34,Simulations!$A$3:$A$62,0))*1000))/INDEX(Simulations!$T$3:$T$62,MATCH($A34,Simulations!$A$3:$A$62,0)))</f>
        <v>0.0418330013267038</v>
      </c>
      <c r="V34" s="19" t="str">
        <f aca="false">IF($A34="","",IF(ISNA(MATCH($A34,Simulations!$A$3:$A$62,0)),"✖ Sim ID not found on the Simulations sheet",IF($P34&gt;=1,"✖ brightness &gt;= sampling frequency: completely saturated (D too small, c too large)",IF($P34&gt;0.1,"⚠ brightness &gt; 10% of the sampling frequency: focus starts to saturate",IF(N($U34)&gt;0.1,"⚠ diffusion step &gt; 10% of wr: raise the sampling frequency",IF(MAX($E34:$H34)=0,"⚠ no brightness set","✔ OK"))))))</f>
        <v>✖ brightness &gt;= sampling frequency: completely saturated (D too small, c too large)</v>
      </c>
    </row>
    <row r="35" customFormat="false" ht="23.85" hidden="false" customHeight="false" outlineLevel="0" collapsed="false">
      <c r="A35" s="13" t="s">
        <v>98</v>
      </c>
      <c r="B35" s="13" t="s">
        <v>134</v>
      </c>
      <c r="C35" s="13" t="n">
        <v>35</v>
      </c>
      <c r="D35" s="13" t="n">
        <v>2000</v>
      </c>
      <c r="E35" s="13" t="n">
        <v>2000</v>
      </c>
      <c r="F35" s="13" t="n">
        <v>700</v>
      </c>
      <c r="G35" s="13" t="n">
        <v>0</v>
      </c>
      <c r="H35" s="13" t="n">
        <v>0</v>
      </c>
      <c r="I35" s="13" t="n">
        <v>4</v>
      </c>
      <c r="J35" s="13" t="n">
        <v>3</v>
      </c>
      <c r="K35" s="13" t="n">
        <v>2</v>
      </c>
      <c r="L35" s="13" t="n">
        <v>2</v>
      </c>
      <c r="M35" s="13" t="s">
        <v>131</v>
      </c>
      <c r="N35" s="14"/>
      <c r="O35" s="18" t="n">
        <f aca="false">IF(OR($A35="",ISNA(MATCH($A35,Simulations!$A$3:$A$62,0))),"",IF(INDEX(Simulations!$I$3:$I$62,MATCH($A35,Simulations!$A$3:$A$62,0))&gt;0,$D35/(INDEX(Simulations!$G$3:$G$62,MATCH($A35,Simulations!$A$3:$A$62,0))*INDEX(Simulations!$H$3:$H$62,MATCH($A35,Simulations!$A$3:$A$62,0))*IF(INDEX(Simulations!$I$3:$I$62,MATCH($A35,Simulations!$A$3:$A$62,0))&gt;0,INDEX(Simulations!$I$3:$I$62,MATCH($A35,Simulations!$A$3:$A$62,0)),1))/1E-024/6.022E+023/0.000000001,""))</f>
        <v>26.569246097642</v>
      </c>
      <c r="P35" s="20" t="n">
        <f aca="false">IF(OR($A35="",ISNA(MATCH($A35,Simulations!$A$3:$A$62,0))),"",MAX($E35:$H35)/INDEX(Simulations!$J$3:$J$62,MATCH($A35,Simulations!$A$3:$A$62,0)))</f>
        <v>2</v>
      </c>
      <c r="Q35" s="16" t="n">
        <f aca="false">IF(OR($A35="",ISNA(MATCH($A35,Simulations!$A$3:$A$62,0))),"",IF(N($E35)&lt;=0,0,IF($E35&lt;INDEX(Simulations!$J$3:$J$62,MATCH($A35,Simulations!$A$3:$A$62,0)),$D35/(INDEX(Simulations!$G$3:$G$62,MATCH($A35,Simulations!$A$3:$A$62,0))*INDEX(Simulations!$H$3:$H$62,MATCH($A35,Simulations!$A$3:$A$62,0))*IF(INDEX(Simulations!$I$3:$I$62,MATCH($A35,Simulations!$A$3:$A$62,0))&gt;0,INDEX(Simulations!$I$3:$I$62,MATCH($A35,Simulations!$A$3:$A$62,0)),1))*$E35*(PI()/2*INDEX(Simulations!$T$3:$T$62,MATCH($A35,Simulations!$A$3:$A$62,0))^2*IF(INDEX(Simulations!$I$3:$I$62,MATCH($A35,Simulations!$A$3:$A$62,0))&gt;0,SQRT(PI()/2)*INDEX(Simulations!$U$3:$U$62,MATCH($A35,Simulations!$A$3:$A$62,0)),1)),$D35/(INDEX(Simulations!$G$3:$G$62,MATCH($A35,Simulations!$A$3:$A$62,0))*INDEX(Simulations!$H$3:$H$62,MATCH($A35,Simulations!$A$3:$A$62,0))*IF(INDEX(Simulations!$I$3:$I$62,MATCH($A35,Simulations!$A$3:$A$62,0))&gt;0,INDEX(Simulations!$I$3:$I$62,MATCH($A35,Simulations!$A$3:$A$62,0)),1))*INDEX(Simulations!$J$3:$J$62,MATCH($A35,Simulations!$A$3:$A$62,0))*IF(INDEX(Simulations!$I$3:$I$62,MATCH($A35,Simulations!$A$3:$A$62,0))&gt;0,2*PI()*INDEX(Simulations!$T$3:$T$62,MATCH($A35,Simulations!$A$3:$A$62,0))^2*INDEX(Simulations!$U$3:$U$62,MATCH($A35,Simulations!$A$3:$A$62,0))/2^1.5*(2/3*LN($E35/INDEX(Simulations!$J$3:$J$62,MATCH($A35,Simulations!$A$3:$A$62,0)))^1.5+SQRT(LN($E35/INDEX(Simulations!$J$3:$J$62,MATCH($A35,Simulations!$A$3:$A$62,0))))+$E35/INDEX(Simulations!$J$3:$J$62,MATCH($A35,Simulations!$A$3:$A$62,0))*SQRT(PI())/2*ERFC(SQRT(LN($E35/INDEX(Simulations!$J$3:$J$62,MATCH($A35,Simulations!$A$3:$A$62,0)))))),PI()*INDEX(Simulations!$T$3:$T$62,MATCH($A35,Simulations!$A$3:$A$62,0))^2/2*(LN($E35/INDEX(Simulations!$J$3:$J$62,MATCH($A35,Simulations!$A$3:$A$62,0)))+1)))))</f>
        <v>2332.97493211706</v>
      </c>
      <c r="R35" s="16" t="n">
        <f aca="false">IF(OR($A35="",ISNA(MATCH($A35,Simulations!$A$3:$A$62,0))),"",IF(N($F35)&lt;=0,0,IF($F35&lt;INDEX(Simulations!$J$3:$J$62,MATCH($A35,Simulations!$A$3:$A$62,0)),$D35/(INDEX(Simulations!$G$3:$G$62,MATCH($A35,Simulations!$A$3:$A$62,0))*INDEX(Simulations!$H$3:$H$62,MATCH($A35,Simulations!$A$3:$A$62,0))*IF(INDEX(Simulations!$I$3:$I$62,MATCH($A35,Simulations!$A$3:$A$62,0))&gt;0,INDEX(Simulations!$I$3:$I$62,MATCH($A35,Simulations!$A$3:$A$62,0)),1))*$F35*(PI()/2*INDEX(Simulations!$T$3:$T$62,MATCH($A35,Simulations!$A$3:$A$62,0))^2*IF(INDEX(Simulations!$I$3:$I$62,MATCH($A35,Simulations!$A$3:$A$62,0))&gt;0,SQRT(PI()/2)*INDEX(Simulations!$U$3:$U$62,MATCH($A35,Simulations!$A$3:$A$62,0)),1)),$D35/(INDEX(Simulations!$G$3:$G$62,MATCH($A35,Simulations!$A$3:$A$62,0))*INDEX(Simulations!$H$3:$H$62,MATCH($A35,Simulations!$A$3:$A$62,0))*IF(INDEX(Simulations!$I$3:$I$62,MATCH($A35,Simulations!$A$3:$A$62,0))&gt;0,INDEX(Simulations!$I$3:$I$62,MATCH($A35,Simulations!$A$3:$A$62,0)),1))*INDEX(Simulations!$J$3:$J$62,MATCH($A35,Simulations!$A$3:$A$62,0))*IF(INDEX(Simulations!$I$3:$I$62,MATCH($A35,Simulations!$A$3:$A$62,0))&gt;0,2*PI()*INDEX(Simulations!$T$3:$T$62,MATCH($A35,Simulations!$A$3:$A$62,0))^2*INDEX(Simulations!$U$3:$U$62,MATCH($A35,Simulations!$A$3:$A$62,0))/2^1.5*(2/3*LN($F35/INDEX(Simulations!$J$3:$J$62,MATCH($A35,Simulations!$A$3:$A$62,0)))^1.5+SQRT(LN($F35/INDEX(Simulations!$J$3:$J$62,MATCH($A35,Simulations!$A$3:$A$62,0))))+$F35/INDEX(Simulations!$J$3:$J$62,MATCH($A35,Simulations!$A$3:$A$62,0))*SQRT(PI())/2*ERFC(SQRT(LN($F35/INDEX(Simulations!$J$3:$J$62,MATCH($A35,Simulations!$A$3:$A$62,0)))))),PI()*INDEX(Simulations!$T$3:$T$62,MATCH($A35,Simulations!$A$3:$A$62,0))^2/2*(LN($F35/INDEX(Simulations!$J$3:$J$62,MATCH($A35,Simulations!$A$3:$A$62,0)))+1)))))</f>
        <v>881.978156960456</v>
      </c>
      <c r="S35" s="16" t="n">
        <f aca="false">IF(OR($A35="",ISNA(MATCH($A35,Simulations!$A$3:$A$62,0))),"",IF(N($G35)&lt;=0,0,IF($G35&lt;INDEX(Simulations!$J$3:$J$62,MATCH($A35,Simulations!$A$3:$A$62,0)),$D35/(INDEX(Simulations!$G$3:$G$62,MATCH($A35,Simulations!$A$3:$A$62,0))*INDEX(Simulations!$H$3:$H$62,MATCH($A35,Simulations!$A$3:$A$62,0))*IF(INDEX(Simulations!$I$3:$I$62,MATCH($A35,Simulations!$A$3:$A$62,0))&gt;0,INDEX(Simulations!$I$3:$I$62,MATCH($A35,Simulations!$A$3:$A$62,0)),1))*$G35*(PI()/2*INDEX(Simulations!$T$3:$T$62,MATCH($A35,Simulations!$A$3:$A$62,0))^2*IF(INDEX(Simulations!$I$3:$I$62,MATCH($A35,Simulations!$A$3:$A$62,0))&gt;0,SQRT(PI()/2)*INDEX(Simulations!$U$3:$U$62,MATCH($A35,Simulations!$A$3:$A$62,0)),1)),$D35/(INDEX(Simulations!$G$3:$G$62,MATCH($A35,Simulations!$A$3:$A$62,0))*INDEX(Simulations!$H$3:$H$62,MATCH($A35,Simulations!$A$3:$A$62,0))*IF(INDEX(Simulations!$I$3:$I$62,MATCH($A35,Simulations!$A$3:$A$62,0))&gt;0,INDEX(Simulations!$I$3:$I$62,MATCH($A35,Simulations!$A$3:$A$62,0)),1))*INDEX(Simulations!$J$3:$J$62,MATCH($A35,Simulations!$A$3:$A$62,0))*IF(INDEX(Simulations!$I$3:$I$62,MATCH($A35,Simulations!$A$3:$A$62,0))&gt;0,2*PI()*INDEX(Simulations!$T$3:$T$62,MATCH($A35,Simulations!$A$3:$A$62,0))^2*INDEX(Simulations!$U$3:$U$62,MATCH($A35,Simulations!$A$3:$A$62,0))/2^1.5*(2/3*LN($G35/INDEX(Simulations!$J$3:$J$62,MATCH($A35,Simulations!$A$3:$A$62,0)))^1.5+SQRT(LN($G35/INDEX(Simulations!$J$3:$J$62,MATCH($A35,Simulations!$A$3:$A$62,0))))+$G35/INDEX(Simulations!$J$3:$J$62,MATCH($A35,Simulations!$A$3:$A$62,0))*SQRT(PI())/2*ERFC(SQRT(LN($G35/INDEX(Simulations!$J$3:$J$62,MATCH($A35,Simulations!$A$3:$A$62,0)))))),PI()*INDEX(Simulations!$T$3:$T$62,MATCH($A35,Simulations!$A$3:$A$62,0))^2/2*(LN($G35/INDEX(Simulations!$J$3:$J$62,MATCH($A35,Simulations!$A$3:$A$62,0)))+1)))))</f>
        <v>0</v>
      </c>
      <c r="T35" s="16" t="n">
        <f aca="false">IF(OR($A35="",ISNA(MATCH($A35,Simulations!$A$3:$A$62,0))),"",IF(N($H35)&lt;=0,0,IF($H35&lt;INDEX(Simulations!$J$3:$J$62,MATCH($A35,Simulations!$A$3:$A$62,0)),$D35/(INDEX(Simulations!$G$3:$G$62,MATCH($A35,Simulations!$A$3:$A$62,0))*INDEX(Simulations!$H$3:$H$62,MATCH($A35,Simulations!$A$3:$A$62,0))*IF(INDEX(Simulations!$I$3:$I$62,MATCH($A35,Simulations!$A$3:$A$62,0))&gt;0,INDEX(Simulations!$I$3:$I$62,MATCH($A35,Simulations!$A$3:$A$62,0)),1))*$H35*(PI()/2*INDEX(Simulations!$T$3:$T$62,MATCH($A35,Simulations!$A$3:$A$62,0))^2*IF(INDEX(Simulations!$I$3:$I$62,MATCH($A35,Simulations!$A$3:$A$62,0))&gt;0,SQRT(PI()/2)*INDEX(Simulations!$U$3:$U$62,MATCH($A35,Simulations!$A$3:$A$62,0)),1)),$D35/(INDEX(Simulations!$G$3:$G$62,MATCH($A35,Simulations!$A$3:$A$62,0))*INDEX(Simulations!$H$3:$H$62,MATCH($A35,Simulations!$A$3:$A$62,0))*IF(INDEX(Simulations!$I$3:$I$62,MATCH($A35,Simulations!$A$3:$A$62,0))&gt;0,INDEX(Simulations!$I$3:$I$62,MATCH($A35,Simulations!$A$3:$A$62,0)),1))*INDEX(Simulations!$J$3:$J$62,MATCH($A35,Simulations!$A$3:$A$62,0))*IF(INDEX(Simulations!$I$3:$I$62,MATCH($A35,Simulations!$A$3:$A$62,0))&gt;0,2*PI()*INDEX(Simulations!$T$3:$T$62,MATCH($A35,Simulations!$A$3:$A$62,0))^2*INDEX(Simulations!$U$3:$U$62,MATCH($A35,Simulations!$A$3:$A$62,0))/2^1.5*(2/3*LN($H35/INDEX(Simulations!$J$3:$J$62,MATCH($A35,Simulations!$A$3:$A$62,0)))^1.5+SQRT(LN($H35/INDEX(Simulations!$J$3:$J$62,MATCH($A35,Simulations!$A$3:$A$62,0))))+$H35/INDEX(Simulations!$J$3:$J$62,MATCH($A35,Simulations!$A$3:$A$62,0))*SQRT(PI())/2*ERFC(SQRT(LN($H35/INDEX(Simulations!$J$3:$J$62,MATCH($A35,Simulations!$A$3:$A$62,0)))))),PI()*INDEX(Simulations!$T$3:$T$62,MATCH($A35,Simulations!$A$3:$A$62,0))^2/2*(LN($H35/INDEX(Simulations!$J$3:$J$62,MATCH($A35,Simulations!$A$3:$A$62,0)))+1)))))</f>
        <v>0</v>
      </c>
      <c r="U35" s="18" t="n">
        <f aca="false">IF(OR(OR($A35="",ISNA(MATCH($A35,Simulations!$A$3:$A$62,0))),N($C35)&lt;=0),"",SQRT(2*$C35*1000000/(INDEX(Simulations!$J$3:$J$62,MATCH($A35,Simulations!$A$3:$A$62,0))*1000))/INDEX(Simulations!$T$3:$T$62,MATCH($A35,Simulations!$A$3:$A$62,0)))</f>
        <v>0.0418330013267038</v>
      </c>
      <c r="V35" s="19" t="str">
        <f aca="false">IF($A35="","",IF(ISNA(MATCH($A35,Simulations!$A$3:$A$62,0)),"✖ Sim ID not found on the Simulations sheet",IF($P35&gt;=1,"✖ brightness &gt;= sampling frequency: completely saturated (D too small, c too large)",IF($P35&gt;0.1,"⚠ brightness &gt; 10% of the sampling frequency: focus starts to saturate",IF(N($U35)&gt;0.1,"⚠ diffusion step &gt; 10% of wr: raise the sampling frequency",IF(MAX($E35:$H35)=0,"⚠ no brightness set","✔ OK"))))))</f>
        <v>✖ brightness &gt;= sampling frequency: completely saturated (D too small, c too large)</v>
      </c>
    </row>
    <row r="36" customFormat="false" ht="23.85" hidden="false" customHeight="false" outlineLevel="0" collapsed="false">
      <c r="A36" s="13" t="s">
        <v>101</v>
      </c>
      <c r="B36" s="13" t="s">
        <v>132</v>
      </c>
      <c r="C36" s="13" t="n">
        <v>35</v>
      </c>
      <c r="D36" s="13" t="n">
        <v>10</v>
      </c>
      <c r="E36" s="13" t="n">
        <v>1000</v>
      </c>
      <c r="F36" s="13" t="n">
        <v>700</v>
      </c>
      <c r="G36" s="13" t="n">
        <v>500</v>
      </c>
      <c r="H36" s="13" t="n">
        <v>0</v>
      </c>
      <c r="I36" s="13" t="n">
        <v>4</v>
      </c>
      <c r="J36" s="13" t="n">
        <v>3</v>
      </c>
      <c r="K36" s="13" t="n">
        <v>2</v>
      </c>
      <c r="L36" s="13" t="n">
        <v>2</v>
      </c>
      <c r="M36" s="13" t="s">
        <v>131</v>
      </c>
      <c r="N36" s="14"/>
      <c r="O36" s="18" t="n">
        <f aca="false">IF(OR($A36="",ISNA(MATCH($A36,Simulations!$A$3:$A$62,0))),"",IF(INDEX(Simulations!$I$3:$I$62,MATCH($A36,Simulations!$A$3:$A$62,0))&gt;0,$D36/(INDEX(Simulations!$G$3:$G$62,MATCH($A36,Simulations!$A$3:$A$62,0))*INDEX(Simulations!$H$3:$H$62,MATCH($A36,Simulations!$A$3:$A$62,0))*IF(INDEX(Simulations!$I$3:$I$62,MATCH($A36,Simulations!$A$3:$A$62,0))&gt;0,INDEX(Simulations!$I$3:$I$62,MATCH($A36,Simulations!$A$3:$A$62,0)),1))/1E-024/6.022E+023/0.000000001,""))</f>
        <v>0.13284623048821</v>
      </c>
      <c r="P36" s="20" t="n">
        <f aca="false">IF(OR($A36="",ISNA(MATCH($A36,Simulations!$A$3:$A$62,0))),"",MAX($E36:$H36)/INDEX(Simulations!$J$3:$J$62,MATCH($A36,Simulations!$A$3:$A$62,0)))</f>
        <v>1</v>
      </c>
      <c r="Q36" s="16" t="n">
        <f aca="false">IF(OR($A36="",ISNA(MATCH($A36,Simulations!$A$3:$A$62,0))),"",IF(N($E36)&lt;=0,0,IF($E36&lt;INDEX(Simulations!$J$3:$J$62,MATCH($A36,Simulations!$A$3:$A$62,0)),$D36/(INDEX(Simulations!$G$3:$G$62,MATCH($A36,Simulations!$A$3:$A$62,0))*INDEX(Simulations!$H$3:$H$62,MATCH($A36,Simulations!$A$3:$A$62,0))*IF(INDEX(Simulations!$I$3:$I$62,MATCH($A36,Simulations!$A$3:$A$62,0))&gt;0,INDEX(Simulations!$I$3:$I$62,MATCH($A36,Simulations!$A$3:$A$62,0)),1))*$E36*(PI()/2*INDEX(Simulations!$T$3:$T$62,MATCH($A36,Simulations!$A$3:$A$62,0))^2*IF(INDEX(Simulations!$I$3:$I$62,MATCH($A36,Simulations!$A$3:$A$62,0))&gt;0,SQRT(PI()/2)*INDEX(Simulations!$U$3:$U$62,MATCH($A36,Simulations!$A$3:$A$62,0)),1)),$D36/(INDEX(Simulations!$G$3:$G$62,MATCH($A36,Simulations!$A$3:$A$62,0))*INDEX(Simulations!$H$3:$H$62,MATCH($A36,Simulations!$A$3:$A$62,0))*IF(INDEX(Simulations!$I$3:$I$62,MATCH($A36,Simulations!$A$3:$A$62,0))&gt;0,INDEX(Simulations!$I$3:$I$62,MATCH($A36,Simulations!$A$3:$A$62,0)),1))*INDEX(Simulations!$J$3:$J$62,MATCH($A36,Simulations!$A$3:$A$62,0))*IF(INDEX(Simulations!$I$3:$I$62,MATCH($A36,Simulations!$A$3:$A$62,0))&gt;0,2*PI()*INDEX(Simulations!$T$3:$T$62,MATCH($A36,Simulations!$A$3:$A$62,0))^2*INDEX(Simulations!$U$3:$U$62,MATCH($A36,Simulations!$A$3:$A$62,0))/2^1.5*(2/3*LN($E36/INDEX(Simulations!$J$3:$J$62,MATCH($A36,Simulations!$A$3:$A$62,0)))^1.5+SQRT(LN($E36/INDEX(Simulations!$J$3:$J$62,MATCH($A36,Simulations!$A$3:$A$62,0))))+$E36/INDEX(Simulations!$J$3:$J$62,MATCH($A36,Simulations!$A$3:$A$62,0))*SQRT(PI())/2*ERFC(SQRT(LN($E36/INDEX(Simulations!$J$3:$J$62,MATCH($A36,Simulations!$A$3:$A$62,0)))))),PI()*INDEX(Simulations!$T$3:$T$62,MATCH($A36,Simulations!$A$3:$A$62,0))^2/2*(LN($E36/INDEX(Simulations!$J$3:$J$62,MATCH($A36,Simulations!$A$3:$A$62,0)))+1)))))</f>
        <v>6.29984397828897</v>
      </c>
      <c r="R36" s="16" t="n">
        <f aca="false">IF(OR($A36="",ISNA(MATCH($A36,Simulations!$A$3:$A$62,0))),"",IF(N($F36)&lt;=0,0,IF($F36&lt;INDEX(Simulations!$J$3:$J$62,MATCH($A36,Simulations!$A$3:$A$62,0)),$D36/(INDEX(Simulations!$G$3:$G$62,MATCH($A36,Simulations!$A$3:$A$62,0))*INDEX(Simulations!$H$3:$H$62,MATCH($A36,Simulations!$A$3:$A$62,0))*IF(INDEX(Simulations!$I$3:$I$62,MATCH($A36,Simulations!$A$3:$A$62,0))&gt;0,INDEX(Simulations!$I$3:$I$62,MATCH($A36,Simulations!$A$3:$A$62,0)),1))*$F36*(PI()/2*INDEX(Simulations!$T$3:$T$62,MATCH($A36,Simulations!$A$3:$A$62,0))^2*IF(INDEX(Simulations!$I$3:$I$62,MATCH($A36,Simulations!$A$3:$A$62,0))&gt;0,SQRT(PI()/2)*INDEX(Simulations!$U$3:$U$62,MATCH($A36,Simulations!$A$3:$A$62,0)),1)),$D36/(INDEX(Simulations!$G$3:$G$62,MATCH($A36,Simulations!$A$3:$A$62,0))*INDEX(Simulations!$H$3:$H$62,MATCH($A36,Simulations!$A$3:$A$62,0))*IF(INDEX(Simulations!$I$3:$I$62,MATCH($A36,Simulations!$A$3:$A$62,0))&gt;0,INDEX(Simulations!$I$3:$I$62,MATCH($A36,Simulations!$A$3:$A$62,0)),1))*INDEX(Simulations!$J$3:$J$62,MATCH($A36,Simulations!$A$3:$A$62,0))*IF(INDEX(Simulations!$I$3:$I$62,MATCH($A36,Simulations!$A$3:$A$62,0))&gt;0,2*PI()*INDEX(Simulations!$T$3:$T$62,MATCH($A36,Simulations!$A$3:$A$62,0))^2*INDEX(Simulations!$U$3:$U$62,MATCH($A36,Simulations!$A$3:$A$62,0))/2^1.5*(2/3*LN($F36/INDEX(Simulations!$J$3:$J$62,MATCH($A36,Simulations!$A$3:$A$62,0)))^1.5+SQRT(LN($F36/INDEX(Simulations!$J$3:$J$62,MATCH($A36,Simulations!$A$3:$A$62,0))))+$F36/INDEX(Simulations!$J$3:$J$62,MATCH($A36,Simulations!$A$3:$A$62,0))*SQRT(PI())/2*ERFC(SQRT(LN($F36/INDEX(Simulations!$J$3:$J$62,MATCH($A36,Simulations!$A$3:$A$62,0)))))),PI()*INDEX(Simulations!$T$3:$T$62,MATCH($A36,Simulations!$A$3:$A$62,0))^2/2*(LN($F36/INDEX(Simulations!$J$3:$J$62,MATCH($A36,Simulations!$A$3:$A$62,0)))+1)))))</f>
        <v>4.40989078480228</v>
      </c>
      <c r="S36" s="16" t="n">
        <f aca="false">IF(OR($A36="",ISNA(MATCH($A36,Simulations!$A$3:$A$62,0))),"",IF(N($G36)&lt;=0,0,IF($G36&lt;INDEX(Simulations!$J$3:$J$62,MATCH($A36,Simulations!$A$3:$A$62,0)),$D36/(INDEX(Simulations!$G$3:$G$62,MATCH($A36,Simulations!$A$3:$A$62,0))*INDEX(Simulations!$H$3:$H$62,MATCH($A36,Simulations!$A$3:$A$62,0))*IF(INDEX(Simulations!$I$3:$I$62,MATCH($A36,Simulations!$A$3:$A$62,0))&gt;0,INDEX(Simulations!$I$3:$I$62,MATCH($A36,Simulations!$A$3:$A$62,0)),1))*$G36*(PI()/2*INDEX(Simulations!$T$3:$T$62,MATCH($A36,Simulations!$A$3:$A$62,0))^2*IF(INDEX(Simulations!$I$3:$I$62,MATCH($A36,Simulations!$A$3:$A$62,0))&gt;0,SQRT(PI()/2)*INDEX(Simulations!$U$3:$U$62,MATCH($A36,Simulations!$A$3:$A$62,0)),1)),$D36/(INDEX(Simulations!$G$3:$G$62,MATCH($A36,Simulations!$A$3:$A$62,0))*INDEX(Simulations!$H$3:$H$62,MATCH($A36,Simulations!$A$3:$A$62,0))*IF(INDEX(Simulations!$I$3:$I$62,MATCH($A36,Simulations!$A$3:$A$62,0))&gt;0,INDEX(Simulations!$I$3:$I$62,MATCH($A36,Simulations!$A$3:$A$62,0)),1))*INDEX(Simulations!$J$3:$J$62,MATCH($A36,Simulations!$A$3:$A$62,0))*IF(INDEX(Simulations!$I$3:$I$62,MATCH($A36,Simulations!$A$3:$A$62,0))&gt;0,2*PI()*INDEX(Simulations!$T$3:$T$62,MATCH($A36,Simulations!$A$3:$A$62,0))^2*INDEX(Simulations!$U$3:$U$62,MATCH($A36,Simulations!$A$3:$A$62,0))/2^1.5*(2/3*LN($G36/INDEX(Simulations!$J$3:$J$62,MATCH($A36,Simulations!$A$3:$A$62,0)))^1.5+SQRT(LN($G36/INDEX(Simulations!$J$3:$J$62,MATCH($A36,Simulations!$A$3:$A$62,0))))+$G36/INDEX(Simulations!$J$3:$J$62,MATCH($A36,Simulations!$A$3:$A$62,0))*SQRT(PI())/2*ERFC(SQRT(LN($G36/INDEX(Simulations!$J$3:$J$62,MATCH($A36,Simulations!$A$3:$A$62,0)))))),PI()*INDEX(Simulations!$T$3:$T$62,MATCH($A36,Simulations!$A$3:$A$62,0))^2/2*(LN($G36/INDEX(Simulations!$J$3:$J$62,MATCH($A36,Simulations!$A$3:$A$62,0)))+1)))))</f>
        <v>3.14992198914448</v>
      </c>
      <c r="T36" s="16" t="n">
        <f aca="false">IF(OR($A36="",ISNA(MATCH($A36,Simulations!$A$3:$A$62,0))),"",IF(N($H36)&lt;=0,0,IF($H36&lt;INDEX(Simulations!$J$3:$J$62,MATCH($A36,Simulations!$A$3:$A$62,0)),$D36/(INDEX(Simulations!$G$3:$G$62,MATCH($A36,Simulations!$A$3:$A$62,0))*INDEX(Simulations!$H$3:$H$62,MATCH($A36,Simulations!$A$3:$A$62,0))*IF(INDEX(Simulations!$I$3:$I$62,MATCH($A36,Simulations!$A$3:$A$62,0))&gt;0,INDEX(Simulations!$I$3:$I$62,MATCH($A36,Simulations!$A$3:$A$62,0)),1))*$H36*(PI()/2*INDEX(Simulations!$T$3:$T$62,MATCH($A36,Simulations!$A$3:$A$62,0))^2*IF(INDEX(Simulations!$I$3:$I$62,MATCH($A36,Simulations!$A$3:$A$62,0))&gt;0,SQRT(PI()/2)*INDEX(Simulations!$U$3:$U$62,MATCH($A36,Simulations!$A$3:$A$62,0)),1)),$D36/(INDEX(Simulations!$G$3:$G$62,MATCH($A36,Simulations!$A$3:$A$62,0))*INDEX(Simulations!$H$3:$H$62,MATCH($A36,Simulations!$A$3:$A$62,0))*IF(INDEX(Simulations!$I$3:$I$62,MATCH($A36,Simulations!$A$3:$A$62,0))&gt;0,INDEX(Simulations!$I$3:$I$62,MATCH($A36,Simulations!$A$3:$A$62,0)),1))*INDEX(Simulations!$J$3:$J$62,MATCH($A36,Simulations!$A$3:$A$62,0))*IF(INDEX(Simulations!$I$3:$I$62,MATCH($A36,Simulations!$A$3:$A$62,0))&gt;0,2*PI()*INDEX(Simulations!$T$3:$T$62,MATCH($A36,Simulations!$A$3:$A$62,0))^2*INDEX(Simulations!$U$3:$U$62,MATCH($A36,Simulations!$A$3:$A$62,0))/2^1.5*(2/3*LN($H36/INDEX(Simulations!$J$3:$J$62,MATCH($A36,Simulations!$A$3:$A$62,0)))^1.5+SQRT(LN($H36/INDEX(Simulations!$J$3:$J$62,MATCH($A36,Simulations!$A$3:$A$62,0))))+$H36/INDEX(Simulations!$J$3:$J$62,MATCH($A36,Simulations!$A$3:$A$62,0))*SQRT(PI())/2*ERFC(SQRT(LN($H36/INDEX(Simulations!$J$3:$J$62,MATCH($A36,Simulations!$A$3:$A$62,0)))))),PI()*INDEX(Simulations!$T$3:$T$62,MATCH($A36,Simulations!$A$3:$A$62,0))^2/2*(LN($H36/INDEX(Simulations!$J$3:$J$62,MATCH($A36,Simulations!$A$3:$A$62,0)))+1)))))</f>
        <v>0</v>
      </c>
      <c r="U36" s="18" t="n">
        <f aca="false">IF(OR(OR($A36="",ISNA(MATCH($A36,Simulations!$A$3:$A$62,0))),N($C36)&lt;=0),"",SQRT(2*$C36*1000000/(INDEX(Simulations!$J$3:$J$62,MATCH($A36,Simulations!$A$3:$A$62,0))*1000))/INDEX(Simulations!$T$3:$T$62,MATCH($A36,Simulations!$A$3:$A$62,0)))</f>
        <v>0.0418330013267038</v>
      </c>
      <c r="V36" s="19" t="str">
        <f aca="false">IF($A36="","",IF(ISNA(MATCH($A36,Simulations!$A$3:$A$62,0)),"✖ Sim ID not found on the Simulations sheet",IF($P36&gt;=1,"✖ brightness &gt;= sampling frequency: completely saturated (D too small, c too large)",IF($P36&gt;0.1,"⚠ brightness &gt; 10% of the sampling frequency: focus starts to saturate",IF(N($U36)&gt;0.1,"⚠ diffusion step &gt; 10% of wr: raise the sampling frequency",IF(MAX($E36:$H36)=0,"⚠ no brightness set","✔ OK"))))))</f>
        <v>✖ brightness &gt;= sampling frequency: completely saturated (D too small, c too large)</v>
      </c>
    </row>
    <row r="37" customFormat="false" ht="23.85" hidden="false" customHeight="false" outlineLevel="0" collapsed="false">
      <c r="A37" s="13" t="s">
        <v>101</v>
      </c>
      <c r="B37" s="13" t="s">
        <v>133</v>
      </c>
      <c r="C37" s="13" t="n">
        <v>35</v>
      </c>
      <c r="D37" s="13" t="n">
        <v>10</v>
      </c>
      <c r="E37" s="13" t="n">
        <v>1000</v>
      </c>
      <c r="F37" s="13" t="n">
        <v>0</v>
      </c>
      <c r="G37" s="13" t="n">
        <v>500</v>
      </c>
      <c r="H37" s="13" t="n">
        <v>0</v>
      </c>
      <c r="I37" s="13" t="n">
        <v>4</v>
      </c>
      <c r="J37" s="13" t="n">
        <v>3</v>
      </c>
      <c r="K37" s="13" t="n">
        <v>2</v>
      </c>
      <c r="L37" s="13" t="n">
        <v>2</v>
      </c>
      <c r="M37" s="13" t="s">
        <v>131</v>
      </c>
      <c r="N37" s="14"/>
      <c r="O37" s="18" t="n">
        <f aca="false">IF(OR($A37="",ISNA(MATCH($A37,Simulations!$A$3:$A$62,0))),"",IF(INDEX(Simulations!$I$3:$I$62,MATCH($A37,Simulations!$A$3:$A$62,0))&gt;0,$D37/(INDEX(Simulations!$G$3:$G$62,MATCH($A37,Simulations!$A$3:$A$62,0))*INDEX(Simulations!$H$3:$H$62,MATCH($A37,Simulations!$A$3:$A$62,0))*IF(INDEX(Simulations!$I$3:$I$62,MATCH($A37,Simulations!$A$3:$A$62,0))&gt;0,INDEX(Simulations!$I$3:$I$62,MATCH($A37,Simulations!$A$3:$A$62,0)),1))/1E-024/6.022E+023/0.000000001,""))</f>
        <v>0.13284623048821</v>
      </c>
      <c r="P37" s="20" t="n">
        <f aca="false">IF(OR($A37="",ISNA(MATCH($A37,Simulations!$A$3:$A$62,0))),"",MAX($E37:$H37)/INDEX(Simulations!$J$3:$J$62,MATCH($A37,Simulations!$A$3:$A$62,0)))</f>
        <v>1</v>
      </c>
      <c r="Q37" s="16" t="n">
        <f aca="false">IF(OR($A37="",ISNA(MATCH($A37,Simulations!$A$3:$A$62,0))),"",IF(N($E37)&lt;=0,0,IF($E37&lt;INDEX(Simulations!$J$3:$J$62,MATCH($A37,Simulations!$A$3:$A$62,0)),$D37/(INDEX(Simulations!$G$3:$G$62,MATCH($A37,Simulations!$A$3:$A$62,0))*INDEX(Simulations!$H$3:$H$62,MATCH($A37,Simulations!$A$3:$A$62,0))*IF(INDEX(Simulations!$I$3:$I$62,MATCH($A37,Simulations!$A$3:$A$62,0))&gt;0,INDEX(Simulations!$I$3:$I$62,MATCH($A37,Simulations!$A$3:$A$62,0)),1))*$E37*(PI()/2*INDEX(Simulations!$T$3:$T$62,MATCH($A37,Simulations!$A$3:$A$62,0))^2*IF(INDEX(Simulations!$I$3:$I$62,MATCH($A37,Simulations!$A$3:$A$62,0))&gt;0,SQRT(PI()/2)*INDEX(Simulations!$U$3:$U$62,MATCH($A37,Simulations!$A$3:$A$62,0)),1)),$D37/(INDEX(Simulations!$G$3:$G$62,MATCH($A37,Simulations!$A$3:$A$62,0))*INDEX(Simulations!$H$3:$H$62,MATCH($A37,Simulations!$A$3:$A$62,0))*IF(INDEX(Simulations!$I$3:$I$62,MATCH($A37,Simulations!$A$3:$A$62,0))&gt;0,INDEX(Simulations!$I$3:$I$62,MATCH($A37,Simulations!$A$3:$A$62,0)),1))*INDEX(Simulations!$J$3:$J$62,MATCH($A37,Simulations!$A$3:$A$62,0))*IF(INDEX(Simulations!$I$3:$I$62,MATCH($A37,Simulations!$A$3:$A$62,0))&gt;0,2*PI()*INDEX(Simulations!$T$3:$T$62,MATCH($A37,Simulations!$A$3:$A$62,0))^2*INDEX(Simulations!$U$3:$U$62,MATCH($A37,Simulations!$A$3:$A$62,0))/2^1.5*(2/3*LN($E37/INDEX(Simulations!$J$3:$J$62,MATCH($A37,Simulations!$A$3:$A$62,0)))^1.5+SQRT(LN($E37/INDEX(Simulations!$J$3:$J$62,MATCH($A37,Simulations!$A$3:$A$62,0))))+$E37/INDEX(Simulations!$J$3:$J$62,MATCH($A37,Simulations!$A$3:$A$62,0))*SQRT(PI())/2*ERFC(SQRT(LN($E37/INDEX(Simulations!$J$3:$J$62,MATCH($A37,Simulations!$A$3:$A$62,0)))))),PI()*INDEX(Simulations!$T$3:$T$62,MATCH($A37,Simulations!$A$3:$A$62,0))^2/2*(LN($E37/INDEX(Simulations!$J$3:$J$62,MATCH($A37,Simulations!$A$3:$A$62,0)))+1)))))</f>
        <v>6.29984397828897</v>
      </c>
      <c r="R37" s="16" t="n">
        <f aca="false">IF(OR($A37="",ISNA(MATCH($A37,Simulations!$A$3:$A$62,0))),"",IF(N($F37)&lt;=0,0,IF($F37&lt;INDEX(Simulations!$J$3:$J$62,MATCH($A37,Simulations!$A$3:$A$62,0)),$D37/(INDEX(Simulations!$G$3:$G$62,MATCH($A37,Simulations!$A$3:$A$62,0))*INDEX(Simulations!$H$3:$H$62,MATCH($A37,Simulations!$A$3:$A$62,0))*IF(INDEX(Simulations!$I$3:$I$62,MATCH($A37,Simulations!$A$3:$A$62,0))&gt;0,INDEX(Simulations!$I$3:$I$62,MATCH($A37,Simulations!$A$3:$A$62,0)),1))*$F37*(PI()/2*INDEX(Simulations!$T$3:$T$62,MATCH($A37,Simulations!$A$3:$A$62,0))^2*IF(INDEX(Simulations!$I$3:$I$62,MATCH($A37,Simulations!$A$3:$A$62,0))&gt;0,SQRT(PI()/2)*INDEX(Simulations!$U$3:$U$62,MATCH($A37,Simulations!$A$3:$A$62,0)),1)),$D37/(INDEX(Simulations!$G$3:$G$62,MATCH($A37,Simulations!$A$3:$A$62,0))*INDEX(Simulations!$H$3:$H$62,MATCH($A37,Simulations!$A$3:$A$62,0))*IF(INDEX(Simulations!$I$3:$I$62,MATCH($A37,Simulations!$A$3:$A$62,0))&gt;0,INDEX(Simulations!$I$3:$I$62,MATCH($A37,Simulations!$A$3:$A$62,0)),1))*INDEX(Simulations!$J$3:$J$62,MATCH($A37,Simulations!$A$3:$A$62,0))*IF(INDEX(Simulations!$I$3:$I$62,MATCH($A37,Simulations!$A$3:$A$62,0))&gt;0,2*PI()*INDEX(Simulations!$T$3:$T$62,MATCH($A37,Simulations!$A$3:$A$62,0))^2*INDEX(Simulations!$U$3:$U$62,MATCH($A37,Simulations!$A$3:$A$62,0))/2^1.5*(2/3*LN($F37/INDEX(Simulations!$J$3:$J$62,MATCH($A37,Simulations!$A$3:$A$62,0)))^1.5+SQRT(LN($F37/INDEX(Simulations!$J$3:$J$62,MATCH($A37,Simulations!$A$3:$A$62,0))))+$F37/INDEX(Simulations!$J$3:$J$62,MATCH($A37,Simulations!$A$3:$A$62,0))*SQRT(PI())/2*ERFC(SQRT(LN($F37/INDEX(Simulations!$J$3:$J$62,MATCH($A37,Simulations!$A$3:$A$62,0)))))),PI()*INDEX(Simulations!$T$3:$T$62,MATCH($A37,Simulations!$A$3:$A$62,0))^2/2*(LN($F37/INDEX(Simulations!$J$3:$J$62,MATCH($A37,Simulations!$A$3:$A$62,0)))+1)))))</f>
        <v>0</v>
      </c>
      <c r="S37" s="16" t="n">
        <f aca="false">IF(OR($A37="",ISNA(MATCH($A37,Simulations!$A$3:$A$62,0))),"",IF(N($G37)&lt;=0,0,IF($G37&lt;INDEX(Simulations!$J$3:$J$62,MATCH($A37,Simulations!$A$3:$A$62,0)),$D37/(INDEX(Simulations!$G$3:$G$62,MATCH($A37,Simulations!$A$3:$A$62,0))*INDEX(Simulations!$H$3:$H$62,MATCH($A37,Simulations!$A$3:$A$62,0))*IF(INDEX(Simulations!$I$3:$I$62,MATCH($A37,Simulations!$A$3:$A$62,0))&gt;0,INDEX(Simulations!$I$3:$I$62,MATCH($A37,Simulations!$A$3:$A$62,0)),1))*$G37*(PI()/2*INDEX(Simulations!$T$3:$T$62,MATCH($A37,Simulations!$A$3:$A$62,0))^2*IF(INDEX(Simulations!$I$3:$I$62,MATCH($A37,Simulations!$A$3:$A$62,0))&gt;0,SQRT(PI()/2)*INDEX(Simulations!$U$3:$U$62,MATCH($A37,Simulations!$A$3:$A$62,0)),1)),$D37/(INDEX(Simulations!$G$3:$G$62,MATCH($A37,Simulations!$A$3:$A$62,0))*INDEX(Simulations!$H$3:$H$62,MATCH($A37,Simulations!$A$3:$A$62,0))*IF(INDEX(Simulations!$I$3:$I$62,MATCH($A37,Simulations!$A$3:$A$62,0))&gt;0,INDEX(Simulations!$I$3:$I$62,MATCH($A37,Simulations!$A$3:$A$62,0)),1))*INDEX(Simulations!$J$3:$J$62,MATCH($A37,Simulations!$A$3:$A$62,0))*IF(INDEX(Simulations!$I$3:$I$62,MATCH($A37,Simulations!$A$3:$A$62,0))&gt;0,2*PI()*INDEX(Simulations!$T$3:$T$62,MATCH($A37,Simulations!$A$3:$A$62,0))^2*INDEX(Simulations!$U$3:$U$62,MATCH($A37,Simulations!$A$3:$A$62,0))/2^1.5*(2/3*LN($G37/INDEX(Simulations!$J$3:$J$62,MATCH($A37,Simulations!$A$3:$A$62,0)))^1.5+SQRT(LN($G37/INDEX(Simulations!$J$3:$J$62,MATCH($A37,Simulations!$A$3:$A$62,0))))+$G37/INDEX(Simulations!$J$3:$J$62,MATCH($A37,Simulations!$A$3:$A$62,0))*SQRT(PI())/2*ERFC(SQRT(LN($G37/INDEX(Simulations!$J$3:$J$62,MATCH($A37,Simulations!$A$3:$A$62,0)))))),PI()*INDEX(Simulations!$T$3:$T$62,MATCH($A37,Simulations!$A$3:$A$62,0))^2/2*(LN($G37/INDEX(Simulations!$J$3:$J$62,MATCH($A37,Simulations!$A$3:$A$62,0)))+1)))))</f>
        <v>3.14992198914448</v>
      </c>
      <c r="T37" s="16" t="n">
        <f aca="false">IF(OR($A37="",ISNA(MATCH($A37,Simulations!$A$3:$A$62,0))),"",IF(N($H37)&lt;=0,0,IF($H37&lt;INDEX(Simulations!$J$3:$J$62,MATCH($A37,Simulations!$A$3:$A$62,0)),$D37/(INDEX(Simulations!$G$3:$G$62,MATCH($A37,Simulations!$A$3:$A$62,0))*INDEX(Simulations!$H$3:$H$62,MATCH($A37,Simulations!$A$3:$A$62,0))*IF(INDEX(Simulations!$I$3:$I$62,MATCH($A37,Simulations!$A$3:$A$62,0))&gt;0,INDEX(Simulations!$I$3:$I$62,MATCH($A37,Simulations!$A$3:$A$62,0)),1))*$H37*(PI()/2*INDEX(Simulations!$T$3:$T$62,MATCH($A37,Simulations!$A$3:$A$62,0))^2*IF(INDEX(Simulations!$I$3:$I$62,MATCH($A37,Simulations!$A$3:$A$62,0))&gt;0,SQRT(PI()/2)*INDEX(Simulations!$U$3:$U$62,MATCH($A37,Simulations!$A$3:$A$62,0)),1)),$D37/(INDEX(Simulations!$G$3:$G$62,MATCH($A37,Simulations!$A$3:$A$62,0))*INDEX(Simulations!$H$3:$H$62,MATCH($A37,Simulations!$A$3:$A$62,0))*IF(INDEX(Simulations!$I$3:$I$62,MATCH($A37,Simulations!$A$3:$A$62,0))&gt;0,INDEX(Simulations!$I$3:$I$62,MATCH($A37,Simulations!$A$3:$A$62,0)),1))*INDEX(Simulations!$J$3:$J$62,MATCH($A37,Simulations!$A$3:$A$62,0))*IF(INDEX(Simulations!$I$3:$I$62,MATCH($A37,Simulations!$A$3:$A$62,0))&gt;0,2*PI()*INDEX(Simulations!$T$3:$T$62,MATCH($A37,Simulations!$A$3:$A$62,0))^2*INDEX(Simulations!$U$3:$U$62,MATCH($A37,Simulations!$A$3:$A$62,0))/2^1.5*(2/3*LN($H37/INDEX(Simulations!$J$3:$J$62,MATCH($A37,Simulations!$A$3:$A$62,0)))^1.5+SQRT(LN($H37/INDEX(Simulations!$J$3:$J$62,MATCH($A37,Simulations!$A$3:$A$62,0))))+$H37/INDEX(Simulations!$J$3:$J$62,MATCH($A37,Simulations!$A$3:$A$62,0))*SQRT(PI())/2*ERFC(SQRT(LN($H37/INDEX(Simulations!$J$3:$J$62,MATCH($A37,Simulations!$A$3:$A$62,0)))))),PI()*INDEX(Simulations!$T$3:$T$62,MATCH($A37,Simulations!$A$3:$A$62,0))^2/2*(LN($H37/INDEX(Simulations!$J$3:$J$62,MATCH($A37,Simulations!$A$3:$A$62,0)))+1)))))</f>
        <v>0</v>
      </c>
      <c r="U37" s="18" t="n">
        <f aca="false">IF(OR(OR($A37="",ISNA(MATCH($A37,Simulations!$A$3:$A$62,0))),N($C37)&lt;=0),"",SQRT(2*$C37*1000000/(INDEX(Simulations!$J$3:$J$62,MATCH($A37,Simulations!$A$3:$A$62,0))*1000))/INDEX(Simulations!$T$3:$T$62,MATCH($A37,Simulations!$A$3:$A$62,0)))</f>
        <v>0.0418330013267038</v>
      </c>
      <c r="V37" s="19" t="str">
        <f aca="false">IF($A37="","",IF(ISNA(MATCH($A37,Simulations!$A$3:$A$62,0)),"✖ Sim ID not found on the Simulations sheet",IF($P37&gt;=1,"✖ brightness &gt;= sampling frequency: completely saturated (D too small, c too large)",IF($P37&gt;0.1,"⚠ brightness &gt; 10% of the sampling frequency: focus starts to saturate",IF(N($U37)&gt;0.1,"⚠ diffusion step &gt; 10% of wr: raise the sampling frequency",IF(MAX($E37:$H37)=0,"⚠ no brightness set","✔ OK"))))))</f>
        <v>✖ brightness &gt;= sampling frequency: completely saturated (D too small, c too large)</v>
      </c>
    </row>
    <row r="38" customFormat="false" ht="23.85" hidden="false" customHeight="false" outlineLevel="0" collapsed="false">
      <c r="A38" s="13" t="s">
        <v>101</v>
      </c>
      <c r="B38" s="13" t="s">
        <v>134</v>
      </c>
      <c r="C38" s="13" t="n">
        <v>35</v>
      </c>
      <c r="D38" s="13" t="n">
        <v>10</v>
      </c>
      <c r="E38" s="13" t="n">
        <v>2000</v>
      </c>
      <c r="F38" s="13" t="n">
        <v>700</v>
      </c>
      <c r="G38" s="13" t="n">
        <v>0</v>
      </c>
      <c r="H38" s="13" t="n">
        <v>0</v>
      </c>
      <c r="I38" s="13" t="n">
        <v>4</v>
      </c>
      <c r="J38" s="13" t="n">
        <v>3</v>
      </c>
      <c r="K38" s="13" t="n">
        <v>2</v>
      </c>
      <c r="L38" s="13" t="n">
        <v>2</v>
      </c>
      <c r="M38" s="13" t="s">
        <v>131</v>
      </c>
      <c r="N38" s="14"/>
      <c r="O38" s="18" t="n">
        <f aca="false">IF(OR($A38="",ISNA(MATCH($A38,Simulations!$A$3:$A$62,0))),"",IF(INDEX(Simulations!$I$3:$I$62,MATCH($A38,Simulations!$A$3:$A$62,0))&gt;0,$D38/(INDEX(Simulations!$G$3:$G$62,MATCH($A38,Simulations!$A$3:$A$62,0))*INDEX(Simulations!$H$3:$H$62,MATCH($A38,Simulations!$A$3:$A$62,0))*IF(INDEX(Simulations!$I$3:$I$62,MATCH($A38,Simulations!$A$3:$A$62,0))&gt;0,INDEX(Simulations!$I$3:$I$62,MATCH($A38,Simulations!$A$3:$A$62,0)),1))/1E-024/6.022E+023/0.000000001,""))</f>
        <v>0.13284623048821</v>
      </c>
      <c r="P38" s="20" t="n">
        <f aca="false">IF(OR($A38="",ISNA(MATCH($A38,Simulations!$A$3:$A$62,0))),"",MAX($E38:$H38)/INDEX(Simulations!$J$3:$J$62,MATCH($A38,Simulations!$A$3:$A$62,0)))</f>
        <v>2</v>
      </c>
      <c r="Q38" s="16" t="n">
        <f aca="false">IF(OR($A38="",ISNA(MATCH($A38,Simulations!$A$3:$A$62,0))),"",IF(N($E38)&lt;=0,0,IF($E38&lt;INDEX(Simulations!$J$3:$J$62,MATCH($A38,Simulations!$A$3:$A$62,0)),$D38/(INDEX(Simulations!$G$3:$G$62,MATCH($A38,Simulations!$A$3:$A$62,0))*INDEX(Simulations!$H$3:$H$62,MATCH($A38,Simulations!$A$3:$A$62,0))*IF(INDEX(Simulations!$I$3:$I$62,MATCH($A38,Simulations!$A$3:$A$62,0))&gt;0,INDEX(Simulations!$I$3:$I$62,MATCH($A38,Simulations!$A$3:$A$62,0)),1))*$E38*(PI()/2*INDEX(Simulations!$T$3:$T$62,MATCH($A38,Simulations!$A$3:$A$62,0))^2*IF(INDEX(Simulations!$I$3:$I$62,MATCH($A38,Simulations!$A$3:$A$62,0))&gt;0,SQRT(PI()/2)*INDEX(Simulations!$U$3:$U$62,MATCH($A38,Simulations!$A$3:$A$62,0)),1)),$D38/(INDEX(Simulations!$G$3:$G$62,MATCH($A38,Simulations!$A$3:$A$62,0))*INDEX(Simulations!$H$3:$H$62,MATCH($A38,Simulations!$A$3:$A$62,0))*IF(INDEX(Simulations!$I$3:$I$62,MATCH($A38,Simulations!$A$3:$A$62,0))&gt;0,INDEX(Simulations!$I$3:$I$62,MATCH($A38,Simulations!$A$3:$A$62,0)),1))*INDEX(Simulations!$J$3:$J$62,MATCH($A38,Simulations!$A$3:$A$62,0))*IF(INDEX(Simulations!$I$3:$I$62,MATCH($A38,Simulations!$A$3:$A$62,0))&gt;0,2*PI()*INDEX(Simulations!$T$3:$T$62,MATCH($A38,Simulations!$A$3:$A$62,0))^2*INDEX(Simulations!$U$3:$U$62,MATCH($A38,Simulations!$A$3:$A$62,0))/2^1.5*(2/3*LN($E38/INDEX(Simulations!$J$3:$J$62,MATCH($A38,Simulations!$A$3:$A$62,0)))^1.5+SQRT(LN($E38/INDEX(Simulations!$J$3:$J$62,MATCH($A38,Simulations!$A$3:$A$62,0))))+$E38/INDEX(Simulations!$J$3:$J$62,MATCH($A38,Simulations!$A$3:$A$62,0))*SQRT(PI())/2*ERFC(SQRT(LN($E38/INDEX(Simulations!$J$3:$J$62,MATCH($A38,Simulations!$A$3:$A$62,0)))))),PI()*INDEX(Simulations!$T$3:$T$62,MATCH($A38,Simulations!$A$3:$A$62,0))^2/2*(LN($E38/INDEX(Simulations!$J$3:$J$62,MATCH($A38,Simulations!$A$3:$A$62,0)))+1)))))</f>
        <v>11.6648746605853</v>
      </c>
      <c r="R38" s="16" t="n">
        <f aca="false">IF(OR($A38="",ISNA(MATCH($A38,Simulations!$A$3:$A$62,0))),"",IF(N($F38)&lt;=0,0,IF($F38&lt;INDEX(Simulations!$J$3:$J$62,MATCH($A38,Simulations!$A$3:$A$62,0)),$D38/(INDEX(Simulations!$G$3:$G$62,MATCH($A38,Simulations!$A$3:$A$62,0))*INDEX(Simulations!$H$3:$H$62,MATCH($A38,Simulations!$A$3:$A$62,0))*IF(INDEX(Simulations!$I$3:$I$62,MATCH($A38,Simulations!$A$3:$A$62,0))&gt;0,INDEX(Simulations!$I$3:$I$62,MATCH($A38,Simulations!$A$3:$A$62,0)),1))*$F38*(PI()/2*INDEX(Simulations!$T$3:$T$62,MATCH($A38,Simulations!$A$3:$A$62,0))^2*IF(INDEX(Simulations!$I$3:$I$62,MATCH($A38,Simulations!$A$3:$A$62,0))&gt;0,SQRT(PI()/2)*INDEX(Simulations!$U$3:$U$62,MATCH($A38,Simulations!$A$3:$A$62,0)),1)),$D38/(INDEX(Simulations!$G$3:$G$62,MATCH($A38,Simulations!$A$3:$A$62,0))*INDEX(Simulations!$H$3:$H$62,MATCH($A38,Simulations!$A$3:$A$62,0))*IF(INDEX(Simulations!$I$3:$I$62,MATCH($A38,Simulations!$A$3:$A$62,0))&gt;0,INDEX(Simulations!$I$3:$I$62,MATCH($A38,Simulations!$A$3:$A$62,0)),1))*INDEX(Simulations!$J$3:$J$62,MATCH($A38,Simulations!$A$3:$A$62,0))*IF(INDEX(Simulations!$I$3:$I$62,MATCH($A38,Simulations!$A$3:$A$62,0))&gt;0,2*PI()*INDEX(Simulations!$T$3:$T$62,MATCH($A38,Simulations!$A$3:$A$62,0))^2*INDEX(Simulations!$U$3:$U$62,MATCH($A38,Simulations!$A$3:$A$62,0))/2^1.5*(2/3*LN($F38/INDEX(Simulations!$J$3:$J$62,MATCH($A38,Simulations!$A$3:$A$62,0)))^1.5+SQRT(LN($F38/INDEX(Simulations!$J$3:$J$62,MATCH($A38,Simulations!$A$3:$A$62,0))))+$F38/INDEX(Simulations!$J$3:$J$62,MATCH($A38,Simulations!$A$3:$A$62,0))*SQRT(PI())/2*ERFC(SQRT(LN($F38/INDEX(Simulations!$J$3:$J$62,MATCH($A38,Simulations!$A$3:$A$62,0)))))),PI()*INDEX(Simulations!$T$3:$T$62,MATCH($A38,Simulations!$A$3:$A$62,0))^2/2*(LN($F38/INDEX(Simulations!$J$3:$J$62,MATCH($A38,Simulations!$A$3:$A$62,0)))+1)))))</f>
        <v>4.40989078480228</v>
      </c>
      <c r="S38" s="16" t="n">
        <f aca="false">IF(OR($A38="",ISNA(MATCH($A38,Simulations!$A$3:$A$62,0))),"",IF(N($G38)&lt;=0,0,IF($G38&lt;INDEX(Simulations!$J$3:$J$62,MATCH($A38,Simulations!$A$3:$A$62,0)),$D38/(INDEX(Simulations!$G$3:$G$62,MATCH($A38,Simulations!$A$3:$A$62,0))*INDEX(Simulations!$H$3:$H$62,MATCH($A38,Simulations!$A$3:$A$62,0))*IF(INDEX(Simulations!$I$3:$I$62,MATCH($A38,Simulations!$A$3:$A$62,0))&gt;0,INDEX(Simulations!$I$3:$I$62,MATCH($A38,Simulations!$A$3:$A$62,0)),1))*$G38*(PI()/2*INDEX(Simulations!$T$3:$T$62,MATCH($A38,Simulations!$A$3:$A$62,0))^2*IF(INDEX(Simulations!$I$3:$I$62,MATCH($A38,Simulations!$A$3:$A$62,0))&gt;0,SQRT(PI()/2)*INDEX(Simulations!$U$3:$U$62,MATCH($A38,Simulations!$A$3:$A$62,0)),1)),$D38/(INDEX(Simulations!$G$3:$G$62,MATCH($A38,Simulations!$A$3:$A$62,0))*INDEX(Simulations!$H$3:$H$62,MATCH($A38,Simulations!$A$3:$A$62,0))*IF(INDEX(Simulations!$I$3:$I$62,MATCH($A38,Simulations!$A$3:$A$62,0))&gt;0,INDEX(Simulations!$I$3:$I$62,MATCH($A38,Simulations!$A$3:$A$62,0)),1))*INDEX(Simulations!$J$3:$J$62,MATCH($A38,Simulations!$A$3:$A$62,0))*IF(INDEX(Simulations!$I$3:$I$62,MATCH($A38,Simulations!$A$3:$A$62,0))&gt;0,2*PI()*INDEX(Simulations!$T$3:$T$62,MATCH($A38,Simulations!$A$3:$A$62,0))^2*INDEX(Simulations!$U$3:$U$62,MATCH($A38,Simulations!$A$3:$A$62,0))/2^1.5*(2/3*LN($G38/INDEX(Simulations!$J$3:$J$62,MATCH($A38,Simulations!$A$3:$A$62,0)))^1.5+SQRT(LN($G38/INDEX(Simulations!$J$3:$J$62,MATCH($A38,Simulations!$A$3:$A$62,0))))+$G38/INDEX(Simulations!$J$3:$J$62,MATCH($A38,Simulations!$A$3:$A$62,0))*SQRT(PI())/2*ERFC(SQRT(LN($G38/INDEX(Simulations!$J$3:$J$62,MATCH($A38,Simulations!$A$3:$A$62,0)))))),PI()*INDEX(Simulations!$T$3:$T$62,MATCH($A38,Simulations!$A$3:$A$62,0))^2/2*(LN($G38/INDEX(Simulations!$J$3:$J$62,MATCH($A38,Simulations!$A$3:$A$62,0)))+1)))))</f>
        <v>0</v>
      </c>
      <c r="T38" s="16" t="n">
        <f aca="false">IF(OR($A38="",ISNA(MATCH($A38,Simulations!$A$3:$A$62,0))),"",IF(N($H38)&lt;=0,0,IF($H38&lt;INDEX(Simulations!$J$3:$J$62,MATCH($A38,Simulations!$A$3:$A$62,0)),$D38/(INDEX(Simulations!$G$3:$G$62,MATCH($A38,Simulations!$A$3:$A$62,0))*INDEX(Simulations!$H$3:$H$62,MATCH($A38,Simulations!$A$3:$A$62,0))*IF(INDEX(Simulations!$I$3:$I$62,MATCH($A38,Simulations!$A$3:$A$62,0))&gt;0,INDEX(Simulations!$I$3:$I$62,MATCH($A38,Simulations!$A$3:$A$62,0)),1))*$H38*(PI()/2*INDEX(Simulations!$T$3:$T$62,MATCH($A38,Simulations!$A$3:$A$62,0))^2*IF(INDEX(Simulations!$I$3:$I$62,MATCH($A38,Simulations!$A$3:$A$62,0))&gt;0,SQRT(PI()/2)*INDEX(Simulations!$U$3:$U$62,MATCH($A38,Simulations!$A$3:$A$62,0)),1)),$D38/(INDEX(Simulations!$G$3:$G$62,MATCH($A38,Simulations!$A$3:$A$62,0))*INDEX(Simulations!$H$3:$H$62,MATCH($A38,Simulations!$A$3:$A$62,0))*IF(INDEX(Simulations!$I$3:$I$62,MATCH($A38,Simulations!$A$3:$A$62,0))&gt;0,INDEX(Simulations!$I$3:$I$62,MATCH($A38,Simulations!$A$3:$A$62,0)),1))*INDEX(Simulations!$J$3:$J$62,MATCH($A38,Simulations!$A$3:$A$62,0))*IF(INDEX(Simulations!$I$3:$I$62,MATCH($A38,Simulations!$A$3:$A$62,0))&gt;0,2*PI()*INDEX(Simulations!$T$3:$T$62,MATCH($A38,Simulations!$A$3:$A$62,0))^2*INDEX(Simulations!$U$3:$U$62,MATCH($A38,Simulations!$A$3:$A$62,0))/2^1.5*(2/3*LN($H38/INDEX(Simulations!$J$3:$J$62,MATCH($A38,Simulations!$A$3:$A$62,0)))^1.5+SQRT(LN($H38/INDEX(Simulations!$J$3:$J$62,MATCH($A38,Simulations!$A$3:$A$62,0))))+$H38/INDEX(Simulations!$J$3:$J$62,MATCH($A38,Simulations!$A$3:$A$62,0))*SQRT(PI())/2*ERFC(SQRT(LN($H38/INDEX(Simulations!$J$3:$J$62,MATCH($A38,Simulations!$A$3:$A$62,0)))))),PI()*INDEX(Simulations!$T$3:$T$62,MATCH($A38,Simulations!$A$3:$A$62,0))^2/2*(LN($H38/INDEX(Simulations!$J$3:$J$62,MATCH($A38,Simulations!$A$3:$A$62,0)))+1)))))</f>
        <v>0</v>
      </c>
      <c r="U38" s="18" t="n">
        <f aca="false">IF(OR(OR($A38="",ISNA(MATCH($A38,Simulations!$A$3:$A$62,0))),N($C38)&lt;=0),"",SQRT(2*$C38*1000000/(INDEX(Simulations!$J$3:$J$62,MATCH($A38,Simulations!$A$3:$A$62,0))*1000))/INDEX(Simulations!$T$3:$T$62,MATCH($A38,Simulations!$A$3:$A$62,0)))</f>
        <v>0.0418330013267038</v>
      </c>
      <c r="V38" s="19" t="str">
        <f aca="false">IF($A38="","",IF(ISNA(MATCH($A38,Simulations!$A$3:$A$62,0)),"✖ Sim ID not found on the Simulations sheet",IF($P38&gt;=1,"✖ brightness &gt;= sampling frequency: completely saturated (D too small, c too large)",IF($P38&gt;0.1,"⚠ brightness &gt; 10% of the sampling frequency: focus starts to saturate",IF(N($U38)&gt;0.1,"⚠ diffusion step &gt; 10% of wr: raise the sampling frequency",IF(MAX($E38:$H38)=0,"⚠ no brightness set","✔ OK"))))))</f>
        <v>✖ brightness &gt;= sampling frequency: completely saturated (D too small, c too large)</v>
      </c>
    </row>
    <row r="39" customFormat="false" ht="23.85" hidden="false" customHeight="false" outlineLevel="0" collapsed="false">
      <c r="A39" s="13" t="s">
        <v>103</v>
      </c>
      <c r="B39" s="13" t="s">
        <v>132</v>
      </c>
      <c r="C39" s="13" t="n">
        <v>35</v>
      </c>
      <c r="D39" s="13" t="n">
        <v>1000</v>
      </c>
      <c r="E39" s="13" t="n">
        <v>1000</v>
      </c>
      <c r="F39" s="13" t="n">
        <v>700</v>
      </c>
      <c r="G39" s="13" t="n">
        <v>500</v>
      </c>
      <c r="H39" s="13" t="n">
        <v>0</v>
      </c>
      <c r="I39" s="13" t="n">
        <v>4</v>
      </c>
      <c r="J39" s="13" t="n">
        <v>3</v>
      </c>
      <c r="K39" s="13" t="n">
        <v>2</v>
      </c>
      <c r="L39" s="13" t="n">
        <v>2</v>
      </c>
      <c r="M39" s="13" t="s">
        <v>131</v>
      </c>
      <c r="N39" s="14"/>
      <c r="O39" s="18" t="n">
        <f aca="false">IF(OR($A39="",ISNA(MATCH($A39,Simulations!$A$3:$A$62,0))),"",IF(INDEX(Simulations!$I$3:$I$62,MATCH($A39,Simulations!$A$3:$A$62,0))&gt;0,$D39/(INDEX(Simulations!$G$3:$G$62,MATCH($A39,Simulations!$A$3:$A$62,0))*INDEX(Simulations!$H$3:$H$62,MATCH($A39,Simulations!$A$3:$A$62,0))*IF(INDEX(Simulations!$I$3:$I$62,MATCH($A39,Simulations!$A$3:$A$62,0))&gt;0,INDEX(Simulations!$I$3:$I$62,MATCH($A39,Simulations!$A$3:$A$62,0)),1))/1E-024/6.022E+023/0.000000001,""))</f>
        <v>13.284623048821</v>
      </c>
      <c r="P39" s="20" t="n">
        <f aca="false">IF(OR($A39="",ISNA(MATCH($A39,Simulations!$A$3:$A$62,0))),"",MAX($E39:$H39)/INDEX(Simulations!$J$3:$J$62,MATCH($A39,Simulations!$A$3:$A$62,0)))</f>
        <v>1</v>
      </c>
      <c r="Q39" s="16" t="n">
        <f aca="false">IF(OR($A39="",ISNA(MATCH($A39,Simulations!$A$3:$A$62,0))),"",IF(N($E39)&lt;=0,0,IF($E39&lt;INDEX(Simulations!$J$3:$J$62,MATCH($A39,Simulations!$A$3:$A$62,0)),$D39/(INDEX(Simulations!$G$3:$G$62,MATCH($A39,Simulations!$A$3:$A$62,0))*INDEX(Simulations!$H$3:$H$62,MATCH($A39,Simulations!$A$3:$A$62,0))*IF(INDEX(Simulations!$I$3:$I$62,MATCH($A39,Simulations!$A$3:$A$62,0))&gt;0,INDEX(Simulations!$I$3:$I$62,MATCH($A39,Simulations!$A$3:$A$62,0)),1))*$E39*(PI()/2*INDEX(Simulations!$T$3:$T$62,MATCH($A39,Simulations!$A$3:$A$62,0))^2*IF(INDEX(Simulations!$I$3:$I$62,MATCH($A39,Simulations!$A$3:$A$62,0))&gt;0,SQRT(PI()/2)*INDEX(Simulations!$U$3:$U$62,MATCH($A39,Simulations!$A$3:$A$62,0)),1)),$D39/(INDEX(Simulations!$G$3:$G$62,MATCH($A39,Simulations!$A$3:$A$62,0))*INDEX(Simulations!$H$3:$H$62,MATCH($A39,Simulations!$A$3:$A$62,0))*IF(INDEX(Simulations!$I$3:$I$62,MATCH($A39,Simulations!$A$3:$A$62,0))&gt;0,INDEX(Simulations!$I$3:$I$62,MATCH($A39,Simulations!$A$3:$A$62,0)),1))*INDEX(Simulations!$J$3:$J$62,MATCH($A39,Simulations!$A$3:$A$62,0))*IF(INDEX(Simulations!$I$3:$I$62,MATCH($A39,Simulations!$A$3:$A$62,0))&gt;0,2*PI()*INDEX(Simulations!$T$3:$T$62,MATCH($A39,Simulations!$A$3:$A$62,0))^2*INDEX(Simulations!$U$3:$U$62,MATCH($A39,Simulations!$A$3:$A$62,0))/2^1.5*(2/3*LN($E39/INDEX(Simulations!$J$3:$J$62,MATCH($A39,Simulations!$A$3:$A$62,0)))^1.5+SQRT(LN($E39/INDEX(Simulations!$J$3:$J$62,MATCH($A39,Simulations!$A$3:$A$62,0))))+$E39/INDEX(Simulations!$J$3:$J$62,MATCH($A39,Simulations!$A$3:$A$62,0))*SQRT(PI())/2*ERFC(SQRT(LN($E39/INDEX(Simulations!$J$3:$J$62,MATCH($A39,Simulations!$A$3:$A$62,0)))))),PI()*INDEX(Simulations!$T$3:$T$62,MATCH($A39,Simulations!$A$3:$A$62,0))^2/2*(LN($E39/INDEX(Simulations!$J$3:$J$62,MATCH($A39,Simulations!$A$3:$A$62,0)))+1)))))</f>
        <v>629.984397828897</v>
      </c>
      <c r="R39" s="16" t="n">
        <f aca="false">IF(OR($A39="",ISNA(MATCH($A39,Simulations!$A$3:$A$62,0))),"",IF(N($F39)&lt;=0,0,IF($F39&lt;INDEX(Simulations!$J$3:$J$62,MATCH($A39,Simulations!$A$3:$A$62,0)),$D39/(INDEX(Simulations!$G$3:$G$62,MATCH($A39,Simulations!$A$3:$A$62,0))*INDEX(Simulations!$H$3:$H$62,MATCH($A39,Simulations!$A$3:$A$62,0))*IF(INDEX(Simulations!$I$3:$I$62,MATCH($A39,Simulations!$A$3:$A$62,0))&gt;0,INDEX(Simulations!$I$3:$I$62,MATCH($A39,Simulations!$A$3:$A$62,0)),1))*$F39*(PI()/2*INDEX(Simulations!$T$3:$T$62,MATCH($A39,Simulations!$A$3:$A$62,0))^2*IF(INDEX(Simulations!$I$3:$I$62,MATCH($A39,Simulations!$A$3:$A$62,0))&gt;0,SQRT(PI()/2)*INDEX(Simulations!$U$3:$U$62,MATCH($A39,Simulations!$A$3:$A$62,0)),1)),$D39/(INDEX(Simulations!$G$3:$G$62,MATCH($A39,Simulations!$A$3:$A$62,0))*INDEX(Simulations!$H$3:$H$62,MATCH($A39,Simulations!$A$3:$A$62,0))*IF(INDEX(Simulations!$I$3:$I$62,MATCH($A39,Simulations!$A$3:$A$62,0))&gt;0,INDEX(Simulations!$I$3:$I$62,MATCH($A39,Simulations!$A$3:$A$62,0)),1))*INDEX(Simulations!$J$3:$J$62,MATCH($A39,Simulations!$A$3:$A$62,0))*IF(INDEX(Simulations!$I$3:$I$62,MATCH($A39,Simulations!$A$3:$A$62,0))&gt;0,2*PI()*INDEX(Simulations!$T$3:$T$62,MATCH($A39,Simulations!$A$3:$A$62,0))^2*INDEX(Simulations!$U$3:$U$62,MATCH($A39,Simulations!$A$3:$A$62,0))/2^1.5*(2/3*LN($F39/INDEX(Simulations!$J$3:$J$62,MATCH($A39,Simulations!$A$3:$A$62,0)))^1.5+SQRT(LN($F39/INDEX(Simulations!$J$3:$J$62,MATCH($A39,Simulations!$A$3:$A$62,0))))+$F39/INDEX(Simulations!$J$3:$J$62,MATCH($A39,Simulations!$A$3:$A$62,0))*SQRT(PI())/2*ERFC(SQRT(LN($F39/INDEX(Simulations!$J$3:$J$62,MATCH($A39,Simulations!$A$3:$A$62,0)))))),PI()*INDEX(Simulations!$T$3:$T$62,MATCH($A39,Simulations!$A$3:$A$62,0))^2/2*(LN($F39/INDEX(Simulations!$J$3:$J$62,MATCH($A39,Simulations!$A$3:$A$62,0)))+1)))))</f>
        <v>440.989078480228</v>
      </c>
      <c r="S39" s="16" t="n">
        <f aca="false">IF(OR($A39="",ISNA(MATCH($A39,Simulations!$A$3:$A$62,0))),"",IF(N($G39)&lt;=0,0,IF($G39&lt;INDEX(Simulations!$J$3:$J$62,MATCH($A39,Simulations!$A$3:$A$62,0)),$D39/(INDEX(Simulations!$G$3:$G$62,MATCH($A39,Simulations!$A$3:$A$62,0))*INDEX(Simulations!$H$3:$H$62,MATCH($A39,Simulations!$A$3:$A$62,0))*IF(INDEX(Simulations!$I$3:$I$62,MATCH($A39,Simulations!$A$3:$A$62,0))&gt;0,INDEX(Simulations!$I$3:$I$62,MATCH($A39,Simulations!$A$3:$A$62,0)),1))*$G39*(PI()/2*INDEX(Simulations!$T$3:$T$62,MATCH($A39,Simulations!$A$3:$A$62,0))^2*IF(INDEX(Simulations!$I$3:$I$62,MATCH($A39,Simulations!$A$3:$A$62,0))&gt;0,SQRT(PI()/2)*INDEX(Simulations!$U$3:$U$62,MATCH($A39,Simulations!$A$3:$A$62,0)),1)),$D39/(INDEX(Simulations!$G$3:$G$62,MATCH($A39,Simulations!$A$3:$A$62,0))*INDEX(Simulations!$H$3:$H$62,MATCH($A39,Simulations!$A$3:$A$62,0))*IF(INDEX(Simulations!$I$3:$I$62,MATCH($A39,Simulations!$A$3:$A$62,0))&gt;0,INDEX(Simulations!$I$3:$I$62,MATCH($A39,Simulations!$A$3:$A$62,0)),1))*INDEX(Simulations!$J$3:$J$62,MATCH($A39,Simulations!$A$3:$A$62,0))*IF(INDEX(Simulations!$I$3:$I$62,MATCH($A39,Simulations!$A$3:$A$62,0))&gt;0,2*PI()*INDEX(Simulations!$T$3:$T$62,MATCH($A39,Simulations!$A$3:$A$62,0))^2*INDEX(Simulations!$U$3:$U$62,MATCH($A39,Simulations!$A$3:$A$62,0))/2^1.5*(2/3*LN($G39/INDEX(Simulations!$J$3:$J$62,MATCH($A39,Simulations!$A$3:$A$62,0)))^1.5+SQRT(LN($G39/INDEX(Simulations!$J$3:$J$62,MATCH($A39,Simulations!$A$3:$A$62,0))))+$G39/INDEX(Simulations!$J$3:$J$62,MATCH($A39,Simulations!$A$3:$A$62,0))*SQRT(PI())/2*ERFC(SQRT(LN($G39/INDEX(Simulations!$J$3:$J$62,MATCH($A39,Simulations!$A$3:$A$62,0)))))),PI()*INDEX(Simulations!$T$3:$T$62,MATCH($A39,Simulations!$A$3:$A$62,0))^2/2*(LN($G39/INDEX(Simulations!$J$3:$J$62,MATCH($A39,Simulations!$A$3:$A$62,0)))+1)))))</f>
        <v>314.992198914448</v>
      </c>
      <c r="T39" s="16" t="n">
        <f aca="false">IF(OR($A39="",ISNA(MATCH($A39,Simulations!$A$3:$A$62,0))),"",IF(N($H39)&lt;=0,0,IF($H39&lt;INDEX(Simulations!$J$3:$J$62,MATCH($A39,Simulations!$A$3:$A$62,0)),$D39/(INDEX(Simulations!$G$3:$G$62,MATCH($A39,Simulations!$A$3:$A$62,0))*INDEX(Simulations!$H$3:$H$62,MATCH($A39,Simulations!$A$3:$A$62,0))*IF(INDEX(Simulations!$I$3:$I$62,MATCH($A39,Simulations!$A$3:$A$62,0))&gt;0,INDEX(Simulations!$I$3:$I$62,MATCH($A39,Simulations!$A$3:$A$62,0)),1))*$H39*(PI()/2*INDEX(Simulations!$T$3:$T$62,MATCH($A39,Simulations!$A$3:$A$62,0))^2*IF(INDEX(Simulations!$I$3:$I$62,MATCH($A39,Simulations!$A$3:$A$62,0))&gt;0,SQRT(PI()/2)*INDEX(Simulations!$U$3:$U$62,MATCH($A39,Simulations!$A$3:$A$62,0)),1)),$D39/(INDEX(Simulations!$G$3:$G$62,MATCH($A39,Simulations!$A$3:$A$62,0))*INDEX(Simulations!$H$3:$H$62,MATCH($A39,Simulations!$A$3:$A$62,0))*IF(INDEX(Simulations!$I$3:$I$62,MATCH($A39,Simulations!$A$3:$A$62,0))&gt;0,INDEX(Simulations!$I$3:$I$62,MATCH($A39,Simulations!$A$3:$A$62,0)),1))*INDEX(Simulations!$J$3:$J$62,MATCH($A39,Simulations!$A$3:$A$62,0))*IF(INDEX(Simulations!$I$3:$I$62,MATCH($A39,Simulations!$A$3:$A$62,0))&gt;0,2*PI()*INDEX(Simulations!$T$3:$T$62,MATCH($A39,Simulations!$A$3:$A$62,0))^2*INDEX(Simulations!$U$3:$U$62,MATCH($A39,Simulations!$A$3:$A$62,0))/2^1.5*(2/3*LN($H39/INDEX(Simulations!$J$3:$J$62,MATCH($A39,Simulations!$A$3:$A$62,0)))^1.5+SQRT(LN($H39/INDEX(Simulations!$J$3:$J$62,MATCH($A39,Simulations!$A$3:$A$62,0))))+$H39/INDEX(Simulations!$J$3:$J$62,MATCH($A39,Simulations!$A$3:$A$62,0))*SQRT(PI())/2*ERFC(SQRT(LN($H39/INDEX(Simulations!$J$3:$J$62,MATCH($A39,Simulations!$A$3:$A$62,0)))))),PI()*INDEX(Simulations!$T$3:$T$62,MATCH($A39,Simulations!$A$3:$A$62,0))^2/2*(LN($H39/INDEX(Simulations!$J$3:$J$62,MATCH($A39,Simulations!$A$3:$A$62,0)))+1)))))</f>
        <v>0</v>
      </c>
      <c r="U39" s="18" t="n">
        <f aca="false">IF(OR(OR($A39="",ISNA(MATCH($A39,Simulations!$A$3:$A$62,0))),N($C39)&lt;=0),"",SQRT(2*$C39*1000000/(INDEX(Simulations!$J$3:$J$62,MATCH($A39,Simulations!$A$3:$A$62,0))*1000))/INDEX(Simulations!$T$3:$T$62,MATCH($A39,Simulations!$A$3:$A$62,0)))</f>
        <v>0.0418330013267038</v>
      </c>
      <c r="V39" s="19" t="str">
        <f aca="false">IF($A39="","",IF(ISNA(MATCH($A39,Simulations!$A$3:$A$62,0)),"✖ Sim ID not found on the Simulations sheet",IF($P39&gt;=1,"✖ brightness &gt;= sampling frequency: completely saturated (D too small, c too large)",IF($P39&gt;0.1,"⚠ brightness &gt; 10% of the sampling frequency: focus starts to saturate",IF(N($U39)&gt;0.1,"⚠ diffusion step &gt; 10% of wr: raise the sampling frequency",IF(MAX($E39:$H39)=0,"⚠ no brightness set","✔ OK"))))))</f>
        <v>✖ brightness &gt;= sampling frequency: completely saturated (D too small, c too large)</v>
      </c>
    </row>
    <row r="40" customFormat="false" ht="23.85" hidden="false" customHeight="false" outlineLevel="0" collapsed="false">
      <c r="A40" s="13" t="s">
        <v>103</v>
      </c>
      <c r="B40" s="13" t="s">
        <v>133</v>
      </c>
      <c r="C40" s="13" t="n">
        <v>35</v>
      </c>
      <c r="D40" s="13" t="n">
        <v>1000</v>
      </c>
      <c r="E40" s="13" t="n">
        <v>1000</v>
      </c>
      <c r="F40" s="13" t="n">
        <v>0</v>
      </c>
      <c r="G40" s="13" t="n">
        <v>500</v>
      </c>
      <c r="H40" s="13" t="n">
        <v>0</v>
      </c>
      <c r="I40" s="13" t="n">
        <v>4</v>
      </c>
      <c r="J40" s="13" t="n">
        <v>3</v>
      </c>
      <c r="K40" s="13" t="n">
        <v>2</v>
      </c>
      <c r="L40" s="13" t="n">
        <v>2</v>
      </c>
      <c r="M40" s="13" t="s">
        <v>131</v>
      </c>
      <c r="N40" s="14"/>
      <c r="O40" s="18" t="n">
        <f aca="false">IF(OR($A40="",ISNA(MATCH($A40,Simulations!$A$3:$A$62,0))),"",IF(INDEX(Simulations!$I$3:$I$62,MATCH($A40,Simulations!$A$3:$A$62,0))&gt;0,$D40/(INDEX(Simulations!$G$3:$G$62,MATCH($A40,Simulations!$A$3:$A$62,0))*INDEX(Simulations!$H$3:$H$62,MATCH($A40,Simulations!$A$3:$A$62,0))*IF(INDEX(Simulations!$I$3:$I$62,MATCH($A40,Simulations!$A$3:$A$62,0))&gt;0,INDEX(Simulations!$I$3:$I$62,MATCH($A40,Simulations!$A$3:$A$62,0)),1))/1E-024/6.022E+023/0.000000001,""))</f>
        <v>13.284623048821</v>
      </c>
      <c r="P40" s="20" t="n">
        <f aca="false">IF(OR($A40="",ISNA(MATCH($A40,Simulations!$A$3:$A$62,0))),"",MAX($E40:$H40)/INDEX(Simulations!$J$3:$J$62,MATCH($A40,Simulations!$A$3:$A$62,0)))</f>
        <v>1</v>
      </c>
      <c r="Q40" s="16" t="n">
        <f aca="false">IF(OR($A40="",ISNA(MATCH($A40,Simulations!$A$3:$A$62,0))),"",IF(N($E40)&lt;=0,0,IF($E40&lt;INDEX(Simulations!$J$3:$J$62,MATCH($A40,Simulations!$A$3:$A$62,0)),$D40/(INDEX(Simulations!$G$3:$G$62,MATCH($A40,Simulations!$A$3:$A$62,0))*INDEX(Simulations!$H$3:$H$62,MATCH($A40,Simulations!$A$3:$A$62,0))*IF(INDEX(Simulations!$I$3:$I$62,MATCH($A40,Simulations!$A$3:$A$62,0))&gt;0,INDEX(Simulations!$I$3:$I$62,MATCH($A40,Simulations!$A$3:$A$62,0)),1))*$E40*(PI()/2*INDEX(Simulations!$T$3:$T$62,MATCH($A40,Simulations!$A$3:$A$62,0))^2*IF(INDEX(Simulations!$I$3:$I$62,MATCH($A40,Simulations!$A$3:$A$62,0))&gt;0,SQRT(PI()/2)*INDEX(Simulations!$U$3:$U$62,MATCH($A40,Simulations!$A$3:$A$62,0)),1)),$D40/(INDEX(Simulations!$G$3:$G$62,MATCH($A40,Simulations!$A$3:$A$62,0))*INDEX(Simulations!$H$3:$H$62,MATCH($A40,Simulations!$A$3:$A$62,0))*IF(INDEX(Simulations!$I$3:$I$62,MATCH($A40,Simulations!$A$3:$A$62,0))&gt;0,INDEX(Simulations!$I$3:$I$62,MATCH($A40,Simulations!$A$3:$A$62,0)),1))*INDEX(Simulations!$J$3:$J$62,MATCH($A40,Simulations!$A$3:$A$62,0))*IF(INDEX(Simulations!$I$3:$I$62,MATCH($A40,Simulations!$A$3:$A$62,0))&gt;0,2*PI()*INDEX(Simulations!$T$3:$T$62,MATCH($A40,Simulations!$A$3:$A$62,0))^2*INDEX(Simulations!$U$3:$U$62,MATCH($A40,Simulations!$A$3:$A$62,0))/2^1.5*(2/3*LN($E40/INDEX(Simulations!$J$3:$J$62,MATCH($A40,Simulations!$A$3:$A$62,0)))^1.5+SQRT(LN($E40/INDEX(Simulations!$J$3:$J$62,MATCH($A40,Simulations!$A$3:$A$62,0))))+$E40/INDEX(Simulations!$J$3:$J$62,MATCH($A40,Simulations!$A$3:$A$62,0))*SQRT(PI())/2*ERFC(SQRT(LN($E40/INDEX(Simulations!$J$3:$J$62,MATCH($A40,Simulations!$A$3:$A$62,0)))))),PI()*INDEX(Simulations!$T$3:$T$62,MATCH($A40,Simulations!$A$3:$A$62,0))^2/2*(LN($E40/INDEX(Simulations!$J$3:$J$62,MATCH($A40,Simulations!$A$3:$A$62,0)))+1)))))</f>
        <v>629.984397828897</v>
      </c>
      <c r="R40" s="16" t="n">
        <f aca="false">IF(OR($A40="",ISNA(MATCH($A40,Simulations!$A$3:$A$62,0))),"",IF(N($F40)&lt;=0,0,IF($F40&lt;INDEX(Simulations!$J$3:$J$62,MATCH($A40,Simulations!$A$3:$A$62,0)),$D40/(INDEX(Simulations!$G$3:$G$62,MATCH($A40,Simulations!$A$3:$A$62,0))*INDEX(Simulations!$H$3:$H$62,MATCH($A40,Simulations!$A$3:$A$62,0))*IF(INDEX(Simulations!$I$3:$I$62,MATCH($A40,Simulations!$A$3:$A$62,0))&gt;0,INDEX(Simulations!$I$3:$I$62,MATCH($A40,Simulations!$A$3:$A$62,0)),1))*$F40*(PI()/2*INDEX(Simulations!$T$3:$T$62,MATCH($A40,Simulations!$A$3:$A$62,0))^2*IF(INDEX(Simulations!$I$3:$I$62,MATCH($A40,Simulations!$A$3:$A$62,0))&gt;0,SQRT(PI()/2)*INDEX(Simulations!$U$3:$U$62,MATCH($A40,Simulations!$A$3:$A$62,0)),1)),$D40/(INDEX(Simulations!$G$3:$G$62,MATCH($A40,Simulations!$A$3:$A$62,0))*INDEX(Simulations!$H$3:$H$62,MATCH($A40,Simulations!$A$3:$A$62,0))*IF(INDEX(Simulations!$I$3:$I$62,MATCH($A40,Simulations!$A$3:$A$62,0))&gt;0,INDEX(Simulations!$I$3:$I$62,MATCH($A40,Simulations!$A$3:$A$62,0)),1))*INDEX(Simulations!$J$3:$J$62,MATCH($A40,Simulations!$A$3:$A$62,0))*IF(INDEX(Simulations!$I$3:$I$62,MATCH($A40,Simulations!$A$3:$A$62,0))&gt;0,2*PI()*INDEX(Simulations!$T$3:$T$62,MATCH($A40,Simulations!$A$3:$A$62,0))^2*INDEX(Simulations!$U$3:$U$62,MATCH($A40,Simulations!$A$3:$A$62,0))/2^1.5*(2/3*LN($F40/INDEX(Simulations!$J$3:$J$62,MATCH($A40,Simulations!$A$3:$A$62,0)))^1.5+SQRT(LN($F40/INDEX(Simulations!$J$3:$J$62,MATCH($A40,Simulations!$A$3:$A$62,0))))+$F40/INDEX(Simulations!$J$3:$J$62,MATCH($A40,Simulations!$A$3:$A$62,0))*SQRT(PI())/2*ERFC(SQRT(LN($F40/INDEX(Simulations!$J$3:$J$62,MATCH($A40,Simulations!$A$3:$A$62,0)))))),PI()*INDEX(Simulations!$T$3:$T$62,MATCH($A40,Simulations!$A$3:$A$62,0))^2/2*(LN($F40/INDEX(Simulations!$J$3:$J$62,MATCH($A40,Simulations!$A$3:$A$62,0)))+1)))))</f>
        <v>0</v>
      </c>
      <c r="S40" s="16" t="n">
        <f aca="false">IF(OR($A40="",ISNA(MATCH($A40,Simulations!$A$3:$A$62,0))),"",IF(N($G40)&lt;=0,0,IF($G40&lt;INDEX(Simulations!$J$3:$J$62,MATCH($A40,Simulations!$A$3:$A$62,0)),$D40/(INDEX(Simulations!$G$3:$G$62,MATCH($A40,Simulations!$A$3:$A$62,0))*INDEX(Simulations!$H$3:$H$62,MATCH($A40,Simulations!$A$3:$A$62,0))*IF(INDEX(Simulations!$I$3:$I$62,MATCH($A40,Simulations!$A$3:$A$62,0))&gt;0,INDEX(Simulations!$I$3:$I$62,MATCH($A40,Simulations!$A$3:$A$62,0)),1))*$G40*(PI()/2*INDEX(Simulations!$T$3:$T$62,MATCH($A40,Simulations!$A$3:$A$62,0))^2*IF(INDEX(Simulations!$I$3:$I$62,MATCH($A40,Simulations!$A$3:$A$62,0))&gt;0,SQRT(PI()/2)*INDEX(Simulations!$U$3:$U$62,MATCH($A40,Simulations!$A$3:$A$62,0)),1)),$D40/(INDEX(Simulations!$G$3:$G$62,MATCH($A40,Simulations!$A$3:$A$62,0))*INDEX(Simulations!$H$3:$H$62,MATCH($A40,Simulations!$A$3:$A$62,0))*IF(INDEX(Simulations!$I$3:$I$62,MATCH($A40,Simulations!$A$3:$A$62,0))&gt;0,INDEX(Simulations!$I$3:$I$62,MATCH($A40,Simulations!$A$3:$A$62,0)),1))*INDEX(Simulations!$J$3:$J$62,MATCH($A40,Simulations!$A$3:$A$62,0))*IF(INDEX(Simulations!$I$3:$I$62,MATCH($A40,Simulations!$A$3:$A$62,0))&gt;0,2*PI()*INDEX(Simulations!$T$3:$T$62,MATCH($A40,Simulations!$A$3:$A$62,0))^2*INDEX(Simulations!$U$3:$U$62,MATCH($A40,Simulations!$A$3:$A$62,0))/2^1.5*(2/3*LN($G40/INDEX(Simulations!$J$3:$J$62,MATCH($A40,Simulations!$A$3:$A$62,0)))^1.5+SQRT(LN($G40/INDEX(Simulations!$J$3:$J$62,MATCH($A40,Simulations!$A$3:$A$62,0))))+$G40/INDEX(Simulations!$J$3:$J$62,MATCH($A40,Simulations!$A$3:$A$62,0))*SQRT(PI())/2*ERFC(SQRT(LN($G40/INDEX(Simulations!$J$3:$J$62,MATCH($A40,Simulations!$A$3:$A$62,0)))))),PI()*INDEX(Simulations!$T$3:$T$62,MATCH($A40,Simulations!$A$3:$A$62,0))^2/2*(LN($G40/INDEX(Simulations!$J$3:$J$62,MATCH($A40,Simulations!$A$3:$A$62,0)))+1)))))</f>
        <v>314.992198914448</v>
      </c>
      <c r="T40" s="16" t="n">
        <f aca="false">IF(OR($A40="",ISNA(MATCH($A40,Simulations!$A$3:$A$62,0))),"",IF(N($H40)&lt;=0,0,IF($H40&lt;INDEX(Simulations!$J$3:$J$62,MATCH($A40,Simulations!$A$3:$A$62,0)),$D40/(INDEX(Simulations!$G$3:$G$62,MATCH($A40,Simulations!$A$3:$A$62,0))*INDEX(Simulations!$H$3:$H$62,MATCH($A40,Simulations!$A$3:$A$62,0))*IF(INDEX(Simulations!$I$3:$I$62,MATCH($A40,Simulations!$A$3:$A$62,0))&gt;0,INDEX(Simulations!$I$3:$I$62,MATCH($A40,Simulations!$A$3:$A$62,0)),1))*$H40*(PI()/2*INDEX(Simulations!$T$3:$T$62,MATCH($A40,Simulations!$A$3:$A$62,0))^2*IF(INDEX(Simulations!$I$3:$I$62,MATCH($A40,Simulations!$A$3:$A$62,0))&gt;0,SQRT(PI()/2)*INDEX(Simulations!$U$3:$U$62,MATCH($A40,Simulations!$A$3:$A$62,0)),1)),$D40/(INDEX(Simulations!$G$3:$G$62,MATCH($A40,Simulations!$A$3:$A$62,0))*INDEX(Simulations!$H$3:$H$62,MATCH($A40,Simulations!$A$3:$A$62,0))*IF(INDEX(Simulations!$I$3:$I$62,MATCH($A40,Simulations!$A$3:$A$62,0))&gt;0,INDEX(Simulations!$I$3:$I$62,MATCH($A40,Simulations!$A$3:$A$62,0)),1))*INDEX(Simulations!$J$3:$J$62,MATCH($A40,Simulations!$A$3:$A$62,0))*IF(INDEX(Simulations!$I$3:$I$62,MATCH($A40,Simulations!$A$3:$A$62,0))&gt;0,2*PI()*INDEX(Simulations!$T$3:$T$62,MATCH($A40,Simulations!$A$3:$A$62,0))^2*INDEX(Simulations!$U$3:$U$62,MATCH($A40,Simulations!$A$3:$A$62,0))/2^1.5*(2/3*LN($H40/INDEX(Simulations!$J$3:$J$62,MATCH($A40,Simulations!$A$3:$A$62,0)))^1.5+SQRT(LN($H40/INDEX(Simulations!$J$3:$J$62,MATCH($A40,Simulations!$A$3:$A$62,0))))+$H40/INDEX(Simulations!$J$3:$J$62,MATCH($A40,Simulations!$A$3:$A$62,0))*SQRT(PI())/2*ERFC(SQRT(LN($H40/INDEX(Simulations!$J$3:$J$62,MATCH($A40,Simulations!$A$3:$A$62,0)))))),PI()*INDEX(Simulations!$T$3:$T$62,MATCH($A40,Simulations!$A$3:$A$62,0))^2/2*(LN($H40/INDEX(Simulations!$J$3:$J$62,MATCH($A40,Simulations!$A$3:$A$62,0)))+1)))))</f>
        <v>0</v>
      </c>
      <c r="U40" s="18" t="n">
        <f aca="false">IF(OR(OR($A40="",ISNA(MATCH($A40,Simulations!$A$3:$A$62,0))),N($C40)&lt;=0),"",SQRT(2*$C40*1000000/(INDEX(Simulations!$J$3:$J$62,MATCH($A40,Simulations!$A$3:$A$62,0))*1000))/INDEX(Simulations!$T$3:$T$62,MATCH($A40,Simulations!$A$3:$A$62,0)))</f>
        <v>0.0418330013267038</v>
      </c>
      <c r="V40" s="19" t="str">
        <f aca="false">IF($A40="","",IF(ISNA(MATCH($A40,Simulations!$A$3:$A$62,0)),"✖ Sim ID not found on the Simulations sheet",IF($P40&gt;=1,"✖ brightness &gt;= sampling frequency: completely saturated (D too small, c too large)",IF($P40&gt;0.1,"⚠ brightness &gt; 10% of the sampling frequency: focus starts to saturate",IF(N($U40)&gt;0.1,"⚠ diffusion step &gt; 10% of wr: raise the sampling frequency",IF(MAX($E40:$H40)=0,"⚠ no brightness set","✔ OK"))))))</f>
        <v>✖ brightness &gt;= sampling frequency: completely saturated (D too small, c too large)</v>
      </c>
    </row>
    <row r="41" customFormat="false" ht="23.85" hidden="false" customHeight="false" outlineLevel="0" collapsed="false">
      <c r="A41" s="13" t="s">
        <v>103</v>
      </c>
      <c r="B41" s="13" t="s">
        <v>134</v>
      </c>
      <c r="C41" s="13" t="n">
        <v>35</v>
      </c>
      <c r="D41" s="13" t="n">
        <v>1000</v>
      </c>
      <c r="E41" s="13" t="n">
        <v>2000</v>
      </c>
      <c r="F41" s="13" t="n">
        <v>700</v>
      </c>
      <c r="G41" s="13" t="n">
        <v>0</v>
      </c>
      <c r="H41" s="13" t="n">
        <v>0</v>
      </c>
      <c r="I41" s="13" t="n">
        <v>4</v>
      </c>
      <c r="J41" s="13" t="n">
        <v>3</v>
      </c>
      <c r="K41" s="13" t="n">
        <v>2</v>
      </c>
      <c r="L41" s="13" t="n">
        <v>2</v>
      </c>
      <c r="M41" s="13" t="s">
        <v>131</v>
      </c>
      <c r="N41" s="14"/>
      <c r="O41" s="18" t="n">
        <f aca="false">IF(OR($A41="",ISNA(MATCH($A41,Simulations!$A$3:$A$62,0))),"",IF(INDEX(Simulations!$I$3:$I$62,MATCH($A41,Simulations!$A$3:$A$62,0))&gt;0,$D41/(INDEX(Simulations!$G$3:$G$62,MATCH($A41,Simulations!$A$3:$A$62,0))*INDEX(Simulations!$H$3:$H$62,MATCH($A41,Simulations!$A$3:$A$62,0))*IF(INDEX(Simulations!$I$3:$I$62,MATCH($A41,Simulations!$A$3:$A$62,0))&gt;0,INDEX(Simulations!$I$3:$I$62,MATCH($A41,Simulations!$A$3:$A$62,0)),1))/1E-024/6.022E+023/0.000000001,""))</f>
        <v>13.284623048821</v>
      </c>
      <c r="P41" s="20" t="n">
        <f aca="false">IF(OR($A41="",ISNA(MATCH($A41,Simulations!$A$3:$A$62,0))),"",MAX($E41:$H41)/INDEX(Simulations!$J$3:$J$62,MATCH($A41,Simulations!$A$3:$A$62,0)))</f>
        <v>2</v>
      </c>
      <c r="Q41" s="16" t="n">
        <f aca="false">IF(OR($A41="",ISNA(MATCH($A41,Simulations!$A$3:$A$62,0))),"",IF(N($E41)&lt;=0,0,IF($E41&lt;INDEX(Simulations!$J$3:$J$62,MATCH($A41,Simulations!$A$3:$A$62,0)),$D41/(INDEX(Simulations!$G$3:$G$62,MATCH($A41,Simulations!$A$3:$A$62,0))*INDEX(Simulations!$H$3:$H$62,MATCH($A41,Simulations!$A$3:$A$62,0))*IF(INDEX(Simulations!$I$3:$I$62,MATCH($A41,Simulations!$A$3:$A$62,0))&gt;0,INDEX(Simulations!$I$3:$I$62,MATCH($A41,Simulations!$A$3:$A$62,0)),1))*$E41*(PI()/2*INDEX(Simulations!$T$3:$T$62,MATCH($A41,Simulations!$A$3:$A$62,0))^2*IF(INDEX(Simulations!$I$3:$I$62,MATCH($A41,Simulations!$A$3:$A$62,0))&gt;0,SQRT(PI()/2)*INDEX(Simulations!$U$3:$U$62,MATCH($A41,Simulations!$A$3:$A$62,0)),1)),$D41/(INDEX(Simulations!$G$3:$G$62,MATCH($A41,Simulations!$A$3:$A$62,0))*INDEX(Simulations!$H$3:$H$62,MATCH($A41,Simulations!$A$3:$A$62,0))*IF(INDEX(Simulations!$I$3:$I$62,MATCH($A41,Simulations!$A$3:$A$62,0))&gt;0,INDEX(Simulations!$I$3:$I$62,MATCH($A41,Simulations!$A$3:$A$62,0)),1))*INDEX(Simulations!$J$3:$J$62,MATCH($A41,Simulations!$A$3:$A$62,0))*IF(INDEX(Simulations!$I$3:$I$62,MATCH($A41,Simulations!$A$3:$A$62,0))&gt;0,2*PI()*INDEX(Simulations!$T$3:$T$62,MATCH($A41,Simulations!$A$3:$A$62,0))^2*INDEX(Simulations!$U$3:$U$62,MATCH($A41,Simulations!$A$3:$A$62,0))/2^1.5*(2/3*LN($E41/INDEX(Simulations!$J$3:$J$62,MATCH($A41,Simulations!$A$3:$A$62,0)))^1.5+SQRT(LN($E41/INDEX(Simulations!$J$3:$J$62,MATCH($A41,Simulations!$A$3:$A$62,0))))+$E41/INDEX(Simulations!$J$3:$J$62,MATCH($A41,Simulations!$A$3:$A$62,0))*SQRT(PI())/2*ERFC(SQRT(LN($E41/INDEX(Simulations!$J$3:$J$62,MATCH($A41,Simulations!$A$3:$A$62,0)))))),PI()*INDEX(Simulations!$T$3:$T$62,MATCH($A41,Simulations!$A$3:$A$62,0))^2/2*(LN($E41/INDEX(Simulations!$J$3:$J$62,MATCH($A41,Simulations!$A$3:$A$62,0)))+1)))))</f>
        <v>1166.48746605853</v>
      </c>
      <c r="R41" s="16" t="n">
        <f aca="false">IF(OR($A41="",ISNA(MATCH($A41,Simulations!$A$3:$A$62,0))),"",IF(N($F41)&lt;=0,0,IF($F41&lt;INDEX(Simulations!$J$3:$J$62,MATCH($A41,Simulations!$A$3:$A$62,0)),$D41/(INDEX(Simulations!$G$3:$G$62,MATCH($A41,Simulations!$A$3:$A$62,0))*INDEX(Simulations!$H$3:$H$62,MATCH($A41,Simulations!$A$3:$A$62,0))*IF(INDEX(Simulations!$I$3:$I$62,MATCH($A41,Simulations!$A$3:$A$62,0))&gt;0,INDEX(Simulations!$I$3:$I$62,MATCH($A41,Simulations!$A$3:$A$62,0)),1))*$F41*(PI()/2*INDEX(Simulations!$T$3:$T$62,MATCH($A41,Simulations!$A$3:$A$62,0))^2*IF(INDEX(Simulations!$I$3:$I$62,MATCH($A41,Simulations!$A$3:$A$62,0))&gt;0,SQRT(PI()/2)*INDEX(Simulations!$U$3:$U$62,MATCH($A41,Simulations!$A$3:$A$62,0)),1)),$D41/(INDEX(Simulations!$G$3:$G$62,MATCH($A41,Simulations!$A$3:$A$62,0))*INDEX(Simulations!$H$3:$H$62,MATCH($A41,Simulations!$A$3:$A$62,0))*IF(INDEX(Simulations!$I$3:$I$62,MATCH($A41,Simulations!$A$3:$A$62,0))&gt;0,INDEX(Simulations!$I$3:$I$62,MATCH($A41,Simulations!$A$3:$A$62,0)),1))*INDEX(Simulations!$J$3:$J$62,MATCH($A41,Simulations!$A$3:$A$62,0))*IF(INDEX(Simulations!$I$3:$I$62,MATCH($A41,Simulations!$A$3:$A$62,0))&gt;0,2*PI()*INDEX(Simulations!$T$3:$T$62,MATCH($A41,Simulations!$A$3:$A$62,0))^2*INDEX(Simulations!$U$3:$U$62,MATCH($A41,Simulations!$A$3:$A$62,0))/2^1.5*(2/3*LN($F41/INDEX(Simulations!$J$3:$J$62,MATCH($A41,Simulations!$A$3:$A$62,0)))^1.5+SQRT(LN($F41/INDEX(Simulations!$J$3:$J$62,MATCH($A41,Simulations!$A$3:$A$62,0))))+$F41/INDEX(Simulations!$J$3:$J$62,MATCH($A41,Simulations!$A$3:$A$62,0))*SQRT(PI())/2*ERFC(SQRT(LN($F41/INDEX(Simulations!$J$3:$J$62,MATCH($A41,Simulations!$A$3:$A$62,0)))))),PI()*INDEX(Simulations!$T$3:$T$62,MATCH($A41,Simulations!$A$3:$A$62,0))^2/2*(LN($F41/INDEX(Simulations!$J$3:$J$62,MATCH($A41,Simulations!$A$3:$A$62,0)))+1)))))</f>
        <v>440.989078480228</v>
      </c>
      <c r="S41" s="16" t="n">
        <f aca="false">IF(OR($A41="",ISNA(MATCH($A41,Simulations!$A$3:$A$62,0))),"",IF(N($G41)&lt;=0,0,IF($G41&lt;INDEX(Simulations!$J$3:$J$62,MATCH($A41,Simulations!$A$3:$A$62,0)),$D41/(INDEX(Simulations!$G$3:$G$62,MATCH($A41,Simulations!$A$3:$A$62,0))*INDEX(Simulations!$H$3:$H$62,MATCH($A41,Simulations!$A$3:$A$62,0))*IF(INDEX(Simulations!$I$3:$I$62,MATCH($A41,Simulations!$A$3:$A$62,0))&gt;0,INDEX(Simulations!$I$3:$I$62,MATCH($A41,Simulations!$A$3:$A$62,0)),1))*$G41*(PI()/2*INDEX(Simulations!$T$3:$T$62,MATCH($A41,Simulations!$A$3:$A$62,0))^2*IF(INDEX(Simulations!$I$3:$I$62,MATCH($A41,Simulations!$A$3:$A$62,0))&gt;0,SQRT(PI()/2)*INDEX(Simulations!$U$3:$U$62,MATCH($A41,Simulations!$A$3:$A$62,0)),1)),$D41/(INDEX(Simulations!$G$3:$G$62,MATCH($A41,Simulations!$A$3:$A$62,0))*INDEX(Simulations!$H$3:$H$62,MATCH($A41,Simulations!$A$3:$A$62,0))*IF(INDEX(Simulations!$I$3:$I$62,MATCH($A41,Simulations!$A$3:$A$62,0))&gt;0,INDEX(Simulations!$I$3:$I$62,MATCH($A41,Simulations!$A$3:$A$62,0)),1))*INDEX(Simulations!$J$3:$J$62,MATCH($A41,Simulations!$A$3:$A$62,0))*IF(INDEX(Simulations!$I$3:$I$62,MATCH($A41,Simulations!$A$3:$A$62,0))&gt;0,2*PI()*INDEX(Simulations!$T$3:$T$62,MATCH($A41,Simulations!$A$3:$A$62,0))^2*INDEX(Simulations!$U$3:$U$62,MATCH($A41,Simulations!$A$3:$A$62,0))/2^1.5*(2/3*LN($G41/INDEX(Simulations!$J$3:$J$62,MATCH($A41,Simulations!$A$3:$A$62,0)))^1.5+SQRT(LN($G41/INDEX(Simulations!$J$3:$J$62,MATCH($A41,Simulations!$A$3:$A$62,0))))+$G41/INDEX(Simulations!$J$3:$J$62,MATCH($A41,Simulations!$A$3:$A$62,0))*SQRT(PI())/2*ERFC(SQRT(LN($G41/INDEX(Simulations!$J$3:$J$62,MATCH($A41,Simulations!$A$3:$A$62,0)))))),PI()*INDEX(Simulations!$T$3:$T$62,MATCH($A41,Simulations!$A$3:$A$62,0))^2/2*(LN($G41/INDEX(Simulations!$J$3:$J$62,MATCH($A41,Simulations!$A$3:$A$62,0)))+1)))))</f>
        <v>0</v>
      </c>
      <c r="T41" s="16" t="n">
        <f aca="false">IF(OR($A41="",ISNA(MATCH($A41,Simulations!$A$3:$A$62,0))),"",IF(N($H41)&lt;=0,0,IF($H41&lt;INDEX(Simulations!$J$3:$J$62,MATCH($A41,Simulations!$A$3:$A$62,0)),$D41/(INDEX(Simulations!$G$3:$G$62,MATCH($A41,Simulations!$A$3:$A$62,0))*INDEX(Simulations!$H$3:$H$62,MATCH($A41,Simulations!$A$3:$A$62,0))*IF(INDEX(Simulations!$I$3:$I$62,MATCH($A41,Simulations!$A$3:$A$62,0))&gt;0,INDEX(Simulations!$I$3:$I$62,MATCH($A41,Simulations!$A$3:$A$62,0)),1))*$H41*(PI()/2*INDEX(Simulations!$T$3:$T$62,MATCH($A41,Simulations!$A$3:$A$62,0))^2*IF(INDEX(Simulations!$I$3:$I$62,MATCH($A41,Simulations!$A$3:$A$62,0))&gt;0,SQRT(PI()/2)*INDEX(Simulations!$U$3:$U$62,MATCH($A41,Simulations!$A$3:$A$62,0)),1)),$D41/(INDEX(Simulations!$G$3:$G$62,MATCH($A41,Simulations!$A$3:$A$62,0))*INDEX(Simulations!$H$3:$H$62,MATCH($A41,Simulations!$A$3:$A$62,0))*IF(INDEX(Simulations!$I$3:$I$62,MATCH($A41,Simulations!$A$3:$A$62,0))&gt;0,INDEX(Simulations!$I$3:$I$62,MATCH($A41,Simulations!$A$3:$A$62,0)),1))*INDEX(Simulations!$J$3:$J$62,MATCH($A41,Simulations!$A$3:$A$62,0))*IF(INDEX(Simulations!$I$3:$I$62,MATCH($A41,Simulations!$A$3:$A$62,0))&gt;0,2*PI()*INDEX(Simulations!$T$3:$T$62,MATCH($A41,Simulations!$A$3:$A$62,0))^2*INDEX(Simulations!$U$3:$U$62,MATCH($A41,Simulations!$A$3:$A$62,0))/2^1.5*(2/3*LN($H41/INDEX(Simulations!$J$3:$J$62,MATCH($A41,Simulations!$A$3:$A$62,0)))^1.5+SQRT(LN($H41/INDEX(Simulations!$J$3:$J$62,MATCH($A41,Simulations!$A$3:$A$62,0))))+$H41/INDEX(Simulations!$J$3:$J$62,MATCH($A41,Simulations!$A$3:$A$62,0))*SQRT(PI())/2*ERFC(SQRT(LN($H41/INDEX(Simulations!$J$3:$J$62,MATCH($A41,Simulations!$A$3:$A$62,0)))))),PI()*INDEX(Simulations!$T$3:$T$62,MATCH($A41,Simulations!$A$3:$A$62,0))^2/2*(LN($H41/INDEX(Simulations!$J$3:$J$62,MATCH($A41,Simulations!$A$3:$A$62,0)))+1)))))</f>
        <v>0</v>
      </c>
      <c r="U41" s="18" t="n">
        <f aca="false">IF(OR(OR($A41="",ISNA(MATCH($A41,Simulations!$A$3:$A$62,0))),N($C41)&lt;=0),"",SQRT(2*$C41*1000000/(INDEX(Simulations!$J$3:$J$62,MATCH($A41,Simulations!$A$3:$A$62,0))*1000))/INDEX(Simulations!$T$3:$T$62,MATCH($A41,Simulations!$A$3:$A$62,0)))</f>
        <v>0.0418330013267038</v>
      </c>
      <c r="V41" s="19" t="str">
        <f aca="false">IF($A41="","",IF(ISNA(MATCH($A41,Simulations!$A$3:$A$62,0)),"✖ Sim ID not found on the Simulations sheet",IF($P41&gt;=1,"✖ brightness &gt;= sampling frequency: completely saturated (D too small, c too large)",IF($P41&gt;0.1,"⚠ brightness &gt; 10% of the sampling frequency: focus starts to saturate",IF(N($U41)&gt;0.1,"⚠ diffusion step &gt; 10% of wr: raise the sampling frequency",IF(MAX($E41:$H41)=0,"⚠ no brightness set","✔ OK"))))))</f>
        <v>✖ brightness &gt;= sampling frequency: completely saturated (D too small, c too large)</v>
      </c>
    </row>
    <row r="42" customFormat="false" ht="23.85" hidden="false" customHeight="false" outlineLevel="0" collapsed="false">
      <c r="A42" s="13" t="s">
        <v>105</v>
      </c>
      <c r="B42" s="13" t="s">
        <v>132</v>
      </c>
      <c r="C42" s="13" t="n">
        <v>35</v>
      </c>
      <c r="D42" s="13" t="n">
        <v>200</v>
      </c>
      <c r="E42" s="13" t="n">
        <v>10000</v>
      </c>
      <c r="F42" s="13" t="n">
        <v>7000</v>
      </c>
      <c r="G42" s="13" t="n">
        <v>5000</v>
      </c>
      <c r="H42" s="13" t="n">
        <v>0</v>
      </c>
      <c r="I42" s="13" t="n">
        <v>4</v>
      </c>
      <c r="J42" s="13" t="n">
        <v>3</v>
      </c>
      <c r="K42" s="13" t="n">
        <v>2</v>
      </c>
      <c r="L42" s="13" t="n">
        <v>2</v>
      </c>
      <c r="M42" s="13" t="s">
        <v>131</v>
      </c>
      <c r="N42" s="14"/>
      <c r="O42" s="18" t="n">
        <f aca="false">IF(OR($A42="",ISNA(MATCH($A42,Simulations!$A$3:$A$62,0))),"",IF(INDEX(Simulations!$I$3:$I$62,MATCH($A42,Simulations!$A$3:$A$62,0))&gt;0,$D42/(INDEX(Simulations!$G$3:$G$62,MATCH($A42,Simulations!$A$3:$A$62,0))*INDEX(Simulations!$H$3:$H$62,MATCH($A42,Simulations!$A$3:$A$62,0))*IF(INDEX(Simulations!$I$3:$I$62,MATCH($A42,Simulations!$A$3:$A$62,0))&gt;0,INDEX(Simulations!$I$3:$I$62,MATCH($A42,Simulations!$A$3:$A$62,0)),1))/1E-024/6.022E+023/0.000000001,""))</f>
        <v>2.6569246097642</v>
      </c>
      <c r="P42" s="20" t="n">
        <f aca="false">IF(OR($A42="",ISNA(MATCH($A42,Simulations!$A$3:$A$62,0))),"",MAX($E42:$H42)/INDEX(Simulations!$J$3:$J$62,MATCH($A42,Simulations!$A$3:$A$62,0)))</f>
        <v>10</v>
      </c>
      <c r="Q42" s="16" t="n">
        <f aca="false">IF(OR($A42="",ISNA(MATCH($A42,Simulations!$A$3:$A$62,0))),"",IF(N($E42)&lt;=0,0,IF($E42&lt;INDEX(Simulations!$J$3:$J$62,MATCH($A42,Simulations!$A$3:$A$62,0)),$D42/(INDEX(Simulations!$G$3:$G$62,MATCH($A42,Simulations!$A$3:$A$62,0))*INDEX(Simulations!$H$3:$H$62,MATCH($A42,Simulations!$A$3:$A$62,0))*IF(INDEX(Simulations!$I$3:$I$62,MATCH($A42,Simulations!$A$3:$A$62,0))&gt;0,INDEX(Simulations!$I$3:$I$62,MATCH($A42,Simulations!$A$3:$A$62,0)),1))*$E42*(PI()/2*INDEX(Simulations!$T$3:$T$62,MATCH($A42,Simulations!$A$3:$A$62,0))^2*IF(INDEX(Simulations!$I$3:$I$62,MATCH($A42,Simulations!$A$3:$A$62,0))&gt;0,SQRT(PI()/2)*INDEX(Simulations!$U$3:$U$62,MATCH($A42,Simulations!$A$3:$A$62,0)),1)),$D42/(INDEX(Simulations!$G$3:$G$62,MATCH($A42,Simulations!$A$3:$A$62,0))*INDEX(Simulations!$H$3:$H$62,MATCH($A42,Simulations!$A$3:$A$62,0))*IF(INDEX(Simulations!$I$3:$I$62,MATCH($A42,Simulations!$A$3:$A$62,0))&gt;0,INDEX(Simulations!$I$3:$I$62,MATCH($A42,Simulations!$A$3:$A$62,0)),1))*INDEX(Simulations!$J$3:$J$62,MATCH($A42,Simulations!$A$3:$A$62,0))*IF(INDEX(Simulations!$I$3:$I$62,MATCH($A42,Simulations!$A$3:$A$62,0))&gt;0,2*PI()*INDEX(Simulations!$T$3:$T$62,MATCH($A42,Simulations!$A$3:$A$62,0))^2*INDEX(Simulations!$U$3:$U$62,MATCH($A42,Simulations!$A$3:$A$62,0))/2^1.5*(2/3*LN($E42/INDEX(Simulations!$J$3:$J$62,MATCH($A42,Simulations!$A$3:$A$62,0)))^1.5+SQRT(LN($E42/INDEX(Simulations!$J$3:$J$62,MATCH($A42,Simulations!$A$3:$A$62,0))))+$E42/INDEX(Simulations!$J$3:$J$62,MATCH($A42,Simulations!$A$3:$A$62,0))*SQRT(PI())/2*ERFC(SQRT(LN($E42/INDEX(Simulations!$J$3:$J$62,MATCH($A42,Simulations!$A$3:$A$62,0)))))),PI()*INDEX(Simulations!$T$3:$T$62,MATCH($A42,Simulations!$A$3:$A$62,0))^2/2*(LN($E42/INDEX(Simulations!$J$3:$J$62,MATCH($A42,Simulations!$A$3:$A$62,0)))+1)))))</f>
        <v>587.065461762353</v>
      </c>
      <c r="R42" s="16" t="n">
        <f aca="false">IF(OR($A42="",ISNA(MATCH($A42,Simulations!$A$3:$A$62,0))),"",IF(N($F42)&lt;=0,0,IF($F42&lt;INDEX(Simulations!$J$3:$J$62,MATCH($A42,Simulations!$A$3:$A$62,0)),$D42/(INDEX(Simulations!$G$3:$G$62,MATCH($A42,Simulations!$A$3:$A$62,0))*INDEX(Simulations!$H$3:$H$62,MATCH($A42,Simulations!$A$3:$A$62,0))*IF(INDEX(Simulations!$I$3:$I$62,MATCH($A42,Simulations!$A$3:$A$62,0))&gt;0,INDEX(Simulations!$I$3:$I$62,MATCH($A42,Simulations!$A$3:$A$62,0)),1))*$F42*(PI()/2*INDEX(Simulations!$T$3:$T$62,MATCH($A42,Simulations!$A$3:$A$62,0))^2*IF(INDEX(Simulations!$I$3:$I$62,MATCH($A42,Simulations!$A$3:$A$62,0))&gt;0,SQRT(PI()/2)*INDEX(Simulations!$U$3:$U$62,MATCH($A42,Simulations!$A$3:$A$62,0)),1)),$D42/(INDEX(Simulations!$G$3:$G$62,MATCH($A42,Simulations!$A$3:$A$62,0))*INDEX(Simulations!$H$3:$H$62,MATCH($A42,Simulations!$A$3:$A$62,0))*IF(INDEX(Simulations!$I$3:$I$62,MATCH($A42,Simulations!$A$3:$A$62,0))&gt;0,INDEX(Simulations!$I$3:$I$62,MATCH($A42,Simulations!$A$3:$A$62,0)),1))*INDEX(Simulations!$J$3:$J$62,MATCH($A42,Simulations!$A$3:$A$62,0))*IF(INDEX(Simulations!$I$3:$I$62,MATCH($A42,Simulations!$A$3:$A$62,0))&gt;0,2*PI()*INDEX(Simulations!$T$3:$T$62,MATCH($A42,Simulations!$A$3:$A$62,0))^2*INDEX(Simulations!$U$3:$U$62,MATCH($A42,Simulations!$A$3:$A$62,0))/2^1.5*(2/3*LN($F42/INDEX(Simulations!$J$3:$J$62,MATCH($A42,Simulations!$A$3:$A$62,0)))^1.5+SQRT(LN($F42/INDEX(Simulations!$J$3:$J$62,MATCH($A42,Simulations!$A$3:$A$62,0))))+$F42/INDEX(Simulations!$J$3:$J$62,MATCH($A42,Simulations!$A$3:$A$62,0))*SQRT(PI())/2*ERFC(SQRT(LN($F42/INDEX(Simulations!$J$3:$J$62,MATCH($A42,Simulations!$A$3:$A$62,0)))))),PI()*INDEX(Simulations!$T$3:$T$62,MATCH($A42,Simulations!$A$3:$A$62,0))^2/2*(LN($F42/INDEX(Simulations!$J$3:$J$62,MATCH($A42,Simulations!$A$3:$A$62,0)))+1)))))</f>
        <v>498.400644511572</v>
      </c>
      <c r="S42" s="16" t="n">
        <f aca="false">IF(OR($A42="",ISNA(MATCH($A42,Simulations!$A$3:$A$62,0))),"",IF(N($G42)&lt;=0,0,IF($G42&lt;INDEX(Simulations!$J$3:$J$62,MATCH($A42,Simulations!$A$3:$A$62,0)),$D42/(INDEX(Simulations!$G$3:$G$62,MATCH($A42,Simulations!$A$3:$A$62,0))*INDEX(Simulations!$H$3:$H$62,MATCH($A42,Simulations!$A$3:$A$62,0))*IF(INDEX(Simulations!$I$3:$I$62,MATCH($A42,Simulations!$A$3:$A$62,0))&gt;0,INDEX(Simulations!$I$3:$I$62,MATCH($A42,Simulations!$A$3:$A$62,0)),1))*$G42*(PI()/2*INDEX(Simulations!$T$3:$T$62,MATCH($A42,Simulations!$A$3:$A$62,0))^2*IF(INDEX(Simulations!$I$3:$I$62,MATCH($A42,Simulations!$A$3:$A$62,0))&gt;0,SQRT(PI()/2)*INDEX(Simulations!$U$3:$U$62,MATCH($A42,Simulations!$A$3:$A$62,0)),1)),$D42/(INDEX(Simulations!$G$3:$G$62,MATCH($A42,Simulations!$A$3:$A$62,0))*INDEX(Simulations!$H$3:$H$62,MATCH($A42,Simulations!$A$3:$A$62,0))*IF(INDEX(Simulations!$I$3:$I$62,MATCH($A42,Simulations!$A$3:$A$62,0))&gt;0,INDEX(Simulations!$I$3:$I$62,MATCH($A42,Simulations!$A$3:$A$62,0)),1))*INDEX(Simulations!$J$3:$J$62,MATCH($A42,Simulations!$A$3:$A$62,0))*IF(INDEX(Simulations!$I$3:$I$62,MATCH($A42,Simulations!$A$3:$A$62,0))&gt;0,2*PI()*INDEX(Simulations!$T$3:$T$62,MATCH($A42,Simulations!$A$3:$A$62,0))^2*INDEX(Simulations!$U$3:$U$62,MATCH($A42,Simulations!$A$3:$A$62,0))/2^1.5*(2/3*LN($G42/INDEX(Simulations!$J$3:$J$62,MATCH($A42,Simulations!$A$3:$A$62,0)))^1.5+SQRT(LN($G42/INDEX(Simulations!$J$3:$J$62,MATCH($A42,Simulations!$A$3:$A$62,0))))+$G42/INDEX(Simulations!$J$3:$J$62,MATCH($A42,Simulations!$A$3:$A$62,0))*SQRT(PI())/2*ERFC(SQRT(LN($G42/INDEX(Simulations!$J$3:$J$62,MATCH($A42,Simulations!$A$3:$A$62,0)))))),PI()*INDEX(Simulations!$T$3:$T$62,MATCH($A42,Simulations!$A$3:$A$62,0))^2/2*(LN($G42/INDEX(Simulations!$J$3:$J$62,MATCH($A42,Simulations!$A$3:$A$62,0)))+1)))))</f>
        <v>419.747754151457</v>
      </c>
      <c r="T42" s="16" t="n">
        <f aca="false">IF(OR($A42="",ISNA(MATCH($A42,Simulations!$A$3:$A$62,0))),"",IF(N($H42)&lt;=0,0,IF($H42&lt;INDEX(Simulations!$J$3:$J$62,MATCH($A42,Simulations!$A$3:$A$62,0)),$D42/(INDEX(Simulations!$G$3:$G$62,MATCH($A42,Simulations!$A$3:$A$62,0))*INDEX(Simulations!$H$3:$H$62,MATCH($A42,Simulations!$A$3:$A$62,0))*IF(INDEX(Simulations!$I$3:$I$62,MATCH($A42,Simulations!$A$3:$A$62,0))&gt;0,INDEX(Simulations!$I$3:$I$62,MATCH($A42,Simulations!$A$3:$A$62,0)),1))*$H42*(PI()/2*INDEX(Simulations!$T$3:$T$62,MATCH($A42,Simulations!$A$3:$A$62,0))^2*IF(INDEX(Simulations!$I$3:$I$62,MATCH($A42,Simulations!$A$3:$A$62,0))&gt;0,SQRT(PI()/2)*INDEX(Simulations!$U$3:$U$62,MATCH($A42,Simulations!$A$3:$A$62,0)),1)),$D42/(INDEX(Simulations!$G$3:$G$62,MATCH($A42,Simulations!$A$3:$A$62,0))*INDEX(Simulations!$H$3:$H$62,MATCH($A42,Simulations!$A$3:$A$62,0))*IF(INDEX(Simulations!$I$3:$I$62,MATCH($A42,Simulations!$A$3:$A$62,0))&gt;0,INDEX(Simulations!$I$3:$I$62,MATCH($A42,Simulations!$A$3:$A$62,0)),1))*INDEX(Simulations!$J$3:$J$62,MATCH($A42,Simulations!$A$3:$A$62,0))*IF(INDEX(Simulations!$I$3:$I$62,MATCH($A42,Simulations!$A$3:$A$62,0))&gt;0,2*PI()*INDEX(Simulations!$T$3:$T$62,MATCH($A42,Simulations!$A$3:$A$62,0))^2*INDEX(Simulations!$U$3:$U$62,MATCH($A42,Simulations!$A$3:$A$62,0))/2^1.5*(2/3*LN($H42/INDEX(Simulations!$J$3:$J$62,MATCH($A42,Simulations!$A$3:$A$62,0)))^1.5+SQRT(LN($H42/INDEX(Simulations!$J$3:$J$62,MATCH($A42,Simulations!$A$3:$A$62,0))))+$H42/INDEX(Simulations!$J$3:$J$62,MATCH($A42,Simulations!$A$3:$A$62,0))*SQRT(PI())/2*ERFC(SQRT(LN($H42/INDEX(Simulations!$J$3:$J$62,MATCH($A42,Simulations!$A$3:$A$62,0)))))),PI()*INDEX(Simulations!$T$3:$T$62,MATCH($A42,Simulations!$A$3:$A$62,0))^2/2*(LN($H42/INDEX(Simulations!$J$3:$J$62,MATCH($A42,Simulations!$A$3:$A$62,0)))+1)))))</f>
        <v>0</v>
      </c>
      <c r="U42" s="18" t="n">
        <f aca="false">IF(OR(OR($A42="",ISNA(MATCH($A42,Simulations!$A$3:$A$62,0))),N($C42)&lt;=0),"",SQRT(2*$C42*1000000/(INDEX(Simulations!$J$3:$J$62,MATCH($A42,Simulations!$A$3:$A$62,0))*1000))/INDEX(Simulations!$T$3:$T$62,MATCH($A42,Simulations!$A$3:$A$62,0)))</f>
        <v>0.0418330013267038</v>
      </c>
      <c r="V42" s="19" t="str">
        <f aca="false">IF($A42="","",IF(ISNA(MATCH($A42,Simulations!$A$3:$A$62,0)),"✖ Sim ID not found on the Simulations sheet",IF($P42&gt;=1,"✖ brightness &gt;= sampling frequency: completely saturated (D too small, c too large)",IF($P42&gt;0.1,"⚠ brightness &gt; 10% of the sampling frequency: focus starts to saturate",IF(N($U42)&gt;0.1,"⚠ diffusion step &gt; 10% of wr: raise the sampling frequency",IF(MAX($E42:$H42)=0,"⚠ no brightness set","✔ OK"))))))</f>
        <v>✖ brightness &gt;= sampling frequency: completely saturated (D too small, c too large)</v>
      </c>
    </row>
    <row r="43" customFormat="false" ht="23.85" hidden="false" customHeight="false" outlineLevel="0" collapsed="false">
      <c r="A43" s="13" t="s">
        <v>105</v>
      </c>
      <c r="B43" s="13" t="s">
        <v>133</v>
      </c>
      <c r="C43" s="13" t="n">
        <v>35</v>
      </c>
      <c r="D43" s="13" t="n">
        <v>2000</v>
      </c>
      <c r="E43" s="13" t="n">
        <v>10000</v>
      </c>
      <c r="F43" s="13" t="n">
        <v>0</v>
      </c>
      <c r="G43" s="13" t="n">
        <v>5000</v>
      </c>
      <c r="H43" s="13" t="n">
        <v>0</v>
      </c>
      <c r="I43" s="13" t="n">
        <v>4</v>
      </c>
      <c r="J43" s="13" t="n">
        <v>3</v>
      </c>
      <c r="K43" s="13" t="n">
        <v>2</v>
      </c>
      <c r="L43" s="13" t="n">
        <v>2</v>
      </c>
      <c r="M43" s="13" t="s">
        <v>131</v>
      </c>
      <c r="N43" s="14"/>
      <c r="O43" s="18" t="n">
        <f aca="false">IF(OR($A43="",ISNA(MATCH($A43,Simulations!$A$3:$A$62,0))),"",IF(INDEX(Simulations!$I$3:$I$62,MATCH($A43,Simulations!$A$3:$A$62,0))&gt;0,$D43/(INDEX(Simulations!$G$3:$G$62,MATCH($A43,Simulations!$A$3:$A$62,0))*INDEX(Simulations!$H$3:$H$62,MATCH($A43,Simulations!$A$3:$A$62,0))*IF(INDEX(Simulations!$I$3:$I$62,MATCH($A43,Simulations!$A$3:$A$62,0))&gt;0,INDEX(Simulations!$I$3:$I$62,MATCH($A43,Simulations!$A$3:$A$62,0)),1))/1E-024/6.022E+023/0.000000001,""))</f>
        <v>26.569246097642</v>
      </c>
      <c r="P43" s="20" t="n">
        <f aca="false">IF(OR($A43="",ISNA(MATCH($A43,Simulations!$A$3:$A$62,0))),"",MAX($E43:$H43)/INDEX(Simulations!$J$3:$J$62,MATCH($A43,Simulations!$A$3:$A$62,0)))</f>
        <v>10</v>
      </c>
      <c r="Q43" s="16" t="n">
        <f aca="false">IF(OR($A43="",ISNA(MATCH($A43,Simulations!$A$3:$A$62,0))),"",IF(N($E43)&lt;=0,0,IF($E43&lt;INDEX(Simulations!$J$3:$J$62,MATCH($A43,Simulations!$A$3:$A$62,0)),$D43/(INDEX(Simulations!$G$3:$G$62,MATCH($A43,Simulations!$A$3:$A$62,0))*INDEX(Simulations!$H$3:$H$62,MATCH($A43,Simulations!$A$3:$A$62,0))*IF(INDEX(Simulations!$I$3:$I$62,MATCH($A43,Simulations!$A$3:$A$62,0))&gt;0,INDEX(Simulations!$I$3:$I$62,MATCH($A43,Simulations!$A$3:$A$62,0)),1))*$E43*(PI()/2*INDEX(Simulations!$T$3:$T$62,MATCH($A43,Simulations!$A$3:$A$62,0))^2*IF(INDEX(Simulations!$I$3:$I$62,MATCH($A43,Simulations!$A$3:$A$62,0))&gt;0,SQRT(PI()/2)*INDEX(Simulations!$U$3:$U$62,MATCH($A43,Simulations!$A$3:$A$62,0)),1)),$D43/(INDEX(Simulations!$G$3:$G$62,MATCH($A43,Simulations!$A$3:$A$62,0))*INDEX(Simulations!$H$3:$H$62,MATCH($A43,Simulations!$A$3:$A$62,0))*IF(INDEX(Simulations!$I$3:$I$62,MATCH($A43,Simulations!$A$3:$A$62,0))&gt;0,INDEX(Simulations!$I$3:$I$62,MATCH($A43,Simulations!$A$3:$A$62,0)),1))*INDEX(Simulations!$J$3:$J$62,MATCH($A43,Simulations!$A$3:$A$62,0))*IF(INDEX(Simulations!$I$3:$I$62,MATCH($A43,Simulations!$A$3:$A$62,0))&gt;0,2*PI()*INDEX(Simulations!$T$3:$T$62,MATCH($A43,Simulations!$A$3:$A$62,0))^2*INDEX(Simulations!$U$3:$U$62,MATCH($A43,Simulations!$A$3:$A$62,0))/2^1.5*(2/3*LN($E43/INDEX(Simulations!$J$3:$J$62,MATCH($A43,Simulations!$A$3:$A$62,0)))^1.5+SQRT(LN($E43/INDEX(Simulations!$J$3:$J$62,MATCH($A43,Simulations!$A$3:$A$62,0))))+$E43/INDEX(Simulations!$J$3:$J$62,MATCH($A43,Simulations!$A$3:$A$62,0))*SQRT(PI())/2*ERFC(SQRT(LN($E43/INDEX(Simulations!$J$3:$J$62,MATCH($A43,Simulations!$A$3:$A$62,0)))))),PI()*INDEX(Simulations!$T$3:$T$62,MATCH($A43,Simulations!$A$3:$A$62,0))^2/2*(LN($E43/INDEX(Simulations!$J$3:$J$62,MATCH($A43,Simulations!$A$3:$A$62,0)))+1)))))</f>
        <v>5870.65461762353</v>
      </c>
      <c r="R43" s="16" t="n">
        <f aca="false">IF(OR($A43="",ISNA(MATCH($A43,Simulations!$A$3:$A$62,0))),"",IF(N($F43)&lt;=0,0,IF($F43&lt;INDEX(Simulations!$J$3:$J$62,MATCH($A43,Simulations!$A$3:$A$62,0)),$D43/(INDEX(Simulations!$G$3:$G$62,MATCH($A43,Simulations!$A$3:$A$62,0))*INDEX(Simulations!$H$3:$H$62,MATCH($A43,Simulations!$A$3:$A$62,0))*IF(INDEX(Simulations!$I$3:$I$62,MATCH($A43,Simulations!$A$3:$A$62,0))&gt;0,INDEX(Simulations!$I$3:$I$62,MATCH($A43,Simulations!$A$3:$A$62,0)),1))*$F43*(PI()/2*INDEX(Simulations!$T$3:$T$62,MATCH($A43,Simulations!$A$3:$A$62,0))^2*IF(INDEX(Simulations!$I$3:$I$62,MATCH($A43,Simulations!$A$3:$A$62,0))&gt;0,SQRT(PI()/2)*INDEX(Simulations!$U$3:$U$62,MATCH($A43,Simulations!$A$3:$A$62,0)),1)),$D43/(INDEX(Simulations!$G$3:$G$62,MATCH($A43,Simulations!$A$3:$A$62,0))*INDEX(Simulations!$H$3:$H$62,MATCH($A43,Simulations!$A$3:$A$62,0))*IF(INDEX(Simulations!$I$3:$I$62,MATCH($A43,Simulations!$A$3:$A$62,0))&gt;0,INDEX(Simulations!$I$3:$I$62,MATCH($A43,Simulations!$A$3:$A$62,0)),1))*INDEX(Simulations!$J$3:$J$62,MATCH($A43,Simulations!$A$3:$A$62,0))*IF(INDEX(Simulations!$I$3:$I$62,MATCH($A43,Simulations!$A$3:$A$62,0))&gt;0,2*PI()*INDEX(Simulations!$T$3:$T$62,MATCH($A43,Simulations!$A$3:$A$62,0))^2*INDEX(Simulations!$U$3:$U$62,MATCH($A43,Simulations!$A$3:$A$62,0))/2^1.5*(2/3*LN($F43/INDEX(Simulations!$J$3:$J$62,MATCH($A43,Simulations!$A$3:$A$62,0)))^1.5+SQRT(LN($F43/INDEX(Simulations!$J$3:$J$62,MATCH($A43,Simulations!$A$3:$A$62,0))))+$F43/INDEX(Simulations!$J$3:$J$62,MATCH($A43,Simulations!$A$3:$A$62,0))*SQRT(PI())/2*ERFC(SQRT(LN($F43/INDEX(Simulations!$J$3:$J$62,MATCH($A43,Simulations!$A$3:$A$62,0)))))),PI()*INDEX(Simulations!$T$3:$T$62,MATCH($A43,Simulations!$A$3:$A$62,0))^2/2*(LN($F43/INDEX(Simulations!$J$3:$J$62,MATCH($A43,Simulations!$A$3:$A$62,0)))+1)))))</f>
        <v>0</v>
      </c>
      <c r="S43" s="16" t="n">
        <f aca="false">IF(OR($A43="",ISNA(MATCH($A43,Simulations!$A$3:$A$62,0))),"",IF(N($G43)&lt;=0,0,IF($G43&lt;INDEX(Simulations!$J$3:$J$62,MATCH($A43,Simulations!$A$3:$A$62,0)),$D43/(INDEX(Simulations!$G$3:$G$62,MATCH($A43,Simulations!$A$3:$A$62,0))*INDEX(Simulations!$H$3:$H$62,MATCH($A43,Simulations!$A$3:$A$62,0))*IF(INDEX(Simulations!$I$3:$I$62,MATCH($A43,Simulations!$A$3:$A$62,0))&gt;0,INDEX(Simulations!$I$3:$I$62,MATCH($A43,Simulations!$A$3:$A$62,0)),1))*$G43*(PI()/2*INDEX(Simulations!$T$3:$T$62,MATCH($A43,Simulations!$A$3:$A$62,0))^2*IF(INDEX(Simulations!$I$3:$I$62,MATCH($A43,Simulations!$A$3:$A$62,0))&gt;0,SQRT(PI()/2)*INDEX(Simulations!$U$3:$U$62,MATCH($A43,Simulations!$A$3:$A$62,0)),1)),$D43/(INDEX(Simulations!$G$3:$G$62,MATCH($A43,Simulations!$A$3:$A$62,0))*INDEX(Simulations!$H$3:$H$62,MATCH($A43,Simulations!$A$3:$A$62,0))*IF(INDEX(Simulations!$I$3:$I$62,MATCH($A43,Simulations!$A$3:$A$62,0))&gt;0,INDEX(Simulations!$I$3:$I$62,MATCH($A43,Simulations!$A$3:$A$62,0)),1))*INDEX(Simulations!$J$3:$J$62,MATCH($A43,Simulations!$A$3:$A$62,0))*IF(INDEX(Simulations!$I$3:$I$62,MATCH($A43,Simulations!$A$3:$A$62,0))&gt;0,2*PI()*INDEX(Simulations!$T$3:$T$62,MATCH($A43,Simulations!$A$3:$A$62,0))^2*INDEX(Simulations!$U$3:$U$62,MATCH($A43,Simulations!$A$3:$A$62,0))/2^1.5*(2/3*LN($G43/INDEX(Simulations!$J$3:$J$62,MATCH($A43,Simulations!$A$3:$A$62,0)))^1.5+SQRT(LN($G43/INDEX(Simulations!$J$3:$J$62,MATCH($A43,Simulations!$A$3:$A$62,0))))+$G43/INDEX(Simulations!$J$3:$J$62,MATCH($A43,Simulations!$A$3:$A$62,0))*SQRT(PI())/2*ERFC(SQRT(LN($G43/INDEX(Simulations!$J$3:$J$62,MATCH($A43,Simulations!$A$3:$A$62,0)))))),PI()*INDEX(Simulations!$T$3:$T$62,MATCH($A43,Simulations!$A$3:$A$62,0))^2/2*(LN($G43/INDEX(Simulations!$J$3:$J$62,MATCH($A43,Simulations!$A$3:$A$62,0)))+1)))))</f>
        <v>4197.47754151457</v>
      </c>
      <c r="T43" s="16" t="n">
        <f aca="false">IF(OR($A43="",ISNA(MATCH($A43,Simulations!$A$3:$A$62,0))),"",IF(N($H43)&lt;=0,0,IF($H43&lt;INDEX(Simulations!$J$3:$J$62,MATCH($A43,Simulations!$A$3:$A$62,0)),$D43/(INDEX(Simulations!$G$3:$G$62,MATCH($A43,Simulations!$A$3:$A$62,0))*INDEX(Simulations!$H$3:$H$62,MATCH($A43,Simulations!$A$3:$A$62,0))*IF(INDEX(Simulations!$I$3:$I$62,MATCH($A43,Simulations!$A$3:$A$62,0))&gt;0,INDEX(Simulations!$I$3:$I$62,MATCH($A43,Simulations!$A$3:$A$62,0)),1))*$H43*(PI()/2*INDEX(Simulations!$T$3:$T$62,MATCH($A43,Simulations!$A$3:$A$62,0))^2*IF(INDEX(Simulations!$I$3:$I$62,MATCH($A43,Simulations!$A$3:$A$62,0))&gt;0,SQRT(PI()/2)*INDEX(Simulations!$U$3:$U$62,MATCH($A43,Simulations!$A$3:$A$62,0)),1)),$D43/(INDEX(Simulations!$G$3:$G$62,MATCH($A43,Simulations!$A$3:$A$62,0))*INDEX(Simulations!$H$3:$H$62,MATCH($A43,Simulations!$A$3:$A$62,0))*IF(INDEX(Simulations!$I$3:$I$62,MATCH($A43,Simulations!$A$3:$A$62,0))&gt;0,INDEX(Simulations!$I$3:$I$62,MATCH($A43,Simulations!$A$3:$A$62,0)),1))*INDEX(Simulations!$J$3:$J$62,MATCH($A43,Simulations!$A$3:$A$62,0))*IF(INDEX(Simulations!$I$3:$I$62,MATCH($A43,Simulations!$A$3:$A$62,0))&gt;0,2*PI()*INDEX(Simulations!$T$3:$T$62,MATCH($A43,Simulations!$A$3:$A$62,0))^2*INDEX(Simulations!$U$3:$U$62,MATCH($A43,Simulations!$A$3:$A$62,0))/2^1.5*(2/3*LN($H43/INDEX(Simulations!$J$3:$J$62,MATCH($A43,Simulations!$A$3:$A$62,0)))^1.5+SQRT(LN($H43/INDEX(Simulations!$J$3:$J$62,MATCH($A43,Simulations!$A$3:$A$62,0))))+$H43/INDEX(Simulations!$J$3:$J$62,MATCH($A43,Simulations!$A$3:$A$62,0))*SQRT(PI())/2*ERFC(SQRT(LN($H43/INDEX(Simulations!$J$3:$J$62,MATCH($A43,Simulations!$A$3:$A$62,0)))))),PI()*INDEX(Simulations!$T$3:$T$62,MATCH($A43,Simulations!$A$3:$A$62,0))^2/2*(LN($H43/INDEX(Simulations!$J$3:$J$62,MATCH($A43,Simulations!$A$3:$A$62,0)))+1)))))</f>
        <v>0</v>
      </c>
      <c r="U43" s="18" t="n">
        <f aca="false">IF(OR(OR($A43="",ISNA(MATCH($A43,Simulations!$A$3:$A$62,0))),N($C43)&lt;=0),"",SQRT(2*$C43*1000000/(INDEX(Simulations!$J$3:$J$62,MATCH($A43,Simulations!$A$3:$A$62,0))*1000))/INDEX(Simulations!$T$3:$T$62,MATCH($A43,Simulations!$A$3:$A$62,0)))</f>
        <v>0.0418330013267038</v>
      </c>
      <c r="V43" s="19" t="str">
        <f aca="false">IF($A43="","",IF(ISNA(MATCH($A43,Simulations!$A$3:$A$62,0)),"✖ Sim ID not found on the Simulations sheet",IF($P43&gt;=1,"✖ brightness &gt;= sampling frequency: completely saturated (D too small, c too large)",IF($P43&gt;0.1,"⚠ brightness &gt; 10% of the sampling frequency: focus starts to saturate",IF(N($U43)&gt;0.1,"⚠ diffusion step &gt; 10% of wr: raise the sampling frequency",IF(MAX($E43:$H43)=0,"⚠ no brightness set","✔ OK"))))))</f>
        <v>✖ brightness &gt;= sampling frequency: completely saturated (D too small, c too large)</v>
      </c>
    </row>
    <row r="44" customFormat="false" ht="23.85" hidden="false" customHeight="false" outlineLevel="0" collapsed="false">
      <c r="A44" s="13" t="s">
        <v>105</v>
      </c>
      <c r="B44" s="13" t="s">
        <v>134</v>
      </c>
      <c r="C44" s="13" t="n">
        <v>35</v>
      </c>
      <c r="D44" s="13" t="n">
        <v>4000</v>
      </c>
      <c r="E44" s="13" t="n">
        <v>20000</v>
      </c>
      <c r="F44" s="13" t="n">
        <v>7000</v>
      </c>
      <c r="G44" s="13" t="n">
        <v>0</v>
      </c>
      <c r="H44" s="13" t="n">
        <v>0</v>
      </c>
      <c r="I44" s="13" t="n">
        <v>4</v>
      </c>
      <c r="J44" s="13" t="n">
        <v>3</v>
      </c>
      <c r="K44" s="13" t="n">
        <v>2</v>
      </c>
      <c r="L44" s="13" t="n">
        <v>2</v>
      </c>
      <c r="M44" s="13" t="s">
        <v>131</v>
      </c>
      <c r="N44" s="14"/>
      <c r="O44" s="18" t="n">
        <f aca="false">IF(OR($A44="",ISNA(MATCH($A44,Simulations!$A$3:$A$62,0))),"",IF(INDEX(Simulations!$I$3:$I$62,MATCH($A44,Simulations!$A$3:$A$62,0))&gt;0,$D44/(INDEX(Simulations!$G$3:$G$62,MATCH($A44,Simulations!$A$3:$A$62,0))*INDEX(Simulations!$H$3:$H$62,MATCH($A44,Simulations!$A$3:$A$62,0))*IF(INDEX(Simulations!$I$3:$I$62,MATCH($A44,Simulations!$A$3:$A$62,0))&gt;0,INDEX(Simulations!$I$3:$I$62,MATCH($A44,Simulations!$A$3:$A$62,0)),1))/1E-024/6.022E+023/0.000000001,""))</f>
        <v>53.138492195284</v>
      </c>
      <c r="P44" s="20" t="n">
        <f aca="false">IF(OR($A44="",ISNA(MATCH($A44,Simulations!$A$3:$A$62,0))),"",MAX($E44:$H44)/INDEX(Simulations!$J$3:$J$62,MATCH($A44,Simulations!$A$3:$A$62,0)))</f>
        <v>20</v>
      </c>
      <c r="Q44" s="16" t="n">
        <f aca="false">IF(OR($A44="",ISNA(MATCH($A44,Simulations!$A$3:$A$62,0))),"",IF(N($E44)&lt;=0,0,IF($E44&lt;INDEX(Simulations!$J$3:$J$62,MATCH($A44,Simulations!$A$3:$A$62,0)),$D44/(INDEX(Simulations!$G$3:$G$62,MATCH($A44,Simulations!$A$3:$A$62,0))*INDEX(Simulations!$H$3:$H$62,MATCH($A44,Simulations!$A$3:$A$62,0))*IF(INDEX(Simulations!$I$3:$I$62,MATCH($A44,Simulations!$A$3:$A$62,0))&gt;0,INDEX(Simulations!$I$3:$I$62,MATCH($A44,Simulations!$A$3:$A$62,0)),1))*$E44*(PI()/2*INDEX(Simulations!$T$3:$T$62,MATCH($A44,Simulations!$A$3:$A$62,0))^2*IF(INDEX(Simulations!$I$3:$I$62,MATCH($A44,Simulations!$A$3:$A$62,0))&gt;0,SQRT(PI()/2)*INDEX(Simulations!$U$3:$U$62,MATCH($A44,Simulations!$A$3:$A$62,0)),1)),$D44/(INDEX(Simulations!$G$3:$G$62,MATCH($A44,Simulations!$A$3:$A$62,0))*INDEX(Simulations!$H$3:$H$62,MATCH($A44,Simulations!$A$3:$A$62,0))*IF(INDEX(Simulations!$I$3:$I$62,MATCH($A44,Simulations!$A$3:$A$62,0))&gt;0,INDEX(Simulations!$I$3:$I$62,MATCH($A44,Simulations!$A$3:$A$62,0)),1))*INDEX(Simulations!$J$3:$J$62,MATCH($A44,Simulations!$A$3:$A$62,0))*IF(INDEX(Simulations!$I$3:$I$62,MATCH($A44,Simulations!$A$3:$A$62,0))&gt;0,2*PI()*INDEX(Simulations!$T$3:$T$62,MATCH($A44,Simulations!$A$3:$A$62,0))^2*INDEX(Simulations!$U$3:$U$62,MATCH($A44,Simulations!$A$3:$A$62,0))/2^1.5*(2/3*LN($E44/INDEX(Simulations!$J$3:$J$62,MATCH($A44,Simulations!$A$3:$A$62,0)))^1.5+SQRT(LN($E44/INDEX(Simulations!$J$3:$J$62,MATCH($A44,Simulations!$A$3:$A$62,0))))+$E44/INDEX(Simulations!$J$3:$J$62,MATCH($A44,Simulations!$A$3:$A$62,0))*SQRT(PI())/2*ERFC(SQRT(LN($E44/INDEX(Simulations!$J$3:$J$62,MATCH($A44,Simulations!$A$3:$A$62,0)))))),PI()*INDEX(Simulations!$T$3:$T$62,MATCH($A44,Simulations!$A$3:$A$62,0))^2/2*(LN($E44/INDEX(Simulations!$J$3:$J$62,MATCH($A44,Simulations!$A$3:$A$62,0)))+1)))))</f>
        <v>15474.9539551923</v>
      </c>
      <c r="R44" s="16" t="n">
        <f aca="false">IF(OR($A44="",ISNA(MATCH($A44,Simulations!$A$3:$A$62,0))),"",IF(N($F44)&lt;=0,0,IF($F44&lt;INDEX(Simulations!$J$3:$J$62,MATCH($A44,Simulations!$A$3:$A$62,0)),$D44/(INDEX(Simulations!$G$3:$G$62,MATCH($A44,Simulations!$A$3:$A$62,0))*INDEX(Simulations!$H$3:$H$62,MATCH($A44,Simulations!$A$3:$A$62,0))*IF(INDEX(Simulations!$I$3:$I$62,MATCH($A44,Simulations!$A$3:$A$62,0))&gt;0,INDEX(Simulations!$I$3:$I$62,MATCH($A44,Simulations!$A$3:$A$62,0)),1))*$F44*(PI()/2*INDEX(Simulations!$T$3:$T$62,MATCH($A44,Simulations!$A$3:$A$62,0))^2*IF(INDEX(Simulations!$I$3:$I$62,MATCH($A44,Simulations!$A$3:$A$62,0))&gt;0,SQRT(PI()/2)*INDEX(Simulations!$U$3:$U$62,MATCH($A44,Simulations!$A$3:$A$62,0)),1)),$D44/(INDEX(Simulations!$G$3:$G$62,MATCH($A44,Simulations!$A$3:$A$62,0))*INDEX(Simulations!$H$3:$H$62,MATCH($A44,Simulations!$A$3:$A$62,0))*IF(INDEX(Simulations!$I$3:$I$62,MATCH($A44,Simulations!$A$3:$A$62,0))&gt;0,INDEX(Simulations!$I$3:$I$62,MATCH($A44,Simulations!$A$3:$A$62,0)),1))*INDEX(Simulations!$J$3:$J$62,MATCH($A44,Simulations!$A$3:$A$62,0))*IF(INDEX(Simulations!$I$3:$I$62,MATCH($A44,Simulations!$A$3:$A$62,0))&gt;0,2*PI()*INDEX(Simulations!$T$3:$T$62,MATCH($A44,Simulations!$A$3:$A$62,0))^2*INDEX(Simulations!$U$3:$U$62,MATCH($A44,Simulations!$A$3:$A$62,0))/2^1.5*(2/3*LN($F44/INDEX(Simulations!$J$3:$J$62,MATCH($A44,Simulations!$A$3:$A$62,0)))^1.5+SQRT(LN($F44/INDEX(Simulations!$J$3:$J$62,MATCH($A44,Simulations!$A$3:$A$62,0))))+$F44/INDEX(Simulations!$J$3:$J$62,MATCH($A44,Simulations!$A$3:$A$62,0))*SQRT(PI())/2*ERFC(SQRT(LN($F44/INDEX(Simulations!$J$3:$J$62,MATCH($A44,Simulations!$A$3:$A$62,0)))))),PI()*INDEX(Simulations!$T$3:$T$62,MATCH($A44,Simulations!$A$3:$A$62,0))^2/2*(LN($F44/INDEX(Simulations!$J$3:$J$62,MATCH($A44,Simulations!$A$3:$A$62,0)))+1)))))</f>
        <v>9968.01289023145</v>
      </c>
      <c r="S44" s="16" t="n">
        <f aca="false">IF(OR($A44="",ISNA(MATCH($A44,Simulations!$A$3:$A$62,0))),"",IF(N($G44)&lt;=0,0,IF($G44&lt;INDEX(Simulations!$J$3:$J$62,MATCH($A44,Simulations!$A$3:$A$62,0)),$D44/(INDEX(Simulations!$G$3:$G$62,MATCH($A44,Simulations!$A$3:$A$62,0))*INDEX(Simulations!$H$3:$H$62,MATCH($A44,Simulations!$A$3:$A$62,0))*IF(INDEX(Simulations!$I$3:$I$62,MATCH($A44,Simulations!$A$3:$A$62,0))&gt;0,INDEX(Simulations!$I$3:$I$62,MATCH($A44,Simulations!$A$3:$A$62,0)),1))*$G44*(PI()/2*INDEX(Simulations!$T$3:$T$62,MATCH($A44,Simulations!$A$3:$A$62,0))^2*IF(INDEX(Simulations!$I$3:$I$62,MATCH($A44,Simulations!$A$3:$A$62,0))&gt;0,SQRT(PI()/2)*INDEX(Simulations!$U$3:$U$62,MATCH($A44,Simulations!$A$3:$A$62,0)),1)),$D44/(INDEX(Simulations!$G$3:$G$62,MATCH($A44,Simulations!$A$3:$A$62,0))*INDEX(Simulations!$H$3:$H$62,MATCH($A44,Simulations!$A$3:$A$62,0))*IF(INDEX(Simulations!$I$3:$I$62,MATCH($A44,Simulations!$A$3:$A$62,0))&gt;0,INDEX(Simulations!$I$3:$I$62,MATCH($A44,Simulations!$A$3:$A$62,0)),1))*INDEX(Simulations!$J$3:$J$62,MATCH($A44,Simulations!$A$3:$A$62,0))*IF(INDEX(Simulations!$I$3:$I$62,MATCH($A44,Simulations!$A$3:$A$62,0))&gt;0,2*PI()*INDEX(Simulations!$T$3:$T$62,MATCH($A44,Simulations!$A$3:$A$62,0))^2*INDEX(Simulations!$U$3:$U$62,MATCH($A44,Simulations!$A$3:$A$62,0))/2^1.5*(2/3*LN($G44/INDEX(Simulations!$J$3:$J$62,MATCH($A44,Simulations!$A$3:$A$62,0)))^1.5+SQRT(LN($G44/INDEX(Simulations!$J$3:$J$62,MATCH($A44,Simulations!$A$3:$A$62,0))))+$G44/INDEX(Simulations!$J$3:$J$62,MATCH($A44,Simulations!$A$3:$A$62,0))*SQRT(PI())/2*ERFC(SQRT(LN($G44/INDEX(Simulations!$J$3:$J$62,MATCH($A44,Simulations!$A$3:$A$62,0)))))),PI()*INDEX(Simulations!$T$3:$T$62,MATCH($A44,Simulations!$A$3:$A$62,0))^2/2*(LN($G44/INDEX(Simulations!$J$3:$J$62,MATCH($A44,Simulations!$A$3:$A$62,0)))+1)))))</f>
        <v>0</v>
      </c>
      <c r="T44" s="16" t="n">
        <f aca="false">IF(OR($A44="",ISNA(MATCH($A44,Simulations!$A$3:$A$62,0))),"",IF(N($H44)&lt;=0,0,IF($H44&lt;INDEX(Simulations!$J$3:$J$62,MATCH($A44,Simulations!$A$3:$A$62,0)),$D44/(INDEX(Simulations!$G$3:$G$62,MATCH($A44,Simulations!$A$3:$A$62,0))*INDEX(Simulations!$H$3:$H$62,MATCH($A44,Simulations!$A$3:$A$62,0))*IF(INDEX(Simulations!$I$3:$I$62,MATCH($A44,Simulations!$A$3:$A$62,0))&gt;0,INDEX(Simulations!$I$3:$I$62,MATCH($A44,Simulations!$A$3:$A$62,0)),1))*$H44*(PI()/2*INDEX(Simulations!$T$3:$T$62,MATCH($A44,Simulations!$A$3:$A$62,0))^2*IF(INDEX(Simulations!$I$3:$I$62,MATCH($A44,Simulations!$A$3:$A$62,0))&gt;0,SQRT(PI()/2)*INDEX(Simulations!$U$3:$U$62,MATCH($A44,Simulations!$A$3:$A$62,0)),1)),$D44/(INDEX(Simulations!$G$3:$G$62,MATCH($A44,Simulations!$A$3:$A$62,0))*INDEX(Simulations!$H$3:$H$62,MATCH($A44,Simulations!$A$3:$A$62,0))*IF(INDEX(Simulations!$I$3:$I$62,MATCH($A44,Simulations!$A$3:$A$62,0))&gt;0,INDEX(Simulations!$I$3:$I$62,MATCH($A44,Simulations!$A$3:$A$62,0)),1))*INDEX(Simulations!$J$3:$J$62,MATCH($A44,Simulations!$A$3:$A$62,0))*IF(INDEX(Simulations!$I$3:$I$62,MATCH($A44,Simulations!$A$3:$A$62,0))&gt;0,2*PI()*INDEX(Simulations!$T$3:$T$62,MATCH($A44,Simulations!$A$3:$A$62,0))^2*INDEX(Simulations!$U$3:$U$62,MATCH($A44,Simulations!$A$3:$A$62,0))/2^1.5*(2/3*LN($H44/INDEX(Simulations!$J$3:$J$62,MATCH($A44,Simulations!$A$3:$A$62,0)))^1.5+SQRT(LN($H44/INDEX(Simulations!$J$3:$J$62,MATCH($A44,Simulations!$A$3:$A$62,0))))+$H44/INDEX(Simulations!$J$3:$J$62,MATCH($A44,Simulations!$A$3:$A$62,0))*SQRT(PI())/2*ERFC(SQRT(LN($H44/INDEX(Simulations!$J$3:$J$62,MATCH($A44,Simulations!$A$3:$A$62,0)))))),PI()*INDEX(Simulations!$T$3:$T$62,MATCH($A44,Simulations!$A$3:$A$62,0))^2/2*(LN($H44/INDEX(Simulations!$J$3:$J$62,MATCH($A44,Simulations!$A$3:$A$62,0)))+1)))))</f>
        <v>0</v>
      </c>
      <c r="U44" s="18" t="n">
        <f aca="false">IF(OR(OR($A44="",ISNA(MATCH($A44,Simulations!$A$3:$A$62,0))),N($C44)&lt;=0),"",SQRT(2*$C44*1000000/(INDEX(Simulations!$J$3:$J$62,MATCH($A44,Simulations!$A$3:$A$62,0))*1000))/INDEX(Simulations!$T$3:$T$62,MATCH($A44,Simulations!$A$3:$A$62,0)))</f>
        <v>0.0418330013267038</v>
      </c>
      <c r="V44" s="19" t="str">
        <f aca="false">IF($A44="","",IF(ISNA(MATCH($A44,Simulations!$A$3:$A$62,0)),"✖ Sim ID not found on the Simulations sheet",IF($P44&gt;=1,"✖ brightness &gt;= sampling frequency: completely saturated (D too small, c too large)",IF($P44&gt;0.1,"⚠ brightness &gt; 10% of the sampling frequency: focus starts to saturate",IF(N($U44)&gt;0.1,"⚠ diffusion step &gt; 10% of wr: raise the sampling frequency",IF(MAX($E44:$H44)=0,"⚠ no brightness set","✔ OK"))))))</f>
        <v>✖ brightness &gt;= sampling frequency: completely saturated (D too small, c too large)</v>
      </c>
    </row>
    <row r="45" customFormat="false" ht="15" hidden="false" customHeight="false" outlineLevel="0" collapsed="false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4"/>
      <c r="O45" s="18" t="str">
        <f aca="false">IF(OR($A45="",ISNA(MATCH($A45,Simulations!$A$3:$A$62,0))),"",IF(INDEX(Simulations!$I$3:$I$62,MATCH($A45,Simulations!$A$3:$A$62,0))&gt;0,$D45/(INDEX(Simulations!$G$3:$G$62,MATCH($A45,Simulations!$A$3:$A$62,0))*INDEX(Simulations!$H$3:$H$62,MATCH($A45,Simulations!$A$3:$A$62,0))*IF(INDEX(Simulations!$I$3:$I$62,MATCH($A45,Simulations!$A$3:$A$62,0))&gt;0,INDEX(Simulations!$I$3:$I$62,MATCH($A45,Simulations!$A$3:$A$62,0)),1))/1E-024/6.022E+023/0.000000001,""))</f>
        <v/>
      </c>
      <c r="P45" s="20" t="str">
        <f aca="false">IF(OR($A45="",ISNA(MATCH($A45,Simulations!$A$3:$A$62,0))),"",MAX($E45:$H45)/INDEX(Simulations!$J$3:$J$62,MATCH($A45,Simulations!$A$3:$A$62,0)))</f>
        <v/>
      </c>
      <c r="Q45" s="16" t="str">
        <f aca="false">IF(OR($A45="",ISNA(MATCH($A45,Simulations!$A$3:$A$62,0))),"",IF(N($E45)&lt;=0,0,IF($E45&lt;INDEX(Simulations!$J$3:$J$62,MATCH($A45,Simulations!$A$3:$A$62,0)),$D45/(INDEX(Simulations!$G$3:$G$62,MATCH($A45,Simulations!$A$3:$A$62,0))*INDEX(Simulations!$H$3:$H$62,MATCH($A45,Simulations!$A$3:$A$62,0))*IF(INDEX(Simulations!$I$3:$I$62,MATCH($A45,Simulations!$A$3:$A$62,0))&gt;0,INDEX(Simulations!$I$3:$I$62,MATCH($A45,Simulations!$A$3:$A$62,0)),1))*$E45*(PI()/2*INDEX(Simulations!$T$3:$T$62,MATCH($A45,Simulations!$A$3:$A$62,0))^2*IF(INDEX(Simulations!$I$3:$I$62,MATCH($A45,Simulations!$A$3:$A$62,0))&gt;0,SQRT(PI()/2)*INDEX(Simulations!$U$3:$U$62,MATCH($A45,Simulations!$A$3:$A$62,0)),1)),$D45/(INDEX(Simulations!$G$3:$G$62,MATCH($A45,Simulations!$A$3:$A$62,0))*INDEX(Simulations!$H$3:$H$62,MATCH($A45,Simulations!$A$3:$A$62,0))*IF(INDEX(Simulations!$I$3:$I$62,MATCH($A45,Simulations!$A$3:$A$62,0))&gt;0,INDEX(Simulations!$I$3:$I$62,MATCH($A45,Simulations!$A$3:$A$62,0)),1))*INDEX(Simulations!$J$3:$J$62,MATCH($A45,Simulations!$A$3:$A$62,0))*IF(INDEX(Simulations!$I$3:$I$62,MATCH($A45,Simulations!$A$3:$A$62,0))&gt;0,2*PI()*INDEX(Simulations!$T$3:$T$62,MATCH($A45,Simulations!$A$3:$A$62,0))^2*INDEX(Simulations!$U$3:$U$62,MATCH($A45,Simulations!$A$3:$A$62,0))/2^1.5*(2/3*LN($E45/INDEX(Simulations!$J$3:$J$62,MATCH($A45,Simulations!$A$3:$A$62,0)))^1.5+SQRT(LN($E45/INDEX(Simulations!$J$3:$J$62,MATCH($A45,Simulations!$A$3:$A$62,0))))+$E45/INDEX(Simulations!$J$3:$J$62,MATCH($A45,Simulations!$A$3:$A$62,0))*SQRT(PI())/2*ERFC(SQRT(LN($E45/INDEX(Simulations!$J$3:$J$62,MATCH($A45,Simulations!$A$3:$A$62,0)))))),PI()*INDEX(Simulations!$T$3:$T$62,MATCH($A45,Simulations!$A$3:$A$62,0))^2/2*(LN($E45/INDEX(Simulations!$J$3:$J$62,MATCH($A45,Simulations!$A$3:$A$62,0)))+1)))))</f>
        <v/>
      </c>
      <c r="R45" s="16" t="str">
        <f aca="false">IF(OR($A45="",ISNA(MATCH($A45,Simulations!$A$3:$A$62,0))),"",IF(N($F45)&lt;=0,0,IF($F45&lt;INDEX(Simulations!$J$3:$J$62,MATCH($A45,Simulations!$A$3:$A$62,0)),$D45/(INDEX(Simulations!$G$3:$G$62,MATCH($A45,Simulations!$A$3:$A$62,0))*INDEX(Simulations!$H$3:$H$62,MATCH($A45,Simulations!$A$3:$A$62,0))*IF(INDEX(Simulations!$I$3:$I$62,MATCH($A45,Simulations!$A$3:$A$62,0))&gt;0,INDEX(Simulations!$I$3:$I$62,MATCH($A45,Simulations!$A$3:$A$62,0)),1))*$F45*(PI()/2*INDEX(Simulations!$T$3:$T$62,MATCH($A45,Simulations!$A$3:$A$62,0))^2*IF(INDEX(Simulations!$I$3:$I$62,MATCH($A45,Simulations!$A$3:$A$62,0))&gt;0,SQRT(PI()/2)*INDEX(Simulations!$U$3:$U$62,MATCH($A45,Simulations!$A$3:$A$62,0)),1)),$D45/(INDEX(Simulations!$G$3:$G$62,MATCH($A45,Simulations!$A$3:$A$62,0))*INDEX(Simulations!$H$3:$H$62,MATCH($A45,Simulations!$A$3:$A$62,0))*IF(INDEX(Simulations!$I$3:$I$62,MATCH($A45,Simulations!$A$3:$A$62,0))&gt;0,INDEX(Simulations!$I$3:$I$62,MATCH($A45,Simulations!$A$3:$A$62,0)),1))*INDEX(Simulations!$J$3:$J$62,MATCH($A45,Simulations!$A$3:$A$62,0))*IF(INDEX(Simulations!$I$3:$I$62,MATCH($A45,Simulations!$A$3:$A$62,0))&gt;0,2*PI()*INDEX(Simulations!$T$3:$T$62,MATCH($A45,Simulations!$A$3:$A$62,0))^2*INDEX(Simulations!$U$3:$U$62,MATCH($A45,Simulations!$A$3:$A$62,0))/2^1.5*(2/3*LN($F45/INDEX(Simulations!$J$3:$J$62,MATCH($A45,Simulations!$A$3:$A$62,0)))^1.5+SQRT(LN($F45/INDEX(Simulations!$J$3:$J$62,MATCH($A45,Simulations!$A$3:$A$62,0))))+$F45/INDEX(Simulations!$J$3:$J$62,MATCH($A45,Simulations!$A$3:$A$62,0))*SQRT(PI())/2*ERFC(SQRT(LN($F45/INDEX(Simulations!$J$3:$J$62,MATCH($A45,Simulations!$A$3:$A$62,0)))))),PI()*INDEX(Simulations!$T$3:$T$62,MATCH($A45,Simulations!$A$3:$A$62,0))^2/2*(LN($F45/INDEX(Simulations!$J$3:$J$62,MATCH($A45,Simulations!$A$3:$A$62,0)))+1)))))</f>
        <v/>
      </c>
      <c r="S45" s="16" t="str">
        <f aca="false">IF(OR($A45="",ISNA(MATCH($A45,Simulations!$A$3:$A$62,0))),"",IF(N($G45)&lt;=0,0,IF($G45&lt;INDEX(Simulations!$J$3:$J$62,MATCH($A45,Simulations!$A$3:$A$62,0)),$D45/(INDEX(Simulations!$G$3:$G$62,MATCH($A45,Simulations!$A$3:$A$62,0))*INDEX(Simulations!$H$3:$H$62,MATCH($A45,Simulations!$A$3:$A$62,0))*IF(INDEX(Simulations!$I$3:$I$62,MATCH($A45,Simulations!$A$3:$A$62,0))&gt;0,INDEX(Simulations!$I$3:$I$62,MATCH($A45,Simulations!$A$3:$A$62,0)),1))*$G45*(PI()/2*INDEX(Simulations!$T$3:$T$62,MATCH($A45,Simulations!$A$3:$A$62,0))^2*IF(INDEX(Simulations!$I$3:$I$62,MATCH($A45,Simulations!$A$3:$A$62,0))&gt;0,SQRT(PI()/2)*INDEX(Simulations!$U$3:$U$62,MATCH($A45,Simulations!$A$3:$A$62,0)),1)),$D45/(INDEX(Simulations!$G$3:$G$62,MATCH($A45,Simulations!$A$3:$A$62,0))*INDEX(Simulations!$H$3:$H$62,MATCH($A45,Simulations!$A$3:$A$62,0))*IF(INDEX(Simulations!$I$3:$I$62,MATCH($A45,Simulations!$A$3:$A$62,0))&gt;0,INDEX(Simulations!$I$3:$I$62,MATCH($A45,Simulations!$A$3:$A$62,0)),1))*INDEX(Simulations!$J$3:$J$62,MATCH($A45,Simulations!$A$3:$A$62,0))*IF(INDEX(Simulations!$I$3:$I$62,MATCH($A45,Simulations!$A$3:$A$62,0))&gt;0,2*PI()*INDEX(Simulations!$T$3:$T$62,MATCH($A45,Simulations!$A$3:$A$62,0))^2*INDEX(Simulations!$U$3:$U$62,MATCH($A45,Simulations!$A$3:$A$62,0))/2^1.5*(2/3*LN($G45/INDEX(Simulations!$J$3:$J$62,MATCH($A45,Simulations!$A$3:$A$62,0)))^1.5+SQRT(LN($G45/INDEX(Simulations!$J$3:$J$62,MATCH($A45,Simulations!$A$3:$A$62,0))))+$G45/INDEX(Simulations!$J$3:$J$62,MATCH($A45,Simulations!$A$3:$A$62,0))*SQRT(PI())/2*ERFC(SQRT(LN($G45/INDEX(Simulations!$J$3:$J$62,MATCH($A45,Simulations!$A$3:$A$62,0)))))),PI()*INDEX(Simulations!$T$3:$T$62,MATCH($A45,Simulations!$A$3:$A$62,0))^2/2*(LN($G45/INDEX(Simulations!$J$3:$J$62,MATCH($A45,Simulations!$A$3:$A$62,0)))+1)))))</f>
        <v/>
      </c>
      <c r="T45" s="16" t="str">
        <f aca="false">IF(OR($A45="",ISNA(MATCH($A45,Simulations!$A$3:$A$62,0))),"",IF(N($H45)&lt;=0,0,IF($H45&lt;INDEX(Simulations!$J$3:$J$62,MATCH($A45,Simulations!$A$3:$A$62,0)),$D45/(INDEX(Simulations!$G$3:$G$62,MATCH($A45,Simulations!$A$3:$A$62,0))*INDEX(Simulations!$H$3:$H$62,MATCH($A45,Simulations!$A$3:$A$62,0))*IF(INDEX(Simulations!$I$3:$I$62,MATCH($A45,Simulations!$A$3:$A$62,0))&gt;0,INDEX(Simulations!$I$3:$I$62,MATCH($A45,Simulations!$A$3:$A$62,0)),1))*$H45*(PI()/2*INDEX(Simulations!$T$3:$T$62,MATCH($A45,Simulations!$A$3:$A$62,0))^2*IF(INDEX(Simulations!$I$3:$I$62,MATCH($A45,Simulations!$A$3:$A$62,0))&gt;0,SQRT(PI()/2)*INDEX(Simulations!$U$3:$U$62,MATCH($A45,Simulations!$A$3:$A$62,0)),1)),$D45/(INDEX(Simulations!$G$3:$G$62,MATCH($A45,Simulations!$A$3:$A$62,0))*INDEX(Simulations!$H$3:$H$62,MATCH($A45,Simulations!$A$3:$A$62,0))*IF(INDEX(Simulations!$I$3:$I$62,MATCH($A45,Simulations!$A$3:$A$62,0))&gt;0,INDEX(Simulations!$I$3:$I$62,MATCH($A45,Simulations!$A$3:$A$62,0)),1))*INDEX(Simulations!$J$3:$J$62,MATCH($A45,Simulations!$A$3:$A$62,0))*IF(INDEX(Simulations!$I$3:$I$62,MATCH($A45,Simulations!$A$3:$A$62,0))&gt;0,2*PI()*INDEX(Simulations!$T$3:$T$62,MATCH($A45,Simulations!$A$3:$A$62,0))^2*INDEX(Simulations!$U$3:$U$62,MATCH($A45,Simulations!$A$3:$A$62,0))/2^1.5*(2/3*LN($H45/INDEX(Simulations!$J$3:$J$62,MATCH($A45,Simulations!$A$3:$A$62,0)))^1.5+SQRT(LN($H45/INDEX(Simulations!$J$3:$J$62,MATCH($A45,Simulations!$A$3:$A$62,0))))+$H45/INDEX(Simulations!$J$3:$J$62,MATCH($A45,Simulations!$A$3:$A$62,0))*SQRT(PI())/2*ERFC(SQRT(LN($H45/INDEX(Simulations!$J$3:$J$62,MATCH($A45,Simulations!$A$3:$A$62,0)))))),PI()*INDEX(Simulations!$T$3:$T$62,MATCH($A45,Simulations!$A$3:$A$62,0))^2/2*(LN($H45/INDEX(Simulations!$J$3:$J$62,MATCH($A45,Simulations!$A$3:$A$62,0)))+1)))))</f>
        <v/>
      </c>
      <c r="U45" s="18" t="str">
        <f aca="false">IF(OR(OR($A45="",ISNA(MATCH($A45,Simulations!$A$3:$A$62,0))),N($C45)&lt;=0),"",SQRT(2*$C45*1000000/(INDEX(Simulations!$J$3:$J$62,MATCH($A45,Simulations!$A$3:$A$62,0))*1000))/INDEX(Simulations!$T$3:$T$62,MATCH($A45,Simulations!$A$3:$A$62,0)))</f>
        <v/>
      </c>
      <c r="V45" s="19" t="str">
        <f aca="false">IF($A45="","",IF(ISNA(MATCH($A45,Simulations!$A$3:$A$62,0)),"✖ Sim ID not found on the Simulations sheet",IF($P45&gt;=1,"✖ brightness &gt;= sampling frequency: completely saturated (D too small, c too large)",IF($P45&gt;0.1,"⚠ brightness &gt; 10% of the sampling frequency: focus starts to saturate",IF(N($U45)&gt;0.1,"⚠ diffusion step &gt; 10% of wr: raise the sampling frequency",IF(MAX($E45:$H45)=0,"⚠ no brightness set","✔ OK"))))))</f>
        <v/>
      </c>
    </row>
    <row r="46" customFormat="false" ht="15" hidden="false" customHeight="false" outlineLevel="0" collapsed="false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4"/>
      <c r="O46" s="18" t="str">
        <f aca="false">IF(OR($A46="",ISNA(MATCH($A46,Simulations!$A$3:$A$62,0))),"",IF(INDEX(Simulations!$I$3:$I$62,MATCH($A46,Simulations!$A$3:$A$62,0))&gt;0,$D46/(INDEX(Simulations!$G$3:$G$62,MATCH($A46,Simulations!$A$3:$A$62,0))*INDEX(Simulations!$H$3:$H$62,MATCH($A46,Simulations!$A$3:$A$62,0))*IF(INDEX(Simulations!$I$3:$I$62,MATCH($A46,Simulations!$A$3:$A$62,0))&gt;0,INDEX(Simulations!$I$3:$I$62,MATCH($A46,Simulations!$A$3:$A$62,0)),1))/1E-024/6.022E+023/0.000000001,""))</f>
        <v/>
      </c>
      <c r="P46" s="20" t="str">
        <f aca="false">IF(OR($A46="",ISNA(MATCH($A46,Simulations!$A$3:$A$62,0))),"",MAX($E46:$H46)/INDEX(Simulations!$J$3:$J$62,MATCH($A46,Simulations!$A$3:$A$62,0)))</f>
        <v/>
      </c>
      <c r="Q46" s="16" t="str">
        <f aca="false">IF(OR($A46="",ISNA(MATCH($A46,Simulations!$A$3:$A$62,0))),"",IF(N($E46)&lt;=0,0,IF($E46&lt;INDEX(Simulations!$J$3:$J$62,MATCH($A46,Simulations!$A$3:$A$62,0)),$D46/(INDEX(Simulations!$G$3:$G$62,MATCH($A46,Simulations!$A$3:$A$62,0))*INDEX(Simulations!$H$3:$H$62,MATCH($A46,Simulations!$A$3:$A$62,0))*IF(INDEX(Simulations!$I$3:$I$62,MATCH($A46,Simulations!$A$3:$A$62,0))&gt;0,INDEX(Simulations!$I$3:$I$62,MATCH($A46,Simulations!$A$3:$A$62,0)),1))*$E46*(PI()/2*INDEX(Simulations!$T$3:$T$62,MATCH($A46,Simulations!$A$3:$A$62,0))^2*IF(INDEX(Simulations!$I$3:$I$62,MATCH($A46,Simulations!$A$3:$A$62,0))&gt;0,SQRT(PI()/2)*INDEX(Simulations!$U$3:$U$62,MATCH($A46,Simulations!$A$3:$A$62,0)),1)),$D46/(INDEX(Simulations!$G$3:$G$62,MATCH($A46,Simulations!$A$3:$A$62,0))*INDEX(Simulations!$H$3:$H$62,MATCH($A46,Simulations!$A$3:$A$62,0))*IF(INDEX(Simulations!$I$3:$I$62,MATCH($A46,Simulations!$A$3:$A$62,0))&gt;0,INDEX(Simulations!$I$3:$I$62,MATCH($A46,Simulations!$A$3:$A$62,0)),1))*INDEX(Simulations!$J$3:$J$62,MATCH($A46,Simulations!$A$3:$A$62,0))*IF(INDEX(Simulations!$I$3:$I$62,MATCH($A46,Simulations!$A$3:$A$62,0))&gt;0,2*PI()*INDEX(Simulations!$T$3:$T$62,MATCH($A46,Simulations!$A$3:$A$62,0))^2*INDEX(Simulations!$U$3:$U$62,MATCH($A46,Simulations!$A$3:$A$62,0))/2^1.5*(2/3*LN($E46/INDEX(Simulations!$J$3:$J$62,MATCH($A46,Simulations!$A$3:$A$62,0)))^1.5+SQRT(LN($E46/INDEX(Simulations!$J$3:$J$62,MATCH($A46,Simulations!$A$3:$A$62,0))))+$E46/INDEX(Simulations!$J$3:$J$62,MATCH($A46,Simulations!$A$3:$A$62,0))*SQRT(PI())/2*ERFC(SQRT(LN($E46/INDEX(Simulations!$J$3:$J$62,MATCH($A46,Simulations!$A$3:$A$62,0)))))),PI()*INDEX(Simulations!$T$3:$T$62,MATCH($A46,Simulations!$A$3:$A$62,0))^2/2*(LN($E46/INDEX(Simulations!$J$3:$J$62,MATCH($A46,Simulations!$A$3:$A$62,0)))+1)))))</f>
        <v/>
      </c>
      <c r="R46" s="16" t="str">
        <f aca="false">IF(OR($A46="",ISNA(MATCH($A46,Simulations!$A$3:$A$62,0))),"",IF(N($F46)&lt;=0,0,IF($F46&lt;INDEX(Simulations!$J$3:$J$62,MATCH($A46,Simulations!$A$3:$A$62,0)),$D46/(INDEX(Simulations!$G$3:$G$62,MATCH($A46,Simulations!$A$3:$A$62,0))*INDEX(Simulations!$H$3:$H$62,MATCH($A46,Simulations!$A$3:$A$62,0))*IF(INDEX(Simulations!$I$3:$I$62,MATCH($A46,Simulations!$A$3:$A$62,0))&gt;0,INDEX(Simulations!$I$3:$I$62,MATCH($A46,Simulations!$A$3:$A$62,0)),1))*$F46*(PI()/2*INDEX(Simulations!$T$3:$T$62,MATCH($A46,Simulations!$A$3:$A$62,0))^2*IF(INDEX(Simulations!$I$3:$I$62,MATCH($A46,Simulations!$A$3:$A$62,0))&gt;0,SQRT(PI()/2)*INDEX(Simulations!$U$3:$U$62,MATCH($A46,Simulations!$A$3:$A$62,0)),1)),$D46/(INDEX(Simulations!$G$3:$G$62,MATCH($A46,Simulations!$A$3:$A$62,0))*INDEX(Simulations!$H$3:$H$62,MATCH($A46,Simulations!$A$3:$A$62,0))*IF(INDEX(Simulations!$I$3:$I$62,MATCH($A46,Simulations!$A$3:$A$62,0))&gt;0,INDEX(Simulations!$I$3:$I$62,MATCH($A46,Simulations!$A$3:$A$62,0)),1))*INDEX(Simulations!$J$3:$J$62,MATCH($A46,Simulations!$A$3:$A$62,0))*IF(INDEX(Simulations!$I$3:$I$62,MATCH($A46,Simulations!$A$3:$A$62,0))&gt;0,2*PI()*INDEX(Simulations!$T$3:$T$62,MATCH($A46,Simulations!$A$3:$A$62,0))^2*INDEX(Simulations!$U$3:$U$62,MATCH($A46,Simulations!$A$3:$A$62,0))/2^1.5*(2/3*LN($F46/INDEX(Simulations!$J$3:$J$62,MATCH($A46,Simulations!$A$3:$A$62,0)))^1.5+SQRT(LN($F46/INDEX(Simulations!$J$3:$J$62,MATCH($A46,Simulations!$A$3:$A$62,0))))+$F46/INDEX(Simulations!$J$3:$J$62,MATCH($A46,Simulations!$A$3:$A$62,0))*SQRT(PI())/2*ERFC(SQRT(LN($F46/INDEX(Simulations!$J$3:$J$62,MATCH($A46,Simulations!$A$3:$A$62,0)))))),PI()*INDEX(Simulations!$T$3:$T$62,MATCH($A46,Simulations!$A$3:$A$62,0))^2/2*(LN($F46/INDEX(Simulations!$J$3:$J$62,MATCH($A46,Simulations!$A$3:$A$62,0)))+1)))))</f>
        <v/>
      </c>
      <c r="S46" s="16" t="str">
        <f aca="false">IF(OR($A46="",ISNA(MATCH($A46,Simulations!$A$3:$A$62,0))),"",IF(N($G46)&lt;=0,0,IF($G46&lt;INDEX(Simulations!$J$3:$J$62,MATCH($A46,Simulations!$A$3:$A$62,0)),$D46/(INDEX(Simulations!$G$3:$G$62,MATCH($A46,Simulations!$A$3:$A$62,0))*INDEX(Simulations!$H$3:$H$62,MATCH($A46,Simulations!$A$3:$A$62,0))*IF(INDEX(Simulations!$I$3:$I$62,MATCH($A46,Simulations!$A$3:$A$62,0))&gt;0,INDEX(Simulations!$I$3:$I$62,MATCH($A46,Simulations!$A$3:$A$62,0)),1))*$G46*(PI()/2*INDEX(Simulations!$T$3:$T$62,MATCH($A46,Simulations!$A$3:$A$62,0))^2*IF(INDEX(Simulations!$I$3:$I$62,MATCH($A46,Simulations!$A$3:$A$62,0))&gt;0,SQRT(PI()/2)*INDEX(Simulations!$U$3:$U$62,MATCH($A46,Simulations!$A$3:$A$62,0)),1)),$D46/(INDEX(Simulations!$G$3:$G$62,MATCH($A46,Simulations!$A$3:$A$62,0))*INDEX(Simulations!$H$3:$H$62,MATCH($A46,Simulations!$A$3:$A$62,0))*IF(INDEX(Simulations!$I$3:$I$62,MATCH($A46,Simulations!$A$3:$A$62,0))&gt;0,INDEX(Simulations!$I$3:$I$62,MATCH($A46,Simulations!$A$3:$A$62,0)),1))*INDEX(Simulations!$J$3:$J$62,MATCH($A46,Simulations!$A$3:$A$62,0))*IF(INDEX(Simulations!$I$3:$I$62,MATCH($A46,Simulations!$A$3:$A$62,0))&gt;0,2*PI()*INDEX(Simulations!$T$3:$T$62,MATCH($A46,Simulations!$A$3:$A$62,0))^2*INDEX(Simulations!$U$3:$U$62,MATCH($A46,Simulations!$A$3:$A$62,0))/2^1.5*(2/3*LN($G46/INDEX(Simulations!$J$3:$J$62,MATCH($A46,Simulations!$A$3:$A$62,0)))^1.5+SQRT(LN($G46/INDEX(Simulations!$J$3:$J$62,MATCH($A46,Simulations!$A$3:$A$62,0))))+$G46/INDEX(Simulations!$J$3:$J$62,MATCH($A46,Simulations!$A$3:$A$62,0))*SQRT(PI())/2*ERFC(SQRT(LN($G46/INDEX(Simulations!$J$3:$J$62,MATCH($A46,Simulations!$A$3:$A$62,0)))))),PI()*INDEX(Simulations!$T$3:$T$62,MATCH($A46,Simulations!$A$3:$A$62,0))^2/2*(LN($G46/INDEX(Simulations!$J$3:$J$62,MATCH($A46,Simulations!$A$3:$A$62,0)))+1)))))</f>
        <v/>
      </c>
      <c r="T46" s="16" t="str">
        <f aca="false">IF(OR($A46="",ISNA(MATCH($A46,Simulations!$A$3:$A$62,0))),"",IF(N($H46)&lt;=0,0,IF($H46&lt;INDEX(Simulations!$J$3:$J$62,MATCH($A46,Simulations!$A$3:$A$62,0)),$D46/(INDEX(Simulations!$G$3:$G$62,MATCH($A46,Simulations!$A$3:$A$62,0))*INDEX(Simulations!$H$3:$H$62,MATCH($A46,Simulations!$A$3:$A$62,0))*IF(INDEX(Simulations!$I$3:$I$62,MATCH($A46,Simulations!$A$3:$A$62,0))&gt;0,INDEX(Simulations!$I$3:$I$62,MATCH($A46,Simulations!$A$3:$A$62,0)),1))*$H46*(PI()/2*INDEX(Simulations!$T$3:$T$62,MATCH($A46,Simulations!$A$3:$A$62,0))^2*IF(INDEX(Simulations!$I$3:$I$62,MATCH($A46,Simulations!$A$3:$A$62,0))&gt;0,SQRT(PI()/2)*INDEX(Simulations!$U$3:$U$62,MATCH($A46,Simulations!$A$3:$A$62,0)),1)),$D46/(INDEX(Simulations!$G$3:$G$62,MATCH($A46,Simulations!$A$3:$A$62,0))*INDEX(Simulations!$H$3:$H$62,MATCH($A46,Simulations!$A$3:$A$62,0))*IF(INDEX(Simulations!$I$3:$I$62,MATCH($A46,Simulations!$A$3:$A$62,0))&gt;0,INDEX(Simulations!$I$3:$I$62,MATCH($A46,Simulations!$A$3:$A$62,0)),1))*INDEX(Simulations!$J$3:$J$62,MATCH($A46,Simulations!$A$3:$A$62,0))*IF(INDEX(Simulations!$I$3:$I$62,MATCH($A46,Simulations!$A$3:$A$62,0))&gt;0,2*PI()*INDEX(Simulations!$T$3:$T$62,MATCH($A46,Simulations!$A$3:$A$62,0))^2*INDEX(Simulations!$U$3:$U$62,MATCH($A46,Simulations!$A$3:$A$62,0))/2^1.5*(2/3*LN($H46/INDEX(Simulations!$J$3:$J$62,MATCH($A46,Simulations!$A$3:$A$62,0)))^1.5+SQRT(LN($H46/INDEX(Simulations!$J$3:$J$62,MATCH($A46,Simulations!$A$3:$A$62,0))))+$H46/INDEX(Simulations!$J$3:$J$62,MATCH($A46,Simulations!$A$3:$A$62,0))*SQRT(PI())/2*ERFC(SQRT(LN($H46/INDEX(Simulations!$J$3:$J$62,MATCH($A46,Simulations!$A$3:$A$62,0)))))),PI()*INDEX(Simulations!$T$3:$T$62,MATCH($A46,Simulations!$A$3:$A$62,0))^2/2*(LN($H46/INDEX(Simulations!$J$3:$J$62,MATCH($A46,Simulations!$A$3:$A$62,0)))+1)))))</f>
        <v/>
      </c>
      <c r="U46" s="18" t="str">
        <f aca="false">IF(OR(OR($A46="",ISNA(MATCH($A46,Simulations!$A$3:$A$62,0))),N($C46)&lt;=0),"",SQRT(2*$C46*1000000/(INDEX(Simulations!$J$3:$J$62,MATCH($A46,Simulations!$A$3:$A$62,0))*1000))/INDEX(Simulations!$T$3:$T$62,MATCH($A46,Simulations!$A$3:$A$62,0)))</f>
        <v/>
      </c>
      <c r="V46" s="19" t="str">
        <f aca="false">IF($A46="","",IF(ISNA(MATCH($A46,Simulations!$A$3:$A$62,0)),"✖ Sim ID not found on the Simulations sheet",IF($P46&gt;=1,"✖ brightness &gt;= sampling frequency: completely saturated (D too small, c too large)",IF($P46&gt;0.1,"⚠ brightness &gt; 10% of the sampling frequency: focus starts to saturate",IF(N($U46)&gt;0.1,"⚠ diffusion step &gt; 10% of wr: raise the sampling frequency",IF(MAX($E46:$H46)=0,"⚠ no brightness set","✔ OK"))))))</f>
        <v/>
      </c>
    </row>
    <row r="47" customFormat="false" ht="15" hidden="false" customHeight="false" outlineLevel="0" collapsed="false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4"/>
      <c r="O47" s="18" t="str">
        <f aca="false">IF(OR($A47="",ISNA(MATCH($A47,Simulations!$A$3:$A$62,0))),"",IF(INDEX(Simulations!$I$3:$I$62,MATCH($A47,Simulations!$A$3:$A$62,0))&gt;0,$D47/(INDEX(Simulations!$G$3:$G$62,MATCH($A47,Simulations!$A$3:$A$62,0))*INDEX(Simulations!$H$3:$H$62,MATCH($A47,Simulations!$A$3:$A$62,0))*IF(INDEX(Simulations!$I$3:$I$62,MATCH($A47,Simulations!$A$3:$A$62,0))&gt;0,INDEX(Simulations!$I$3:$I$62,MATCH($A47,Simulations!$A$3:$A$62,0)),1))/1E-024/6.022E+023/0.000000001,""))</f>
        <v/>
      </c>
      <c r="P47" s="20" t="str">
        <f aca="false">IF(OR($A47="",ISNA(MATCH($A47,Simulations!$A$3:$A$62,0))),"",MAX($E47:$H47)/INDEX(Simulations!$J$3:$J$62,MATCH($A47,Simulations!$A$3:$A$62,0)))</f>
        <v/>
      </c>
      <c r="Q47" s="16" t="str">
        <f aca="false">IF(OR($A47="",ISNA(MATCH($A47,Simulations!$A$3:$A$62,0))),"",IF(N($E47)&lt;=0,0,IF($E47&lt;INDEX(Simulations!$J$3:$J$62,MATCH($A47,Simulations!$A$3:$A$62,0)),$D47/(INDEX(Simulations!$G$3:$G$62,MATCH($A47,Simulations!$A$3:$A$62,0))*INDEX(Simulations!$H$3:$H$62,MATCH($A47,Simulations!$A$3:$A$62,0))*IF(INDEX(Simulations!$I$3:$I$62,MATCH($A47,Simulations!$A$3:$A$62,0))&gt;0,INDEX(Simulations!$I$3:$I$62,MATCH($A47,Simulations!$A$3:$A$62,0)),1))*$E47*(PI()/2*INDEX(Simulations!$T$3:$T$62,MATCH($A47,Simulations!$A$3:$A$62,0))^2*IF(INDEX(Simulations!$I$3:$I$62,MATCH($A47,Simulations!$A$3:$A$62,0))&gt;0,SQRT(PI()/2)*INDEX(Simulations!$U$3:$U$62,MATCH($A47,Simulations!$A$3:$A$62,0)),1)),$D47/(INDEX(Simulations!$G$3:$G$62,MATCH($A47,Simulations!$A$3:$A$62,0))*INDEX(Simulations!$H$3:$H$62,MATCH($A47,Simulations!$A$3:$A$62,0))*IF(INDEX(Simulations!$I$3:$I$62,MATCH($A47,Simulations!$A$3:$A$62,0))&gt;0,INDEX(Simulations!$I$3:$I$62,MATCH($A47,Simulations!$A$3:$A$62,0)),1))*INDEX(Simulations!$J$3:$J$62,MATCH($A47,Simulations!$A$3:$A$62,0))*IF(INDEX(Simulations!$I$3:$I$62,MATCH($A47,Simulations!$A$3:$A$62,0))&gt;0,2*PI()*INDEX(Simulations!$T$3:$T$62,MATCH($A47,Simulations!$A$3:$A$62,0))^2*INDEX(Simulations!$U$3:$U$62,MATCH($A47,Simulations!$A$3:$A$62,0))/2^1.5*(2/3*LN($E47/INDEX(Simulations!$J$3:$J$62,MATCH($A47,Simulations!$A$3:$A$62,0)))^1.5+SQRT(LN($E47/INDEX(Simulations!$J$3:$J$62,MATCH($A47,Simulations!$A$3:$A$62,0))))+$E47/INDEX(Simulations!$J$3:$J$62,MATCH($A47,Simulations!$A$3:$A$62,0))*SQRT(PI())/2*ERFC(SQRT(LN($E47/INDEX(Simulations!$J$3:$J$62,MATCH($A47,Simulations!$A$3:$A$62,0)))))),PI()*INDEX(Simulations!$T$3:$T$62,MATCH($A47,Simulations!$A$3:$A$62,0))^2/2*(LN($E47/INDEX(Simulations!$J$3:$J$62,MATCH($A47,Simulations!$A$3:$A$62,0)))+1)))))</f>
        <v/>
      </c>
      <c r="R47" s="16" t="str">
        <f aca="false">IF(OR($A47="",ISNA(MATCH($A47,Simulations!$A$3:$A$62,0))),"",IF(N($F47)&lt;=0,0,IF($F47&lt;INDEX(Simulations!$J$3:$J$62,MATCH($A47,Simulations!$A$3:$A$62,0)),$D47/(INDEX(Simulations!$G$3:$G$62,MATCH($A47,Simulations!$A$3:$A$62,0))*INDEX(Simulations!$H$3:$H$62,MATCH($A47,Simulations!$A$3:$A$62,0))*IF(INDEX(Simulations!$I$3:$I$62,MATCH($A47,Simulations!$A$3:$A$62,0))&gt;0,INDEX(Simulations!$I$3:$I$62,MATCH($A47,Simulations!$A$3:$A$62,0)),1))*$F47*(PI()/2*INDEX(Simulations!$T$3:$T$62,MATCH($A47,Simulations!$A$3:$A$62,0))^2*IF(INDEX(Simulations!$I$3:$I$62,MATCH($A47,Simulations!$A$3:$A$62,0))&gt;0,SQRT(PI()/2)*INDEX(Simulations!$U$3:$U$62,MATCH($A47,Simulations!$A$3:$A$62,0)),1)),$D47/(INDEX(Simulations!$G$3:$G$62,MATCH($A47,Simulations!$A$3:$A$62,0))*INDEX(Simulations!$H$3:$H$62,MATCH($A47,Simulations!$A$3:$A$62,0))*IF(INDEX(Simulations!$I$3:$I$62,MATCH($A47,Simulations!$A$3:$A$62,0))&gt;0,INDEX(Simulations!$I$3:$I$62,MATCH($A47,Simulations!$A$3:$A$62,0)),1))*INDEX(Simulations!$J$3:$J$62,MATCH($A47,Simulations!$A$3:$A$62,0))*IF(INDEX(Simulations!$I$3:$I$62,MATCH($A47,Simulations!$A$3:$A$62,0))&gt;0,2*PI()*INDEX(Simulations!$T$3:$T$62,MATCH($A47,Simulations!$A$3:$A$62,0))^2*INDEX(Simulations!$U$3:$U$62,MATCH($A47,Simulations!$A$3:$A$62,0))/2^1.5*(2/3*LN($F47/INDEX(Simulations!$J$3:$J$62,MATCH($A47,Simulations!$A$3:$A$62,0)))^1.5+SQRT(LN($F47/INDEX(Simulations!$J$3:$J$62,MATCH($A47,Simulations!$A$3:$A$62,0))))+$F47/INDEX(Simulations!$J$3:$J$62,MATCH($A47,Simulations!$A$3:$A$62,0))*SQRT(PI())/2*ERFC(SQRT(LN($F47/INDEX(Simulations!$J$3:$J$62,MATCH($A47,Simulations!$A$3:$A$62,0)))))),PI()*INDEX(Simulations!$T$3:$T$62,MATCH($A47,Simulations!$A$3:$A$62,0))^2/2*(LN($F47/INDEX(Simulations!$J$3:$J$62,MATCH($A47,Simulations!$A$3:$A$62,0)))+1)))))</f>
        <v/>
      </c>
      <c r="S47" s="16" t="str">
        <f aca="false">IF(OR($A47="",ISNA(MATCH($A47,Simulations!$A$3:$A$62,0))),"",IF(N($G47)&lt;=0,0,IF($G47&lt;INDEX(Simulations!$J$3:$J$62,MATCH($A47,Simulations!$A$3:$A$62,0)),$D47/(INDEX(Simulations!$G$3:$G$62,MATCH($A47,Simulations!$A$3:$A$62,0))*INDEX(Simulations!$H$3:$H$62,MATCH($A47,Simulations!$A$3:$A$62,0))*IF(INDEX(Simulations!$I$3:$I$62,MATCH($A47,Simulations!$A$3:$A$62,0))&gt;0,INDEX(Simulations!$I$3:$I$62,MATCH($A47,Simulations!$A$3:$A$62,0)),1))*$G47*(PI()/2*INDEX(Simulations!$T$3:$T$62,MATCH($A47,Simulations!$A$3:$A$62,0))^2*IF(INDEX(Simulations!$I$3:$I$62,MATCH($A47,Simulations!$A$3:$A$62,0))&gt;0,SQRT(PI()/2)*INDEX(Simulations!$U$3:$U$62,MATCH($A47,Simulations!$A$3:$A$62,0)),1)),$D47/(INDEX(Simulations!$G$3:$G$62,MATCH($A47,Simulations!$A$3:$A$62,0))*INDEX(Simulations!$H$3:$H$62,MATCH($A47,Simulations!$A$3:$A$62,0))*IF(INDEX(Simulations!$I$3:$I$62,MATCH($A47,Simulations!$A$3:$A$62,0))&gt;0,INDEX(Simulations!$I$3:$I$62,MATCH($A47,Simulations!$A$3:$A$62,0)),1))*INDEX(Simulations!$J$3:$J$62,MATCH($A47,Simulations!$A$3:$A$62,0))*IF(INDEX(Simulations!$I$3:$I$62,MATCH($A47,Simulations!$A$3:$A$62,0))&gt;0,2*PI()*INDEX(Simulations!$T$3:$T$62,MATCH($A47,Simulations!$A$3:$A$62,0))^2*INDEX(Simulations!$U$3:$U$62,MATCH($A47,Simulations!$A$3:$A$62,0))/2^1.5*(2/3*LN($G47/INDEX(Simulations!$J$3:$J$62,MATCH($A47,Simulations!$A$3:$A$62,0)))^1.5+SQRT(LN($G47/INDEX(Simulations!$J$3:$J$62,MATCH($A47,Simulations!$A$3:$A$62,0))))+$G47/INDEX(Simulations!$J$3:$J$62,MATCH($A47,Simulations!$A$3:$A$62,0))*SQRT(PI())/2*ERFC(SQRT(LN($G47/INDEX(Simulations!$J$3:$J$62,MATCH($A47,Simulations!$A$3:$A$62,0)))))),PI()*INDEX(Simulations!$T$3:$T$62,MATCH($A47,Simulations!$A$3:$A$62,0))^2/2*(LN($G47/INDEX(Simulations!$J$3:$J$62,MATCH($A47,Simulations!$A$3:$A$62,0)))+1)))))</f>
        <v/>
      </c>
      <c r="T47" s="16" t="str">
        <f aca="false">IF(OR($A47="",ISNA(MATCH($A47,Simulations!$A$3:$A$62,0))),"",IF(N($H47)&lt;=0,0,IF($H47&lt;INDEX(Simulations!$J$3:$J$62,MATCH($A47,Simulations!$A$3:$A$62,0)),$D47/(INDEX(Simulations!$G$3:$G$62,MATCH($A47,Simulations!$A$3:$A$62,0))*INDEX(Simulations!$H$3:$H$62,MATCH($A47,Simulations!$A$3:$A$62,0))*IF(INDEX(Simulations!$I$3:$I$62,MATCH($A47,Simulations!$A$3:$A$62,0))&gt;0,INDEX(Simulations!$I$3:$I$62,MATCH($A47,Simulations!$A$3:$A$62,0)),1))*$H47*(PI()/2*INDEX(Simulations!$T$3:$T$62,MATCH($A47,Simulations!$A$3:$A$62,0))^2*IF(INDEX(Simulations!$I$3:$I$62,MATCH($A47,Simulations!$A$3:$A$62,0))&gt;0,SQRT(PI()/2)*INDEX(Simulations!$U$3:$U$62,MATCH($A47,Simulations!$A$3:$A$62,0)),1)),$D47/(INDEX(Simulations!$G$3:$G$62,MATCH($A47,Simulations!$A$3:$A$62,0))*INDEX(Simulations!$H$3:$H$62,MATCH($A47,Simulations!$A$3:$A$62,0))*IF(INDEX(Simulations!$I$3:$I$62,MATCH($A47,Simulations!$A$3:$A$62,0))&gt;0,INDEX(Simulations!$I$3:$I$62,MATCH($A47,Simulations!$A$3:$A$62,0)),1))*INDEX(Simulations!$J$3:$J$62,MATCH($A47,Simulations!$A$3:$A$62,0))*IF(INDEX(Simulations!$I$3:$I$62,MATCH($A47,Simulations!$A$3:$A$62,0))&gt;0,2*PI()*INDEX(Simulations!$T$3:$T$62,MATCH($A47,Simulations!$A$3:$A$62,0))^2*INDEX(Simulations!$U$3:$U$62,MATCH($A47,Simulations!$A$3:$A$62,0))/2^1.5*(2/3*LN($H47/INDEX(Simulations!$J$3:$J$62,MATCH($A47,Simulations!$A$3:$A$62,0)))^1.5+SQRT(LN($H47/INDEX(Simulations!$J$3:$J$62,MATCH($A47,Simulations!$A$3:$A$62,0))))+$H47/INDEX(Simulations!$J$3:$J$62,MATCH($A47,Simulations!$A$3:$A$62,0))*SQRT(PI())/2*ERFC(SQRT(LN($H47/INDEX(Simulations!$J$3:$J$62,MATCH($A47,Simulations!$A$3:$A$62,0)))))),PI()*INDEX(Simulations!$T$3:$T$62,MATCH($A47,Simulations!$A$3:$A$62,0))^2/2*(LN($H47/INDEX(Simulations!$J$3:$J$62,MATCH($A47,Simulations!$A$3:$A$62,0)))+1)))))</f>
        <v/>
      </c>
      <c r="U47" s="18" t="str">
        <f aca="false">IF(OR(OR($A47="",ISNA(MATCH($A47,Simulations!$A$3:$A$62,0))),N($C47)&lt;=0),"",SQRT(2*$C47*1000000/(INDEX(Simulations!$J$3:$J$62,MATCH($A47,Simulations!$A$3:$A$62,0))*1000))/INDEX(Simulations!$T$3:$T$62,MATCH($A47,Simulations!$A$3:$A$62,0)))</f>
        <v/>
      </c>
      <c r="V47" s="19" t="str">
        <f aca="false">IF($A47="","",IF(ISNA(MATCH($A47,Simulations!$A$3:$A$62,0)),"✖ Sim ID not found on the Simulations sheet",IF($P47&gt;=1,"✖ brightness &gt;= sampling frequency: completely saturated (D too small, c too large)",IF($P47&gt;0.1,"⚠ brightness &gt; 10% of the sampling frequency: focus starts to saturate",IF(N($U47)&gt;0.1,"⚠ diffusion step &gt; 10% of wr: raise the sampling frequency",IF(MAX($E47:$H47)=0,"⚠ no brightness set","✔ OK"))))))</f>
        <v/>
      </c>
    </row>
    <row r="48" customFormat="false" ht="15" hidden="false" customHeight="false" outlineLevel="0" collapsed="false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4"/>
      <c r="O48" s="18" t="str">
        <f aca="false">IF(OR($A48="",ISNA(MATCH($A48,Simulations!$A$3:$A$62,0))),"",IF(INDEX(Simulations!$I$3:$I$62,MATCH($A48,Simulations!$A$3:$A$62,0))&gt;0,$D48/(INDEX(Simulations!$G$3:$G$62,MATCH($A48,Simulations!$A$3:$A$62,0))*INDEX(Simulations!$H$3:$H$62,MATCH($A48,Simulations!$A$3:$A$62,0))*IF(INDEX(Simulations!$I$3:$I$62,MATCH($A48,Simulations!$A$3:$A$62,0))&gt;0,INDEX(Simulations!$I$3:$I$62,MATCH($A48,Simulations!$A$3:$A$62,0)),1))/1E-024/6.022E+023/0.000000001,""))</f>
        <v/>
      </c>
      <c r="P48" s="20" t="str">
        <f aca="false">IF(OR($A48="",ISNA(MATCH($A48,Simulations!$A$3:$A$62,0))),"",MAX($E48:$H48)/INDEX(Simulations!$J$3:$J$62,MATCH($A48,Simulations!$A$3:$A$62,0)))</f>
        <v/>
      </c>
      <c r="Q48" s="16" t="str">
        <f aca="false">IF(OR($A48="",ISNA(MATCH($A48,Simulations!$A$3:$A$62,0))),"",IF(N($E48)&lt;=0,0,IF($E48&lt;INDEX(Simulations!$J$3:$J$62,MATCH($A48,Simulations!$A$3:$A$62,0)),$D48/(INDEX(Simulations!$G$3:$G$62,MATCH($A48,Simulations!$A$3:$A$62,0))*INDEX(Simulations!$H$3:$H$62,MATCH($A48,Simulations!$A$3:$A$62,0))*IF(INDEX(Simulations!$I$3:$I$62,MATCH($A48,Simulations!$A$3:$A$62,0))&gt;0,INDEX(Simulations!$I$3:$I$62,MATCH($A48,Simulations!$A$3:$A$62,0)),1))*$E48*(PI()/2*INDEX(Simulations!$T$3:$T$62,MATCH($A48,Simulations!$A$3:$A$62,0))^2*IF(INDEX(Simulations!$I$3:$I$62,MATCH($A48,Simulations!$A$3:$A$62,0))&gt;0,SQRT(PI()/2)*INDEX(Simulations!$U$3:$U$62,MATCH($A48,Simulations!$A$3:$A$62,0)),1)),$D48/(INDEX(Simulations!$G$3:$G$62,MATCH($A48,Simulations!$A$3:$A$62,0))*INDEX(Simulations!$H$3:$H$62,MATCH($A48,Simulations!$A$3:$A$62,0))*IF(INDEX(Simulations!$I$3:$I$62,MATCH($A48,Simulations!$A$3:$A$62,0))&gt;0,INDEX(Simulations!$I$3:$I$62,MATCH($A48,Simulations!$A$3:$A$62,0)),1))*INDEX(Simulations!$J$3:$J$62,MATCH($A48,Simulations!$A$3:$A$62,0))*IF(INDEX(Simulations!$I$3:$I$62,MATCH($A48,Simulations!$A$3:$A$62,0))&gt;0,2*PI()*INDEX(Simulations!$T$3:$T$62,MATCH($A48,Simulations!$A$3:$A$62,0))^2*INDEX(Simulations!$U$3:$U$62,MATCH($A48,Simulations!$A$3:$A$62,0))/2^1.5*(2/3*LN($E48/INDEX(Simulations!$J$3:$J$62,MATCH($A48,Simulations!$A$3:$A$62,0)))^1.5+SQRT(LN($E48/INDEX(Simulations!$J$3:$J$62,MATCH($A48,Simulations!$A$3:$A$62,0))))+$E48/INDEX(Simulations!$J$3:$J$62,MATCH($A48,Simulations!$A$3:$A$62,0))*SQRT(PI())/2*ERFC(SQRT(LN($E48/INDEX(Simulations!$J$3:$J$62,MATCH($A48,Simulations!$A$3:$A$62,0)))))),PI()*INDEX(Simulations!$T$3:$T$62,MATCH($A48,Simulations!$A$3:$A$62,0))^2/2*(LN($E48/INDEX(Simulations!$J$3:$J$62,MATCH($A48,Simulations!$A$3:$A$62,0)))+1)))))</f>
        <v/>
      </c>
      <c r="R48" s="16" t="str">
        <f aca="false">IF(OR($A48="",ISNA(MATCH($A48,Simulations!$A$3:$A$62,0))),"",IF(N($F48)&lt;=0,0,IF($F48&lt;INDEX(Simulations!$J$3:$J$62,MATCH($A48,Simulations!$A$3:$A$62,0)),$D48/(INDEX(Simulations!$G$3:$G$62,MATCH($A48,Simulations!$A$3:$A$62,0))*INDEX(Simulations!$H$3:$H$62,MATCH($A48,Simulations!$A$3:$A$62,0))*IF(INDEX(Simulations!$I$3:$I$62,MATCH($A48,Simulations!$A$3:$A$62,0))&gt;0,INDEX(Simulations!$I$3:$I$62,MATCH($A48,Simulations!$A$3:$A$62,0)),1))*$F48*(PI()/2*INDEX(Simulations!$T$3:$T$62,MATCH($A48,Simulations!$A$3:$A$62,0))^2*IF(INDEX(Simulations!$I$3:$I$62,MATCH($A48,Simulations!$A$3:$A$62,0))&gt;0,SQRT(PI()/2)*INDEX(Simulations!$U$3:$U$62,MATCH($A48,Simulations!$A$3:$A$62,0)),1)),$D48/(INDEX(Simulations!$G$3:$G$62,MATCH($A48,Simulations!$A$3:$A$62,0))*INDEX(Simulations!$H$3:$H$62,MATCH($A48,Simulations!$A$3:$A$62,0))*IF(INDEX(Simulations!$I$3:$I$62,MATCH($A48,Simulations!$A$3:$A$62,0))&gt;0,INDEX(Simulations!$I$3:$I$62,MATCH($A48,Simulations!$A$3:$A$62,0)),1))*INDEX(Simulations!$J$3:$J$62,MATCH($A48,Simulations!$A$3:$A$62,0))*IF(INDEX(Simulations!$I$3:$I$62,MATCH($A48,Simulations!$A$3:$A$62,0))&gt;0,2*PI()*INDEX(Simulations!$T$3:$T$62,MATCH($A48,Simulations!$A$3:$A$62,0))^2*INDEX(Simulations!$U$3:$U$62,MATCH($A48,Simulations!$A$3:$A$62,0))/2^1.5*(2/3*LN($F48/INDEX(Simulations!$J$3:$J$62,MATCH($A48,Simulations!$A$3:$A$62,0)))^1.5+SQRT(LN($F48/INDEX(Simulations!$J$3:$J$62,MATCH($A48,Simulations!$A$3:$A$62,0))))+$F48/INDEX(Simulations!$J$3:$J$62,MATCH($A48,Simulations!$A$3:$A$62,0))*SQRT(PI())/2*ERFC(SQRT(LN($F48/INDEX(Simulations!$J$3:$J$62,MATCH($A48,Simulations!$A$3:$A$62,0)))))),PI()*INDEX(Simulations!$T$3:$T$62,MATCH($A48,Simulations!$A$3:$A$62,0))^2/2*(LN($F48/INDEX(Simulations!$J$3:$J$62,MATCH($A48,Simulations!$A$3:$A$62,0)))+1)))))</f>
        <v/>
      </c>
      <c r="S48" s="16" t="str">
        <f aca="false">IF(OR($A48="",ISNA(MATCH($A48,Simulations!$A$3:$A$62,0))),"",IF(N($G48)&lt;=0,0,IF($G48&lt;INDEX(Simulations!$J$3:$J$62,MATCH($A48,Simulations!$A$3:$A$62,0)),$D48/(INDEX(Simulations!$G$3:$G$62,MATCH($A48,Simulations!$A$3:$A$62,0))*INDEX(Simulations!$H$3:$H$62,MATCH($A48,Simulations!$A$3:$A$62,0))*IF(INDEX(Simulations!$I$3:$I$62,MATCH($A48,Simulations!$A$3:$A$62,0))&gt;0,INDEX(Simulations!$I$3:$I$62,MATCH($A48,Simulations!$A$3:$A$62,0)),1))*$G48*(PI()/2*INDEX(Simulations!$T$3:$T$62,MATCH($A48,Simulations!$A$3:$A$62,0))^2*IF(INDEX(Simulations!$I$3:$I$62,MATCH($A48,Simulations!$A$3:$A$62,0))&gt;0,SQRT(PI()/2)*INDEX(Simulations!$U$3:$U$62,MATCH($A48,Simulations!$A$3:$A$62,0)),1)),$D48/(INDEX(Simulations!$G$3:$G$62,MATCH($A48,Simulations!$A$3:$A$62,0))*INDEX(Simulations!$H$3:$H$62,MATCH($A48,Simulations!$A$3:$A$62,0))*IF(INDEX(Simulations!$I$3:$I$62,MATCH($A48,Simulations!$A$3:$A$62,0))&gt;0,INDEX(Simulations!$I$3:$I$62,MATCH($A48,Simulations!$A$3:$A$62,0)),1))*INDEX(Simulations!$J$3:$J$62,MATCH($A48,Simulations!$A$3:$A$62,0))*IF(INDEX(Simulations!$I$3:$I$62,MATCH($A48,Simulations!$A$3:$A$62,0))&gt;0,2*PI()*INDEX(Simulations!$T$3:$T$62,MATCH($A48,Simulations!$A$3:$A$62,0))^2*INDEX(Simulations!$U$3:$U$62,MATCH($A48,Simulations!$A$3:$A$62,0))/2^1.5*(2/3*LN($G48/INDEX(Simulations!$J$3:$J$62,MATCH($A48,Simulations!$A$3:$A$62,0)))^1.5+SQRT(LN($G48/INDEX(Simulations!$J$3:$J$62,MATCH($A48,Simulations!$A$3:$A$62,0))))+$G48/INDEX(Simulations!$J$3:$J$62,MATCH($A48,Simulations!$A$3:$A$62,0))*SQRT(PI())/2*ERFC(SQRT(LN($G48/INDEX(Simulations!$J$3:$J$62,MATCH($A48,Simulations!$A$3:$A$62,0)))))),PI()*INDEX(Simulations!$T$3:$T$62,MATCH($A48,Simulations!$A$3:$A$62,0))^2/2*(LN($G48/INDEX(Simulations!$J$3:$J$62,MATCH($A48,Simulations!$A$3:$A$62,0)))+1)))))</f>
        <v/>
      </c>
      <c r="T48" s="16" t="str">
        <f aca="false">IF(OR($A48="",ISNA(MATCH($A48,Simulations!$A$3:$A$62,0))),"",IF(N($H48)&lt;=0,0,IF($H48&lt;INDEX(Simulations!$J$3:$J$62,MATCH($A48,Simulations!$A$3:$A$62,0)),$D48/(INDEX(Simulations!$G$3:$G$62,MATCH($A48,Simulations!$A$3:$A$62,0))*INDEX(Simulations!$H$3:$H$62,MATCH($A48,Simulations!$A$3:$A$62,0))*IF(INDEX(Simulations!$I$3:$I$62,MATCH($A48,Simulations!$A$3:$A$62,0))&gt;0,INDEX(Simulations!$I$3:$I$62,MATCH($A48,Simulations!$A$3:$A$62,0)),1))*$H48*(PI()/2*INDEX(Simulations!$T$3:$T$62,MATCH($A48,Simulations!$A$3:$A$62,0))^2*IF(INDEX(Simulations!$I$3:$I$62,MATCH($A48,Simulations!$A$3:$A$62,0))&gt;0,SQRT(PI()/2)*INDEX(Simulations!$U$3:$U$62,MATCH($A48,Simulations!$A$3:$A$62,0)),1)),$D48/(INDEX(Simulations!$G$3:$G$62,MATCH($A48,Simulations!$A$3:$A$62,0))*INDEX(Simulations!$H$3:$H$62,MATCH($A48,Simulations!$A$3:$A$62,0))*IF(INDEX(Simulations!$I$3:$I$62,MATCH($A48,Simulations!$A$3:$A$62,0))&gt;0,INDEX(Simulations!$I$3:$I$62,MATCH($A48,Simulations!$A$3:$A$62,0)),1))*INDEX(Simulations!$J$3:$J$62,MATCH($A48,Simulations!$A$3:$A$62,0))*IF(INDEX(Simulations!$I$3:$I$62,MATCH($A48,Simulations!$A$3:$A$62,0))&gt;0,2*PI()*INDEX(Simulations!$T$3:$T$62,MATCH($A48,Simulations!$A$3:$A$62,0))^2*INDEX(Simulations!$U$3:$U$62,MATCH($A48,Simulations!$A$3:$A$62,0))/2^1.5*(2/3*LN($H48/INDEX(Simulations!$J$3:$J$62,MATCH($A48,Simulations!$A$3:$A$62,0)))^1.5+SQRT(LN($H48/INDEX(Simulations!$J$3:$J$62,MATCH($A48,Simulations!$A$3:$A$62,0))))+$H48/INDEX(Simulations!$J$3:$J$62,MATCH($A48,Simulations!$A$3:$A$62,0))*SQRT(PI())/2*ERFC(SQRT(LN($H48/INDEX(Simulations!$J$3:$J$62,MATCH($A48,Simulations!$A$3:$A$62,0)))))),PI()*INDEX(Simulations!$T$3:$T$62,MATCH($A48,Simulations!$A$3:$A$62,0))^2/2*(LN($H48/INDEX(Simulations!$J$3:$J$62,MATCH($A48,Simulations!$A$3:$A$62,0)))+1)))))</f>
        <v/>
      </c>
      <c r="U48" s="18" t="str">
        <f aca="false">IF(OR(OR($A48="",ISNA(MATCH($A48,Simulations!$A$3:$A$62,0))),N($C48)&lt;=0),"",SQRT(2*$C48*1000000/(INDEX(Simulations!$J$3:$J$62,MATCH($A48,Simulations!$A$3:$A$62,0))*1000))/INDEX(Simulations!$T$3:$T$62,MATCH($A48,Simulations!$A$3:$A$62,0)))</f>
        <v/>
      </c>
      <c r="V48" s="19" t="str">
        <f aca="false">IF($A48="","",IF(ISNA(MATCH($A48,Simulations!$A$3:$A$62,0)),"✖ Sim ID not found on the Simulations sheet",IF($P48&gt;=1,"✖ brightness &gt;= sampling frequency: completely saturated (D too small, c too large)",IF($P48&gt;0.1,"⚠ brightness &gt; 10% of the sampling frequency: focus starts to saturate",IF(N($U48)&gt;0.1,"⚠ diffusion step &gt; 10% of wr: raise the sampling frequency",IF(MAX($E48:$H48)=0,"⚠ no brightness set","✔ OK"))))))</f>
        <v/>
      </c>
    </row>
    <row r="49" customFormat="false" ht="15" hidden="false" customHeight="false" outlineLevel="0" collapsed="false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4"/>
      <c r="O49" s="18" t="str">
        <f aca="false">IF(OR($A49="",ISNA(MATCH($A49,Simulations!$A$3:$A$62,0))),"",IF(INDEX(Simulations!$I$3:$I$62,MATCH($A49,Simulations!$A$3:$A$62,0))&gt;0,$D49/(INDEX(Simulations!$G$3:$G$62,MATCH($A49,Simulations!$A$3:$A$62,0))*INDEX(Simulations!$H$3:$H$62,MATCH($A49,Simulations!$A$3:$A$62,0))*IF(INDEX(Simulations!$I$3:$I$62,MATCH($A49,Simulations!$A$3:$A$62,0))&gt;0,INDEX(Simulations!$I$3:$I$62,MATCH($A49,Simulations!$A$3:$A$62,0)),1))/1E-024/6.022E+023/0.000000001,""))</f>
        <v/>
      </c>
      <c r="P49" s="20" t="str">
        <f aca="false">IF(OR($A49="",ISNA(MATCH($A49,Simulations!$A$3:$A$62,0))),"",MAX($E49:$H49)/INDEX(Simulations!$J$3:$J$62,MATCH($A49,Simulations!$A$3:$A$62,0)))</f>
        <v/>
      </c>
      <c r="Q49" s="16" t="str">
        <f aca="false">IF(OR($A49="",ISNA(MATCH($A49,Simulations!$A$3:$A$62,0))),"",IF(N($E49)&lt;=0,0,IF($E49&lt;INDEX(Simulations!$J$3:$J$62,MATCH($A49,Simulations!$A$3:$A$62,0)),$D49/(INDEX(Simulations!$G$3:$G$62,MATCH($A49,Simulations!$A$3:$A$62,0))*INDEX(Simulations!$H$3:$H$62,MATCH($A49,Simulations!$A$3:$A$62,0))*IF(INDEX(Simulations!$I$3:$I$62,MATCH($A49,Simulations!$A$3:$A$62,0))&gt;0,INDEX(Simulations!$I$3:$I$62,MATCH($A49,Simulations!$A$3:$A$62,0)),1))*$E49*(PI()/2*INDEX(Simulations!$T$3:$T$62,MATCH($A49,Simulations!$A$3:$A$62,0))^2*IF(INDEX(Simulations!$I$3:$I$62,MATCH($A49,Simulations!$A$3:$A$62,0))&gt;0,SQRT(PI()/2)*INDEX(Simulations!$U$3:$U$62,MATCH($A49,Simulations!$A$3:$A$62,0)),1)),$D49/(INDEX(Simulations!$G$3:$G$62,MATCH($A49,Simulations!$A$3:$A$62,0))*INDEX(Simulations!$H$3:$H$62,MATCH($A49,Simulations!$A$3:$A$62,0))*IF(INDEX(Simulations!$I$3:$I$62,MATCH($A49,Simulations!$A$3:$A$62,0))&gt;0,INDEX(Simulations!$I$3:$I$62,MATCH($A49,Simulations!$A$3:$A$62,0)),1))*INDEX(Simulations!$J$3:$J$62,MATCH($A49,Simulations!$A$3:$A$62,0))*IF(INDEX(Simulations!$I$3:$I$62,MATCH($A49,Simulations!$A$3:$A$62,0))&gt;0,2*PI()*INDEX(Simulations!$T$3:$T$62,MATCH($A49,Simulations!$A$3:$A$62,0))^2*INDEX(Simulations!$U$3:$U$62,MATCH($A49,Simulations!$A$3:$A$62,0))/2^1.5*(2/3*LN($E49/INDEX(Simulations!$J$3:$J$62,MATCH($A49,Simulations!$A$3:$A$62,0)))^1.5+SQRT(LN($E49/INDEX(Simulations!$J$3:$J$62,MATCH($A49,Simulations!$A$3:$A$62,0))))+$E49/INDEX(Simulations!$J$3:$J$62,MATCH($A49,Simulations!$A$3:$A$62,0))*SQRT(PI())/2*ERFC(SQRT(LN($E49/INDEX(Simulations!$J$3:$J$62,MATCH($A49,Simulations!$A$3:$A$62,0)))))),PI()*INDEX(Simulations!$T$3:$T$62,MATCH($A49,Simulations!$A$3:$A$62,0))^2/2*(LN($E49/INDEX(Simulations!$J$3:$J$62,MATCH($A49,Simulations!$A$3:$A$62,0)))+1)))))</f>
        <v/>
      </c>
      <c r="R49" s="16" t="str">
        <f aca="false">IF(OR($A49="",ISNA(MATCH($A49,Simulations!$A$3:$A$62,0))),"",IF(N($F49)&lt;=0,0,IF($F49&lt;INDEX(Simulations!$J$3:$J$62,MATCH($A49,Simulations!$A$3:$A$62,0)),$D49/(INDEX(Simulations!$G$3:$G$62,MATCH($A49,Simulations!$A$3:$A$62,0))*INDEX(Simulations!$H$3:$H$62,MATCH($A49,Simulations!$A$3:$A$62,0))*IF(INDEX(Simulations!$I$3:$I$62,MATCH($A49,Simulations!$A$3:$A$62,0))&gt;0,INDEX(Simulations!$I$3:$I$62,MATCH($A49,Simulations!$A$3:$A$62,0)),1))*$F49*(PI()/2*INDEX(Simulations!$T$3:$T$62,MATCH($A49,Simulations!$A$3:$A$62,0))^2*IF(INDEX(Simulations!$I$3:$I$62,MATCH($A49,Simulations!$A$3:$A$62,0))&gt;0,SQRT(PI()/2)*INDEX(Simulations!$U$3:$U$62,MATCH($A49,Simulations!$A$3:$A$62,0)),1)),$D49/(INDEX(Simulations!$G$3:$G$62,MATCH($A49,Simulations!$A$3:$A$62,0))*INDEX(Simulations!$H$3:$H$62,MATCH($A49,Simulations!$A$3:$A$62,0))*IF(INDEX(Simulations!$I$3:$I$62,MATCH($A49,Simulations!$A$3:$A$62,0))&gt;0,INDEX(Simulations!$I$3:$I$62,MATCH($A49,Simulations!$A$3:$A$62,0)),1))*INDEX(Simulations!$J$3:$J$62,MATCH($A49,Simulations!$A$3:$A$62,0))*IF(INDEX(Simulations!$I$3:$I$62,MATCH($A49,Simulations!$A$3:$A$62,0))&gt;0,2*PI()*INDEX(Simulations!$T$3:$T$62,MATCH($A49,Simulations!$A$3:$A$62,0))^2*INDEX(Simulations!$U$3:$U$62,MATCH($A49,Simulations!$A$3:$A$62,0))/2^1.5*(2/3*LN($F49/INDEX(Simulations!$J$3:$J$62,MATCH($A49,Simulations!$A$3:$A$62,0)))^1.5+SQRT(LN($F49/INDEX(Simulations!$J$3:$J$62,MATCH($A49,Simulations!$A$3:$A$62,0))))+$F49/INDEX(Simulations!$J$3:$J$62,MATCH($A49,Simulations!$A$3:$A$62,0))*SQRT(PI())/2*ERFC(SQRT(LN($F49/INDEX(Simulations!$J$3:$J$62,MATCH($A49,Simulations!$A$3:$A$62,0)))))),PI()*INDEX(Simulations!$T$3:$T$62,MATCH($A49,Simulations!$A$3:$A$62,0))^2/2*(LN($F49/INDEX(Simulations!$J$3:$J$62,MATCH($A49,Simulations!$A$3:$A$62,0)))+1)))))</f>
        <v/>
      </c>
      <c r="S49" s="16" t="str">
        <f aca="false">IF(OR($A49="",ISNA(MATCH($A49,Simulations!$A$3:$A$62,0))),"",IF(N($G49)&lt;=0,0,IF($G49&lt;INDEX(Simulations!$J$3:$J$62,MATCH($A49,Simulations!$A$3:$A$62,0)),$D49/(INDEX(Simulations!$G$3:$G$62,MATCH($A49,Simulations!$A$3:$A$62,0))*INDEX(Simulations!$H$3:$H$62,MATCH($A49,Simulations!$A$3:$A$62,0))*IF(INDEX(Simulations!$I$3:$I$62,MATCH($A49,Simulations!$A$3:$A$62,0))&gt;0,INDEX(Simulations!$I$3:$I$62,MATCH($A49,Simulations!$A$3:$A$62,0)),1))*$G49*(PI()/2*INDEX(Simulations!$T$3:$T$62,MATCH($A49,Simulations!$A$3:$A$62,0))^2*IF(INDEX(Simulations!$I$3:$I$62,MATCH($A49,Simulations!$A$3:$A$62,0))&gt;0,SQRT(PI()/2)*INDEX(Simulations!$U$3:$U$62,MATCH($A49,Simulations!$A$3:$A$62,0)),1)),$D49/(INDEX(Simulations!$G$3:$G$62,MATCH($A49,Simulations!$A$3:$A$62,0))*INDEX(Simulations!$H$3:$H$62,MATCH($A49,Simulations!$A$3:$A$62,0))*IF(INDEX(Simulations!$I$3:$I$62,MATCH($A49,Simulations!$A$3:$A$62,0))&gt;0,INDEX(Simulations!$I$3:$I$62,MATCH($A49,Simulations!$A$3:$A$62,0)),1))*INDEX(Simulations!$J$3:$J$62,MATCH($A49,Simulations!$A$3:$A$62,0))*IF(INDEX(Simulations!$I$3:$I$62,MATCH($A49,Simulations!$A$3:$A$62,0))&gt;0,2*PI()*INDEX(Simulations!$T$3:$T$62,MATCH($A49,Simulations!$A$3:$A$62,0))^2*INDEX(Simulations!$U$3:$U$62,MATCH($A49,Simulations!$A$3:$A$62,0))/2^1.5*(2/3*LN($G49/INDEX(Simulations!$J$3:$J$62,MATCH($A49,Simulations!$A$3:$A$62,0)))^1.5+SQRT(LN($G49/INDEX(Simulations!$J$3:$J$62,MATCH($A49,Simulations!$A$3:$A$62,0))))+$G49/INDEX(Simulations!$J$3:$J$62,MATCH($A49,Simulations!$A$3:$A$62,0))*SQRT(PI())/2*ERFC(SQRT(LN($G49/INDEX(Simulations!$J$3:$J$62,MATCH($A49,Simulations!$A$3:$A$62,0)))))),PI()*INDEX(Simulations!$T$3:$T$62,MATCH($A49,Simulations!$A$3:$A$62,0))^2/2*(LN($G49/INDEX(Simulations!$J$3:$J$62,MATCH($A49,Simulations!$A$3:$A$62,0)))+1)))))</f>
        <v/>
      </c>
      <c r="T49" s="16" t="str">
        <f aca="false">IF(OR($A49="",ISNA(MATCH($A49,Simulations!$A$3:$A$62,0))),"",IF(N($H49)&lt;=0,0,IF($H49&lt;INDEX(Simulations!$J$3:$J$62,MATCH($A49,Simulations!$A$3:$A$62,0)),$D49/(INDEX(Simulations!$G$3:$G$62,MATCH($A49,Simulations!$A$3:$A$62,0))*INDEX(Simulations!$H$3:$H$62,MATCH($A49,Simulations!$A$3:$A$62,0))*IF(INDEX(Simulations!$I$3:$I$62,MATCH($A49,Simulations!$A$3:$A$62,0))&gt;0,INDEX(Simulations!$I$3:$I$62,MATCH($A49,Simulations!$A$3:$A$62,0)),1))*$H49*(PI()/2*INDEX(Simulations!$T$3:$T$62,MATCH($A49,Simulations!$A$3:$A$62,0))^2*IF(INDEX(Simulations!$I$3:$I$62,MATCH($A49,Simulations!$A$3:$A$62,0))&gt;0,SQRT(PI()/2)*INDEX(Simulations!$U$3:$U$62,MATCH($A49,Simulations!$A$3:$A$62,0)),1)),$D49/(INDEX(Simulations!$G$3:$G$62,MATCH($A49,Simulations!$A$3:$A$62,0))*INDEX(Simulations!$H$3:$H$62,MATCH($A49,Simulations!$A$3:$A$62,0))*IF(INDEX(Simulations!$I$3:$I$62,MATCH($A49,Simulations!$A$3:$A$62,0))&gt;0,INDEX(Simulations!$I$3:$I$62,MATCH($A49,Simulations!$A$3:$A$62,0)),1))*INDEX(Simulations!$J$3:$J$62,MATCH($A49,Simulations!$A$3:$A$62,0))*IF(INDEX(Simulations!$I$3:$I$62,MATCH($A49,Simulations!$A$3:$A$62,0))&gt;0,2*PI()*INDEX(Simulations!$T$3:$T$62,MATCH($A49,Simulations!$A$3:$A$62,0))^2*INDEX(Simulations!$U$3:$U$62,MATCH($A49,Simulations!$A$3:$A$62,0))/2^1.5*(2/3*LN($H49/INDEX(Simulations!$J$3:$J$62,MATCH($A49,Simulations!$A$3:$A$62,0)))^1.5+SQRT(LN($H49/INDEX(Simulations!$J$3:$J$62,MATCH($A49,Simulations!$A$3:$A$62,0))))+$H49/INDEX(Simulations!$J$3:$J$62,MATCH($A49,Simulations!$A$3:$A$62,0))*SQRT(PI())/2*ERFC(SQRT(LN($H49/INDEX(Simulations!$J$3:$J$62,MATCH($A49,Simulations!$A$3:$A$62,0)))))),PI()*INDEX(Simulations!$T$3:$T$62,MATCH($A49,Simulations!$A$3:$A$62,0))^2/2*(LN($H49/INDEX(Simulations!$J$3:$J$62,MATCH($A49,Simulations!$A$3:$A$62,0)))+1)))))</f>
        <v/>
      </c>
      <c r="U49" s="18" t="str">
        <f aca="false">IF(OR(OR($A49="",ISNA(MATCH($A49,Simulations!$A$3:$A$62,0))),N($C49)&lt;=0),"",SQRT(2*$C49*1000000/(INDEX(Simulations!$J$3:$J$62,MATCH($A49,Simulations!$A$3:$A$62,0))*1000))/INDEX(Simulations!$T$3:$T$62,MATCH($A49,Simulations!$A$3:$A$62,0)))</f>
        <v/>
      </c>
      <c r="V49" s="19" t="str">
        <f aca="false">IF($A49="","",IF(ISNA(MATCH($A49,Simulations!$A$3:$A$62,0)),"✖ Sim ID not found on the Simulations sheet",IF($P49&gt;=1,"✖ brightness &gt;= sampling frequency: completely saturated (D too small, c too large)",IF($P49&gt;0.1,"⚠ brightness &gt; 10% of the sampling frequency: focus starts to saturate",IF(N($U49)&gt;0.1,"⚠ diffusion step &gt; 10% of wr: raise the sampling frequency",IF(MAX($E49:$H49)=0,"⚠ no brightness set","✔ OK"))))))</f>
        <v/>
      </c>
    </row>
    <row r="50" customFormat="false" ht="15" hidden="false" customHeight="false" outlineLevel="0" collapsed="false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4"/>
      <c r="O50" s="18" t="str">
        <f aca="false">IF(OR($A50="",ISNA(MATCH($A50,Simulations!$A$3:$A$62,0))),"",IF(INDEX(Simulations!$I$3:$I$62,MATCH($A50,Simulations!$A$3:$A$62,0))&gt;0,$D50/(INDEX(Simulations!$G$3:$G$62,MATCH($A50,Simulations!$A$3:$A$62,0))*INDEX(Simulations!$H$3:$H$62,MATCH($A50,Simulations!$A$3:$A$62,0))*IF(INDEX(Simulations!$I$3:$I$62,MATCH($A50,Simulations!$A$3:$A$62,0))&gt;0,INDEX(Simulations!$I$3:$I$62,MATCH($A50,Simulations!$A$3:$A$62,0)),1))/1E-024/6.022E+023/0.000000001,""))</f>
        <v/>
      </c>
      <c r="P50" s="20" t="str">
        <f aca="false">IF(OR($A50="",ISNA(MATCH($A50,Simulations!$A$3:$A$62,0))),"",MAX($E50:$H50)/INDEX(Simulations!$J$3:$J$62,MATCH($A50,Simulations!$A$3:$A$62,0)))</f>
        <v/>
      </c>
      <c r="Q50" s="16" t="str">
        <f aca="false">IF(OR($A50="",ISNA(MATCH($A50,Simulations!$A$3:$A$62,0))),"",IF(N($E50)&lt;=0,0,IF($E50&lt;INDEX(Simulations!$J$3:$J$62,MATCH($A50,Simulations!$A$3:$A$62,0)),$D50/(INDEX(Simulations!$G$3:$G$62,MATCH($A50,Simulations!$A$3:$A$62,0))*INDEX(Simulations!$H$3:$H$62,MATCH($A50,Simulations!$A$3:$A$62,0))*IF(INDEX(Simulations!$I$3:$I$62,MATCH($A50,Simulations!$A$3:$A$62,0))&gt;0,INDEX(Simulations!$I$3:$I$62,MATCH($A50,Simulations!$A$3:$A$62,0)),1))*$E50*(PI()/2*INDEX(Simulations!$T$3:$T$62,MATCH($A50,Simulations!$A$3:$A$62,0))^2*IF(INDEX(Simulations!$I$3:$I$62,MATCH($A50,Simulations!$A$3:$A$62,0))&gt;0,SQRT(PI()/2)*INDEX(Simulations!$U$3:$U$62,MATCH($A50,Simulations!$A$3:$A$62,0)),1)),$D50/(INDEX(Simulations!$G$3:$G$62,MATCH($A50,Simulations!$A$3:$A$62,0))*INDEX(Simulations!$H$3:$H$62,MATCH($A50,Simulations!$A$3:$A$62,0))*IF(INDEX(Simulations!$I$3:$I$62,MATCH($A50,Simulations!$A$3:$A$62,0))&gt;0,INDEX(Simulations!$I$3:$I$62,MATCH($A50,Simulations!$A$3:$A$62,0)),1))*INDEX(Simulations!$J$3:$J$62,MATCH($A50,Simulations!$A$3:$A$62,0))*IF(INDEX(Simulations!$I$3:$I$62,MATCH($A50,Simulations!$A$3:$A$62,0))&gt;0,2*PI()*INDEX(Simulations!$T$3:$T$62,MATCH($A50,Simulations!$A$3:$A$62,0))^2*INDEX(Simulations!$U$3:$U$62,MATCH($A50,Simulations!$A$3:$A$62,0))/2^1.5*(2/3*LN($E50/INDEX(Simulations!$J$3:$J$62,MATCH($A50,Simulations!$A$3:$A$62,0)))^1.5+SQRT(LN($E50/INDEX(Simulations!$J$3:$J$62,MATCH($A50,Simulations!$A$3:$A$62,0))))+$E50/INDEX(Simulations!$J$3:$J$62,MATCH($A50,Simulations!$A$3:$A$62,0))*SQRT(PI())/2*ERFC(SQRT(LN($E50/INDEX(Simulations!$J$3:$J$62,MATCH($A50,Simulations!$A$3:$A$62,0)))))),PI()*INDEX(Simulations!$T$3:$T$62,MATCH($A50,Simulations!$A$3:$A$62,0))^2/2*(LN($E50/INDEX(Simulations!$J$3:$J$62,MATCH($A50,Simulations!$A$3:$A$62,0)))+1)))))</f>
        <v/>
      </c>
      <c r="R50" s="16" t="str">
        <f aca="false">IF(OR($A50="",ISNA(MATCH($A50,Simulations!$A$3:$A$62,0))),"",IF(N($F50)&lt;=0,0,IF($F50&lt;INDEX(Simulations!$J$3:$J$62,MATCH($A50,Simulations!$A$3:$A$62,0)),$D50/(INDEX(Simulations!$G$3:$G$62,MATCH($A50,Simulations!$A$3:$A$62,0))*INDEX(Simulations!$H$3:$H$62,MATCH($A50,Simulations!$A$3:$A$62,0))*IF(INDEX(Simulations!$I$3:$I$62,MATCH($A50,Simulations!$A$3:$A$62,0))&gt;0,INDEX(Simulations!$I$3:$I$62,MATCH($A50,Simulations!$A$3:$A$62,0)),1))*$F50*(PI()/2*INDEX(Simulations!$T$3:$T$62,MATCH($A50,Simulations!$A$3:$A$62,0))^2*IF(INDEX(Simulations!$I$3:$I$62,MATCH($A50,Simulations!$A$3:$A$62,0))&gt;0,SQRT(PI()/2)*INDEX(Simulations!$U$3:$U$62,MATCH($A50,Simulations!$A$3:$A$62,0)),1)),$D50/(INDEX(Simulations!$G$3:$G$62,MATCH($A50,Simulations!$A$3:$A$62,0))*INDEX(Simulations!$H$3:$H$62,MATCH($A50,Simulations!$A$3:$A$62,0))*IF(INDEX(Simulations!$I$3:$I$62,MATCH($A50,Simulations!$A$3:$A$62,0))&gt;0,INDEX(Simulations!$I$3:$I$62,MATCH($A50,Simulations!$A$3:$A$62,0)),1))*INDEX(Simulations!$J$3:$J$62,MATCH($A50,Simulations!$A$3:$A$62,0))*IF(INDEX(Simulations!$I$3:$I$62,MATCH($A50,Simulations!$A$3:$A$62,0))&gt;0,2*PI()*INDEX(Simulations!$T$3:$T$62,MATCH($A50,Simulations!$A$3:$A$62,0))^2*INDEX(Simulations!$U$3:$U$62,MATCH($A50,Simulations!$A$3:$A$62,0))/2^1.5*(2/3*LN($F50/INDEX(Simulations!$J$3:$J$62,MATCH($A50,Simulations!$A$3:$A$62,0)))^1.5+SQRT(LN($F50/INDEX(Simulations!$J$3:$J$62,MATCH($A50,Simulations!$A$3:$A$62,0))))+$F50/INDEX(Simulations!$J$3:$J$62,MATCH($A50,Simulations!$A$3:$A$62,0))*SQRT(PI())/2*ERFC(SQRT(LN($F50/INDEX(Simulations!$J$3:$J$62,MATCH($A50,Simulations!$A$3:$A$62,0)))))),PI()*INDEX(Simulations!$T$3:$T$62,MATCH($A50,Simulations!$A$3:$A$62,0))^2/2*(LN($F50/INDEX(Simulations!$J$3:$J$62,MATCH($A50,Simulations!$A$3:$A$62,0)))+1)))))</f>
        <v/>
      </c>
      <c r="S50" s="16" t="str">
        <f aca="false">IF(OR($A50="",ISNA(MATCH($A50,Simulations!$A$3:$A$62,0))),"",IF(N($G50)&lt;=0,0,IF($G50&lt;INDEX(Simulations!$J$3:$J$62,MATCH($A50,Simulations!$A$3:$A$62,0)),$D50/(INDEX(Simulations!$G$3:$G$62,MATCH($A50,Simulations!$A$3:$A$62,0))*INDEX(Simulations!$H$3:$H$62,MATCH($A50,Simulations!$A$3:$A$62,0))*IF(INDEX(Simulations!$I$3:$I$62,MATCH($A50,Simulations!$A$3:$A$62,0))&gt;0,INDEX(Simulations!$I$3:$I$62,MATCH($A50,Simulations!$A$3:$A$62,0)),1))*$G50*(PI()/2*INDEX(Simulations!$T$3:$T$62,MATCH($A50,Simulations!$A$3:$A$62,0))^2*IF(INDEX(Simulations!$I$3:$I$62,MATCH($A50,Simulations!$A$3:$A$62,0))&gt;0,SQRT(PI()/2)*INDEX(Simulations!$U$3:$U$62,MATCH($A50,Simulations!$A$3:$A$62,0)),1)),$D50/(INDEX(Simulations!$G$3:$G$62,MATCH($A50,Simulations!$A$3:$A$62,0))*INDEX(Simulations!$H$3:$H$62,MATCH($A50,Simulations!$A$3:$A$62,0))*IF(INDEX(Simulations!$I$3:$I$62,MATCH($A50,Simulations!$A$3:$A$62,0))&gt;0,INDEX(Simulations!$I$3:$I$62,MATCH($A50,Simulations!$A$3:$A$62,0)),1))*INDEX(Simulations!$J$3:$J$62,MATCH($A50,Simulations!$A$3:$A$62,0))*IF(INDEX(Simulations!$I$3:$I$62,MATCH($A50,Simulations!$A$3:$A$62,0))&gt;0,2*PI()*INDEX(Simulations!$T$3:$T$62,MATCH($A50,Simulations!$A$3:$A$62,0))^2*INDEX(Simulations!$U$3:$U$62,MATCH($A50,Simulations!$A$3:$A$62,0))/2^1.5*(2/3*LN($G50/INDEX(Simulations!$J$3:$J$62,MATCH($A50,Simulations!$A$3:$A$62,0)))^1.5+SQRT(LN($G50/INDEX(Simulations!$J$3:$J$62,MATCH($A50,Simulations!$A$3:$A$62,0))))+$G50/INDEX(Simulations!$J$3:$J$62,MATCH($A50,Simulations!$A$3:$A$62,0))*SQRT(PI())/2*ERFC(SQRT(LN($G50/INDEX(Simulations!$J$3:$J$62,MATCH($A50,Simulations!$A$3:$A$62,0)))))),PI()*INDEX(Simulations!$T$3:$T$62,MATCH($A50,Simulations!$A$3:$A$62,0))^2/2*(LN($G50/INDEX(Simulations!$J$3:$J$62,MATCH($A50,Simulations!$A$3:$A$62,0)))+1)))))</f>
        <v/>
      </c>
      <c r="T50" s="16" t="str">
        <f aca="false">IF(OR($A50="",ISNA(MATCH($A50,Simulations!$A$3:$A$62,0))),"",IF(N($H50)&lt;=0,0,IF($H50&lt;INDEX(Simulations!$J$3:$J$62,MATCH($A50,Simulations!$A$3:$A$62,0)),$D50/(INDEX(Simulations!$G$3:$G$62,MATCH($A50,Simulations!$A$3:$A$62,0))*INDEX(Simulations!$H$3:$H$62,MATCH($A50,Simulations!$A$3:$A$62,0))*IF(INDEX(Simulations!$I$3:$I$62,MATCH($A50,Simulations!$A$3:$A$62,0))&gt;0,INDEX(Simulations!$I$3:$I$62,MATCH($A50,Simulations!$A$3:$A$62,0)),1))*$H50*(PI()/2*INDEX(Simulations!$T$3:$T$62,MATCH($A50,Simulations!$A$3:$A$62,0))^2*IF(INDEX(Simulations!$I$3:$I$62,MATCH($A50,Simulations!$A$3:$A$62,0))&gt;0,SQRT(PI()/2)*INDEX(Simulations!$U$3:$U$62,MATCH($A50,Simulations!$A$3:$A$62,0)),1)),$D50/(INDEX(Simulations!$G$3:$G$62,MATCH($A50,Simulations!$A$3:$A$62,0))*INDEX(Simulations!$H$3:$H$62,MATCH($A50,Simulations!$A$3:$A$62,0))*IF(INDEX(Simulations!$I$3:$I$62,MATCH($A50,Simulations!$A$3:$A$62,0))&gt;0,INDEX(Simulations!$I$3:$I$62,MATCH($A50,Simulations!$A$3:$A$62,0)),1))*INDEX(Simulations!$J$3:$J$62,MATCH($A50,Simulations!$A$3:$A$62,0))*IF(INDEX(Simulations!$I$3:$I$62,MATCH($A50,Simulations!$A$3:$A$62,0))&gt;0,2*PI()*INDEX(Simulations!$T$3:$T$62,MATCH($A50,Simulations!$A$3:$A$62,0))^2*INDEX(Simulations!$U$3:$U$62,MATCH($A50,Simulations!$A$3:$A$62,0))/2^1.5*(2/3*LN($H50/INDEX(Simulations!$J$3:$J$62,MATCH($A50,Simulations!$A$3:$A$62,0)))^1.5+SQRT(LN($H50/INDEX(Simulations!$J$3:$J$62,MATCH($A50,Simulations!$A$3:$A$62,0))))+$H50/INDEX(Simulations!$J$3:$J$62,MATCH($A50,Simulations!$A$3:$A$62,0))*SQRT(PI())/2*ERFC(SQRT(LN($H50/INDEX(Simulations!$J$3:$J$62,MATCH($A50,Simulations!$A$3:$A$62,0)))))),PI()*INDEX(Simulations!$T$3:$T$62,MATCH($A50,Simulations!$A$3:$A$62,0))^2/2*(LN($H50/INDEX(Simulations!$J$3:$J$62,MATCH($A50,Simulations!$A$3:$A$62,0)))+1)))))</f>
        <v/>
      </c>
      <c r="U50" s="18" t="str">
        <f aca="false">IF(OR(OR($A50="",ISNA(MATCH($A50,Simulations!$A$3:$A$62,0))),N($C50)&lt;=0),"",SQRT(2*$C50*1000000/(INDEX(Simulations!$J$3:$J$62,MATCH($A50,Simulations!$A$3:$A$62,0))*1000))/INDEX(Simulations!$T$3:$T$62,MATCH($A50,Simulations!$A$3:$A$62,0)))</f>
        <v/>
      </c>
      <c r="V50" s="19" t="str">
        <f aca="false">IF($A50="","",IF(ISNA(MATCH($A50,Simulations!$A$3:$A$62,0)),"✖ Sim ID not found on the Simulations sheet",IF($P50&gt;=1,"✖ brightness &gt;= sampling frequency: completely saturated (D too small, c too large)",IF($P50&gt;0.1,"⚠ brightness &gt; 10% of the sampling frequency: focus starts to saturate",IF(N($U50)&gt;0.1,"⚠ diffusion step &gt; 10% of wr: raise the sampling frequency",IF(MAX($E50:$H50)=0,"⚠ no brightness set","✔ OK"))))))</f>
        <v/>
      </c>
    </row>
    <row r="51" customFormat="false" ht="15" hidden="false" customHeight="false" outlineLevel="0" collapsed="false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4"/>
      <c r="O51" s="18" t="str">
        <f aca="false">IF(OR($A51="",ISNA(MATCH($A51,Simulations!$A$3:$A$62,0))),"",IF(INDEX(Simulations!$I$3:$I$62,MATCH($A51,Simulations!$A$3:$A$62,0))&gt;0,$D51/(INDEX(Simulations!$G$3:$G$62,MATCH($A51,Simulations!$A$3:$A$62,0))*INDEX(Simulations!$H$3:$H$62,MATCH($A51,Simulations!$A$3:$A$62,0))*IF(INDEX(Simulations!$I$3:$I$62,MATCH($A51,Simulations!$A$3:$A$62,0))&gt;0,INDEX(Simulations!$I$3:$I$62,MATCH($A51,Simulations!$A$3:$A$62,0)),1))/1E-024/6.022E+023/0.000000001,""))</f>
        <v/>
      </c>
      <c r="P51" s="20" t="str">
        <f aca="false">IF(OR($A51="",ISNA(MATCH($A51,Simulations!$A$3:$A$62,0))),"",MAX($E51:$H51)/INDEX(Simulations!$J$3:$J$62,MATCH($A51,Simulations!$A$3:$A$62,0)))</f>
        <v/>
      </c>
      <c r="Q51" s="16" t="str">
        <f aca="false">IF(OR($A51="",ISNA(MATCH($A51,Simulations!$A$3:$A$62,0))),"",IF(N($E51)&lt;=0,0,IF($E51&lt;INDEX(Simulations!$J$3:$J$62,MATCH($A51,Simulations!$A$3:$A$62,0)),$D51/(INDEX(Simulations!$G$3:$G$62,MATCH($A51,Simulations!$A$3:$A$62,0))*INDEX(Simulations!$H$3:$H$62,MATCH($A51,Simulations!$A$3:$A$62,0))*IF(INDEX(Simulations!$I$3:$I$62,MATCH($A51,Simulations!$A$3:$A$62,0))&gt;0,INDEX(Simulations!$I$3:$I$62,MATCH($A51,Simulations!$A$3:$A$62,0)),1))*$E51*(PI()/2*INDEX(Simulations!$T$3:$T$62,MATCH($A51,Simulations!$A$3:$A$62,0))^2*IF(INDEX(Simulations!$I$3:$I$62,MATCH($A51,Simulations!$A$3:$A$62,0))&gt;0,SQRT(PI()/2)*INDEX(Simulations!$U$3:$U$62,MATCH($A51,Simulations!$A$3:$A$62,0)),1)),$D51/(INDEX(Simulations!$G$3:$G$62,MATCH($A51,Simulations!$A$3:$A$62,0))*INDEX(Simulations!$H$3:$H$62,MATCH($A51,Simulations!$A$3:$A$62,0))*IF(INDEX(Simulations!$I$3:$I$62,MATCH($A51,Simulations!$A$3:$A$62,0))&gt;0,INDEX(Simulations!$I$3:$I$62,MATCH($A51,Simulations!$A$3:$A$62,0)),1))*INDEX(Simulations!$J$3:$J$62,MATCH($A51,Simulations!$A$3:$A$62,0))*IF(INDEX(Simulations!$I$3:$I$62,MATCH($A51,Simulations!$A$3:$A$62,0))&gt;0,2*PI()*INDEX(Simulations!$T$3:$T$62,MATCH($A51,Simulations!$A$3:$A$62,0))^2*INDEX(Simulations!$U$3:$U$62,MATCH($A51,Simulations!$A$3:$A$62,0))/2^1.5*(2/3*LN($E51/INDEX(Simulations!$J$3:$J$62,MATCH($A51,Simulations!$A$3:$A$62,0)))^1.5+SQRT(LN($E51/INDEX(Simulations!$J$3:$J$62,MATCH($A51,Simulations!$A$3:$A$62,0))))+$E51/INDEX(Simulations!$J$3:$J$62,MATCH($A51,Simulations!$A$3:$A$62,0))*SQRT(PI())/2*ERFC(SQRT(LN($E51/INDEX(Simulations!$J$3:$J$62,MATCH($A51,Simulations!$A$3:$A$62,0)))))),PI()*INDEX(Simulations!$T$3:$T$62,MATCH($A51,Simulations!$A$3:$A$62,0))^2/2*(LN($E51/INDEX(Simulations!$J$3:$J$62,MATCH($A51,Simulations!$A$3:$A$62,0)))+1)))))</f>
        <v/>
      </c>
      <c r="R51" s="16" t="str">
        <f aca="false">IF(OR($A51="",ISNA(MATCH($A51,Simulations!$A$3:$A$62,0))),"",IF(N($F51)&lt;=0,0,IF($F51&lt;INDEX(Simulations!$J$3:$J$62,MATCH($A51,Simulations!$A$3:$A$62,0)),$D51/(INDEX(Simulations!$G$3:$G$62,MATCH($A51,Simulations!$A$3:$A$62,0))*INDEX(Simulations!$H$3:$H$62,MATCH($A51,Simulations!$A$3:$A$62,0))*IF(INDEX(Simulations!$I$3:$I$62,MATCH($A51,Simulations!$A$3:$A$62,0))&gt;0,INDEX(Simulations!$I$3:$I$62,MATCH($A51,Simulations!$A$3:$A$62,0)),1))*$F51*(PI()/2*INDEX(Simulations!$T$3:$T$62,MATCH($A51,Simulations!$A$3:$A$62,0))^2*IF(INDEX(Simulations!$I$3:$I$62,MATCH($A51,Simulations!$A$3:$A$62,0))&gt;0,SQRT(PI()/2)*INDEX(Simulations!$U$3:$U$62,MATCH($A51,Simulations!$A$3:$A$62,0)),1)),$D51/(INDEX(Simulations!$G$3:$G$62,MATCH($A51,Simulations!$A$3:$A$62,0))*INDEX(Simulations!$H$3:$H$62,MATCH($A51,Simulations!$A$3:$A$62,0))*IF(INDEX(Simulations!$I$3:$I$62,MATCH($A51,Simulations!$A$3:$A$62,0))&gt;0,INDEX(Simulations!$I$3:$I$62,MATCH($A51,Simulations!$A$3:$A$62,0)),1))*INDEX(Simulations!$J$3:$J$62,MATCH($A51,Simulations!$A$3:$A$62,0))*IF(INDEX(Simulations!$I$3:$I$62,MATCH($A51,Simulations!$A$3:$A$62,0))&gt;0,2*PI()*INDEX(Simulations!$T$3:$T$62,MATCH($A51,Simulations!$A$3:$A$62,0))^2*INDEX(Simulations!$U$3:$U$62,MATCH($A51,Simulations!$A$3:$A$62,0))/2^1.5*(2/3*LN($F51/INDEX(Simulations!$J$3:$J$62,MATCH($A51,Simulations!$A$3:$A$62,0)))^1.5+SQRT(LN($F51/INDEX(Simulations!$J$3:$J$62,MATCH($A51,Simulations!$A$3:$A$62,0))))+$F51/INDEX(Simulations!$J$3:$J$62,MATCH($A51,Simulations!$A$3:$A$62,0))*SQRT(PI())/2*ERFC(SQRT(LN($F51/INDEX(Simulations!$J$3:$J$62,MATCH($A51,Simulations!$A$3:$A$62,0)))))),PI()*INDEX(Simulations!$T$3:$T$62,MATCH($A51,Simulations!$A$3:$A$62,0))^2/2*(LN($F51/INDEX(Simulations!$J$3:$J$62,MATCH($A51,Simulations!$A$3:$A$62,0)))+1)))))</f>
        <v/>
      </c>
      <c r="S51" s="16" t="str">
        <f aca="false">IF(OR($A51="",ISNA(MATCH($A51,Simulations!$A$3:$A$62,0))),"",IF(N($G51)&lt;=0,0,IF($G51&lt;INDEX(Simulations!$J$3:$J$62,MATCH($A51,Simulations!$A$3:$A$62,0)),$D51/(INDEX(Simulations!$G$3:$G$62,MATCH($A51,Simulations!$A$3:$A$62,0))*INDEX(Simulations!$H$3:$H$62,MATCH($A51,Simulations!$A$3:$A$62,0))*IF(INDEX(Simulations!$I$3:$I$62,MATCH($A51,Simulations!$A$3:$A$62,0))&gt;0,INDEX(Simulations!$I$3:$I$62,MATCH($A51,Simulations!$A$3:$A$62,0)),1))*$G51*(PI()/2*INDEX(Simulations!$T$3:$T$62,MATCH($A51,Simulations!$A$3:$A$62,0))^2*IF(INDEX(Simulations!$I$3:$I$62,MATCH($A51,Simulations!$A$3:$A$62,0))&gt;0,SQRT(PI()/2)*INDEX(Simulations!$U$3:$U$62,MATCH($A51,Simulations!$A$3:$A$62,0)),1)),$D51/(INDEX(Simulations!$G$3:$G$62,MATCH($A51,Simulations!$A$3:$A$62,0))*INDEX(Simulations!$H$3:$H$62,MATCH($A51,Simulations!$A$3:$A$62,0))*IF(INDEX(Simulations!$I$3:$I$62,MATCH($A51,Simulations!$A$3:$A$62,0))&gt;0,INDEX(Simulations!$I$3:$I$62,MATCH($A51,Simulations!$A$3:$A$62,0)),1))*INDEX(Simulations!$J$3:$J$62,MATCH($A51,Simulations!$A$3:$A$62,0))*IF(INDEX(Simulations!$I$3:$I$62,MATCH($A51,Simulations!$A$3:$A$62,0))&gt;0,2*PI()*INDEX(Simulations!$T$3:$T$62,MATCH($A51,Simulations!$A$3:$A$62,0))^2*INDEX(Simulations!$U$3:$U$62,MATCH($A51,Simulations!$A$3:$A$62,0))/2^1.5*(2/3*LN($G51/INDEX(Simulations!$J$3:$J$62,MATCH($A51,Simulations!$A$3:$A$62,0)))^1.5+SQRT(LN($G51/INDEX(Simulations!$J$3:$J$62,MATCH($A51,Simulations!$A$3:$A$62,0))))+$G51/INDEX(Simulations!$J$3:$J$62,MATCH($A51,Simulations!$A$3:$A$62,0))*SQRT(PI())/2*ERFC(SQRT(LN($G51/INDEX(Simulations!$J$3:$J$62,MATCH($A51,Simulations!$A$3:$A$62,0)))))),PI()*INDEX(Simulations!$T$3:$T$62,MATCH($A51,Simulations!$A$3:$A$62,0))^2/2*(LN($G51/INDEX(Simulations!$J$3:$J$62,MATCH($A51,Simulations!$A$3:$A$62,0)))+1)))))</f>
        <v/>
      </c>
      <c r="T51" s="16" t="str">
        <f aca="false">IF(OR($A51="",ISNA(MATCH($A51,Simulations!$A$3:$A$62,0))),"",IF(N($H51)&lt;=0,0,IF($H51&lt;INDEX(Simulations!$J$3:$J$62,MATCH($A51,Simulations!$A$3:$A$62,0)),$D51/(INDEX(Simulations!$G$3:$G$62,MATCH($A51,Simulations!$A$3:$A$62,0))*INDEX(Simulations!$H$3:$H$62,MATCH($A51,Simulations!$A$3:$A$62,0))*IF(INDEX(Simulations!$I$3:$I$62,MATCH($A51,Simulations!$A$3:$A$62,0))&gt;0,INDEX(Simulations!$I$3:$I$62,MATCH($A51,Simulations!$A$3:$A$62,0)),1))*$H51*(PI()/2*INDEX(Simulations!$T$3:$T$62,MATCH($A51,Simulations!$A$3:$A$62,0))^2*IF(INDEX(Simulations!$I$3:$I$62,MATCH($A51,Simulations!$A$3:$A$62,0))&gt;0,SQRT(PI()/2)*INDEX(Simulations!$U$3:$U$62,MATCH($A51,Simulations!$A$3:$A$62,0)),1)),$D51/(INDEX(Simulations!$G$3:$G$62,MATCH($A51,Simulations!$A$3:$A$62,0))*INDEX(Simulations!$H$3:$H$62,MATCH($A51,Simulations!$A$3:$A$62,0))*IF(INDEX(Simulations!$I$3:$I$62,MATCH($A51,Simulations!$A$3:$A$62,0))&gt;0,INDEX(Simulations!$I$3:$I$62,MATCH($A51,Simulations!$A$3:$A$62,0)),1))*INDEX(Simulations!$J$3:$J$62,MATCH($A51,Simulations!$A$3:$A$62,0))*IF(INDEX(Simulations!$I$3:$I$62,MATCH($A51,Simulations!$A$3:$A$62,0))&gt;0,2*PI()*INDEX(Simulations!$T$3:$T$62,MATCH($A51,Simulations!$A$3:$A$62,0))^2*INDEX(Simulations!$U$3:$U$62,MATCH($A51,Simulations!$A$3:$A$62,0))/2^1.5*(2/3*LN($H51/INDEX(Simulations!$J$3:$J$62,MATCH($A51,Simulations!$A$3:$A$62,0)))^1.5+SQRT(LN($H51/INDEX(Simulations!$J$3:$J$62,MATCH($A51,Simulations!$A$3:$A$62,0))))+$H51/INDEX(Simulations!$J$3:$J$62,MATCH($A51,Simulations!$A$3:$A$62,0))*SQRT(PI())/2*ERFC(SQRT(LN($H51/INDEX(Simulations!$J$3:$J$62,MATCH($A51,Simulations!$A$3:$A$62,0)))))),PI()*INDEX(Simulations!$T$3:$T$62,MATCH($A51,Simulations!$A$3:$A$62,0))^2/2*(LN($H51/INDEX(Simulations!$J$3:$J$62,MATCH($A51,Simulations!$A$3:$A$62,0)))+1)))))</f>
        <v/>
      </c>
      <c r="U51" s="18" t="str">
        <f aca="false">IF(OR(OR($A51="",ISNA(MATCH($A51,Simulations!$A$3:$A$62,0))),N($C51)&lt;=0),"",SQRT(2*$C51*1000000/(INDEX(Simulations!$J$3:$J$62,MATCH($A51,Simulations!$A$3:$A$62,0))*1000))/INDEX(Simulations!$T$3:$T$62,MATCH($A51,Simulations!$A$3:$A$62,0)))</f>
        <v/>
      </c>
      <c r="V51" s="19" t="str">
        <f aca="false">IF($A51="","",IF(ISNA(MATCH($A51,Simulations!$A$3:$A$62,0)),"✖ Sim ID not found on the Simulations sheet",IF($P51&gt;=1,"✖ brightness &gt;= sampling frequency: completely saturated (D too small, c too large)",IF($P51&gt;0.1,"⚠ brightness &gt; 10% of the sampling frequency: focus starts to saturate",IF(N($U51)&gt;0.1,"⚠ diffusion step &gt; 10% of wr: raise the sampling frequency",IF(MAX($E51:$H51)=0,"⚠ no brightness set","✔ OK"))))))</f>
        <v/>
      </c>
    </row>
    <row r="52" customFormat="false" ht="15" hidden="false" customHeight="false" outlineLevel="0" collapsed="false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4"/>
      <c r="O52" s="18" t="str">
        <f aca="false">IF(OR($A52="",ISNA(MATCH($A52,Simulations!$A$3:$A$62,0))),"",IF(INDEX(Simulations!$I$3:$I$62,MATCH($A52,Simulations!$A$3:$A$62,0))&gt;0,$D52/(INDEX(Simulations!$G$3:$G$62,MATCH($A52,Simulations!$A$3:$A$62,0))*INDEX(Simulations!$H$3:$H$62,MATCH($A52,Simulations!$A$3:$A$62,0))*IF(INDEX(Simulations!$I$3:$I$62,MATCH($A52,Simulations!$A$3:$A$62,0))&gt;0,INDEX(Simulations!$I$3:$I$62,MATCH($A52,Simulations!$A$3:$A$62,0)),1))/1E-024/6.022E+023/0.000000001,""))</f>
        <v/>
      </c>
      <c r="P52" s="20" t="str">
        <f aca="false">IF(OR($A52="",ISNA(MATCH($A52,Simulations!$A$3:$A$62,0))),"",MAX($E52:$H52)/INDEX(Simulations!$J$3:$J$62,MATCH($A52,Simulations!$A$3:$A$62,0)))</f>
        <v/>
      </c>
      <c r="Q52" s="16" t="str">
        <f aca="false">IF(OR($A52="",ISNA(MATCH($A52,Simulations!$A$3:$A$62,0))),"",IF(N($E52)&lt;=0,0,IF($E52&lt;INDEX(Simulations!$J$3:$J$62,MATCH($A52,Simulations!$A$3:$A$62,0)),$D52/(INDEX(Simulations!$G$3:$G$62,MATCH($A52,Simulations!$A$3:$A$62,0))*INDEX(Simulations!$H$3:$H$62,MATCH($A52,Simulations!$A$3:$A$62,0))*IF(INDEX(Simulations!$I$3:$I$62,MATCH($A52,Simulations!$A$3:$A$62,0))&gt;0,INDEX(Simulations!$I$3:$I$62,MATCH($A52,Simulations!$A$3:$A$62,0)),1))*$E52*(PI()/2*INDEX(Simulations!$T$3:$T$62,MATCH($A52,Simulations!$A$3:$A$62,0))^2*IF(INDEX(Simulations!$I$3:$I$62,MATCH($A52,Simulations!$A$3:$A$62,0))&gt;0,SQRT(PI()/2)*INDEX(Simulations!$U$3:$U$62,MATCH($A52,Simulations!$A$3:$A$62,0)),1)),$D52/(INDEX(Simulations!$G$3:$G$62,MATCH($A52,Simulations!$A$3:$A$62,0))*INDEX(Simulations!$H$3:$H$62,MATCH($A52,Simulations!$A$3:$A$62,0))*IF(INDEX(Simulations!$I$3:$I$62,MATCH($A52,Simulations!$A$3:$A$62,0))&gt;0,INDEX(Simulations!$I$3:$I$62,MATCH($A52,Simulations!$A$3:$A$62,0)),1))*INDEX(Simulations!$J$3:$J$62,MATCH($A52,Simulations!$A$3:$A$62,0))*IF(INDEX(Simulations!$I$3:$I$62,MATCH($A52,Simulations!$A$3:$A$62,0))&gt;0,2*PI()*INDEX(Simulations!$T$3:$T$62,MATCH($A52,Simulations!$A$3:$A$62,0))^2*INDEX(Simulations!$U$3:$U$62,MATCH($A52,Simulations!$A$3:$A$62,0))/2^1.5*(2/3*LN($E52/INDEX(Simulations!$J$3:$J$62,MATCH($A52,Simulations!$A$3:$A$62,0)))^1.5+SQRT(LN($E52/INDEX(Simulations!$J$3:$J$62,MATCH($A52,Simulations!$A$3:$A$62,0))))+$E52/INDEX(Simulations!$J$3:$J$62,MATCH($A52,Simulations!$A$3:$A$62,0))*SQRT(PI())/2*ERFC(SQRT(LN($E52/INDEX(Simulations!$J$3:$J$62,MATCH($A52,Simulations!$A$3:$A$62,0)))))),PI()*INDEX(Simulations!$T$3:$T$62,MATCH($A52,Simulations!$A$3:$A$62,0))^2/2*(LN($E52/INDEX(Simulations!$J$3:$J$62,MATCH($A52,Simulations!$A$3:$A$62,0)))+1)))))</f>
        <v/>
      </c>
      <c r="R52" s="16" t="str">
        <f aca="false">IF(OR($A52="",ISNA(MATCH($A52,Simulations!$A$3:$A$62,0))),"",IF(N($F52)&lt;=0,0,IF($F52&lt;INDEX(Simulations!$J$3:$J$62,MATCH($A52,Simulations!$A$3:$A$62,0)),$D52/(INDEX(Simulations!$G$3:$G$62,MATCH($A52,Simulations!$A$3:$A$62,0))*INDEX(Simulations!$H$3:$H$62,MATCH($A52,Simulations!$A$3:$A$62,0))*IF(INDEX(Simulations!$I$3:$I$62,MATCH($A52,Simulations!$A$3:$A$62,0))&gt;0,INDEX(Simulations!$I$3:$I$62,MATCH($A52,Simulations!$A$3:$A$62,0)),1))*$F52*(PI()/2*INDEX(Simulations!$T$3:$T$62,MATCH($A52,Simulations!$A$3:$A$62,0))^2*IF(INDEX(Simulations!$I$3:$I$62,MATCH($A52,Simulations!$A$3:$A$62,0))&gt;0,SQRT(PI()/2)*INDEX(Simulations!$U$3:$U$62,MATCH($A52,Simulations!$A$3:$A$62,0)),1)),$D52/(INDEX(Simulations!$G$3:$G$62,MATCH($A52,Simulations!$A$3:$A$62,0))*INDEX(Simulations!$H$3:$H$62,MATCH($A52,Simulations!$A$3:$A$62,0))*IF(INDEX(Simulations!$I$3:$I$62,MATCH($A52,Simulations!$A$3:$A$62,0))&gt;0,INDEX(Simulations!$I$3:$I$62,MATCH($A52,Simulations!$A$3:$A$62,0)),1))*INDEX(Simulations!$J$3:$J$62,MATCH($A52,Simulations!$A$3:$A$62,0))*IF(INDEX(Simulations!$I$3:$I$62,MATCH($A52,Simulations!$A$3:$A$62,0))&gt;0,2*PI()*INDEX(Simulations!$T$3:$T$62,MATCH($A52,Simulations!$A$3:$A$62,0))^2*INDEX(Simulations!$U$3:$U$62,MATCH($A52,Simulations!$A$3:$A$62,0))/2^1.5*(2/3*LN($F52/INDEX(Simulations!$J$3:$J$62,MATCH($A52,Simulations!$A$3:$A$62,0)))^1.5+SQRT(LN($F52/INDEX(Simulations!$J$3:$J$62,MATCH($A52,Simulations!$A$3:$A$62,0))))+$F52/INDEX(Simulations!$J$3:$J$62,MATCH($A52,Simulations!$A$3:$A$62,0))*SQRT(PI())/2*ERFC(SQRT(LN($F52/INDEX(Simulations!$J$3:$J$62,MATCH($A52,Simulations!$A$3:$A$62,0)))))),PI()*INDEX(Simulations!$T$3:$T$62,MATCH($A52,Simulations!$A$3:$A$62,0))^2/2*(LN($F52/INDEX(Simulations!$J$3:$J$62,MATCH($A52,Simulations!$A$3:$A$62,0)))+1)))))</f>
        <v/>
      </c>
      <c r="S52" s="16" t="str">
        <f aca="false">IF(OR($A52="",ISNA(MATCH($A52,Simulations!$A$3:$A$62,0))),"",IF(N($G52)&lt;=0,0,IF($G52&lt;INDEX(Simulations!$J$3:$J$62,MATCH($A52,Simulations!$A$3:$A$62,0)),$D52/(INDEX(Simulations!$G$3:$G$62,MATCH($A52,Simulations!$A$3:$A$62,0))*INDEX(Simulations!$H$3:$H$62,MATCH($A52,Simulations!$A$3:$A$62,0))*IF(INDEX(Simulations!$I$3:$I$62,MATCH($A52,Simulations!$A$3:$A$62,0))&gt;0,INDEX(Simulations!$I$3:$I$62,MATCH($A52,Simulations!$A$3:$A$62,0)),1))*$G52*(PI()/2*INDEX(Simulations!$T$3:$T$62,MATCH($A52,Simulations!$A$3:$A$62,0))^2*IF(INDEX(Simulations!$I$3:$I$62,MATCH($A52,Simulations!$A$3:$A$62,0))&gt;0,SQRT(PI()/2)*INDEX(Simulations!$U$3:$U$62,MATCH($A52,Simulations!$A$3:$A$62,0)),1)),$D52/(INDEX(Simulations!$G$3:$G$62,MATCH($A52,Simulations!$A$3:$A$62,0))*INDEX(Simulations!$H$3:$H$62,MATCH($A52,Simulations!$A$3:$A$62,0))*IF(INDEX(Simulations!$I$3:$I$62,MATCH($A52,Simulations!$A$3:$A$62,0))&gt;0,INDEX(Simulations!$I$3:$I$62,MATCH($A52,Simulations!$A$3:$A$62,0)),1))*INDEX(Simulations!$J$3:$J$62,MATCH($A52,Simulations!$A$3:$A$62,0))*IF(INDEX(Simulations!$I$3:$I$62,MATCH($A52,Simulations!$A$3:$A$62,0))&gt;0,2*PI()*INDEX(Simulations!$T$3:$T$62,MATCH($A52,Simulations!$A$3:$A$62,0))^2*INDEX(Simulations!$U$3:$U$62,MATCH($A52,Simulations!$A$3:$A$62,0))/2^1.5*(2/3*LN($G52/INDEX(Simulations!$J$3:$J$62,MATCH($A52,Simulations!$A$3:$A$62,0)))^1.5+SQRT(LN($G52/INDEX(Simulations!$J$3:$J$62,MATCH($A52,Simulations!$A$3:$A$62,0))))+$G52/INDEX(Simulations!$J$3:$J$62,MATCH($A52,Simulations!$A$3:$A$62,0))*SQRT(PI())/2*ERFC(SQRT(LN($G52/INDEX(Simulations!$J$3:$J$62,MATCH($A52,Simulations!$A$3:$A$62,0)))))),PI()*INDEX(Simulations!$T$3:$T$62,MATCH($A52,Simulations!$A$3:$A$62,0))^2/2*(LN($G52/INDEX(Simulations!$J$3:$J$62,MATCH($A52,Simulations!$A$3:$A$62,0)))+1)))))</f>
        <v/>
      </c>
      <c r="T52" s="16" t="str">
        <f aca="false">IF(OR($A52="",ISNA(MATCH($A52,Simulations!$A$3:$A$62,0))),"",IF(N($H52)&lt;=0,0,IF($H52&lt;INDEX(Simulations!$J$3:$J$62,MATCH($A52,Simulations!$A$3:$A$62,0)),$D52/(INDEX(Simulations!$G$3:$G$62,MATCH($A52,Simulations!$A$3:$A$62,0))*INDEX(Simulations!$H$3:$H$62,MATCH($A52,Simulations!$A$3:$A$62,0))*IF(INDEX(Simulations!$I$3:$I$62,MATCH($A52,Simulations!$A$3:$A$62,0))&gt;0,INDEX(Simulations!$I$3:$I$62,MATCH($A52,Simulations!$A$3:$A$62,0)),1))*$H52*(PI()/2*INDEX(Simulations!$T$3:$T$62,MATCH($A52,Simulations!$A$3:$A$62,0))^2*IF(INDEX(Simulations!$I$3:$I$62,MATCH($A52,Simulations!$A$3:$A$62,0))&gt;0,SQRT(PI()/2)*INDEX(Simulations!$U$3:$U$62,MATCH($A52,Simulations!$A$3:$A$62,0)),1)),$D52/(INDEX(Simulations!$G$3:$G$62,MATCH($A52,Simulations!$A$3:$A$62,0))*INDEX(Simulations!$H$3:$H$62,MATCH($A52,Simulations!$A$3:$A$62,0))*IF(INDEX(Simulations!$I$3:$I$62,MATCH($A52,Simulations!$A$3:$A$62,0))&gt;0,INDEX(Simulations!$I$3:$I$62,MATCH($A52,Simulations!$A$3:$A$62,0)),1))*INDEX(Simulations!$J$3:$J$62,MATCH($A52,Simulations!$A$3:$A$62,0))*IF(INDEX(Simulations!$I$3:$I$62,MATCH($A52,Simulations!$A$3:$A$62,0))&gt;0,2*PI()*INDEX(Simulations!$T$3:$T$62,MATCH($A52,Simulations!$A$3:$A$62,0))^2*INDEX(Simulations!$U$3:$U$62,MATCH($A52,Simulations!$A$3:$A$62,0))/2^1.5*(2/3*LN($H52/INDEX(Simulations!$J$3:$J$62,MATCH($A52,Simulations!$A$3:$A$62,0)))^1.5+SQRT(LN($H52/INDEX(Simulations!$J$3:$J$62,MATCH($A52,Simulations!$A$3:$A$62,0))))+$H52/INDEX(Simulations!$J$3:$J$62,MATCH($A52,Simulations!$A$3:$A$62,0))*SQRT(PI())/2*ERFC(SQRT(LN($H52/INDEX(Simulations!$J$3:$J$62,MATCH($A52,Simulations!$A$3:$A$62,0)))))),PI()*INDEX(Simulations!$T$3:$T$62,MATCH($A52,Simulations!$A$3:$A$62,0))^2/2*(LN($H52/INDEX(Simulations!$J$3:$J$62,MATCH($A52,Simulations!$A$3:$A$62,0)))+1)))))</f>
        <v/>
      </c>
      <c r="U52" s="18" t="str">
        <f aca="false">IF(OR(OR($A52="",ISNA(MATCH($A52,Simulations!$A$3:$A$62,0))),N($C52)&lt;=0),"",SQRT(2*$C52*1000000/(INDEX(Simulations!$J$3:$J$62,MATCH($A52,Simulations!$A$3:$A$62,0))*1000))/INDEX(Simulations!$T$3:$T$62,MATCH($A52,Simulations!$A$3:$A$62,0)))</f>
        <v/>
      </c>
      <c r="V52" s="19" t="str">
        <f aca="false">IF($A52="","",IF(ISNA(MATCH($A52,Simulations!$A$3:$A$62,0)),"✖ Sim ID not found on the Simulations sheet",IF($P52&gt;=1,"✖ brightness &gt;= sampling frequency: completely saturated (D too small, c too large)",IF($P52&gt;0.1,"⚠ brightness &gt; 10% of the sampling frequency: focus starts to saturate",IF(N($U52)&gt;0.1,"⚠ diffusion step &gt; 10% of wr: raise the sampling frequency",IF(MAX($E52:$H52)=0,"⚠ no brightness set","✔ OK"))))))</f>
        <v/>
      </c>
    </row>
    <row r="53" customFormat="false" ht="15" hidden="false" customHeight="false" outlineLevel="0" collapsed="false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4"/>
      <c r="O53" s="18" t="str">
        <f aca="false">IF(OR($A53="",ISNA(MATCH($A53,Simulations!$A$3:$A$62,0))),"",IF(INDEX(Simulations!$I$3:$I$62,MATCH($A53,Simulations!$A$3:$A$62,0))&gt;0,$D53/(INDEX(Simulations!$G$3:$G$62,MATCH($A53,Simulations!$A$3:$A$62,0))*INDEX(Simulations!$H$3:$H$62,MATCH($A53,Simulations!$A$3:$A$62,0))*IF(INDEX(Simulations!$I$3:$I$62,MATCH($A53,Simulations!$A$3:$A$62,0))&gt;0,INDEX(Simulations!$I$3:$I$62,MATCH($A53,Simulations!$A$3:$A$62,0)),1))/1E-024/6.022E+023/0.000000001,""))</f>
        <v/>
      </c>
      <c r="P53" s="20" t="str">
        <f aca="false">IF(OR($A53="",ISNA(MATCH($A53,Simulations!$A$3:$A$62,0))),"",MAX($E53:$H53)/INDEX(Simulations!$J$3:$J$62,MATCH($A53,Simulations!$A$3:$A$62,0)))</f>
        <v/>
      </c>
      <c r="Q53" s="16" t="str">
        <f aca="false">IF(OR($A53="",ISNA(MATCH($A53,Simulations!$A$3:$A$62,0))),"",IF(N($E53)&lt;=0,0,IF($E53&lt;INDEX(Simulations!$J$3:$J$62,MATCH($A53,Simulations!$A$3:$A$62,0)),$D53/(INDEX(Simulations!$G$3:$G$62,MATCH($A53,Simulations!$A$3:$A$62,0))*INDEX(Simulations!$H$3:$H$62,MATCH($A53,Simulations!$A$3:$A$62,0))*IF(INDEX(Simulations!$I$3:$I$62,MATCH($A53,Simulations!$A$3:$A$62,0))&gt;0,INDEX(Simulations!$I$3:$I$62,MATCH($A53,Simulations!$A$3:$A$62,0)),1))*$E53*(PI()/2*INDEX(Simulations!$T$3:$T$62,MATCH($A53,Simulations!$A$3:$A$62,0))^2*IF(INDEX(Simulations!$I$3:$I$62,MATCH($A53,Simulations!$A$3:$A$62,0))&gt;0,SQRT(PI()/2)*INDEX(Simulations!$U$3:$U$62,MATCH($A53,Simulations!$A$3:$A$62,0)),1)),$D53/(INDEX(Simulations!$G$3:$G$62,MATCH($A53,Simulations!$A$3:$A$62,0))*INDEX(Simulations!$H$3:$H$62,MATCH($A53,Simulations!$A$3:$A$62,0))*IF(INDEX(Simulations!$I$3:$I$62,MATCH($A53,Simulations!$A$3:$A$62,0))&gt;0,INDEX(Simulations!$I$3:$I$62,MATCH($A53,Simulations!$A$3:$A$62,0)),1))*INDEX(Simulations!$J$3:$J$62,MATCH($A53,Simulations!$A$3:$A$62,0))*IF(INDEX(Simulations!$I$3:$I$62,MATCH($A53,Simulations!$A$3:$A$62,0))&gt;0,2*PI()*INDEX(Simulations!$T$3:$T$62,MATCH($A53,Simulations!$A$3:$A$62,0))^2*INDEX(Simulations!$U$3:$U$62,MATCH($A53,Simulations!$A$3:$A$62,0))/2^1.5*(2/3*LN($E53/INDEX(Simulations!$J$3:$J$62,MATCH($A53,Simulations!$A$3:$A$62,0)))^1.5+SQRT(LN($E53/INDEX(Simulations!$J$3:$J$62,MATCH($A53,Simulations!$A$3:$A$62,0))))+$E53/INDEX(Simulations!$J$3:$J$62,MATCH($A53,Simulations!$A$3:$A$62,0))*SQRT(PI())/2*ERFC(SQRT(LN($E53/INDEX(Simulations!$J$3:$J$62,MATCH($A53,Simulations!$A$3:$A$62,0)))))),PI()*INDEX(Simulations!$T$3:$T$62,MATCH($A53,Simulations!$A$3:$A$62,0))^2/2*(LN($E53/INDEX(Simulations!$J$3:$J$62,MATCH($A53,Simulations!$A$3:$A$62,0)))+1)))))</f>
        <v/>
      </c>
      <c r="R53" s="16" t="str">
        <f aca="false">IF(OR($A53="",ISNA(MATCH($A53,Simulations!$A$3:$A$62,0))),"",IF(N($F53)&lt;=0,0,IF($F53&lt;INDEX(Simulations!$J$3:$J$62,MATCH($A53,Simulations!$A$3:$A$62,0)),$D53/(INDEX(Simulations!$G$3:$G$62,MATCH($A53,Simulations!$A$3:$A$62,0))*INDEX(Simulations!$H$3:$H$62,MATCH($A53,Simulations!$A$3:$A$62,0))*IF(INDEX(Simulations!$I$3:$I$62,MATCH($A53,Simulations!$A$3:$A$62,0))&gt;0,INDEX(Simulations!$I$3:$I$62,MATCH($A53,Simulations!$A$3:$A$62,0)),1))*$F53*(PI()/2*INDEX(Simulations!$T$3:$T$62,MATCH($A53,Simulations!$A$3:$A$62,0))^2*IF(INDEX(Simulations!$I$3:$I$62,MATCH($A53,Simulations!$A$3:$A$62,0))&gt;0,SQRT(PI()/2)*INDEX(Simulations!$U$3:$U$62,MATCH($A53,Simulations!$A$3:$A$62,0)),1)),$D53/(INDEX(Simulations!$G$3:$G$62,MATCH($A53,Simulations!$A$3:$A$62,0))*INDEX(Simulations!$H$3:$H$62,MATCH($A53,Simulations!$A$3:$A$62,0))*IF(INDEX(Simulations!$I$3:$I$62,MATCH($A53,Simulations!$A$3:$A$62,0))&gt;0,INDEX(Simulations!$I$3:$I$62,MATCH($A53,Simulations!$A$3:$A$62,0)),1))*INDEX(Simulations!$J$3:$J$62,MATCH($A53,Simulations!$A$3:$A$62,0))*IF(INDEX(Simulations!$I$3:$I$62,MATCH($A53,Simulations!$A$3:$A$62,0))&gt;0,2*PI()*INDEX(Simulations!$T$3:$T$62,MATCH($A53,Simulations!$A$3:$A$62,0))^2*INDEX(Simulations!$U$3:$U$62,MATCH($A53,Simulations!$A$3:$A$62,0))/2^1.5*(2/3*LN($F53/INDEX(Simulations!$J$3:$J$62,MATCH($A53,Simulations!$A$3:$A$62,0)))^1.5+SQRT(LN($F53/INDEX(Simulations!$J$3:$J$62,MATCH($A53,Simulations!$A$3:$A$62,0))))+$F53/INDEX(Simulations!$J$3:$J$62,MATCH($A53,Simulations!$A$3:$A$62,0))*SQRT(PI())/2*ERFC(SQRT(LN($F53/INDEX(Simulations!$J$3:$J$62,MATCH($A53,Simulations!$A$3:$A$62,0)))))),PI()*INDEX(Simulations!$T$3:$T$62,MATCH($A53,Simulations!$A$3:$A$62,0))^2/2*(LN($F53/INDEX(Simulations!$J$3:$J$62,MATCH($A53,Simulations!$A$3:$A$62,0)))+1)))))</f>
        <v/>
      </c>
      <c r="S53" s="16" t="str">
        <f aca="false">IF(OR($A53="",ISNA(MATCH($A53,Simulations!$A$3:$A$62,0))),"",IF(N($G53)&lt;=0,0,IF($G53&lt;INDEX(Simulations!$J$3:$J$62,MATCH($A53,Simulations!$A$3:$A$62,0)),$D53/(INDEX(Simulations!$G$3:$G$62,MATCH($A53,Simulations!$A$3:$A$62,0))*INDEX(Simulations!$H$3:$H$62,MATCH($A53,Simulations!$A$3:$A$62,0))*IF(INDEX(Simulations!$I$3:$I$62,MATCH($A53,Simulations!$A$3:$A$62,0))&gt;0,INDEX(Simulations!$I$3:$I$62,MATCH($A53,Simulations!$A$3:$A$62,0)),1))*$G53*(PI()/2*INDEX(Simulations!$T$3:$T$62,MATCH($A53,Simulations!$A$3:$A$62,0))^2*IF(INDEX(Simulations!$I$3:$I$62,MATCH($A53,Simulations!$A$3:$A$62,0))&gt;0,SQRT(PI()/2)*INDEX(Simulations!$U$3:$U$62,MATCH($A53,Simulations!$A$3:$A$62,0)),1)),$D53/(INDEX(Simulations!$G$3:$G$62,MATCH($A53,Simulations!$A$3:$A$62,0))*INDEX(Simulations!$H$3:$H$62,MATCH($A53,Simulations!$A$3:$A$62,0))*IF(INDEX(Simulations!$I$3:$I$62,MATCH($A53,Simulations!$A$3:$A$62,0))&gt;0,INDEX(Simulations!$I$3:$I$62,MATCH($A53,Simulations!$A$3:$A$62,0)),1))*INDEX(Simulations!$J$3:$J$62,MATCH($A53,Simulations!$A$3:$A$62,0))*IF(INDEX(Simulations!$I$3:$I$62,MATCH($A53,Simulations!$A$3:$A$62,0))&gt;0,2*PI()*INDEX(Simulations!$T$3:$T$62,MATCH($A53,Simulations!$A$3:$A$62,0))^2*INDEX(Simulations!$U$3:$U$62,MATCH($A53,Simulations!$A$3:$A$62,0))/2^1.5*(2/3*LN($G53/INDEX(Simulations!$J$3:$J$62,MATCH($A53,Simulations!$A$3:$A$62,0)))^1.5+SQRT(LN($G53/INDEX(Simulations!$J$3:$J$62,MATCH($A53,Simulations!$A$3:$A$62,0))))+$G53/INDEX(Simulations!$J$3:$J$62,MATCH($A53,Simulations!$A$3:$A$62,0))*SQRT(PI())/2*ERFC(SQRT(LN($G53/INDEX(Simulations!$J$3:$J$62,MATCH($A53,Simulations!$A$3:$A$62,0)))))),PI()*INDEX(Simulations!$T$3:$T$62,MATCH($A53,Simulations!$A$3:$A$62,0))^2/2*(LN($G53/INDEX(Simulations!$J$3:$J$62,MATCH($A53,Simulations!$A$3:$A$62,0)))+1)))))</f>
        <v/>
      </c>
      <c r="T53" s="16" t="str">
        <f aca="false">IF(OR($A53="",ISNA(MATCH($A53,Simulations!$A$3:$A$62,0))),"",IF(N($H53)&lt;=0,0,IF($H53&lt;INDEX(Simulations!$J$3:$J$62,MATCH($A53,Simulations!$A$3:$A$62,0)),$D53/(INDEX(Simulations!$G$3:$G$62,MATCH($A53,Simulations!$A$3:$A$62,0))*INDEX(Simulations!$H$3:$H$62,MATCH($A53,Simulations!$A$3:$A$62,0))*IF(INDEX(Simulations!$I$3:$I$62,MATCH($A53,Simulations!$A$3:$A$62,0))&gt;0,INDEX(Simulations!$I$3:$I$62,MATCH($A53,Simulations!$A$3:$A$62,0)),1))*$H53*(PI()/2*INDEX(Simulations!$T$3:$T$62,MATCH($A53,Simulations!$A$3:$A$62,0))^2*IF(INDEX(Simulations!$I$3:$I$62,MATCH($A53,Simulations!$A$3:$A$62,0))&gt;0,SQRT(PI()/2)*INDEX(Simulations!$U$3:$U$62,MATCH($A53,Simulations!$A$3:$A$62,0)),1)),$D53/(INDEX(Simulations!$G$3:$G$62,MATCH($A53,Simulations!$A$3:$A$62,0))*INDEX(Simulations!$H$3:$H$62,MATCH($A53,Simulations!$A$3:$A$62,0))*IF(INDEX(Simulations!$I$3:$I$62,MATCH($A53,Simulations!$A$3:$A$62,0))&gt;0,INDEX(Simulations!$I$3:$I$62,MATCH($A53,Simulations!$A$3:$A$62,0)),1))*INDEX(Simulations!$J$3:$J$62,MATCH($A53,Simulations!$A$3:$A$62,0))*IF(INDEX(Simulations!$I$3:$I$62,MATCH($A53,Simulations!$A$3:$A$62,0))&gt;0,2*PI()*INDEX(Simulations!$T$3:$T$62,MATCH($A53,Simulations!$A$3:$A$62,0))^2*INDEX(Simulations!$U$3:$U$62,MATCH($A53,Simulations!$A$3:$A$62,0))/2^1.5*(2/3*LN($H53/INDEX(Simulations!$J$3:$J$62,MATCH($A53,Simulations!$A$3:$A$62,0)))^1.5+SQRT(LN($H53/INDEX(Simulations!$J$3:$J$62,MATCH($A53,Simulations!$A$3:$A$62,0))))+$H53/INDEX(Simulations!$J$3:$J$62,MATCH($A53,Simulations!$A$3:$A$62,0))*SQRT(PI())/2*ERFC(SQRT(LN($H53/INDEX(Simulations!$J$3:$J$62,MATCH($A53,Simulations!$A$3:$A$62,0)))))),PI()*INDEX(Simulations!$T$3:$T$62,MATCH($A53,Simulations!$A$3:$A$62,0))^2/2*(LN($H53/INDEX(Simulations!$J$3:$J$62,MATCH($A53,Simulations!$A$3:$A$62,0)))+1)))))</f>
        <v/>
      </c>
      <c r="U53" s="18" t="str">
        <f aca="false">IF(OR(OR($A53="",ISNA(MATCH($A53,Simulations!$A$3:$A$62,0))),N($C53)&lt;=0),"",SQRT(2*$C53*1000000/(INDEX(Simulations!$J$3:$J$62,MATCH($A53,Simulations!$A$3:$A$62,0))*1000))/INDEX(Simulations!$T$3:$T$62,MATCH($A53,Simulations!$A$3:$A$62,0)))</f>
        <v/>
      </c>
      <c r="V53" s="19" t="str">
        <f aca="false">IF($A53="","",IF(ISNA(MATCH($A53,Simulations!$A$3:$A$62,0)),"✖ Sim ID not found on the Simulations sheet",IF($P53&gt;=1,"✖ brightness &gt;= sampling frequency: completely saturated (D too small, c too large)",IF($P53&gt;0.1,"⚠ brightness &gt; 10% of the sampling frequency: focus starts to saturate",IF(N($U53)&gt;0.1,"⚠ diffusion step &gt; 10% of wr: raise the sampling frequency",IF(MAX($E53:$H53)=0,"⚠ no brightness set","✔ OK"))))))</f>
        <v/>
      </c>
    </row>
    <row r="54" customFormat="false" ht="15" hidden="false" customHeight="false" outlineLevel="0" collapsed="false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4"/>
      <c r="O54" s="18" t="str">
        <f aca="false">IF(OR($A54="",ISNA(MATCH($A54,Simulations!$A$3:$A$62,0))),"",IF(INDEX(Simulations!$I$3:$I$62,MATCH($A54,Simulations!$A$3:$A$62,0))&gt;0,$D54/(INDEX(Simulations!$G$3:$G$62,MATCH($A54,Simulations!$A$3:$A$62,0))*INDEX(Simulations!$H$3:$H$62,MATCH($A54,Simulations!$A$3:$A$62,0))*IF(INDEX(Simulations!$I$3:$I$62,MATCH($A54,Simulations!$A$3:$A$62,0))&gt;0,INDEX(Simulations!$I$3:$I$62,MATCH($A54,Simulations!$A$3:$A$62,0)),1))/1E-024/6.022E+023/0.000000001,""))</f>
        <v/>
      </c>
      <c r="P54" s="20" t="str">
        <f aca="false">IF(OR($A54="",ISNA(MATCH($A54,Simulations!$A$3:$A$62,0))),"",MAX($E54:$H54)/INDEX(Simulations!$J$3:$J$62,MATCH($A54,Simulations!$A$3:$A$62,0)))</f>
        <v/>
      </c>
      <c r="Q54" s="16" t="str">
        <f aca="false">IF(OR($A54="",ISNA(MATCH($A54,Simulations!$A$3:$A$62,0))),"",IF(N($E54)&lt;=0,0,IF($E54&lt;INDEX(Simulations!$J$3:$J$62,MATCH($A54,Simulations!$A$3:$A$62,0)),$D54/(INDEX(Simulations!$G$3:$G$62,MATCH($A54,Simulations!$A$3:$A$62,0))*INDEX(Simulations!$H$3:$H$62,MATCH($A54,Simulations!$A$3:$A$62,0))*IF(INDEX(Simulations!$I$3:$I$62,MATCH($A54,Simulations!$A$3:$A$62,0))&gt;0,INDEX(Simulations!$I$3:$I$62,MATCH($A54,Simulations!$A$3:$A$62,0)),1))*$E54*(PI()/2*INDEX(Simulations!$T$3:$T$62,MATCH($A54,Simulations!$A$3:$A$62,0))^2*IF(INDEX(Simulations!$I$3:$I$62,MATCH($A54,Simulations!$A$3:$A$62,0))&gt;0,SQRT(PI()/2)*INDEX(Simulations!$U$3:$U$62,MATCH($A54,Simulations!$A$3:$A$62,0)),1)),$D54/(INDEX(Simulations!$G$3:$G$62,MATCH($A54,Simulations!$A$3:$A$62,0))*INDEX(Simulations!$H$3:$H$62,MATCH($A54,Simulations!$A$3:$A$62,0))*IF(INDEX(Simulations!$I$3:$I$62,MATCH($A54,Simulations!$A$3:$A$62,0))&gt;0,INDEX(Simulations!$I$3:$I$62,MATCH($A54,Simulations!$A$3:$A$62,0)),1))*INDEX(Simulations!$J$3:$J$62,MATCH($A54,Simulations!$A$3:$A$62,0))*IF(INDEX(Simulations!$I$3:$I$62,MATCH($A54,Simulations!$A$3:$A$62,0))&gt;0,2*PI()*INDEX(Simulations!$T$3:$T$62,MATCH($A54,Simulations!$A$3:$A$62,0))^2*INDEX(Simulations!$U$3:$U$62,MATCH($A54,Simulations!$A$3:$A$62,0))/2^1.5*(2/3*LN($E54/INDEX(Simulations!$J$3:$J$62,MATCH($A54,Simulations!$A$3:$A$62,0)))^1.5+SQRT(LN($E54/INDEX(Simulations!$J$3:$J$62,MATCH($A54,Simulations!$A$3:$A$62,0))))+$E54/INDEX(Simulations!$J$3:$J$62,MATCH($A54,Simulations!$A$3:$A$62,0))*SQRT(PI())/2*ERFC(SQRT(LN($E54/INDEX(Simulations!$J$3:$J$62,MATCH($A54,Simulations!$A$3:$A$62,0)))))),PI()*INDEX(Simulations!$T$3:$T$62,MATCH($A54,Simulations!$A$3:$A$62,0))^2/2*(LN($E54/INDEX(Simulations!$J$3:$J$62,MATCH($A54,Simulations!$A$3:$A$62,0)))+1)))))</f>
        <v/>
      </c>
      <c r="R54" s="16" t="str">
        <f aca="false">IF(OR($A54="",ISNA(MATCH($A54,Simulations!$A$3:$A$62,0))),"",IF(N($F54)&lt;=0,0,IF($F54&lt;INDEX(Simulations!$J$3:$J$62,MATCH($A54,Simulations!$A$3:$A$62,0)),$D54/(INDEX(Simulations!$G$3:$G$62,MATCH($A54,Simulations!$A$3:$A$62,0))*INDEX(Simulations!$H$3:$H$62,MATCH($A54,Simulations!$A$3:$A$62,0))*IF(INDEX(Simulations!$I$3:$I$62,MATCH($A54,Simulations!$A$3:$A$62,0))&gt;0,INDEX(Simulations!$I$3:$I$62,MATCH($A54,Simulations!$A$3:$A$62,0)),1))*$F54*(PI()/2*INDEX(Simulations!$T$3:$T$62,MATCH($A54,Simulations!$A$3:$A$62,0))^2*IF(INDEX(Simulations!$I$3:$I$62,MATCH($A54,Simulations!$A$3:$A$62,0))&gt;0,SQRT(PI()/2)*INDEX(Simulations!$U$3:$U$62,MATCH($A54,Simulations!$A$3:$A$62,0)),1)),$D54/(INDEX(Simulations!$G$3:$G$62,MATCH($A54,Simulations!$A$3:$A$62,0))*INDEX(Simulations!$H$3:$H$62,MATCH($A54,Simulations!$A$3:$A$62,0))*IF(INDEX(Simulations!$I$3:$I$62,MATCH($A54,Simulations!$A$3:$A$62,0))&gt;0,INDEX(Simulations!$I$3:$I$62,MATCH($A54,Simulations!$A$3:$A$62,0)),1))*INDEX(Simulations!$J$3:$J$62,MATCH($A54,Simulations!$A$3:$A$62,0))*IF(INDEX(Simulations!$I$3:$I$62,MATCH($A54,Simulations!$A$3:$A$62,0))&gt;0,2*PI()*INDEX(Simulations!$T$3:$T$62,MATCH($A54,Simulations!$A$3:$A$62,0))^2*INDEX(Simulations!$U$3:$U$62,MATCH($A54,Simulations!$A$3:$A$62,0))/2^1.5*(2/3*LN($F54/INDEX(Simulations!$J$3:$J$62,MATCH($A54,Simulations!$A$3:$A$62,0)))^1.5+SQRT(LN($F54/INDEX(Simulations!$J$3:$J$62,MATCH($A54,Simulations!$A$3:$A$62,0))))+$F54/INDEX(Simulations!$J$3:$J$62,MATCH($A54,Simulations!$A$3:$A$62,0))*SQRT(PI())/2*ERFC(SQRT(LN($F54/INDEX(Simulations!$J$3:$J$62,MATCH($A54,Simulations!$A$3:$A$62,0)))))),PI()*INDEX(Simulations!$T$3:$T$62,MATCH($A54,Simulations!$A$3:$A$62,0))^2/2*(LN($F54/INDEX(Simulations!$J$3:$J$62,MATCH($A54,Simulations!$A$3:$A$62,0)))+1)))))</f>
        <v/>
      </c>
      <c r="S54" s="16" t="str">
        <f aca="false">IF(OR($A54="",ISNA(MATCH($A54,Simulations!$A$3:$A$62,0))),"",IF(N($G54)&lt;=0,0,IF($G54&lt;INDEX(Simulations!$J$3:$J$62,MATCH($A54,Simulations!$A$3:$A$62,0)),$D54/(INDEX(Simulations!$G$3:$G$62,MATCH($A54,Simulations!$A$3:$A$62,0))*INDEX(Simulations!$H$3:$H$62,MATCH($A54,Simulations!$A$3:$A$62,0))*IF(INDEX(Simulations!$I$3:$I$62,MATCH($A54,Simulations!$A$3:$A$62,0))&gt;0,INDEX(Simulations!$I$3:$I$62,MATCH($A54,Simulations!$A$3:$A$62,0)),1))*$G54*(PI()/2*INDEX(Simulations!$T$3:$T$62,MATCH($A54,Simulations!$A$3:$A$62,0))^2*IF(INDEX(Simulations!$I$3:$I$62,MATCH($A54,Simulations!$A$3:$A$62,0))&gt;0,SQRT(PI()/2)*INDEX(Simulations!$U$3:$U$62,MATCH($A54,Simulations!$A$3:$A$62,0)),1)),$D54/(INDEX(Simulations!$G$3:$G$62,MATCH($A54,Simulations!$A$3:$A$62,0))*INDEX(Simulations!$H$3:$H$62,MATCH($A54,Simulations!$A$3:$A$62,0))*IF(INDEX(Simulations!$I$3:$I$62,MATCH($A54,Simulations!$A$3:$A$62,0))&gt;0,INDEX(Simulations!$I$3:$I$62,MATCH($A54,Simulations!$A$3:$A$62,0)),1))*INDEX(Simulations!$J$3:$J$62,MATCH($A54,Simulations!$A$3:$A$62,0))*IF(INDEX(Simulations!$I$3:$I$62,MATCH($A54,Simulations!$A$3:$A$62,0))&gt;0,2*PI()*INDEX(Simulations!$T$3:$T$62,MATCH($A54,Simulations!$A$3:$A$62,0))^2*INDEX(Simulations!$U$3:$U$62,MATCH($A54,Simulations!$A$3:$A$62,0))/2^1.5*(2/3*LN($G54/INDEX(Simulations!$J$3:$J$62,MATCH($A54,Simulations!$A$3:$A$62,0)))^1.5+SQRT(LN($G54/INDEX(Simulations!$J$3:$J$62,MATCH($A54,Simulations!$A$3:$A$62,0))))+$G54/INDEX(Simulations!$J$3:$J$62,MATCH($A54,Simulations!$A$3:$A$62,0))*SQRT(PI())/2*ERFC(SQRT(LN($G54/INDEX(Simulations!$J$3:$J$62,MATCH($A54,Simulations!$A$3:$A$62,0)))))),PI()*INDEX(Simulations!$T$3:$T$62,MATCH($A54,Simulations!$A$3:$A$62,0))^2/2*(LN($G54/INDEX(Simulations!$J$3:$J$62,MATCH($A54,Simulations!$A$3:$A$62,0)))+1)))))</f>
        <v/>
      </c>
      <c r="T54" s="16" t="str">
        <f aca="false">IF(OR($A54="",ISNA(MATCH($A54,Simulations!$A$3:$A$62,0))),"",IF(N($H54)&lt;=0,0,IF($H54&lt;INDEX(Simulations!$J$3:$J$62,MATCH($A54,Simulations!$A$3:$A$62,0)),$D54/(INDEX(Simulations!$G$3:$G$62,MATCH($A54,Simulations!$A$3:$A$62,0))*INDEX(Simulations!$H$3:$H$62,MATCH($A54,Simulations!$A$3:$A$62,0))*IF(INDEX(Simulations!$I$3:$I$62,MATCH($A54,Simulations!$A$3:$A$62,0))&gt;0,INDEX(Simulations!$I$3:$I$62,MATCH($A54,Simulations!$A$3:$A$62,0)),1))*$H54*(PI()/2*INDEX(Simulations!$T$3:$T$62,MATCH($A54,Simulations!$A$3:$A$62,0))^2*IF(INDEX(Simulations!$I$3:$I$62,MATCH($A54,Simulations!$A$3:$A$62,0))&gt;0,SQRT(PI()/2)*INDEX(Simulations!$U$3:$U$62,MATCH($A54,Simulations!$A$3:$A$62,0)),1)),$D54/(INDEX(Simulations!$G$3:$G$62,MATCH($A54,Simulations!$A$3:$A$62,0))*INDEX(Simulations!$H$3:$H$62,MATCH($A54,Simulations!$A$3:$A$62,0))*IF(INDEX(Simulations!$I$3:$I$62,MATCH($A54,Simulations!$A$3:$A$62,0))&gt;0,INDEX(Simulations!$I$3:$I$62,MATCH($A54,Simulations!$A$3:$A$62,0)),1))*INDEX(Simulations!$J$3:$J$62,MATCH($A54,Simulations!$A$3:$A$62,0))*IF(INDEX(Simulations!$I$3:$I$62,MATCH($A54,Simulations!$A$3:$A$62,0))&gt;0,2*PI()*INDEX(Simulations!$T$3:$T$62,MATCH($A54,Simulations!$A$3:$A$62,0))^2*INDEX(Simulations!$U$3:$U$62,MATCH($A54,Simulations!$A$3:$A$62,0))/2^1.5*(2/3*LN($H54/INDEX(Simulations!$J$3:$J$62,MATCH($A54,Simulations!$A$3:$A$62,0)))^1.5+SQRT(LN($H54/INDEX(Simulations!$J$3:$J$62,MATCH($A54,Simulations!$A$3:$A$62,0))))+$H54/INDEX(Simulations!$J$3:$J$62,MATCH($A54,Simulations!$A$3:$A$62,0))*SQRT(PI())/2*ERFC(SQRT(LN($H54/INDEX(Simulations!$J$3:$J$62,MATCH($A54,Simulations!$A$3:$A$62,0)))))),PI()*INDEX(Simulations!$T$3:$T$62,MATCH($A54,Simulations!$A$3:$A$62,0))^2/2*(LN($H54/INDEX(Simulations!$J$3:$J$62,MATCH($A54,Simulations!$A$3:$A$62,0)))+1)))))</f>
        <v/>
      </c>
      <c r="U54" s="18" t="str">
        <f aca="false">IF(OR(OR($A54="",ISNA(MATCH($A54,Simulations!$A$3:$A$62,0))),N($C54)&lt;=0),"",SQRT(2*$C54*1000000/(INDEX(Simulations!$J$3:$J$62,MATCH($A54,Simulations!$A$3:$A$62,0))*1000))/INDEX(Simulations!$T$3:$T$62,MATCH($A54,Simulations!$A$3:$A$62,0)))</f>
        <v/>
      </c>
      <c r="V54" s="19" t="str">
        <f aca="false">IF($A54="","",IF(ISNA(MATCH($A54,Simulations!$A$3:$A$62,0)),"✖ Sim ID not found on the Simulations sheet",IF($P54&gt;=1,"✖ brightness &gt;= sampling frequency: completely saturated (D too small, c too large)",IF($P54&gt;0.1,"⚠ brightness &gt; 10% of the sampling frequency: focus starts to saturate",IF(N($U54)&gt;0.1,"⚠ diffusion step &gt; 10% of wr: raise the sampling frequency",IF(MAX($E54:$H54)=0,"⚠ no brightness set","✔ OK"))))))</f>
        <v/>
      </c>
    </row>
    <row r="55" customFormat="false" ht="15" hidden="false" customHeight="false" outlineLevel="0" collapsed="false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4"/>
      <c r="O55" s="18" t="str">
        <f aca="false">IF(OR($A55="",ISNA(MATCH($A55,Simulations!$A$3:$A$62,0))),"",IF(INDEX(Simulations!$I$3:$I$62,MATCH($A55,Simulations!$A$3:$A$62,0))&gt;0,$D55/(INDEX(Simulations!$G$3:$G$62,MATCH($A55,Simulations!$A$3:$A$62,0))*INDEX(Simulations!$H$3:$H$62,MATCH($A55,Simulations!$A$3:$A$62,0))*IF(INDEX(Simulations!$I$3:$I$62,MATCH($A55,Simulations!$A$3:$A$62,0))&gt;0,INDEX(Simulations!$I$3:$I$62,MATCH($A55,Simulations!$A$3:$A$62,0)),1))/1E-024/6.022E+023/0.000000001,""))</f>
        <v/>
      </c>
      <c r="P55" s="20" t="str">
        <f aca="false">IF(OR($A55="",ISNA(MATCH($A55,Simulations!$A$3:$A$62,0))),"",MAX($E55:$H55)/INDEX(Simulations!$J$3:$J$62,MATCH($A55,Simulations!$A$3:$A$62,0)))</f>
        <v/>
      </c>
      <c r="Q55" s="16" t="str">
        <f aca="false">IF(OR($A55="",ISNA(MATCH($A55,Simulations!$A$3:$A$62,0))),"",IF(N($E55)&lt;=0,0,IF($E55&lt;INDEX(Simulations!$J$3:$J$62,MATCH($A55,Simulations!$A$3:$A$62,0)),$D55/(INDEX(Simulations!$G$3:$G$62,MATCH($A55,Simulations!$A$3:$A$62,0))*INDEX(Simulations!$H$3:$H$62,MATCH($A55,Simulations!$A$3:$A$62,0))*IF(INDEX(Simulations!$I$3:$I$62,MATCH($A55,Simulations!$A$3:$A$62,0))&gt;0,INDEX(Simulations!$I$3:$I$62,MATCH($A55,Simulations!$A$3:$A$62,0)),1))*$E55*(PI()/2*INDEX(Simulations!$T$3:$T$62,MATCH($A55,Simulations!$A$3:$A$62,0))^2*IF(INDEX(Simulations!$I$3:$I$62,MATCH($A55,Simulations!$A$3:$A$62,0))&gt;0,SQRT(PI()/2)*INDEX(Simulations!$U$3:$U$62,MATCH($A55,Simulations!$A$3:$A$62,0)),1)),$D55/(INDEX(Simulations!$G$3:$G$62,MATCH($A55,Simulations!$A$3:$A$62,0))*INDEX(Simulations!$H$3:$H$62,MATCH($A55,Simulations!$A$3:$A$62,0))*IF(INDEX(Simulations!$I$3:$I$62,MATCH($A55,Simulations!$A$3:$A$62,0))&gt;0,INDEX(Simulations!$I$3:$I$62,MATCH($A55,Simulations!$A$3:$A$62,0)),1))*INDEX(Simulations!$J$3:$J$62,MATCH($A55,Simulations!$A$3:$A$62,0))*IF(INDEX(Simulations!$I$3:$I$62,MATCH($A55,Simulations!$A$3:$A$62,0))&gt;0,2*PI()*INDEX(Simulations!$T$3:$T$62,MATCH($A55,Simulations!$A$3:$A$62,0))^2*INDEX(Simulations!$U$3:$U$62,MATCH($A55,Simulations!$A$3:$A$62,0))/2^1.5*(2/3*LN($E55/INDEX(Simulations!$J$3:$J$62,MATCH($A55,Simulations!$A$3:$A$62,0)))^1.5+SQRT(LN($E55/INDEX(Simulations!$J$3:$J$62,MATCH($A55,Simulations!$A$3:$A$62,0))))+$E55/INDEX(Simulations!$J$3:$J$62,MATCH($A55,Simulations!$A$3:$A$62,0))*SQRT(PI())/2*ERFC(SQRT(LN($E55/INDEX(Simulations!$J$3:$J$62,MATCH($A55,Simulations!$A$3:$A$62,0)))))),PI()*INDEX(Simulations!$T$3:$T$62,MATCH($A55,Simulations!$A$3:$A$62,0))^2/2*(LN($E55/INDEX(Simulations!$J$3:$J$62,MATCH($A55,Simulations!$A$3:$A$62,0)))+1)))))</f>
        <v/>
      </c>
      <c r="R55" s="16" t="str">
        <f aca="false">IF(OR($A55="",ISNA(MATCH($A55,Simulations!$A$3:$A$62,0))),"",IF(N($F55)&lt;=0,0,IF($F55&lt;INDEX(Simulations!$J$3:$J$62,MATCH($A55,Simulations!$A$3:$A$62,0)),$D55/(INDEX(Simulations!$G$3:$G$62,MATCH($A55,Simulations!$A$3:$A$62,0))*INDEX(Simulations!$H$3:$H$62,MATCH($A55,Simulations!$A$3:$A$62,0))*IF(INDEX(Simulations!$I$3:$I$62,MATCH($A55,Simulations!$A$3:$A$62,0))&gt;0,INDEX(Simulations!$I$3:$I$62,MATCH($A55,Simulations!$A$3:$A$62,0)),1))*$F55*(PI()/2*INDEX(Simulations!$T$3:$T$62,MATCH($A55,Simulations!$A$3:$A$62,0))^2*IF(INDEX(Simulations!$I$3:$I$62,MATCH($A55,Simulations!$A$3:$A$62,0))&gt;0,SQRT(PI()/2)*INDEX(Simulations!$U$3:$U$62,MATCH($A55,Simulations!$A$3:$A$62,0)),1)),$D55/(INDEX(Simulations!$G$3:$G$62,MATCH($A55,Simulations!$A$3:$A$62,0))*INDEX(Simulations!$H$3:$H$62,MATCH($A55,Simulations!$A$3:$A$62,0))*IF(INDEX(Simulations!$I$3:$I$62,MATCH($A55,Simulations!$A$3:$A$62,0))&gt;0,INDEX(Simulations!$I$3:$I$62,MATCH($A55,Simulations!$A$3:$A$62,0)),1))*INDEX(Simulations!$J$3:$J$62,MATCH($A55,Simulations!$A$3:$A$62,0))*IF(INDEX(Simulations!$I$3:$I$62,MATCH($A55,Simulations!$A$3:$A$62,0))&gt;0,2*PI()*INDEX(Simulations!$T$3:$T$62,MATCH($A55,Simulations!$A$3:$A$62,0))^2*INDEX(Simulations!$U$3:$U$62,MATCH($A55,Simulations!$A$3:$A$62,0))/2^1.5*(2/3*LN($F55/INDEX(Simulations!$J$3:$J$62,MATCH($A55,Simulations!$A$3:$A$62,0)))^1.5+SQRT(LN($F55/INDEX(Simulations!$J$3:$J$62,MATCH($A55,Simulations!$A$3:$A$62,0))))+$F55/INDEX(Simulations!$J$3:$J$62,MATCH($A55,Simulations!$A$3:$A$62,0))*SQRT(PI())/2*ERFC(SQRT(LN($F55/INDEX(Simulations!$J$3:$J$62,MATCH($A55,Simulations!$A$3:$A$62,0)))))),PI()*INDEX(Simulations!$T$3:$T$62,MATCH($A55,Simulations!$A$3:$A$62,0))^2/2*(LN($F55/INDEX(Simulations!$J$3:$J$62,MATCH($A55,Simulations!$A$3:$A$62,0)))+1)))))</f>
        <v/>
      </c>
      <c r="S55" s="16" t="str">
        <f aca="false">IF(OR($A55="",ISNA(MATCH($A55,Simulations!$A$3:$A$62,0))),"",IF(N($G55)&lt;=0,0,IF($G55&lt;INDEX(Simulations!$J$3:$J$62,MATCH($A55,Simulations!$A$3:$A$62,0)),$D55/(INDEX(Simulations!$G$3:$G$62,MATCH($A55,Simulations!$A$3:$A$62,0))*INDEX(Simulations!$H$3:$H$62,MATCH($A55,Simulations!$A$3:$A$62,0))*IF(INDEX(Simulations!$I$3:$I$62,MATCH($A55,Simulations!$A$3:$A$62,0))&gt;0,INDEX(Simulations!$I$3:$I$62,MATCH($A55,Simulations!$A$3:$A$62,0)),1))*$G55*(PI()/2*INDEX(Simulations!$T$3:$T$62,MATCH($A55,Simulations!$A$3:$A$62,0))^2*IF(INDEX(Simulations!$I$3:$I$62,MATCH($A55,Simulations!$A$3:$A$62,0))&gt;0,SQRT(PI()/2)*INDEX(Simulations!$U$3:$U$62,MATCH($A55,Simulations!$A$3:$A$62,0)),1)),$D55/(INDEX(Simulations!$G$3:$G$62,MATCH($A55,Simulations!$A$3:$A$62,0))*INDEX(Simulations!$H$3:$H$62,MATCH($A55,Simulations!$A$3:$A$62,0))*IF(INDEX(Simulations!$I$3:$I$62,MATCH($A55,Simulations!$A$3:$A$62,0))&gt;0,INDEX(Simulations!$I$3:$I$62,MATCH($A55,Simulations!$A$3:$A$62,0)),1))*INDEX(Simulations!$J$3:$J$62,MATCH($A55,Simulations!$A$3:$A$62,0))*IF(INDEX(Simulations!$I$3:$I$62,MATCH($A55,Simulations!$A$3:$A$62,0))&gt;0,2*PI()*INDEX(Simulations!$T$3:$T$62,MATCH($A55,Simulations!$A$3:$A$62,0))^2*INDEX(Simulations!$U$3:$U$62,MATCH($A55,Simulations!$A$3:$A$62,0))/2^1.5*(2/3*LN($G55/INDEX(Simulations!$J$3:$J$62,MATCH($A55,Simulations!$A$3:$A$62,0)))^1.5+SQRT(LN($G55/INDEX(Simulations!$J$3:$J$62,MATCH($A55,Simulations!$A$3:$A$62,0))))+$G55/INDEX(Simulations!$J$3:$J$62,MATCH($A55,Simulations!$A$3:$A$62,0))*SQRT(PI())/2*ERFC(SQRT(LN($G55/INDEX(Simulations!$J$3:$J$62,MATCH($A55,Simulations!$A$3:$A$62,0)))))),PI()*INDEX(Simulations!$T$3:$T$62,MATCH($A55,Simulations!$A$3:$A$62,0))^2/2*(LN($G55/INDEX(Simulations!$J$3:$J$62,MATCH($A55,Simulations!$A$3:$A$62,0)))+1)))))</f>
        <v/>
      </c>
      <c r="T55" s="16" t="str">
        <f aca="false">IF(OR($A55="",ISNA(MATCH($A55,Simulations!$A$3:$A$62,0))),"",IF(N($H55)&lt;=0,0,IF($H55&lt;INDEX(Simulations!$J$3:$J$62,MATCH($A55,Simulations!$A$3:$A$62,0)),$D55/(INDEX(Simulations!$G$3:$G$62,MATCH($A55,Simulations!$A$3:$A$62,0))*INDEX(Simulations!$H$3:$H$62,MATCH($A55,Simulations!$A$3:$A$62,0))*IF(INDEX(Simulations!$I$3:$I$62,MATCH($A55,Simulations!$A$3:$A$62,0))&gt;0,INDEX(Simulations!$I$3:$I$62,MATCH($A55,Simulations!$A$3:$A$62,0)),1))*$H55*(PI()/2*INDEX(Simulations!$T$3:$T$62,MATCH($A55,Simulations!$A$3:$A$62,0))^2*IF(INDEX(Simulations!$I$3:$I$62,MATCH($A55,Simulations!$A$3:$A$62,0))&gt;0,SQRT(PI()/2)*INDEX(Simulations!$U$3:$U$62,MATCH($A55,Simulations!$A$3:$A$62,0)),1)),$D55/(INDEX(Simulations!$G$3:$G$62,MATCH($A55,Simulations!$A$3:$A$62,0))*INDEX(Simulations!$H$3:$H$62,MATCH($A55,Simulations!$A$3:$A$62,0))*IF(INDEX(Simulations!$I$3:$I$62,MATCH($A55,Simulations!$A$3:$A$62,0))&gt;0,INDEX(Simulations!$I$3:$I$62,MATCH($A55,Simulations!$A$3:$A$62,0)),1))*INDEX(Simulations!$J$3:$J$62,MATCH($A55,Simulations!$A$3:$A$62,0))*IF(INDEX(Simulations!$I$3:$I$62,MATCH($A55,Simulations!$A$3:$A$62,0))&gt;0,2*PI()*INDEX(Simulations!$T$3:$T$62,MATCH($A55,Simulations!$A$3:$A$62,0))^2*INDEX(Simulations!$U$3:$U$62,MATCH($A55,Simulations!$A$3:$A$62,0))/2^1.5*(2/3*LN($H55/INDEX(Simulations!$J$3:$J$62,MATCH($A55,Simulations!$A$3:$A$62,0)))^1.5+SQRT(LN($H55/INDEX(Simulations!$J$3:$J$62,MATCH($A55,Simulations!$A$3:$A$62,0))))+$H55/INDEX(Simulations!$J$3:$J$62,MATCH($A55,Simulations!$A$3:$A$62,0))*SQRT(PI())/2*ERFC(SQRT(LN($H55/INDEX(Simulations!$J$3:$J$62,MATCH($A55,Simulations!$A$3:$A$62,0)))))),PI()*INDEX(Simulations!$T$3:$T$62,MATCH($A55,Simulations!$A$3:$A$62,0))^2/2*(LN($H55/INDEX(Simulations!$J$3:$J$62,MATCH($A55,Simulations!$A$3:$A$62,0)))+1)))))</f>
        <v/>
      </c>
      <c r="U55" s="18" t="str">
        <f aca="false">IF(OR(OR($A55="",ISNA(MATCH($A55,Simulations!$A$3:$A$62,0))),N($C55)&lt;=0),"",SQRT(2*$C55*1000000/(INDEX(Simulations!$J$3:$J$62,MATCH($A55,Simulations!$A$3:$A$62,0))*1000))/INDEX(Simulations!$T$3:$T$62,MATCH($A55,Simulations!$A$3:$A$62,0)))</f>
        <v/>
      </c>
      <c r="V55" s="19" t="str">
        <f aca="false">IF($A55="","",IF(ISNA(MATCH($A55,Simulations!$A$3:$A$62,0)),"✖ Sim ID not found on the Simulations sheet",IF($P55&gt;=1,"✖ brightness &gt;= sampling frequency: completely saturated (D too small, c too large)",IF($P55&gt;0.1,"⚠ brightness &gt; 10% of the sampling frequency: focus starts to saturate",IF(N($U55)&gt;0.1,"⚠ diffusion step &gt; 10% of wr: raise the sampling frequency",IF(MAX($E55:$H55)=0,"⚠ no brightness set","✔ OK"))))))</f>
        <v/>
      </c>
    </row>
    <row r="56" customFormat="false" ht="15" hidden="false" customHeight="false" outlineLevel="0" collapsed="false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4"/>
      <c r="O56" s="18" t="str">
        <f aca="false">IF(OR($A56="",ISNA(MATCH($A56,Simulations!$A$3:$A$62,0))),"",IF(INDEX(Simulations!$I$3:$I$62,MATCH($A56,Simulations!$A$3:$A$62,0))&gt;0,$D56/(INDEX(Simulations!$G$3:$G$62,MATCH($A56,Simulations!$A$3:$A$62,0))*INDEX(Simulations!$H$3:$H$62,MATCH($A56,Simulations!$A$3:$A$62,0))*IF(INDEX(Simulations!$I$3:$I$62,MATCH($A56,Simulations!$A$3:$A$62,0))&gt;0,INDEX(Simulations!$I$3:$I$62,MATCH($A56,Simulations!$A$3:$A$62,0)),1))/1E-024/6.022E+023/0.000000001,""))</f>
        <v/>
      </c>
      <c r="P56" s="20" t="str">
        <f aca="false">IF(OR($A56="",ISNA(MATCH($A56,Simulations!$A$3:$A$62,0))),"",MAX($E56:$H56)/INDEX(Simulations!$J$3:$J$62,MATCH($A56,Simulations!$A$3:$A$62,0)))</f>
        <v/>
      </c>
      <c r="Q56" s="16" t="str">
        <f aca="false">IF(OR($A56="",ISNA(MATCH($A56,Simulations!$A$3:$A$62,0))),"",IF(N($E56)&lt;=0,0,IF($E56&lt;INDEX(Simulations!$J$3:$J$62,MATCH($A56,Simulations!$A$3:$A$62,0)),$D56/(INDEX(Simulations!$G$3:$G$62,MATCH($A56,Simulations!$A$3:$A$62,0))*INDEX(Simulations!$H$3:$H$62,MATCH($A56,Simulations!$A$3:$A$62,0))*IF(INDEX(Simulations!$I$3:$I$62,MATCH($A56,Simulations!$A$3:$A$62,0))&gt;0,INDEX(Simulations!$I$3:$I$62,MATCH($A56,Simulations!$A$3:$A$62,0)),1))*$E56*(PI()/2*INDEX(Simulations!$T$3:$T$62,MATCH($A56,Simulations!$A$3:$A$62,0))^2*IF(INDEX(Simulations!$I$3:$I$62,MATCH($A56,Simulations!$A$3:$A$62,0))&gt;0,SQRT(PI()/2)*INDEX(Simulations!$U$3:$U$62,MATCH($A56,Simulations!$A$3:$A$62,0)),1)),$D56/(INDEX(Simulations!$G$3:$G$62,MATCH($A56,Simulations!$A$3:$A$62,0))*INDEX(Simulations!$H$3:$H$62,MATCH($A56,Simulations!$A$3:$A$62,0))*IF(INDEX(Simulations!$I$3:$I$62,MATCH($A56,Simulations!$A$3:$A$62,0))&gt;0,INDEX(Simulations!$I$3:$I$62,MATCH($A56,Simulations!$A$3:$A$62,0)),1))*INDEX(Simulations!$J$3:$J$62,MATCH($A56,Simulations!$A$3:$A$62,0))*IF(INDEX(Simulations!$I$3:$I$62,MATCH($A56,Simulations!$A$3:$A$62,0))&gt;0,2*PI()*INDEX(Simulations!$T$3:$T$62,MATCH($A56,Simulations!$A$3:$A$62,0))^2*INDEX(Simulations!$U$3:$U$62,MATCH($A56,Simulations!$A$3:$A$62,0))/2^1.5*(2/3*LN($E56/INDEX(Simulations!$J$3:$J$62,MATCH($A56,Simulations!$A$3:$A$62,0)))^1.5+SQRT(LN($E56/INDEX(Simulations!$J$3:$J$62,MATCH($A56,Simulations!$A$3:$A$62,0))))+$E56/INDEX(Simulations!$J$3:$J$62,MATCH($A56,Simulations!$A$3:$A$62,0))*SQRT(PI())/2*ERFC(SQRT(LN($E56/INDEX(Simulations!$J$3:$J$62,MATCH($A56,Simulations!$A$3:$A$62,0)))))),PI()*INDEX(Simulations!$T$3:$T$62,MATCH($A56,Simulations!$A$3:$A$62,0))^2/2*(LN($E56/INDEX(Simulations!$J$3:$J$62,MATCH($A56,Simulations!$A$3:$A$62,0)))+1)))))</f>
        <v/>
      </c>
      <c r="R56" s="16" t="str">
        <f aca="false">IF(OR($A56="",ISNA(MATCH($A56,Simulations!$A$3:$A$62,0))),"",IF(N($F56)&lt;=0,0,IF($F56&lt;INDEX(Simulations!$J$3:$J$62,MATCH($A56,Simulations!$A$3:$A$62,0)),$D56/(INDEX(Simulations!$G$3:$G$62,MATCH($A56,Simulations!$A$3:$A$62,0))*INDEX(Simulations!$H$3:$H$62,MATCH($A56,Simulations!$A$3:$A$62,0))*IF(INDEX(Simulations!$I$3:$I$62,MATCH($A56,Simulations!$A$3:$A$62,0))&gt;0,INDEX(Simulations!$I$3:$I$62,MATCH($A56,Simulations!$A$3:$A$62,0)),1))*$F56*(PI()/2*INDEX(Simulations!$T$3:$T$62,MATCH($A56,Simulations!$A$3:$A$62,0))^2*IF(INDEX(Simulations!$I$3:$I$62,MATCH($A56,Simulations!$A$3:$A$62,0))&gt;0,SQRT(PI()/2)*INDEX(Simulations!$U$3:$U$62,MATCH($A56,Simulations!$A$3:$A$62,0)),1)),$D56/(INDEX(Simulations!$G$3:$G$62,MATCH($A56,Simulations!$A$3:$A$62,0))*INDEX(Simulations!$H$3:$H$62,MATCH($A56,Simulations!$A$3:$A$62,0))*IF(INDEX(Simulations!$I$3:$I$62,MATCH($A56,Simulations!$A$3:$A$62,0))&gt;0,INDEX(Simulations!$I$3:$I$62,MATCH($A56,Simulations!$A$3:$A$62,0)),1))*INDEX(Simulations!$J$3:$J$62,MATCH($A56,Simulations!$A$3:$A$62,0))*IF(INDEX(Simulations!$I$3:$I$62,MATCH($A56,Simulations!$A$3:$A$62,0))&gt;0,2*PI()*INDEX(Simulations!$T$3:$T$62,MATCH($A56,Simulations!$A$3:$A$62,0))^2*INDEX(Simulations!$U$3:$U$62,MATCH($A56,Simulations!$A$3:$A$62,0))/2^1.5*(2/3*LN($F56/INDEX(Simulations!$J$3:$J$62,MATCH($A56,Simulations!$A$3:$A$62,0)))^1.5+SQRT(LN($F56/INDEX(Simulations!$J$3:$J$62,MATCH($A56,Simulations!$A$3:$A$62,0))))+$F56/INDEX(Simulations!$J$3:$J$62,MATCH($A56,Simulations!$A$3:$A$62,0))*SQRT(PI())/2*ERFC(SQRT(LN($F56/INDEX(Simulations!$J$3:$J$62,MATCH($A56,Simulations!$A$3:$A$62,0)))))),PI()*INDEX(Simulations!$T$3:$T$62,MATCH($A56,Simulations!$A$3:$A$62,0))^2/2*(LN($F56/INDEX(Simulations!$J$3:$J$62,MATCH($A56,Simulations!$A$3:$A$62,0)))+1)))))</f>
        <v/>
      </c>
      <c r="S56" s="16" t="str">
        <f aca="false">IF(OR($A56="",ISNA(MATCH($A56,Simulations!$A$3:$A$62,0))),"",IF(N($G56)&lt;=0,0,IF($G56&lt;INDEX(Simulations!$J$3:$J$62,MATCH($A56,Simulations!$A$3:$A$62,0)),$D56/(INDEX(Simulations!$G$3:$G$62,MATCH($A56,Simulations!$A$3:$A$62,0))*INDEX(Simulations!$H$3:$H$62,MATCH($A56,Simulations!$A$3:$A$62,0))*IF(INDEX(Simulations!$I$3:$I$62,MATCH($A56,Simulations!$A$3:$A$62,0))&gt;0,INDEX(Simulations!$I$3:$I$62,MATCH($A56,Simulations!$A$3:$A$62,0)),1))*$G56*(PI()/2*INDEX(Simulations!$T$3:$T$62,MATCH($A56,Simulations!$A$3:$A$62,0))^2*IF(INDEX(Simulations!$I$3:$I$62,MATCH($A56,Simulations!$A$3:$A$62,0))&gt;0,SQRT(PI()/2)*INDEX(Simulations!$U$3:$U$62,MATCH($A56,Simulations!$A$3:$A$62,0)),1)),$D56/(INDEX(Simulations!$G$3:$G$62,MATCH($A56,Simulations!$A$3:$A$62,0))*INDEX(Simulations!$H$3:$H$62,MATCH($A56,Simulations!$A$3:$A$62,0))*IF(INDEX(Simulations!$I$3:$I$62,MATCH($A56,Simulations!$A$3:$A$62,0))&gt;0,INDEX(Simulations!$I$3:$I$62,MATCH($A56,Simulations!$A$3:$A$62,0)),1))*INDEX(Simulations!$J$3:$J$62,MATCH($A56,Simulations!$A$3:$A$62,0))*IF(INDEX(Simulations!$I$3:$I$62,MATCH($A56,Simulations!$A$3:$A$62,0))&gt;0,2*PI()*INDEX(Simulations!$T$3:$T$62,MATCH($A56,Simulations!$A$3:$A$62,0))^2*INDEX(Simulations!$U$3:$U$62,MATCH($A56,Simulations!$A$3:$A$62,0))/2^1.5*(2/3*LN($G56/INDEX(Simulations!$J$3:$J$62,MATCH($A56,Simulations!$A$3:$A$62,0)))^1.5+SQRT(LN($G56/INDEX(Simulations!$J$3:$J$62,MATCH($A56,Simulations!$A$3:$A$62,0))))+$G56/INDEX(Simulations!$J$3:$J$62,MATCH($A56,Simulations!$A$3:$A$62,0))*SQRT(PI())/2*ERFC(SQRT(LN($G56/INDEX(Simulations!$J$3:$J$62,MATCH($A56,Simulations!$A$3:$A$62,0)))))),PI()*INDEX(Simulations!$T$3:$T$62,MATCH($A56,Simulations!$A$3:$A$62,0))^2/2*(LN($G56/INDEX(Simulations!$J$3:$J$62,MATCH($A56,Simulations!$A$3:$A$62,0)))+1)))))</f>
        <v/>
      </c>
      <c r="T56" s="16" t="str">
        <f aca="false">IF(OR($A56="",ISNA(MATCH($A56,Simulations!$A$3:$A$62,0))),"",IF(N($H56)&lt;=0,0,IF($H56&lt;INDEX(Simulations!$J$3:$J$62,MATCH($A56,Simulations!$A$3:$A$62,0)),$D56/(INDEX(Simulations!$G$3:$G$62,MATCH($A56,Simulations!$A$3:$A$62,0))*INDEX(Simulations!$H$3:$H$62,MATCH($A56,Simulations!$A$3:$A$62,0))*IF(INDEX(Simulations!$I$3:$I$62,MATCH($A56,Simulations!$A$3:$A$62,0))&gt;0,INDEX(Simulations!$I$3:$I$62,MATCH($A56,Simulations!$A$3:$A$62,0)),1))*$H56*(PI()/2*INDEX(Simulations!$T$3:$T$62,MATCH($A56,Simulations!$A$3:$A$62,0))^2*IF(INDEX(Simulations!$I$3:$I$62,MATCH($A56,Simulations!$A$3:$A$62,0))&gt;0,SQRT(PI()/2)*INDEX(Simulations!$U$3:$U$62,MATCH($A56,Simulations!$A$3:$A$62,0)),1)),$D56/(INDEX(Simulations!$G$3:$G$62,MATCH($A56,Simulations!$A$3:$A$62,0))*INDEX(Simulations!$H$3:$H$62,MATCH($A56,Simulations!$A$3:$A$62,0))*IF(INDEX(Simulations!$I$3:$I$62,MATCH($A56,Simulations!$A$3:$A$62,0))&gt;0,INDEX(Simulations!$I$3:$I$62,MATCH($A56,Simulations!$A$3:$A$62,0)),1))*INDEX(Simulations!$J$3:$J$62,MATCH($A56,Simulations!$A$3:$A$62,0))*IF(INDEX(Simulations!$I$3:$I$62,MATCH($A56,Simulations!$A$3:$A$62,0))&gt;0,2*PI()*INDEX(Simulations!$T$3:$T$62,MATCH($A56,Simulations!$A$3:$A$62,0))^2*INDEX(Simulations!$U$3:$U$62,MATCH($A56,Simulations!$A$3:$A$62,0))/2^1.5*(2/3*LN($H56/INDEX(Simulations!$J$3:$J$62,MATCH($A56,Simulations!$A$3:$A$62,0)))^1.5+SQRT(LN($H56/INDEX(Simulations!$J$3:$J$62,MATCH($A56,Simulations!$A$3:$A$62,0))))+$H56/INDEX(Simulations!$J$3:$J$62,MATCH($A56,Simulations!$A$3:$A$62,0))*SQRT(PI())/2*ERFC(SQRT(LN($H56/INDEX(Simulations!$J$3:$J$62,MATCH($A56,Simulations!$A$3:$A$62,0)))))),PI()*INDEX(Simulations!$T$3:$T$62,MATCH($A56,Simulations!$A$3:$A$62,0))^2/2*(LN($H56/INDEX(Simulations!$J$3:$J$62,MATCH($A56,Simulations!$A$3:$A$62,0)))+1)))))</f>
        <v/>
      </c>
      <c r="U56" s="18" t="str">
        <f aca="false">IF(OR(OR($A56="",ISNA(MATCH($A56,Simulations!$A$3:$A$62,0))),N($C56)&lt;=0),"",SQRT(2*$C56*1000000/(INDEX(Simulations!$J$3:$J$62,MATCH($A56,Simulations!$A$3:$A$62,0))*1000))/INDEX(Simulations!$T$3:$T$62,MATCH($A56,Simulations!$A$3:$A$62,0)))</f>
        <v/>
      </c>
      <c r="V56" s="19" t="str">
        <f aca="false">IF($A56="","",IF(ISNA(MATCH($A56,Simulations!$A$3:$A$62,0)),"✖ Sim ID not found on the Simulations sheet",IF($P56&gt;=1,"✖ brightness &gt;= sampling frequency: completely saturated (D too small, c too large)",IF($P56&gt;0.1,"⚠ brightness &gt; 10% of the sampling frequency: focus starts to saturate",IF(N($U56)&gt;0.1,"⚠ diffusion step &gt; 10% of wr: raise the sampling frequency",IF(MAX($E56:$H56)=0,"⚠ no brightness set","✔ OK"))))))</f>
        <v/>
      </c>
    </row>
    <row r="57" customFormat="false" ht="15" hidden="false" customHeight="false" outlineLevel="0" collapsed="false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4"/>
      <c r="O57" s="18" t="str">
        <f aca="false">IF(OR($A57="",ISNA(MATCH($A57,Simulations!$A$3:$A$62,0))),"",IF(INDEX(Simulations!$I$3:$I$62,MATCH($A57,Simulations!$A$3:$A$62,0))&gt;0,$D57/(INDEX(Simulations!$G$3:$G$62,MATCH($A57,Simulations!$A$3:$A$62,0))*INDEX(Simulations!$H$3:$H$62,MATCH($A57,Simulations!$A$3:$A$62,0))*IF(INDEX(Simulations!$I$3:$I$62,MATCH($A57,Simulations!$A$3:$A$62,0))&gt;0,INDEX(Simulations!$I$3:$I$62,MATCH($A57,Simulations!$A$3:$A$62,0)),1))/1E-024/6.022E+023/0.000000001,""))</f>
        <v/>
      </c>
      <c r="P57" s="20" t="str">
        <f aca="false">IF(OR($A57="",ISNA(MATCH($A57,Simulations!$A$3:$A$62,0))),"",MAX($E57:$H57)/INDEX(Simulations!$J$3:$J$62,MATCH($A57,Simulations!$A$3:$A$62,0)))</f>
        <v/>
      </c>
      <c r="Q57" s="16" t="str">
        <f aca="false">IF(OR($A57="",ISNA(MATCH($A57,Simulations!$A$3:$A$62,0))),"",IF(N($E57)&lt;=0,0,IF($E57&lt;INDEX(Simulations!$J$3:$J$62,MATCH($A57,Simulations!$A$3:$A$62,0)),$D57/(INDEX(Simulations!$G$3:$G$62,MATCH($A57,Simulations!$A$3:$A$62,0))*INDEX(Simulations!$H$3:$H$62,MATCH($A57,Simulations!$A$3:$A$62,0))*IF(INDEX(Simulations!$I$3:$I$62,MATCH($A57,Simulations!$A$3:$A$62,0))&gt;0,INDEX(Simulations!$I$3:$I$62,MATCH($A57,Simulations!$A$3:$A$62,0)),1))*$E57*(PI()/2*INDEX(Simulations!$T$3:$T$62,MATCH($A57,Simulations!$A$3:$A$62,0))^2*IF(INDEX(Simulations!$I$3:$I$62,MATCH($A57,Simulations!$A$3:$A$62,0))&gt;0,SQRT(PI()/2)*INDEX(Simulations!$U$3:$U$62,MATCH($A57,Simulations!$A$3:$A$62,0)),1)),$D57/(INDEX(Simulations!$G$3:$G$62,MATCH($A57,Simulations!$A$3:$A$62,0))*INDEX(Simulations!$H$3:$H$62,MATCH($A57,Simulations!$A$3:$A$62,0))*IF(INDEX(Simulations!$I$3:$I$62,MATCH($A57,Simulations!$A$3:$A$62,0))&gt;0,INDEX(Simulations!$I$3:$I$62,MATCH($A57,Simulations!$A$3:$A$62,0)),1))*INDEX(Simulations!$J$3:$J$62,MATCH($A57,Simulations!$A$3:$A$62,0))*IF(INDEX(Simulations!$I$3:$I$62,MATCH($A57,Simulations!$A$3:$A$62,0))&gt;0,2*PI()*INDEX(Simulations!$T$3:$T$62,MATCH($A57,Simulations!$A$3:$A$62,0))^2*INDEX(Simulations!$U$3:$U$62,MATCH($A57,Simulations!$A$3:$A$62,0))/2^1.5*(2/3*LN($E57/INDEX(Simulations!$J$3:$J$62,MATCH($A57,Simulations!$A$3:$A$62,0)))^1.5+SQRT(LN($E57/INDEX(Simulations!$J$3:$J$62,MATCH($A57,Simulations!$A$3:$A$62,0))))+$E57/INDEX(Simulations!$J$3:$J$62,MATCH($A57,Simulations!$A$3:$A$62,0))*SQRT(PI())/2*ERFC(SQRT(LN($E57/INDEX(Simulations!$J$3:$J$62,MATCH($A57,Simulations!$A$3:$A$62,0)))))),PI()*INDEX(Simulations!$T$3:$T$62,MATCH($A57,Simulations!$A$3:$A$62,0))^2/2*(LN($E57/INDEX(Simulations!$J$3:$J$62,MATCH($A57,Simulations!$A$3:$A$62,0)))+1)))))</f>
        <v/>
      </c>
      <c r="R57" s="16" t="str">
        <f aca="false">IF(OR($A57="",ISNA(MATCH($A57,Simulations!$A$3:$A$62,0))),"",IF(N($F57)&lt;=0,0,IF($F57&lt;INDEX(Simulations!$J$3:$J$62,MATCH($A57,Simulations!$A$3:$A$62,0)),$D57/(INDEX(Simulations!$G$3:$G$62,MATCH($A57,Simulations!$A$3:$A$62,0))*INDEX(Simulations!$H$3:$H$62,MATCH($A57,Simulations!$A$3:$A$62,0))*IF(INDEX(Simulations!$I$3:$I$62,MATCH($A57,Simulations!$A$3:$A$62,0))&gt;0,INDEX(Simulations!$I$3:$I$62,MATCH($A57,Simulations!$A$3:$A$62,0)),1))*$F57*(PI()/2*INDEX(Simulations!$T$3:$T$62,MATCH($A57,Simulations!$A$3:$A$62,0))^2*IF(INDEX(Simulations!$I$3:$I$62,MATCH($A57,Simulations!$A$3:$A$62,0))&gt;0,SQRT(PI()/2)*INDEX(Simulations!$U$3:$U$62,MATCH($A57,Simulations!$A$3:$A$62,0)),1)),$D57/(INDEX(Simulations!$G$3:$G$62,MATCH($A57,Simulations!$A$3:$A$62,0))*INDEX(Simulations!$H$3:$H$62,MATCH($A57,Simulations!$A$3:$A$62,0))*IF(INDEX(Simulations!$I$3:$I$62,MATCH($A57,Simulations!$A$3:$A$62,0))&gt;0,INDEX(Simulations!$I$3:$I$62,MATCH($A57,Simulations!$A$3:$A$62,0)),1))*INDEX(Simulations!$J$3:$J$62,MATCH($A57,Simulations!$A$3:$A$62,0))*IF(INDEX(Simulations!$I$3:$I$62,MATCH($A57,Simulations!$A$3:$A$62,0))&gt;0,2*PI()*INDEX(Simulations!$T$3:$T$62,MATCH($A57,Simulations!$A$3:$A$62,0))^2*INDEX(Simulations!$U$3:$U$62,MATCH($A57,Simulations!$A$3:$A$62,0))/2^1.5*(2/3*LN($F57/INDEX(Simulations!$J$3:$J$62,MATCH($A57,Simulations!$A$3:$A$62,0)))^1.5+SQRT(LN($F57/INDEX(Simulations!$J$3:$J$62,MATCH($A57,Simulations!$A$3:$A$62,0))))+$F57/INDEX(Simulations!$J$3:$J$62,MATCH($A57,Simulations!$A$3:$A$62,0))*SQRT(PI())/2*ERFC(SQRT(LN($F57/INDEX(Simulations!$J$3:$J$62,MATCH($A57,Simulations!$A$3:$A$62,0)))))),PI()*INDEX(Simulations!$T$3:$T$62,MATCH($A57,Simulations!$A$3:$A$62,0))^2/2*(LN($F57/INDEX(Simulations!$J$3:$J$62,MATCH($A57,Simulations!$A$3:$A$62,0)))+1)))))</f>
        <v/>
      </c>
      <c r="S57" s="16" t="str">
        <f aca="false">IF(OR($A57="",ISNA(MATCH($A57,Simulations!$A$3:$A$62,0))),"",IF(N($G57)&lt;=0,0,IF($G57&lt;INDEX(Simulations!$J$3:$J$62,MATCH($A57,Simulations!$A$3:$A$62,0)),$D57/(INDEX(Simulations!$G$3:$G$62,MATCH($A57,Simulations!$A$3:$A$62,0))*INDEX(Simulations!$H$3:$H$62,MATCH($A57,Simulations!$A$3:$A$62,0))*IF(INDEX(Simulations!$I$3:$I$62,MATCH($A57,Simulations!$A$3:$A$62,0))&gt;0,INDEX(Simulations!$I$3:$I$62,MATCH($A57,Simulations!$A$3:$A$62,0)),1))*$G57*(PI()/2*INDEX(Simulations!$T$3:$T$62,MATCH($A57,Simulations!$A$3:$A$62,0))^2*IF(INDEX(Simulations!$I$3:$I$62,MATCH($A57,Simulations!$A$3:$A$62,0))&gt;0,SQRT(PI()/2)*INDEX(Simulations!$U$3:$U$62,MATCH($A57,Simulations!$A$3:$A$62,0)),1)),$D57/(INDEX(Simulations!$G$3:$G$62,MATCH($A57,Simulations!$A$3:$A$62,0))*INDEX(Simulations!$H$3:$H$62,MATCH($A57,Simulations!$A$3:$A$62,0))*IF(INDEX(Simulations!$I$3:$I$62,MATCH($A57,Simulations!$A$3:$A$62,0))&gt;0,INDEX(Simulations!$I$3:$I$62,MATCH($A57,Simulations!$A$3:$A$62,0)),1))*INDEX(Simulations!$J$3:$J$62,MATCH($A57,Simulations!$A$3:$A$62,0))*IF(INDEX(Simulations!$I$3:$I$62,MATCH($A57,Simulations!$A$3:$A$62,0))&gt;0,2*PI()*INDEX(Simulations!$T$3:$T$62,MATCH($A57,Simulations!$A$3:$A$62,0))^2*INDEX(Simulations!$U$3:$U$62,MATCH($A57,Simulations!$A$3:$A$62,0))/2^1.5*(2/3*LN($G57/INDEX(Simulations!$J$3:$J$62,MATCH($A57,Simulations!$A$3:$A$62,0)))^1.5+SQRT(LN($G57/INDEX(Simulations!$J$3:$J$62,MATCH($A57,Simulations!$A$3:$A$62,0))))+$G57/INDEX(Simulations!$J$3:$J$62,MATCH($A57,Simulations!$A$3:$A$62,0))*SQRT(PI())/2*ERFC(SQRT(LN($G57/INDEX(Simulations!$J$3:$J$62,MATCH($A57,Simulations!$A$3:$A$62,0)))))),PI()*INDEX(Simulations!$T$3:$T$62,MATCH($A57,Simulations!$A$3:$A$62,0))^2/2*(LN($G57/INDEX(Simulations!$J$3:$J$62,MATCH($A57,Simulations!$A$3:$A$62,0)))+1)))))</f>
        <v/>
      </c>
      <c r="T57" s="16" t="str">
        <f aca="false">IF(OR($A57="",ISNA(MATCH($A57,Simulations!$A$3:$A$62,0))),"",IF(N($H57)&lt;=0,0,IF($H57&lt;INDEX(Simulations!$J$3:$J$62,MATCH($A57,Simulations!$A$3:$A$62,0)),$D57/(INDEX(Simulations!$G$3:$G$62,MATCH($A57,Simulations!$A$3:$A$62,0))*INDEX(Simulations!$H$3:$H$62,MATCH($A57,Simulations!$A$3:$A$62,0))*IF(INDEX(Simulations!$I$3:$I$62,MATCH($A57,Simulations!$A$3:$A$62,0))&gt;0,INDEX(Simulations!$I$3:$I$62,MATCH($A57,Simulations!$A$3:$A$62,0)),1))*$H57*(PI()/2*INDEX(Simulations!$T$3:$T$62,MATCH($A57,Simulations!$A$3:$A$62,0))^2*IF(INDEX(Simulations!$I$3:$I$62,MATCH($A57,Simulations!$A$3:$A$62,0))&gt;0,SQRT(PI()/2)*INDEX(Simulations!$U$3:$U$62,MATCH($A57,Simulations!$A$3:$A$62,0)),1)),$D57/(INDEX(Simulations!$G$3:$G$62,MATCH($A57,Simulations!$A$3:$A$62,0))*INDEX(Simulations!$H$3:$H$62,MATCH($A57,Simulations!$A$3:$A$62,0))*IF(INDEX(Simulations!$I$3:$I$62,MATCH($A57,Simulations!$A$3:$A$62,0))&gt;0,INDEX(Simulations!$I$3:$I$62,MATCH($A57,Simulations!$A$3:$A$62,0)),1))*INDEX(Simulations!$J$3:$J$62,MATCH($A57,Simulations!$A$3:$A$62,0))*IF(INDEX(Simulations!$I$3:$I$62,MATCH($A57,Simulations!$A$3:$A$62,0))&gt;0,2*PI()*INDEX(Simulations!$T$3:$T$62,MATCH($A57,Simulations!$A$3:$A$62,0))^2*INDEX(Simulations!$U$3:$U$62,MATCH($A57,Simulations!$A$3:$A$62,0))/2^1.5*(2/3*LN($H57/INDEX(Simulations!$J$3:$J$62,MATCH($A57,Simulations!$A$3:$A$62,0)))^1.5+SQRT(LN($H57/INDEX(Simulations!$J$3:$J$62,MATCH($A57,Simulations!$A$3:$A$62,0))))+$H57/INDEX(Simulations!$J$3:$J$62,MATCH($A57,Simulations!$A$3:$A$62,0))*SQRT(PI())/2*ERFC(SQRT(LN($H57/INDEX(Simulations!$J$3:$J$62,MATCH($A57,Simulations!$A$3:$A$62,0)))))),PI()*INDEX(Simulations!$T$3:$T$62,MATCH($A57,Simulations!$A$3:$A$62,0))^2/2*(LN($H57/INDEX(Simulations!$J$3:$J$62,MATCH($A57,Simulations!$A$3:$A$62,0)))+1)))))</f>
        <v/>
      </c>
      <c r="U57" s="18" t="str">
        <f aca="false">IF(OR(OR($A57="",ISNA(MATCH($A57,Simulations!$A$3:$A$62,0))),N($C57)&lt;=0),"",SQRT(2*$C57*1000000/(INDEX(Simulations!$J$3:$J$62,MATCH($A57,Simulations!$A$3:$A$62,0))*1000))/INDEX(Simulations!$T$3:$T$62,MATCH($A57,Simulations!$A$3:$A$62,0)))</f>
        <v/>
      </c>
      <c r="V57" s="19" t="str">
        <f aca="false">IF($A57="","",IF(ISNA(MATCH($A57,Simulations!$A$3:$A$62,0)),"✖ Sim ID not found on the Simulations sheet",IF($P57&gt;=1,"✖ brightness &gt;= sampling frequency: completely saturated (D too small, c too large)",IF($P57&gt;0.1,"⚠ brightness &gt; 10% of the sampling frequency: focus starts to saturate",IF(N($U57)&gt;0.1,"⚠ diffusion step &gt; 10% of wr: raise the sampling frequency",IF(MAX($E57:$H57)=0,"⚠ no brightness set","✔ OK"))))))</f>
        <v/>
      </c>
    </row>
    <row r="58" customFormat="false" ht="15" hidden="false" customHeight="false" outlineLevel="0" collapsed="false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4"/>
      <c r="O58" s="18" t="str">
        <f aca="false">IF(OR($A58="",ISNA(MATCH($A58,Simulations!$A$3:$A$62,0))),"",IF(INDEX(Simulations!$I$3:$I$62,MATCH($A58,Simulations!$A$3:$A$62,0))&gt;0,$D58/(INDEX(Simulations!$G$3:$G$62,MATCH($A58,Simulations!$A$3:$A$62,0))*INDEX(Simulations!$H$3:$H$62,MATCH($A58,Simulations!$A$3:$A$62,0))*IF(INDEX(Simulations!$I$3:$I$62,MATCH($A58,Simulations!$A$3:$A$62,0))&gt;0,INDEX(Simulations!$I$3:$I$62,MATCH($A58,Simulations!$A$3:$A$62,0)),1))/1E-024/6.022E+023/0.000000001,""))</f>
        <v/>
      </c>
      <c r="P58" s="20" t="str">
        <f aca="false">IF(OR($A58="",ISNA(MATCH($A58,Simulations!$A$3:$A$62,0))),"",MAX($E58:$H58)/INDEX(Simulations!$J$3:$J$62,MATCH($A58,Simulations!$A$3:$A$62,0)))</f>
        <v/>
      </c>
      <c r="Q58" s="16" t="str">
        <f aca="false">IF(OR($A58="",ISNA(MATCH($A58,Simulations!$A$3:$A$62,0))),"",IF(N($E58)&lt;=0,0,IF($E58&lt;INDEX(Simulations!$J$3:$J$62,MATCH($A58,Simulations!$A$3:$A$62,0)),$D58/(INDEX(Simulations!$G$3:$G$62,MATCH($A58,Simulations!$A$3:$A$62,0))*INDEX(Simulations!$H$3:$H$62,MATCH($A58,Simulations!$A$3:$A$62,0))*IF(INDEX(Simulations!$I$3:$I$62,MATCH($A58,Simulations!$A$3:$A$62,0))&gt;0,INDEX(Simulations!$I$3:$I$62,MATCH($A58,Simulations!$A$3:$A$62,0)),1))*$E58*(PI()/2*INDEX(Simulations!$T$3:$T$62,MATCH($A58,Simulations!$A$3:$A$62,0))^2*IF(INDEX(Simulations!$I$3:$I$62,MATCH($A58,Simulations!$A$3:$A$62,0))&gt;0,SQRT(PI()/2)*INDEX(Simulations!$U$3:$U$62,MATCH($A58,Simulations!$A$3:$A$62,0)),1)),$D58/(INDEX(Simulations!$G$3:$G$62,MATCH($A58,Simulations!$A$3:$A$62,0))*INDEX(Simulations!$H$3:$H$62,MATCH($A58,Simulations!$A$3:$A$62,0))*IF(INDEX(Simulations!$I$3:$I$62,MATCH($A58,Simulations!$A$3:$A$62,0))&gt;0,INDEX(Simulations!$I$3:$I$62,MATCH($A58,Simulations!$A$3:$A$62,0)),1))*INDEX(Simulations!$J$3:$J$62,MATCH($A58,Simulations!$A$3:$A$62,0))*IF(INDEX(Simulations!$I$3:$I$62,MATCH($A58,Simulations!$A$3:$A$62,0))&gt;0,2*PI()*INDEX(Simulations!$T$3:$T$62,MATCH($A58,Simulations!$A$3:$A$62,0))^2*INDEX(Simulations!$U$3:$U$62,MATCH($A58,Simulations!$A$3:$A$62,0))/2^1.5*(2/3*LN($E58/INDEX(Simulations!$J$3:$J$62,MATCH($A58,Simulations!$A$3:$A$62,0)))^1.5+SQRT(LN($E58/INDEX(Simulations!$J$3:$J$62,MATCH($A58,Simulations!$A$3:$A$62,0))))+$E58/INDEX(Simulations!$J$3:$J$62,MATCH($A58,Simulations!$A$3:$A$62,0))*SQRT(PI())/2*ERFC(SQRT(LN($E58/INDEX(Simulations!$J$3:$J$62,MATCH($A58,Simulations!$A$3:$A$62,0)))))),PI()*INDEX(Simulations!$T$3:$T$62,MATCH($A58,Simulations!$A$3:$A$62,0))^2/2*(LN($E58/INDEX(Simulations!$J$3:$J$62,MATCH($A58,Simulations!$A$3:$A$62,0)))+1)))))</f>
        <v/>
      </c>
      <c r="R58" s="16" t="str">
        <f aca="false">IF(OR($A58="",ISNA(MATCH($A58,Simulations!$A$3:$A$62,0))),"",IF(N($F58)&lt;=0,0,IF($F58&lt;INDEX(Simulations!$J$3:$J$62,MATCH($A58,Simulations!$A$3:$A$62,0)),$D58/(INDEX(Simulations!$G$3:$G$62,MATCH($A58,Simulations!$A$3:$A$62,0))*INDEX(Simulations!$H$3:$H$62,MATCH($A58,Simulations!$A$3:$A$62,0))*IF(INDEX(Simulations!$I$3:$I$62,MATCH($A58,Simulations!$A$3:$A$62,0))&gt;0,INDEX(Simulations!$I$3:$I$62,MATCH($A58,Simulations!$A$3:$A$62,0)),1))*$F58*(PI()/2*INDEX(Simulations!$T$3:$T$62,MATCH($A58,Simulations!$A$3:$A$62,0))^2*IF(INDEX(Simulations!$I$3:$I$62,MATCH($A58,Simulations!$A$3:$A$62,0))&gt;0,SQRT(PI()/2)*INDEX(Simulations!$U$3:$U$62,MATCH($A58,Simulations!$A$3:$A$62,0)),1)),$D58/(INDEX(Simulations!$G$3:$G$62,MATCH($A58,Simulations!$A$3:$A$62,0))*INDEX(Simulations!$H$3:$H$62,MATCH($A58,Simulations!$A$3:$A$62,0))*IF(INDEX(Simulations!$I$3:$I$62,MATCH($A58,Simulations!$A$3:$A$62,0))&gt;0,INDEX(Simulations!$I$3:$I$62,MATCH($A58,Simulations!$A$3:$A$62,0)),1))*INDEX(Simulations!$J$3:$J$62,MATCH($A58,Simulations!$A$3:$A$62,0))*IF(INDEX(Simulations!$I$3:$I$62,MATCH($A58,Simulations!$A$3:$A$62,0))&gt;0,2*PI()*INDEX(Simulations!$T$3:$T$62,MATCH($A58,Simulations!$A$3:$A$62,0))^2*INDEX(Simulations!$U$3:$U$62,MATCH($A58,Simulations!$A$3:$A$62,0))/2^1.5*(2/3*LN($F58/INDEX(Simulations!$J$3:$J$62,MATCH($A58,Simulations!$A$3:$A$62,0)))^1.5+SQRT(LN($F58/INDEX(Simulations!$J$3:$J$62,MATCH($A58,Simulations!$A$3:$A$62,0))))+$F58/INDEX(Simulations!$J$3:$J$62,MATCH($A58,Simulations!$A$3:$A$62,0))*SQRT(PI())/2*ERFC(SQRT(LN($F58/INDEX(Simulations!$J$3:$J$62,MATCH($A58,Simulations!$A$3:$A$62,0)))))),PI()*INDEX(Simulations!$T$3:$T$62,MATCH($A58,Simulations!$A$3:$A$62,0))^2/2*(LN($F58/INDEX(Simulations!$J$3:$J$62,MATCH($A58,Simulations!$A$3:$A$62,0)))+1)))))</f>
        <v/>
      </c>
      <c r="S58" s="16" t="str">
        <f aca="false">IF(OR($A58="",ISNA(MATCH($A58,Simulations!$A$3:$A$62,0))),"",IF(N($G58)&lt;=0,0,IF($G58&lt;INDEX(Simulations!$J$3:$J$62,MATCH($A58,Simulations!$A$3:$A$62,0)),$D58/(INDEX(Simulations!$G$3:$G$62,MATCH($A58,Simulations!$A$3:$A$62,0))*INDEX(Simulations!$H$3:$H$62,MATCH($A58,Simulations!$A$3:$A$62,0))*IF(INDEX(Simulations!$I$3:$I$62,MATCH($A58,Simulations!$A$3:$A$62,0))&gt;0,INDEX(Simulations!$I$3:$I$62,MATCH($A58,Simulations!$A$3:$A$62,0)),1))*$G58*(PI()/2*INDEX(Simulations!$T$3:$T$62,MATCH($A58,Simulations!$A$3:$A$62,0))^2*IF(INDEX(Simulations!$I$3:$I$62,MATCH($A58,Simulations!$A$3:$A$62,0))&gt;0,SQRT(PI()/2)*INDEX(Simulations!$U$3:$U$62,MATCH($A58,Simulations!$A$3:$A$62,0)),1)),$D58/(INDEX(Simulations!$G$3:$G$62,MATCH($A58,Simulations!$A$3:$A$62,0))*INDEX(Simulations!$H$3:$H$62,MATCH($A58,Simulations!$A$3:$A$62,0))*IF(INDEX(Simulations!$I$3:$I$62,MATCH($A58,Simulations!$A$3:$A$62,0))&gt;0,INDEX(Simulations!$I$3:$I$62,MATCH($A58,Simulations!$A$3:$A$62,0)),1))*INDEX(Simulations!$J$3:$J$62,MATCH($A58,Simulations!$A$3:$A$62,0))*IF(INDEX(Simulations!$I$3:$I$62,MATCH($A58,Simulations!$A$3:$A$62,0))&gt;0,2*PI()*INDEX(Simulations!$T$3:$T$62,MATCH($A58,Simulations!$A$3:$A$62,0))^2*INDEX(Simulations!$U$3:$U$62,MATCH($A58,Simulations!$A$3:$A$62,0))/2^1.5*(2/3*LN($G58/INDEX(Simulations!$J$3:$J$62,MATCH($A58,Simulations!$A$3:$A$62,0)))^1.5+SQRT(LN($G58/INDEX(Simulations!$J$3:$J$62,MATCH($A58,Simulations!$A$3:$A$62,0))))+$G58/INDEX(Simulations!$J$3:$J$62,MATCH($A58,Simulations!$A$3:$A$62,0))*SQRT(PI())/2*ERFC(SQRT(LN($G58/INDEX(Simulations!$J$3:$J$62,MATCH($A58,Simulations!$A$3:$A$62,0)))))),PI()*INDEX(Simulations!$T$3:$T$62,MATCH($A58,Simulations!$A$3:$A$62,0))^2/2*(LN($G58/INDEX(Simulations!$J$3:$J$62,MATCH($A58,Simulations!$A$3:$A$62,0)))+1)))))</f>
        <v/>
      </c>
      <c r="T58" s="16" t="str">
        <f aca="false">IF(OR($A58="",ISNA(MATCH($A58,Simulations!$A$3:$A$62,0))),"",IF(N($H58)&lt;=0,0,IF($H58&lt;INDEX(Simulations!$J$3:$J$62,MATCH($A58,Simulations!$A$3:$A$62,0)),$D58/(INDEX(Simulations!$G$3:$G$62,MATCH($A58,Simulations!$A$3:$A$62,0))*INDEX(Simulations!$H$3:$H$62,MATCH($A58,Simulations!$A$3:$A$62,0))*IF(INDEX(Simulations!$I$3:$I$62,MATCH($A58,Simulations!$A$3:$A$62,0))&gt;0,INDEX(Simulations!$I$3:$I$62,MATCH($A58,Simulations!$A$3:$A$62,0)),1))*$H58*(PI()/2*INDEX(Simulations!$T$3:$T$62,MATCH($A58,Simulations!$A$3:$A$62,0))^2*IF(INDEX(Simulations!$I$3:$I$62,MATCH($A58,Simulations!$A$3:$A$62,0))&gt;0,SQRT(PI()/2)*INDEX(Simulations!$U$3:$U$62,MATCH($A58,Simulations!$A$3:$A$62,0)),1)),$D58/(INDEX(Simulations!$G$3:$G$62,MATCH($A58,Simulations!$A$3:$A$62,0))*INDEX(Simulations!$H$3:$H$62,MATCH($A58,Simulations!$A$3:$A$62,0))*IF(INDEX(Simulations!$I$3:$I$62,MATCH($A58,Simulations!$A$3:$A$62,0))&gt;0,INDEX(Simulations!$I$3:$I$62,MATCH($A58,Simulations!$A$3:$A$62,0)),1))*INDEX(Simulations!$J$3:$J$62,MATCH($A58,Simulations!$A$3:$A$62,0))*IF(INDEX(Simulations!$I$3:$I$62,MATCH($A58,Simulations!$A$3:$A$62,0))&gt;0,2*PI()*INDEX(Simulations!$T$3:$T$62,MATCH($A58,Simulations!$A$3:$A$62,0))^2*INDEX(Simulations!$U$3:$U$62,MATCH($A58,Simulations!$A$3:$A$62,0))/2^1.5*(2/3*LN($H58/INDEX(Simulations!$J$3:$J$62,MATCH($A58,Simulations!$A$3:$A$62,0)))^1.5+SQRT(LN($H58/INDEX(Simulations!$J$3:$J$62,MATCH($A58,Simulations!$A$3:$A$62,0))))+$H58/INDEX(Simulations!$J$3:$J$62,MATCH($A58,Simulations!$A$3:$A$62,0))*SQRT(PI())/2*ERFC(SQRT(LN($H58/INDEX(Simulations!$J$3:$J$62,MATCH($A58,Simulations!$A$3:$A$62,0)))))),PI()*INDEX(Simulations!$T$3:$T$62,MATCH($A58,Simulations!$A$3:$A$62,0))^2/2*(LN($H58/INDEX(Simulations!$J$3:$J$62,MATCH($A58,Simulations!$A$3:$A$62,0)))+1)))))</f>
        <v/>
      </c>
      <c r="U58" s="18" t="str">
        <f aca="false">IF(OR(OR($A58="",ISNA(MATCH($A58,Simulations!$A$3:$A$62,0))),N($C58)&lt;=0),"",SQRT(2*$C58*1000000/(INDEX(Simulations!$J$3:$J$62,MATCH($A58,Simulations!$A$3:$A$62,0))*1000))/INDEX(Simulations!$T$3:$T$62,MATCH($A58,Simulations!$A$3:$A$62,0)))</f>
        <v/>
      </c>
      <c r="V58" s="19" t="str">
        <f aca="false">IF($A58="","",IF(ISNA(MATCH($A58,Simulations!$A$3:$A$62,0)),"✖ Sim ID not found on the Simulations sheet",IF($P58&gt;=1,"✖ brightness &gt;= sampling frequency: completely saturated (D too small, c too large)",IF($P58&gt;0.1,"⚠ brightness &gt; 10% of the sampling frequency: focus starts to saturate",IF(N($U58)&gt;0.1,"⚠ diffusion step &gt; 10% of wr: raise the sampling frequency",IF(MAX($E58:$H58)=0,"⚠ no brightness set","✔ OK"))))))</f>
        <v/>
      </c>
    </row>
    <row r="59" customFormat="false" ht="15" hidden="false" customHeight="false" outlineLevel="0" collapsed="false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4"/>
      <c r="O59" s="18" t="str">
        <f aca="false">IF(OR($A59="",ISNA(MATCH($A59,Simulations!$A$3:$A$62,0))),"",IF(INDEX(Simulations!$I$3:$I$62,MATCH($A59,Simulations!$A$3:$A$62,0))&gt;0,$D59/(INDEX(Simulations!$G$3:$G$62,MATCH($A59,Simulations!$A$3:$A$62,0))*INDEX(Simulations!$H$3:$H$62,MATCH($A59,Simulations!$A$3:$A$62,0))*IF(INDEX(Simulations!$I$3:$I$62,MATCH($A59,Simulations!$A$3:$A$62,0))&gt;0,INDEX(Simulations!$I$3:$I$62,MATCH($A59,Simulations!$A$3:$A$62,0)),1))/1E-024/6.022E+023/0.000000001,""))</f>
        <v/>
      </c>
      <c r="P59" s="20" t="str">
        <f aca="false">IF(OR($A59="",ISNA(MATCH($A59,Simulations!$A$3:$A$62,0))),"",MAX($E59:$H59)/INDEX(Simulations!$J$3:$J$62,MATCH($A59,Simulations!$A$3:$A$62,0)))</f>
        <v/>
      </c>
      <c r="Q59" s="16" t="str">
        <f aca="false">IF(OR($A59="",ISNA(MATCH($A59,Simulations!$A$3:$A$62,0))),"",IF(N($E59)&lt;=0,0,IF($E59&lt;INDEX(Simulations!$J$3:$J$62,MATCH($A59,Simulations!$A$3:$A$62,0)),$D59/(INDEX(Simulations!$G$3:$G$62,MATCH($A59,Simulations!$A$3:$A$62,0))*INDEX(Simulations!$H$3:$H$62,MATCH($A59,Simulations!$A$3:$A$62,0))*IF(INDEX(Simulations!$I$3:$I$62,MATCH($A59,Simulations!$A$3:$A$62,0))&gt;0,INDEX(Simulations!$I$3:$I$62,MATCH($A59,Simulations!$A$3:$A$62,0)),1))*$E59*(PI()/2*INDEX(Simulations!$T$3:$T$62,MATCH($A59,Simulations!$A$3:$A$62,0))^2*IF(INDEX(Simulations!$I$3:$I$62,MATCH($A59,Simulations!$A$3:$A$62,0))&gt;0,SQRT(PI()/2)*INDEX(Simulations!$U$3:$U$62,MATCH($A59,Simulations!$A$3:$A$62,0)),1)),$D59/(INDEX(Simulations!$G$3:$G$62,MATCH($A59,Simulations!$A$3:$A$62,0))*INDEX(Simulations!$H$3:$H$62,MATCH($A59,Simulations!$A$3:$A$62,0))*IF(INDEX(Simulations!$I$3:$I$62,MATCH($A59,Simulations!$A$3:$A$62,0))&gt;0,INDEX(Simulations!$I$3:$I$62,MATCH($A59,Simulations!$A$3:$A$62,0)),1))*INDEX(Simulations!$J$3:$J$62,MATCH($A59,Simulations!$A$3:$A$62,0))*IF(INDEX(Simulations!$I$3:$I$62,MATCH($A59,Simulations!$A$3:$A$62,0))&gt;0,2*PI()*INDEX(Simulations!$T$3:$T$62,MATCH($A59,Simulations!$A$3:$A$62,0))^2*INDEX(Simulations!$U$3:$U$62,MATCH($A59,Simulations!$A$3:$A$62,0))/2^1.5*(2/3*LN($E59/INDEX(Simulations!$J$3:$J$62,MATCH($A59,Simulations!$A$3:$A$62,0)))^1.5+SQRT(LN($E59/INDEX(Simulations!$J$3:$J$62,MATCH($A59,Simulations!$A$3:$A$62,0))))+$E59/INDEX(Simulations!$J$3:$J$62,MATCH($A59,Simulations!$A$3:$A$62,0))*SQRT(PI())/2*ERFC(SQRT(LN($E59/INDEX(Simulations!$J$3:$J$62,MATCH($A59,Simulations!$A$3:$A$62,0)))))),PI()*INDEX(Simulations!$T$3:$T$62,MATCH($A59,Simulations!$A$3:$A$62,0))^2/2*(LN($E59/INDEX(Simulations!$J$3:$J$62,MATCH($A59,Simulations!$A$3:$A$62,0)))+1)))))</f>
        <v/>
      </c>
      <c r="R59" s="16" t="str">
        <f aca="false">IF(OR($A59="",ISNA(MATCH($A59,Simulations!$A$3:$A$62,0))),"",IF(N($F59)&lt;=0,0,IF($F59&lt;INDEX(Simulations!$J$3:$J$62,MATCH($A59,Simulations!$A$3:$A$62,0)),$D59/(INDEX(Simulations!$G$3:$G$62,MATCH($A59,Simulations!$A$3:$A$62,0))*INDEX(Simulations!$H$3:$H$62,MATCH($A59,Simulations!$A$3:$A$62,0))*IF(INDEX(Simulations!$I$3:$I$62,MATCH($A59,Simulations!$A$3:$A$62,0))&gt;0,INDEX(Simulations!$I$3:$I$62,MATCH($A59,Simulations!$A$3:$A$62,0)),1))*$F59*(PI()/2*INDEX(Simulations!$T$3:$T$62,MATCH($A59,Simulations!$A$3:$A$62,0))^2*IF(INDEX(Simulations!$I$3:$I$62,MATCH($A59,Simulations!$A$3:$A$62,0))&gt;0,SQRT(PI()/2)*INDEX(Simulations!$U$3:$U$62,MATCH($A59,Simulations!$A$3:$A$62,0)),1)),$D59/(INDEX(Simulations!$G$3:$G$62,MATCH($A59,Simulations!$A$3:$A$62,0))*INDEX(Simulations!$H$3:$H$62,MATCH($A59,Simulations!$A$3:$A$62,0))*IF(INDEX(Simulations!$I$3:$I$62,MATCH($A59,Simulations!$A$3:$A$62,0))&gt;0,INDEX(Simulations!$I$3:$I$62,MATCH($A59,Simulations!$A$3:$A$62,0)),1))*INDEX(Simulations!$J$3:$J$62,MATCH($A59,Simulations!$A$3:$A$62,0))*IF(INDEX(Simulations!$I$3:$I$62,MATCH($A59,Simulations!$A$3:$A$62,0))&gt;0,2*PI()*INDEX(Simulations!$T$3:$T$62,MATCH($A59,Simulations!$A$3:$A$62,0))^2*INDEX(Simulations!$U$3:$U$62,MATCH($A59,Simulations!$A$3:$A$62,0))/2^1.5*(2/3*LN($F59/INDEX(Simulations!$J$3:$J$62,MATCH($A59,Simulations!$A$3:$A$62,0)))^1.5+SQRT(LN($F59/INDEX(Simulations!$J$3:$J$62,MATCH($A59,Simulations!$A$3:$A$62,0))))+$F59/INDEX(Simulations!$J$3:$J$62,MATCH($A59,Simulations!$A$3:$A$62,0))*SQRT(PI())/2*ERFC(SQRT(LN($F59/INDEX(Simulations!$J$3:$J$62,MATCH($A59,Simulations!$A$3:$A$62,0)))))),PI()*INDEX(Simulations!$T$3:$T$62,MATCH($A59,Simulations!$A$3:$A$62,0))^2/2*(LN($F59/INDEX(Simulations!$J$3:$J$62,MATCH($A59,Simulations!$A$3:$A$62,0)))+1)))))</f>
        <v/>
      </c>
      <c r="S59" s="16" t="str">
        <f aca="false">IF(OR($A59="",ISNA(MATCH($A59,Simulations!$A$3:$A$62,0))),"",IF(N($G59)&lt;=0,0,IF($G59&lt;INDEX(Simulations!$J$3:$J$62,MATCH($A59,Simulations!$A$3:$A$62,0)),$D59/(INDEX(Simulations!$G$3:$G$62,MATCH($A59,Simulations!$A$3:$A$62,0))*INDEX(Simulations!$H$3:$H$62,MATCH($A59,Simulations!$A$3:$A$62,0))*IF(INDEX(Simulations!$I$3:$I$62,MATCH($A59,Simulations!$A$3:$A$62,0))&gt;0,INDEX(Simulations!$I$3:$I$62,MATCH($A59,Simulations!$A$3:$A$62,0)),1))*$G59*(PI()/2*INDEX(Simulations!$T$3:$T$62,MATCH($A59,Simulations!$A$3:$A$62,0))^2*IF(INDEX(Simulations!$I$3:$I$62,MATCH($A59,Simulations!$A$3:$A$62,0))&gt;0,SQRT(PI()/2)*INDEX(Simulations!$U$3:$U$62,MATCH($A59,Simulations!$A$3:$A$62,0)),1)),$D59/(INDEX(Simulations!$G$3:$G$62,MATCH($A59,Simulations!$A$3:$A$62,0))*INDEX(Simulations!$H$3:$H$62,MATCH($A59,Simulations!$A$3:$A$62,0))*IF(INDEX(Simulations!$I$3:$I$62,MATCH($A59,Simulations!$A$3:$A$62,0))&gt;0,INDEX(Simulations!$I$3:$I$62,MATCH($A59,Simulations!$A$3:$A$62,0)),1))*INDEX(Simulations!$J$3:$J$62,MATCH($A59,Simulations!$A$3:$A$62,0))*IF(INDEX(Simulations!$I$3:$I$62,MATCH($A59,Simulations!$A$3:$A$62,0))&gt;0,2*PI()*INDEX(Simulations!$T$3:$T$62,MATCH($A59,Simulations!$A$3:$A$62,0))^2*INDEX(Simulations!$U$3:$U$62,MATCH($A59,Simulations!$A$3:$A$62,0))/2^1.5*(2/3*LN($G59/INDEX(Simulations!$J$3:$J$62,MATCH($A59,Simulations!$A$3:$A$62,0)))^1.5+SQRT(LN($G59/INDEX(Simulations!$J$3:$J$62,MATCH($A59,Simulations!$A$3:$A$62,0))))+$G59/INDEX(Simulations!$J$3:$J$62,MATCH($A59,Simulations!$A$3:$A$62,0))*SQRT(PI())/2*ERFC(SQRT(LN($G59/INDEX(Simulations!$J$3:$J$62,MATCH($A59,Simulations!$A$3:$A$62,0)))))),PI()*INDEX(Simulations!$T$3:$T$62,MATCH($A59,Simulations!$A$3:$A$62,0))^2/2*(LN($G59/INDEX(Simulations!$J$3:$J$62,MATCH($A59,Simulations!$A$3:$A$62,0)))+1)))))</f>
        <v/>
      </c>
      <c r="T59" s="16" t="str">
        <f aca="false">IF(OR($A59="",ISNA(MATCH($A59,Simulations!$A$3:$A$62,0))),"",IF(N($H59)&lt;=0,0,IF($H59&lt;INDEX(Simulations!$J$3:$J$62,MATCH($A59,Simulations!$A$3:$A$62,0)),$D59/(INDEX(Simulations!$G$3:$G$62,MATCH($A59,Simulations!$A$3:$A$62,0))*INDEX(Simulations!$H$3:$H$62,MATCH($A59,Simulations!$A$3:$A$62,0))*IF(INDEX(Simulations!$I$3:$I$62,MATCH($A59,Simulations!$A$3:$A$62,0))&gt;0,INDEX(Simulations!$I$3:$I$62,MATCH($A59,Simulations!$A$3:$A$62,0)),1))*$H59*(PI()/2*INDEX(Simulations!$T$3:$T$62,MATCH($A59,Simulations!$A$3:$A$62,0))^2*IF(INDEX(Simulations!$I$3:$I$62,MATCH($A59,Simulations!$A$3:$A$62,0))&gt;0,SQRT(PI()/2)*INDEX(Simulations!$U$3:$U$62,MATCH($A59,Simulations!$A$3:$A$62,0)),1)),$D59/(INDEX(Simulations!$G$3:$G$62,MATCH($A59,Simulations!$A$3:$A$62,0))*INDEX(Simulations!$H$3:$H$62,MATCH($A59,Simulations!$A$3:$A$62,0))*IF(INDEX(Simulations!$I$3:$I$62,MATCH($A59,Simulations!$A$3:$A$62,0))&gt;0,INDEX(Simulations!$I$3:$I$62,MATCH($A59,Simulations!$A$3:$A$62,0)),1))*INDEX(Simulations!$J$3:$J$62,MATCH($A59,Simulations!$A$3:$A$62,0))*IF(INDEX(Simulations!$I$3:$I$62,MATCH($A59,Simulations!$A$3:$A$62,0))&gt;0,2*PI()*INDEX(Simulations!$T$3:$T$62,MATCH($A59,Simulations!$A$3:$A$62,0))^2*INDEX(Simulations!$U$3:$U$62,MATCH($A59,Simulations!$A$3:$A$62,0))/2^1.5*(2/3*LN($H59/INDEX(Simulations!$J$3:$J$62,MATCH($A59,Simulations!$A$3:$A$62,0)))^1.5+SQRT(LN($H59/INDEX(Simulations!$J$3:$J$62,MATCH($A59,Simulations!$A$3:$A$62,0))))+$H59/INDEX(Simulations!$J$3:$J$62,MATCH($A59,Simulations!$A$3:$A$62,0))*SQRT(PI())/2*ERFC(SQRT(LN($H59/INDEX(Simulations!$J$3:$J$62,MATCH($A59,Simulations!$A$3:$A$62,0)))))),PI()*INDEX(Simulations!$T$3:$T$62,MATCH($A59,Simulations!$A$3:$A$62,0))^2/2*(LN($H59/INDEX(Simulations!$J$3:$J$62,MATCH($A59,Simulations!$A$3:$A$62,0)))+1)))))</f>
        <v/>
      </c>
      <c r="U59" s="18" t="str">
        <f aca="false">IF(OR(OR($A59="",ISNA(MATCH($A59,Simulations!$A$3:$A$62,0))),N($C59)&lt;=0),"",SQRT(2*$C59*1000000/(INDEX(Simulations!$J$3:$J$62,MATCH($A59,Simulations!$A$3:$A$62,0))*1000))/INDEX(Simulations!$T$3:$T$62,MATCH($A59,Simulations!$A$3:$A$62,0)))</f>
        <v/>
      </c>
      <c r="V59" s="19" t="str">
        <f aca="false">IF($A59="","",IF(ISNA(MATCH($A59,Simulations!$A$3:$A$62,0)),"✖ Sim ID not found on the Simulations sheet",IF($P59&gt;=1,"✖ brightness &gt;= sampling frequency: completely saturated (D too small, c too large)",IF($P59&gt;0.1,"⚠ brightness &gt; 10% of the sampling frequency: focus starts to saturate",IF(N($U59)&gt;0.1,"⚠ diffusion step &gt; 10% of wr: raise the sampling frequency",IF(MAX($E59:$H59)=0,"⚠ no brightness set","✔ OK"))))))</f>
        <v/>
      </c>
    </row>
    <row r="60" customFormat="false" ht="15" hidden="false" customHeight="false" outlineLevel="0" collapsed="false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4"/>
      <c r="O60" s="18" t="str">
        <f aca="false">IF(OR($A60="",ISNA(MATCH($A60,Simulations!$A$3:$A$62,0))),"",IF(INDEX(Simulations!$I$3:$I$62,MATCH($A60,Simulations!$A$3:$A$62,0))&gt;0,$D60/(INDEX(Simulations!$G$3:$G$62,MATCH($A60,Simulations!$A$3:$A$62,0))*INDEX(Simulations!$H$3:$H$62,MATCH($A60,Simulations!$A$3:$A$62,0))*IF(INDEX(Simulations!$I$3:$I$62,MATCH($A60,Simulations!$A$3:$A$62,0))&gt;0,INDEX(Simulations!$I$3:$I$62,MATCH($A60,Simulations!$A$3:$A$62,0)),1))/1E-024/6.022E+023/0.000000001,""))</f>
        <v/>
      </c>
      <c r="P60" s="20" t="str">
        <f aca="false">IF(OR($A60="",ISNA(MATCH($A60,Simulations!$A$3:$A$62,0))),"",MAX($E60:$H60)/INDEX(Simulations!$J$3:$J$62,MATCH($A60,Simulations!$A$3:$A$62,0)))</f>
        <v/>
      </c>
      <c r="Q60" s="16" t="str">
        <f aca="false">IF(OR($A60="",ISNA(MATCH($A60,Simulations!$A$3:$A$62,0))),"",IF(N($E60)&lt;=0,0,IF($E60&lt;INDEX(Simulations!$J$3:$J$62,MATCH($A60,Simulations!$A$3:$A$62,0)),$D60/(INDEX(Simulations!$G$3:$G$62,MATCH($A60,Simulations!$A$3:$A$62,0))*INDEX(Simulations!$H$3:$H$62,MATCH($A60,Simulations!$A$3:$A$62,0))*IF(INDEX(Simulations!$I$3:$I$62,MATCH($A60,Simulations!$A$3:$A$62,0))&gt;0,INDEX(Simulations!$I$3:$I$62,MATCH($A60,Simulations!$A$3:$A$62,0)),1))*$E60*(PI()/2*INDEX(Simulations!$T$3:$T$62,MATCH($A60,Simulations!$A$3:$A$62,0))^2*IF(INDEX(Simulations!$I$3:$I$62,MATCH($A60,Simulations!$A$3:$A$62,0))&gt;0,SQRT(PI()/2)*INDEX(Simulations!$U$3:$U$62,MATCH($A60,Simulations!$A$3:$A$62,0)),1)),$D60/(INDEX(Simulations!$G$3:$G$62,MATCH($A60,Simulations!$A$3:$A$62,0))*INDEX(Simulations!$H$3:$H$62,MATCH($A60,Simulations!$A$3:$A$62,0))*IF(INDEX(Simulations!$I$3:$I$62,MATCH($A60,Simulations!$A$3:$A$62,0))&gt;0,INDEX(Simulations!$I$3:$I$62,MATCH($A60,Simulations!$A$3:$A$62,0)),1))*INDEX(Simulations!$J$3:$J$62,MATCH($A60,Simulations!$A$3:$A$62,0))*IF(INDEX(Simulations!$I$3:$I$62,MATCH($A60,Simulations!$A$3:$A$62,0))&gt;0,2*PI()*INDEX(Simulations!$T$3:$T$62,MATCH($A60,Simulations!$A$3:$A$62,0))^2*INDEX(Simulations!$U$3:$U$62,MATCH($A60,Simulations!$A$3:$A$62,0))/2^1.5*(2/3*LN($E60/INDEX(Simulations!$J$3:$J$62,MATCH($A60,Simulations!$A$3:$A$62,0)))^1.5+SQRT(LN($E60/INDEX(Simulations!$J$3:$J$62,MATCH($A60,Simulations!$A$3:$A$62,0))))+$E60/INDEX(Simulations!$J$3:$J$62,MATCH($A60,Simulations!$A$3:$A$62,0))*SQRT(PI())/2*ERFC(SQRT(LN($E60/INDEX(Simulations!$J$3:$J$62,MATCH($A60,Simulations!$A$3:$A$62,0)))))),PI()*INDEX(Simulations!$T$3:$T$62,MATCH($A60,Simulations!$A$3:$A$62,0))^2/2*(LN($E60/INDEX(Simulations!$J$3:$J$62,MATCH($A60,Simulations!$A$3:$A$62,0)))+1)))))</f>
        <v/>
      </c>
      <c r="R60" s="16" t="str">
        <f aca="false">IF(OR($A60="",ISNA(MATCH($A60,Simulations!$A$3:$A$62,0))),"",IF(N($F60)&lt;=0,0,IF($F60&lt;INDEX(Simulations!$J$3:$J$62,MATCH($A60,Simulations!$A$3:$A$62,0)),$D60/(INDEX(Simulations!$G$3:$G$62,MATCH($A60,Simulations!$A$3:$A$62,0))*INDEX(Simulations!$H$3:$H$62,MATCH($A60,Simulations!$A$3:$A$62,0))*IF(INDEX(Simulations!$I$3:$I$62,MATCH($A60,Simulations!$A$3:$A$62,0))&gt;0,INDEX(Simulations!$I$3:$I$62,MATCH($A60,Simulations!$A$3:$A$62,0)),1))*$F60*(PI()/2*INDEX(Simulations!$T$3:$T$62,MATCH($A60,Simulations!$A$3:$A$62,0))^2*IF(INDEX(Simulations!$I$3:$I$62,MATCH($A60,Simulations!$A$3:$A$62,0))&gt;0,SQRT(PI()/2)*INDEX(Simulations!$U$3:$U$62,MATCH($A60,Simulations!$A$3:$A$62,0)),1)),$D60/(INDEX(Simulations!$G$3:$G$62,MATCH($A60,Simulations!$A$3:$A$62,0))*INDEX(Simulations!$H$3:$H$62,MATCH($A60,Simulations!$A$3:$A$62,0))*IF(INDEX(Simulations!$I$3:$I$62,MATCH($A60,Simulations!$A$3:$A$62,0))&gt;0,INDEX(Simulations!$I$3:$I$62,MATCH($A60,Simulations!$A$3:$A$62,0)),1))*INDEX(Simulations!$J$3:$J$62,MATCH($A60,Simulations!$A$3:$A$62,0))*IF(INDEX(Simulations!$I$3:$I$62,MATCH($A60,Simulations!$A$3:$A$62,0))&gt;0,2*PI()*INDEX(Simulations!$T$3:$T$62,MATCH($A60,Simulations!$A$3:$A$62,0))^2*INDEX(Simulations!$U$3:$U$62,MATCH($A60,Simulations!$A$3:$A$62,0))/2^1.5*(2/3*LN($F60/INDEX(Simulations!$J$3:$J$62,MATCH($A60,Simulations!$A$3:$A$62,0)))^1.5+SQRT(LN($F60/INDEX(Simulations!$J$3:$J$62,MATCH($A60,Simulations!$A$3:$A$62,0))))+$F60/INDEX(Simulations!$J$3:$J$62,MATCH($A60,Simulations!$A$3:$A$62,0))*SQRT(PI())/2*ERFC(SQRT(LN($F60/INDEX(Simulations!$J$3:$J$62,MATCH($A60,Simulations!$A$3:$A$62,0)))))),PI()*INDEX(Simulations!$T$3:$T$62,MATCH($A60,Simulations!$A$3:$A$62,0))^2/2*(LN($F60/INDEX(Simulations!$J$3:$J$62,MATCH($A60,Simulations!$A$3:$A$62,0)))+1)))))</f>
        <v/>
      </c>
      <c r="S60" s="16" t="str">
        <f aca="false">IF(OR($A60="",ISNA(MATCH($A60,Simulations!$A$3:$A$62,0))),"",IF(N($G60)&lt;=0,0,IF($G60&lt;INDEX(Simulations!$J$3:$J$62,MATCH($A60,Simulations!$A$3:$A$62,0)),$D60/(INDEX(Simulations!$G$3:$G$62,MATCH($A60,Simulations!$A$3:$A$62,0))*INDEX(Simulations!$H$3:$H$62,MATCH($A60,Simulations!$A$3:$A$62,0))*IF(INDEX(Simulations!$I$3:$I$62,MATCH($A60,Simulations!$A$3:$A$62,0))&gt;0,INDEX(Simulations!$I$3:$I$62,MATCH($A60,Simulations!$A$3:$A$62,0)),1))*$G60*(PI()/2*INDEX(Simulations!$T$3:$T$62,MATCH($A60,Simulations!$A$3:$A$62,0))^2*IF(INDEX(Simulations!$I$3:$I$62,MATCH($A60,Simulations!$A$3:$A$62,0))&gt;0,SQRT(PI()/2)*INDEX(Simulations!$U$3:$U$62,MATCH($A60,Simulations!$A$3:$A$62,0)),1)),$D60/(INDEX(Simulations!$G$3:$G$62,MATCH($A60,Simulations!$A$3:$A$62,0))*INDEX(Simulations!$H$3:$H$62,MATCH($A60,Simulations!$A$3:$A$62,0))*IF(INDEX(Simulations!$I$3:$I$62,MATCH($A60,Simulations!$A$3:$A$62,0))&gt;0,INDEX(Simulations!$I$3:$I$62,MATCH($A60,Simulations!$A$3:$A$62,0)),1))*INDEX(Simulations!$J$3:$J$62,MATCH($A60,Simulations!$A$3:$A$62,0))*IF(INDEX(Simulations!$I$3:$I$62,MATCH($A60,Simulations!$A$3:$A$62,0))&gt;0,2*PI()*INDEX(Simulations!$T$3:$T$62,MATCH($A60,Simulations!$A$3:$A$62,0))^2*INDEX(Simulations!$U$3:$U$62,MATCH($A60,Simulations!$A$3:$A$62,0))/2^1.5*(2/3*LN($G60/INDEX(Simulations!$J$3:$J$62,MATCH($A60,Simulations!$A$3:$A$62,0)))^1.5+SQRT(LN($G60/INDEX(Simulations!$J$3:$J$62,MATCH($A60,Simulations!$A$3:$A$62,0))))+$G60/INDEX(Simulations!$J$3:$J$62,MATCH($A60,Simulations!$A$3:$A$62,0))*SQRT(PI())/2*ERFC(SQRT(LN($G60/INDEX(Simulations!$J$3:$J$62,MATCH($A60,Simulations!$A$3:$A$62,0)))))),PI()*INDEX(Simulations!$T$3:$T$62,MATCH($A60,Simulations!$A$3:$A$62,0))^2/2*(LN($G60/INDEX(Simulations!$J$3:$J$62,MATCH($A60,Simulations!$A$3:$A$62,0)))+1)))))</f>
        <v/>
      </c>
      <c r="T60" s="16" t="str">
        <f aca="false">IF(OR($A60="",ISNA(MATCH($A60,Simulations!$A$3:$A$62,0))),"",IF(N($H60)&lt;=0,0,IF($H60&lt;INDEX(Simulations!$J$3:$J$62,MATCH($A60,Simulations!$A$3:$A$62,0)),$D60/(INDEX(Simulations!$G$3:$G$62,MATCH($A60,Simulations!$A$3:$A$62,0))*INDEX(Simulations!$H$3:$H$62,MATCH($A60,Simulations!$A$3:$A$62,0))*IF(INDEX(Simulations!$I$3:$I$62,MATCH($A60,Simulations!$A$3:$A$62,0))&gt;0,INDEX(Simulations!$I$3:$I$62,MATCH($A60,Simulations!$A$3:$A$62,0)),1))*$H60*(PI()/2*INDEX(Simulations!$T$3:$T$62,MATCH($A60,Simulations!$A$3:$A$62,0))^2*IF(INDEX(Simulations!$I$3:$I$62,MATCH($A60,Simulations!$A$3:$A$62,0))&gt;0,SQRT(PI()/2)*INDEX(Simulations!$U$3:$U$62,MATCH($A60,Simulations!$A$3:$A$62,0)),1)),$D60/(INDEX(Simulations!$G$3:$G$62,MATCH($A60,Simulations!$A$3:$A$62,0))*INDEX(Simulations!$H$3:$H$62,MATCH($A60,Simulations!$A$3:$A$62,0))*IF(INDEX(Simulations!$I$3:$I$62,MATCH($A60,Simulations!$A$3:$A$62,0))&gt;0,INDEX(Simulations!$I$3:$I$62,MATCH($A60,Simulations!$A$3:$A$62,0)),1))*INDEX(Simulations!$J$3:$J$62,MATCH($A60,Simulations!$A$3:$A$62,0))*IF(INDEX(Simulations!$I$3:$I$62,MATCH($A60,Simulations!$A$3:$A$62,0))&gt;0,2*PI()*INDEX(Simulations!$T$3:$T$62,MATCH($A60,Simulations!$A$3:$A$62,0))^2*INDEX(Simulations!$U$3:$U$62,MATCH($A60,Simulations!$A$3:$A$62,0))/2^1.5*(2/3*LN($H60/INDEX(Simulations!$J$3:$J$62,MATCH($A60,Simulations!$A$3:$A$62,0)))^1.5+SQRT(LN($H60/INDEX(Simulations!$J$3:$J$62,MATCH($A60,Simulations!$A$3:$A$62,0))))+$H60/INDEX(Simulations!$J$3:$J$62,MATCH($A60,Simulations!$A$3:$A$62,0))*SQRT(PI())/2*ERFC(SQRT(LN($H60/INDEX(Simulations!$J$3:$J$62,MATCH($A60,Simulations!$A$3:$A$62,0)))))),PI()*INDEX(Simulations!$T$3:$T$62,MATCH($A60,Simulations!$A$3:$A$62,0))^2/2*(LN($H60/INDEX(Simulations!$J$3:$J$62,MATCH($A60,Simulations!$A$3:$A$62,0)))+1)))))</f>
        <v/>
      </c>
      <c r="U60" s="18" t="str">
        <f aca="false">IF(OR(OR($A60="",ISNA(MATCH($A60,Simulations!$A$3:$A$62,0))),N($C60)&lt;=0),"",SQRT(2*$C60*1000000/(INDEX(Simulations!$J$3:$J$62,MATCH($A60,Simulations!$A$3:$A$62,0))*1000))/INDEX(Simulations!$T$3:$T$62,MATCH($A60,Simulations!$A$3:$A$62,0)))</f>
        <v/>
      </c>
      <c r="V60" s="19" t="str">
        <f aca="false">IF($A60="","",IF(ISNA(MATCH($A60,Simulations!$A$3:$A$62,0)),"✖ Sim ID not found on the Simulations sheet",IF($P60&gt;=1,"✖ brightness &gt;= sampling frequency: completely saturated (D too small, c too large)",IF($P60&gt;0.1,"⚠ brightness &gt; 10% of the sampling frequency: focus starts to saturate",IF(N($U60)&gt;0.1,"⚠ diffusion step &gt; 10% of wr: raise the sampling frequency",IF(MAX($E60:$H60)=0,"⚠ no brightness set","✔ OK"))))))</f>
        <v/>
      </c>
    </row>
    <row r="61" customFormat="false" ht="15" hidden="false" customHeight="false" outlineLevel="0" collapsed="false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4"/>
      <c r="O61" s="18" t="str">
        <f aca="false">IF(OR($A61="",ISNA(MATCH($A61,Simulations!$A$3:$A$62,0))),"",IF(INDEX(Simulations!$I$3:$I$62,MATCH($A61,Simulations!$A$3:$A$62,0))&gt;0,$D61/(INDEX(Simulations!$G$3:$G$62,MATCH($A61,Simulations!$A$3:$A$62,0))*INDEX(Simulations!$H$3:$H$62,MATCH($A61,Simulations!$A$3:$A$62,0))*IF(INDEX(Simulations!$I$3:$I$62,MATCH($A61,Simulations!$A$3:$A$62,0))&gt;0,INDEX(Simulations!$I$3:$I$62,MATCH($A61,Simulations!$A$3:$A$62,0)),1))/1E-024/6.022E+023/0.000000001,""))</f>
        <v/>
      </c>
      <c r="P61" s="20" t="str">
        <f aca="false">IF(OR($A61="",ISNA(MATCH($A61,Simulations!$A$3:$A$62,0))),"",MAX($E61:$H61)/INDEX(Simulations!$J$3:$J$62,MATCH($A61,Simulations!$A$3:$A$62,0)))</f>
        <v/>
      </c>
      <c r="Q61" s="16" t="str">
        <f aca="false">IF(OR($A61="",ISNA(MATCH($A61,Simulations!$A$3:$A$62,0))),"",IF(N($E61)&lt;=0,0,IF($E61&lt;INDEX(Simulations!$J$3:$J$62,MATCH($A61,Simulations!$A$3:$A$62,0)),$D61/(INDEX(Simulations!$G$3:$G$62,MATCH($A61,Simulations!$A$3:$A$62,0))*INDEX(Simulations!$H$3:$H$62,MATCH($A61,Simulations!$A$3:$A$62,0))*IF(INDEX(Simulations!$I$3:$I$62,MATCH($A61,Simulations!$A$3:$A$62,0))&gt;0,INDEX(Simulations!$I$3:$I$62,MATCH($A61,Simulations!$A$3:$A$62,0)),1))*$E61*(PI()/2*INDEX(Simulations!$T$3:$T$62,MATCH($A61,Simulations!$A$3:$A$62,0))^2*IF(INDEX(Simulations!$I$3:$I$62,MATCH($A61,Simulations!$A$3:$A$62,0))&gt;0,SQRT(PI()/2)*INDEX(Simulations!$U$3:$U$62,MATCH($A61,Simulations!$A$3:$A$62,0)),1)),$D61/(INDEX(Simulations!$G$3:$G$62,MATCH($A61,Simulations!$A$3:$A$62,0))*INDEX(Simulations!$H$3:$H$62,MATCH($A61,Simulations!$A$3:$A$62,0))*IF(INDEX(Simulations!$I$3:$I$62,MATCH($A61,Simulations!$A$3:$A$62,0))&gt;0,INDEX(Simulations!$I$3:$I$62,MATCH($A61,Simulations!$A$3:$A$62,0)),1))*INDEX(Simulations!$J$3:$J$62,MATCH($A61,Simulations!$A$3:$A$62,0))*IF(INDEX(Simulations!$I$3:$I$62,MATCH($A61,Simulations!$A$3:$A$62,0))&gt;0,2*PI()*INDEX(Simulations!$T$3:$T$62,MATCH($A61,Simulations!$A$3:$A$62,0))^2*INDEX(Simulations!$U$3:$U$62,MATCH($A61,Simulations!$A$3:$A$62,0))/2^1.5*(2/3*LN($E61/INDEX(Simulations!$J$3:$J$62,MATCH($A61,Simulations!$A$3:$A$62,0)))^1.5+SQRT(LN($E61/INDEX(Simulations!$J$3:$J$62,MATCH($A61,Simulations!$A$3:$A$62,0))))+$E61/INDEX(Simulations!$J$3:$J$62,MATCH($A61,Simulations!$A$3:$A$62,0))*SQRT(PI())/2*ERFC(SQRT(LN($E61/INDEX(Simulations!$J$3:$J$62,MATCH($A61,Simulations!$A$3:$A$62,0)))))),PI()*INDEX(Simulations!$T$3:$T$62,MATCH($A61,Simulations!$A$3:$A$62,0))^2/2*(LN($E61/INDEX(Simulations!$J$3:$J$62,MATCH($A61,Simulations!$A$3:$A$62,0)))+1)))))</f>
        <v/>
      </c>
      <c r="R61" s="16" t="str">
        <f aca="false">IF(OR($A61="",ISNA(MATCH($A61,Simulations!$A$3:$A$62,0))),"",IF(N($F61)&lt;=0,0,IF($F61&lt;INDEX(Simulations!$J$3:$J$62,MATCH($A61,Simulations!$A$3:$A$62,0)),$D61/(INDEX(Simulations!$G$3:$G$62,MATCH($A61,Simulations!$A$3:$A$62,0))*INDEX(Simulations!$H$3:$H$62,MATCH($A61,Simulations!$A$3:$A$62,0))*IF(INDEX(Simulations!$I$3:$I$62,MATCH($A61,Simulations!$A$3:$A$62,0))&gt;0,INDEX(Simulations!$I$3:$I$62,MATCH($A61,Simulations!$A$3:$A$62,0)),1))*$F61*(PI()/2*INDEX(Simulations!$T$3:$T$62,MATCH($A61,Simulations!$A$3:$A$62,0))^2*IF(INDEX(Simulations!$I$3:$I$62,MATCH($A61,Simulations!$A$3:$A$62,0))&gt;0,SQRT(PI()/2)*INDEX(Simulations!$U$3:$U$62,MATCH($A61,Simulations!$A$3:$A$62,0)),1)),$D61/(INDEX(Simulations!$G$3:$G$62,MATCH($A61,Simulations!$A$3:$A$62,0))*INDEX(Simulations!$H$3:$H$62,MATCH($A61,Simulations!$A$3:$A$62,0))*IF(INDEX(Simulations!$I$3:$I$62,MATCH($A61,Simulations!$A$3:$A$62,0))&gt;0,INDEX(Simulations!$I$3:$I$62,MATCH($A61,Simulations!$A$3:$A$62,0)),1))*INDEX(Simulations!$J$3:$J$62,MATCH($A61,Simulations!$A$3:$A$62,0))*IF(INDEX(Simulations!$I$3:$I$62,MATCH($A61,Simulations!$A$3:$A$62,0))&gt;0,2*PI()*INDEX(Simulations!$T$3:$T$62,MATCH($A61,Simulations!$A$3:$A$62,0))^2*INDEX(Simulations!$U$3:$U$62,MATCH($A61,Simulations!$A$3:$A$62,0))/2^1.5*(2/3*LN($F61/INDEX(Simulations!$J$3:$J$62,MATCH($A61,Simulations!$A$3:$A$62,0)))^1.5+SQRT(LN($F61/INDEX(Simulations!$J$3:$J$62,MATCH($A61,Simulations!$A$3:$A$62,0))))+$F61/INDEX(Simulations!$J$3:$J$62,MATCH($A61,Simulations!$A$3:$A$62,0))*SQRT(PI())/2*ERFC(SQRT(LN($F61/INDEX(Simulations!$J$3:$J$62,MATCH($A61,Simulations!$A$3:$A$62,0)))))),PI()*INDEX(Simulations!$T$3:$T$62,MATCH($A61,Simulations!$A$3:$A$62,0))^2/2*(LN($F61/INDEX(Simulations!$J$3:$J$62,MATCH($A61,Simulations!$A$3:$A$62,0)))+1)))))</f>
        <v/>
      </c>
      <c r="S61" s="16" t="str">
        <f aca="false">IF(OR($A61="",ISNA(MATCH($A61,Simulations!$A$3:$A$62,0))),"",IF(N($G61)&lt;=0,0,IF($G61&lt;INDEX(Simulations!$J$3:$J$62,MATCH($A61,Simulations!$A$3:$A$62,0)),$D61/(INDEX(Simulations!$G$3:$G$62,MATCH($A61,Simulations!$A$3:$A$62,0))*INDEX(Simulations!$H$3:$H$62,MATCH($A61,Simulations!$A$3:$A$62,0))*IF(INDEX(Simulations!$I$3:$I$62,MATCH($A61,Simulations!$A$3:$A$62,0))&gt;0,INDEX(Simulations!$I$3:$I$62,MATCH($A61,Simulations!$A$3:$A$62,0)),1))*$G61*(PI()/2*INDEX(Simulations!$T$3:$T$62,MATCH($A61,Simulations!$A$3:$A$62,0))^2*IF(INDEX(Simulations!$I$3:$I$62,MATCH($A61,Simulations!$A$3:$A$62,0))&gt;0,SQRT(PI()/2)*INDEX(Simulations!$U$3:$U$62,MATCH($A61,Simulations!$A$3:$A$62,0)),1)),$D61/(INDEX(Simulations!$G$3:$G$62,MATCH($A61,Simulations!$A$3:$A$62,0))*INDEX(Simulations!$H$3:$H$62,MATCH($A61,Simulations!$A$3:$A$62,0))*IF(INDEX(Simulations!$I$3:$I$62,MATCH($A61,Simulations!$A$3:$A$62,0))&gt;0,INDEX(Simulations!$I$3:$I$62,MATCH($A61,Simulations!$A$3:$A$62,0)),1))*INDEX(Simulations!$J$3:$J$62,MATCH($A61,Simulations!$A$3:$A$62,0))*IF(INDEX(Simulations!$I$3:$I$62,MATCH($A61,Simulations!$A$3:$A$62,0))&gt;0,2*PI()*INDEX(Simulations!$T$3:$T$62,MATCH($A61,Simulations!$A$3:$A$62,0))^2*INDEX(Simulations!$U$3:$U$62,MATCH($A61,Simulations!$A$3:$A$62,0))/2^1.5*(2/3*LN($G61/INDEX(Simulations!$J$3:$J$62,MATCH($A61,Simulations!$A$3:$A$62,0)))^1.5+SQRT(LN($G61/INDEX(Simulations!$J$3:$J$62,MATCH($A61,Simulations!$A$3:$A$62,0))))+$G61/INDEX(Simulations!$J$3:$J$62,MATCH($A61,Simulations!$A$3:$A$62,0))*SQRT(PI())/2*ERFC(SQRT(LN($G61/INDEX(Simulations!$J$3:$J$62,MATCH($A61,Simulations!$A$3:$A$62,0)))))),PI()*INDEX(Simulations!$T$3:$T$62,MATCH($A61,Simulations!$A$3:$A$62,0))^2/2*(LN($G61/INDEX(Simulations!$J$3:$J$62,MATCH($A61,Simulations!$A$3:$A$62,0)))+1)))))</f>
        <v/>
      </c>
      <c r="T61" s="16" t="str">
        <f aca="false">IF(OR($A61="",ISNA(MATCH($A61,Simulations!$A$3:$A$62,0))),"",IF(N($H61)&lt;=0,0,IF($H61&lt;INDEX(Simulations!$J$3:$J$62,MATCH($A61,Simulations!$A$3:$A$62,0)),$D61/(INDEX(Simulations!$G$3:$G$62,MATCH($A61,Simulations!$A$3:$A$62,0))*INDEX(Simulations!$H$3:$H$62,MATCH($A61,Simulations!$A$3:$A$62,0))*IF(INDEX(Simulations!$I$3:$I$62,MATCH($A61,Simulations!$A$3:$A$62,0))&gt;0,INDEX(Simulations!$I$3:$I$62,MATCH($A61,Simulations!$A$3:$A$62,0)),1))*$H61*(PI()/2*INDEX(Simulations!$T$3:$T$62,MATCH($A61,Simulations!$A$3:$A$62,0))^2*IF(INDEX(Simulations!$I$3:$I$62,MATCH($A61,Simulations!$A$3:$A$62,0))&gt;0,SQRT(PI()/2)*INDEX(Simulations!$U$3:$U$62,MATCH($A61,Simulations!$A$3:$A$62,0)),1)),$D61/(INDEX(Simulations!$G$3:$G$62,MATCH($A61,Simulations!$A$3:$A$62,0))*INDEX(Simulations!$H$3:$H$62,MATCH($A61,Simulations!$A$3:$A$62,0))*IF(INDEX(Simulations!$I$3:$I$62,MATCH($A61,Simulations!$A$3:$A$62,0))&gt;0,INDEX(Simulations!$I$3:$I$62,MATCH($A61,Simulations!$A$3:$A$62,0)),1))*INDEX(Simulations!$J$3:$J$62,MATCH($A61,Simulations!$A$3:$A$62,0))*IF(INDEX(Simulations!$I$3:$I$62,MATCH($A61,Simulations!$A$3:$A$62,0))&gt;0,2*PI()*INDEX(Simulations!$T$3:$T$62,MATCH($A61,Simulations!$A$3:$A$62,0))^2*INDEX(Simulations!$U$3:$U$62,MATCH($A61,Simulations!$A$3:$A$62,0))/2^1.5*(2/3*LN($H61/INDEX(Simulations!$J$3:$J$62,MATCH($A61,Simulations!$A$3:$A$62,0)))^1.5+SQRT(LN($H61/INDEX(Simulations!$J$3:$J$62,MATCH($A61,Simulations!$A$3:$A$62,0))))+$H61/INDEX(Simulations!$J$3:$J$62,MATCH($A61,Simulations!$A$3:$A$62,0))*SQRT(PI())/2*ERFC(SQRT(LN($H61/INDEX(Simulations!$J$3:$J$62,MATCH($A61,Simulations!$A$3:$A$62,0)))))),PI()*INDEX(Simulations!$T$3:$T$62,MATCH($A61,Simulations!$A$3:$A$62,0))^2/2*(LN($H61/INDEX(Simulations!$J$3:$J$62,MATCH($A61,Simulations!$A$3:$A$62,0)))+1)))))</f>
        <v/>
      </c>
      <c r="U61" s="18" t="str">
        <f aca="false">IF(OR(OR($A61="",ISNA(MATCH($A61,Simulations!$A$3:$A$62,0))),N($C61)&lt;=0),"",SQRT(2*$C61*1000000/(INDEX(Simulations!$J$3:$J$62,MATCH($A61,Simulations!$A$3:$A$62,0))*1000))/INDEX(Simulations!$T$3:$T$62,MATCH($A61,Simulations!$A$3:$A$62,0)))</f>
        <v/>
      </c>
      <c r="V61" s="19" t="str">
        <f aca="false">IF($A61="","",IF(ISNA(MATCH($A61,Simulations!$A$3:$A$62,0)),"✖ Sim ID not found on the Simulations sheet",IF($P61&gt;=1,"✖ brightness &gt;= sampling frequency: completely saturated (D too small, c too large)",IF($P61&gt;0.1,"⚠ brightness &gt; 10% of the sampling frequency: focus starts to saturate",IF(N($U61)&gt;0.1,"⚠ diffusion step &gt; 10% of wr: raise the sampling frequency",IF(MAX($E61:$H61)=0,"⚠ no brightness set","✔ OK"))))))</f>
        <v/>
      </c>
    </row>
    <row r="62" customFormat="false" ht="15" hidden="false" customHeight="false" outlineLevel="0" collapsed="false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4"/>
      <c r="O62" s="18" t="str">
        <f aca="false">IF(OR($A62="",ISNA(MATCH($A62,Simulations!$A$3:$A$62,0))),"",IF(INDEX(Simulations!$I$3:$I$62,MATCH($A62,Simulations!$A$3:$A$62,0))&gt;0,$D62/(INDEX(Simulations!$G$3:$G$62,MATCH($A62,Simulations!$A$3:$A$62,0))*INDEX(Simulations!$H$3:$H$62,MATCH($A62,Simulations!$A$3:$A$62,0))*IF(INDEX(Simulations!$I$3:$I$62,MATCH($A62,Simulations!$A$3:$A$62,0))&gt;0,INDEX(Simulations!$I$3:$I$62,MATCH($A62,Simulations!$A$3:$A$62,0)),1))/1E-024/6.022E+023/0.000000001,""))</f>
        <v/>
      </c>
      <c r="P62" s="20" t="str">
        <f aca="false">IF(OR($A62="",ISNA(MATCH($A62,Simulations!$A$3:$A$62,0))),"",MAX($E62:$H62)/INDEX(Simulations!$J$3:$J$62,MATCH($A62,Simulations!$A$3:$A$62,0)))</f>
        <v/>
      </c>
      <c r="Q62" s="16" t="str">
        <f aca="false">IF(OR($A62="",ISNA(MATCH($A62,Simulations!$A$3:$A$62,0))),"",IF(N($E62)&lt;=0,0,IF($E62&lt;INDEX(Simulations!$J$3:$J$62,MATCH($A62,Simulations!$A$3:$A$62,0)),$D62/(INDEX(Simulations!$G$3:$G$62,MATCH($A62,Simulations!$A$3:$A$62,0))*INDEX(Simulations!$H$3:$H$62,MATCH($A62,Simulations!$A$3:$A$62,0))*IF(INDEX(Simulations!$I$3:$I$62,MATCH($A62,Simulations!$A$3:$A$62,0))&gt;0,INDEX(Simulations!$I$3:$I$62,MATCH($A62,Simulations!$A$3:$A$62,0)),1))*$E62*(PI()/2*INDEX(Simulations!$T$3:$T$62,MATCH($A62,Simulations!$A$3:$A$62,0))^2*IF(INDEX(Simulations!$I$3:$I$62,MATCH($A62,Simulations!$A$3:$A$62,0))&gt;0,SQRT(PI()/2)*INDEX(Simulations!$U$3:$U$62,MATCH($A62,Simulations!$A$3:$A$62,0)),1)),$D62/(INDEX(Simulations!$G$3:$G$62,MATCH($A62,Simulations!$A$3:$A$62,0))*INDEX(Simulations!$H$3:$H$62,MATCH($A62,Simulations!$A$3:$A$62,0))*IF(INDEX(Simulations!$I$3:$I$62,MATCH($A62,Simulations!$A$3:$A$62,0))&gt;0,INDEX(Simulations!$I$3:$I$62,MATCH($A62,Simulations!$A$3:$A$62,0)),1))*INDEX(Simulations!$J$3:$J$62,MATCH($A62,Simulations!$A$3:$A$62,0))*IF(INDEX(Simulations!$I$3:$I$62,MATCH($A62,Simulations!$A$3:$A$62,0))&gt;0,2*PI()*INDEX(Simulations!$T$3:$T$62,MATCH($A62,Simulations!$A$3:$A$62,0))^2*INDEX(Simulations!$U$3:$U$62,MATCH($A62,Simulations!$A$3:$A$62,0))/2^1.5*(2/3*LN($E62/INDEX(Simulations!$J$3:$J$62,MATCH($A62,Simulations!$A$3:$A$62,0)))^1.5+SQRT(LN($E62/INDEX(Simulations!$J$3:$J$62,MATCH($A62,Simulations!$A$3:$A$62,0))))+$E62/INDEX(Simulations!$J$3:$J$62,MATCH($A62,Simulations!$A$3:$A$62,0))*SQRT(PI())/2*ERFC(SQRT(LN($E62/INDEX(Simulations!$J$3:$J$62,MATCH($A62,Simulations!$A$3:$A$62,0)))))),PI()*INDEX(Simulations!$T$3:$T$62,MATCH($A62,Simulations!$A$3:$A$62,0))^2/2*(LN($E62/INDEX(Simulations!$J$3:$J$62,MATCH($A62,Simulations!$A$3:$A$62,0)))+1)))))</f>
        <v/>
      </c>
      <c r="R62" s="16" t="str">
        <f aca="false">IF(OR($A62="",ISNA(MATCH($A62,Simulations!$A$3:$A$62,0))),"",IF(N($F62)&lt;=0,0,IF($F62&lt;INDEX(Simulations!$J$3:$J$62,MATCH($A62,Simulations!$A$3:$A$62,0)),$D62/(INDEX(Simulations!$G$3:$G$62,MATCH($A62,Simulations!$A$3:$A$62,0))*INDEX(Simulations!$H$3:$H$62,MATCH($A62,Simulations!$A$3:$A$62,0))*IF(INDEX(Simulations!$I$3:$I$62,MATCH($A62,Simulations!$A$3:$A$62,0))&gt;0,INDEX(Simulations!$I$3:$I$62,MATCH($A62,Simulations!$A$3:$A$62,0)),1))*$F62*(PI()/2*INDEX(Simulations!$T$3:$T$62,MATCH($A62,Simulations!$A$3:$A$62,0))^2*IF(INDEX(Simulations!$I$3:$I$62,MATCH($A62,Simulations!$A$3:$A$62,0))&gt;0,SQRT(PI()/2)*INDEX(Simulations!$U$3:$U$62,MATCH($A62,Simulations!$A$3:$A$62,0)),1)),$D62/(INDEX(Simulations!$G$3:$G$62,MATCH($A62,Simulations!$A$3:$A$62,0))*INDEX(Simulations!$H$3:$H$62,MATCH($A62,Simulations!$A$3:$A$62,0))*IF(INDEX(Simulations!$I$3:$I$62,MATCH($A62,Simulations!$A$3:$A$62,0))&gt;0,INDEX(Simulations!$I$3:$I$62,MATCH($A62,Simulations!$A$3:$A$62,0)),1))*INDEX(Simulations!$J$3:$J$62,MATCH($A62,Simulations!$A$3:$A$62,0))*IF(INDEX(Simulations!$I$3:$I$62,MATCH($A62,Simulations!$A$3:$A$62,0))&gt;0,2*PI()*INDEX(Simulations!$T$3:$T$62,MATCH($A62,Simulations!$A$3:$A$62,0))^2*INDEX(Simulations!$U$3:$U$62,MATCH($A62,Simulations!$A$3:$A$62,0))/2^1.5*(2/3*LN($F62/INDEX(Simulations!$J$3:$J$62,MATCH($A62,Simulations!$A$3:$A$62,0)))^1.5+SQRT(LN($F62/INDEX(Simulations!$J$3:$J$62,MATCH($A62,Simulations!$A$3:$A$62,0))))+$F62/INDEX(Simulations!$J$3:$J$62,MATCH($A62,Simulations!$A$3:$A$62,0))*SQRT(PI())/2*ERFC(SQRT(LN($F62/INDEX(Simulations!$J$3:$J$62,MATCH($A62,Simulations!$A$3:$A$62,0)))))),PI()*INDEX(Simulations!$T$3:$T$62,MATCH($A62,Simulations!$A$3:$A$62,0))^2/2*(LN($F62/INDEX(Simulations!$J$3:$J$62,MATCH($A62,Simulations!$A$3:$A$62,0)))+1)))))</f>
        <v/>
      </c>
      <c r="S62" s="16" t="str">
        <f aca="false">IF(OR($A62="",ISNA(MATCH($A62,Simulations!$A$3:$A$62,0))),"",IF(N($G62)&lt;=0,0,IF($G62&lt;INDEX(Simulations!$J$3:$J$62,MATCH($A62,Simulations!$A$3:$A$62,0)),$D62/(INDEX(Simulations!$G$3:$G$62,MATCH($A62,Simulations!$A$3:$A$62,0))*INDEX(Simulations!$H$3:$H$62,MATCH($A62,Simulations!$A$3:$A$62,0))*IF(INDEX(Simulations!$I$3:$I$62,MATCH($A62,Simulations!$A$3:$A$62,0))&gt;0,INDEX(Simulations!$I$3:$I$62,MATCH($A62,Simulations!$A$3:$A$62,0)),1))*$G62*(PI()/2*INDEX(Simulations!$T$3:$T$62,MATCH($A62,Simulations!$A$3:$A$62,0))^2*IF(INDEX(Simulations!$I$3:$I$62,MATCH($A62,Simulations!$A$3:$A$62,0))&gt;0,SQRT(PI()/2)*INDEX(Simulations!$U$3:$U$62,MATCH($A62,Simulations!$A$3:$A$62,0)),1)),$D62/(INDEX(Simulations!$G$3:$G$62,MATCH($A62,Simulations!$A$3:$A$62,0))*INDEX(Simulations!$H$3:$H$62,MATCH($A62,Simulations!$A$3:$A$62,0))*IF(INDEX(Simulations!$I$3:$I$62,MATCH($A62,Simulations!$A$3:$A$62,0))&gt;0,INDEX(Simulations!$I$3:$I$62,MATCH($A62,Simulations!$A$3:$A$62,0)),1))*INDEX(Simulations!$J$3:$J$62,MATCH($A62,Simulations!$A$3:$A$62,0))*IF(INDEX(Simulations!$I$3:$I$62,MATCH($A62,Simulations!$A$3:$A$62,0))&gt;0,2*PI()*INDEX(Simulations!$T$3:$T$62,MATCH($A62,Simulations!$A$3:$A$62,0))^2*INDEX(Simulations!$U$3:$U$62,MATCH($A62,Simulations!$A$3:$A$62,0))/2^1.5*(2/3*LN($G62/INDEX(Simulations!$J$3:$J$62,MATCH($A62,Simulations!$A$3:$A$62,0)))^1.5+SQRT(LN($G62/INDEX(Simulations!$J$3:$J$62,MATCH($A62,Simulations!$A$3:$A$62,0))))+$G62/INDEX(Simulations!$J$3:$J$62,MATCH($A62,Simulations!$A$3:$A$62,0))*SQRT(PI())/2*ERFC(SQRT(LN($G62/INDEX(Simulations!$J$3:$J$62,MATCH($A62,Simulations!$A$3:$A$62,0)))))),PI()*INDEX(Simulations!$T$3:$T$62,MATCH($A62,Simulations!$A$3:$A$62,0))^2/2*(LN($G62/INDEX(Simulations!$J$3:$J$62,MATCH($A62,Simulations!$A$3:$A$62,0)))+1)))))</f>
        <v/>
      </c>
      <c r="T62" s="16" t="str">
        <f aca="false">IF(OR($A62="",ISNA(MATCH($A62,Simulations!$A$3:$A$62,0))),"",IF(N($H62)&lt;=0,0,IF($H62&lt;INDEX(Simulations!$J$3:$J$62,MATCH($A62,Simulations!$A$3:$A$62,0)),$D62/(INDEX(Simulations!$G$3:$G$62,MATCH($A62,Simulations!$A$3:$A$62,0))*INDEX(Simulations!$H$3:$H$62,MATCH($A62,Simulations!$A$3:$A$62,0))*IF(INDEX(Simulations!$I$3:$I$62,MATCH($A62,Simulations!$A$3:$A$62,0))&gt;0,INDEX(Simulations!$I$3:$I$62,MATCH($A62,Simulations!$A$3:$A$62,0)),1))*$H62*(PI()/2*INDEX(Simulations!$T$3:$T$62,MATCH($A62,Simulations!$A$3:$A$62,0))^2*IF(INDEX(Simulations!$I$3:$I$62,MATCH($A62,Simulations!$A$3:$A$62,0))&gt;0,SQRT(PI()/2)*INDEX(Simulations!$U$3:$U$62,MATCH($A62,Simulations!$A$3:$A$62,0)),1)),$D62/(INDEX(Simulations!$G$3:$G$62,MATCH($A62,Simulations!$A$3:$A$62,0))*INDEX(Simulations!$H$3:$H$62,MATCH($A62,Simulations!$A$3:$A$62,0))*IF(INDEX(Simulations!$I$3:$I$62,MATCH($A62,Simulations!$A$3:$A$62,0))&gt;0,INDEX(Simulations!$I$3:$I$62,MATCH($A62,Simulations!$A$3:$A$62,0)),1))*INDEX(Simulations!$J$3:$J$62,MATCH($A62,Simulations!$A$3:$A$62,0))*IF(INDEX(Simulations!$I$3:$I$62,MATCH($A62,Simulations!$A$3:$A$62,0))&gt;0,2*PI()*INDEX(Simulations!$T$3:$T$62,MATCH($A62,Simulations!$A$3:$A$62,0))^2*INDEX(Simulations!$U$3:$U$62,MATCH($A62,Simulations!$A$3:$A$62,0))/2^1.5*(2/3*LN($H62/INDEX(Simulations!$J$3:$J$62,MATCH($A62,Simulations!$A$3:$A$62,0)))^1.5+SQRT(LN($H62/INDEX(Simulations!$J$3:$J$62,MATCH($A62,Simulations!$A$3:$A$62,0))))+$H62/INDEX(Simulations!$J$3:$J$62,MATCH($A62,Simulations!$A$3:$A$62,0))*SQRT(PI())/2*ERFC(SQRT(LN($H62/INDEX(Simulations!$J$3:$J$62,MATCH($A62,Simulations!$A$3:$A$62,0)))))),PI()*INDEX(Simulations!$T$3:$T$62,MATCH($A62,Simulations!$A$3:$A$62,0))^2/2*(LN($H62/INDEX(Simulations!$J$3:$J$62,MATCH($A62,Simulations!$A$3:$A$62,0)))+1)))))</f>
        <v/>
      </c>
      <c r="U62" s="18" t="str">
        <f aca="false">IF(OR(OR($A62="",ISNA(MATCH($A62,Simulations!$A$3:$A$62,0))),N($C62)&lt;=0),"",SQRT(2*$C62*1000000/(INDEX(Simulations!$J$3:$J$62,MATCH($A62,Simulations!$A$3:$A$62,0))*1000))/INDEX(Simulations!$T$3:$T$62,MATCH($A62,Simulations!$A$3:$A$62,0)))</f>
        <v/>
      </c>
      <c r="V62" s="19" t="str">
        <f aca="false">IF($A62="","",IF(ISNA(MATCH($A62,Simulations!$A$3:$A$62,0)),"✖ Sim ID not found on the Simulations sheet",IF($P62&gt;=1,"✖ brightness &gt;= sampling frequency: completely saturated (D too small, c too large)",IF($P62&gt;0.1,"⚠ brightness &gt; 10% of the sampling frequency: focus starts to saturate",IF(N($U62)&gt;0.1,"⚠ diffusion step &gt; 10% of wr: raise the sampling frequency",IF(MAX($E62:$H62)=0,"⚠ no brightness set","✔ OK"))))))</f>
        <v/>
      </c>
    </row>
    <row r="63" customFormat="false" ht="15" hidden="false" customHeight="false" outlineLevel="0" collapsed="false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4"/>
      <c r="O63" s="18" t="str">
        <f aca="false">IF(OR($A63="",ISNA(MATCH($A63,Simulations!$A$3:$A$62,0))),"",IF(INDEX(Simulations!$I$3:$I$62,MATCH($A63,Simulations!$A$3:$A$62,0))&gt;0,$D63/(INDEX(Simulations!$G$3:$G$62,MATCH($A63,Simulations!$A$3:$A$62,0))*INDEX(Simulations!$H$3:$H$62,MATCH($A63,Simulations!$A$3:$A$62,0))*IF(INDEX(Simulations!$I$3:$I$62,MATCH($A63,Simulations!$A$3:$A$62,0))&gt;0,INDEX(Simulations!$I$3:$I$62,MATCH($A63,Simulations!$A$3:$A$62,0)),1))/1E-024/6.022E+023/0.000000001,""))</f>
        <v/>
      </c>
      <c r="P63" s="20" t="str">
        <f aca="false">IF(OR($A63="",ISNA(MATCH($A63,Simulations!$A$3:$A$62,0))),"",MAX($E63:$H63)/INDEX(Simulations!$J$3:$J$62,MATCH($A63,Simulations!$A$3:$A$62,0)))</f>
        <v/>
      </c>
      <c r="Q63" s="16" t="str">
        <f aca="false">IF(OR($A63="",ISNA(MATCH($A63,Simulations!$A$3:$A$62,0))),"",IF(N($E63)&lt;=0,0,IF($E63&lt;INDEX(Simulations!$J$3:$J$62,MATCH($A63,Simulations!$A$3:$A$62,0)),$D63/(INDEX(Simulations!$G$3:$G$62,MATCH($A63,Simulations!$A$3:$A$62,0))*INDEX(Simulations!$H$3:$H$62,MATCH($A63,Simulations!$A$3:$A$62,0))*IF(INDEX(Simulations!$I$3:$I$62,MATCH($A63,Simulations!$A$3:$A$62,0))&gt;0,INDEX(Simulations!$I$3:$I$62,MATCH($A63,Simulations!$A$3:$A$62,0)),1))*$E63*(PI()/2*INDEX(Simulations!$T$3:$T$62,MATCH($A63,Simulations!$A$3:$A$62,0))^2*IF(INDEX(Simulations!$I$3:$I$62,MATCH($A63,Simulations!$A$3:$A$62,0))&gt;0,SQRT(PI()/2)*INDEX(Simulations!$U$3:$U$62,MATCH($A63,Simulations!$A$3:$A$62,0)),1)),$D63/(INDEX(Simulations!$G$3:$G$62,MATCH($A63,Simulations!$A$3:$A$62,0))*INDEX(Simulations!$H$3:$H$62,MATCH($A63,Simulations!$A$3:$A$62,0))*IF(INDEX(Simulations!$I$3:$I$62,MATCH($A63,Simulations!$A$3:$A$62,0))&gt;0,INDEX(Simulations!$I$3:$I$62,MATCH($A63,Simulations!$A$3:$A$62,0)),1))*INDEX(Simulations!$J$3:$J$62,MATCH($A63,Simulations!$A$3:$A$62,0))*IF(INDEX(Simulations!$I$3:$I$62,MATCH($A63,Simulations!$A$3:$A$62,0))&gt;0,2*PI()*INDEX(Simulations!$T$3:$T$62,MATCH($A63,Simulations!$A$3:$A$62,0))^2*INDEX(Simulations!$U$3:$U$62,MATCH($A63,Simulations!$A$3:$A$62,0))/2^1.5*(2/3*LN($E63/INDEX(Simulations!$J$3:$J$62,MATCH($A63,Simulations!$A$3:$A$62,0)))^1.5+SQRT(LN($E63/INDEX(Simulations!$J$3:$J$62,MATCH($A63,Simulations!$A$3:$A$62,0))))+$E63/INDEX(Simulations!$J$3:$J$62,MATCH($A63,Simulations!$A$3:$A$62,0))*SQRT(PI())/2*ERFC(SQRT(LN($E63/INDEX(Simulations!$J$3:$J$62,MATCH($A63,Simulations!$A$3:$A$62,0)))))),PI()*INDEX(Simulations!$T$3:$T$62,MATCH($A63,Simulations!$A$3:$A$62,0))^2/2*(LN($E63/INDEX(Simulations!$J$3:$J$62,MATCH($A63,Simulations!$A$3:$A$62,0)))+1)))))</f>
        <v/>
      </c>
      <c r="R63" s="16" t="str">
        <f aca="false">IF(OR($A63="",ISNA(MATCH($A63,Simulations!$A$3:$A$62,0))),"",IF(N($F63)&lt;=0,0,IF($F63&lt;INDEX(Simulations!$J$3:$J$62,MATCH($A63,Simulations!$A$3:$A$62,0)),$D63/(INDEX(Simulations!$G$3:$G$62,MATCH($A63,Simulations!$A$3:$A$62,0))*INDEX(Simulations!$H$3:$H$62,MATCH($A63,Simulations!$A$3:$A$62,0))*IF(INDEX(Simulations!$I$3:$I$62,MATCH($A63,Simulations!$A$3:$A$62,0))&gt;0,INDEX(Simulations!$I$3:$I$62,MATCH($A63,Simulations!$A$3:$A$62,0)),1))*$F63*(PI()/2*INDEX(Simulations!$T$3:$T$62,MATCH($A63,Simulations!$A$3:$A$62,0))^2*IF(INDEX(Simulations!$I$3:$I$62,MATCH($A63,Simulations!$A$3:$A$62,0))&gt;0,SQRT(PI()/2)*INDEX(Simulations!$U$3:$U$62,MATCH($A63,Simulations!$A$3:$A$62,0)),1)),$D63/(INDEX(Simulations!$G$3:$G$62,MATCH($A63,Simulations!$A$3:$A$62,0))*INDEX(Simulations!$H$3:$H$62,MATCH($A63,Simulations!$A$3:$A$62,0))*IF(INDEX(Simulations!$I$3:$I$62,MATCH($A63,Simulations!$A$3:$A$62,0))&gt;0,INDEX(Simulations!$I$3:$I$62,MATCH($A63,Simulations!$A$3:$A$62,0)),1))*INDEX(Simulations!$J$3:$J$62,MATCH($A63,Simulations!$A$3:$A$62,0))*IF(INDEX(Simulations!$I$3:$I$62,MATCH($A63,Simulations!$A$3:$A$62,0))&gt;0,2*PI()*INDEX(Simulations!$T$3:$T$62,MATCH($A63,Simulations!$A$3:$A$62,0))^2*INDEX(Simulations!$U$3:$U$62,MATCH($A63,Simulations!$A$3:$A$62,0))/2^1.5*(2/3*LN($F63/INDEX(Simulations!$J$3:$J$62,MATCH($A63,Simulations!$A$3:$A$62,0)))^1.5+SQRT(LN($F63/INDEX(Simulations!$J$3:$J$62,MATCH($A63,Simulations!$A$3:$A$62,0))))+$F63/INDEX(Simulations!$J$3:$J$62,MATCH($A63,Simulations!$A$3:$A$62,0))*SQRT(PI())/2*ERFC(SQRT(LN($F63/INDEX(Simulations!$J$3:$J$62,MATCH($A63,Simulations!$A$3:$A$62,0)))))),PI()*INDEX(Simulations!$T$3:$T$62,MATCH($A63,Simulations!$A$3:$A$62,0))^2/2*(LN($F63/INDEX(Simulations!$J$3:$J$62,MATCH($A63,Simulations!$A$3:$A$62,0)))+1)))))</f>
        <v/>
      </c>
      <c r="S63" s="16" t="str">
        <f aca="false">IF(OR($A63="",ISNA(MATCH($A63,Simulations!$A$3:$A$62,0))),"",IF(N($G63)&lt;=0,0,IF($G63&lt;INDEX(Simulations!$J$3:$J$62,MATCH($A63,Simulations!$A$3:$A$62,0)),$D63/(INDEX(Simulations!$G$3:$G$62,MATCH($A63,Simulations!$A$3:$A$62,0))*INDEX(Simulations!$H$3:$H$62,MATCH($A63,Simulations!$A$3:$A$62,0))*IF(INDEX(Simulations!$I$3:$I$62,MATCH($A63,Simulations!$A$3:$A$62,0))&gt;0,INDEX(Simulations!$I$3:$I$62,MATCH($A63,Simulations!$A$3:$A$62,0)),1))*$G63*(PI()/2*INDEX(Simulations!$T$3:$T$62,MATCH($A63,Simulations!$A$3:$A$62,0))^2*IF(INDEX(Simulations!$I$3:$I$62,MATCH($A63,Simulations!$A$3:$A$62,0))&gt;0,SQRT(PI()/2)*INDEX(Simulations!$U$3:$U$62,MATCH($A63,Simulations!$A$3:$A$62,0)),1)),$D63/(INDEX(Simulations!$G$3:$G$62,MATCH($A63,Simulations!$A$3:$A$62,0))*INDEX(Simulations!$H$3:$H$62,MATCH($A63,Simulations!$A$3:$A$62,0))*IF(INDEX(Simulations!$I$3:$I$62,MATCH($A63,Simulations!$A$3:$A$62,0))&gt;0,INDEX(Simulations!$I$3:$I$62,MATCH($A63,Simulations!$A$3:$A$62,0)),1))*INDEX(Simulations!$J$3:$J$62,MATCH($A63,Simulations!$A$3:$A$62,0))*IF(INDEX(Simulations!$I$3:$I$62,MATCH($A63,Simulations!$A$3:$A$62,0))&gt;0,2*PI()*INDEX(Simulations!$T$3:$T$62,MATCH($A63,Simulations!$A$3:$A$62,0))^2*INDEX(Simulations!$U$3:$U$62,MATCH($A63,Simulations!$A$3:$A$62,0))/2^1.5*(2/3*LN($G63/INDEX(Simulations!$J$3:$J$62,MATCH($A63,Simulations!$A$3:$A$62,0)))^1.5+SQRT(LN($G63/INDEX(Simulations!$J$3:$J$62,MATCH($A63,Simulations!$A$3:$A$62,0))))+$G63/INDEX(Simulations!$J$3:$J$62,MATCH($A63,Simulations!$A$3:$A$62,0))*SQRT(PI())/2*ERFC(SQRT(LN($G63/INDEX(Simulations!$J$3:$J$62,MATCH($A63,Simulations!$A$3:$A$62,0)))))),PI()*INDEX(Simulations!$T$3:$T$62,MATCH($A63,Simulations!$A$3:$A$62,0))^2/2*(LN($G63/INDEX(Simulations!$J$3:$J$62,MATCH($A63,Simulations!$A$3:$A$62,0)))+1)))))</f>
        <v/>
      </c>
      <c r="T63" s="16" t="str">
        <f aca="false">IF(OR($A63="",ISNA(MATCH($A63,Simulations!$A$3:$A$62,0))),"",IF(N($H63)&lt;=0,0,IF($H63&lt;INDEX(Simulations!$J$3:$J$62,MATCH($A63,Simulations!$A$3:$A$62,0)),$D63/(INDEX(Simulations!$G$3:$G$62,MATCH($A63,Simulations!$A$3:$A$62,0))*INDEX(Simulations!$H$3:$H$62,MATCH($A63,Simulations!$A$3:$A$62,0))*IF(INDEX(Simulations!$I$3:$I$62,MATCH($A63,Simulations!$A$3:$A$62,0))&gt;0,INDEX(Simulations!$I$3:$I$62,MATCH($A63,Simulations!$A$3:$A$62,0)),1))*$H63*(PI()/2*INDEX(Simulations!$T$3:$T$62,MATCH($A63,Simulations!$A$3:$A$62,0))^2*IF(INDEX(Simulations!$I$3:$I$62,MATCH($A63,Simulations!$A$3:$A$62,0))&gt;0,SQRT(PI()/2)*INDEX(Simulations!$U$3:$U$62,MATCH($A63,Simulations!$A$3:$A$62,0)),1)),$D63/(INDEX(Simulations!$G$3:$G$62,MATCH($A63,Simulations!$A$3:$A$62,0))*INDEX(Simulations!$H$3:$H$62,MATCH($A63,Simulations!$A$3:$A$62,0))*IF(INDEX(Simulations!$I$3:$I$62,MATCH($A63,Simulations!$A$3:$A$62,0))&gt;0,INDEX(Simulations!$I$3:$I$62,MATCH($A63,Simulations!$A$3:$A$62,0)),1))*INDEX(Simulations!$J$3:$J$62,MATCH($A63,Simulations!$A$3:$A$62,0))*IF(INDEX(Simulations!$I$3:$I$62,MATCH($A63,Simulations!$A$3:$A$62,0))&gt;0,2*PI()*INDEX(Simulations!$T$3:$T$62,MATCH($A63,Simulations!$A$3:$A$62,0))^2*INDEX(Simulations!$U$3:$U$62,MATCH($A63,Simulations!$A$3:$A$62,0))/2^1.5*(2/3*LN($H63/INDEX(Simulations!$J$3:$J$62,MATCH($A63,Simulations!$A$3:$A$62,0)))^1.5+SQRT(LN($H63/INDEX(Simulations!$J$3:$J$62,MATCH($A63,Simulations!$A$3:$A$62,0))))+$H63/INDEX(Simulations!$J$3:$J$62,MATCH($A63,Simulations!$A$3:$A$62,0))*SQRT(PI())/2*ERFC(SQRT(LN($H63/INDEX(Simulations!$J$3:$J$62,MATCH($A63,Simulations!$A$3:$A$62,0)))))),PI()*INDEX(Simulations!$T$3:$T$62,MATCH($A63,Simulations!$A$3:$A$62,0))^2/2*(LN($H63/INDEX(Simulations!$J$3:$J$62,MATCH($A63,Simulations!$A$3:$A$62,0)))+1)))))</f>
        <v/>
      </c>
      <c r="U63" s="18" t="str">
        <f aca="false">IF(OR(OR($A63="",ISNA(MATCH($A63,Simulations!$A$3:$A$62,0))),N($C63)&lt;=0),"",SQRT(2*$C63*1000000/(INDEX(Simulations!$J$3:$J$62,MATCH($A63,Simulations!$A$3:$A$62,0))*1000))/INDEX(Simulations!$T$3:$T$62,MATCH($A63,Simulations!$A$3:$A$62,0)))</f>
        <v/>
      </c>
      <c r="V63" s="19" t="str">
        <f aca="false">IF($A63="","",IF(ISNA(MATCH($A63,Simulations!$A$3:$A$62,0)),"✖ Sim ID not found on the Simulations sheet",IF($P63&gt;=1,"✖ brightness &gt;= sampling frequency: completely saturated (D too small, c too large)",IF($P63&gt;0.1,"⚠ brightness &gt; 10% of the sampling frequency: focus starts to saturate",IF(N($U63)&gt;0.1,"⚠ diffusion step &gt; 10% of wr: raise the sampling frequency",IF(MAX($E63:$H63)=0,"⚠ no brightness set","✔ OK"))))))</f>
        <v/>
      </c>
    </row>
    <row r="64" customFormat="false" ht="15" hidden="false" customHeight="false" outlineLevel="0" collapsed="false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4"/>
      <c r="O64" s="18" t="str">
        <f aca="false">IF(OR($A64="",ISNA(MATCH($A64,Simulations!$A$3:$A$62,0))),"",IF(INDEX(Simulations!$I$3:$I$62,MATCH($A64,Simulations!$A$3:$A$62,0))&gt;0,$D64/(INDEX(Simulations!$G$3:$G$62,MATCH($A64,Simulations!$A$3:$A$62,0))*INDEX(Simulations!$H$3:$H$62,MATCH($A64,Simulations!$A$3:$A$62,0))*IF(INDEX(Simulations!$I$3:$I$62,MATCH($A64,Simulations!$A$3:$A$62,0))&gt;0,INDEX(Simulations!$I$3:$I$62,MATCH($A64,Simulations!$A$3:$A$62,0)),1))/1E-024/6.022E+023/0.000000001,""))</f>
        <v/>
      </c>
      <c r="P64" s="20" t="str">
        <f aca="false">IF(OR($A64="",ISNA(MATCH($A64,Simulations!$A$3:$A$62,0))),"",MAX($E64:$H64)/INDEX(Simulations!$J$3:$J$62,MATCH($A64,Simulations!$A$3:$A$62,0)))</f>
        <v/>
      </c>
      <c r="Q64" s="16" t="str">
        <f aca="false">IF(OR($A64="",ISNA(MATCH($A64,Simulations!$A$3:$A$62,0))),"",IF(N($E64)&lt;=0,0,IF($E64&lt;INDEX(Simulations!$J$3:$J$62,MATCH($A64,Simulations!$A$3:$A$62,0)),$D64/(INDEX(Simulations!$G$3:$G$62,MATCH($A64,Simulations!$A$3:$A$62,0))*INDEX(Simulations!$H$3:$H$62,MATCH($A64,Simulations!$A$3:$A$62,0))*IF(INDEX(Simulations!$I$3:$I$62,MATCH($A64,Simulations!$A$3:$A$62,0))&gt;0,INDEX(Simulations!$I$3:$I$62,MATCH($A64,Simulations!$A$3:$A$62,0)),1))*$E64*(PI()/2*INDEX(Simulations!$T$3:$T$62,MATCH($A64,Simulations!$A$3:$A$62,0))^2*IF(INDEX(Simulations!$I$3:$I$62,MATCH($A64,Simulations!$A$3:$A$62,0))&gt;0,SQRT(PI()/2)*INDEX(Simulations!$U$3:$U$62,MATCH($A64,Simulations!$A$3:$A$62,0)),1)),$D64/(INDEX(Simulations!$G$3:$G$62,MATCH($A64,Simulations!$A$3:$A$62,0))*INDEX(Simulations!$H$3:$H$62,MATCH($A64,Simulations!$A$3:$A$62,0))*IF(INDEX(Simulations!$I$3:$I$62,MATCH($A64,Simulations!$A$3:$A$62,0))&gt;0,INDEX(Simulations!$I$3:$I$62,MATCH($A64,Simulations!$A$3:$A$62,0)),1))*INDEX(Simulations!$J$3:$J$62,MATCH($A64,Simulations!$A$3:$A$62,0))*IF(INDEX(Simulations!$I$3:$I$62,MATCH($A64,Simulations!$A$3:$A$62,0))&gt;0,2*PI()*INDEX(Simulations!$T$3:$T$62,MATCH($A64,Simulations!$A$3:$A$62,0))^2*INDEX(Simulations!$U$3:$U$62,MATCH($A64,Simulations!$A$3:$A$62,0))/2^1.5*(2/3*LN($E64/INDEX(Simulations!$J$3:$J$62,MATCH($A64,Simulations!$A$3:$A$62,0)))^1.5+SQRT(LN($E64/INDEX(Simulations!$J$3:$J$62,MATCH($A64,Simulations!$A$3:$A$62,0))))+$E64/INDEX(Simulations!$J$3:$J$62,MATCH($A64,Simulations!$A$3:$A$62,0))*SQRT(PI())/2*ERFC(SQRT(LN($E64/INDEX(Simulations!$J$3:$J$62,MATCH($A64,Simulations!$A$3:$A$62,0)))))),PI()*INDEX(Simulations!$T$3:$T$62,MATCH($A64,Simulations!$A$3:$A$62,0))^2/2*(LN($E64/INDEX(Simulations!$J$3:$J$62,MATCH($A64,Simulations!$A$3:$A$62,0)))+1)))))</f>
        <v/>
      </c>
      <c r="R64" s="16" t="str">
        <f aca="false">IF(OR($A64="",ISNA(MATCH($A64,Simulations!$A$3:$A$62,0))),"",IF(N($F64)&lt;=0,0,IF($F64&lt;INDEX(Simulations!$J$3:$J$62,MATCH($A64,Simulations!$A$3:$A$62,0)),$D64/(INDEX(Simulations!$G$3:$G$62,MATCH($A64,Simulations!$A$3:$A$62,0))*INDEX(Simulations!$H$3:$H$62,MATCH($A64,Simulations!$A$3:$A$62,0))*IF(INDEX(Simulations!$I$3:$I$62,MATCH($A64,Simulations!$A$3:$A$62,0))&gt;0,INDEX(Simulations!$I$3:$I$62,MATCH($A64,Simulations!$A$3:$A$62,0)),1))*$F64*(PI()/2*INDEX(Simulations!$T$3:$T$62,MATCH($A64,Simulations!$A$3:$A$62,0))^2*IF(INDEX(Simulations!$I$3:$I$62,MATCH($A64,Simulations!$A$3:$A$62,0))&gt;0,SQRT(PI()/2)*INDEX(Simulations!$U$3:$U$62,MATCH($A64,Simulations!$A$3:$A$62,0)),1)),$D64/(INDEX(Simulations!$G$3:$G$62,MATCH($A64,Simulations!$A$3:$A$62,0))*INDEX(Simulations!$H$3:$H$62,MATCH($A64,Simulations!$A$3:$A$62,0))*IF(INDEX(Simulations!$I$3:$I$62,MATCH($A64,Simulations!$A$3:$A$62,0))&gt;0,INDEX(Simulations!$I$3:$I$62,MATCH($A64,Simulations!$A$3:$A$62,0)),1))*INDEX(Simulations!$J$3:$J$62,MATCH($A64,Simulations!$A$3:$A$62,0))*IF(INDEX(Simulations!$I$3:$I$62,MATCH($A64,Simulations!$A$3:$A$62,0))&gt;0,2*PI()*INDEX(Simulations!$T$3:$T$62,MATCH($A64,Simulations!$A$3:$A$62,0))^2*INDEX(Simulations!$U$3:$U$62,MATCH($A64,Simulations!$A$3:$A$62,0))/2^1.5*(2/3*LN($F64/INDEX(Simulations!$J$3:$J$62,MATCH($A64,Simulations!$A$3:$A$62,0)))^1.5+SQRT(LN($F64/INDEX(Simulations!$J$3:$J$62,MATCH($A64,Simulations!$A$3:$A$62,0))))+$F64/INDEX(Simulations!$J$3:$J$62,MATCH($A64,Simulations!$A$3:$A$62,0))*SQRT(PI())/2*ERFC(SQRT(LN($F64/INDEX(Simulations!$J$3:$J$62,MATCH($A64,Simulations!$A$3:$A$62,0)))))),PI()*INDEX(Simulations!$T$3:$T$62,MATCH($A64,Simulations!$A$3:$A$62,0))^2/2*(LN($F64/INDEX(Simulations!$J$3:$J$62,MATCH($A64,Simulations!$A$3:$A$62,0)))+1)))))</f>
        <v/>
      </c>
      <c r="S64" s="16" t="str">
        <f aca="false">IF(OR($A64="",ISNA(MATCH($A64,Simulations!$A$3:$A$62,0))),"",IF(N($G64)&lt;=0,0,IF($G64&lt;INDEX(Simulations!$J$3:$J$62,MATCH($A64,Simulations!$A$3:$A$62,0)),$D64/(INDEX(Simulations!$G$3:$G$62,MATCH($A64,Simulations!$A$3:$A$62,0))*INDEX(Simulations!$H$3:$H$62,MATCH($A64,Simulations!$A$3:$A$62,0))*IF(INDEX(Simulations!$I$3:$I$62,MATCH($A64,Simulations!$A$3:$A$62,0))&gt;0,INDEX(Simulations!$I$3:$I$62,MATCH($A64,Simulations!$A$3:$A$62,0)),1))*$G64*(PI()/2*INDEX(Simulations!$T$3:$T$62,MATCH($A64,Simulations!$A$3:$A$62,0))^2*IF(INDEX(Simulations!$I$3:$I$62,MATCH($A64,Simulations!$A$3:$A$62,0))&gt;0,SQRT(PI()/2)*INDEX(Simulations!$U$3:$U$62,MATCH($A64,Simulations!$A$3:$A$62,0)),1)),$D64/(INDEX(Simulations!$G$3:$G$62,MATCH($A64,Simulations!$A$3:$A$62,0))*INDEX(Simulations!$H$3:$H$62,MATCH($A64,Simulations!$A$3:$A$62,0))*IF(INDEX(Simulations!$I$3:$I$62,MATCH($A64,Simulations!$A$3:$A$62,0))&gt;0,INDEX(Simulations!$I$3:$I$62,MATCH($A64,Simulations!$A$3:$A$62,0)),1))*INDEX(Simulations!$J$3:$J$62,MATCH($A64,Simulations!$A$3:$A$62,0))*IF(INDEX(Simulations!$I$3:$I$62,MATCH($A64,Simulations!$A$3:$A$62,0))&gt;0,2*PI()*INDEX(Simulations!$T$3:$T$62,MATCH($A64,Simulations!$A$3:$A$62,0))^2*INDEX(Simulations!$U$3:$U$62,MATCH($A64,Simulations!$A$3:$A$62,0))/2^1.5*(2/3*LN($G64/INDEX(Simulations!$J$3:$J$62,MATCH($A64,Simulations!$A$3:$A$62,0)))^1.5+SQRT(LN($G64/INDEX(Simulations!$J$3:$J$62,MATCH($A64,Simulations!$A$3:$A$62,0))))+$G64/INDEX(Simulations!$J$3:$J$62,MATCH($A64,Simulations!$A$3:$A$62,0))*SQRT(PI())/2*ERFC(SQRT(LN($G64/INDEX(Simulations!$J$3:$J$62,MATCH($A64,Simulations!$A$3:$A$62,0)))))),PI()*INDEX(Simulations!$T$3:$T$62,MATCH($A64,Simulations!$A$3:$A$62,0))^2/2*(LN($G64/INDEX(Simulations!$J$3:$J$62,MATCH($A64,Simulations!$A$3:$A$62,0)))+1)))))</f>
        <v/>
      </c>
      <c r="T64" s="16" t="str">
        <f aca="false">IF(OR($A64="",ISNA(MATCH($A64,Simulations!$A$3:$A$62,0))),"",IF(N($H64)&lt;=0,0,IF($H64&lt;INDEX(Simulations!$J$3:$J$62,MATCH($A64,Simulations!$A$3:$A$62,0)),$D64/(INDEX(Simulations!$G$3:$G$62,MATCH($A64,Simulations!$A$3:$A$62,0))*INDEX(Simulations!$H$3:$H$62,MATCH($A64,Simulations!$A$3:$A$62,0))*IF(INDEX(Simulations!$I$3:$I$62,MATCH($A64,Simulations!$A$3:$A$62,0))&gt;0,INDEX(Simulations!$I$3:$I$62,MATCH($A64,Simulations!$A$3:$A$62,0)),1))*$H64*(PI()/2*INDEX(Simulations!$T$3:$T$62,MATCH($A64,Simulations!$A$3:$A$62,0))^2*IF(INDEX(Simulations!$I$3:$I$62,MATCH($A64,Simulations!$A$3:$A$62,0))&gt;0,SQRT(PI()/2)*INDEX(Simulations!$U$3:$U$62,MATCH($A64,Simulations!$A$3:$A$62,0)),1)),$D64/(INDEX(Simulations!$G$3:$G$62,MATCH($A64,Simulations!$A$3:$A$62,0))*INDEX(Simulations!$H$3:$H$62,MATCH($A64,Simulations!$A$3:$A$62,0))*IF(INDEX(Simulations!$I$3:$I$62,MATCH($A64,Simulations!$A$3:$A$62,0))&gt;0,INDEX(Simulations!$I$3:$I$62,MATCH($A64,Simulations!$A$3:$A$62,0)),1))*INDEX(Simulations!$J$3:$J$62,MATCH($A64,Simulations!$A$3:$A$62,0))*IF(INDEX(Simulations!$I$3:$I$62,MATCH($A64,Simulations!$A$3:$A$62,0))&gt;0,2*PI()*INDEX(Simulations!$T$3:$T$62,MATCH($A64,Simulations!$A$3:$A$62,0))^2*INDEX(Simulations!$U$3:$U$62,MATCH($A64,Simulations!$A$3:$A$62,0))/2^1.5*(2/3*LN($H64/INDEX(Simulations!$J$3:$J$62,MATCH($A64,Simulations!$A$3:$A$62,0)))^1.5+SQRT(LN($H64/INDEX(Simulations!$J$3:$J$62,MATCH($A64,Simulations!$A$3:$A$62,0))))+$H64/INDEX(Simulations!$J$3:$J$62,MATCH($A64,Simulations!$A$3:$A$62,0))*SQRT(PI())/2*ERFC(SQRT(LN($H64/INDEX(Simulations!$J$3:$J$62,MATCH($A64,Simulations!$A$3:$A$62,0)))))),PI()*INDEX(Simulations!$T$3:$T$62,MATCH($A64,Simulations!$A$3:$A$62,0))^2/2*(LN($H64/INDEX(Simulations!$J$3:$J$62,MATCH($A64,Simulations!$A$3:$A$62,0)))+1)))))</f>
        <v/>
      </c>
      <c r="U64" s="18" t="str">
        <f aca="false">IF(OR(OR($A64="",ISNA(MATCH($A64,Simulations!$A$3:$A$62,0))),N($C64)&lt;=0),"",SQRT(2*$C64*1000000/(INDEX(Simulations!$J$3:$J$62,MATCH($A64,Simulations!$A$3:$A$62,0))*1000))/INDEX(Simulations!$T$3:$T$62,MATCH($A64,Simulations!$A$3:$A$62,0)))</f>
        <v/>
      </c>
      <c r="V64" s="19" t="str">
        <f aca="false">IF($A64="","",IF(ISNA(MATCH($A64,Simulations!$A$3:$A$62,0)),"✖ Sim ID not found on the Simulations sheet",IF($P64&gt;=1,"✖ brightness &gt;= sampling frequency: completely saturated (D too small, c too large)",IF($P64&gt;0.1,"⚠ brightness &gt; 10% of the sampling frequency: focus starts to saturate",IF(N($U64)&gt;0.1,"⚠ diffusion step &gt; 10% of wr: raise the sampling frequency",IF(MAX($E64:$H64)=0,"⚠ no brightness set","✔ OK"))))))</f>
        <v/>
      </c>
    </row>
    <row r="65" customFormat="false" ht="15" hidden="false" customHeight="false" outlineLevel="0" collapsed="false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4"/>
      <c r="O65" s="18" t="str">
        <f aca="false">IF(OR($A65="",ISNA(MATCH($A65,Simulations!$A$3:$A$62,0))),"",IF(INDEX(Simulations!$I$3:$I$62,MATCH($A65,Simulations!$A$3:$A$62,0))&gt;0,$D65/(INDEX(Simulations!$G$3:$G$62,MATCH($A65,Simulations!$A$3:$A$62,0))*INDEX(Simulations!$H$3:$H$62,MATCH($A65,Simulations!$A$3:$A$62,0))*IF(INDEX(Simulations!$I$3:$I$62,MATCH($A65,Simulations!$A$3:$A$62,0))&gt;0,INDEX(Simulations!$I$3:$I$62,MATCH($A65,Simulations!$A$3:$A$62,0)),1))/1E-024/6.022E+023/0.000000001,""))</f>
        <v/>
      </c>
      <c r="P65" s="20" t="str">
        <f aca="false">IF(OR($A65="",ISNA(MATCH($A65,Simulations!$A$3:$A$62,0))),"",MAX($E65:$H65)/INDEX(Simulations!$J$3:$J$62,MATCH($A65,Simulations!$A$3:$A$62,0)))</f>
        <v/>
      </c>
      <c r="Q65" s="16" t="str">
        <f aca="false">IF(OR($A65="",ISNA(MATCH($A65,Simulations!$A$3:$A$62,0))),"",IF(N($E65)&lt;=0,0,IF($E65&lt;INDEX(Simulations!$J$3:$J$62,MATCH($A65,Simulations!$A$3:$A$62,0)),$D65/(INDEX(Simulations!$G$3:$G$62,MATCH($A65,Simulations!$A$3:$A$62,0))*INDEX(Simulations!$H$3:$H$62,MATCH($A65,Simulations!$A$3:$A$62,0))*IF(INDEX(Simulations!$I$3:$I$62,MATCH($A65,Simulations!$A$3:$A$62,0))&gt;0,INDEX(Simulations!$I$3:$I$62,MATCH($A65,Simulations!$A$3:$A$62,0)),1))*$E65*(PI()/2*INDEX(Simulations!$T$3:$T$62,MATCH($A65,Simulations!$A$3:$A$62,0))^2*IF(INDEX(Simulations!$I$3:$I$62,MATCH($A65,Simulations!$A$3:$A$62,0))&gt;0,SQRT(PI()/2)*INDEX(Simulations!$U$3:$U$62,MATCH($A65,Simulations!$A$3:$A$62,0)),1)),$D65/(INDEX(Simulations!$G$3:$G$62,MATCH($A65,Simulations!$A$3:$A$62,0))*INDEX(Simulations!$H$3:$H$62,MATCH($A65,Simulations!$A$3:$A$62,0))*IF(INDEX(Simulations!$I$3:$I$62,MATCH($A65,Simulations!$A$3:$A$62,0))&gt;0,INDEX(Simulations!$I$3:$I$62,MATCH($A65,Simulations!$A$3:$A$62,0)),1))*INDEX(Simulations!$J$3:$J$62,MATCH($A65,Simulations!$A$3:$A$62,0))*IF(INDEX(Simulations!$I$3:$I$62,MATCH($A65,Simulations!$A$3:$A$62,0))&gt;0,2*PI()*INDEX(Simulations!$T$3:$T$62,MATCH($A65,Simulations!$A$3:$A$62,0))^2*INDEX(Simulations!$U$3:$U$62,MATCH($A65,Simulations!$A$3:$A$62,0))/2^1.5*(2/3*LN($E65/INDEX(Simulations!$J$3:$J$62,MATCH($A65,Simulations!$A$3:$A$62,0)))^1.5+SQRT(LN($E65/INDEX(Simulations!$J$3:$J$62,MATCH($A65,Simulations!$A$3:$A$62,0))))+$E65/INDEX(Simulations!$J$3:$J$62,MATCH($A65,Simulations!$A$3:$A$62,0))*SQRT(PI())/2*ERFC(SQRT(LN($E65/INDEX(Simulations!$J$3:$J$62,MATCH($A65,Simulations!$A$3:$A$62,0)))))),PI()*INDEX(Simulations!$T$3:$T$62,MATCH($A65,Simulations!$A$3:$A$62,0))^2/2*(LN($E65/INDEX(Simulations!$J$3:$J$62,MATCH($A65,Simulations!$A$3:$A$62,0)))+1)))))</f>
        <v/>
      </c>
      <c r="R65" s="16" t="str">
        <f aca="false">IF(OR($A65="",ISNA(MATCH($A65,Simulations!$A$3:$A$62,0))),"",IF(N($F65)&lt;=0,0,IF($F65&lt;INDEX(Simulations!$J$3:$J$62,MATCH($A65,Simulations!$A$3:$A$62,0)),$D65/(INDEX(Simulations!$G$3:$G$62,MATCH($A65,Simulations!$A$3:$A$62,0))*INDEX(Simulations!$H$3:$H$62,MATCH($A65,Simulations!$A$3:$A$62,0))*IF(INDEX(Simulations!$I$3:$I$62,MATCH($A65,Simulations!$A$3:$A$62,0))&gt;0,INDEX(Simulations!$I$3:$I$62,MATCH($A65,Simulations!$A$3:$A$62,0)),1))*$F65*(PI()/2*INDEX(Simulations!$T$3:$T$62,MATCH($A65,Simulations!$A$3:$A$62,0))^2*IF(INDEX(Simulations!$I$3:$I$62,MATCH($A65,Simulations!$A$3:$A$62,0))&gt;0,SQRT(PI()/2)*INDEX(Simulations!$U$3:$U$62,MATCH($A65,Simulations!$A$3:$A$62,0)),1)),$D65/(INDEX(Simulations!$G$3:$G$62,MATCH($A65,Simulations!$A$3:$A$62,0))*INDEX(Simulations!$H$3:$H$62,MATCH($A65,Simulations!$A$3:$A$62,0))*IF(INDEX(Simulations!$I$3:$I$62,MATCH($A65,Simulations!$A$3:$A$62,0))&gt;0,INDEX(Simulations!$I$3:$I$62,MATCH($A65,Simulations!$A$3:$A$62,0)),1))*INDEX(Simulations!$J$3:$J$62,MATCH($A65,Simulations!$A$3:$A$62,0))*IF(INDEX(Simulations!$I$3:$I$62,MATCH($A65,Simulations!$A$3:$A$62,0))&gt;0,2*PI()*INDEX(Simulations!$T$3:$T$62,MATCH($A65,Simulations!$A$3:$A$62,0))^2*INDEX(Simulations!$U$3:$U$62,MATCH($A65,Simulations!$A$3:$A$62,0))/2^1.5*(2/3*LN($F65/INDEX(Simulations!$J$3:$J$62,MATCH($A65,Simulations!$A$3:$A$62,0)))^1.5+SQRT(LN($F65/INDEX(Simulations!$J$3:$J$62,MATCH($A65,Simulations!$A$3:$A$62,0))))+$F65/INDEX(Simulations!$J$3:$J$62,MATCH($A65,Simulations!$A$3:$A$62,0))*SQRT(PI())/2*ERFC(SQRT(LN($F65/INDEX(Simulations!$J$3:$J$62,MATCH($A65,Simulations!$A$3:$A$62,0)))))),PI()*INDEX(Simulations!$T$3:$T$62,MATCH($A65,Simulations!$A$3:$A$62,0))^2/2*(LN($F65/INDEX(Simulations!$J$3:$J$62,MATCH($A65,Simulations!$A$3:$A$62,0)))+1)))))</f>
        <v/>
      </c>
      <c r="S65" s="16" t="str">
        <f aca="false">IF(OR($A65="",ISNA(MATCH($A65,Simulations!$A$3:$A$62,0))),"",IF(N($G65)&lt;=0,0,IF($G65&lt;INDEX(Simulations!$J$3:$J$62,MATCH($A65,Simulations!$A$3:$A$62,0)),$D65/(INDEX(Simulations!$G$3:$G$62,MATCH($A65,Simulations!$A$3:$A$62,0))*INDEX(Simulations!$H$3:$H$62,MATCH($A65,Simulations!$A$3:$A$62,0))*IF(INDEX(Simulations!$I$3:$I$62,MATCH($A65,Simulations!$A$3:$A$62,0))&gt;0,INDEX(Simulations!$I$3:$I$62,MATCH($A65,Simulations!$A$3:$A$62,0)),1))*$G65*(PI()/2*INDEX(Simulations!$T$3:$T$62,MATCH($A65,Simulations!$A$3:$A$62,0))^2*IF(INDEX(Simulations!$I$3:$I$62,MATCH($A65,Simulations!$A$3:$A$62,0))&gt;0,SQRT(PI()/2)*INDEX(Simulations!$U$3:$U$62,MATCH($A65,Simulations!$A$3:$A$62,0)),1)),$D65/(INDEX(Simulations!$G$3:$G$62,MATCH($A65,Simulations!$A$3:$A$62,0))*INDEX(Simulations!$H$3:$H$62,MATCH($A65,Simulations!$A$3:$A$62,0))*IF(INDEX(Simulations!$I$3:$I$62,MATCH($A65,Simulations!$A$3:$A$62,0))&gt;0,INDEX(Simulations!$I$3:$I$62,MATCH($A65,Simulations!$A$3:$A$62,0)),1))*INDEX(Simulations!$J$3:$J$62,MATCH($A65,Simulations!$A$3:$A$62,0))*IF(INDEX(Simulations!$I$3:$I$62,MATCH($A65,Simulations!$A$3:$A$62,0))&gt;0,2*PI()*INDEX(Simulations!$T$3:$T$62,MATCH($A65,Simulations!$A$3:$A$62,0))^2*INDEX(Simulations!$U$3:$U$62,MATCH($A65,Simulations!$A$3:$A$62,0))/2^1.5*(2/3*LN($G65/INDEX(Simulations!$J$3:$J$62,MATCH($A65,Simulations!$A$3:$A$62,0)))^1.5+SQRT(LN($G65/INDEX(Simulations!$J$3:$J$62,MATCH($A65,Simulations!$A$3:$A$62,0))))+$G65/INDEX(Simulations!$J$3:$J$62,MATCH($A65,Simulations!$A$3:$A$62,0))*SQRT(PI())/2*ERFC(SQRT(LN($G65/INDEX(Simulations!$J$3:$J$62,MATCH($A65,Simulations!$A$3:$A$62,0)))))),PI()*INDEX(Simulations!$T$3:$T$62,MATCH($A65,Simulations!$A$3:$A$62,0))^2/2*(LN($G65/INDEX(Simulations!$J$3:$J$62,MATCH($A65,Simulations!$A$3:$A$62,0)))+1)))))</f>
        <v/>
      </c>
      <c r="T65" s="16" t="str">
        <f aca="false">IF(OR($A65="",ISNA(MATCH($A65,Simulations!$A$3:$A$62,0))),"",IF(N($H65)&lt;=0,0,IF($H65&lt;INDEX(Simulations!$J$3:$J$62,MATCH($A65,Simulations!$A$3:$A$62,0)),$D65/(INDEX(Simulations!$G$3:$G$62,MATCH($A65,Simulations!$A$3:$A$62,0))*INDEX(Simulations!$H$3:$H$62,MATCH($A65,Simulations!$A$3:$A$62,0))*IF(INDEX(Simulations!$I$3:$I$62,MATCH($A65,Simulations!$A$3:$A$62,0))&gt;0,INDEX(Simulations!$I$3:$I$62,MATCH($A65,Simulations!$A$3:$A$62,0)),1))*$H65*(PI()/2*INDEX(Simulations!$T$3:$T$62,MATCH($A65,Simulations!$A$3:$A$62,0))^2*IF(INDEX(Simulations!$I$3:$I$62,MATCH($A65,Simulations!$A$3:$A$62,0))&gt;0,SQRT(PI()/2)*INDEX(Simulations!$U$3:$U$62,MATCH($A65,Simulations!$A$3:$A$62,0)),1)),$D65/(INDEX(Simulations!$G$3:$G$62,MATCH($A65,Simulations!$A$3:$A$62,0))*INDEX(Simulations!$H$3:$H$62,MATCH($A65,Simulations!$A$3:$A$62,0))*IF(INDEX(Simulations!$I$3:$I$62,MATCH($A65,Simulations!$A$3:$A$62,0))&gt;0,INDEX(Simulations!$I$3:$I$62,MATCH($A65,Simulations!$A$3:$A$62,0)),1))*INDEX(Simulations!$J$3:$J$62,MATCH($A65,Simulations!$A$3:$A$62,0))*IF(INDEX(Simulations!$I$3:$I$62,MATCH($A65,Simulations!$A$3:$A$62,0))&gt;0,2*PI()*INDEX(Simulations!$T$3:$T$62,MATCH($A65,Simulations!$A$3:$A$62,0))^2*INDEX(Simulations!$U$3:$U$62,MATCH($A65,Simulations!$A$3:$A$62,0))/2^1.5*(2/3*LN($H65/INDEX(Simulations!$J$3:$J$62,MATCH($A65,Simulations!$A$3:$A$62,0)))^1.5+SQRT(LN($H65/INDEX(Simulations!$J$3:$J$62,MATCH($A65,Simulations!$A$3:$A$62,0))))+$H65/INDEX(Simulations!$J$3:$J$62,MATCH($A65,Simulations!$A$3:$A$62,0))*SQRT(PI())/2*ERFC(SQRT(LN($H65/INDEX(Simulations!$J$3:$J$62,MATCH($A65,Simulations!$A$3:$A$62,0)))))),PI()*INDEX(Simulations!$T$3:$T$62,MATCH($A65,Simulations!$A$3:$A$62,0))^2/2*(LN($H65/INDEX(Simulations!$J$3:$J$62,MATCH($A65,Simulations!$A$3:$A$62,0)))+1)))))</f>
        <v/>
      </c>
      <c r="U65" s="18" t="str">
        <f aca="false">IF(OR(OR($A65="",ISNA(MATCH($A65,Simulations!$A$3:$A$62,0))),N($C65)&lt;=0),"",SQRT(2*$C65*1000000/(INDEX(Simulations!$J$3:$J$62,MATCH($A65,Simulations!$A$3:$A$62,0))*1000))/INDEX(Simulations!$T$3:$T$62,MATCH($A65,Simulations!$A$3:$A$62,0)))</f>
        <v/>
      </c>
      <c r="V65" s="19" t="str">
        <f aca="false">IF($A65="","",IF(ISNA(MATCH($A65,Simulations!$A$3:$A$62,0)),"✖ Sim ID not found on the Simulations sheet",IF($P65&gt;=1,"✖ brightness &gt;= sampling frequency: completely saturated (D too small, c too large)",IF($P65&gt;0.1,"⚠ brightness &gt; 10% of the sampling frequency: focus starts to saturate",IF(N($U65)&gt;0.1,"⚠ diffusion step &gt; 10% of wr: raise the sampling frequency",IF(MAX($E65:$H65)=0,"⚠ no brightness set","✔ OK"))))))</f>
        <v/>
      </c>
    </row>
    <row r="66" customFormat="false" ht="15" hidden="false" customHeight="false" outlineLevel="0" collapsed="false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4"/>
      <c r="O66" s="18" t="str">
        <f aca="false">IF(OR($A66="",ISNA(MATCH($A66,Simulations!$A$3:$A$62,0))),"",IF(INDEX(Simulations!$I$3:$I$62,MATCH($A66,Simulations!$A$3:$A$62,0))&gt;0,$D66/(INDEX(Simulations!$G$3:$G$62,MATCH($A66,Simulations!$A$3:$A$62,0))*INDEX(Simulations!$H$3:$H$62,MATCH($A66,Simulations!$A$3:$A$62,0))*IF(INDEX(Simulations!$I$3:$I$62,MATCH($A66,Simulations!$A$3:$A$62,0))&gt;0,INDEX(Simulations!$I$3:$I$62,MATCH($A66,Simulations!$A$3:$A$62,0)),1))/1E-024/6.022E+023/0.000000001,""))</f>
        <v/>
      </c>
      <c r="P66" s="20" t="str">
        <f aca="false">IF(OR($A66="",ISNA(MATCH($A66,Simulations!$A$3:$A$62,0))),"",MAX($E66:$H66)/INDEX(Simulations!$J$3:$J$62,MATCH($A66,Simulations!$A$3:$A$62,0)))</f>
        <v/>
      </c>
      <c r="Q66" s="16" t="str">
        <f aca="false">IF(OR($A66="",ISNA(MATCH($A66,Simulations!$A$3:$A$62,0))),"",IF(N($E66)&lt;=0,0,IF($E66&lt;INDEX(Simulations!$J$3:$J$62,MATCH($A66,Simulations!$A$3:$A$62,0)),$D66/(INDEX(Simulations!$G$3:$G$62,MATCH($A66,Simulations!$A$3:$A$62,0))*INDEX(Simulations!$H$3:$H$62,MATCH($A66,Simulations!$A$3:$A$62,0))*IF(INDEX(Simulations!$I$3:$I$62,MATCH($A66,Simulations!$A$3:$A$62,0))&gt;0,INDEX(Simulations!$I$3:$I$62,MATCH($A66,Simulations!$A$3:$A$62,0)),1))*$E66*(PI()/2*INDEX(Simulations!$T$3:$T$62,MATCH($A66,Simulations!$A$3:$A$62,0))^2*IF(INDEX(Simulations!$I$3:$I$62,MATCH($A66,Simulations!$A$3:$A$62,0))&gt;0,SQRT(PI()/2)*INDEX(Simulations!$U$3:$U$62,MATCH($A66,Simulations!$A$3:$A$62,0)),1)),$D66/(INDEX(Simulations!$G$3:$G$62,MATCH($A66,Simulations!$A$3:$A$62,0))*INDEX(Simulations!$H$3:$H$62,MATCH($A66,Simulations!$A$3:$A$62,0))*IF(INDEX(Simulations!$I$3:$I$62,MATCH($A66,Simulations!$A$3:$A$62,0))&gt;0,INDEX(Simulations!$I$3:$I$62,MATCH($A66,Simulations!$A$3:$A$62,0)),1))*INDEX(Simulations!$J$3:$J$62,MATCH($A66,Simulations!$A$3:$A$62,0))*IF(INDEX(Simulations!$I$3:$I$62,MATCH($A66,Simulations!$A$3:$A$62,0))&gt;0,2*PI()*INDEX(Simulations!$T$3:$T$62,MATCH($A66,Simulations!$A$3:$A$62,0))^2*INDEX(Simulations!$U$3:$U$62,MATCH($A66,Simulations!$A$3:$A$62,0))/2^1.5*(2/3*LN($E66/INDEX(Simulations!$J$3:$J$62,MATCH($A66,Simulations!$A$3:$A$62,0)))^1.5+SQRT(LN($E66/INDEX(Simulations!$J$3:$J$62,MATCH($A66,Simulations!$A$3:$A$62,0))))+$E66/INDEX(Simulations!$J$3:$J$62,MATCH($A66,Simulations!$A$3:$A$62,0))*SQRT(PI())/2*ERFC(SQRT(LN($E66/INDEX(Simulations!$J$3:$J$62,MATCH($A66,Simulations!$A$3:$A$62,0)))))),PI()*INDEX(Simulations!$T$3:$T$62,MATCH($A66,Simulations!$A$3:$A$62,0))^2/2*(LN($E66/INDEX(Simulations!$J$3:$J$62,MATCH($A66,Simulations!$A$3:$A$62,0)))+1)))))</f>
        <v/>
      </c>
      <c r="R66" s="16" t="str">
        <f aca="false">IF(OR($A66="",ISNA(MATCH($A66,Simulations!$A$3:$A$62,0))),"",IF(N($F66)&lt;=0,0,IF($F66&lt;INDEX(Simulations!$J$3:$J$62,MATCH($A66,Simulations!$A$3:$A$62,0)),$D66/(INDEX(Simulations!$G$3:$G$62,MATCH($A66,Simulations!$A$3:$A$62,0))*INDEX(Simulations!$H$3:$H$62,MATCH($A66,Simulations!$A$3:$A$62,0))*IF(INDEX(Simulations!$I$3:$I$62,MATCH($A66,Simulations!$A$3:$A$62,0))&gt;0,INDEX(Simulations!$I$3:$I$62,MATCH($A66,Simulations!$A$3:$A$62,0)),1))*$F66*(PI()/2*INDEX(Simulations!$T$3:$T$62,MATCH($A66,Simulations!$A$3:$A$62,0))^2*IF(INDEX(Simulations!$I$3:$I$62,MATCH($A66,Simulations!$A$3:$A$62,0))&gt;0,SQRT(PI()/2)*INDEX(Simulations!$U$3:$U$62,MATCH($A66,Simulations!$A$3:$A$62,0)),1)),$D66/(INDEX(Simulations!$G$3:$G$62,MATCH($A66,Simulations!$A$3:$A$62,0))*INDEX(Simulations!$H$3:$H$62,MATCH($A66,Simulations!$A$3:$A$62,0))*IF(INDEX(Simulations!$I$3:$I$62,MATCH($A66,Simulations!$A$3:$A$62,0))&gt;0,INDEX(Simulations!$I$3:$I$62,MATCH($A66,Simulations!$A$3:$A$62,0)),1))*INDEX(Simulations!$J$3:$J$62,MATCH($A66,Simulations!$A$3:$A$62,0))*IF(INDEX(Simulations!$I$3:$I$62,MATCH($A66,Simulations!$A$3:$A$62,0))&gt;0,2*PI()*INDEX(Simulations!$T$3:$T$62,MATCH($A66,Simulations!$A$3:$A$62,0))^2*INDEX(Simulations!$U$3:$U$62,MATCH($A66,Simulations!$A$3:$A$62,0))/2^1.5*(2/3*LN($F66/INDEX(Simulations!$J$3:$J$62,MATCH($A66,Simulations!$A$3:$A$62,0)))^1.5+SQRT(LN($F66/INDEX(Simulations!$J$3:$J$62,MATCH($A66,Simulations!$A$3:$A$62,0))))+$F66/INDEX(Simulations!$J$3:$J$62,MATCH($A66,Simulations!$A$3:$A$62,0))*SQRT(PI())/2*ERFC(SQRT(LN($F66/INDEX(Simulations!$J$3:$J$62,MATCH($A66,Simulations!$A$3:$A$62,0)))))),PI()*INDEX(Simulations!$T$3:$T$62,MATCH($A66,Simulations!$A$3:$A$62,0))^2/2*(LN($F66/INDEX(Simulations!$J$3:$J$62,MATCH($A66,Simulations!$A$3:$A$62,0)))+1)))))</f>
        <v/>
      </c>
      <c r="S66" s="16" t="str">
        <f aca="false">IF(OR($A66="",ISNA(MATCH($A66,Simulations!$A$3:$A$62,0))),"",IF(N($G66)&lt;=0,0,IF($G66&lt;INDEX(Simulations!$J$3:$J$62,MATCH($A66,Simulations!$A$3:$A$62,0)),$D66/(INDEX(Simulations!$G$3:$G$62,MATCH($A66,Simulations!$A$3:$A$62,0))*INDEX(Simulations!$H$3:$H$62,MATCH($A66,Simulations!$A$3:$A$62,0))*IF(INDEX(Simulations!$I$3:$I$62,MATCH($A66,Simulations!$A$3:$A$62,0))&gt;0,INDEX(Simulations!$I$3:$I$62,MATCH($A66,Simulations!$A$3:$A$62,0)),1))*$G66*(PI()/2*INDEX(Simulations!$T$3:$T$62,MATCH($A66,Simulations!$A$3:$A$62,0))^2*IF(INDEX(Simulations!$I$3:$I$62,MATCH($A66,Simulations!$A$3:$A$62,0))&gt;0,SQRT(PI()/2)*INDEX(Simulations!$U$3:$U$62,MATCH($A66,Simulations!$A$3:$A$62,0)),1)),$D66/(INDEX(Simulations!$G$3:$G$62,MATCH($A66,Simulations!$A$3:$A$62,0))*INDEX(Simulations!$H$3:$H$62,MATCH($A66,Simulations!$A$3:$A$62,0))*IF(INDEX(Simulations!$I$3:$I$62,MATCH($A66,Simulations!$A$3:$A$62,0))&gt;0,INDEX(Simulations!$I$3:$I$62,MATCH($A66,Simulations!$A$3:$A$62,0)),1))*INDEX(Simulations!$J$3:$J$62,MATCH($A66,Simulations!$A$3:$A$62,0))*IF(INDEX(Simulations!$I$3:$I$62,MATCH($A66,Simulations!$A$3:$A$62,0))&gt;0,2*PI()*INDEX(Simulations!$T$3:$T$62,MATCH($A66,Simulations!$A$3:$A$62,0))^2*INDEX(Simulations!$U$3:$U$62,MATCH($A66,Simulations!$A$3:$A$62,0))/2^1.5*(2/3*LN($G66/INDEX(Simulations!$J$3:$J$62,MATCH($A66,Simulations!$A$3:$A$62,0)))^1.5+SQRT(LN($G66/INDEX(Simulations!$J$3:$J$62,MATCH($A66,Simulations!$A$3:$A$62,0))))+$G66/INDEX(Simulations!$J$3:$J$62,MATCH($A66,Simulations!$A$3:$A$62,0))*SQRT(PI())/2*ERFC(SQRT(LN($G66/INDEX(Simulations!$J$3:$J$62,MATCH($A66,Simulations!$A$3:$A$62,0)))))),PI()*INDEX(Simulations!$T$3:$T$62,MATCH($A66,Simulations!$A$3:$A$62,0))^2/2*(LN($G66/INDEX(Simulations!$J$3:$J$62,MATCH($A66,Simulations!$A$3:$A$62,0)))+1)))))</f>
        <v/>
      </c>
      <c r="T66" s="16" t="str">
        <f aca="false">IF(OR($A66="",ISNA(MATCH($A66,Simulations!$A$3:$A$62,0))),"",IF(N($H66)&lt;=0,0,IF($H66&lt;INDEX(Simulations!$J$3:$J$62,MATCH($A66,Simulations!$A$3:$A$62,0)),$D66/(INDEX(Simulations!$G$3:$G$62,MATCH($A66,Simulations!$A$3:$A$62,0))*INDEX(Simulations!$H$3:$H$62,MATCH($A66,Simulations!$A$3:$A$62,0))*IF(INDEX(Simulations!$I$3:$I$62,MATCH($A66,Simulations!$A$3:$A$62,0))&gt;0,INDEX(Simulations!$I$3:$I$62,MATCH($A66,Simulations!$A$3:$A$62,0)),1))*$H66*(PI()/2*INDEX(Simulations!$T$3:$T$62,MATCH($A66,Simulations!$A$3:$A$62,0))^2*IF(INDEX(Simulations!$I$3:$I$62,MATCH($A66,Simulations!$A$3:$A$62,0))&gt;0,SQRT(PI()/2)*INDEX(Simulations!$U$3:$U$62,MATCH($A66,Simulations!$A$3:$A$62,0)),1)),$D66/(INDEX(Simulations!$G$3:$G$62,MATCH($A66,Simulations!$A$3:$A$62,0))*INDEX(Simulations!$H$3:$H$62,MATCH($A66,Simulations!$A$3:$A$62,0))*IF(INDEX(Simulations!$I$3:$I$62,MATCH($A66,Simulations!$A$3:$A$62,0))&gt;0,INDEX(Simulations!$I$3:$I$62,MATCH($A66,Simulations!$A$3:$A$62,0)),1))*INDEX(Simulations!$J$3:$J$62,MATCH($A66,Simulations!$A$3:$A$62,0))*IF(INDEX(Simulations!$I$3:$I$62,MATCH($A66,Simulations!$A$3:$A$62,0))&gt;0,2*PI()*INDEX(Simulations!$T$3:$T$62,MATCH($A66,Simulations!$A$3:$A$62,0))^2*INDEX(Simulations!$U$3:$U$62,MATCH($A66,Simulations!$A$3:$A$62,0))/2^1.5*(2/3*LN($H66/INDEX(Simulations!$J$3:$J$62,MATCH($A66,Simulations!$A$3:$A$62,0)))^1.5+SQRT(LN($H66/INDEX(Simulations!$J$3:$J$62,MATCH($A66,Simulations!$A$3:$A$62,0))))+$H66/INDEX(Simulations!$J$3:$J$62,MATCH($A66,Simulations!$A$3:$A$62,0))*SQRT(PI())/2*ERFC(SQRT(LN($H66/INDEX(Simulations!$J$3:$J$62,MATCH($A66,Simulations!$A$3:$A$62,0)))))),PI()*INDEX(Simulations!$T$3:$T$62,MATCH($A66,Simulations!$A$3:$A$62,0))^2/2*(LN($H66/INDEX(Simulations!$J$3:$J$62,MATCH($A66,Simulations!$A$3:$A$62,0)))+1)))))</f>
        <v/>
      </c>
      <c r="U66" s="18" t="str">
        <f aca="false">IF(OR(OR($A66="",ISNA(MATCH($A66,Simulations!$A$3:$A$62,0))),N($C66)&lt;=0),"",SQRT(2*$C66*1000000/(INDEX(Simulations!$J$3:$J$62,MATCH($A66,Simulations!$A$3:$A$62,0))*1000))/INDEX(Simulations!$T$3:$T$62,MATCH($A66,Simulations!$A$3:$A$62,0)))</f>
        <v/>
      </c>
      <c r="V66" s="19" t="str">
        <f aca="false">IF($A66="","",IF(ISNA(MATCH($A66,Simulations!$A$3:$A$62,0)),"✖ Sim ID not found on the Simulations sheet",IF($P66&gt;=1,"✖ brightness &gt;= sampling frequency: completely saturated (D too small, c too large)",IF($P66&gt;0.1,"⚠ brightness &gt; 10% of the sampling frequency: focus starts to saturate",IF(N($U66)&gt;0.1,"⚠ diffusion step &gt; 10% of wr: raise the sampling frequency",IF(MAX($E66:$H66)=0,"⚠ no brightness set","✔ OK"))))))</f>
        <v/>
      </c>
    </row>
    <row r="67" customFormat="false" ht="15" hidden="false" customHeight="false" outlineLevel="0" collapsed="false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4"/>
      <c r="O67" s="18" t="str">
        <f aca="false">IF(OR($A67="",ISNA(MATCH($A67,Simulations!$A$3:$A$62,0))),"",IF(INDEX(Simulations!$I$3:$I$62,MATCH($A67,Simulations!$A$3:$A$62,0))&gt;0,$D67/(INDEX(Simulations!$G$3:$G$62,MATCH($A67,Simulations!$A$3:$A$62,0))*INDEX(Simulations!$H$3:$H$62,MATCH($A67,Simulations!$A$3:$A$62,0))*IF(INDEX(Simulations!$I$3:$I$62,MATCH($A67,Simulations!$A$3:$A$62,0))&gt;0,INDEX(Simulations!$I$3:$I$62,MATCH($A67,Simulations!$A$3:$A$62,0)),1))/1E-024/6.022E+023/0.000000001,""))</f>
        <v/>
      </c>
      <c r="P67" s="20" t="str">
        <f aca="false">IF(OR($A67="",ISNA(MATCH($A67,Simulations!$A$3:$A$62,0))),"",MAX($E67:$H67)/INDEX(Simulations!$J$3:$J$62,MATCH($A67,Simulations!$A$3:$A$62,0)))</f>
        <v/>
      </c>
      <c r="Q67" s="16" t="str">
        <f aca="false">IF(OR($A67="",ISNA(MATCH($A67,Simulations!$A$3:$A$62,0))),"",IF(N($E67)&lt;=0,0,IF($E67&lt;INDEX(Simulations!$J$3:$J$62,MATCH($A67,Simulations!$A$3:$A$62,0)),$D67/(INDEX(Simulations!$G$3:$G$62,MATCH($A67,Simulations!$A$3:$A$62,0))*INDEX(Simulations!$H$3:$H$62,MATCH($A67,Simulations!$A$3:$A$62,0))*IF(INDEX(Simulations!$I$3:$I$62,MATCH($A67,Simulations!$A$3:$A$62,0))&gt;0,INDEX(Simulations!$I$3:$I$62,MATCH($A67,Simulations!$A$3:$A$62,0)),1))*$E67*(PI()/2*INDEX(Simulations!$T$3:$T$62,MATCH($A67,Simulations!$A$3:$A$62,0))^2*IF(INDEX(Simulations!$I$3:$I$62,MATCH($A67,Simulations!$A$3:$A$62,0))&gt;0,SQRT(PI()/2)*INDEX(Simulations!$U$3:$U$62,MATCH($A67,Simulations!$A$3:$A$62,0)),1)),$D67/(INDEX(Simulations!$G$3:$G$62,MATCH($A67,Simulations!$A$3:$A$62,0))*INDEX(Simulations!$H$3:$H$62,MATCH($A67,Simulations!$A$3:$A$62,0))*IF(INDEX(Simulations!$I$3:$I$62,MATCH($A67,Simulations!$A$3:$A$62,0))&gt;0,INDEX(Simulations!$I$3:$I$62,MATCH($A67,Simulations!$A$3:$A$62,0)),1))*INDEX(Simulations!$J$3:$J$62,MATCH($A67,Simulations!$A$3:$A$62,0))*IF(INDEX(Simulations!$I$3:$I$62,MATCH($A67,Simulations!$A$3:$A$62,0))&gt;0,2*PI()*INDEX(Simulations!$T$3:$T$62,MATCH($A67,Simulations!$A$3:$A$62,0))^2*INDEX(Simulations!$U$3:$U$62,MATCH($A67,Simulations!$A$3:$A$62,0))/2^1.5*(2/3*LN($E67/INDEX(Simulations!$J$3:$J$62,MATCH($A67,Simulations!$A$3:$A$62,0)))^1.5+SQRT(LN($E67/INDEX(Simulations!$J$3:$J$62,MATCH($A67,Simulations!$A$3:$A$62,0))))+$E67/INDEX(Simulations!$J$3:$J$62,MATCH($A67,Simulations!$A$3:$A$62,0))*SQRT(PI())/2*ERFC(SQRT(LN($E67/INDEX(Simulations!$J$3:$J$62,MATCH($A67,Simulations!$A$3:$A$62,0)))))),PI()*INDEX(Simulations!$T$3:$T$62,MATCH($A67,Simulations!$A$3:$A$62,0))^2/2*(LN($E67/INDEX(Simulations!$J$3:$J$62,MATCH($A67,Simulations!$A$3:$A$62,0)))+1)))))</f>
        <v/>
      </c>
      <c r="R67" s="16" t="str">
        <f aca="false">IF(OR($A67="",ISNA(MATCH($A67,Simulations!$A$3:$A$62,0))),"",IF(N($F67)&lt;=0,0,IF($F67&lt;INDEX(Simulations!$J$3:$J$62,MATCH($A67,Simulations!$A$3:$A$62,0)),$D67/(INDEX(Simulations!$G$3:$G$62,MATCH($A67,Simulations!$A$3:$A$62,0))*INDEX(Simulations!$H$3:$H$62,MATCH($A67,Simulations!$A$3:$A$62,0))*IF(INDEX(Simulations!$I$3:$I$62,MATCH($A67,Simulations!$A$3:$A$62,0))&gt;0,INDEX(Simulations!$I$3:$I$62,MATCH($A67,Simulations!$A$3:$A$62,0)),1))*$F67*(PI()/2*INDEX(Simulations!$T$3:$T$62,MATCH($A67,Simulations!$A$3:$A$62,0))^2*IF(INDEX(Simulations!$I$3:$I$62,MATCH($A67,Simulations!$A$3:$A$62,0))&gt;0,SQRT(PI()/2)*INDEX(Simulations!$U$3:$U$62,MATCH($A67,Simulations!$A$3:$A$62,0)),1)),$D67/(INDEX(Simulations!$G$3:$G$62,MATCH($A67,Simulations!$A$3:$A$62,0))*INDEX(Simulations!$H$3:$H$62,MATCH($A67,Simulations!$A$3:$A$62,0))*IF(INDEX(Simulations!$I$3:$I$62,MATCH($A67,Simulations!$A$3:$A$62,0))&gt;0,INDEX(Simulations!$I$3:$I$62,MATCH($A67,Simulations!$A$3:$A$62,0)),1))*INDEX(Simulations!$J$3:$J$62,MATCH($A67,Simulations!$A$3:$A$62,0))*IF(INDEX(Simulations!$I$3:$I$62,MATCH($A67,Simulations!$A$3:$A$62,0))&gt;0,2*PI()*INDEX(Simulations!$T$3:$T$62,MATCH($A67,Simulations!$A$3:$A$62,0))^2*INDEX(Simulations!$U$3:$U$62,MATCH($A67,Simulations!$A$3:$A$62,0))/2^1.5*(2/3*LN($F67/INDEX(Simulations!$J$3:$J$62,MATCH($A67,Simulations!$A$3:$A$62,0)))^1.5+SQRT(LN($F67/INDEX(Simulations!$J$3:$J$62,MATCH($A67,Simulations!$A$3:$A$62,0))))+$F67/INDEX(Simulations!$J$3:$J$62,MATCH($A67,Simulations!$A$3:$A$62,0))*SQRT(PI())/2*ERFC(SQRT(LN($F67/INDEX(Simulations!$J$3:$J$62,MATCH($A67,Simulations!$A$3:$A$62,0)))))),PI()*INDEX(Simulations!$T$3:$T$62,MATCH($A67,Simulations!$A$3:$A$62,0))^2/2*(LN($F67/INDEX(Simulations!$J$3:$J$62,MATCH($A67,Simulations!$A$3:$A$62,0)))+1)))))</f>
        <v/>
      </c>
      <c r="S67" s="16" t="str">
        <f aca="false">IF(OR($A67="",ISNA(MATCH($A67,Simulations!$A$3:$A$62,0))),"",IF(N($G67)&lt;=0,0,IF($G67&lt;INDEX(Simulations!$J$3:$J$62,MATCH($A67,Simulations!$A$3:$A$62,0)),$D67/(INDEX(Simulations!$G$3:$G$62,MATCH($A67,Simulations!$A$3:$A$62,0))*INDEX(Simulations!$H$3:$H$62,MATCH($A67,Simulations!$A$3:$A$62,0))*IF(INDEX(Simulations!$I$3:$I$62,MATCH($A67,Simulations!$A$3:$A$62,0))&gt;0,INDEX(Simulations!$I$3:$I$62,MATCH($A67,Simulations!$A$3:$A$62,0)),1))*$G67*(PI()/2*INDEX(Simulations!$T$3:$T$62,MATCH($A67,Simulations!$A$3:$A$62,0))^2*IF(INDEX(Simulations!$I$3:$I$62,MATCH($A67,Simulations!$A$3:$A$62,0))&gt;0,SQRT(PI()/2)*INDEX(Simulations!$U$3:$U$62,MATCH($A67,Simulations!$A$3:$A$62,0)),1)),$D67/(INDEX(Simulations!$G$3:$G$62,MATCH($A67,Simulations!$A$3:$A$62,0))*INDEX(Simulations!$H$3:$H$62,MATCH($A67,Simulations!$A$3:$A$62,0))*IF(INDEX(Simulations!$I$3:$I$62,MATCH($A67,Simulations!$A$3:$A$62,0))&gt;0,INDEX(Simulations!$I$3:$I$62,MATCH($A67,Simulations!$A$3:$A$62,0)),1))*INDEX(Simulations!$J$3:$J$62,MATCH($A67,Simulations!$A$3:$A$62,0))*IF(INDEX(Simulations!$I$3:$I$62,MATCH($A67,Simulations!$A$3:$A$62,0))&gt;0,2*PI()*INDEX(Simulations!$T$3:$T$62,MATCH($A67,Simulations!$A$3:$A$62,0))^2*INDEX(Simulations!$U$3:$U$62,MATCH($A67,Simulations!$A$3:$A$62,0))/2^1.5*(2/3*LN($G67/INDEX(Simulations!$J$3:$J$62,MATCH($A67,Simulations!$A$3:$A$62,0)))^1.5+SQRT(LN($G67/INDEX(Simulations!$J$3:$J$62,MATCH($A67,Simulations!$A$3:$A$62,0))))+$G67/INDEX(Simulations!$J$3:$J$62,MATCH($A67,Simulations!$A$3:$A$62,0))*SQRT(PI())/2*ERFC(SQRT(LN($G67/INDEX(Simulations!$J$3:$J$62,MATCH($A67,Simulations!$A$3:$A$62,0)))))),PI()*INDEX(Simulations!$T$3:$T$62,MATCH($A67,Simulations!$A$3:$A$62,0))^2/2*(LN($G67/INDEX(Simulations!$J$3:$J$62,MATCH($A67,Simulations!$A$3:$A$62,0)))+1)))))</f>
        <v/>
      </c>
      <c r="T67" s="16" t="str">
        <f aca="false">IF(OR($A67="",ISNA(MATCH($A67,Simulations!$A$3:$A$62,0))),"",IF(N($H67)&lt;=0,0,IF($H67&lt;INDEX(Simulations!$J$3:$J$62,MATCH($A67,Simulations!$A$3:$A$62,0)),$D67/(INDEX(Simulations!$G$3:$G$62,MATCH($A67,Simulations!$A$3:$A$62,0))*INDEX(Simulations!$H$3:$H$62,MATCH($A67,Simulations!$A$3:$A$62,0))*IF(INDEX(Simulations!$I$3:$I$62,MATCH($A67,Simulations!$A$3:$A$62,0))&gt;0,INDEX(Simulations!$I$3:$I$62,MATCH($A67,Simulations!$A$3:$A$62,0)),1))*$H67*(PI()/2*INDEX(Simulations!$T$3:$T$62,MATCH($A67,Simulations!$A$3:$A$62,0))^2*IF(INDEX(Simulations!$I$3:$I$62,MATCH($A67,Simulations!$A$3:$A$62,0))&gt;0,SQRT(PI()/2)*INDEX(Simulations!$U$3:$U$62,MATCH($A67,Simulations!$A$3:$A$62,0)),1)),$D67/(INDEX(Simulations!$G$3:$G$62,MATCH($A67,Simulations!$A$3:$A$62,0))*INDEX(Simulations!$H$3:$H$62,MATCH($A67,Simulations!$A$3:$A$62,0))*IF(INDEX(Simulations!$I$3:$I$62,MATCH($A67,Simulations!$A$3:$A$62,0))&gt;0,INDEX(Simulations!$I$3:$I$62,MATCH($A67,Simulations!$A$3:$A$62,0)),1))*INDEX(Simulations!$J$3:$J$62,MATCH($A67,Simulations!$A$3:$A$62,0))*IF(INDEX(Simulations!$I$3:$I$62,MATCH($A67,Simulations!$A$3:$A$62,0))&gt;0,2*PI()*INDEX(Simulations!$T$3:$T$62,MATCH($A67,Simulations!$A$3:$A$62,0))^2*INDEX(Simulations!$U$3:$U$62,MATCH($A67,Simulations!$A$3:$A$62,0))/2^1.5*(2/3*LN($H67/INDEX(Simulations!$J$3:$J$62,MATCH($A67,Simulations!$A$3:$A$62,0)))^1.5+SQRT(LN($H67/INDEX(Simulations!$J$3:$J$62,MATCH($A67,Simulations!$A$3:$A$62,0))))+$H67/INDEX(Simulations!$J$3:$J$62,MATCH($A67,Simulations!$A$3:$A$62,0))*SQRT(PI())/2*ERFC(SQRT(LN($H67/INDEX(Simulations!$J$3:$J$62,MATCH($A67,Simulations!$A$3:$A$62,0)))))),PI()*INDEX(Simulations!$T$3:$T$62,MATCH($A67,Simulations!$A$3:$A$62,0))^2/2*(LN($H67/INDEX(Simulations!$J$3:$J$62,MATCH($A67,Simulations!$A$3:$A$62,0)))+1)))))</f>
        <v/>
      </c>
      <c r="U67" s="18" t="str">
        <f aca="false">IF(OR(OR($A67="",ISNA(MATCH($A67,Simulations!$A$3:$A$62,0))),N($C67)&lt;=0),"",SQRT(2*$C67*1000000/(INDEX(Simulations!$J$3:$J$62,MATCH($A67,Simulations!$A$3:$A$62,0))*1000))/INDEX(Simulations!$T$3:$T$62,MATCH($A67,Simulations!$A$3:$A$62,0)))</f>
        <v/>
      </c>
      <c r="V67" s="19" t="str">
        <f aca="false">IF($A67="","",IF(ISNA(MATCH($A67,Simulations!$A$3:$A$62,0)),"✖ Sim ID not found on the Simulations sheet",IF($P67&gt;=1,"✖ brightness &gt;= sampling frequency: completely saturated (D too small, c too large)",IF($P67&gt;0.1,"⚠ brightness &gt; 10% of the sampling frequency: focus starts to saturate",IF(N($U67)&gt;0.1,"⚠ diffusion step &gt; 10% of wr: raise the sampling frequency",IF(MAX($E67:$H67)=0,"⚠ no brightness set","✔ OK"))))))</f>
        <v/>
      </c>
    </row>
    <row r="68" customFormat="false" ht="15" hidden="false" customHeight="false" outlineLevel="0" collapsed="false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4"/>
      <c r="O68" s="18" t="str">
        <f aca="false">IF(OR($A68="",ISNA(MATCH($A68,Simulations!$A$3:$A$62,0))),"",IF(INDEX(Simulations!$I$3:$I$62,MATCH($A68,Simulations!$A$3:$A$62,0))&gt;0,$D68/(INDEX(Simulations!$G$3:$G$62,MATCH($A68,Simulations!$A$3:$A$62,0))*INDEX(Simulations!$H$3:$H$62,MATCH($A68,Simulations!$A$3:$A$62,0))*IF(INDEX(Simulations!$I$3:$I$62,MATCH($A68,Simulations!$A$3:$A$62,0))&gt;0,INDEX(Simulations!$I$3:$I$62,MATCH($A68,Simulations!$A$3:$A$62,0)),1))/1E-024/6.022E+023/0.000000001,""))</f>
        <v/>
      </c>
      <c r="P68" s="20" t="str">
        <f aca="false">IF(OR($A68="",ISNA(MATCH($A68,Simulations!$A$3:$A$62,0))),"",MAX($E68:$H68)/INDEX(Simulations!$J$3:$J$62,MATCH($A68,Simulations!$A$3:$A$62,0)))</f>
        <v/>
      </c>
      <c r="Q68" s="16" t="str">
        <f aca="false">IF(OR($A68="",ISNA(MATCH($A68,Simulations!$A$3:$A$62,0))),"",IF(N($E68)&lt;=0,0,IF($E68&lt;INDEX(Simulations!$J$3:$J$62,MATCH($A68,Simulations!$A$3:$A$62,0)),$D68/(INDEX(Simulations!$G$3:$G$62,MATCH($A68,Simulations!$A$3:$A$62,0))*INDEX(Simulations!$H$3:$H$62,MATCH($A68,Simulations!$A$3:$A$62,0))*IF(INDEX(Simulations!$I$3:$I$62,MATCH($A68,Simulations!$A$3:$A$62,0))&gt;0,INDEX(Simulations!$I$3:$I$62,MATCH($A68,Simulations!$A$3:$A$62,0)),1))*$E68*(PI()/2*INDEX(Simulations!$T$3:$T$62,MATCH($A68,Simulations!$A$3:$A$62,0))^2*IF(INDEX(Simulations!$I$3:$I$62,MATCH($A68,Simulations!$A$3:$A$62,0))&gt;0,SQRT(PI()/2)*INDEX(Simulations!$U$3:$U$62,MATCH($A68,Simulations!$A$3:$A$62,0)),1)),$D68/(INDEX(Simulations!$G$3:$G$62,MATCH($A68,Simulations!$A$3:$A$62,0))*INDEX(Simulations!$H$3:$H$62,MATCH($A68,Simulations!$A$3:$A$62,0))*IF(INDEX(Simulations!$I$3:$I$62,MATCH($A68,Simulations!$A$3:$A$62,0))&gt;0,INDEX(Simulations!$I$3:$I$62,MATCH($A68,Simulations!$A$3:$A$62,0)),1))*INDEX(Simulations!$J$3:$J$62,MATCH($A68,Simulations!$A$3:$A$62,0))*IF(INDEX(Simulations!$I$3:$I$62,MATCH($A68,Simulations!$A$3:$A$62,0))&gt;0,2*PI()*INDEX(Simulations!$T$3:$T$62,MATCH($A68,Simulations!$A$3:$A$62,0))^2*INDEX(Simulations!$U$3:$U$62,MATCH($A68,Simulations!$A$3:$A$62,0))/2^1.5*(2/3*LN($E68/INDEX(Simulations!$J$3:$J$62,MATCH($A68,Simulations!$A$3:$A$62,0)))^1.5+SQRT(LN($E68/INDEX(Simulations!$J$3:$J$62,MATCH($A68,Simulations!$A$3:$A$62,0))))+$E68/INDEX(Simulations!$J$3:$J$62,MATCH($A68,Simulations!$A$3:$A$62,0))*SQRT(PI())/2*ERFC(SQRT(LN($E68/INDEX(Simulations!$J$3:$J$62,MATCH($A68,Simulations!$A$3:$A$62,0)))))),PI()*INDEX(Simulations!$T$3:$T$62,MATCH($A68,Simulations!$A$3:$A$62,0))^2/2*(LN($E68/INDEX(Simulations!$J$3:$J$62,MATCH($A68,Simulations!$A$3:$A$62,0)))+1)))))</f>
        <v/>
      </c>
      <c r="R68" s="16" t="str">
        <f aca="false">IF(OR($A68="",ISNA(MATCH($A68,Simulations!$A$3:$A$62,0))),"",IF(N($F68)&lt;=0,0,IF($F68&lt;INDEX(Simulations!$J$3:$J$62,MATCH($A68,Simulations!$A$3:$A$62,0)),$D68/(INDEX(Simulations!$G$3:$G$62,MATCH($A68,Simulations!$A$3:$A$62,0))*INDEX(Simulations!$H$3:$H$62,MATCH($A68,Simulations!$A$3:$A$62,0))*IF(INDEX(Simulations!$I$3:$I$62,MATCH($A68,Simulations!$A$3:$A$62,0))&gt;0,INDEX(Simulations!$I$3:$I$62,MATCH($A68,Simulations!$A$3:$A$62,0)),1))*$F68*(PI()/2*INDEX(Simulations!$T$3:$T$62,MATCH($A68,Simulations!$A$3:$A$62,0))^2*IF(INDEX(Simulations!$I$3:$I$62,MATCH($A68,Simulations!$A$3:$A$62,0))&gt;0,SQRT(PI()/2)*INDEX(Simulations!$U$3:$U$62,MATCH($A68,Simulations!$A$3:$A$62,0)),1)),$D68/(INDEX(Simulations!$G$3:$G$62,MATCH($A68,Simulations!$A$3:$A$62,0))*INDEX(Simulations!$H$3:$H$62,MATCH($A68,Simulations!$A$3:$A$62,0))*IF(INDEX(Simulations!$I$3:$I$62,MATCH($A68,Simulations!$A$3:$A$62,0))&gt;0,INDEX(Simulations!$I$3:$I$62,MATCH($A68,Simulations!$A$3:$A$62,0)),1))*INDEX(Simulations!$J$3:$J$62,MATCH($A68,Simulations!$A$3:$A$62,0))*IF(INDEX(Simulations!$I$3:$I$62,MATCH($A68,Simulations!$A$3:$A$62,0))&gt;0,2*PI()*INDEX(Simulations!$T$3:$T$62,MATCH($A68,Simulations!$A$3:$A$62,0))^2*INDEX(Simulations!$U$3:$U$62,MATCH($A68,Simulations!$A$3:$A$62,0))/2^1.5*(2/3*LN($F68/INDEX(Simulations!$J$3:$J$62,MATCH($A68,Simulations!$A$3:$A$62,0)))^1.5+SQRT(LN($F68/INDEX(Simulations!$J$3:$J$62,MATCH($A68,Simulations!$A$3:$A$62,0))))+$F68/INDEX(Simulations!$J$3:$J$62,MATCH($A68,Simulations!$A$3:$A$62,0))*SQRT(PI())/2*ERFC(SQRT(LN($F68/INDEX(Simulations!$J$3:$J$62,MATCH($A68,Simulations!$A$3:$A$62,0)))))),PI()*INDEX(Simulations!$T$3:$T$62,MATCH($A68,Simulations!$A$3:$A$62,0))^2/2*(LN($F68/INDEX(Simulations!$J$3:$J$62,MATCH($A68,Simulations!$A$3:$A$62,0)))+1)))))</f>
        <v/>
      </c>
      <c r="S68" s="16" t="str">
        <f aca="false">IF(OR($A68="",ISNA(MATCH($A68,Simulations!$A$3:$A$62,0))),"",IF(N($G68)&lt;=0,0,IF($G68&lt;INDEX(Simulations!$J$3:$J$62,MATCH($A68,Simulations!$A$3:$A$62,0)),$D68/(INDEX(Simulations!$G$3:$G$62,MATCH($A68,Simulations!$A$3:$A$62,0))*INDEX(Simulations!$H$3:$H$62,MATCH($A68,Simulations!$A$3:$A$62,0))*IF(INDEX(Simulations!$I$3:$I$62,MATCH($A68,Simulations!$A$3:$A$62,0))&gt;0,INDEX(Simulations!$I$3:$I$62,MATCH($A68,Simulations!$A$3:$A$62,0)),1))*$G68*(PI()/2*INDEX(Simulations!$T$3:$T$62,MATCH($A68,Simulations!$A$3:$A$62,0))^2*IF(INDEX(Simulations!$I$3:$I$62,MATCH($A68,Simulations!$A$3:$A$62,0))&gt;0,SQRT(PI()/2)*INDEX(Simulations!$U$3:$U$62,MATCH($A68,Simulations!$A$3:$A$62,0)),1)),$D68/(INDEX(Simulations!$G$3:$G$62,MATCH($A68,Simulations!$A$3:$A$62,0))*INDEX(Simulations!$H$3:$H$62,MATCH($A68,Simulations!$A$3:$A$62,0))*IF(INDEX(Simulations!$I$3:$I$62,MATCH($A68,Simulations!$A$3:$A$62,0))&gt;0,INDEX(Simulations!$I$3:$I$62,MATCH($A68,Simulations!$A$3:$A$62,0)),1))*INDEX(Simulations!$J$3:$J$62,MATCH($A68,Simulations!$A$3:$A$62,0))*IF(INDEX(Simulations!$I$3:$I$62,MATCH($A68,Simulations!$A$3:$A$62,0))&gt;0,2*PI()*INDEX(Simulations!$T$3:$T$62,MATCH($A68,Simulations!$A$3:$A$62,0))^2*INDEX(Simulations!$U$3:$U$62,MATCH($A68,Simulations!$A$3:$A$62,0))/2^1.5*(2/3*LN($G68/INDEX(Simulations!$J$3:$J$62,MATCH($A68,Simulations!$A$3:$A$62,0)))^1.5+SQRT(LN($G68/INDEX(Simulations!$J$3:$J$62,MATCH($A68,Simulations!$A$3:$A$62,0))))+$G68/INDEX(Simulations!$J$3:$J$62,MATCH($A68,Simulations!$A$3:$A$62,0))*SQRT(PI())/2*ERFC(SQRT(LN($G68/INDEX(Simulations!$J$3:$J$62,MATCH($A68,Simulations!$A$3:$A$62,0)))))),PI()*INDEX(Simulations!$T$3:$T$62,MATCH($A68,Simulations!$A$3:$A$62,0))^2/2*(LN($G68/INDEX(Simulations!$J$3:$J$62,MATCH($A68,Simulations!$A$3:$A$62,0)))+1)))))</f>
        <v/>
      </c>
      <c r="T68" s="16" t="str">
        <f aca="false">IF(OR($A68="",ISNA(MATCH($A68,Simulations!$A$3:$A$62,0))),"",IF(N($H68)&lt;=0,0,IF($H68&lt;INDEX(Simulations!$J$3:$J$62,MATCH($A68,Simulations!$A$3:$A$62,0)),$D68/(INDEX(Simulations!$G$3:$G$62,MATCH($A68,Simulations!$A$3:$A$62,0))*INDEX(Simulations!$H$3:$H$62,MATCH($A68,Simulations!$A$3:$A$62,0))*IF(INDEX(Simulations!$I$3:$I$62,MATCH($A68,Simulations!$A$3:$A$62,0))&gt;0,INDEX(Simulations!$I$3:$I$62,MATCH($A68,Simulations!$A$3:$A$62,0)),1))*$H68*(PI()/2*INDEX(Simulations!$T$3:$T$62,MATCH($A68,Simulations!$A$3:$A$62,0))^2*IF(INDEX(Simulations!$I$3:$I$62,MATCH($A68,Simulations!$A$3:$A$62,0))&gt;0,SQRT(PI()/2)*INDEX(Simulations!$U$3:$U$62,MATCH($A68,Simulations!$A$3:$A$62,0)),1)),$D68/(INDEX(Simulations!$G$3:$G$62,MATCH($A68,Simulations!$A$3:$A$62,0))*INDEX(Simulations!$H$3:$H$62,MATCH($A68,Simulations!$A$3:$A$62,0))*IF(INDEX(Simulations!$I$3:$I$62,MATCH($A68,Simulations!$A$3:$A$62,0))&gt;0,INDEX(Simulations!$I$3:$I$62,MATCH($A68,Simulations!$A$3:$A$62,0)),1))*INDEX(Simulations!$J$3:$J$62,MATCH($A68,Simulations!$A$3:$A$62,0))*IF(INDEX(Simulations!$I$3:$I$62,MATCH($A68,Simulations!$A$3:$A$62,0))&gt;0,2*PI()*INDEX(Simulations!$T$3:$T$62,MATCH($A68,Simulations!$A$3:$A$62,0))^2*INDEX(Simulations!$U$3:$U$62,MATCH($A68,Simulations!$A$3:$A$62,0))/2^1.5*(2/3*LN($H68/INDEX(Simulations!$J$3:$J$62,MATCH($A68,Simulations!$A$3:$A$62,0)))^1.5+SQRT(LN($H68/INDEX(Simulations!$J$3:$J$62,MATCH($A68,Simulations!$A$3:$A$62,0))))+$H68/INDEX(Simulations!$J$3:$J$62,MATCH($A68,Simulations!$A$3:$A$62,0))*SQRT(PI())/2*ERFC(SQRT(LN($H68/INDEX(Simulations!$J$3:$J$62,MATCH($A68,Simulations!$A$3:$A$62,0)))))),PI()*INDEX(Simulations!$T$3:$T$62,MATCH($A68,Simulations!$A$3:$A$62,0))^2/2*(LN($H68/INDEX(Simulations!$J$3:$J$62,MATCH($A68,Simulations!$A$3:$A$62,0)))+1)))))</f>
        <v/>
      </c>
      <c r="U68" s="18" t="str">
        <f aca="false">IF(OR(OR($A68="",ISNA(MATCH($A68,Simulations!$A$3:$A$62,0))),N($C68)&lt;=0),"",SQRT(2*$C68*1000000/(INDEX(Simulations!$J$3:$J$62,MATCH($A68,Simulations!$A$3:$A$62,0))*1000))/INDEX(Simulations!$T$3:$T$62,MATCH($A68,Simulations!$A$3:$A$62,0)))</f>
        <v/>
      </c>
      <c r="V68" s="19" t="str">
        <f aca="false">IF($A68="","",IF(ISNA(MATCH($A68,Simulations!$A$3:$A$62,0)),"✖ Sim ID not found on the Simulations sheet",IF($P68&gt;=1,"✖ brightness &gt;= sampling frequency: completely saturated (D too small, c too large)",IF($P68&gt;0.1,"⚠ brightness &gt; 10% of the sampling frequency: focus starts to saturate",IF(N($U68)&gt;0.1,"⚠ diffusion step &gt; 10% of wr: raise the sampling frequency",IF(MAX($E68:$H68)=0,"⚠ no brightness set","✔ OK"))))))</f>
        <v/>
      </c>
    </row>
    <row r="69" customFormat="false" ht="15" hidden="false" customHeight="false" outlineLevel="0" collapsed="false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4"/>
      <c r="O69" s="18" t="str">
        <f aca="false">IF(OR($A69="",ISNA(MATCH($A69,Simulations!$A$3:$A$62,0))),"",IF(INDEX(Simulations!$I$3:$I$62,MATCH($A69,Simulations!$A$3:$A$62,0))&gt;0,$D69/(INDEX(Simulations!$G$3:$G$62,MATCH($A69,Simulations!$A$3:$A$62,0))*INDEX(Simulations!$H$3:$H$62,MATCH($A69,Simulations!$A$3:$A$62,0))*IF(INDEX(Simulations!$I$3:$I$62,MATCH($A69,Simulations!$A$3:$A$62,0))&gt;0,INDEX(Simulations!$I$3:$I$62,MATCH($A69,Simulations!$A$3:$A$62,0)),1))/1E-024/6.022E+023/0.000000001,""))</f>
        <v/>
      </c>
      <c r="P69" s="20" t="str">
        <f aca="false">IF(OR($A69="",ISNA(MATCH($A69,Simulations!$A$3:$A$62,0))),"",MAX($E69:$H69)/INDEX(Simulations!$J$3:$J$62,MATCH($A69,Simulations!$A$3:$A$62,0)))</f>
        <v/>
      </c>
      <c r="Q69" s="16" t="str">
        <f aca="false">IF(OR($A69="",ISNA(MATCH($A69,Simulations!$A$3:$A$62,0))),"",IF(N($E69)&lt;=0,0,IF($E69&lt;INDEX(Simulations!$J$3:$J$62,MATCH($A69,Simulations!$A$3:$A$62,0)),$D69/(INDEX(Simulations!$G$3:$G$62,MATCH($A69,Simulations!$A$3:$A$62,0))*INDEX(Simulations!$H$3:$H$62,MATCH($A69,Simulations!$A$3:$A$62,0))*IF(INDEX(Simulations!$I$3:$I$62,MATCH($A69,Simulations!$A$3:$A$62,0))&gt;0,INDEX(Simulations!$I$3:$I$62,MATCH($A69,Simulations!$A$3:$A$62,0)),1))*$E69*(PI()/2*INDEX(Simulations!$T$3:$T$62,MATCH($A69,Simulations!$A$3:$A$62,0))^2*IF(INDEX(Simulations!$I$3:$I$62,MATCH($A69,Simulations!$A$3:$A$62,0))&gt;0,SQRT(PI()/2)*INDEX(Simulations!$U$3:$U$62,MATCH($A69,Simulations!$A$3:$A$62,0)),1)),$D69/(INDEX(Simulations!$G$3:$G$62,MATCH($A69,Simulations!$A$3:$A$62,0))*INDEX(Simulations!$H$3:$H$62,MATCH($A69,Simulations!$A$3:$A$62,0))*IF(INDEX(Simulations!$I$3:$I$62,MATCH($A69,Simulations!$A$3:$A$62,0))&gt;0,INDEX(Simulations!$I$3:$I$62,MATCH($A69,Simulations!$A$3:$A$62,0)),1))*INDEX(Simulations!$J$3:$J$62,MATCH($A69,Simulations!$A$3:$A$62,0))*IF(INDEX(Simulations!$I$3:$I$62,MATCH($A69,Simulations!$A$3:$A$62,0))&gt;0,2*PI()*INDEX(Simulations!$T$3:$T$62,MATCH($A69,Simulations!$A$3:$A$62,0))^2*INDEX(Simulations!$U$3:$U$62,MATCH($A69,Simulations!$A$3:$A$62,0))/2^1.5*(2/3*LN($E69/INDEX(Simulations!$J$3:$J$62,MATCH($A69,Simulations!$A$3:$A$62,0)))^1.5+SQRT(LN($E69/INDEX(Simulations!$J$3:$J$62,MATCH($A69,Simulations!$A$3:$A$62,0))))+$E69/INDEX(Simulations!$J$3:$J$62,MATCH($A69,Simulations!$A$3:$A$62,0))*SQRT(PI())/2*ERFC(SQRT(LN($E69/INDEX(Simulations!$J$3:$J$62,MATCH($A69,Simulations!$A$3:$A$62,0)))))),PI()*INDEX(Simulations!$T$3:$T$62,MATCH($A69,Simulations!$A$3:$A$62,0))^2/2*(LN($E69/INDEX(Simulations!$J$3:$J$62,MATCH($A69,Simulations!$A$3:$A$62,0)))+1)))))</f>
        <v/>
      </c>
      <c r="R69" s="16" t="str">
        <f aca="false">IF(OR($A69="",ISNA(MATCH($A69,Simulations!$A$3:$A$62,0))),"",IF(N($F69)&lt;=0,0,IF($F69&lt;INDEX(Simulations!$J$3:$J$62,MATCH($A69,Simulations!$A$3:$A$62,0)),$D69/(INDEX(Simulations!$G$3:$G$62,MATCH($A69,Simulations!$A$3:$A$62,0))*INDEX(Simulations!$H$3:$H$62,MATCH($A69,Simulations!$A$3:$A$62,0))*IF(INDEX(Simulations!$I$3:$I$62,MATCH($A69,Simulations!$A$3:$A$62,0))&gt;0,INDEX(Simulations!$I$3:$I$62,MATCH($A69,Simulations!$A$3:$A$62,0)),1))*$F69*(PI()/2*INDEX(Simulations!$T$3:$T$62,MATCH($A69,Simulations!$A$3:$A$62,0))^2*IF(INDEX(Simulations!$I$3:$I$62,MATCH($A69,Simulations!$A$3:$A$62,0))&gt;0,SQRT(PI()/2)*INDEX(Simulations!$U$3:$U$62,MATCH($A69,Simulations!$A$3:$A$62,0)),1)),$D69/(INDEX(Simulations!$G$3:$G$62,MATCH($A69,Simulations!$A$3:$A$62,0))*INDEX(Simulations!$H$3:$H$62,MATCH($A69,Simulations!$A$3:$A$62,0))*IF(INDEX(Simulations!$I$3:$I$62,MATCH($A69,Simulations!$A$3:$A$62,0))&gt;0,INDEX(Simulations!$I$3:$I$62,MATCH($A69,Simulations!$A$3:$A$62,0)),1))*INDEX(Simulations!$J$3:$J$62,MATCH($A69,Simulations!$A$3:$A$62,0))*IF(INDEX(Simulations!$I$3:$I$62,MATCH($A69,Simulations!$A$3:$A$62,0))&gt;0,2*PI()*INDEX(Simulations!$T$3:$T$62,MATCH($A69,Simulations!$A$3:$A$62,0))^2*INDEX(Simulations!$U$3:$U$62,MATCH($A69,Simulations!$A$3:$A$62,0))/2^1.5*(2/3*LN($F69/INDEX(Simulations!$J$3:$J$62,MATCH($A69,Simulations!$A$3:$A$62,0)))^1.5+SQRT(LN($F69/INDEX(Simulations!$J$3:$J$62,MATCH($A69,Simulations!$A$3:$A$62,0))))+$F69/INDEX(Simulations!$J$3:$J$62,MATCH($A69,Simulations!$A$3:$A$62,0))*SQRT(PI())/2*ERFC(SQRT(LN($F69/INDEX(Simulations!$J$3:$J$62,MATCH($A69,Simulations!$A$3:$A$62,0)))))),PI()*INDEX(Simulations!$T$3:$T$62,MATCH($A69,Simulations!$A$3:$A$62,0))^2/2*(LN($F69/INDEX(Simulations!$J$3:$J$62,MATCH($A69,Simulations!$A$3:$A$62,0)))+1)))))</f>
        <v/>
      </c>
      <c r="S69" s="16" t="str">
        <f aca="false">IF(OR($A69="",ISNA(MATCH($A69,Simulations!$A$3:$A$62,0))),"",IF(N($G69)&lt;=0,0,IF($G69&lt;INDEX(Simulations!$J$3:$J$62,MATCH($A69,Simulations!$A$3:$A$62,0)),$D69/(INDEX(Simulations!$G$3:$G$62,MATCH($A69,Simulations!$A$3:$A$62,0))*INDEX(Simulations!$H$3:$H$62,MATCH($A69,Simulations!$A$3:$A$62,0))*IF(INDEX(Simulations!$I$3:$I$62,MATCH($A69,Simulations!$A$3:$A$62,0))&gt;0,INDEX(Simulations!$I$3:$I$62,MATCH($A69,Simulations!$A$3:$A$62,0)),1))*$G69*(PI()/2*INDEX(Simulations!$T$3:$T$62,MATCH($A69,Simulations!$A$3:$A$62,0))^2*IF(INDEX(Simulations!$I$3:$I$62,MATCH($A69,Simulations!$A$3:$A$62,0))&gt;0,SQRT(PI()/2)*INDEX(Simulations!$U$3:$U$62,MATCH($A69,Simulations!$A$3:$A$62,0)),1)),$D69/(INDEX(Simulations!$G$3:$G$62,MATCH($A69,Simulations!$A$3:$A$62,0))*INDEX(Simulations!$H$3:$H$62,MATCH($A69,Simulations!$A$3:$A$62,0))*IF(INDEX(Simulations!$I$3:$I$62,MATCH($A69,Simulations!$A$3:$A$62,0))&gt;0,INDEX(Simulations!$I$3:$I$62,MATCH($A69,Simulations!$A$3:$A$62,0)),1))*INDEX(Simulations!$J$3:$J$62,MATCH($A69,Simulations!$A$3:$A$62,0))*IF(INDEX(Simulations!$I$3:$I$62,MATCH($A69,Simulations!$A$3:$A$62,0))&gt;0,2*PI()*INDEX(Simulations!$T$3:$T$62,MATCH($A69,Simulations!$A$3:$A$62,0))^2*INDEX(Simulations!$U$3:$U$62,MATCH($A69,Simulations!$A$3:$A$62,0))/2^1.5*(2/3*LN($G69/INDEX(Simulations!$J$3:$J$62,MATCH($A69,Simulations!$A$3:$A$62,0)))^1.5+SQRT(LN($G69/INDEX(Simulations!$J$3:$J$62,MATCH($A69,Simulations!$A$3:$A$62,0))))+$G69/INDEX(Simulations!$J$3:$J$62,MATCH($A69,Simulations!$A$3:$A$62,0))*SQRT(PI())/2*ERFC(SQRT(LN($G69/INDEX(Simulations!$J$3:$J$62,MATCH($A69,Simulations!$A$3:$A$62,0)))))),PI()*INDEX(Simulations!$T$3:$T$62,MATCH($A69,Simulations!$A$3:$A$62,0))^2/2*(LN($G69/INDEX(Simulations!$J$3:$J$62,MATCH($A69,Simulations!$A$3:$A$62,0)))+1)))))</f>
        <v/>
      </c>
      <c r="T69" s="16" t="str">
        <f aca="false">IF(OR($A69="",ISNA(MATCH($A69,Simulations!$A$3:$A$62,0))),"",IF(N($H69)&lt;=0,0,IF($H69&lt;INDEX(Simulations!$J$3:$J$62,MATCH($A69,Simulations!$A$3:$A$62,0)),$D69/(INDEX(Simulations!$G$3:$G$62,MATCH($A69,Simulations!$A$3:$A$62,0))*INDEX(Simulations!$H$3:$H$62,MATCH($A69,Simulations!$A$3:$A$62,0))*IF(INDEX(Simulations!$I$3:$I$62,MATCH($A69,Simulations!$A$3:$A$62,0))&gt;0,INDEX(Simulations!$I$3:$I$62,MATCH($A69,Simulations!$A$3:$A$62,0)),1))*$H69*(PI()/2*INDEX(Simulations!$T$3:$T$62,MATCH($A69,Simulations!$A$3:$A$62,0))^2*IF(INDEX(Simulations!$I$3:$I$62,MATCH($A69,Simulations!$A$3:$A$62,0))&gt;0,SQRT(PI()/2)*INDEX(Simulations!$U$3:$U$62,MATCH($A69,Simulations!$A$3:$A$62,0)),1)),$D69/(INDEX(Simulations!$G$3:$G$62,MATCH($A69,Simulations!$A$3:$A$62,0))*INDEX(Simulations!$H$3:$H$62,MATCH($A69,Simulations!$A$3:$A$62,0))*IF(INDEX(Simulations!$I$3:$I$62,MATCH($A69,Simulations!$A$3:$A$62,0))&gt;0,INDEX(Simulations!$I$3:$I$62,MATCH($A69,Simulations!$A$3:$A$62,0)),1))*INDEX(Simulations!$J$3:$J$62,MATCH($A69,Simulations!$A$3:$A$62,0))*IF(INDEX(Simulations!$I$3:$I$62,MATCH($A69,Simulations!$A$3:$A$62,0))&gt;0,2*PI()*INDEX(Simulations!$T$3:$T$62,MATCH($A69,Simulations!$A$3:$A$62,0))^2*INDEX(Simulations!$U$3:$U$62,MATCH($A69,Simulations!$A$3:$A$62,0))/2^1.5*(2/3*LN($H69/INDEX(Simulations!$J$3:$J$62,MATCH($A69,Simulations!$A$3:$A$62,0)))^1.5+SQRT(LN($H69/INDEX(Simulations!$J$3:$J$62,MATCH($A69,Simulations!$A$3:$A$62,0))))+$H69/INDEX(Simulations!$J$3:$J$62,MATCH($A69,Simulations!$A$3:$A$62,0))*SQRT(PI())/2*ERFC(SQRT(LN($H69/INDEX(Simulations!$J$3:$J$62,MATCH($A69,Simulations!$A$3:$A$62,0)))))),PI()*INDEX(Simulations!$T$3:$T$62,MATCH($A69,Simulations!$A$3:$A$62,0))^2/2*(LN($H69/INDEX(Simulations!$J$3:$J$62,MATCH($A69,Simulations!$A$3:$A$62,0)))+1)))))</f>
        <v/>
      </c>
      <c r="U69" s="18" t="str">
        <f aca="false">IF(OR(OR($A69="",ISNA(MATCH($A69,Simulations!$A$3:$A$62,0))),N($C69)&lt;=0),"",SQRT(2*$C69*1000000/(INDEX(Simulations!$J$3:$J$62,MATCH($A69,Simulations!$A$3:$A$62,0))*1000))/INDEX(Simulations!$T$3:$T$62,MATCH($A69,Simulations!$A$3:$A$62,0)))</f>
        <v/>
      </c>
      <c r="V69" s="19" t="str">
        <f aca="false">IF($A69="","",IF(ISNA(MATCH($A69,Simulations!$A$3:$A$62,0)),"✖ Sim ID not found on the Simulations sheet",IF($P69&gt;=1,"✖ brightness &gt;= sampling frequency: completely saturated (D too small, c too large)",IF($P69&gt;0.1,"⚠ brightness &gt; 10% of the sampling frequency: focus starts to saturate",IF(N($U69)&gt;0.1,"⚠ diffusion step &gt; 10% of wr: raise the sampling frequency",IF(MAX($E69:$H69)=0,"⚠ no brightness set","✔ OK"))))))</f>
        <v/>
      </c>
    </row>
    <row r="70" customFormat="false" ht="15" hidden="false" customHeight="false" outlineLevel="0" collapsed="false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4"/>
      <c r="O70" s="18" t="str">
        <f aca="false">IF(OR($A70="",ISNA(MATCH($A70,Simulations!$A$3:$A$62,0))),"",IF(INDEX(Simulations!$I$3:$I$62,MATCH($A70,Simulations!$A$3:$A$62,0))&gt;0,$D70/(INDEX(Simulations!$G$3:$G$62,MATCH($A70,Simulations!$A$3:$A$62,0))*INDEX(Simulations!$H$3:$H$62,MATCH($A70,Simulations!$A$3:$A$62,0))*IF(INDEX(Simulations!$I$3:$I$62,MATCH($A70,Simulations!$A$3:$A$62,0))&gt;0,INDEX(Simulations!$I$3:$I$62,MATCH($A70,Simulations!$A$3:$A$62,0)),1))/1E-024/6.022E+023/0.000000001,""))</f>
        <v/>
      </c>
      <c r="P70" s="20" t="str">
        <f aca="false">IF(OR($A70="",ISNA(MATCH($A70,Simulations!$A$3:$A$62,0))),"",MAX($E70:$H70)/INDEX(Simulations!$J$3:$J$62,MATCH($A70,Simulations!$A$3:$A$62,0)))</f>
        <v/>
      </c>
      <c r="Q70" s="16" t="str">
        <f aca="false">IF(OR($A70="",ISNA(MATCH($A70,Simulations!$A$3:$A$62,0))),"",IF(N($E70)&lt;=0,0,IF($E70&lt;INDEX(Simulations!$J$3:$J$62,MATCH($A70,Simulations!$A$3:$A$62,0)),$D70/(INDEX(Simulations!$G$3:$G$62,MATCH($A70,Simulations!$A$3:$A$62,0))*INDEX(Simulations!$H$3:$H$62,MATCH($A70,Simulations!$A$3:$A$62,0))*IF(INDEX(Simulations!$I$3:$I$62,MATCH($A70,Simulations!$A$3:$A$62,0))&gt;0,INDEX(Simulations!$I$3:$I$62,MATCH($A70,Simulations!$A$3:$A$62,0)),1))*$E70*(PI()/2*INDEX(Simulations!$T$3:$T$62,MATCH($A70,Simulations!$A$3:$A$62,0))^2*IF(INDEX(Simulations!$I$3:$I$62,MATCH($A70,Simulations!$A$3:$A$62,0))&gt;0,SQRT(PI()/2)*INDEX(Simulations!$U$3:$U$62,MATCH($A70,Simulations!$A$3:$A$62,0)),1)),$D70/(INDEX(Simulations!$G$3:$G$62,MATCH($A70,Simulations!$A$3:$A$62,0))*INDEX(Simulations!$H$3:$H$62,MATCH($A70,Simulations!$A$3:$A$62,0))*IF(INDEX(Simulations!$I$3:$I$62,MATCH($A70,Simulations!$A$3:$A$62,0))&gt;0,INDEX(Simulations!$I$3:$I$62,MATCH($A70,Simulations!$A$3:$A$62,0)),1))*INDEX(Simulations!$J$3:$J$62,MATCH($A70,Simulations!$A$3:$A$62,0))*IF(INDEX(Simulations!$I$3:$I$62,MATCH($A70,Simulations!$A$3:$A$62,0))&gt;0,2*PI()*INDEX(Simulations!$T$3:$T$62,MATCH($A70,Simulations!$A$3:$A$62,0))^2*INDEX(Simulations!$U$3:$U$62,MATCH($A70,Simulations!$A$3:$A$62,0))/2^1.5*(2/3*LN($E70/INDEX(Simulations!$J$3:$J$62,MATCH($A70,Simulations!$A$3:$A$62,0)))^1.5+SQRT(LN($E70/INDEX(Simulations!$J$3:$J$62,MATCH($A70,Simulations!$A$3:$A$62,0))))+$E70/INDEX(Simulations!$J$3:$J$62,MATCH($A70,Simulations!$A$3:$A$62,0))*SQRT(PI())/2*ERFC(SQRT(LN($E70/INDEX(Simulations!$J$3:$J$62,MATCH($A70,Simulations!$A$3:$A$62,0)))))),PI()*INDEX(Simulations!$T$3:$T$62,MATCH($A70,Simulations!$A$3:$A$62,0))^2/2*(LN($E70/INDEX(Simulations!$J$3:$J$62,MATCH($A70,Simulations!$A$3:$A$62,0)))+1)))))</f>
        <v/>
      </c>
      <c r="R70" s="16" t="str">
        <f aca="false">IF(OR($A70="",ISNA(MATCH($A70,Simulations!$A$3:$A$62,0))),"",IF(N($F70)&lt;=0,0,IF($F70&lt;INDEX(Simulations!$J$3:$J$62,MATCH($A70,Simulations!$A$3:$A$62,0)),$D70/(INDEX(Simulations!$G$3:$G$62,MATCH($A70,Simulations!$A$3:$A$62,0))*INDEX(Simulations!$H$3:$H$62,MATCH($A70,Simulations!$A$3:$A$62,0))*IF(INDEX(Simulations!$I$3:$I$62,MATCH($A70,Simulations!$A$3:$A$62,0))&gt;0,INDEX(Simulations!$I$3:$I$62,MATCH($A70,Simulations!$A$3:$A$62,0)),1))*$F70*(PI()/2*INDEX(Simulations!$T$3:$T$62,MATCH($A70,Simulations!$A$3:$A$62,0))^2*IF(INDEX(Simulations!$I$3:$I$62,MATCH($A70,Simulations!$A$3:$A$62,0))&gt;0,SQRT(PI()/2)*INDEX(Simulations!$U$3:$U$62,MATCH($A70,Simulations!$A$3:$A$62,0)),1)),$D70/(INDEX(Simulations!$G$3:$G$62,MATCH($A70,Simulations!$A$3:$A$62,0))*INDEX(Simulations!$H$3:$H$62,MATCH($A70,Simulations!$A$3:$A$62,0))*IF(INDEX(Simulations!$I$3:$I$62,MATCH($A70,Simulations!$A$3:$A$62,0))&gt;0,INDEX(Simulations!$I$3:$I$62,MATCH($A70,Simulations!$A$3:$A$62,0)),1))*INDEX(Simulations!$J$3:$J$62,MATCH($A70,Simulations!$A$3:$A$62,0))*IF(INDEX(Simulations!$I$3:$I$62,MATCH($A70,Simulations!$A$3:$A$62,0))&gt;0,2*PI()*INDEX(Simulations!$T$3:$T$62,MATCH($A70,Simulations!$A$3:$A$62,0))^2*INDEX(Simulations!$U$3:$U$62,MATCH($A70,Simulations!$A$3:$A$62,0))/2^1.5*(2/3*LN($F70/INDEX(Simulations!$J$3:$J$62,MATCH($A70,Simulations!$A$3:$A$62,0)))^1.5+SQRT(LN($F70/INDEX(Simulations!$J$3:$J$62,MATCH($A70,Simulations!$A$3:$A$62,0))))+$F70/INDEX(Simulations!$J$3:$J$62,MATCH($A70,Simulations!$A$3:$A$62,0))*SQRT(PI())/2*ERFC(SQRT(LN($F70/INDEX(Simulations!$J$3:$J$62,MATCH($A70,Simulations!$A$3:$A$62,0)))))),PI()*INDEX(Simulations!$T$3:$T$62,MATCH($A70,Simulations!$A$3:$A$62,0))^2/2*(LN($F70/INDEX(Simulations!$J$3:$J$62,MATCH($A70,Simulations!$A$3:$A$62,0)))+1)))))</f>
        <v/>
      </c>
      <c r="S70" s="16" t="str">
        <f aca="false">IF(OR($A70="",ISNA(MATCH($A70,Simulations!$A$3:$A$62,0))),"",IF(N($G70)&lt;=0,0,IF($G70&lt;INDEX(Simulations!$J$3:$J$62,MATCH($A70,Simulations!$A$3:$A$62,0)),$D70/(INDEX(Simulations!$G$3:$G$62,MATCH($A70,Simulations!$A$3:$A$62,0))*INDEX(Simulations!$H$3:$H$62,MATCH($A70,Simulations!$A$3:$A$62,0))*IF(INDEX(Simulations!$I$3:$I$62,MATCH($A70,Simulations!$A$3:$A$62,0))&gt;0,INDEX(Simulations!$I$3:$I$62,MATCH($A70,Simulations!$A$3:$A$62,0)),1))*$G70*(PI()/2*INDEX(Simulations!$T$3:$T$62,MATCH($A70,Simulations!$A$3:$A$62,0))^2*IF(INDEX(Simulations!$I$3:$I$62,MATCH($A70,Simulations!$A$3:$A$62,0))&gt;0,SQRT(PI()/2)*INDEX(Simulations!$U$3:$U$62,MATCH($A70,Simulations!$A$3:$A$62,0)),1)),$D70/(INDEX(Simulations!$G$3:$G$62,MATCH($A70,Simulations!$A$3:$A$62,0))*INDEX(Simulations!$H$3:$H$62,MATCH($A70,Simulations!$A$3:$A$62,0))*IF(INDEX(Simulations!$I$3:$I$62,MATCH($A70,Simulations!$A$3:$A$62,0))&gt;0,INDEX(Simulations!$I$3:$I$62,MATCH($A70,Simulations!$A$3:$A$62,0)),1))*INDEX(Simulations!$J$3:$J$62,MATCH($A70,Simulations!$A$3:$A$62,0))*IF(INDEX(Simulations!$I$3:$I$62,MATCH($A70,Simulations!$A$3:$A$62,0))&gt;0,2*PI()*INDEX(Simulations!$T$3:$T$62,MATCH($A70,Simulations!$A$3:$A$62,0))^2*INDEX(Simulations!$U$3:$U$62,MATCH($A70,Simulations!$A$3:$A$62,0))/2^1.5*(2/3*LN($G70/INDEX(Simulations!$J$3:$J$62,MATCH($A70,Simulations!$A$3:$A$62,0)))^1.5+SQRT(LN($G70/INDEX(Simulations!$J$3:$J$62,MATCH($A70,Simulations!$A$3:$A$62,0))))+$G70/INDEX(Simulations!$J$3:$J$62,MATCH($A70,Simulations!$A$3:$A$62,0))*SQRT(PI())/2*ERFC(SQRT(LN($G70/INDEX(Simulations!$J$3:$J$62,MATCH($A70,Simulations!$A$3:$A$62,0)))))),PI()*INDEX(Simulations!$T$3:$T$62,MATCH($A70,Simulations!$A$3:$A$62,0))^2/2*(LN($G70/INDEX(Simulations!$J$3:$J$62,MATCH($A70,Simulations!$A$3:$A$62,0)))+1)))))</f>
        <v/>
      </c>
      <c r="T70" s="16" t="str">
        <f aca="false">IF(OR($A70="",ISNA(MATCH($A70,Simulations!$A$3:$A$62,0))),"",IF(N($H70)&lt;=0,0,IF($H70&lt;INDEX(Simulations!$J$3:$J$62,MATCH($A70,Simulations!$A$3:$A$62,0)),$D70/(INDEX(Simulations!$G$3:$G$62,MATCH($A70,Simulations!$A$3:$A$62,0))*INDEX(Simulations!$H$3:$H$62,MATCH($A70,Simulations!$A$3:$A$62,0))*IF(INDEX(Simulations!$I$3:$I$62,MATCH($A70,Simulations!$A$3:$A$62,0))&gt;0,INDEX(Simulations!$I$3:$I$62,MATCH($A70,Simulations!$A$3:$A$62,0)),1))*$H70*(PI()/2*INDEX(Simulations!$T$3:$T$62,MATCH($A70,Simulations!$A$3:$A$62,0))^2*IF(INDEX(Simulations!$I$3:$I$62,MATCH($A70,Simulations!$A$3:$A$62,0))&gt;0,SQRT(PI()/2)*INDEX(Simulations!$U$3:$U$62,MATCH($A70,Simulations!$A$3:$A$62,0)),1)),$D70/(INDEX(Simulations!$G$3:$G$62,MATCH($A70,Simulations!$A$3:$A$62,0))*INDEX(Simulations!$H$3:$H$62,MATCH($A70,Simulations!$A$3:$A$62,0))*IF(INDEX(Simulations!$I$3:$I$62,MATCH($A70,Simulations!$A$3:$A$62,0))&gt;0,INDEX(Simulations!$I$3:$I$62,MATCH($A70,Simulations!$A$3:$A$62,0)),1))*INDEX(Simulations!$J$3:$J$62,MATCH($A70,Simulations!$A$3:$A$62,0))*IF(INDEX(Simulations!$I$3:$I$62,MATCH($A70,Simulations!$A$3:$A$62,0))&gt;0,2*PI()*INDEX(Simulations!$T$3:$T$62,MATCH($A70,Simulations!$A$3:$A$62,0))^2*INDEX(Simulations!$U$3:$U$62,MATCH($A70,Simulations!$A$3:$A$62,0))/2^1.5*(2/3*LN($H70/INDEX(Simulations!$J$3:$J$62,MATCH($A70,Simulations!$A$3:$A$62,0)))^1.5+SQRT(LN($H70/INDEX(Simulations!$J$3:$J$62,MATCH($A70,Simulations!$A$3:$A$62,0))))+$H70/INDEX(Simulations!$J$3:$J$62,MATCH($A70,Simulations!$A$3:$A$62,0))*SQRT(PI())/2*ERFC(SQRT(LN($H70/INDEX(Simulations!$J$3:$J$62,MATCH($A70,Simulations!$A$3:$A$62,0)))))),PI()*INDEX(Simulations!$T$3:$T$62,MATCH($A70,Simulations!$A$3:$A$62,0))^2/2*(LN($H70/INDEX(Simulations!$J$3:$J$62,MATCH($A70,Simulations!$A$3:$A$62,0)))+1)))))</f>
        <v/>
      </c>
      <c r="U70" s="18" t="str">
        <f aca="false">IF(OR(OR($A70="",ISNA(MATCH($A70,Simulations!$A$3:$A$62,0))),N($C70)&lt;=0),"",SQRT(2*$C70*1000000/(INDEX(Simulations!$J$3:$J$62,MATCH($A70,Simulations!$A$3:$A$62,0))*1000))/INDEX(Simulations!$T$3:$T$62,MATCH($A70,Simulations!$A$3:$A$62,0)))</f>
        <v/>
      </c>
      <c r="V70" s="19" t="str">
        <f aca="false">IF($A70="","",IF(ISNA(MATCH($A70,Simulations!$A$3:$A$62,0)),"✖ Sim ID not found on the Simulations sheet",IF($P70&gt;=1,"✖ brightness &gt;= sampling frequency: completely saturated (D too small, c too large)",IF($P70&gt;0.1,"⚠ brightness &gt; 10% of the sampling frequency: focus starts to saturate",IF(N($U70)&gt;0.1,"⚠ diffusion step &gt; 10% of wr: raise the sampling frequency",IF(MAX($E70:$H70)=0,"⚠ no brightness set","✔ OK"))))))</f>
        <v/>
      </c>
    </row>
    <row r="71" customFormat="false" ht="15" hidden="false" customHeight="false" outlineLevel="0" collapsed="false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4"/>
      <c r="O71" s="18" t="str">
        <f aca="false">IF(OR($A71="",ISNA(MATCH($A71,Simulations!$A$3:$A$62,0))),"",IF(INDEX(Simulations!$I$3:$I$62,MATCH($A71,Simulations!$A$3:$A$62,0))&gt;0,$D71/(INDEX(Simulations!$G$3:$G$62,MATCH($A71,Simulations!$A$3:$A$62,0))*INDEX(Simulations!$H$3:$H$62,MATCH($A71,Simulations!$A$3:$A$62,0))*IF(INDEX(Simulations!$I$3:$I$62,MATCH($A71,Simulations!$A$3:$A$62,0))&gt;0,INDEX(Simulations!$I$3:$I$62,MATCH($A71,Simulations!$A$3:$A$62,0)),1))/1E-024/6.022E+023/0.000000001,""))</f>
        <v/>
      </c>
      <c r="P71" s="20" t="str">
        <f aca="false">IF(OR($A71="",ISNA(MATCH($A71,Simulations!$A$3:$A$62,0))),"",MAX($E71:$H71)/INDEX(Simulations!$J$3:$J$62,MATCH($A71,Simulations!$A$3:$A$62,0)))</f>
        <v/>
      </c>
      <c r="Q71" s="16" t="str">
        <f aca="false">IF(OR($A71="",ISNA(MATCH($A71,Simulations!$A$3:$A$62,0))),"",IF(N($E71)&lt;=0,0,IF($E71&lt;INDEX(Simulations!$J$3:$J$62,MATCH($A71,Simulations!$A$3:$A$62,0)),$D71/(INDEX(Simulations!$G$3:$G$62,MATCH($A71,Simulations!$A$3:$A$62,0))*INDEX(Simulations!$H$3:$H$62,MATCH($A71,Simulations!$A$3:$A$62,0))*IF(INDEX(Simulations!$I$3:$I$62,MATCH($A71,Simulations!$A$3:$A$62,0))&gt;0,INDEX(Simulations!$I$3:$I$62,MATCH($A71,Simulations!$A$3:$A$62,0)),1))*$E71*(PI()/2*INDEX(Simulations!$T$3:$T$62,MATCH($A71,Simulations!$A$3:$A$62,0))^2*IF(INDEX(Simulations!$I$3:$I$62,MATCH($A71,Simulations!$A$3:$A$62,0))&gt;0,SQRT(PI()/2)*INDEX(Simulations!$U$3:$U$62,MATCH($A71,Simulations!$A$3:$A$62,0)),1)),$D71/(INDEX(Simulations!$G$3:$G$62,MATCH($A71,Simulations!$A$3:$A$62,0))*INDEX(Simulations!$H$3:$H$62,MATCH($A71,Simulations!$A$3:$A$62,0))*IF(INDEX(Simulations!$I$3:$I$62,MATCH($A71,Simulations!$A$3:$A$62,0))&gt;0,INDEX(Simulations!$I$3:$I$62,MATCH($A71,Simulations!$A$3:$A$62,0)),1))*INDEX(Simulations!$J$3:$J$62,MATCH($A71,Simulations!$A$3:$A$62,0))*IF(INDEX(Simulations!$I$3:$I$62,MATCH($A71,Simulations!$A$3:$A$62,0))&gt;0,2*PI()*INDEX(Simulations!$T$3:$T$62,MATCH($A71,Simulations!$A$3:$A$62,0))^2*INDEX(Simulations!$U$3:$U$62,MATCH($A71,Simulations!$A$3:$A$62,0))/2^1.5*(2/3*LN($E71/INDEX(Simulations!$J$3:$J$62,MATCH($A71,Simulations!$A$3:$A$62,0)))^1.5+SQRT(LN($E71/INDEX(Simulations!$J$3:$J$62,MATCH($A71,Simulations!$A$3:$A$62,0))))+$E71/INDEX(Simulations!$J$3:$J$62,MATCH($A71,Simulations!$A$3:$A$62,0))*SQRT(PI())/2*ERFC(SQRT(LN($E71/INDEX(Simulations!$J$3:$J$62,MATCH($A71,Simulations!$A$3:$A$62,0)))))),PI()*INDEX(Simulations!$T$3:$T$62,MATCH($A71,Simulations!$A$3:$A$62,0))^2/2*(LN($E71/INDEX(Simulations!$J$3:$J$62,MATCH($A71,Simulations!$A$3:$A$62,0)))+1)))))</f>
        <v/>
      </c>
      <c r="R71" s="16" t="str">
        <f aca="false">IF(OR($A71="",ISNA(MATCH($A71,Simulations!$A$3:$A$62,0))),"",IF(N($F71)&lt;=0,0,IF($F71&lt;INDEX(Simulations!$J$3:$J$62,MATCH($A71,Simulations!$A$3:$A$62,0)),$D71/(INDEX(Simulations!$G$3:$G$62,MATCH($A71,Simulations!$A$3:$A$62,0))*INDEX(Simulations!$H$3:$H$62,MATCH($A71,Simulations!$A$3:$A$62,0))*IF(INDEX(Simulations!$I$3:$I$62,MATCH($A71,Simulations!$A$3:$A$62,0))&gt;0,INDEX(Simulations!$I$3:$I$62,MATCH($A71,Simulations!$A$3:$A$62,0)),1))*$F71*(PI()/2*INDEX(Simulations!$T$3:$T$62,MATCH($A71,Simulations!$A$3:$A$62,0))^2*IF(INDEX(Simulations!$I$3:$I$62,MATCH($A71,Simulations!$A$3:$A$62,0))&gt;0,SQRT(PI()/2)*INDEX(Simulations!$U$3:$U$62,MATCH($A71,Simulations!$A$3:$A$62,0)),1)),$D71/(INDEX(Simulations!$G$3:$G$62,MATCH($A71,Simulations!$A$3:$A$62,0))*INDEX(Simulations!$H$3:$H$62,MATCH($A71,Simulations!$A$3:$A$62,0))*IF(INDEX(Simulations!$I$3:$I$62,MATCH($A71,Simulations!$A$3:$A$62,0))&gt;0,INDEX(Simulations!$I$3:$I$62,MATCH($A71,Simulations!$A$3:$A$62,0)),1))*INDEX(Simulations!$J$3:$J$62,MATCH($A71,Simulations!$A$3:$A$62,0))*IF(INDEX(Simulations!$I$3:$I$62,MATCH($A71,Simulations!$A$3:$A$62,0))&gt;0,2*PI()*INDEX(Simulations!$T$3:$T$62,MATCH($A71,Simulations!$A$3:$A$62,0))^2*INDEX(Simulations!$U$3:$U$62,MATCH($A71,Simulations!$A$3:$A$62,0))/2^1.5*(2/3*LN($F71/INDEX(Simulations!$J$3:$J$62,MATCH($A71,Simulations!$A$3:$A$62,0)))^1.5+SQRT(LN($F71/INDEX(Simulations!$J$3:$J$62,MATCH($A71,Simulations!$A$3:$A$62,0))))+$F71/INDEX(Simulations!$J$3:$J$62,MATCH($A71,Simulations!$A$3:$A$62,0))*SQRT(PI())/2*ERFC(SQRT(LN($F71/INDEX(Simulations!$J$3:$J$62,MATCH($A71,Simulations!$A$3:$A$62,0)))))),PI()*INDEX(Simulations!$T$3:$T$62,MATCH($A71,Simulations!$A$3:$A$62,0))^2/2*(LN($F71/INDEX(Simulations!$J$3:$J$62,MATCH($A71,Simulations!$A$3:$A$62,0)))+1)))))</f>
        <v/>
      </c>
      <c r="S71" s="16" t="str">
        <f aca="false">IF(OR($A71="",ISNA(MATCH($A71,Simulations!$A$3:$A$62,0))),"",IF(N($G71)&lt;=0,0,IF($G71&lt;INDEX(Simulations!$J$3:$J$62,MATCH($A71,Simulations!$A$3:$A$62,0)),$D71/(INDEX(Simulations!$G$3:$G$62,MATCH($A71,Simulations!$A$3:$A$62,0))*INDEX(Simulations!$H$3:$H$62,MATCH($A71,Simulations!$A$3:$A$62,0))*IF(INDEX(Simulations!$I$3:$I$62,MATCH($A71,Simulations!$A$3:$A$62,0))&gt;0,INDEX(Simulations!$I$3:$I$62,MATCH($A71,Simulations!$A$3:$A$62,0)),1))*$G71*(PI()/2*INDEX(Simulations!$T$3:$T$62,MATCH($A71,Simulations!$A$3:$A$62,0))^2*IF(INDEX(Simulations!$I$3:$I$62,MATCH($A71,Simulations!$A$3:$A$62,0))&gt;0,SQRT(PI()/2)*INDEX(Simulations!$U$3:$U$62,MATCH($A71,Simulations!$A$3:$A$62,0)),1)),$D71/(INDEX(Simulations!$G$3:$G$62,MATCH($A71,Simulations!$A$3:$A$62,0))*INDEX(Simulations!$H$3:$H$62,MATCH($A71,Simulations!$A$3:$A$62,0))*IF(INDEX(Simulations!$I$3:$I$62,MATCH($A71,Simulations!$A$3:$A$62,0))&gt;0,INDEX(Simulations!$I$3:$I$62,MATCH($A71,Simulations!$A$3:$A$62,0)),1))*INDEX(Simulations!$J$3:$J$62,MATCH($A71,Simulations!$A$3:$A$62,0))*IF(INDEX(Simulations!$I$3:$I$62,MATCH($A71,Simulations!$A$3:$A$62,0))&gt;0,2*PI()*INDEX(Simulations!$T$3:$T$62,MATCH($A71,Simulations!$A$3:$A$62,0))^2*INDEX(Simulations!$U$3:$U$62,MATCH($A71,Simulations!$A$3:$A$62,0))/2^1.5*(2/3*LN($G71/INDEX(Simulations!$J$3:$J$62,MATCH($A71,Simulations!$A$3:$A$62,0)))^1.5+SQRT(LN($G71/INDEX(Simulations!$J$3:$J$62,MATCH($A71,Simulations!$A$3:$A$62,0))))+$G71/INDEX(Simulations!$J$3:$J$62,MATCH($A71,Simulations!$A$3:$A$62,0))*SQRT(PI())/2*ERFC(SQRT(LN($G71/INDEX(Simulations!$J$3:$J$62,MATCH($A71,Simulations!$A$3:$A$62,0)))))),PI()*INDEX(Simulations!$T$3:$T$62,MATCH($A71,Simulations!$A$3:$A$62,0))^2/2*(LN($G71/INDEX(Simulations!$J$3:$J$62,MATCH($A71,Simulations!$A$3:$A$62,0)))+1)))))</f>
        <v/>
      </c>
      <c r="T71" s="16" t="str">
        <f aca="false">IF(OR($A71="",ISNA(MATCH($A71,Simulations!$A$3:$A$62,0))),"",IF(N($H71)&lt;=0,0,IF($H71&lt;INDEX(Simulations!$J$3:$J$62,MATCH($A71,Simulations!$A$3:$A$62,0)),$D71/(INDEX(Simulations!$G$3:$G$62,MATCH($A71,Simulations!$A$3:$A$62,0))*INDEX(Simulations!$H$3:$H$62,MATCH($A71,Simulations!$A$3:$A$62,0))*IF(INDEX(Simulations!$I$3:$I$62,MATCH($A71,Simulations!$A$3:$A$62,0))&gt;0,INDEX(Simulations!$I$3:$I$62,MATCH($A71,Simulations!$A$3:$A$62,0)),1))*$H71*(PI()/2*INDEX(Simulations!$T$3:$T$62,MATCH($A71,Simulations!$A$3:$A$62,0))^2*IF(INDEX(Simulations!$I$3:$I$62,MATCH($A71,Simulations!$A$3:$A$62,0))&gt;0,SQRT(PI()/2)*INDEX(Simulations!$U$3:$U$62,MATCH($A71,Simulations!$A$3:$A$62,0)),1)),$D71/(INDEX(Simulations!$G$3:$G$62,MATCH($A71,Simulations!$A$3:$A$62,0))*INDEX(Simulations!$H$3:$H$62,MATCH($A71,Simulations!$A$3:$A$62,0))*IF(INDEX(Simulations!$I$3:$I$62,MATCH($A71,Simulations!$A$3:$A$62,0))&gt;0,INDEX(Simulations!$I$3:$I$62,MATCH($A71,Simulations!$A$3:$A$62,0)),1))*INDEX(Simulations!$J$3:$J$62,MATCH($A71,Simulations!$A$3:$A$62,0))*IF(INDEX(Simulations!$I$3:$I$62,MATCH($A71,Simulations!$A$3:$A$62,0))&gt;0,2*PI()*INDEX(Simulations!$T$3:$T$62,MATCH($A71,Simulations!$A$3:$A$62,0))^2*INDEX(Simulations!$U$3:$U$62,MATCH($A71,Simulations!$A$3:$A$62,0))/2^1.5*(2/3*LN($H71/INDEX(Simulations!$J$3:$J$62,MATCH($A71,Simulations!$A$3:$A$62,0)))^1.5+SQRT(LN($H71/INDEX(Simulations!$J$3:$J$62,MATCH($A71,Simulations!$A$3:$A$62,0))))+$H71/INDEX(Simulations!$J$3:$J$62,MATCH($A71,Simulations!$A$3:$A$62,0))*SQRT(PI())/2*ERFC(SQRT(LN($H71/INDEX(Simulations!$J$3:$J$62,MATCH($A71,Simulations!$A$3:$A$62,0)))))),PI()*INDEX(Simulations!$T$3:$T$62,MATCH($A71,Simulations!$A$3:$A$62,0))^2/2*(LN($H71/INDEX(Simulations!$J$3:$J$62,MATCH($A71,Simulations!$A$3:$A$62,0)))+1)))))</f>
        <v/>
      </c>
      <c r="U71" s="18" t="str">
        <f aca="false">IF(OR(OR($A71="",ISNA(MATCH($A71,Simulations!$A$3:$A$62,0))),N($C71)&lt;=0),"",SQRT(2*$C71*1000000/(INDEX(Simulations!$J$3:$J$62,MATCH($A71,Simulations!$A$3:$A$62,0))*1000))/INDEX(Simulations!$T$3:$T$62,MATCH($A71,Simulations!$A$3:$A$62,0)))</f>
        <v/>
      </c>
      <c r="V71" s="19" t="str">
        <f aca="false">IF($A71="","",IF(ISNA(MATCH($A71,Simulations!$A$3:$A$62,0)),"✖ Sim ID not found on the Simulations sheet",IF($P71&gt;=1,"✖ brightness &gt;= sampling frequency: completely saturated (D too small, c too large)",IF($P71&gt;0.1,"⚠ brightness &gt; 10% of the sampling frequency: focus starts to saturate",IF(N($U71)&gt;0.1,"⚠ diffusion step &gt; 10% of wr: raise the sampling frequency",IF(MAX($E71:$H71)=0,"⚠ no brightness set","✔ OK"))))))</f>
        <v/>
      </c>
    </row>
    <row r="72" customFormat="false" ht="15" hidden="false" customHeight="false" outlineLevel="0" collapsed="false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4"/>
      <c r="O72" s="18" t="str">
        <f aca="false">IF(OR($A72="",ISNA(MATCH($A72,Simulations!$A$3:$A$62,0))),"",IF(INDEX(Simulations!$I$3:$I$62,MATCH($A72,Simulations!$A$3:$A$62,0))&gt;0,$D72/(INDEX(Simulations!$G$3:$G$62,MATCH($A72,Simulations!$A$3:$A$62,0))*INDEX(Simulations!$H$3:$H$62,MATCH($A72,Simulations!$A$3:$A$62,0))*IF(INDEX(Simulations!$I$3:$I$62,MATCH($A72,Simulations!$A$3:$A$62,0))&gt;0,INDEX(Simulations!$I$3:$I$62,MATCH($A72,Simulations!$A$3:$A$62,0)),1))/1E-024/6.022E+023/0.000000001,""))</f>
        <v/>
      </c>
      <c r="P72" s="20" t="str">
        <f aca="false">IF(OR($A72="",ISNA(MATCH($A72,Simulations!$A$3:$A$62,0))),"",MAX($E72:$H72)/INDEX(Simulations!$J$3:$J$62,MATCH($A72,Simulations!$A$3:$A$62,0)))</f>
        <v/>
      </c>
      <c r="Q72" s="16" t="str">
        <f aca="false">IF(OR($A72="",ISNA(MATCH($A72,Simulations!$A$3:$A$62,0))),"",IF(N($E72)&lt;=0,0,IF($E72&lt;INDEX(Simulations!$J$3:$J$62,MATCH($A72,Simulations!$A$3:$A$62,0)),$D72/(INDEX(Simulations!$G$3:$G$62,MATCH($A72,Simulations!$A$3:$A$62,0))*INDEX(Simulations!$H$3:$H$62,MATCH($A72,Simulations!$A$3:$A$62,0))*IF(INDEX(Simulations!$I$3:$I$62,MATCH($A72,Simulations!$A$3:$A$62,0))&gt;0,INDEX(Simulations!$I$3:$I$62,MATCH($A72,Simulations!$A$3:$A$62,0)),1))*$E72*(PI()/2*INDEX(Simulations!$T$3:$T$62,MATCH($A72,Simulations!$A$3:$A$62,0))^2*IF(INDEX(Simulations!$I$3:$I$62,MATCH($A72,Simulations!$A$3:$A$62,0))&gt;0,SQRT(PI()/2)*INDEX(Simulations!$U$3:$U$62,MATCH($A72,Simulations!$A$3:$A$62,0)),1)),$D72/(INDEX(Simulations!$G$3:$G$62,MATCH($A72,Simulations!$A$3:$A$62,0))*INDEX(Simulations!$H$3:$H$62,MATCH($A72,Simulations!$A$3:$A$62,0))*IF(INDEX(Simulations!$I$3:$I$62,MATCH($A72,Simulations!$A$3:$A$62,0))&gt;0,INDEX(Simulations!$I$3:$I$62,MATCH($A72,Simulations!$A$3:$A$62,0)),1))*INDEX(Simulations!$J$3:$J$62,MATCH($A72,Simulations!$A$3:$A$62,0))*IF(INDEX(Simulations!$I$3:$I$62,MATCH($A72,Simulations!$A$3:$A$62,0))&gt;0,2*PI()*INDEX(Simulations!$T$3:$T$62,MATCH($A72,Simulations!$A$3:$A$62,0))^2*INDEX(Simulations!$U$3:$U$62,MATCH($A72,Simulations!$A$3:$A$62,0))/2^1.5*(2/3*LN($E72/INDEX(Simulations!$J$3:$J$62,MATCH($A72,Simulations!$A$3:$A$62,0)))^1.5+SQRT(LN($E72/INDEX(Simulations!$J$3:$J$62,MATCH($A72,Simulations!$A$3:$A$62,0))))+$E72/INDEX(Simulations!$J$3:$J$62,MATCH($A72,Simulations!$A$3:$A$62,0))*SQRT(PI())/2*ERFC(SQRT(LN($E72/INDEX(Simulations!$J$3:$J$62,MATCH($A72,Simulations!$A$3:$A$62,0)))))),PI()*INDEX(Simulations!$T$3:$T$62,MATCH($A72,Simulations!$A$3:$A$62,0))^2/2*(LN($E72/INDEX(Simulations!$J$3:$J$62,MATCH($A72,Simulations!$A$3:$A$62,0)))+1)))))</f>
        <v/>
      </c>
      <c r="R72" s="16" t="str">
        <f aca="false">IF(OR($A72="",ISNA(MATCH($A72,Simulations!$A$3:$A$62,0))),"",IF(N($F72)&lt;=0,0,IF($F72&lt;INDEX(Simulations!$J$3:$J$62,MATCH($A72,Simulations!$A$3:$A$62,0)),$D72/(INDEX(Simulations!$G$3:$G$62,MATCH($A72,Simulations!$A$3:$A$62,0))*INDEX(Simulations!$H$3:$H$62,MATCH($A72,Simulations!$A$3:$A$62,0))*IF(INDEX(Simulations!$I$3:$I$62,MATCH($A72,Simulations!$A$3:$A$62,0))&gt;0,INDEX(Simulations!$I$3:$I$62,MATCH($A72,Simulations!$A$3:$A$62,0)),1))*$F72*(PI()/2*INDEX(Simulations!$T$3:$T$62,MATCH($A72,Simulations!$A$3:$A$62,0))^2*IF(INDEX(Simulations!$I$3:$I$62,MATCH($A72,Simulations!$A$3:$A$62,0))&gt;0,SQRT(PI()/2)*INDEX(Simulations!$U$3:$U$62,MATCH($A72,Simulations!$A$3:$A$62,0)),1)),$D72/(INDEX(Simulations!$G$3:$G$62,MATCH($A72,Simulations!$A$3:$A$62,0))*INDEX(Simulations!$H$3:$H$62,MATCH($A72,Simulations!$A$3:$A$62,0))*IF(INDEX(Simulations!$I$3:$I$62,MATCH($A72,Simulations!$A$3:$A$62,0))&gt;0,INDEX(Simulations!$I$3:$I$62,MATCH($A72,Simulations!$A$3:$A$62,0)),1))*INDEX(Simulations!$J$3:$J$62,MATCH($A72,Simulations!$A$3:$A$62,0))*IF(INDEX(Simulations!$I$3:$I$62,MATCH($A72,Simulations!$A$3:$A$62,0))&gt;0,2*PI()*INDEX(Simulations!$T$3:$T$62,MATCH($A72,Simulations!$A$3:$A$62,0))^2*INDEX(Simulations!$U$3:$U$62,MATCH($A72,Simulations!$A$3:$A$62,0))/2^1.5*(2/3*LN($F72/INDEX(Simulations!$J$3:$J$62,MATCH($A72,Simulations!$A$3:$A$62,0)))^1.5+SQRT(LN($F72/INDEX(Simulations!$J$3:$J$62,MATCH($A72,Simulations!$A$3:$A$62,0))))+$F72/INDEX(Simulations!$J$3:$J$62,MATCH($A72,Simulations!$A$3:$A$62,0))*SQRT(PI())/2*ERFC(SQRT(LN($F72/INDEX(Simulations!$J$3:$J$62,MATCH($A72,Simulations!$A$3:$A$62,0)))))),PI()*INDEX(Simulations!$T$3:$T$62,MATCH($A72,Simulations!$A$3:$A$62,0))^2/2*(LN($F72/INDEX(Simulations!$J$3:$J$62,MATCH($A72,Simulations!$A$3:$A$62,0)))+1)))))</f>
        <v/>
      </c>
      <c r="S72" s="16" t="str">
        <f aca="false">IF(OR($A72="",ISNA(MATCH($A72,Simulations!$A$3:$A$62,0))),"",IF(N($G72)&lt;=0,0,IF($G72&lt;INDEX(Simulations!$J$3:$J$62,MATCH($A72,Simulations!$A$3:$A$62,0)),$D72/(INDEX(Simulations!$G$3:$G$62,MATCH($A72,Simulations!$A$3:$A$62,0))*INDEX(Simulations!$H$3:$H$62,MATCH($A72,Simulations!$A$3:$A$62,0))*IF(INDEX(Simulations!$I$3:$I$62,MATCH($A72,Simulations!$A$3:$A$62,0))&gt;0,INDEX(Simulations!$I$3:$I$62,MATCH($A72,Simulations!$A$3:$A$62,0)),1))*$G72*(PI()/2*INDEX(Simulations!$T$3:$T$62,MATCH($A72,Simulations!$A$3:$A$62,0))^2*IF(INDEX(Simulations!$I$3:$I$62,MATCH($A72,Simulations!$A$3:$A$62,0))&gt;0,SQRT(PI()/2)*INDEX(Simulations!$U$3:$U$62,MATCH($A72,Simulations!$A$3:$A$62,0)),1)),$D72/(INDEX(Simulations!$G$3:$G$62,MATCH($A72,Simulations!$A$3:$A$62,0))*INDEX(Simulations!$H$3:$H$62,MATCH($A72,Simulations!$A$3:$A$62,0))*IF(INDEX(Simulations!$I$3:$I$62,MATCH($A72,Simulations!$A$3:$A$62,0))&gt;0,INDEX(Simulations!$I$3:$I$62,MATCH($A72,Simulations!$A$3:$A$62,0)),1))*INDEX(Simulations!$J$3:$J$62,MATCH($A72,Simulations!$A$3:$A$62,0))*IF(INDEX(Simulations!$I$3:$I$62,MATCH($A72,Simulations!$A$3:$A$62,0))&gt;0,2*PI()*INDEX(Simulations!$T$3:$T$62,MATCH($A72,Simulations!$A$3:$A$62,0))^2*INDEX(Simulations!$U$3:$U$62,MATCH($A72,Simulations!$A$3:$A$62,0))/2^1.5*(2/3*LN($G72/INDEX(Simulations!$J$3:$J$62,MATCH($A72,Simulations!$A$3:$A$62,0)))^1.5+SQRT(LN($G72/INDEX(Simulations!$J$3:$J$62,MATCH($A72,Simulations!$A$3:$A$62,0))))+$G72/INDEX(Simulations!$J$3:$J$62,MATCH($A72,Simulations!$A$3:$A$62,0))*SQRT(PI())/2*ERFC(SQRT(LN($G72/INDEX(Simulations!$J$3:$J$62,MATCH($A72,Simulations!$A$3:$A$62,0)))))),PI()*INDEX(Simulations!$T$3:$T$62,MATCH($A72,Simulations!$A$3:$A$62,0))^2/2*(LN($G72/INDEX(Simulations!$J$3:$J$62,MATCH($A72,Simulations!$A$3:$A$62,0)))+1)))))</f>
        <v/>
      </c>
      <c r="T72" s="16" t="str">
        <f aca="false">IF(OR($A72="",ISNA(MATCH($A72,Simulations!$A$3:$A$62,0))),"",IF(N($H72)&lt;=0,0,IF($H72&lt;INDEX(Simulations!$J$3:$J$62,MATCH($A72,Simulations!$A$3:$A$62,0)),$D72/(INDEX(Simulations!$G$3:$G$62,MATCH($A72,Simulations!$A$3:$A$62,0))*INDEX(Simulations!$H$3:$H$62,MATCH($A72,Simulations!$A$3:$A$62,0))*IF(INDEX(Simulations!$I$3:$I$62,MATCH($A72,Simulations!$A$3:$A$62,0))&gt;0,INDEX(Simulations!$I$3:$I$62,MATCH($A72,Simulations!$A$3:$A$62,0)),1))*$H72*(PI()/2*INDEX(Simulations!$T$3:$T$62,MATCH($A72,Simulations!$A$3:$A$62,0))^2*IF(INDEX(Simulations!$I$3:$I$62,MATCH($A72,Simulations!$A$3:$A$62,0))&gt;0,SQRT(PI()/2)*INDEX(Simulations!$U$3:$U$62,MATCH($A72,Simulations!$A$3:$A$62,0)),1)),$D72/(INDEX(Simulations!$G$3:$G$62,MATCH($A72,Simulations!$A$3:$A$62,0))*INDEX(Simulations!$H$3:$H$62,MATCH($A72,Simulations!$A$3:$A$62,0))*IF(INDEX(Simulations!$I$3:$I$62,MATCH($A72,Simulations!$A$3:$A$62,0))&gt;0,INDEX(Simulations!$I$3:$I$62,MATCH($A72,Simulations!$A$3:$A$62,0)),1))*INDEX(Simulations!$J$3:$J$62,MATCH($A72,Simulations!$A$3:$A$62,0))*IF(INDEX(Simulations!$I$3:$I$62,MATCH($A72,Simulations!$A$3:$A$62,0))&gt;0,2*PI()*INDEX(Simulations!$T$3:$T$62,MATCH($A72,Simulations!$A$3:$A$62,0))^2*INDEX(Simulations!$U$3:$U$62,MATCH($A72,Simulations!$A$3:$A$62,0))/2^1.5*(2/3*LN($H72/INDEX(Simulations!$J$3:$J$62,MATCH($A72,Simulations!$A$3:$A$62,0)))^1.5+SQRT(LN($H72/INDEX(Simulations!$J$3:$J$62,MATCH($A72,Simulations!$A$3:$A$62,0))))+$H72/INDEX(Simulations!$J$3:$J$62,MATCH($A72,Simulations!$A$3:$A$62,0))*SQRT(PI())/2*ERFC(SQRT(LN($H72/INDEX(Simulations!$J$3:$J$62,MATCH($A72,Simulations!$A$3:$A$62,0)))))),PI()*INDEX(Simulations!$T$3:$T$62,MATCH($A72,Simulations!$A$3:$A$62,0))^2/2*(LN($H72/INDEX(Simulations!$J$3:$J$62,MATCH($A72,Simulations!$A$3:$A$62,0)))+1)))))</f>
        <v/>
      </c>
      <c r="U72" s="18" t="str">
        <f aca="false">IF(OR(OR($A72="",ISNA(MATCH($A72,Simulations!$A$3:$A$62,0))),N($C72)&lt;=0),"",SQRT(2*$C72*1000000/(INDEX(Simulations!$J$3:$J$62,MATCH($A72,Simulations!$A$3:$A$62,0))*1000))/INDEX(Simulations!$T$3:$T$62,MATCH($A72,Simulations!$A$3:$A$62,0)))</f>
        <v/>
      </c>
      <c r="V72" s="19" t="str">
        <f aca="false">IF($A72="","",IF(ISNA(MATCH($A72,Simulations!$A$3:$A$62,0)),"✖ Sim ID not found on the Simulations sheet",IF($P72&gt;=1,"✖ brightness &gt;= sampling frequency: completely saturated (D too small, c too large)",IF($P72&gt;0.1,"⚠ brightness &gt; 10% of the sampling frequency: focus starts to saturate",IF(N($U72)&gt;0.1,"⚠ diffusion step &gt; 10% of wr: raise the sampling frequency",IF(MAX($E72:$H72)=0,"⚠ no brightness set","✔ OK"))))))</f>
        <v/>
      </c>
    </row>
    <row r="73" customFormat="false" ht="15" hidden="false" customHeight="false" outlineLevel="0" collapsed="false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4"/>
      <c r="O73" s="18" t="str">
        <f aca="false">IF(OR($A73="",ISNA(MATCH($A73,Simulations!$A$3:$A$62,0))),"",IF(INDEX(Simulations!$I$3:$I$62,MATCH($A73,Simulations!$A$3:$A$62,0))&gt;0,$D73/(INDEX(Simulations!$G$3:$G$62,MATCH($A73,Simulations!$A$3:$A$62,0))*INDEX(Simulations!$H$3:$H$62,MATCH($A73,Simulations!$A$3:$A$62,0))*IF(INDEX(Simulations!$I$3:$I$62,MATCH($A73,Simulations!$A$3:$A$62,0))&gt;0,INDEX(Simulations!$I$3:$I$62,MATCH($A73,Simulations!$A$3:$A$62,0)),1))/1E-024/6.022E+023/0.000000001,""))</f>
        <v/>
      </c>
      <c r="P73" s="20" t="str">
        <f aca="false">IF(OR($A73="",ISNA(MATCH($A73,Simulations!$A$3:$A$62,0))),"",MAX($E73:$H73)/INDEX(Simulations!$J$3:$J$62,MATCH($A73,Simulations!$A$3:$A$62,0)))</f>
        <v/>
      </c>
      <c r="Q73" s="16" t="str">
        <f aca="false">IF(OR($A73="",ISNA(MATCH($A73,Simulations!$A$3:$A$62,0))),"",IF(N($E73)&lt;=0,0,IF($E73&lt;INDEX(Simulations!$J$3:$J$62,MATCH($A73,Simulations!$A$3:$A$62,0)),$D73/(INDEX(Simulations!$G$3:$G$62,MATCH($A73,Simulations!$A$3:$A$62,0))*INDEX(Simulations!$H$3:$H$62,MATCH($A73,Simulations!$A$3:$A$62,0))*IF(INDEX(Simulations!$I$3:$I$62,MATCH($A73,Simulations!$A$3:$A$62,0))&gt;0,INDEX(Simulations!$I$3:$I$62,MATCH($A73,Simulations!$A$3:$A$62,0)),1))*$E73*(PI()/2*INDEX(Simulations!$T$3:$T$62,MATCH($A73,Simulations!$A$3:$A$62,0))^2*IF(INDEX(Simulations!$I$3:$I$62,MATCH($A73,Simulations!$A$3:$A$62,0))&gt;0,SQRT(PI()/2)*INDEX(Simulations!$U$3:$U$62,MATCH($A73,Simulations!$A$3:$A$62,0)),1)),$D73/(INDEX(Simulations!$G$3:$G$62,MATCH($A73,Simulations!$A$3:$A$62,0))*INDEX(Simulations!$H$3:$H$62,MATCH($A73,Simulations!$A$3:$A$62,0))*IF(INDEX(Simulations!$I$3:$I$62,MATCH($A73,Simulations!$A$3:$A$62,0))&gt;0,INDEX(Simulations!$I$3:$I$62,MATCH($A73,Simulations!$A$3:$A$62,0)),1))*INDEX(Simulations!$J$3:$J$62,MATCH($A73,Simulations!$A$3:$A$62,0))*IF(INDEX(Simulations!$I$3:$I$62,MATCH($A73,Simulations!$A$3:$A$62,0))&gt;0,2*PI()*INDEX(Simulations!$T$3:$T$62,MATCH($A73,Simulations!$A$3:$A$62,0))^2*INDEX(Simulations!$U$3:$U$62,MATCH($A73,Simulations!$A$3:$A$62,0))/2^1.5*(2/3*LN($E73/INDEX(Simulations!$J$3:$J$62,MATCH($A73,Simulations!$A$3:$A$62,0)))^1.5+SQRT(LN($E73/INDEX(Simulations!$J$3:$J$62,MATCH($A73,Simulations!$A$3:$A$62,0))))+$E73/INDEX(Simulations!$J$3:$J$62,MATCH($A73,Simulations!$A$3:$A$62,0))*SQRT(PI())/2*ERFC(SQRT(LN($E73/INDEX(Simulations!$J$3:$J$62,MATCH($A73,Simulations!$A$3:$A$62,0)))))),PI()*INDEX(Simulations!$T$3:$T$62,MATCH($A73,Simulations!$A$3:$A$62,0))^2/2*(LN($E73/INDEX(Simulations!$J$3:$J$62,MATCH($A73,Simulations!$A$3:$A$62,0)))+1)))))</f>
        <v/>
      </c>
      <c r="R73" s="16" t="str">
        <f aca="false">IF(OR($A73="",ISNA(MATCH($A73,Simulations!$A$3:$A$62,0))),"",IF(N($F73)&lt;=0,0,IF($F73&lt;INDEX(Simulations!$J$3:$J$62,MATCH($A73,Simulations!$A$3:$A$62,0)),$D73/(INDEX(Simulations!$G$3:$G$62,MATCH($A73,Simulations!$A$3:$A$62,0))*INDEX(Simulations!$H$3:$H$62,MATCH($A73,Simulations!$A$3:$A$62,0))*IF(INDEX(Simulations!$I$3:$I$62,MATCH($A73,Simulations!$A$3:$A$62,0))&gt;0,INDEX(Simulations!$I$3:$I$62,MATCH($A73,Simulations!$A$3:$A$62,0)),1))*$F73*(PI()/2*INDEX(Simulations!$T$3:$T$62,MATCH($A73,Simulations!$A$3:$A$62,0))^2*IF(INDEX(Simulations!$I$3:$I$62,MATCH($A73,Simulations!$A$3:$A$62,0))&gt;0,SQRT(PI()/2)*INDEX(Simulations!$U$3:$U$62,MATCH($A73,Simulations!$A$3:$A$62,0)),1)),$D73/(INDEX(Simulations!$G$3:$G$62,MATCH($A73,Simulations!$A$3:$A$62,0))*INDEX(Simulations!$H$3:$H$62,MATCH($A73,Simulations!$A$3:$A$62,0))*IF(INDEX(Simulations!$I$3:$I$62,MATCH($A73,Simulations!$A$3:$A$62,0))&gt;0,INDEX(Simulations!$I$3:$I$62,MATCH($A73,Simulations!$A$3:$A$62,0)),1))*INDEX(Simulations!$J$3:$J$62,MATCH($A73,Simulations!$A$3:$A$62,0))*IF(INDEX(Simulations!$I$3:$I$62,MATCH($A73,Simulations!$A$3:$A$62,0))&gt;0,2*PI()*INDEX(Simulations!$T$3:$T$62,MATCH($A73,Simulations!$A$3:$A$62,0))^2*INDEX(Simulations!$U$3:$U$62,MATCH($A73,Simulations!$A$3:$A$62,0))/2^1.5*(2/3*LN($F73/INDEX(Simulations!$J$3:$J$62,MATCH($A73,Simulations!$A$3:$A$62,0)))^1.5+SQRT(LN($F73/INDEX(Simulations!$J$3:$J$62,MATCH($A73,Simulations!$A$3:$A$62,0))))+$F73/INDEX(Simulations!$J$3:$J$62,MATCH($A73,Simulations!$A$3:$A$62,0))*SQRT(PI())/2*ERFC(SQRT(LN($F73/INDEX(Simulations!$J$3:$J$62,MATCH($A73,Simulations!$A$3:$A$62,0)))))),PI()*INDEX(Simulations!$T$3:$T$62,MATCH($A73,Simulations!$A$3:$A$62,0))^2/2*(LN($F73/INDEX(Simulations!$J$3:$J$62,MATCH($A73,Simulations!$A$3:$A$62,0)))+1)))))</f>
        <v/>
      </c>
      <c r="S73" s="16" t="str">
        <f aca="false">IF(OR($A73="",ISNA(MATCH($A73,Simulations!$A$3:$A$62,0))),"",IF(N($G73)&lt;=0,0,IF($G73&lt;INDEX(Simulations!$J$3:$J$62,MATCH($A73,Simulations!$A$3:$A$62,0)),$D73/(INDEX(Simulations!$G$3:$G$62,MATCH($A73,Simulations!$A$3:$A$62,0))*INDEX(Simulations!$H$3:$H$62,MATCH($A73,Simulations!$A$3:$A$62,0))*IF(INDEX(Simulations!$I$3:$I$62,MATCH($A73,Simulations!$A$3:$A$62,0))&gt;0,INDEX(Simulations!$I$3:$I$62,MATCH($A73,Simulations!$A$3:$A$62,0)),1))*$G73*(PI()/2*INDEX(Simulations!$T$3:$T$62,MATCH($A73,Simulations!$A$3:$A$62,0))^2*IF(INDEX(Simulations!$I$3:$I$62,MATCH($A73,Simulations!$A$3:$A$62,0))&gt;0,SQRT(PI()/2)*INDEX(Simulations!$U$3:$U$62,MATCH($A73,Simulations!$A$3:$A$62,0)),1)),$D73/(INDEX(Simulations!$G$3:$G$62,MATCH($A73,Simulations!$A$3:$A$62,0))*INDEX(Simulations!$H$3:$H$62,MATCH($A73,Simulations!$A$3:$A$62,0))*IF(INDEX(Simulations!$I$3:$I$62,MATCH($A73,Simulations!$A$3:$A$62,0))&gt;0,INDEX(Simulations!$I$3:$I$62,MATCH($A73,Simulations!$A$3:$A$62,0)),1))*INDEX(Simulations!$J$3:$J$62,MATCH($A73,Simulations!$A$3:$A$62,0))*IF(INDEX(Simulations!$I$3:$I$62,MATCH($A73,Simulations!$A$3:$A$62,0))&gt;0,2*PI()*INDEX(Simulations!$T$3:$T$62,MATCH($A73,Simulations!$A$3:$A$62,0))^2*INDEX(Simulations!$U$3:$U$62,MATCH($A73,Simulations!$A$3:$A$62,0))/2^1.5*(2/3*LN($G73/INDEX(Simulations!$J$3:$J$62,MATCH($A73,Simulations!$A$3:$A$62,0)))^1.5+SQRT(LN($G73/INDEX(Simulations!$J$3:$J$62,MATCH($A73,Simulations!$A$3:$A$62,0))))+$G73/INDEX(Simulations!$J$3:$J$62,MATCH($A73,Simulations!$A$3:$A$62,0))*SQRT(PI())/2*ERFC(SQRT(LN($G73/INDEX(Simulations!$J$3:$J$62,MATCH($A73,Simulations!$A$3:$A$62,0)))))),PI()*INDEX(Simulations!$T$3:$T$62,MATCH($A73,Simulations!$A$3:$A$62,0))^2/2*(LN($G73/INDEX(Simulations!$J$3:$J$62,MATCH($A73,Simulations!$A$3:$A$62,0)))+1)))))</f>
        <v/>
      </c>
      <c r="T73" s="16" t="str">
        <f aca="false">IF(OR($A73="",ISNA(MATCH($A73,Simulations!$A$3:$A$62,0))),"",IF(N($H73)&lt;=0,0,IF($H73&lt;INDEX(Simulations!$J$3:$J$62,MATCH($A73,Simulations!$A$3:$A$62,0)),$D73/(INDEX(Simulations!$G$3:$G$62,MATCH($A73,Simulations!$A$3:$A$62,0))*INDEX(Simulations!$H$3:$H$62,MATCH($A73,Simulations!$A$3:$A$62,0))*IF(INDEX(Simulations!$I$3:$I$62,MATCH($A73,Simulations!$A$3:$A$62,0))&gt;0,INDEX(Simulations!$I$3:$I$62,MATCH($A73,Simulations!$A$3:$A$62,0)),1))*$H73*(PI()/2*INDEX(Simulations!$T$3:$T$62,MATCH($A73,Simulations!$A$3:$A$62,0))^2*IF(INDEX(Simulations!$I$3:$I$62,MATCH($A73,Simulations!$A$3:$A$62,0))&gt;0,SQRT(PI()/2)*INDEX(Simulations!$U$3:$U$62,MATCH($A73,Simulations!$A$3:$A$62,0)),1)),$D73/(INDEX(Simulations!$G$3:$G$62,MATCH($A73,Simulations!$A$3:$A$62,0))*INDEX(Simulations!$H$3:$H$62,MATCH($A73,Simulations!$A$3:$A$62,0))*IF(INDEX(Simulations!$I$3:$I$62,MATCH($A73,Simulations!$A$3:$A$62,0))&gt;0,INDEX(Simulations!$I$3:$I$62,MATCH($A73,Simulations!$A$3:$A$62,0)),1))*INDEX(Simulations!$J$3:$J$62,MATCH($A73,Simulations!$A$3:$A$62,0))*IF(INDEX(Simulations!$I$3:$I$62,MATCH($A73,Simulations!$A$3:$A$62,0))&gt;0,2*PI()*INDEX(Simulations!$T$3:$T$62,MATCH($A73,Simulations!$A$3:$A$62,0))^2*INDEX(Simulations!$U$3:$U$62,MATCH($A73,Simulations!$A$3:$A$62,0))/2^1.5*(2/3*LN($H73/INDEX(Simulations!$J$3:$J$62,MATCH($A73,Simulations!$A$3:$A$62,0)))^1.5+SQRT(LN($H73/INDEX(Simulations!$J$3:$J$62,MATCH($A73,Simulations!$A$3:$A$62,0))))+$H73/INDEX(Simulations!$J$3:$J$62,MATCH($A73,Simulations!$A$3:$A$62,0))*SQRT(PI())/2*ERFC(SQRT(LN($H73/INDEX(Simulations!$J$3:$J$62,MATCH($A73,Simulations!$A$3:$A$62,0)))))),PI()*INDEX(Simulations!$T$3:$T$62,MATCH($A73,Simulations!$A$3:$A$62,0))^2/2*(LN($H73/INDEX(Simulations!$J$3:$J$62,MATCH($A73,Simulations!$A$3:$A$62,0)))+1)))))</f>
        <v/>
      </c>
      <c r="U73" s="18" t="str">
        <f aca="false">IF(OR(OR($A73="",ISNA(MATCH($A73,Simulations!$A$3:$A$62,0))),N($C73)&lt;=0),"",SQRT(2*$C73*1000000/(INDEX(Simulations!$J$3:$J$62,MATCH($A73,Simulations!$A$3:$A$62,0))*1000))/INDEX(Simulations!$T$3:$T$62,MATCH($A73,Simulations!$A$3:$A$62,0)))</f>
        <v/>
      </c>
      <c r="V73" s="19" t="str">
        <f aca="false">IF($A73="","",IF(ISNA(MATCH($A73,Simulations!$A$3:$A$62,0)),"✖ Sim ID not found on the Simulations sheet",IF($P73&gt;=1,"✖ brightness &gt;= sampling frequency: completely saturated (D too small, c too large)",IF($P73&gt;0.1,"⚠ brightness &gt; 10% of the sampling frequency: focus starts to saturate",IF(N($U73)&gt;0.1,"⚠ diffusion step &gt; 10% of wr: raise the sampling frequency",IF(MAX($E73:$H73)=0,"⚠ no brightness set","✔ OK"))))))</f>
        <v/>
      </c>
    </row>
    <row r="74" customFormat="false" ht="15" hidden="false" customHeight="false" outlineLevel="0" collapsed="false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4"/>
      <c r="O74" s="18" t="str">
        <f aca="false">IF(OR($A74="",ISNA(MATCH($A74,Simulations!$A$3:$A$62,0))),"",IF(INDEX(Simulations!$I$3:$I$62,MATCH($A74,Simulations!$A$3:$A$62,0))&gt;0,$D74/(INDEX(Simulations!$G$3:$G$62,MATCH($A74,Simulations!$A$3:$A$62,0))*INDEX(Simulations!$H$3:$H$62,MATCH($A74,Simulations!$A$3:$A$62,0))*IF(INDEX(Simulations!$I$3:$I$62,MATCH($A74,Simulations!$A$3:$A$62,0))&gt;0,INDEX(Simulations!$I$3:$I$62,MATCH($A74,Simulations!$A$3:$A$62,0)),1))/1E-024/6.022E+023/0.000000001,""))</f>
        <v/>
      </c>
      <c r="P74" s="20" t="str">
        <f aca="false">IF(OR($A74="",ISNA(MATCH($A74,Simulations!$A$3:$A$62,0))),"",MAX($E74:$H74)/INDEX(Simulations!$J$3:$J$62,MATCH($A74,Simulations!$A$3:$A$62,0)))</f>
        <v/>
      </c>
      <c r="Q74" s="16" t="str">
        <f aca="false">IF(OR($A74="",ISNA(MATCH($A74,Simulations!$A$3:$A$62,0))),"",IF(N($E74)&lt;=0,0,IF($E74&lt;INDEX(Simulations!$J$3:$J$62,MATCH($A74,Simulations!$A$3:$A$62,0)),$D74/(INDEX(Simulations!$G$3:$G$62,MATCH($A74,Simulations!$A$3:$A$62,0))*INDEX(Simulations!$H$3:$H$62,MATCH($A74,Simulations!$A$3:$A$62,0))*IF(INDEX(Simulations!$I$3:$I$62,MATCH($A74,Simulations!$A$3:$A$62,0))&gt;0,INDEX(Simulations!$I$3:$I$62,MATCH($A74,Simulations!$A$3:$A$62,0)),1))*$E74*(PI()/2*INDEX(Simulations!$T$3:$T$62,MATCH($A74,Simulations!$A$3:$A$62,0))^2*IF(INDEX(Simulations!$I$3:$I$62,MATCH($A74,Simulations!$A$3:$A$62,0))&gt;0,SQRT(PI()/2)*INDEX(Simulations!$U$3:$U$62,MATCH($A74,Simulations!$A$3:$A$62,0)),1)),$D74/(INDEX(Simulations!$G$3:$G$62,MATCH($A74,Simulations!$A$3:$A$62,0))*INDEX(Simulations!$H$3:$H$62,MATCH($A74,Simulations!$A$3:$A$62,0))*IF(INDEX(Simulations!$I$3:$I$62,MATCH($A74,Simulations!$A$3:$A$62,0))&gt;0,INDEX(Simulations!$I$3:$I$62,MATCH($A74,Simulations!$A$3:$A$62,0)),1))*INDEX(Simulations!$J$3:$J$62,MATCH($A74,Simulations!$A$3:$A$62,0))*IF(INDEX(Simulations!$I$3:$I$62,MATCH($A74,Simulations!$A$3:$A$62,0))&gt;0,2*PI()*INDEX(Simulations!$T$3:$T$62,MATCH($A74,Simulations!$A$3:$A$62,0))^2*INDEX(Simulations!$U$3:$U$62,MATCH($A74,Simulations!$A$3:$A$62,0))/2^1.5*(2/3*LN($E74/INDEX(Simulations!$J$3:$J$62,MATCH($A74,Simulations!$A$3:$A$62,0)))^1.5+SQRT(LN($E74/INDEX(Simulations!$J$3:$J$62,MATCH($A74,Simulations!$A$3:$A$62,0))))+$E74/INDEX(Simulations!$J$3:$J$62,MATCH($A74,Simulations!$A$3:$A$62,0))*SQRT(PI())/2*ERFC(SQRT(LN($E74/INDEX(Simulations!$J$3:$J$62,MATCH($A74,Simulations!$A$3:$A$62,0)))))),PI()*INDEX(Simulations!$T$3:$T$62,MATCH($A74,Simulations!$A$3:$A$62,0))^2/2*(LN($E74/INDEX(Simulations!$J$3:$J$62,MATCH($A74,Simulations!$A$3:$A$62,0)))+1)))))</f>
        <v/>
      </c>
      <c r="R74" s="16" t="str">
        <f aca="false">IF(OR($A74="",ISNA(MATCH($A74,Simulations!$A$3:$A$62,0))),"",IF(N($F74)&lt;=0,0,IF($F74&lt;INDEX(Simulations!$J$3:$J$62,MATCH($A74,Simulations!$A$3:$A$62,0)),$D74/(INDEX(Simulations!$G$3:$G$62,MATCH($A74,Simulations!$A$3:$A$62,0))*INDEX(Simulations!$H$3:$H$62,MATCH($A74,Simulations!$A$3:$A$62,0))*IF(INDEX(Simulations!$I$3:$I$62,MATCH($A74,Simulations!$A$3:$A$62,0))&gt;0,INDEX(Simulations!$I$3:$I$62,MATCH($A74,Simulations!$A$3:$A$62,0)),1))*$F74*(PI()/2*INDEX(Simulations!$T$3:$T$62,MATCH($A74,Simulations!$A$3:$A$62,0))^2*IF(INDEX(Simulations!$I$3:$I$62,MATCH($A74,Simulations!$A$3:$A$62,0))&gt;0,SQRT(PI()/2)*INDEX(Simulations!$U$3:$U$62,MATCH($A74,Simulations!$A$3:$A$62,0)),1)),$D74/(INDEX(Simulations!$G$3:$G$62,MATCH($A74,Simulations!$A$3:$A$62,0))*INDEX(Simulations!$H$3:$H$62,MATCH($A74,Simulations!$A$3:$A$62,0))*IF(INDEX(Simulations!$I$3:$I$62,MATCH($A74,Simulations!$A$3:$A$62,0))&gt;0,INDEX(Simulations!$I$3:$I$62,MATCH($A74,Simulations!$A$3:$A$62,0)),1))*INDEX(Simulations!$J$3:$J$62,MATCH($A74,Simulations!$A$3:$A$62,0))*IF(INDEX(Simulations!$I$3:$I$62,MATCH($A74,Simulations!$A$3:$A$62,0))&gt;0,2*PI()*INDEX(Simulations!$T$3:$T$62,MATCH($A74,Simulations!$A$3:$A$62,0))^2*INDEX(Simulations!$U$3:$U$62,MATCH($A74,Simulations!$A$3:$A$62,0))/2^1.5*(2/3*LN($F74/INDEX(Simulations!$J$3:$J$62,MATCH($A74,Simulations!$A$3:$A$62,0)))^1.5+SQRT(LN($F74/INDEX(Simulations!$J$3:$J$62,MATCH($A74,Simulations!$A$3:$A$62,0))))+$F74/INDEX(Simulations!$J$3:$J$62,MATCH($A74,Simulations!$A$3:$A$62,0))*SQRT(PI())/2*ERFC(SQRT(LN($F74/INDEX(Simulations!$J$3:$J$62,MATCH($A74,Simulations!$A$3:$A$62,0)))))),PI()*INDEX(Simulations!$T$3:$T$62,MATCH($A74,Simulations!$A$3:$A$62,0))^2/2*(LN($F74/INDEX(Simulations!$J$3:$J$62,MATCH($A74,Simulations!$A$3:$A$62,0)))+1)))))</f>
        <v/>
      </c>
      <c r="S74" s="16" t="str">
        <f aca="false">IF(OR($A74="",ISNA(MATCH($A74,Simulations!$A$3:$A$62,0))),"",IF(N($G74)&lt;=0,0,IF($G74&lt;INDEX(Simulations!$J$3:$J$62,MATCH($A74,Simulations!$A$3:$A$62,0)),$D74/(INDEX(Simulations!$G$3:$G$62,MATCH($A74,Simulations!$A$3:$A$62,0))*INDEX(Simulations!$H$3:$H$62,MATCH($A74,Simulations!$A$3:$A$62,0))*IF(INDEX(Simulations!$I$3:$I$62,MATCH($A74,Simulations!$A$3:$A$62,0))&gt;0,INDEX(Simulations!$I$3:$I$62,MATCH($A74,Simulations!$A$3:$A$62,0)),1))*$G74*(PI()/2*INDEX(Simulations!$T$3:$T$62,MATCH($A74,Simulations!$A$3:$A$62,0))^2*IF(INDEX(Simulations!$I$3:$I$62,MATCH($A74,Simulations!$A$3:$A$62,0))&gt;0,SQRT(PI()/2)*INDEX(Simulations!$U$3:$U$62,MATCH($A74,Simulations!$A$3:$A$62,0)),1)),$D74/(INDEX(Simulations!$G$3:$G$62,MATCH($A74,Simulations!$A$3:$A$62,0))*INDEX(Simulations!$H$3:$H$62,MATCH($A74,Simulations!$A$3:$A$62,0))*IF(INDEX(Simulations!$I$3:$I$62,MATCH($A74,Simulations!$A$3:$A$62,0))&gt;0,INDEX(Simulations!$I$3:$I$62,MATCH($A74,Simulations!$A$3:$A$62,0)),1))*INDEX(Simulations!$J$3:$J$62,MATCH($A74,Simulations!$A$3:$A$62,0))*IF(INDEX(Simulations!$I$3:$I$62,MATCH($A74,Simulations!$A$3:$A$62,0))&gt;0,2*PI()*INDEX(Simulations!$T$3:$T$62,MATCH($A74,Simulations!$A$3:$A$62,0))^2*INDEX(Simulations!$U$3:$U$62,MATCH($A74,Simulations!$A$3:$A$62,0))/2^1.5*(2/3*LN($G74/INDEX(Simulations!$J$3:$J$62,MATCH($A74,Simulations!$A$3:$A$62,0)))^1.5+SQRT(LN($G74/INDEX(Simulations!$J$3:$J$62,MATCH($A74,Simulations!$A$3:$A$62,0))))+$G74/INDEX(Simulations!$J$3:$J$62,MATCH($A74,Simulations!$A$3:$A$62,0))*SQRT(PI())/2*ERFC(SQRT(LN($G74/INDEX(Simulations!$J$3:$J$62,MATCH($A74,Simulations!$A$3:$A$62,0)))))),PI()*INDEX(Simulations!$T$3:$T$62,MATCH($A74,Simulations!$A$3:$A$62,0))^2/2*(LN($G74/INDEX(Simulations!$J$3:$J$62,MATCH($A74,Simulations!$A$3:$A$62,0)))+1)))))</f>
        <v/>
      </c>
      <c r="T74" s="16" t="str">
        <f aca="false">IF(OR($A74="",ISNA(MATCH($A74,Simulations!$A$3:$A$62,0))),"",IF(N($H74)&lt;=0,0,IF($H74&lt;INDEX(Simulations!$J$3:$J$62,MATCH($A74,Simulations!$A$3:$A$62,0)),$D74/(INDEX(Simulations!$G$3:$G$62,MATCH($A74,Simulations!$A$3:$A$62,0))*INDEX(Simulations!$H$3:$H$62,MATCH($A74,Simulations!$A$3:$A$62,0))*IF(INDEX(Simulations!$I$3:$I$62,MATCH($A74,Simulations!$A$3:$A$62,0))&gt;0,INDEX(Simulations!$I$3:$I$62,MATCH($A74,Simulations!$A$3:$A$62,0)),1))*$H74*(PI()/2*INDEX(Simulations!$T$3:$T$62,MATCH($A74,Simulations!$A$3:$A$62,0))^2*IF(INDEX(Simulations!$I$3:$I$62,MATCH($A74,Simulations!$A$3:$A$62,0))&gt;0,SQRT(PI()/2)*INDEX(Simulations!$U$3:$U$62,MATCH($A74,Simulations!$A$3:$A$62,0)),1)),$D74/(INDEX(Simulations!$G$3:$G$62,MATCH($A74,Simulations!$A$3:$A$62,0))*INDEX(Simulations!$H$3:$H$62,MATCH($A74,Simulations!$A$3:$A$62,0))*IF(INDEX(Simulations!$I$3:$I$62,MATCH($A74,Simulations!$A$3:$A$62,0))&gt;0,INDEX(Simulations!$I$3:$I$62,MATCH($A74,Simulations!$A$3:$A$62,0)),1))*INDEX(Simulations!$J$3:$J$62,MATCH($A74,Simulations!$A$3:$A$62,0))*IF(INDEX(Simulations!$I$3:$I$62,MATCH($A74,Simulations!$A$3:$A$62,0))&gt;0,2*PI()*INDEX(Simulations!$T$3:$T$62,MATCH($A74,Simulations!$A$3:$A$62,0))^2*INDEX(Simulations!$U$3:$U$62,MATCH($A74,Simulations!$A$3:$A$62,0))/2^1.5*(2/3*LN($H74/INDEX(Simulations!$J$3:$J$62,MATCH($A74,Simulations!$A$3:$A$62,0)))^1.5+SQRT(LN($H74/INDEX(Simulations!$J$3:$J$62,MATCH($A74,Simulations!$A$3:$A$62,0))))+$H74/INDEX(Simulations!$J$3:$J$62,MATCH($A74,Simulations!$A$3:$A$62,0))*SQRT(PI())/2*ERFC(SQRT(LN($H74/INDEX(Simulations!$J$3:$J$62,MATCH($A74,Simulations!$A$3:$A$62,0)))))),PI()*INDEX(Simulations!$T$3:$T$62,MATCH($A74,Simulations!$A$3:$A$62,0))^2/2*(LN($H74/INDEX(Simulations!$J$3:$J$62,MATCH($A74,Simulations!$A$3:$A$62,0)))+1)))))</f>
        <v/>
      </c>
      <c r="U74" s="18" t="str">
        <f aca="false">IF(OR(OR($A74="",ISNA(MATCH($A74,Simulations!$A$3:$A$62,0))),N($C74)&lt;=0),"",SQRT(2*$C74*1000000/(INDEX(Simulations!$J$3:$J$62,MATCH($A74,Simulations!$A$3:$A$62,0))*1000))/INDEX(Simulations!$T$3:$T$62,MATCH($A74,Simulations!$A$3:$A$62,0)))</f>
        <v/>
      </c>
      <c r="V74" s="19" t="str">
        <f aca="false">IF($A74="","",IF(ISNA(MATCH($A74,Simulations!$A$3:$A$62,0)),"✖ Sim ID not found on the Simulations sheet",IF($P74&gt;=1,"✖ brightness &gt;= sampling frequency: completely saturated (D too small, c too large)",IF($P74&gt;0.1,"⚠ brightness &gt; 10% of the sampling frequency: focus starts to saturate",IF(N($U74)&gt;0.1,"⚠ diffusion step &gt; 10% of wr: raise the sampling frequency",IF(MAX($E74:$H74)=0,"⚠ no brightness set","✔ OK"))))))</f>
        <v/>
      </c>
    </row>
    <row r="75" customFormat="false" ht="15" hidden="false" customHeight="false" outlineLevel="0" collapsed="false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4"/>
      <c r="O75" s="18" t="str">
        <f aca="false">IF(OR($A75="",ISNA(MATCH($A75,Simulations!$A$3:$A$62,0))),"",IF(INDEX(Simulations!$I$3:$I$62,MATCH($A75,Simulations!$A$3:$A$62,0))&gt;0,$D75/(INDEX(Simulations!$G$3:$G$62,MATCH($A75,Simulations!$A$3:$A$62,0))*INDEX(Simulations!$H$3:$H$62,MATCH($A75,Simulations!$A$3:$A$62,0))*IF(INDEX(Simulations!$I$3:$I$62,MATCH($A75,Simulations!$A$3:$A$62,0))&gt;0,INDEX(Simulations!$I$3:$I$62,MATCH($A75,Simulations!$A$3:$A$62,0)),1))/1E-024/6.022E+023/0.000000001,""))</f>
        <v/>
      </c>
      <c r="P75" s="20" t="str">
        <f aca="false">IF(OR($A75="",ISNA(MATCH($A75,Simulations!$A$3:$A$62,0))),"",MAX($E75:$H75)/INDEX(Simulations!$J$3:$J$62,MATCH($A75,Simulations!$A$3:$A$62,0)))</f>
        <v/>
      </c>
      <c r="Q75" s="16" t="str">
        <f aca="false">IF(OR($A75="",ISNA(MATCH($A75,Simulations!$A$3:$A$62,0))),"",IF(N($E75)&lt;=0,0,IF($E75&lt;INDEX(Simulations!$J$3:$J$62,MATCH($A75,Simulations!$A$3:$A$62,0)),$D75/(INDEX(Simulations!$G$3:$G$62,MATCH($A75,Simulations!$A$3:$A$62,0))*INDEX(Simulations!$H$3:$H$62,MATCH($A75,Simulations!$A$3:$A$62,0))*IF(INDEX(Simulations!$I$3:$I$62,MATCH($A75,Simulations!$A$3:$A$62,0))&gt;0,INDEX(Simulations!$I$3:$I$62,MATCH($A75,Simulations!$A$3:$A$62,0)),1))*$E75*(PI()/2*INDEX(Simulations!$T$3:$T$62,MATCH($A75,Simulations!$A$3:$A$62,0))^2*IF(INDEX(Simulations!$I$3:$I$62,MATCH($A75,Simulations!$A$3:$A$62,0))&gt;0,SQRT(PI()/2)*INDEX(Simulations!$U$3:$U$62,MATCH($A75,Simulations!$A$3:$A$62,0)),1)),$D75/(INDEX(Simulations!$G$3:$G$62,MATCH($A75,Simulations!$A$3:$A$62,0))*INDEX(Simulations!$H$3:$H$62,MATCH($A75,Simulations!$A$3:$A$62,0))*IF(INDEX(Simulations!$I$3:$I$62,MATCH($A75,Simulations!$A$3:$A$62,0))&gt;0,INDEX(Simulations!$I$3:$I$62,MATCH($A75,Simulations!$A$3:$A$62,0)),1))*INDEX(Simulations!$J$3:$J$62,MATCH($A75,Simulations!$A$3:$A$62,0))*IF(INDEX(Simulations!$I$3:$I$62,MATCH($A75,Simulations!$A$3:$A$62,0))&gt;0,2*PI()*INDEX(Simulations!$T$3:$T$62,MATCH($A75,Simulations!$A$3:$A$62,0))^2*INDEX(Simulations!$U$3:$U$62,MATCH($A75,Simulations!$A$3:$A$62,0))/2^1.5*(2/3*LN($E75/INDEX(Simulations!$J$3:$J$62,MATCH($A75,Simulations!$A$3:$A$62,0)))^1.5+SQRT(LN($E75/INDEX(Simulations!$J$3:$J$62,MATCH($A75,Simulations!$A$3:$A$62,0))))+$E75/INDEX(Simulations!$J$3:$J$62,MATCH($A75,Simulations!$A$3:$A$62,0))*SQRT(PI())/2*ERFC(SQRT(LN($E75/INDEX(Simulations!$J$3:$J$62,MATCH($A75,Simulations!$A$3:$A$62,0)))))),PI()*INDEX(Simulations!$T$3:$T$62,MATCH($A75,Simulations!$A$3:$A$62,0))^2/2*(LN($E75/INDEX(Simulations!$J$3:$J$62,MATCH($A75,Simulations!$A$3:$A$62,0)))+1)))))</f>
        <v/>
      </c>
      <c r="R75" s="16" t="str">
        <f aca="false">IF(OR($A75="",ISNA(MATCH($A75,Simulations!$A$3:$A$62,0))),"",IF(N($F75)&lt;=0,0,IF($F75&lt;INDEX(Simulations!$J$3:$J$62,MATCH($A75,Simulations!$A$3:$A$62,0)),$D75/(INDEX(Simulations!$G$3:$G$62,MATCH($A75,Simulations!$A$3:$A$62,0))*INDEX(Simulations!$H$3:$H$62,MATCH($A75,Simulations!$A$3:$A$62,0))*IF(INDEX(Simulations!$I$3:$I$62,MATCH($A75,Simulations!$A$3:$A$62,0))&gt;0,INDEX(Simulations!$I$3:$I$62,MATCH($A75,Simulations!$A$3:$A$62,0)),1))*$F75*(PI()/2*INDEX(Simulations!$T$3:$T$62,MATCH($A75,Simulations!$A$3:$A$62,0))^2*IF(INDEX(Simulations!$I$3:$I$62,MATCH($A75,Simulations!$A$3:$A$62,0))&gt;0,SQRT(PI()/2)*INDEX(Simulations!$U$3:$U$62,MATCH($A75,Simulations!$A$3:$A$62,0)),1)),$D75/(INDEX(Simulations!$G$3:$G$62,MATCH($A75,Simulations!$A$3:$A$62,0))*INDEX(Simulations!$H$3:$H$62,MATCH($A75,Simulations!$A$3:$A$62,0))*IF(INDEX(Simulations!$I$3:$I$62,MATCH($A75,Simulations!$A$3:$A$62,0))&gt;0,INDEX(Simulations!$I$3:$I$62,MATCH($A75,Simulations!$A$3:$A$62,0)),1))*INDEX(Simulations!$J$3:$J$62,MATCH($A75,Simulations!$A$3:$A$62,0))*IF(INDEX(Simulations!$I$3:$I$62,MATCH($A75,Simulations!$A$3:$A$62,0))&gt;0,2*PI()*INDEX(Simulations!$T$3:$T$62,MATCH($A75,Simulations!$A$3:$A$62,0))^2*INDEX(Simulations!$U$3:$U$62,MATCH($A75,Simulations!$A$3:$A$62,0))/2^1.5*(2/3*LN($F75/INDEX(Simulations!$J$3:$J$62,MATCH($A75,Simulations!$A$3:$A$62,0)))^1.5+SQRT(LN($F75/INDEX(Simulations!$J$3:$J$62,MATCH($A75,Simulations!$A$3:$A$62,0))))+$F75/INDEX(Simulations!$J$3:$J$62,MATCH($A75,Simulations!$A$3:$A$62,0))*SQRT(PI())/2*ERFC(SQRT(LN($F75/INDEX(Simulations!$J$3:$J$62,MATCH($A75,Simulations!$A$3:$A$62,0)))))),PI()*INDEX(Simulations!$T$3:$T$62,MATCH($A75,Simulations!$A$3:$A$62,0))^2/2*(LN($F75/INDEX(Simulations!$J$3:$J$62,MATCH($A75,Simulations!$A$3:$A$62,0)))+1)))))</f>
        <v/>
      </c>
      <c r="S75" s="16" t="str">
        <f aca="false">IF(OR($A75="",ISNA(MATCH($A75,Simulations!$A$3:$A$62,0))),"",IF(N($G75)&lt;=0,0,IF($G75&lt;INDEX(Simulations!$J$3:$J$62,MATCH($A75,Simulations!$A$3:$A$62,0)),$D75/(INDEX(Simulations!$G$3:$G$62,MATCH($A75,Simulations!$A$3:$A$62,0))*INDEX(Simulations!$H$3:$H$62,MATCH($A75,Simulations!$A$3:$A$62,0))*IF(INDEX(Simulations!$I$3:$I$62,MATCH($A75,Simulations!$A$3:$A$62,0))&gt;0,INDEX(Simulations!$I$3:$I$62,MATCH($A75,Simulations!$A$3:$A$62,0)),1))*$G75*(PI()/2*INDEX(Simulations!$T$3:$T$62,MATCH($A75,Simulations!$A$3:$A$62,0))^2*IF(INDEX(Simulations!$I$3:$I$62,MATCH($A75,Simulations!$A$3:$A$62,0))&gt;0,SQRT(PI()/2)*INDEX(Simulations!$U$3:$U$62,MATCH($A75,Simulations!$A$3:$A$62,0)),1)),$D75/(INDEX(Simulations!$G$3:$G$62,MATCH($A75,Simulations!$A$3:$A$62,0))*INDEX(Simulations!$H$3:$H$62,MATCH($A75,Simulations!$A$3:$A$62,0))*IF(INDEX(Simulations!$I$3:$I$62,MATCH($A75,Simulations!$A$3:$A$62,0))&gt;0,INDEX(Simulations!$I$3:$I$62,MATCH($A75,Simulations!$A$3:$A$62,0)),1))*INDEX(Simulations!$J$3:$J$62,MATCH($A75,Simulations!$A$3:$A$62,0))*IF(INDEX(Simulations!$I$3:$I$62,MATCH($A75,Simulations!$A$3:$A$62,0))&gt;0,2*PI()*INDEX(Simulations!$T$3:$T$62,MATCH($A75,Simulations!$A$3:$A$62,0))^2*INDEX(Simulations!$U$3:$U$62,MATCH($A75,Simulations!$A$3:$A$62,0))/2^1.5*(2/3*LN($G75/INDEX(Simulations!$J$3:$J$62,MATCH($A75,Simulations!$A$3:$A$62,0)))^1.5+SQRT(LN($G75/INDEX(Simulations!$J$3:$J$62,MATCH($A75,Simulations!$A$3:$A$62,0))))+$G75/INDEX(Simulations!$J$3:$J$62,MATCH($A75,Simulations!$A$3:$A$62,0))*SQRT(PI())/2*ERFC(SQRT(LN($G75/INDEX(Simulations!$J$3:$J$62,MATCH($A75,Simulations!$A$3:$A$62,0)))))),PI()*INDEX(Simulations!$T$3:$T$62,MATCH($A75,Simulations!$A$3:$A$62,0))^2/2*(LN($G75/INDEX(Simulations!$J$3:$J$62,MATCH($A75,Simulations!$A$3:$A$62,0)))+1)))))</f>
        <v/>
      </c>
      <c r="T75" s="16" t="str">
        <f aca="false">IF(OR($A75="",ISNA(MATCH($A75,Simulations!$A$3:$A$62,0))),"",IF(N($H75)&lt;=0,0,IF($H75&lt;INDEX(Simulations!$J$3:$J$62,MATCH($A75,Simulations!$A$3:$A$62,0)),$D75/(INDEX(Simulations!$G$3:$G$62,MATCH($A75,Simulations!$A$3:$A$62,0))*INDEX(Simulations!$H$3:$H$62,MATCH($A75,Simulations!$A$3:$A$62,0))*IF(INDEX(Simulations!$I$3:$I$62,MATCH($A75,Simulations!$A$3:$A$62,0))&gt;0,INDEX(Simulations!$I$3:$I$62,MATCH($A75,Simulations!$A$3:$A$62,0)),1))*$H75*(PI()/2*INDEX(Simulations!$T$3:$T$62,MATCH($A75,Simulations!$A$3:$A$62,0))^2*IF(INDEX(Simulations!$I$3:$I$62,MATCH($A75,Simulations!$A$3:$A$62,0))&gt;0,SQRT(PI()/2)*INDEX(Simulations!$U$3:$U$62,MATCH($A75,Simulations!$A$3:$A$62,0)),1)),$D75/(INDEX(Simulations!$G$3:$G$62,MATCH($A75,Simulations!$A$3:$A$62,0))*INDEX(Simulations!$H$3:$H$62,MATCH($A75,Simulations!$A$3:$A$62,0))*IF(INDEX(Simulations!$I$3:$I$62,MATCH($A75,Simulations!$A$3:$A$62,0))&gt;0,INDEX(Simulations!$I$3:$I$62,MATCH($A75,Simulations!$A$3:$A$62,0)),1))*INDEX(Simulations!$J$3:$J$62,MATCH($A75,Simulations!$A$3:$A$62,0))*IF(INDEX(Simulations!$I$3:$I$62,MATCH($A75,Simulations!$A$3:$A$62,0))&gt;0,2*PI()*INDEX(Simulations!$T$3:$T$62,MATCH($A75,Simulations!$A$3:$A$62,0))^2*INDEX(Simulations!$U$3:$U$62,MATCH($A75,Simulations!$A$3:$A$62,0))/2^1.5*(2/3*LN($H75/INDEX(Simulations!$J$3:$J$62,MATCH($A75,Simulations!$A$3:$A$62,0)))^1.5+SQRT(LN($H75/INDEX(Simulations!$J$3:$J$62,MATCH($A75,Simulations!$A$3:$A$62,0))))+$H75/INDEX(Simulations!$J$3:$J$62,MATCH($A75,Simulations!$A$3:$A$62,0))*SQRT(PI())/2*ERFC(SQRT(LN($H75/INDEX(Simulations!$J$3:$J$62,MATCH($A75,Simulations!$A$3:$A$62,0)))))),PI()*INDEX(Simulations!$T$3:$T$62,MATCH($A75,Simulations!$A$3:$A$62,0))^2/2*(LN($H75/INDEX(Simulations!$J$3:$J$62,MATCH($A75,Simulations!$A$3:$A$62,0)))+1)))))</f>
        <v/>
      </c>
      <c r="U75" s="18" t="str">
        <f aca="false">IF(OR(OR($A75="",ISNA(MATCH($A75,Simulations!$A$3:$A$62,0))),N($C75)&lt;=0),"",SQRT(2*$C75*1000000/(INDEX(Simulations!$J$3:$J$62,MATCH($A75,Simulations!$A$3:$A$62,0))*1000))/INDEX(Simulations!$T$3:$T$62,MATCH($A75,Simulations!$A$3:$A$62,0)))</f>
        <v/>
      </c>
      <c r="V75" s="19" t="str">
        <f aca="false">IF($A75="","",IF(ISNA(MATCH($A75,Simulations!$A$3:$A$62,0)),"✖ Sim ID not found on the Simulations sheet",IF($P75&gt;=1,"✖ brightness &gt;= sampling frequency: completely saturated (D too small, c too large)",IF($P75&gt;0.1,"⚠ brightness &gt; 10% of the sampling frequency: focus starts to saturate",IF(N($U75)&gt;0.1,"⚠ diffusion step &gt; 10% of wr: raise the sampling frequency",IF(MAX($E75:$H75)=0,"⚠ no brightness set","✔ OK"))))))</f>
        <v/>
      </c>
    </row>
    <row r="76" customFormat="false" ht="15" hidden="false" customHeight="false" outlineLevel="0" collapsed="false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4"/>
      <c r="O76" s="18" t="str">
        <f aca="false">IF(OR($A76="",ISNA(MATCH($A76,Simulations!$A$3:$A$62,0))),"",IF(INDEX(Simulations!$I$3:$I$62,MATCH($A76,Simulations!$A$3:$A$62,0))&gt;0,$D76/(INDEX(Simulations!$G$3:$G$62,MATCH($A76,Simulations!$A$3:$A$62,0))*INDEX(Simulations!$H$3:$H$62,MATCH($A76,Simulations!$A$3:$A$62,0))*IF(INDEX(Simulations!$I$3:$I$62,MATCH($A76,Simulations!$A$3:$A$62,0))&gt;0,INDEX(Simulations!$I$3:$I$62,MATCH($A76,Simulations!$A$3:$A$62,0)),1))/1E-024/6.022E+023/0.000000001,""))</f>
        <v/>
      </c>
      <c r="P76" s="20" t="str">
        <f aca="false">IF(OR($A76="",ISNA(MATCH($A76,Simulations!$A$3:$A$62,0))),"",MAX($E76:$H76)/INDEX(Simulations!$J$3:$J$62,MATCH($A76,Simulations!$A$3:$A$62,0)))</f>
        <v/>
      </c>
      <c r="Q76" s="16" t="str">
        <f aca="false">IF(OR($A76="",ISNA(MATCH($A76,Simulations!$A$3:$A$62,0))),"",IF(N($E76)&lt;=0,0,IF($E76&lt;INDEX(Simulations!$J$3:$J$62,MATCH($A76,Simulations!$A$3:$A$62,0)),$D76/(INDEX(Simulations!$G$3:$G$62,MATCH($A76,Simulations!$A$3:$A$62,0))*INDEX(Simulations!$H$3:$H$62,MATCH($A76,Simulations!$A$3:$A$62,0))*IF(INDEX(Simulations!$I$3:$I$62,MATCH($A76,Simulations!$A$3:$A$62,0))&gt;0,INDEX(Simulations!$I$3:$I$62,MATCH($A76,Simulations!$A$3:$A$62,0)),1))*$E76*(PI()/2*INDEX(Simulations!$T$3:$T$62,MATCH($A76,Simulations!$A$3:$A$62,0))^2*IF(INDEX(Simulations!$I$3:$I$62,MATCH($A76,Simulations!$A$3:$A$62,0))&gt;0,SQRT(PI()/2)*INDEX(Simulations!$U$3:$U$62,MATCH($A76,Simulations!$A$3:$A$62,0)),1)),$D76/(INDEX(Simulations!$G$3:$G$62,MATCH($A76,Simulations!$A$3:$A$62,0))*INDEX(Simulations!$H$3:$H$62,MATCH($A76,Simulations!$A$3:$A$62,0))*IF(INDEX(Simulations!$I$3:$I$62,MATCH($A76,Simulations!$A$3:$A$62,0))&gt;0,INDEX(Simulations!$I$3:$I$62,MATCH($A76,Simulations!$A$3:$A$62,0)),1))*INDEX(Simulations!$J$3:$J$62,MATCH($A76,Simulations!$A$3:$A$62,0))*IF(INDEX(Simulations!$I$3:$I$62,MATCH($A76,Simulations!$A$3:$A$62,0))&gt;0,2*PI()*INDEX(Simulations!$T$3:$T$62,MATCH($A76,Simulations!$A$3:$A$62,0))^2*INDEX(Simulations!$U$3:$U$62,MATCH($A76,Simulations!$A$3:$A$62,0))/2^1.5*(2/3*LN($E76/INDEX(Simulations!$J$3:$J$62,MATCH($A76,Simulations!$A$3:$A$62,0)))^1.5+SQRT(LN($E76/INDEX(Simulations!$J$3:$J$62,MATCH($A76,Simulations!$A$3:$A$62,0))))+$E76/INDEX(Simulations!$J$3:$J$62,MATCH($A76,Simulations!$A$3:$A$62,0))*SQRT(PI())/2*ERFC(SQRT(LN($E76/INDEX(Simulations!$J$3:$J$62,MATCH($A76,Simulations!$A$3:$A$62,0)))))),PI()*INDEX(Simulations!$T$3:$T$62,MATCH($A76,Simulations!$A$3:$A$62,0))^2/2*(LN($E76/INDEX(Simulations!$J$3:$J$62,MATCH($A76,Simulations!$A$3:$A$62,0)))+1)))))</f>
        <v/>
      </c>
      <c r="R76" s="16" t="str">
        <f aca="false">IF(OR($A76="",ISNA(MATCH($A76,Simulations!$A$3:$A$62,0))),"",IF(N($F76)&lt;=0,0,IF($F76&lt;INDEX(Simulations!$J$3:$J$62,MATCH($A76,Simulations!$A$3:$A$62,0)),$D76/(INDEX(Simulations!$G$3:$G$62,MATCH($A76,Simulations!$A$3:$A$62,0))*INDEX(Simulations!$H$3:$H$62,MATCH($A76,Simulations!$A$3:$A$62,0))*IF(INDEX(Simulations!$I$3:$I$62,MATCH($A76,Simulations!$A$3:$A$62,0))&gt;0,INDEX(Simulations!$I$3:$I$62,MATCH($A76,Simulations!$A$3:$A$62,0)),1))*$F76*(PI()/2*INDEX(Simulations!$T$3:$T$62,MATCH($A76,Simulations!$A$3:$A$62,0))^2*IF(INDEX(Simulations!$I$3:$I$62,MATCH($A76,Simulations!$A$3:$A$62,0))&gt;0,SQRT(PI()/2)*INDEX(Simulations!$U$3:$U$62,MATCH($A76,Simulations!$A$3:$A$62,0)),1)),$D76/(INDEX(Simulations!$G$3:$G$62,MATCH($A76,Simulations!$A$3:$A$62,0))*INDEX(Simulations!$H$3:$H$62,MATCH($A76,Simulations!$A$3:$A$62,0))*IF(INDEX(Simulations!$I$3:$I$62,MATCH($A76,Simulations!$A$3:$A$62,0))&gt;0,INDEX(Simulations!$I$3:$I$62,MATCH($A76,Simulations!$A$3:$A$62,0)),1))*INDEX(Simulations!$J$3:$J$62,MATCH($A76,Simulations!$A$3:$A$62,0))*IF(INDEX(Simulations!$I$3:$I$62,MATCH($A76,Simulations!$A$3:$A$62,0))&gt;0,2*PI()*INDEX(Simulations!$T$3:$T$62,MATCH($A76,Simulations!$A$3:$A$62,0))^2*INDEX(Simulations!$U$3:$U$62,MATCH($A76,Simulations!$A$3:$A$62,0))/2^1.5*(2/3*LN($F76/INDEX(Simulations!$J$3:$J$62,MATCH($A76,Simulations!$A$3:$A$62,0)))^1.5+SQRT(LN($F76/INDEX(Simulations!$J$3:$J$62,MATCH($A76,Simulations!$A$3:$A$62,0))))+$F76/INDEX(Simulations!$J$3:$J$62,MATCH($A76,Simulations!$A$3:$A$62,0))*SQRT(PI())/2*ERFC(SQRT(LN($F76/INDEX(Simulations!$J$3:$J$62,MATCH($A76,Simulations!$A$3:$A$62,0)))))),PI()*INDEX(Simulations!$T$3:$T$62,MATCH($A76,Simulations!$A$3:$A$62,0))^2/2*(LN($F76/INDEX(Simulations!$J$3:$J$62,MATCH($A76,Simulations!$A$3:$A$62,0)))+1)))))</f>
        <v/>
      </c>
      <c r="S76" s="16" t="str">
        <f aca="false">IF(OR($A76="",ISNA(MATCH($A76,Simulations!$A$3:$A$62,0))),"",IF(N($G76)&lt;=0,0,IF($G76&lt;INDEX(Simulations!$J$3:$J$62,MATCH($A76,Simulations!$A$3:$A$62,0)),$D76/(INDEX(Simulations!$G$3:$G$62,MATCH($A76,Simulations!$A$3:$A$62,0))*INDEX(Simulations!$H$3:$H$62,MATCH($A76,Simulations!$A$3:$A$62,0))*IF(INDEX(Simulations!$I$3:$I$62,MATCH($A76,Simulations!$A$3:$A$62,0))&gt;0,INDEX(Simulations!$I$3:$I$62,MATCH($A76,Simulations!$A$3:$A$62,0)),1))*$G76*(PI()/2*INDEX(Simulations!$T$3:$T$62,MATCH($A76,Simulations!$A$3:$A$62,0))^2*IF(INDEX(Simulations!$I$3:$I$62,MATCH($A76,Simulations!$A$3:$A$62,0))&gt;0,SQRT(PI()/2)*INDEX(Simulations!$U$3:$U$62,MATCH($A76,Simulations!$A$3:$A$62,0)),1)),$D76/(INDEX(Simulations!$G$3:$G$62,MATCH($A76,Simulations!$A$3:$A$62,0))*INDEX(Simulations!$H$3:$H$62,MATCH($A76,Simulations!$A$3:$A$62,0))*IF(INDEX(Simulations!$I$3:$I$62,MATCH($A76,Simulations!$A$3:$A$62,0))&gt;0,INDEX(Simulations!$I$3:$I$62,MATCH($A76,Simulations!$A$3:$A$62,0)),1))*INDEX(Simulations!$J$3:$J$62,MATCH($A76,Simulations!$A$3:$A$62,0))*IF(INDEX(Simulations!$I$3:$I$62,MATCH($A76,Simulations!$A$3:$A$62,0))&gt;0,2*PI()*INDEX(Simulations!$T$3:$T$62,MATCH($A76,Simulations!$A$3:$A$62,0))^2*INDEX(Simulations!$U$3:$U$62,MATCH($A76,Simulations!$A$3:$A$62,0))/2^1.5*(2/3*LN($G76/INDEX(Simulations!$J$3:$J$62,MATCH($A76,Simulations!$A$3:$A$62,0)))^1.5+SQRT(LN($G76/INDEX(Simulations!$J$3:$J$62,MATCH($A76,Simulations!$A$3:$A$62,0))))+$G76/INDEX(Simulations!$J$3:$J$62,MATCH($A76,Simulations!$A$3:$A$62,0))*SQRT(PI())/2*ERFC(SQRT(LN($G76/INDEX(Simulations!$J$3:$J$62,MATCH($A76,Simulations!$A$3:$A$62,0)))))),PI()*INDEX(Simulations!$T$3:$T$62,MATCH($A76,Simulations!$A$3:$A$62,0))^2/2*(LN($G76/INDEX(Simulations!$J$3:$J$62,MATCH($A76,Simulations!$A$3:$A$62,0)))+1)))))</f>
        <v/>
      </c>
      <c r="T76" s="16" t="str">
        <f aca="false">IF(OR($A76="",ISNA(MATCH($A76,Simulations!$A$3:$A$62,0))),"",IF(N($H76)&lt;=0,0,IF($H76&lt;INDEX(Simulations!$J$3:$J$62,MATCH($A76,Simulations!$A$3:$A$62,0)),$D76/(INDEX(Simulations!$G$3:$G$62,MATCH($A76,Simulations!$A$3:$A$62,0))*INDEX(Simulations!$H$3:$H$62,MATCH($A76,Simulations!$A$3:$A$62,0))*IF(INDEX(Simulations!$I$3:$I$62,MATCH($A76,Simulations!$A$3:$A$62,0))&gt;0,INDEX(Simulations!$I$3:$I$62,MATCH($A76,Simulations!$A$3:$A$62,0)),1))*$H76*(PI()/2*INDEX(Simulations!$T$3:$T$62,MATCH($A76,Simulations!$A$3:$A$62,0))^2*IF(INDEX(Simulations!$I$3:$I$62,MATCH($A76,Simulations!$A$3:$A$62,0))&gt;0,SQRT(PI()/2)*INDEX(Simulations!$U$3:$U$62,MATCH($A76,Simulations!$A$3:$A$62,0)),1)),$D76/(INDEX(Simulations!$G$3:$G$62,MATCH($A76,Simulations!$A$3:$A$62,0))*INDEX(Simulations!$H$3:$H$62,MATCH($A76,Simulations!$A$3:$A$62,0))*IF(INDEX(Simulations!$I$3:$I$62,MATCH($A76,Simulations!$A$3:$A$62,0))&gt;0,INDEX(Simulations!$I$3:$I$62,MATCH($A76,Simulations!$A$3:$A$62,0)),1))*INDEX(Simulations!$J$3:$J$62,MATCH($A76,Simulations!$A$3:$A$62,0))*IF(INDEX(Simulations!$I$3:$I$62,MATCH($A76,Simulations!$A$3:$A$62,0))&gt;0,2*PI()*INDEX(Simulations!$T$3:$T$62,MATCH($A76,Simulations!$A$3:$A$62,0))^2*INDEX(Simulations!$U$3:$U$62,MATCH($A76,Simulations!$A$3:$A$62,0))/2^1.5*(2/3*LN($H76/INDEX(Simulations!$J$3:$J$62,MATCH($A76,Simulations!$A$3:$A$62,0)))^1.5+SQRT(LN($H76/INDEX(Simulations!$J$3:$J$62,MATCH($A76,Simulations!$A$3:$A$62,0))))+$H76/INDEX(Simulations!$J$3:$J$62,MATCH($A76,Simulations!$A$3:$A$62,0))*SQRT(PI())/2*ERFC(SQRT(LN($H76/INDEX(Simulations!$J$3:$J$62,MATCH($A76,Simulations!$A$3:$A$62,0)))))),PI()*INDEX(Simulations!$T$3:$T$62,MATCH($A76,Simulations!$A$3:$A$62,0))^2/2*(LN($H76/INDEX(Simulations!$J$3:$J$62,MATCH($A76,Simulations!$A$3:$A$62,0)))+1)))))</f>
        <v/>
      </c>
      <c r="U76" s="18" t="str">
        <f aca="false">IF(OR(OR($A76="",ISNA(MATCH($A76,Simulations!$A$3:$A$62,0))),N($C76)&lt;=0),"",SQRT(2*$C76*1000000/(INDEX(Simulations!$J$3:$J$62,MATCH($A76,Simulations!$A$3:$A$62,0))*1000))/INDEX(Simulations!$T$3:$T$62,MATCH($A76,Simulations!$A$3:$A$62,0)))</f>
        <v/>
      </c>
      <c r="V76" s="19" t="str">
        <f aca="false">IF($A76="","",IF(ISNA(MATCH($A76,Simulations!$A$3:$A$62,0)),"✖ Sim ID not found on the Simulations sheet",IF($P76&gt;=1,"✖ brightness &gt;= sampling frequency: completely saturated (D too small, c too large)",IF($P76&gt;0.1,"⚠ brightness &gt; 10% of the sampling frequency: focus starts to saturate",IF(N($U76)&gt;0.1,"⚠ diffusion step &gt; 10% of wr: raise the sampling frequency",IF(MAX($E76:$H76)=0,"⚠ no brightness set","✔ OK"))))))</f>
        <v/>
      </c>
    </row>
    <row r="77" customFormat="false" ht="15" hidden="false" customHeight="false" outlineLevel="0" collapsed="false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4"/>
      <c r="O77" s="18" t="str">
        <f aca="false">IF(OR($A77="",ISNA(MATCH($A77,Simulations!$A$3:$A$62,0))),"",IF(INDEX(Simulations!$I$3:$I$62,MATCH($A77,Simulations!$A$3:$A$62,0))&gt;0,$D77/(INDEX(Simulations!$G$3:$G$62,MATCH($A77,Simulations!$A$3:$A$62,0))*INDEX(Simulations!$H$3:$H$62,MATCH($A77,Simulations!$A$3:$A$62,0))*IF(INDEX(Simulations!$I$3:$I$62,MATCH($A77,Simulations!$A$3:$A$62,0))&gt;0,INDEX(Simulations!$I$3:$I$62,MATCH($A77,Simulations!$A$3:$A$62,0)),1))/1E-024/6.022E+023/0.000000001,""))</f>
        <v/>
      </c>
      <c r="P77" s="20" t="str">
        <f aca="false">IF(OR($A77="",ISNA(MATCH($A77,Simulations!$A$3:$A$62,0))),"",MAX($E77:$H77)/INDEX(Simulations!$J$3:$J$62,MATCH($A77,Simulations!$A$3:$A$62,0)))</f>
        <v/>
      </c>
      <c r="Q77" s="16" t="str">
        <f aca="false">IF(OR($A77="",ISNA(MATCH($A77,Simulations!$A$3:$A$62,0))),"",IF(N($E77)&lt;=0,0,IF($E77&lt;INDEX(Simulations!$J$3:$J$62,MATCH($A77,Simulations!$A$3:$A$62,0)),$D77/(INDEX(Simulations!$G$3:$G$62,MATCH($A77,Simulations!$A$3:$A$62,0))*INDEX(Simulations!$H$3:$H$62,MATCH($A77,Simulations!$A$3:$A$62,0))*IF(INDEX(Simulations!$I$3:$I$62,MATCH($A77,Simulations!$A$3:$A$62,0))&gt;0,INDEX(Simulations!$I$3:$I$62,MATCH($A77,Simulations!$A$3:$A$62,0)),1))*$E77*(PI()/2*INDEX(Simulations!$T$3:$T$62,MATCH($A77,Simulations!$A$3:$A$62,0))^2*IF(INDEX(Simulations!$I$3:$I$62,MATCH($A77,Simulations!$A$3:$A$62,0))&gt;0,SQRT(PI()/2)*INDEX(Simulations!$U$3:$U$62,MATCH($A77,Simulations!$A$3:$A$62,0)),1)),$D77/(INDEX(Simulations!$G$3:$G$62,MATCH($A77,Simulations!$A$3:$A$62,0))*INDEX(Simulations!$H$3:$H$62,MATCH($A77,Simulations!$A$3:$A$62,0))*IF(INDEX(Simulations!$I$3:$I$62,MATCH($A77,Simulations!$A$3:$A$62,0))&gt;0,INDEX(Simulations!$I$3:$I$62,MATCH($A77,Simulations!$A$3:$A$62,0)),1))*INDEX(Simulations!$J$3:$J$62,MATCH($A77,Simulations!$A$3:$A$62,0))*IF(INDEX(Simulations!$I$3:$I$62,MATCH($A77,Simulations!$A$3:$A$62,0))&gt;0,2*PI()*INDEX(Simulations!$T$3:$T$62,MATCH($A77,Simulations!$A$3:$A$62,0))^2*INDEX(Simulations!$U$3:$U$62,MATCH($A77,Simulations!$A$3:$A$62,0))/2^1.5*(2/3*LN($E77/INDEX(Simulations!$J$3:$J$62,MATCH($A77,Simulations!$A$3:$A$62,0)))^1.5+SQRT(LN($E77/INDEX(Simulations!$J$3:$J$62,MATCH($A77,Simulations!$A$3:$A$62,0))))+$E77/INDEX(Simulations!$J$3:$J$62,MATCH($A77,Simulations!$A$3:$A$62,0))*SQRT(PI())/2*ERFC(SQRT(LN($E77/INDEX(Simulations!$J$3:$J$62,MATCH($A77,Simulations!$A$3:$A$62,0)))))),PI()*INDEX(Simulations!$T$3:$T$62,MATCH($A77,Simulations!$A$3:$A$62,0))^2/2*(LN($E77/INDEX(Simulations!$J$3:$J$62,MATCH($A77,Simulations!$A$3:$A$62,0)))+1)))))</f>
        <v/>
      </c>
      <c r="R77" s="16" t="str">
        <f aca="false">IF(OR($A77="",ISNA(MATCH($A77,Simulations!$A$3:$A$62,0))),"",IF(N($F77)&lt;=0,0,IF($F77&lt;INDEX(Simulations!$J$3:$J$62,MATCH($A77,Simulations!$A$3:$A$62,0)),$D77/(INDEX(Simulations!$G$3:$G$62,MATCH($A77,Simulations!$A$3:$A$62,0))*INDEX(Simulations!$H$3:$H$62,MATCH($A77,Simulations!$A$3:$A$62,0))*IF(INDEX(Simulations!$I$3:$I$62,MATCH($A77,Simulations!$A$3:$A$62,0))&gt;0,INDEX(Simulations!$I$3:$I$62,MATCH($A77,Simulations!$A$3:$A$62,0)),1))*$F77*(PI()/2*INDEX(Simulations!$T$3:$T$62,MATCH($A77,Simulations!$A$3:$A$62,0))^2*IF(INDEX(Simulations!$I$3:$I$62,MATCH($A77,Simulations!$A$3:$A$62,0))&gt;0,SQRT(PI()/2)*INDEX(Simulations!$U$3:$U$62,MATCH($A77,Simulations!$A$3:$A$62,0)),1)),$D77/(INDEX(Simulations!$G$3:$G$62,MATCH($A77,Simulations!$A$3:$A$62,0))*INDEX(Simulations!$H$3:$H$62,MATCH($A77,Simulations!$A$3:$A$62,0))*IF(INDEX(Simulations!$I$3:$I$62,MATCH($A77,Simulations!$A$3:$A$62,0))&gt;0,INDEX(Simulations!$I$3:$I$62,MATCH($A77,Simulations!$A$3:$A$62,0)),1))*INDEX(Simulations!$J$3:$J$62,MATCH($A77,Simulations!$A$3:$A$62,0))*IF(INDEX(Simulations!$I$3:$I$62,MATCH($A77,Simulations!$A$3:$A$62,0))&gt;0,2*PI()*INDEX(Simulations!$T$3:$T$62,MATCH($A77,Simulations!$A$3:$A$62,0))^2*INDEX(Simulations!$U$3:$U$62,MATCH($A77,Simulations!$A$3:$A$62,0))/2^1.5*(2/3*LN($F77/INDEX(Simulations!$J$3:$J$62,MATCH($A77,Simulations!$A$3:$A$62,0)))^1.5+SQRT(LN($F77/INDEX(Simulations!$J$3:$J$62,MATCH($A77,Simulations!$A$3:$A$62,0))))+$F77/INDEX(Simulations!$J$3:$J$62,MATCH($A77,Simulations!$A$3:$A$62,0))*SQRT(PI())/2*ERFC(SQRT(LN($F77/INDEX(Simulations!$J$3:$J$62,MATCH($A77,Simulations!$A$3:$A$62,0)))))),PI()*INDEX(Simulations!$T$3:$T$62,MATCH($A77,Simulations!$A$3:$A$62,0))^2/2*(LN($F77/INDEX(Simulations!$J$3:$J$62,MATCH($A77,Simulations!$A$3:$A$62,0)))+1)))))</f>
        <v/>
      </c>
      <c r="S77" s="16" t="str">
        <f aca="false">IF(OR($A77="",ISNA(MATCH($A77,Simulations!$A$3:$A$62,0))),"",IF(N($G77)&lt;=0,0,IF($G77&lt;INDEX(Simulations!$J$3:$J$62,MATCH($A77,Simulations!$A$3:$A$62,0)),$D77/(INDEX(Simulations!$G$3:$G$62,MATCH($A77,Simulations!$A$3:$A$62,0))*INDEX(Simulations!$H$3:$H$62,MATCH($A77,Simulations!$A$3:$A$62,0))*IF(INDEX(Simulations!$I$3:$I$62,MATCH($A77,Simulations!$A$3:$A$62,0))&gt;0,INDEX(Simulations!$I$3:$I$62,MATCH($A77,Simulations!$A$3:$A$62,0)),1))*$G77*(PI()/2*INDEX(Simulations!$T$3:$T$62,MATCH($A77,Simulations!$A$3:$A$62,0))^2*IF(INDEX(Simulations!$I$3:$I$62,MATCH($A77,Simulations!$A$3:$A$62,0))&gt;0,SQRT(PI()/2)*INDEX(Simulations!$U$3:$U$62,MATCH($A77,Simulations!$A$3:$A$62,0)),1)),$D77/(INDEX(Simulations!$G$3:$G$62,MATCH($A77,Simulations!$A$3:$A$62,0))*INDEX(Simulations!$H$3:$H$62,MATCH($A77,Simulations!$A$3:$A$62,0))*IF(INDEX(Simulations!$I$3:$I$62,MATCH($A77,Simulations!$A$3:$A$62,0))&gt;0,INDEX(Simulations!$I$3:$I$62,MATCH($A77,Simulations!$A$3:$A$62,0)),1))*INDEX(Simulations!$J$3:$J$62,MATCH($A77,Simulations!$A$3:$A$62,0))*IF(INDEX(Simulations!$I$3:$I$62,MATCH($A77,Simulations!$A$3:$A$62,0))&gt;0,2*PI()*INDEX(Simulations!$T$3:$T$62,MATCH($A77,Simulations!$A$3:$A$62,0))^2*INDEX(Simulations!$U$3:$U$62,MATCH($A77,Simulations!$A$3:$A$62,0))/2^1.5*(2/3*LN($G77/INDEX(Simulations!$J$3:$J$62,MATCH($A77,Simulations!$A$3:$A$62,0)))^1.5+SQRT(LN($G77/INDEX(Simulations!$J$3:$J$62,MATCH($A77,Simulations!$A$3:$A$62,0))))+$G77/INDEX(Simulations!$J$3:$J$62,MATCH($A77,Simulations!$A$3:$A$62,0))*SQRT(PI())/2*ERFC(SQRT(LN($G77/INDEX(Simulations!$J$3:$J$62,MATCH($A77,Simulations!$A$3:$A$62,0)))))),PI()*INDEX(Simulations!$T$3:$T$62,MATCH($A77,Simulations!$A$3:$A$62,0))^2/2*(LN($G77/INDEX(Simulations!$J$3:$J$62,MATCH($A77,Simulations!$A$3:$A$62,0)))+1)))))</f>
        <v/>
      </c>
      <c r="T77" s="16" t="str">
        <f aca="false">IF(OR($A77="",ISNA(MATCH($A77,Simulations!$A$3:$A$62,0))),"",IF(N($H77)&lt;=0,0,IF($H77&lt;INDEX(Simulations!$J$3:$J$62,MATCH($A77,Simulations!$A$3:$A$62,0)),$D77/(INDEX(Simulations!$G$3:$G$62,MATCH($A77,Simulations!$A$3:$A$62,0))*INDEX(Simulations!$H$3:$H$62,MATCH($A77,Simulations!$A$3:$A$62,0))*IF(INDEX(Simulations!$I$3:$I$62,MATCH($A77,Simulations!$A$3:$A$62,0))&gt;0,INDEX(Simulations!$I$3:$I$62,MATCH($A77,Simulations!$A$3:$A$62,0)),1))*$H77*(PI()/2*INDEX(Simulations!$T$3:$T$62,MATCH($A77,Simulations!$A$3:$A$62,0))^2*IF(INDEX(Simulations!$I$3:$I$62,MATCH($A77,Simulations!$A$3:$A$62,0))&gt;0,SQRT(PI()/2)*INDEX(Simulations!$U$3:$U$62,MATCH($A77,Simulations!$A$3:$A$62,0)),1)),$D77/(INDEX(Simulations!$G$3:$G$62,MATCH($A77,Simulations!$A$3:$A$62,0))*INDEX(Simulations!$H$3:$H$62,MATCH($A77,Simulations!$A$3:$A$62,0))*IF(INDEX(Simulations!$I$3:$I$62,MATCH($A77,Simulations!$A$3:$A$62,0))&gt;0,INDEX(Simulations!$I$3:$I$62,MATCH($A77,Simulations!$A$3:$A$62,0)),1))*INDEX(Simulations!$J$3:$J$62,MATCH($A77,Simulations!$A$3:$A$62,0))*IF(INDEX(Simulations!$I$3:$I$62,MATCH($A77,Simulations!$A$3:$A$62,0))&gt;0,2*PI()*INDEX(Simulations!$T$3:$T$62,MATCH($A77,Simulations!$A$3:$A$62,0))^2*INDEX(Simulations!$U$3:$U$62,MATCH($A77,Simulations!$A$3:$A$62,0))/2^1.5*(2/3*LN($H77/INDEX(Simulations!$J$3:$J$62,MATCH($A77,Simulations!$A$3:$A$62,0)))^1.5+SQRT(LN($H77/INDEX(Simulations!$J$3:$J$62,MATCH($A77,Simulations!$A$3:$A$62,0))))+$H77/INDEX(Simulations!$J$3:$J$62,MATCH($A77,Simulations!$A$3:$A$62,0))*SQRT(PI())/2*ERFC(SQRT(LN($H77/INDEX(Simulations!$J$3:$J$62,MATCH($A77,Simulations!$A$3:$A$62,0)))))),PI()*INDEX(Simulations!$T$3:$T$62,MATCH($A77,Simulations!$A$3:$A$62,0))^2/2*(LN($H77/INDEX(Simulations!$J$3:$J$62,MATCH($A77,Simulations!$A$3:$A$62,0)))+1)))))</f>
        <v/>
      </c>
      <c r="U77" s="18" t="str">
        <f aca="false">IF(OR(OR($A77="",ISNA(MATCH($A77,Simulations!$A$3:$A$62,0))),N($C77)&lt;=0),"",SQRT(2*$C77*1000000/(INDEX(Simulations!$J$3:$J$62,MATCH($A77,Simulations!$A$3:$A$62,0))*1000))/INDEX(Simulations!$T$3:$T$62,MATCH($A77,Simulations!$A$3:$A$62,0)))</f>
        <v/>
      </c>
      <c r="V77" s="19" t="str">
        <f aca="false">IF($A77="","",IF(ISNA(MATCH($A77,Simulations!$A$3:$A$62,0)),"✖ Sim ID not found on the Simulations sheet",IF($P77&gt;=1,"✖ brightness &gt;= sampling frequency: completely saturated (D too small, c too large)",IF($P77&gt;0.1,"⚠ brightness &gt; 10% of the sampling frequency: focus starts to saturate",IF(N($U77)&gt;0.1,"⚠ diffusion step &gt; 10% of wr: raise the sampling frequency",IF(MAX($E77:$H77)=0,"⚠ no brightness set","✔ OK"))))))</f>
        <v/>
      </c>
    </row>
    <row r="78" customFormat="false" ht="15" hidden="false" customHeight="false" outlineLevel="0" collapsed="false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4"/>
      <c r="O78" s="18" t="str">
        <f aca="false">IF(OR($A78="",ISNA(MATCH($A78,Simulations!$A$3:$A$62,0))),"",IF(INDEX(Simulations!$I$3:$I$62,MATCH($A78,Simulations!$A$3:$A$62,0))&gt;0,$D78/(INDEX(Simulations!$G$3:$G$62,MATCH($A78,Simulations!$A$3:$A$62,0))*INDEX(Simulations!$H$3:$H$62,MATCH($A78,Simulations!$A$3:$A$62,0))*IF(INDEX(Simulations!$I$3:$I$62,MATCH($A78,Simulations!$A$3:$A$62,0))&gt;0,INDEX(Simulations!$I$3:$I$62,MATCH($A78,Simulations!$A$3:$A$62,0)),1))/1E-024/6.022E+023/0.000000001,""))</f>
        <v/>
      </c>
      <c r="P78" s="20" t="str">
        <f aca="false">IF(OR($A78="",ISNA(MATCH($A78,Simulations!$A$3:$A$62,0))),"",MAX($E78:$H78)/INDEX(Simulations!$J$3:$J$62,MATCH($A78,Simulations!$A$3:$A$62,0)))</f>
        <v/>
      </c>
      <c r="Q78" s="16" t="str">
        <f aca="false">IF(OR($A78="",ISNA(MATCH($A78,Simulations!$A$3:$A$62,0))),"",IF(N($E78)&lt;=0,0,IF($E78&lt;INDEX(Simulations!$J$3:$J$62,MATCH($A78,Simulations!$A$3:$A$62,0)),$D78/(INDEX(Simulations!$G$3:$G$62,MATCH($A78,Simulations!$A$3:$A$62,0))*INDEX(Simulations!$H$3:$H$62,MATCH($A78,Simulations!$A$3:$A$62,0))*IF(INDEX(Simulations!$I$3:$I$62,MATCH($A78,Simulations!$A$3:$A$62,0))&gt;0,INDEX(Simulations!$I$3:$I$62,MATCH($A78,Simulations!$A$3:$A$62,0)),1))*$E78*(PI()/2*INDEX(Simulations!$T$3:$T$62,MATCH($A78,Simulations!$A$3:$A$62,0))^2*IF(INDEX(Simulations!$I$3:$I$62,MATCH($A78,Simulations!$A$3:$A$62,0))&gt;0,SQRT(PI()/2)*INDEX(Simulations!$U$3:$U$62,MATCH($A78,Simulations!$A$3:$A$62,0)),1)),$D78/(INDEX(Simulations!$G$3:$G$62,MATCH($A78,Simulations!$A$3:$A$62,0))*INDEX(Simulations!$H$3:$H$62,MATCH($A78,Simulations!$A$3:$A$62,0))*IF(INDEX(Simulations!$I$3:$I$62,MATCH($A78,Simulations!$A$3:$A$62,0))&gt;0,INDEX(Simulations!$I$3:$I$62,MATCH($A78,Simulations!$A$3:$A$62,0)),1))*INDEX(Simulations!$J$3:$J$62,MATCH($A78,Simulations!$A$3:$A$62,0))*IF(INDEX(Simulations!$I$3:$I$62,MATCH($A78,Simulations!$A$3:$A$62,0))&gt;0,2*PI()*INDEX(Simulations!$T$3:$T$62,MATCH($A78,Simulations!$A$3:$A$62,0))^2*INDEX(Simulations!$U$3:$U$62,MATCH($A78,Simulations!$A$3:$A$62,0))/2^1.5*(2/3*LN($E78/INDEX(Simulations!$J$3:$J$62,MATCH($A78,Simulations!$A$3:$A$62,0)))^1.5+SQRT(LN($E78/INDEX(Simulations!$J$3:$J$62,MATCH($A78,Simulations!$A$3:$A$62,0))))+$E78/INDEX(Simulations!$J$3:$J$62,MATCH($A78,Simulations!$A$3:$A$62,0))*SQRT(PI())/2*ERFC(SQRT(LN($E78/INDEX(Simulations!$J$3:$J$62,MATCH($A78,Simulations!$A$3:$A$62,0)))))),PI()*INDEX(Simulations!$T$3:$T$62,MATCH($A78,Simulations!$A$3:$A$62,0))^2/2*(LN($E78/INDEX(Simulations!$J$3:$J$62,MATCH($A78,Simulations!$A$3:$A$62,0)))+1)))))</f>
        <v/>
      </c>
      <c r="R78" s="16" t="str">
        <f aca="false">IF(OR($A78="",ISNA(MATCH($A78,Simulations!$A$3:$A$62,0))),"",IF(N($F78)&lt;=0,0,IF($F78&lt;INDEX(Simulations!$J$3:$J$62,MATCH($A78,Simulations!$A$3:$A$62,0)),$D78/(INDEX(Simulations!$G$3:$G$62,MATCH($A78,Simulations!$A$3:$A$62,0))*INDEX(Simulations!$H$3:$H$62,MATCH($A78,Simulations!$A$3:$A$62,0))*IF(INDEX(Simulations!$I$3:$I$62,MATCH($A78,Simulations!$A$3:$A$62,0))&gt;0,INDEX(Simulations!$I$3:$I$62,MATCH($A78,Simulations!$A$3:$A$62,0)),1))*$F78*(PI()/2*INDEX(Simulations!$T$3:$T$62,MATCH($A78,Simulations!$A$3:$A$62,0))^2*IF(INDEX(Simulations!$I$3:$I$62,MATCH($A78,Simulations!$A$3:$A$62,0))&gt;0,SQRT(PI()/2)*INDEX(Simulations!$U$3:$U$62,MATCH($A78,Simulations!$A$3:$A$62,0)),1)),$D78/(INDEX(Simulations!$G$3:$G$62,MATCH($A78,Simulations!$A$3:$A$62,0))*INDEX(Simulations!$H$3:$H$62,MATCH($A78,Simulations!$A$3:$A$62,0))*IF(INDEX(Simulations!$I$3:$I$62,MATCH($A78,Simulations!$A$3:$A$62,0))&gt;0,INDEX(Simulations!$I$3:$I$62,MATCH($A78,Simulations!$A$3:$A$62,0)),1))*INDEX(Simulations!$J$3:$J$62,MATCH($A78,Simulations!$A$3:$A$62,0))*IF(INDEX(Simulations!$I$3:$I$62,MATCH($A78,Simulations!$A$3:$A$62,0))&gt;0,2*PI()*INDEX(Simulations!$T$3:$T$62,MATCH($A78,Simulations!$A$3:$A$62,0))^2*INDEX(Simulations!$U$3:$U$62,MATCH($A78,Simulations!$A$3:$A$62,0))/2^1.5*(2/3*LN($F78/INDEX(Simulations!$J$3:$J$62,MATCH($A78,Simulations!$A$3:$A$62,0)))^1.5+SQRT(LN($F78/INDEX(Simulations!$J$3:$J$62,MATCH($A78,Simulations!$A$3:$A$62,0))))+$F78/INDEX(Simulations!$J$3:$J$62,MATCH($A78,Simulations!$A$3:$A$62,0))*SQRT(PI())/2*ERFC(SQRT(LN($F78/INDEX(Simulations!$J$3:$J$62,MATCH($A78,Simulations!$A$3:$A$62,0)))))),PI()*INDEX(Simulations!$T$3:$T$62,MATCH($A78,Simulations!$A$3:$A$62,0))^2/2*(LN($F78/INDEX(Simulations!$J$3:$J$62,MATCH($A78,Simulations!$A$3:$A$62,0)))+1)))))</f>
        <v/>
      </c>
      <c r="S78" s="16" t="str">
        <f aca="false">IF(OR($A78="",ISNA(MATCH($A78,Simulations!$A$3:$A$62,0))),"",IF(N($G78)&lt;=0,0,IF($G78&lt;INDEX(Simulations!$J$3:$J$62,MATCH($A78,Simulations!$A$3:$A$62,0)),$D78/(INDEX(Simulations!$G$3:$G$62,MATCH($A78,Simulations!$A$3:$A$62,0))*INDEX(Simulations!$H$3:$H$62,MATCH($A78,Simulations!$A$3:$A$62,0))*IF(INDEX(Simulations!$I$3:$I$62,MATCH($A78,Simulations!$A$3:$A$62,0))&gt;0,INDEX(Simulations!$I$3:$I$62,MATCH($A78,Simulations!$A$3:$A$62,0)),1))*$G78*(PI()/2*INDEX(Simulations!$T$3:$T$62,MATCH($A78,Simulations!$A$3:$A$62,0))^2*IF(INDEX(Simulations!$I$3:$I$62,MATCH($A78,Simulations!$A$3:$A$62,0))&gt;0,SQRT(PI()/2)*INDEX(Simulations!$U$3:$U$62,MATCH($A78,Simulations!$A$3:$A$62,0)),1)),$D78/(INDEX(Simulations!$G$3:$G$62,MATCH($A78,Simulations!$A$3:$A$62,0))*INDEX(Simulations!$H$3:$H$62,MATCH($A78,Simulations!$A$3:$A$62,0))*IF(INDEX(Simulations!$I$3:$I$62,MATCH($A78,Simulations!$A$3:$A$62,0))&gt;0,INDEX(Simulations!$I$3:$I$62,MATCH($A78,Simulations!$A$3:$A$62,0)),1))*INDEX(Simulations!$J$3:$J$62,MATCH($A78,Simulations!$A$3:$A$62,0))*IF(INDEX(Simulations!$I$3:$I$62,MATCH($A78,Simulations!$A$3:$A$62,0))&gt;0,2*PI()*INDEX(Simulations!$T$3:$T$62,MATCH($A78,Simulations!$A$3:$A$62,0))^2*INDEX(Simulations!$U$3:$U$62,MATCH($A78,Simulations!$A$3:$A$62,0))/2^1.5*(2/3*LN($G78/INDEX(Simulations!$J$3:$J$62,MATCH($A78,Simulations!$A$3:$A$62,0)))^1.5+SQRT(LN($G78/INDEX(Simulations!$J$3:$J$62,MATCH($A78,Simulations!$A$3:$A$62,0))))+$G78/INDEX(Simulations!$J$3:$J$62,MATCH($A78,Simulations!$A$3:$A$62,0))*SQRT(PI())/2*ERFC(SQRT(LN($G78/INDEX(Simulations!$J$3:$J$62,MATCH($A78,Simulations!$A$3:$A$62,0)))))),PI()*INDEX(Simulations!$T$3:$T$62,MATCH($A78,Simulations!$A$3:$A$62,0))^2/2*(LN($G78/INDEX(Simulations!$J$3:$J$62,MATCH($A78,Simulations!$A$3:$A$62,0)))+1)))))</f>
        <v/>
      </c>
      <c r="T78" s="16" t="str">
        <f aca="false">IF(OR($A78="",ISNA(MATCH($A78,Simulations!$A$3:$A$62,0))),"",IF(N($H78)&lt;=0,0,IF($H78&lt;INDEX(Simulations!$J$3:$J$62,MATCH($A78,Simulations!$A$3:$A$62,0)),$D78/(INDEX(Simulations!$G$3:$G$62,MATCH($A78,Simulations!$A$3:$A$62,0))*INDEX(Simulations!$H$3:$H$62,MATCH($A78,Simulations!$A$3:$A$62,0))*IF(INDEX(Simulations!$I$3:$I$62,MATCH($A78,Simulations!$A$3:$A$62,0))&gt;0,INDEX(Simulations!$I$3:$I$62,MATCH($A78,Simulations!$A$3:$A$62,0)),1))*$H78*(PI()/2*INDEX(Simulations!$T$3:$T$62,MATCH($A78,Simulations!$A$3:$A$62,0))^2*IF(INDEX(Simulations!$I$3:$I$62,MATCH($A78,Simulations!$A$3:$A$62,0))&gt;0,SQRT(PI()/2)*INDEX(Simulations!$U$3:$U$62,MATCH($A78,Simulations!$A$3:$A$62,0)),1)),$D78/(INDEX(Simulations!$G$3:$G$62,MATCH($A78,Simulations!$A$3:$A$62,0))*INDEX(Simulations!$H$3:$H$62,MATCH($A78,Simulations!$A$3:$A$62,0))*IF(INDEX(Simulations!$I$3:$I$62,MATCH($A78,Simulations!$A$3:$A$62,0))&gt;0,INDEX(Simulations!$I$3:$I$62,MATCH($A78,Simulations!$A$3:$A$62,0)),1))*INDEX(Simulations!$J$3:$J$62,MATCH($A78,Simulations!$A$3:$A$62,0))*IF(INDEX(Simulations!$I$3:$I$62,MATCH($A78,Simulations!$A$3:$A$62,0))&gt;0,2*PI()*INDEX(Simulations!$T$3:$T$62,MATCH($A78,Simulations!$A$3:$A$62,0))^2*INDEX(Simulations!$U$3:$U$62,MATCH($A78,Simulations!$A$3:$A$62,0))/2^1.5*(2/3*LN($H78/INDEX(Simulations!$J$3:$J$62,MATCH($A78,Simulations!$A$3:$A$62,0)))^1.5+SQRT(LN($H78/INDEX(Simulations!$J$3:$J$62,MATCH($A78,Simulations!$A$3:$A$62,0))))+$H78/INDEX(Simulations!$J$3:$J$62,MATCH($A78,Simulations!$A$3:$A$62,0))*SQRT(PI())/2*ERFC(SQRT(LN($H78/INDEX(Simulations!$J$3:$J$62,MATCH($A78,Simulations!$A$3:$A$62,0)))))),PI()*INDEX(Simulations!$T$3:$T$62,MATCH($A78,Simulations!$A$3:$A$62,0))^2/2*(LN($H78/INDEX(Simulations!$J$3:$J$62,MATCH($A78,Simulations!$A$3:$A$62,0)))+1)))))</f>
        <v/>
      </c>
      <c r="U78" s="18" t="str">
        <f aca="false">IF(OR(OR($A78="",ISNA(MATCH($A78,Simulations!$A$3:$A$62,0))),N($C78)&lt;=0),"",SQRT(2*$C78*1000000/(INDEX(Simulations!$J$3:$J$62,MATCH($A78,Simulations!$A$3:$A$62,0))*1000))/INDEX(Simulations!$T$3:$T$62,MATCH($A78,Simulations!$A$3:$A$62,0)))</f>
        <v/>
      </c>
      <c r="V78" s="19" t="str">
        <f aca="false">IF($A78="","",IF(ISNA(MATCH($A78,Simulations!$A$3:$A$62,0)),"✖ Sim ID not found on the Simulations sheet",IF($P78&gt;=1,"✖ brightness &gt;= sampling frequency: completely saturated (D too small, c too large)",IF($P78&gt;0.1,"⚠ brightness &gt; 10% of the sampling frequency: focus starts to saturate",IF(N($U78)&gt;0.1,"⚠ diffusion step &gt; 10% of wr: raise the sampling frequency",IF(MAX($E78:$H78)=0,"⚠ no brightness set","✔ OK"))))))</f>
        <v/>
      </c>
    </row>
    <row r="79" customFormat="false" ht="15" hidden="false" customHeight="false" outlineLevel="0" collapsed="false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4"/>
      <c r="O79" s="18" t="str">
        <f aca="false">IF(OR($A79="",ISNA(MATCH($A79,Simulations!$A$3:$A$62,0))),"",IF(INDEX(Simulations!$I$3:$I$62,MATCH($A79,Simulations!$A$3:$A$62,0))&gt;0,$D79/(INDEX(Simulations!$G$3:$G$62,MATCH($A79,Simulations!$A$3:$A$62,0))*INDEX(Simulations!$H$3:$H$62,MATCH($A79,Simulations!$A$3:$A$62,0))*IF(INDEX(Simulations!$I$3:$I$62,MATCH($A79,Simulations!$A$3:$A$62,0))&gt;0,INDEX(Simulations!$I$3:$I$62,MATCH($A79,Simulations!$A$3:$A$62,0)),1))/1E-024/6.022E+023/0.000000001,""))</f>
        <v/>
      </c>
      <c r="P79" s="20" t="str">
        <f aca="false">IF(OR($A79="",ISNA(MATCH($A79,Simulations!$A$3:$A$62,0))),"",MAX($E79:$H79)/INDEX(Simulations!$J$3:$J$62,MATCH($A79,Simulations!$A$3:$A$62,0)))</f>
        <v/>
      </c>
      <c r="Q79" s="16" t="str">
        <f aca="false">IF(OR($A79="",ISNA(MATCH($A79,Simulations!$A$3:$A$62,0))),"",IF(N($E79)&lt;=0,0,IF($E79&lt;INDEX(Simulations!$J$3:$J$62,MATCH($A79,Simulations!$A$3:$A$62,0)),$D79/(INDEX(Simulations!$G$3:$G$62,MATCH($A79,Simulations!$A$3:$A$62,0))*INDEX(Simulations!$H$3:$H$62,MATCH($A79,Simulations!$A$3:$A$62,0))*IF(INDEX(Simulations!$I$3:$I$62,MATCH($A79,Simulations!$A$3:$A$62,0))&gt;0,INDEX(Simulations!$I$3:$I$62,MATCH($A79,Simulations!$A$3:$A$62,0)),1))*$E79*(PI()/2*INDEX(Simulations!$T$3:$T$62,MATCH($A79,Simulations!$A$3:$A$62,0))^2*IF(INDEX(Simulations!$I$3:$I$62,MATCH($A79,Simulations!$A$3:$A$62,0))&gt;0,SQRT(PI()/2)*INDEX(Simulations!$U$3:$U$62,MATCH($A79,Simulations!$A$3:$A$62,0)),1)),$D79/(INDEX(Simulations!$G$3:$G$62,MATCH($A79,Simulations!$A$3:$A$62,0))*INDEX(Simulations!$H$3:$H$62,MATCH($A79,Simulations!$A$3:$A$62,0))*IF(INDEX(Simulations!$I$3:$I$62,MATCH($A79,Simulations!$A$3:$A$62,0))&gt;0,INDEX(Simulations!$I$3:$I$62,MATCH($A79,Simulations!$A$3:$A$62,0)),1))*INDEX(Simulations!$J$3:$J$62,MATCH($A79,Simulations!$A$3:$A$62,0))*IF(INDEX(Simulations!$I$3:$I$62,MATCH($A79,Simulations!$A$3:$A$62,0))&gt;0,2*PI()*INDEX(Simulations!$T$3:$T$62,MATCH($A79,Simulations!$A$3:$A$62,0))^2*INDEX(Simulations!$U$3:$U$62,MATCH($A79,Simulations!$A$3:$A$62,0))/2^1.5*(2/3*LN($E79/INDEX(Simulations!$J$3:$J$62,MATCH($A79,Simulations!$A$3:$A$62,0)))^1.5+SQRT(LN($E79/INDEX(Simulations!$J$3:$J$62,MATCH($A79,Simulations!$A$3:$A$62,0))))+$E79/INDEX(Simulations!$J$3:$J$62,MATCH($A79,Simulations!$A$3:$A$62,0))*SQRT(PI())/2*ERFC(SQRT(LN($E79/INDEX(Simulations!$J$3:$J$62,MATCH($A79,Simulations!$A$3:$A$62,0)))))),PI()*INDEX(Simulations!$T$3:$T$62,MATCH($A79,Simulations!$A$3:$A$62,0))^2/2*(LN($E79/INDEX(Simulations!$J$3:$J$62,MATCH($A79,Simulations!$A$3:$A$62,0)))+1)))))</f>
        <v/>
      </c>
      <c r="R79" s="16" t="str">
        <f aca="false">IF(OR($A79="",ISNA(MATCH($A79,Simulations!$A$3:$A$62,0))),"",IF(N($F79)&lt;=0,0,IF($F79&lt;INDEX(Simulations!$J$3:$J$62,MATCH($A79,Simulations!$A$3:$A$62,0)),$D79/(INDEX(Simulations!$G$3:$G$62,MATCH($A79,Simulations!$A$3:$A$62,0))*INDEX(Simulations!$H$3:$H$62,MATCH($A79,Simulations!$A$3:$A$62,0))*IF(INDEX(Simulations!$I$3:$I$62,MATCH($A79,Simulations!$A$3:$A$62,0))&gt;0,INDEX(Simulations!$I$3:$I$62,MATCH($A79,Simulations!$A$3:$A$62,0)),1))*$F79*(PI()/2*INDEX(Simulations!$T$3:$T$62,MATCH($A79,Simulations!$A$3:$A$62,0))^2*IF(INDEX(Simulations!$I$3:$I$62,MATCH($A79,Simulations!$A$3:$A$62,0))&gt;0,SQRT(PI()/2)*INDEX(Simulations!$U$3:$U$62,MATCH($A79,Simulations!$A$3:$A$62,0)),1)),$D79/(INDEX(Simulations!$G$3:$G$62,MATCH($A79,Simulations!$A$3:$A$62,0))*INDEX(Simulations!$H$3:$H$62,MATCH($A79,Simulations!$A$3:$A$62,0))*IF(INDEX(Simulations!$I$3:$I$62,MATCH($A79,Simulations!$A$3:$A$62,0))&gt;0,INDEX(Simulations!$I$3:$I$62,MATCH($A79,Simulations!$A$3:$A$62,0)),1))*INDEX(Simulations!$J$3:$J$62,MATCH($A79,Simulations!$A$3:$A$62,0))*IF(INDEX(Simulations!$I$3:$I$62,MATCH($A79,Simulations!$A$3:$A$62,0))&gt;0,2*PI()*INDEX(Simulations!$T$3:$T$62,MATCH($A79,Simulations!$A$3:$A$62,0))^2*INDEX(Simulations!$U$3:$U$62,MATCH($A79,Simulations!$A$3:$A$62,0))/2^1.5*(2/3*LN($F79/INDEX(Simulations!$J$3:$J$62,MATCH($A79,Simulations!$A$3:$A$62,0)))^1.5+SQRT(LN($F79/INDEX(Simulations!$J$3:$J$62,MATCH($A79,Simulations!$A$3:$A$62,0))))+$F79/INDEX(Simulations!$J$3:$J$62,MATCH($A79,Simulations!$A$3:$A$62,0))*SQRT(PI())/2*ERFC(SQRT(LN($F79/INDEX(Simulations!$J$3:$J$62,MATCH($A79,Simulations!$A$3:$A$62,0)))))),PI()*INDEX(Simulations!$T$3:$T$62,MATCH($A79,Simulations!$A$3:$A$62,0))^2/2*(LN($F79/INDEX(Simulations!$J$3:$J$62,MATCH($A79,Simulations!$A$3:$A$62,0)))+1)))))</f>
        <v/>
      </c>
      <c r="S79" s="16" t="str">
        <f aca="false">IF(OR($A79="",ISNA(MATCH($A79,Simulations!$A$3:$A$62,0))),"",IF(N($G79)&lt;=0,0,IF($G79&lt;INDEX(Simulations!$J$3:$J$62,MATCH($A79,Simulations!$A$3:$A$62,0)),$D79/(INDEX(Simulations!$G$3:$G$62,MATCH($A79,Simulations!$A$3:$A$62,0))*INDEX(Simulations!$H$3:$H$62,MATCH($A79,Simulations!$A$3:$A$62,0))*IF(INDEX(Simulations!$I$3:$I$62,MATCH($A79,Simulations!$A$3:$A$62,0))&gt;0,INDEX(Simulations!$I$3:$I$62,MATCH($A79,Simulations!$A$3:$A$62,0)),1))*$G79*(PI()/2*INDEX(Simulations!$T$3:$T$62,MATCH($A79,Simulations!$A$3:$A$62,0))^2*IF(INDEX(Simulations!$I$3:$I$62,MATCH($A79,Simulations!$A$3:$A$62,0))&gt;0,SQRT(PI()/2)*INDEX(Simulations!$U$3:$U$62,MATCH($A79,Simulations!$A$3:$A$62,0)),1)),$D79/(INDEX(Simulations!$G$3:$G$62,MATCH($A79,Simulations!$A$3:$A$62,0))*INDEX(Simulations!$H$3:$H$62,MATCH($A79,Simulations!$A$3:$A$62,0))*IF(INDEX(Simulations!$I$3:$I$62,MATCH($A79,Simulations!$A$3:$A$62,0))&gt;0,INDEX(Simulations!$I$3:$I$62,MATCH($A79,Simulations!$A$3:$A$62,0)),1))*INDEX(Simulations!$J$3:$J$62,MATCH($A79,Simulations!$A$3:$A$62,0))*IF(INDEX(Simulations!$I$3:$I$62,MATCH($A79,Simulations!$A$3:$A$62,0))&gt;0,2*PI()*INDEX(Simulations!$T$3:$T$62,MATCH($A79,Simulations!$A$3:$A$62,0))^2*INDEX(Simulations!$U$3:$U$62,MATCH($A79,Simulations!$A$3:$A$62,0))/2^1.5*(2/3*LN($G79/INDEX(Simulations!$J$3:$J$62,MATCH($A79,Simulations!$A$3:$A$62,0)))^1.5+SQRT(LN($G79/INDEX(Simulations!$J$3:$J$62,MATCH($A79,Simulations!$A$3:$A$62,0))))+$G79/INDEX(Simulations!$J$3:$J$62,MATCH($A79,Simulations!$A$3:$A$62,0))*SQRT(PI())/2*ERFC(SQRT(LN($G79/INDEX(Simulations!$J$3:$J$62,MATCH($A79,Simulations!$A$3:$A$62,0)))))),PI()*INDEX(Simulations!$T$3:$T$62,MATCH($A79,Simulations!$A$3:$A$62,0))^2/2*(LN($G79/INDEX(Simulations!$J$3:$J$62,MATCH($A79,Simulations!$A$3:$A$62,0)))+1)))))</f>
        <v/>
      </c>
      <c r="T79" s="16" t="str">
        <f aca="false">IF(OR($A79="",ISNA(MATCH($A79,Simulations!$A$3:$A$62,0))),"",IF(N($H79)&lt;=0,0,IF($H79&lt;INDEX(Simulations!$J$3:$J$62,MATCH($A79,Simulations!$A$3:$A$62,0)),$D79/(INDEX(Simulations!$G$3:$G$62,MATCH($A79,Simulations!$A$3:$A$62,0))*INDEX(Simulations!$H$3:$H$62,MATCH($A79,Simulations!$A$3:$A$62,0))*IF(INDEX(Simulations!$I$3:$I$62,MATCH($A79,Simulations!$A$3:$A$62,0))&gt;0,INDEX(Simulations!$I$3:$I$62,MATCH($A79,Simulations!$A$3:$A$62,0)),1))*$H79*(PI()/2*INDEX(Simulations!$T$3:$T$62,MATCH($A79,Simulations!$A$3:$A$62,0))^2*IF(INDEX(Simulations!$I$3:$I$62,MATCH($A79,Simulations!$A$3:$A$62,0))&gt;0,SQRT(PI()/2)*INDEX(Simulations!$U$3:$U$62,MATCH($A79,Simulations!$A$3:$A$62,0)),1)),$D79/(INDEX(Simulations!$G$3:$G$62,MATCH($A79,Simulations!$A$3:$A$62,0))*INDEX(Simulations!$H$3:$H$62,MATCH($A79,Simulations!$A$3:$A$62,0))*IF(INDEX(Simulations!$I$3:$I$62,MATCH($A79,Simulations!$A$3:$A$62,0))&gt;0,INDEX(Simulations!$I$3:$I$62,MATCH($A79,Simulations!$A$3:$A$62,0)),1))*INDEX(Simulations!$J$3:$J$62,MATCH($A79,Simulations!$A$3:$A$62,0))*IF(INDEX(Simulations!$I$3:$I$62,MATCH($A79,Simulations!$A$3:$A$62,0))&gt;0,2*PI()*INDEX(Simulations!$T$3:$T$62,MATCH($A79,Simulations!$A$3:$A$62,0))^2*INDEX(Simulations!$U$3:$U$62,MATCH($A79,Simulations!$A$3:$A$62,0))/2^1.5*(2/3*LN($H79/INDEX(Simulations!$J$3:$J$62,MATCH($A79,Simulations!$A$3:$A$62,0)))^1.5+SQRT(LN($H79/INDEX(Simulations!$J$3:$J$62,MATCH($A79,Simulations!$A$3:$A$62,0))))+$H79/INDEX(Simulations!$J$3:$J$62,MATCH($A79,Simulations!$A$3:$A$62,0))*SQRT(PI())/2*ERFC(SQRT(LN($H79/INDEX(Simulations!$J$3:$J$62,MATCH($A79,Simulations!$A$3:$A$62,0)))))),PI()*INDEX(Simulations!$T$3:$T$62,MATCH($A79,Simulations!$A$3:$A$62,0))^2/2*(LN($H79/INDEX(Simulations!$J$3:$J$62,MATCH($A79,Simulations!$A$3:$A$62,0)))+1)))))</f>
        <v/>
      </c>
      <c r="U79" s="18" t="str">
        <f aca="false">IF(OR(OR($A79="",ISNA(MATCH($A79,Simulations!$A$3:$A$62,0))),N($C79)&lt;=0),"",SQRT(2*$C79*1000000/(INDEX(Simulations!$J$3:$J$62,MATCH($A79,Simulations!$A$3:$A$62,0))*1000))/INDEX(Simulations!$T$3:$T$62,MATCH($A79,Simulations!$A$3:$A$62,0)))</f>
        <v/>
      </c>
      <c r="V79" s="19" t="str">
        <f aca="false">IF($A79="","",IF(ISNA(MATCH($A79,Simulations!$A$3:$A$62,0)),"✖ Sim ID not found on the Simulations sheet",IF($P79&gt;=1,"✖ brightness &gt;= sampling frequency: completely saturated (D too small, c too large)",IF($P79&gt;0.1,"⚠ brightness &gt; 10% of the sampling frequency: focus starts to saturate",IF(N($U79)&gt;0.1,"⚠ diffusion step &gt; 10% of wr: raise the sampling frequency",IF(MAX($E79:$H79)=0,"⚠ no brightness set","✔ OK"))))))</f>
        <v/>
      </c>
    </row>
    <row r="80" customFormat="false" ht="15" hidden="false" customHeight="false" outlineLevel="0" collapsed="false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4"/>
      <c r="O80" s="18" t="str">
        <f aca="false">IF(OR($A80="",ISNA(MATCH($A80,Simulations!$A$3:$A$62,0))),"",IF(INDEX(Simulations!$I$3:$I$62,MATCH($A80,Simulations!$A$3:$A$62,0))&gt;0,$D80/(INDEX(Simulations!$G$3:$G$62,MATCH($A80,Simulations!$A$3:$A$62,0))*INDEX(Simulations!$H$3:$H$62,MATCH($A80,Simulations!$A$3:$A$62,0))*IF(INDEX(Simulations!$I$3:$I$62,MATCH($A80,Simulations!$A$3:$A$62,0))&gt;0,INDEX(Simulations!$I$3:$I$62,MATCH($A80,Simulations!$A$3:$A$62,0)),1))/1E-024/6.022E+023/0.000000001,""))</f>
        <v/>
      </c>
      <c r="P80" s="20" t="str">
        <f aca="false">IF(OR($A80="",ISNA(MATCH($A80,Simulations!$A$3:$A$62,0))),"",MAX($E80:$H80)/INDEX(Simulations!$J$3:$J$62,MATCH($A80,Simulations!$A$3:$A$62,0)))</f>
        <v/>
      </c>
      <c r="Q80" s="16" t="str">
        <f aca="false">IF(OR($A80="",ISNA(MATCH($A80,Simulations!$A$3:$A$62,0))),"",IF(N($E80)&lt;=0,0,IF($E80&lt;INDEX(Simulations!$J$3:$J$62,MATCH($A80,Simulations!$A$3:$A$62,0)),$D80/(INDEX(Simulations!$G$3:$G$62,MATCH($A80,Simulations!$A$3:$A$62,0))*INDEX(Simulations!$H$3:$H$62,MATCH($A80,Simulations!$A$3:$A$62,0))*IF(INDEX(Simulations!$I$3:$I$62,MATCH($A80,Simulations!$A$3:$A$62,0))&gt;0,INDEX(Simulations!$I$3:$I$62,MATCH($A80,Simulations!$A$3:$A$62,0)),1))*$E80*(PI()/2*INDEX(Simulations!$T$3:$T$62,MATCH($A80,Simulations!$A$3:$A$62,0))^2*IF(INDEX(Simulations!$I$3:$I$62,MATCH($A80,Simulations!$A$3:$A$62,0))&gt;0,SQRT(PI()/2)*INDEX(Simulations!$U$3:$U$62,MATCH($A80,Simulations!$A$3:$A$62,0)),1)),$D80/(INDEX(Simulations!$G$3:$G$62,MATCH($A80,Simulations!$A$3:$A$62,0))*INDEX(Simulations!$H$3:$H$62,MATCH($A80,Simulations!$A$3:$A$62,0))*IF(INDEX(Simulations!$I$3:$I$62,MATCH($A80,Simulations!$A$3:$A$62,0))&gt;0,INDEX(Simulations!$I$3:$I$62,MATCH($A80,Simulations!$A$3:$A$62,0)),1))*INDEX(Simulations!$J$3:$J$62,MATCH($A80,Simulations!$A$3:$A$62,0))*IF(INDEX(Simulations!$I$3:$I$62,MATCH($A80,Simulations!$A$3:$A$62,0))&gt;0,2*PI()*INDEX(Simulations!$T$3:$T$62,MATCH($A80,Simulations!$A$3:$A$62,0))^2*INDEX(Simulations!$U$3:$U$62,MATCH($A80,Simulations!$A$3:$A$62,0))/2^1.5*(2/3*LN($E80/INDEX(Simulations!$J$3:$J$62,MATCH($A80,Simulations!$A$3:$A$62,0)))^1.5+SQRT(LN($E80/INDEX(Simulations!$J$3:$J$62,MATCH($A80,Simulations!$A$3:$A$62,0))))+$E80/INDEX(Simulations!$J$3:$J$62,MATCH($A80,Simulations!$A$3:$A$62,0))*SQRT(PI())/2*ERFC(SQRT(LN($E80/INDEX(Simulations!$J$3:$J$62,MATCH($A80,Simulations!$A$3:$A$62,0)))))),PI()*INDEX(Simulations!$T$3:$T$62,MATCH($A80,Simulations!$A$3:$A$62,0))^2/2*(LN($E80/INDEX(Simulations!$J$3:$J$62,MATCH($A80,Simulations!$A$3:$A$62,0)))+1)))))</f>
        <v/>
      </c>
      <c r="R80" s="16" t="str">
        <f aca="false">IF(OR($A80="",ISNA(MATCH($A80,Simulations!$A$3:$A$62,0))),"",IF(N($F80)&lt;=0,0,IF($F80&lt;INDEX(Simulations!$J$3:$J$62,MATCH($A80,Simulations!$A$3:$A$62,0)),$D80/(INDEX(Simulations!$G$3:$G$62,MATCH($A80,Simulations!$A$3:$A$62,0))*INDEX(Simulations!$H$3:$H$62,MATCH($A80,Simulations!$A$3:$A$62,0))*IF(INDEX(Simulations!$I$3:$I$62,MATCH($A80,Simulations!$A$3:$A$62,0))&gt;0,INDEX(Simulations!$I$3:$I$62,MATCH($A80,Simulations!$A$3:$A$62,0)),1))*$F80*(PI()/2*INDEX(Simulations!$T$3:$T$62,MATCH($A80,Simulations!$A$3:$A$62,0))^2*IF(INDEX(Simulations!$I$3:$I$62,MATCH($A80,Simulations!$A$3:$A$62,0))&gt;0,SQRT(PI()/2)*INDEX(Simulations!$U$3:$U$62,MATCH($A80,Simulations!$A$3:$A$62,0)),1)),$D80/(INDEX(Simulations!$G$3:$G$62,MATCH($A80,Simulations!$A$3:$A$62,0))*INDEX(Simulations!$H$3:$H$62,MATCH($A80,Simulations!$A$3:$A$62,0))*IF(INDEX(Simulations!$I$3:$I$62,MATCH($A80,Simulations!$A$3:$A$62,0))&gt;0,INDEX(Simulations!$I$3:$I$62,MATCH($A80,Simulations!$A$3:$A$62,0)),1))*INDEX(Simulations!$J$3:$J$62,MATCH($A80,Simulations!$A$3:$A$62,0))*IF(INDEX(Simulations!$I$3:$I$62,MATCH($A80,Simulations!$A$3:$A$62,0))&gt;0,2*PI()*INDEX(Simulations!$T$3:$T$62,MATCH($A80,Simulations!$A$3:$A$62,0))^2*INDEX(Simulations!$U$3:$U$62,MATCH($A80,Simulations!$A$3:$A$62,0))/2^1.5*(2/3*LN($F80/INDEX(Simulations!$J$3:$J$62,MATCH($A80,Simulations!$A$3:$A$62,0)))^1.5+SQRT(LN($F80/INDEX(Simulations!$J$3:$J$62,MATCH($A80,Simulations!$A$3:$A$62,0))))+$F80/INDEX(Simulations!$J$3:$J$62,MATCH($A80,Simulations!$A$3:$A$62,0))*SQRT(PI())/2*ERFC(SQRT(LN($F80/INDEX(Simulations!$J$3:$J$62,MATCH($A80,Simulations!$A$3:$A$62,0)))))),PI()*INDEX(Simulations!$T$3:$T$62,MATCH($A80,Simulations!$A$3:$A$62,0))^2/2*(LN($F80/INDEX(Simulations!$J$3:$J$62,MATCH($A80,Simulations!$A$3:$A$62,0)))+1)))))</f>
        <v/>
      </c>
      <c r="S80" s="16" t="str">
        <f aca="false">IF(OR($A80="",ISNA(MATCH($A80,Simulations!$A$3:$A$62,0))),"",IF(N($G80)&lt;=0,0,IF($G80&lt;INDEX(Simulations!$J$3:$J$62,MATCH($A80,Simulations!$A$3:$A$62,0)),$D80/(INDEX(Simulations!$G$3:$G$62,MATCH($A80,Simulations!$A$3:$A$62,0))*INDEX(Simulations!$H$3:$H$62,MATCH($A80,Simulations!$A$3:$A$62,0))*IF(INDEX(Simulations!$I$3:$I$62,MATCH($A80,Simulations!$A$3:$A$62,0))&gt;0,INDEX(Simulations!$I$3:$I$62,MATCH($A80,Simulations!$A$3:$A$62,0)),1))*$G80*(PI()/2*INDEX(Simulations!$T$3:$T$62,MATCH($A80,Simulations!$A$3:$A$62,0))^2*IF(INDEX(Simulations!$I$3:$I$62,MATCH($A80,Simulations!$A$3:$A$62,0))&gt;0,SQRT(PI()/2)*INDEX(Simulations!$U$3:$U$62,MATCH($A80,Simulations!$A$3:$A$62,0)),1)),$D80/(INDEX(Simulations!$G$3:$G$62,MATCH($A80,Simulations!$A$3:$A$62,0))*INDEX(Simulations!$H$3:$H$62,MATCH($A80,Simulations!$A$3:$A$62,0))*IF(INDEX(Simulations!$I$3:$I$62,MATCH($A80,Simulations!$A$3:$A$62,0))&gt;0,INDEX(Simulations!$I$3:$I$62,MATCH($A80,Simulations!$A$3:$A$62,0)),1))*INDEX(Simulations!$J$3:$J$62,MATCH($A80,Simulations!$A$3:$A$62,0))*IF(INDEX(Simulations!$I$3:$I$62,MATCH($A80,Simulations!$A$3:$A$62,0))&gt;0,2*PI()*INDEX(Simulations!$T$3:$T$62,MATCH($A80,Simulations!$A$3:$A$62,0))^2*INDEX(Simulations!$U$3:$U$62,MATCH($A80,Simulations!$A$3:$A$62,0))/2^1.5*(2/3*LN($G80/INDEX(Simulations!$J$3:$J$62,MATCH($A80,Simulations!$A$3:$A$62,0)))^1.5+SQRT(LN($G80/INDEX(Simulations!$J$3:$J$62,MATCH($A80,Simulations!$A$3:$A$62,0))))+$G80/INDEX(Simulations!$J$3:$J$62,MATCH($A80,Simulations!$A$3:$A$62,0))*SQRT(PI())/2*ERFC(SQRT(LN($G80/INDEX(Simulations!$J$3:$J$62,MATCH($A80,Simulations!$A$3:$A$62,0)))))),PI()*INDEX(Simulations!$T$3:$T$62,MATCH($A80,Simulations!$A$3:$A$62,0))^2/2*(LN($G80/INDEX(Simulations!$J$3:$J$62,MATCH($A80,Simulations!$A$3:$A$62,0)))+1)))))</f>
        <v/>
      </c>
      <c r="T80" s="16" t="str">
        <f aca="false">IF(OR($A80="",ISNA(MATCH($A80,Simulations!$A$3:$A$62,0))),"",IF(N($H80)&lt;=0,0,IF($H80&lt;INDEX(Simulations!$J$3:$J$62,MATCH($A80,Simulations!$A$3:$A$62,0)),$D80/(INDEX(Simulations!$G$3:$G$62,MATCH($A80,Simulations!$A$3:$A$62,0))*INDEX(Simulations!$H$3:$H$62,MATCH($A80,Simulations!$A$3:$A$62,0))*IF(INDEX(Simulations!$I$3:$I$62,MATCH($A80,Simulations!$A$3:$A$62,0))&gt;0,INDEX(Simulations!$I$3:$I$62,MATCH($A80,Simulations!$A$3:$A$62,0)),1))*$H80*(PI()/2*INDEX(Simulations!$T$3:$T$62,MATCH($A80,Simulations!$A$3:$A$62,0))^2*IF(INDEX(Simulations!$I$3:$I$62,MATCH($A80,Simulations!$A$3:$A$62,0))&gt;0,SQRT(PI()/2)*INDEX(Simulations!$U$3:$U$62,MATCH($A80,Simulations!$A$3:$A$62,0)),1)),$D80/(INDEX(Simulations!$G$3:$G$62,MATCH($A80,Simulations!$A$3:$A$62,0))*INDEX(Simulations!$H$3:$H$62,MATCH($A80,Simulations!$A$3:$A$62,0))*IF(INDEX(Simulations!$I$3:$I$62,MATCH($A80,Simulations!$A$3:$A$62,0))&gt;0,INDEX(Simulations!$I$3:$I$62,MATCH($A80,Simulations!$A$3:$A$62,0)),1))*INDEX(Simulations!$J$3:$J$62,MATCH($A80,Simulations!$A$3:$A$62,0))*IF(INDEX(Simulations!$I$3:$I$62,MATCH($A80,Simulations!$A$3:$A$62,0))&gt;0,2*PI()*INDEX(Simulations!$T$3:$T$62,MATCH($A80,Simulations!$A$3:$A$62,0))^2*INDEX(Simulations!$U$3:$U$62,MATCH($A80,Simulations!$A$3:$A$62,0))/2^1.5*(2/3*LN($H80/INDEX(Simulations!$J$3:$J$62,MATCH($A80,Simulations!$A$3:$A$62,0)))^1.5+SQRT(LN($H80/INDEX(Simulations!$J$3:$J$62,MATCH($A80,Simulations!$A$3:$A$62,0))))+$H80/INDEX(Simulations!$J$3:$J$62,MATCH($A80,Simulations!$A$3:$A$62,0))*SQRT(PI())/2*ERFC(SQRT(LN($H80/INDEX(Simulations!$J$3:$J$62,MATCH($A80,Simulations!$A$3:$A$62,0)))))),PI()*INDEX(Simulations!$T$3:$T$62,MATCH($A80,Simulations!$A$3:$A$62,0))^2/2*(LN($H80/INDEX(Simulations!$J$3:$J$62,MATCH($A80,Simulations!$A$3:$A$62,0)))+1)))))</f>
        <v/>
      </c>
      <c r="U80" s="18" t="str">
        <f aca="false">IF(OR(OR($A80="",ISNA(MATCH($A80,Simulations!$A$3:$A$62,0))),N($C80)&lt;=0),"",SQRT(2*$C80*1000000/(INDEX(Simulations!$J$3:$J$62,MATCH($A80,Simulations!$A$3:$A$62,0))*1000))/INDEX(Simulations!$T$3:$T$62,MATCH($A80,Simulations!$A$3:$A$62,0)))</f>
        <v/>
      </c>
      <c r="V80" s="19" t="str">
        <f aca="false">IF($A80="","",IF(ISNA(MATCH($A80,Simulations!$A$3:$A$62,0)),"✖ Sim ID not found on the Simulations sheet",IF($P80&gt;=1,"✖ brightness &gt;= sampling frequency: completely saturated (D too small, c too large)",IF($P80&gt;0.1,"⚠ brightness &gt; 10% of the sampling frequency: focus starts to saturate",IF(N($U80)&gt;0.1,"⚠ diffusion step &gt; 10% of wr: raise the sampling frequency",IF(MAX($E80:$H80)=0,"⚠ no brightness set","✔ OK"))))))</f>
        <v/>
      </c>
    </row>
    <row r="81" customFormat="false" ht="15" hidden="false" customHeight="false" outlineLevel="0" collapsed="false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4"/>
      <c r="O81" s="18" t="str">
        <f aca="false">IF(OR($A81="",ISNA(MATCH($A81,Simulations!$A$3:$A$62,0))),"",IF(INDEX(Simulations!$I$3:$I$62,MATCH($A81,Simulations!$A$3:$A$62,0))&gt;0,$D81/(INDEX(Simulations!$G$3:$G$62,MATCH($A81,Simulations!$A$3:$A$62,0))*INDEX(Simulations!$H$3:$H$62,MATCH($A81,Simulations!$A$3:$A$62,0))*IF(INDEX(Simulations!$I$3:$I$62,MATCH($A81,Simulations!$A$3:$A$62,0))&gt;0,INDEX(Simulations!$I$3:$I$62,MATCH($A81,Simulations!$A$3:$A$62,0)),1))/1E-024/6.022E+023/0.000000001,""))</f>
        <v/>
      </c>
      <c r="P81" s="20" t="str">
        <f aca="false">IF(OR($A81="",ISNA(MATCH($A81,Simulations!$A$3:$A$62,0))),"",MAX($E81:$H81)/INDEX(Simulations!$J$3:$J$62,MATCH($A81,Simulations!$A$3:$A$62,0)))</f>
        <v/>
      </c>
      <c r="Q81" s="16" t="str">
        <f aca="false">IF(OR($A81="",ISNA(MATCH($A81,Simulations!$A$3:$A$62,0))),"",IF(N($E81)&lt;=0,0,IF($E81&lt;INDEX(Simulations!$J$3:$J$62,MATCH($A81,Simulations!$A$3:$A$62,0)),$D81/(INDEX(Simulations!$G$3:$G$62,MATCH($A81,Simulations!$A$3:$A$62,0))*INDEX(Simulations!$H$3:$H$62,MATCH($A81,Simulations!$A$3:$A$62,0))*IF(INDEX(Simulations!$I$3:$I$62,MATCH($A81,Simulations!$A$3:$A$62,0))&gt;0,INDEX(Simulations!$I$3:$I$62,MATCH($A81,Simulations!$A$3:$A$62,0)),1))*$E81*(PI()/2*INDEX(Simulations!$T$3:$T$62,MATCH($A81,Simulations!$A$3:$A$62,0))^2*IF(INDEX(Simulations!$I$3:$I$62,MATCH($A81,Simulations!$A$3:$A$62,0))&gt;0,SQRT(PI()/2)*INDEX(Simulations!$U$3:$U$62,MATCH($A81,Simulations!$A$3:$A$62,0)),1)),$D81/(INDEX(Simulations!$G$3:$G$62,MATCH($A81,Simulations!$A$3:$A$62,0))*INDEX(Simulations!$H$3:$H$62,MATCH($A81,Simulations!$A$3:$A$62,0))*IF(INDEX(Simulations!$I$3:$I$62,MATCH($A81,Simulations!$A$3:$A$62,0))&gt;0,INDEX(Simulations!$I$3:$I$62,MATCH($A81,Simulations!$A$3:$A$62,0)),1))*INDEX(Simulations!$J$3:$J$62,MATCH($A81,Simulations!$A$3:$A$62,0))*IF(INDEX(Simulations!$I$3:$I$62,MATCH($A81,Simulations!$A$3:$A$62,0))&gt;0,2*PI()*INDEX(Simulations!$T$3:$T$62,MATCH($A81,Simulations!$A$3:$A$62,0))^2*INDEX(Simulations!$U$3:$U$62,MATCH($A81,Simulations!$A$3:$A$62,0))/2^1.5*(2/3*LN($E81/INDEX(Simulations!$J$3:$J$62,MATCH($A81,Simulations!$A$3:$A$62,0)))^1.5+SQRT(LN($E81/INDEX(Simulations!$J$3:$J$62,MATCH($A81,Simulations!$A$3:$A$62,0))))+$E81/INDEX(Simulations!$J$3:$J$62,MATCH($A81,Simulations!$A$3:$A$62,0))*SQRT(PI())/2*ERFC(SQRT(LN($E81/INDEX(Simulations!$J$3:$J$62,MATCH($A81,Simulations!$A$3:$A$62,0)))))),PI()*INDEX(Simulations!$T$3:$T$62,MATCH($A81,Simulations!$A$3:$A$62,0))^2/2*(LN($E81/INDEX(Simulations!$J$3:$J$62,MATCH($A81,Simulations!$A$3:$A$62,0)))+1)))))</f>
        <v/>
      </c>
      <c r="R81" s="16" t="str">
        <f aca="false">IF(OR($A81="",ISNA(MATCH($A81,Simulations!$A$3:$A$62,0))),"",IF(N($F81)&lt;=0,0,IF($F81&lt;INDEX(Simulations!$J$3:$J$62,MATCH($A81,Simulations!$A$3:$A$62,0)),$D81/(INDEX(Simulations!$G$3:$G$62,MATCH($A81,Simulations!$A$3:$A$62,0))*INDEX(Simulations!$H$3:$H$62,MATCH($A81,Simulations!$A$3:$A$62,0))*IF(INDEX(Simulations!$I$3:$I$62,MATCH($A81,Simulations!$A$3:$A$62,0))&gt;0,INDEX(Simulations!$I$3:$I$62,MATCH($A81,Simulations!$A$3:$A$62,0)),1))*$F81*(PI()/2*INDEX(Simulations!$T$3:$T$62,MATCH($A81,Simulations!$A$3:$A$62,0))^2*IF(INDEX(Simulations!$I$3:$I$62,MATCH($A81,Simulations!$A$3:$A$62,0))&gt;0,SQRT(PI()/2)*INDEX(Simulations!$U$3:$U$62,MATCH($A81,Simulations!$A$3:$A$62,0)),1)),$D81/(INDEX(Simulations!$G$3:$G$62,MATCH($A81,Simulations!$A$3:$A$62,0))*INDEX(Simulations!$H$3:$H$62,MATCH($A81,Simulations!$A$3:$A$62,0))*IF(INDEX(Simulations!$I$3:$I$62,MATCH($A81,Simulations!$A$3:$A$62,0))&gt;0,INDEX(Simulations!$I$3:$I$62,MATCH($A81,Simulations!$A$3:$A$62,0)),1))*INDEX(Simulations!$J$3:$J$62,MATCH($A81,Simulations!$A$3:$A$62,0))*IF(INDEX(Simulations!$I$3:$I$62,MATCH($A81,Simulations!$A$3:$A$62,0))&gt;0,2*PI()*INDEX(Simulations!$T$3:$T$62,MATCH($A81,Simulations!$A$3:$A$62,0))^2*INDEX(Simulations!$U$3:$U$62,MATCH($A81,Simulations!$A$3:$A$62,0))/2^1.5*(2/3*LN($F81/INDEX(Simulations!$J$3:$J$62,MATCH($A81,Simulations!$A$3:$A$62,0)))^1.5+SQRT(LN($F81/INDEX(Simulations!$J$3:$J$62,MATCH($A81,Simulations!$A$3:$A$62,0))))+$F81/INDEX(Simulations!$J$3:$J$62,MATCH($A81,Simulations!$A$3:$A$62,0))*SQRT(PI())/2*ERFC(SQRT(LN($F81/INDEX(Simulations!$J$3:$J$62,MATCH($A81,Simulations!$A$3:$A$62,0)))))),PI()*INDEX(Simulations!$T$3:$T$62,MATCH($A81,Simulations!$A$3:$A$62,0))^2/2*(LN($F81/INDEX(Simulations!$J$3:$J$62,MATCH($A81,Simulations!$A$3:$A$62,0)))+1)))))</f>
        <v/>
      </c>
      <c r="S81" s="16" t="str">
        <f aca="false">IF(OR($A81="",ISNA(MATCH($A81,Simulations!$A$3:$A$62,0))),"",IF(N($G81)&lt;=0,0,IF($G81&lt;INDEX(Simulations!$J$3:$J$62,MATCH($A81,Simulations!$A$3:$A$62,0)),$D81/(INDEX(Simulations!$G$3:$G$62,MATCH($A81,Simulations!$A$3:$A$62,0))*INDEX(Simulations!$H$3:$H$62,MATCH($A81,Simulations!$A$3:$A$62,0))*IF(INDEX(Simulations!$I$3:$I$62,MATCH($A81,Simulations!$A$3:$A$62,0))&gt;0,INDEX(Simulations!$I$3:$I$62,MATCH($A81,Simulations!$A$3:$A$62,0)),1))*$G81*(PI()/2*INDEX(Simulations!$T$3:$T$62,MATCH($A81,Simulations!$A$3:$A$62,0))^2*IF(INDEX(Simulations!$I$3:$I$62,MATCH($A81,Simulations!$A$3:$A$62,0))&gt;0,SQRT(PI()/2)*INDEX(Simulations!$U$3:$U$62,MATCH($A81,Simulations!$A$3:$A$62,0)),1)),$D81/(INDEX(Simulations!$G$3:$G$62,MATCH($A81,Simulations!$A$3:$A$62,0))*INDEX(Simulations!$H$3:$H$62,MATCH($A81,Simulations!$A$3:$A$62,0))*IF(INDEX(Simulations!$I$3:$I$62,MATCH($A81,Simulations!$A$3:$A$62,0))&gt;0,INDEX(Simulations!$I$3:$I$62,MATCH($A81,Simulations!$A$3:$A$62,0)),1))*INDEX(Simulations!$J$3:$J$62,MATCH($A81,Simulations!$A$3:$A$62,0))*IF(INDEX(Simulations!$I$3:$I$62,MATCH($A81,Simulations!$A$3:$A$62,0))&gt;0,2*PI()*INDEX(Simulations!$T$3:$T$62,MATCH($A81,Simulations!$A$3:$A$62,0))^2*INDEX(Simulations!$U$3:$U$62,MATCH($A81,Simulations!$A$3:$A$62,0))/2^1.5*(2/3*LN($G81/INDEX(Simulations!$J$3:$J$62,MATCH($A81,Simulations!$A$3:$A$62,0)))^1.5+SQRT(LN($G81/INDEX(Simulations!$J$3:$J$62,MATCH($A81,Simulations!$A$3:$A$62,0))))+$G81/INDEX(Simulations!$J$3:$J$62,MATCH($A81,Simulations!$A$3:$A$62,0))*SQRT(PI())/2*ERFC(SQRT(LN($G81/INDEX(Simulations!$J$3:$J$62,MATCH($A81,Simulations!$A$3:$A$62,0)))))),PI()*INDEX(Simulations!$T$3:$T$62,MATCH($A81,Simulations!$A$3:$A$62,0))^2/2*(LN($G81/INDEX(Simulations!$J$3:$J$62,MATCH($A81,Simulations!$A$3:$A$62,0)))+1)))))</f>
        <v/>
      </c>
      <c r="T81" s="16" t="str">
        <f aca="false">IF(OR($A81="",ISNA(MATCH($A81,Simulations!$A$3:$A$62,0))),"",IF(N($H81)&lt;=0,0,IF($H81&lt;INDEX(Simulations!$J$3:$J$62,MATCH($A81,Simulations!$A$3:$A$62,0)),$D81/(INDEX(Simulations!$G$3:$G$62,MATCH($A81,Simulations!$A$3:$A$62,0))*INDEX(Simulations!$H$3:$H$62,MATCH($A81,Simulations!$A$3:$A$62,0))*IF(INDEX(Simulations!$I$3:$I$62,MATCH($A81,Simulations!$A$3:$A$62,0))&gt;0,INDEX(Simulations!$I$3:$I$62,MATCH($A81,Simulations!$A$3:$A$62,0)),1))*$H81*(PI()/2*INDEX(Simulations!$T$3:$T$62,MATCH($A81,Simulations!$A$3:$A$62,0))^2*IF(INDEX(Simulations!$I$3:$I$62,MATCH($A81,Simulations!$A$3:$A$62,0))&gt;0,SQRT(PI()/2)*INDEX(Simulations!$U$3:$U$62,MATCH($A81,Simulations!$A$3:$A$62,0)),1)),$D81/(INDEX(Simulations!$G$3:$G$62,MATCH($A81,Simulations!$A$3:$A$62,0))*INDEX(Simulations!$H$3:$H$62,MATCH($A81,Simulations!$A$3:$A$62,0))*IF(INDEX(Simulations!$I$3:$I$62,MATCH($A81,Simulations!$A$3:$A$62,0))&gt;0,INDEX(Simulations!$I$3:$I$62,MATCH($A81,Simulations!$A$3:$A$62,0)),1))*INDEX(Simulations!$J$3:$J$62,MATCH($A81,Simulations!$A$3:$A$62,0))*IF(INDEX(Simulations!$I$3:$I$62,MATCH($A81,Simulations!$A$3:$A$62,0))&gt;0,2*PI()*INDEX(Simulations!$T$3:$T$62,MATCH($A81,Simulations!$A$3:$A$62,0))^2*INDEX(Simulations!$U$3:$U$62,MATCH($A81,Simulations!$A$3:$A$62,0))/2^1.5*(2/3*LN($H81/INDEX(Simulations!$J$3:$J$62,MATCH($A81,Simulations!$A$3:$A$62,0)))^1.5+SQRT(LN($H81/INDEX(Simulations!$J$3:$J$62,MATCH($A81,Simulations!$A$3:$A$62,0))))+$H81/INDEX(Simulations!$J$3:$J$62,MATCH($A81,Simulations!$A$3:$A$62,0))*SQRT(PI())/2*ERFC(SQRT(LN($H81/INDEX(Simulations!$J$3:$J$62,MATCH($A81,Simulations!$A$3:$A$62,0)))))),PI()*INDEX(Simulations!$T$3:$T$62,MATCH($A81,Simulations!$A$3:$A$62,0))^2/2*(LN($H81/INDEX(Simulations!$J$3:$J$62,MATCH($A81,Simulations!$A$3:$A$62,0)))+1)))))</f>
        <v/>
      </c>
      <c r="U81" s="18" t="str">
        <f aca="false">IF(OR(OR($A81="",ISNA(MATCH($A81,Simulations!$A$3:$A$62,0))),N($C81)&lt;=0),"",SQRT(2*$C81*1000000/(INDEX(Simulations!$J$3:$J$62,MATCH($A81,Simulations!$A$3:$A$62,0))*1000))/INDEX(Simulations!$T$3:$T$62,MATCH($A81,Simulations!$A$3:$A$62,0)))</f>
        <v/>
      </c>
      <c r="V81" s="19" t="str">
        <f aca="false">IF($A81="","",IF(ISNA(MATCH($A81,Simulations!$A$3:$A$62,0)),"✖ Sim ID not found on the Simulations sheet",IF($P81&gt;=1,"✖ brightness &gt;= sampling frequency: completely saturated (D too small, c too large)",IF($P81&gt;0.1,"⚠ brightness &gt; 10% of the sampling frequency: focus starts to saturate",IF(N($U81)&gt;0.1,"⚠ diffusion step &gt; 10% of wr: raise the sampling frequency",IF(MAX($E81:$H81)=0,"⚠ no brightness set","✔ OK"))))))</f>
        <v/>
      </c>
    </row>
    <row r="82" customFormat="false" ht="15" hidden="false" customHeight="false" outlineLevel="0" collapsed="false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4"/>
      <c r="O82" s="18" t="str">
        <f aca="false">IF(OR($A82="",ISNA(MATCH($A82,Simulations!$A$3:$A$62,0))),"",IF(INDEX(Simulations!$I$3:$I$62,MATCH($A82,Simulations!$A$3:$A$62,0))&gt;0,$D82/(INDEX(Simulations!$G$3:$G$62,MATCH($A82,Simulations!$A$3:$A$62,0))*INDEX(Simulations!$H$3:$H$62,MATCH($A82,Simulations!$A$3:$A$62,0))*IF(INDEX(Simulations!$I$3:$I$62,MATCH($A82,Simulations!$A$3:$A$62,0))&gt;0,INDEX(Simulations!$I$3:$I$62,MATCH($A82,Simulations!$A$3:$A$62,0)),1))/1E-024/6.022E+023/0.000000001,""))</f>
        <v/>
      </c>
      <c r="P82" s="20" t="str">
        <f aca="false">IF(OR($A82="",ISNA(MATCH($A82,Simulations!$A$3:$A$62,0))),"",MAX($E82:$H82)/INDEX(Simulations!$J$3:$J$62,MATCH($A82,Simulations!$A$3:$A$62,0)))</f>
        <v/>
      </c>
      <c r="Q82" s="16" t="str">
        <f aca="false">IF(OR($A82="",ISNA(MATCH($A82,Simulations!$A$3:$A$62,0))),"",IF(N($E82)&lt;=0,0,IF($E82&lt;INDEX(Simulations!$J$3:$J$62,MATCH($A82,Simulations!$A$3:$A$62,0)),$D82/(INDEX(Simulations!$G$3:$G$62,MATCH($A82,Simulations!$A$3:$A$62,0))*INDEX(Simulations!$H$3:$H$62,MATCH($A82,Simulations!$A$3:$A$62,0))*IF(INDEX(Simulations!$I$3:$I$62,MATCH($A82,Simulations!$A$3:$A$62,0))&gt;0,INDEX(Simulations!$I$3:$I$62,MATCH($A82,Simulations!$A$3:$A$62,0)),1))*$E82*(PI()/2*INDEX(Simulations!$T$3:$T$62,MATCH($A82,Simulations!$A$3:$A$62,0))^2*IF(INDEX(Simulations!$I$3:$I$62,MATCH($A82,Simulations!$A$3:$A$62,0))&gt;0,SQRT(PI()/2)*INDEX(Simulations!$U$3:$U$62,MATCH($A82,Simulations!$A$3:$A$62,0)),1)),$D82/(INDEX(Simulations!$G$3:$G$62,MATCH($A82,Simulations!$A$3:$A$62,0))*INDEX(Simulations!$H$3:$H$62,MATCH($A82,Simulations!$A$3:$A$62,0))*IF(INDEX(Simulations!$I$3:$I$62,MATCH($A82,Simulations!$A$3:$A$62,0))&gt;0,INDEX(Simulations!$I$3:$I$62,MATCH($A82,Simulations!$A$3:$A$62,0)),1))*INDEX(Simulations!$J$3:$J$62,MATCH($A82,Simulations!$A$3:$A$62,0))*IF(INDEX(Simulations!$I$3:$I$62,MATCH($A82,Simulations!$A$3:$A$62,0))&gt;0,2*PI()*INDEX(Simulations!$T$3:$T$62,MATCH($A82,Simulations!$A$3:$A$62,0))^2*INDEX(Simulations!$U$3:$U$62,MATCH($A82,Simulations!$A$3:$A$62,0))/2^1.5*(2/3*LN($E82/INDEX(Simulations!$J$3:$J$62,MATCH($A82,Simulations!$A$3:$A$62,0)))^1.5+SQRT(LN($E82/INDEX(Simulations!$J$3:$J$62,MATCH($A82,Simulations!$A$3:$A$62,0))))+$E82/INDEX(Simulations!$J$3:$J$62,MATCH($A82,Simulations!$A$3:$A$62,0))*SQRT(PI())/2*ERFC(SQRT(LN($E82/INDEX(Simulations!$J$3:$J$62,MATCH($A82,Simulations!$A$3:$A$62,0)))))),PI()*INDEX(Simulations!$T$3:$T$62,MATCH($A82,Simulations!$A$3:$A$62,0))^2/2*(LN($E82/INDEX(Simulations!$J$3:$J$62,MATCH($A82,Simulations!$A$3:$A$62,0)))+1)))))</f>
        <v/>
      </c>
      <c r="R82" s="16" t="str">
        <f aca="false">IF(OR($A82="",ISNA(MATCH($A82,Simulations!$A$3:$A$62,0))),"",IF(N($F82)&lt;=0,0,IF($F82&lt;INDEX(Simulations!$J$3:$J$62,MATCH($A82,Simulations!$A$3:$A$62,0)),$D82/(INDEX(Simulations!$G$3:$G$62,MATCH($A82,Simulations!$A$3:$A$62,0))*INDEX(Simulations!$H$3:$H$62,MATCH($A82,Simulations!$A$3:$A$62,0))*IF(INDEX(Simulations!$I$3:$I$62,MATCH($A82,Simulations!$A$3:$A$62,0))&gt;0,INDEX(Simulations!$I$3:$I$62,MATCH($A82,Simulations!$A$3:$A$62,0)),1))*$F82*(PI()/2*INDEX(Simulations!$T$3:$T$62,MATCH($A82,Simulations!$A$3:$A$62,0))^2*IF(INDEX(Simulations!$I$3:$I$62,MATCH($A82,Simulations!$A$3:$A$62,0))&gt;0,SQRT(PI()/2)*INDEX(Simulations!$U$3:$U$62,MATCH($A82,Simulations!$A$3:$A$62,0)),1)),$D82/(INDEX(Simulations!$G$3:$G$62,MATCH($A82,Simulations!$A$3:$A$62,0))*INDEX(Simulations!$H$3:$H$62,MATCH($A82,Simulations!$A$3:$A$62,0))*IF(INDEX(Simulations!$I$3:$I$62,MATCH($A82,Simulations!$A$3:$A$62,0))&gt;0,INDEX(Simulations!$I$3:$I$62,MATCH($A82,Simulations!$A$3:$A$62,0)),1))*INDEX(Simulations!$J$3:$J$62,MATCH($A82,Simulations!$A$3:$A$62,0))*IF(INDEX(Simulations!$I$3:$I$62,MATCH($A82,Simulations!$A$3:$A$62,0))&gt;0,2*PI()*INDEX(Simulations!$T$3:$T$62,MATCH($A82,Simulations!$A$3:$A$62,0))^2*INDEX(Simulations!$U$3:$U$62,MATCH($A82,Simulations!$A$3:$A$62,0))/2^1.5*(2/3*LN($F82/INDEX(Simulations!$J$3:$J$62,MATCH($A82,Simulations!$A$3:$A$62,0)))^1.5+SQRT(LN($F82/INDEX(Simulations!$J$3:$J$62,MATCH($A82,Simulations!$A$3:$A$62,0))))+$F82/INDEX(Simulations!$J$3:$J$62,MATCH($A82,Simulations!$A$3:$A$62,0))*SQRT(PI())/2*ERFC(SQRT(LN($F82/INDEX(Simulations!$J$3:$J$62,MATCH($A82,Simulations!$A$3:$A$62,0)))))),PI()*INDEX(Simulations!$T$3:$T$62,MATCH($A82,Simulations!$A$3:$A$62,0))^2/2*(LN($F82/INDEX(Simulations!$J$3:$J$62,MATCH($A82,Simulations!$A$3:$A$62,0)))+1)))))</f>
        <v/>
      </c>
      <c r="S82" s="16" t="str">
        <f aca="false">IF(OR($A82="",ISNA(MATCH($A82,Simulations!$A$3:$A$62,0))),"",IF(N($G82)&lt;=0,0,IF($G82&lt;INDEX(Simulations!$J$3:$J$62,MATCH($A82,Simulations!$A$3:$A$62,0)),$D82/(INDEX(Simulations!$G$3:$G$62,MATCH($A82,Simulations!$A$3:$A$62,0))*INDEX(Simulations!$H$3:$H$62,MATCH($A82,Simulations!$A$3:$A$62,0))*IF(INDEX(Simulations!$I$3:$I$62,MATCH($A82,Simulations!$A$3:$A$62,0))&gt;0,INDEX(Simulations!$I$3:$I$62,MATCH($A82,Simulations!$A$3:$A$62,0)),1))*$G82*(PI()/2*INDEX(Simulations!$T$3:$T$62,MATCH($A82,Simulations!$A$3:$A$62,0))^2*IF(INDEX(Simulations!$I$3:$I$62,MATCH($A82,Simulations!$A$3:$A$62,0))&gt;0,SQRT(PI()/2)*INDEX(Simulations!$U$3:$U$62,MATCH($A82,Simulations!$A$3:$A$62,0)),1)),$D82/(INDEX(Simulations!$G$3:$G$62,MATCH($A82,Simulations!$A$3:$A$62,0))*INDEX(Simulations!$H$3:$H$62,MATCH($A82,Simulations!$A$3:$A$62,0))*IF(INDEX(Simulations!$I$3:$I$62,MATCH($A82,Simulations!$A$3:$A$62,0))&gt;0,INDEX(Simulations!$I$3:$I$62,MATCH($A82,Simulations!$A$3:$A$62,0)),1))*INDEX(Simulations!$J$3:$J$62,MATCH($A82,Simulations!$A$3:$A$62,0))*IF(INDEX(Simulations!$I$3:$I$62,MATCH($A82,Simulations!$A$3:$A$62,0))&gt;0,2*PI()*INDEX(Simulations!$T$3:$T$62,MATCH($A82,Simulations!$A$3:$A$62,0))^2*INDEX(Simulations!$U$3:$U$62,MATCH($A82,Simulations!$A$3:$A$62,0))/2^1.5*(2/3*LN($G82/INDEX(Simulations!$J$3:$J$62,MATCH($A82,Simulations!$A$3:$A$62,0)))^1.5+SQRT(LN($G82/INDEX(Simulations!$J$3:$J$62,MATCH($A82,Simulations!$A$3:$A$62,0))))+$G82/INDEX(Simulations!$J$3:$J$62,MATCH($A82,Simulations!$A$3:$A$62,0))*SQRT(PI())/2*ERFC(SQRT(LN($G82/INDEX(Simulations!$J$3:$J$62,MATCH($A82,Simulations!$A$3:$A$62,0)))))),PI()*INDEX(Simulations!$T$3:$T$62,MATCH($A82,Simulations!$A$3:$A$62,0))^2/2*(LN($G82/INDEX(Simulations!$J$3:$J$62,MATCH($A82,Simulations!$A$3:$A$62,0)))+1)))))</f>
        <v/>
      </c>
      <c r="T82" s="16" t="str">
        <f aca="false">IF(OR($A82="",ISNA(MATCH($A82,Simulations!$A$3:$A$62,0))),"",IF(N($H82)&lt;=0,0,IF($H82&lt;INDEX(Simulations!$J$3:$J$62,MATCH($A82,Simulations!$A$3:$A$62,0)),$D82/(INDEX(Simulations!$G$3:$G$62,MATCH($A82,Simulations!$A$3:$A$62,0))*INDEX(Simulations!$H$3:$H$62,MATCH($A82,Simulations!$A$3:$A$62,0))*IF(INDEX(Simulations!$I$3:$I$62,MATCH($A82,Simulations!$A$3:$A$62,0))&gt;0,INDEX(Simulations!$I$3:$I$62,MATCH($A82,Simulations!$A$3:$A$62,0)),1))*$H82*(PI()/2*INDEX(Simulations!$T$3:$T$62,MATCH($A82,Simulations!$A$3:$A$62,0))^2*IF(INDEX(Simulations!$I$3:$I$62,MATCH($A82,Simulations!$A$3:$A$62,0))&gt;0,SQRT(PI()/2)*INDEX(Simulations!$U$3:$U$62,MATCH($A82,Simulations!$A$3:$A$62,0)),1)),$D82/(INDEX(Simulations!$G$3:$G$62,MATCH($A82,Simulations!$A$3:$A$62,0))*INDEX(Simulations!$H$3:$H$62,MATCH($A82,Simulations!$A$3:$A$62,0))*IF(INDEX(Simulations!$I$3:$I$62,MATCH($A82,Simulations!$A$3:$A$62,0))&gt;0,INDEX(Simulations!$I$3:$I$62,MATCH($A82,Simulations!$A$3:$A$62,0)),1))*INDEX(Simulations!$J$3:$J$62,MATCH($A82,Simulations!$A$3:$A$62,0))*IF(INDEX(Simulations!$I$3:$I$62,MATCH($A82,Simulations!$A$3:$A$62,0))&gt;0,2*PI()*INDEX(Simulations!$T$3:$T$62,MATCH($A82,Simulations!$A$3:$A$62,0))^2*INDEX(Simulations!$U$3:$U$62,MATCH($A82,Simulations!$A$3:$A$62,0))/2^1.5*(2/3*LN($H82/INDEX(Simulations!$J$3:$J$62,MATCH($A82,Simulations!$A$3:$A$62,0)))^1.5+SQRT(LN($H82/INDEX(Simulations!$J$3:$J$62,MATCH($A82,Simulations!$A$3:$A$62,0))))+$H82/INDEX(Simulations!$J$3:$J$62,MATCH($A82,Simulations!$A$3:$A$62,0))*SQRT(PI())/2*ERFC(SQRT(LN($H82/INDEX(Simulations!$J$3:$J$62,MATCH($A82,Simulations!$A$3:$A$62,0)))))),PI()*INDEX(Simulations!$T$3:$T$62,MATCH($A82,Simulations!$A$3:$A$62,0))^2/2*(LN($H82/INDEX(Simulations!$J$3:$J$62,MATCH($A82,Simulations!$A$3:$A$62,0)))+1)))))</f>
        <v/>
      </c>
      <c r="U82" s="18" t="str">
        <f aca="false">IF(OR(OR($A82="",ISNA(MATCH($A82,Simulations!$A$3:$A$62,0))),N($C82)&lt;=0),"",SQRT(2*$C82*1000000/(INDEX(Simulations!$J$3:$J$62,MATCH($A82,Simulations!$A$3:$A$62,0))*1000))/INDEX(Simulations!$T$3:$T$62,MATCH($A82,Simulations!$A$3:$A$62,0)))</f>
        <v/>
      </c>
      <c r="V82" s="19" t="str">
        <f aca="false">IF($A82="","",IF(ISNA(MATCH($A82,Simulations!$A$3:$A$62,0)),"✖ Sim ID not found on the Simulations sheet",IF($P82&gt;=1,"✖ brightness &gt;= sampling frequency: completely saturated (D too small, c too large)",IF($P82&gt;0.1,"⚠ brightness &gt; 10% of the sampling frequency: focus starts to saturate",IF(N($U82)&gt;0.1,"⚠ diffusion step &gt; 10% of wr: raise the sampling frequency",IF(MAX($E82:$H82)=0,"⚠ no brightness set","✔ OK"))))))</f>
        <v/>
      </c>
    </row>
    <row r="83" customFormat="false" ht="15" hidden="false" customHeight="false" outlineLevel="0" collapsed="false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4"/>
      <c r="O83" s="18" t="str">
        <f aca="false">IF(OR($A83="",ISNA(MATCH($A83,Simulations!$A$3:$A$62,0))),"",IF(INDEX(Simulations!$I$3:$I$62,MATCH($A83,Simulations!$A$3:$A$62,0))&gt;0,$D83/(INDEX(Simulations!$G$3:$G$62,MATCH($A83,Simulations!$A$3:$A$62,0))*INDEX(Simulations!$H$3:$H$62,MATCH($A83,Simulations!$A$3:$A$62,0))*IF(INDEX(Simulations!$I$3:$I$62,MATCH($A83,Simulations!$A$3:$A$62,0))&gt;0,INDEX(Simulations!$I$3:$I$62,MATCH($A83,Simulations!$A$3:$A$62,0)),1))/1E-024/6.022E+023/0.000000001,""))</f>
        <v/>
      </c>
      <c r="P83" s="20" t="str">
        <f aca="false">IF(OR($A83="",ISNA(MATCH($A83,Simulations!$A$3:$A$62,0))),"",MAX($E83:$H83)/INDEX(Simulations!$J$3:$J$62,MATCH($A83,Simulations!$A$3:$A$62,0)))</f>
        <v/>
      </c>
      <c r="Q83" s="16" t="str">
        <f aca="false">IF(OR($A83="",ISNA(MATCH($A83,Simulations!$A$3:$A$62,0))),"",IF(N($E83)&lt;=0,0,IF($E83&lt;INDEX(Simulations!$J$3:$J$62,MATCH($A83,Simulations!$A$3:$A$62,0)),$D83/(INDEX(Simulations!$G$3:$G$62,MATCH($A83,Simulations!$A$3:$A$62,0))*INDEX(Simulations!$H$3:$H$62,MATCH($A83,Simulations!$A$3:$A$62,0))*IF(INDEX(Simulations!$I$3:$I$62,MATCH($A83,Simulations!$A$3:$A$62,0))&gt;0,INDEX(Simulations!$I$3:$I$62,MATCH($A83,Simulations!$A$3:$A$62,0)),1))*$E83*(PI()/2*INDEX(Simulations!$T$3:$T$62,MATCH($A83,Simulations!$A$3:$A$62,0))^2*IF(INDEX(Simulations!$I$3:$I$62,MATCH($A83,Simulations!$A$3:$A$62,0))&gt;0,SQRT(PI()/2)*INDEX(Simulations!$U$3:$U$62,MATCH($A83,Simulations!$A$3:$A$62,0)),1)),$D83/(INDEX(Simulations!$G$3:$G$62,MATCH($A83,Simulations!$A$3:$A$62,0))*INDEX(Simulations!$H$3:$H$62,MATCH($A83,Simulations!$A$3:$A$62,0))*IF(INDEX(Simulations!$I$3:$I$62,MATCH($A83,Simulations!$A$3:$A$62,0))&gt;0,INDEX(Simulations!$I$3:$I$62,MATCH($A83,Simulations!$A$3:$A$62,0)),1))*INDEX(Simulations!$J$3:$J$62,MATCH($A83,Simulations!$A$3:$A$62,0))*IF(INDEX(Simulations!$I$3:$I$62,MATCH($A83,Simulations!$A$3:$A$62,0))&gt;0,2*PI()*INDEX(Simulations!$T$3:$T$62,MATCH($A83,Simulations!$A$3:$A$62,0))^2*INDEX(Simulations!$U$3:$U$62,MATCH($A83,Simulations!$A$3:$A$62,0))/2^1.5*(2/3*LN($E83/INDEX(Simulations!$J$3:$J$62,MATCH($A83,Simulations!$A$3:$A$62,0)))^1.5+SQRT(LN($E83/INDEX(Simulations!$J$3:$J$62,MATCH($A83,Simulations!$A$3:$A$62,0))))+$E83/INDEX(Simulations!$J$3:$J$62,MATCH($A83,Simulations!$A$3:$A$62,0))*SQRT(PI())/2*ERFC(SQRT(LN($E83/INDEX(Simulations!$J$3:$J$62,MATCH($A83,Simulations!$A$3:$A$62,0)))))),PI()*INDEX(Simulations!$T$3:$T$62,MATCH($A83,Simulations!$A$3:$A$62,0))^2/2*(LN($E83/INDEX(Simulations!$J$3:$J$62,MATCH($A83,Simulations!$A$3:$A$62,0)))+1)))))</f>
        <v/>
      </c>
      <c r="R83" s="16" t="str">
        <f aca="false">IF(OR($A83="",ISNA(MATCH($A83,Simulations!$A$3:$A$62,0))),"",IF(N($F83)&lt;=0,0,IF($F83&lt;INDEX(Simulations!$J$3:$J$62,MATCH($A83,Simulations!$A$3:$A$62,0)),$D83/(INDEX(Simulations!$G$3:$G$62,MATCH($A83,Simulations!$A$3:$A$62,0))*INDEX(Simulations!$H$3:$H$62,MATCH($A83,Simulations!$A$3:$A$62,0))*IF(INDEX(Simulations!$I$3:$I$62,MATCH($A83,Simulations!$A$3:$A$62,0))&gt;0,INDEX(Simulations!$I$3:$I$62,MATCH($A83,Simulations!$A$3:$A$62,0)),1))*$F83*(PI()/2*INDEX(Simulations!$T$3:$T$62,MATCH($A83,Simulations!$A$3:$A$62,0))^2*IF(INDEX(Simulations!$I$3:$I$62,MATCH($A83,Simulations!$A$3:$A$62,0))&gt;0,SQRT(PI()/2)*INDEX(Simulations!$U$3:$U$62,MATCH($A83,Simulations!$A$3:$A$62,0)),1)),$D83/(INDEX(Simulations!$G$3:$G$62,MATCH($A83,Simulations!$A$3:$A$62,0))*INDEX(Simulations!$H$3:$H$62,MATCH($A83,Simulations!$A$3:$A$62,0))*IF(INDEX(Simulations!$I$3:$I$62,MATCH($A83,Simulations!$A$3:$A$62,0))&gt;0,INDEX(Simulations!$I$3:$I$62,MATCH($A83,Simulations!$A$3:$A$62,0)),1))*INDEX(Simulations!$J$3:$J$62,MATCH($A83,Simulations!$A$3:$A$62,0))*IF(INDEX(Simulations!$I$3:$I$62,MATCH($A83,Simulations!$A$3:$A$62,0))&gt;0,2*PI()*INDEX(Simulations!$T$3:$T$62,MATCH($A83,Simulations!$A$3:$A$62,0))^2*INDEX(Simulations!$U$3:$U$62,MATCH($A83,Simulations!$A$3:$A$62,0))/2^1.5*(2/3*LN($F83/INDEX(Simulations!$J$3:$J$62,MATCH($A83,Simulations!$A$3:$A$62,0)))^1.5+SQRT(LN($F83/INDEX(Simulations!$J$3:$J$62,MATCH($A83,Simulations!$A$3:$A$62,0))))+$F83/INDEX(Simulations!$J$3:$J$62,MATCH($A83,Simulations!$A$3:$A$62,0))*SQRT(PI())/2*ERFC(SQRT(LN($F83/INDEX(Simulations!$J$3:$J$62,MATCH($A83,Simulations!$A$3:$A$62,0)))))),PI()*INDEX(Simulations!$T$3:$T$62,MATCH($A83,Simulations!$A$3:$A$62,0))^2/2*(LN($F83/INDEX(Simulations!$J$3:$J$62,MATCH($A83,Simulations!$A$3:$A$62,0)))+1)))))</f>
        <v/>
      </c>
      <c r="S83" s="16" t="str">
        <f aca="false">IF(OR($A83="",ISNA(MATCH($A83,Simulations!$A$3:$A$62,0))),"",IF(N($G83)&lt;=0,0,IF($G83&lt;INDEX(Simulations!$J$3:$J$62,MATCH($A83,Simulations!$A$3:$A$62,0)),$D83/(INDEX(Simulations!$G$3:$G$62,MATCH($A83,Simulations!$A$3:$A$62,0))*INDEX(Simulations!$H$3:$H$62,MATCH($A83,Simulations!$A$3:$A$62,0))*IF(INDEX(Simulations!$I$3:$I$62,MATCH($A83,Simulations!$A$3:$A$62,0))&gt;0,INDEX(Simulations!$I$3:$I$62,MATCH($A83,Simulations!$A$3:$A$62,0)),1))*$G83*(PI()/2*INDEX(Simulations!$T$3:$T$62,MATCH($A83,Simulations!$A$3:$A$62,0))^2*IF(INDEX(Simulations!$I$3:$I$62,MATCH($A83,Simulations!$A$3:$A$62,0))&gt;0,SQRT(PI()/2)*INDEX(Simulations!$U$3:$U$62,MATCH($A83,Simulations!$A$3:$A$62,0)),1)),$D83/(INDEX(Simulations!$G$3:$G$62,MATCH($A83,Simulations!$A$3:$A$62,0))*INDEX(Simulations!$H$3:$H$62,MATCH($A83,Simulations!$A$3:$A$62,0))*IF(INDEX(Simulations!$I$3:$I$62,MATCH($A83,Simulations!$A$3:$A$62,0))&gt;0,INDEX(Simulations!$I$3:$I$62,MATCH($A83,Simulations!$A$3:$A$62,0)),1))*INDEX(Simulations!$J$3:$J$62,MATCH($A83,Simulations!$A$3:$A$62,0))*IF(INDEX(Simulations!$I$3:$I$62,MATCH($A83,Simulations!$A$3:$A$62,0))&gt;0,2*PI()*INDEX(Simulations!$T$3:$T$62,MATCH($A83,Simulations!$A$3:$A$62,0))^2*INDEX(Simulations!$U$3:$U$62,MATCH($A83,Simulations!$A$3:$A$62,0))/2^1.5*(2/3*LN($G83/INDEX(Simulations!$J$3:$J$62,MATCH($A83,Simulations!$A$3:$A$62,0)))^1.5+SQRT(LN($G83/INDEX(Simulations!$J$3:$J$62,MATCH($A83,Simulations!$A$3:$A$62,0))))+$G83/INDEX(Simulations!$J$3:$J$62,MATCH($A83,Simulations!$A$3:$A$62,0))*SQRT(PI())/2*ERFC(SQRT(LN($G83/INDEX(Simulations!$J$3:$J$62,MATCH($A83,Simulations!$A$3:$A$62,0)))))),PI()*INDEX(Simulations!$T$3:$T$62,MATCH($A83,Simulations!$A$3:$A$62,0))^2/2*(LN($G83/INDEX(Simulations!$J$3:$J$62,MATCH($A83,Simulations!$A$3:$A$62,0)))+1)))))</f>
        <v/>
      </c>
      <c r="T83" s="16" t="str">
        <f aca="false">IF(OR($A83="",ISNA(MATCH($A83,Simulations!$A$3:$A$62,0))),"",IF(N($H83)&lt;=0,0,IF($H83&lt;INDEX(Simulations!$J$3:$J$62,MATCH($A83,Simulations!$A$3:$A$62,0)),$D83/(INDEX(Simulations!$G$3:$G$62,MATCH($A83,Simulations!$A$3:$A$62,0))*INDEX(Simulations!$H$3:$H$62,MATCH($A83,Simulations!$A$3:$A$62,0))*IF(INDEX(Simulations!$I$3:$I$62,MATCH($A83,Simulations!$A$3:$A$62,0))&gt;0,INDEX(Simulations!$I$3:$I$62,MATCH($A83,Simulations!$A$3:$A$62,0)),1))*$H83*(PI()/2*INDEX(Simulations!$T$3:$T$62,MATCH($A83,Simulations!$A$3:$A$62,0))^2*IF(INDEX(Simulations!$I$3:$I$62,MATCH($A83,Simulations!$A$3:$A$62,0))&gt;0,SQRT(PI()/2)*INDEX(Simulations!$U$3:$U$62,MATCH($A83,Simulations!$A$3:$A$62,0)),1)),$D83/(INDEX(Simulations!$G$3:$G$62,MATCH($A83,Simulations!$A$3:$A$62,0))*INDEX(Simulations!$H$3:$H$62,MATCH($A83,Simulations!$A$3:$A$62,0))*IF(INDEX(Simulations!$I$3:$I$62,MATCH($A83,Simulations!$A$3:$A$62,0))&gt;0,INDEX(Simulations!$I$3:$I$62,MATCH($A83,Simulations!$A$3:$A$62,0)),1))*INDEX(Simulations!$J$3:$J$62,MATCH($A83,Simulations!$A$3:$A$62,0))*IF(INDEX(Simulations!$I$3:$I$62,MATCH($A83,Simulations!$A$3:$A$62,0))&gt;0,2*PI()*INDEX(Simulations!$T$3:$T$62,MATCH($A83,Simulations!$A$3:$A$62,0))^2*INDEX(Simulations!$U$3:$U$62,MATCH($A83,Simulations!$A$3:$A$62,0))/2^1.5*(2/3*LN($H83/INDEX(Simulations!$J$3:$J$62,MATCH($A83,Simulations!$A$3:$A$62,0)))^1.5+SQRT(LN($H83/INDEX(Simulations!$J$3:$J$62,MATCH($A83,Simulations!$A$3:$A$62,0))))+$H83/INDEX(Simulations!$J$3:$J$62,MATCH($A83,Simulations!$A$3:$A$62,0))*SQRT(PI())/2*ERFC(SQRT(LN($H83/INDEX(Simulations!$J$3:$J$62,MATCH($A83,Simulations!$A$3:$A$62,0)))))),PI()*INDEX(Simulations!$T$3:$T$62,MATCH($A83,Simulations!$A$3:$A$62,0))^2/2*(LN($H83/INDEX(Simulations!$J$3:$J$62,MATCH($A83,Simulations!$A$3:$A$62,0)))+1)))))</f>
        <v/>
      </c>
      <c r="U83" s="18" t="str">
        <f aca="false">IF(OR(OR($A83="",ISNA(MATCH($A83,Simulations!$A$3:$A$62,0))),N($C83)&lt;=0),"",SQRT(2*$C83*1000000/(INDEX(Simulations!$J$3:$J$62,MATCH($A83,Simulations!$A$3:$A$62,0))*1000))/INDEX(Simulations!$T$3:$T$62,MATCH($A83,Simulations!$A$3:$A$62,0)))</f>
        <v/>
      </c>
      <c r="V83" s="19" t="str">
        <f aca="false">IF($A83="","",IF(ISNA(MATCH($A83,Simulations!$A$3:$A$62,0)),"✖ Sim ID not found on the Simulations sheet",IF($P83&gt;=1,"✖ brightness &gt;= sampling frequency: completely saturated (D too small, c too large)",IF($P83&gt;0.1,"⚠ brightness &gt; 10% of the sampling frequency: focus starts to saturate",IF(N($U83)&gt;0.1,"⚠ diffusion step &gt; 10% of wr: raise the sampling frequency",IF(MAX($E83:$H83)=0,"⚠ no brightness set","✔ OK"))))))</f>
        <v/>
      </c>
    </row>
    <row r="84" customFormat="false" ht="15" hidden="false" customHeight="false" outlineLevel="0" collapsed="false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4"/>
      <c r="O84" s="18" t="str">
        <f aca="false">IF(OR($A84="",ISNA(MATCH($A84,Simulations!$A$3:$A$62,0))),"",IF(INDEX(Simulations!$I$3:$I$62,MATCH($A84,Simulations!$A$3:$A$62,0))&gt;0,$D84/(INDEX(Simulations!$G$3:$G$62,MATCH($A84,Simulations!$A$3:$A$62,0))*INDEX(Simulations!$H$3:$H$62,MATCH($A84,Simulations!$A$3:$A$62,0))*IF(INDEX(Simulations!$I$3:$I$62,MATCH($A84,Simulations!$A$3:$A$62,0))&gt;0,INDEX(Simulations!$I$3:$I$62,MATCH($A84,Simulations!$A$3:$A$62,0)),1))/1E-024/6.022E+023/0.000000001,""))</f>
        <v/>
      </c>
      <c r="P84" s="20" t="str">
        <f aca="false">IF(OR($A84="",ISNA(MATCH($A84,Simulations!$A$3:$A$62,0))),"",MAX($E84:$H84)/INDEX(Simulations!$J$3:$J$62,MATCH($A84,Simulations!$A$3:$A$62,0)))</f>
        <v/>
      </c>
      <c r="Q84" s="16" t="str">
        <f aca="false">IF(OR($A84="",ISNA(MATCH($A84,Simulations!$A$3:$A$62,0))),"",IF(N($E84)&lt;=0,0,IF($E84&lt;INDEX(Simulations!$J$3:$J$62,MATCH($A84,Simulations!$A$3:$A$62,0)),$D84/(INDEX(Simulations!$G$3:$G$62,MATCH($A84,Simulations!$A$3:$A$62,0))*INDEX(Simulations!$H$3:$H$62,MATCH($A84,Simulations!$A$3:$A$62,0))*IF(INDEX(Simulations!$I$3:$I$62,MATCH($A84,Simulations!$A$3:$A$62,0))&gt;0,INDEX(Simulations!$I$3:$I$62,MATCH($A84,Simulations!$A$3:$A$62,0)),1))*$E84*(PI()/2*INDEX(Simulations!$T$3:$T$62,MATCH($A84,Simulations!$A$3:$A$62,0))^2*IF(INDEX(Simulations!$I$3:$I$62,MATCH($A84,Simulations!$A$3:$A$62,0))&gt;0,SQRT(PI()/2)*INDEX(Simulations!$U$3:$U$62,MATCH($A84,Simulations!$A$3:$A$62,0)),1)),$D84/(INDEX(Simulations!$G$3:$G$62,MATCH($A84,Simulations!$A$3:$A$62,0))*INDEX(Simulations!$H$3:$H$62,MATCH($A84,Simulations!$A$3:$A$62,0))*IF(INDEX(Simulations!$I$3:$I$62,MATCH($A84,Simulations!$A$3:$A$62,0))&gt;0,INDEX(Simulations!$I$3:$I$62,MATCH($A84,Simulations!$A$3:$A$62,0)),1))*INDEX(Simulations!$J$3:$J$62,MATCH($A84,Simulations!$A$3:$A$62,0))*IF(INDEX(Simulations!$I$3:$I$62,MATCH($A84,Simulations!$A$3:$A$62,0))&gt;0,2*PI()*INDEX(Simulations!$T$3:$T$62,MATCH($A84,Simulations!$A$3:$A$62,0))^2*INDEX(Simulations!$U$3:$U$62,MATCH($A84,Simulations!$A$3:$A$62,0))/2^1.5*(2/3*LN($E84/INDEX(Simulations!$J$3:$J$62,MATCH($A84,Simulations!$A$3:$A$62,0)))^1.5+SQRT(LN($E84/INDEX(Simulations!$J$3:$J$62,MATCH($A84,Simulations!$A$3:$A$62,0))))+$E84/INDEX(Simulations!$J$3:$J$62,MATCH($A84,Simulations!$A$3:$A$62,0))*SQRT(PI())/2*ERFC(SQRT(LN($E84/INDEX(Simulations!$J$3:$J$62,MATCH($A84,Simulations!$A$3:$A$62,0)))))),PI()*INDEX(Simulations!$T$3:$T$62,MATCH($A84,Simulations!$A$3:$A$62,0))^2/2*(LN($E84/INDEX(Simulations!$J$3:$J$62,MATCH($A84,Simulations!$A$3:$A$62,0)))+1)))))</f>
        <v/>
      </c>
      <c r="R84" s="16" t="str">
        <f aca="false">IF(OR($A84="",ISNA(MATCH($A84,Simulations!$A$3:$A$62,0))),"",IF(N($F84)&lt;=0,0,IF($F84&lt;INDEX(Simulations!$J$3:$J$62,MATCH($A84,Simulations!$A$3:$A$62,0)),$D84/(INDEX(Simulations!$G$3:$G$62,MATCH($A84,Simulations!$A$3:$A$62,0))*INDEX(Simulations!$H$3:$H$62,MATCH($A84,Simulations!$A$3:$A$62,0))*IF(INDEX(Simulations!$I$3:$I$62,MATCH($A84,Simulations!$A$3:$A$62,0))&gt;0,INDEX(Simulations!$I$3:$I$62,MATCH($A84,Simulations!$A$3:$A$62,0)),1))*$F84*(PI()/2*INDEX(Simulations!$T$3:$T$62,MATCH($A84,Simulations!$A$3:$A$62,0))^2*IF(INDEX(Simulations!$I$3:$I$62,MATCH($A84,Simulations!$A$3:$A$62,0))&gt;0,SQRT(PI()/2)*INDEX(Simulations!$U$3:$U$62,MATCH($A84,Simulations!$A$3:$A$62,0)),1)),$D84/(INDEX(Simulations!$G$3:$G$62,MATCH($A84,Simulations!$A$3:$A$62,0))*INDEX(Simulations!$H$3:$H$62,MATCH($A84,Simulations!$A$3:$A$62,0))*IF(INDEX(Simulations!$I$3:$I$62,MATCH($A84,Simulations!$A$3:$A$62,0))&gt;0,INDEX(Simulations!$I$3:$I$62,MATCH($A84,Simulations!$A$3:$A$62,0)),1))*INDEX(Simulations!$J$3:$J$62,MATCH($A84,Simulations!$A$3:$A$62,0))*IF(INDEX(Simulations!$I$3:$I$62,MATCH($A84,Simulations!$A$3:$A$62,0))&gt;0,2*PI()*INDEX(Simulations!$T$3:$T$62,MATCH($A84,Simulations!$A$3:$A$62,0))^2*INDEX(Simulations!$U$3:$U$62,MATCH($A84,Simulations!$A$3:$A$62,0))/2^1.5*(2/3*LN($F84/INDEX(Simulations!$J$3:$J$62,MATCH($A84,Simulations!$A$3:$A$62,0)))^1.5+SQRT(LN($F84/INDEX(Simulations!$J$3:$J$62,MATCH($A84,Simulations!$A$3:$A$62,0))))+$F84/INDEX(Simulations!$J$3:$J$62,MATCH($A84,Simulations!$A$3:$A$62,0))*SQRT(PI())/2*ERFC(SQRT(LN($F84/INDEX(Simulations!$J$3:$J$62,MATCH($A84,Simulations!$A$3:$A$62,0)))))),PI()*INDEX(Simulations!$T$3:$T$62,MATCH($A84,Simulations!$A$3:$A$62,0))^2/2*(LN($F84/INDEX(Simulations!$J$3:$J$62,MATCH($A84,Simulations!$A$3:$A$62,0)))+1)))))</f>
        <v/>
      </c>
      <c r="S84" s="16" t="str">
        <f aca="false">IF(OR($A84="",ISNA(MATCH($A84,Simulations!$A$3:$A$62,0))),"",IF(N($G84)&lt;=0,0,IF($G84&lt;INDEX(Simulations!$J$3:$J$62,MATCH($A84,Simulations!$A$3:$A$62,0)),$D84/(INDEX(Simulations!$G$3:$G$62,MATCH($A84,Simulations!$A$3:$A$62,0))*INDEX(Simulations!$H$3:$H$62,MATCH($A84,Simulations!$A$3:$A$62,0))*IF(INDEX(Simulations!$I$3:$I$62,MATCH($A84,Simulations!$A$3:$A$62,0))&gt;0,INDEX(Simulations!$I$3:$I$62,MATCH($A84,Simulations!$A$3:$A$62,0)),1))*$G84*(PI()/2*INDEX(Simulations!$T$3:$T$62,MATCH($A84,Simulations!$A$3:$A$62,0))^2*IF(INDEX(Simulations!$I$3:$I$62,MATCH($A84,Simulations!$A$3:$A$62,0))&gt;0,SQRT(PI()/2)*INDEX(Simulations!$U$3:$U$62,MATCH($A84,Simulations!$A$3:$A$62,0)),1)),$D84/(INDEX(Simulations!$G$3:$G$62,MATCH($A84,Simulations!$A$3:$A$62,0))*INDEX(Simulations!$H$3:$H$62,MATCH($A84,Simulations!$A$3:$A$62,0))*IF(INDEX(Simulations!$I$3:$I$62,MATCH($A84,Simulations!$A$3:$A$62,0))&gt;0,INDEX(Simulations!$I$3:$I$62,MATCH($A84,Simulations!$A$3:$A$62,0)),1))*INDEX(Simulations!$J$3:$J$62,MATCH($A84,Simulations!$A$3:$A$62,0))*IF(INDEX(Simulations!$I$3:$I$62,MATCH($A84,Simulations!$A$3:$A$62,0))&gt;0,2*PI()*INDEX(Simulations!$T$3:$T$62,MATCH($A84,Simulations!$A$3:$A$62,0))^2*INDEX(Simulations!$U$3:$U$62,MATCH($A84,Simulations!$A$3:$A$62,0))/2^1.5*(2/3*LN($G84/INDEX(Simulations!$J$3:$J$62,MATCH($A84,Simulations!$A$3:$A$62,0)))^1.5+SQRT(LN($G84/INDEX(Simulations!$J$3:$J$62,MATCH($A84,Simulations!$A$3:$A$62,0))))+$G84/INDEX(Simulations!$J$3:$J$62,MATCH($A84,Simulations!$A$3:$A$62,0))*SQRT(PI())/2*ERFC(SQRT(LN($G84/INDEX(Simulations!$J$3:$J$62,MATCH($A84,Simulations!$A$3:$A$62,0)))))),PI()*INDEX(Simulations!$T$3:$T$62,MATCH($A84,Simulations!$A$3:$A$62,0))^2/2*(LN($G84/INDEX(Simulations!$J$3:$J$62,MATCH($A84,Simulations!$A$3:$A$62,0)))+1)))))</f>
        <v/>
      </c>
      <c r="T84" s="16" t="str">
        <f aca="false">IF(OR($A84="",ISNA(MATCH($A84,Simulations!$A$3:$A$62,0))),"",IF(N($H84)&lt;=0,0,IF($H84&lt;INDEX(Simulations!$J$3:$J$62,MATCH($A84,Simulations!$A$3:$A$62,0)),$D84/(INDEX(Simulations!$G$3:$G$62,MATCH($A84,Simulations!$A$3:$A$62,0))*INDEX(Simulations!$H$3:$H$62,MATCH($A84,Simulations!$A$3:$A$62,0))*IF(INDEX(Simulations!$I$3:$I$62,MATCH($A84,Simulations!$A$3:$A$62,0))&gt;0,INDEX(Simulations!$I$3:$I$62,MATCH($A84,Simulations!$A$3:$A$62,0)),1))*$H84*(PI()/2*INDEX(Simulations!$T$3:$T$62,MATCH($A84,Simulations!$A$3:$A$62,0))^2*IF(INDEX(Simulations!$I$3:$I$62,MATCH($A84,Simulations!$A$3:$A$62,0))&gt;0,SQRT(PI()/2)*INDEX(Simulations!$U$3:$U$62,MATCH($A84,Simulations!$A$3:$A$62,0)),1)),$D84/(INDEX(Simulations!$G$3:$G$62,MATCH($A84,Simulations!$A$3:$A$62,0))*INDEX(Simulations!$H$3:$H$62,MATCH($A84,Simulations!$A$3:$A$62,0))*IF(INDEX(Simulations!$I$3:$I$62,MATCH($A84,Simulations!$A$3:$A$62,0))&gt;0,INDEX(Simulations!$I$3:$I$62,MATCH($A84,Simulations!$A$3:$A$62,0)),1))*INDEX(Simulations!$J$3:$J$62,MATCH($A84,Simulations!$A$3:$A$62,0))*IF(INDEX(Simulations!$I$3:$I$62,MATCH($A84,Simulations!$A$3:$A$62,0))&gt;0,2*PI()*INDEX(Simulations!$T$3:$T$62,MATCH($A84,Simulations!$A$3:$A$62,0))^2*INDEX(Simulations!$U$3:$U$62,MATCH($A84,Simulations!$A$3:$A$62,0))/2^1.5*(2/3*LN($H84/INDEX(Simulations!$J$3:$J$62,MATCH($A84,Simulations!$A$3:$A$62,0)))^1.5+SQRT(LN($H84/INDEX(Simulations!$J$3:$J$62,MATCH($A84,Simulations!$A$3:$A$62,0))))+$H84/INDEX(Simulations!$J$3:$J$62,MATCH($A84,Simulations!$A$3:$A$62,0))*SQRT(PI())/2*ERFC(SQRT(LN($H84/INDEX(Simulations!$J$3:$J$62,MATCH($A84,Simulations!$A$3:$A$62,0)))))),PI()*INDEX(Simulations!$T$3:$T$62,MATCH($A84,Simulations!$A$3:$A$62,0))^2/2*(LN($H84/INDEX(Simulations!$J$3:$J$62,MATCH($A84,Simulations!$A$3:$A$62,0)))+1)))))</f>
        <v/>
      </c>
      <c r="U84" s="18" t="str">
        <f aca="false">IF(OR(OR($A84="",ISNA(MATCH($A84,Simulations!$A$3:$A$62,0))),N($C84)&lt;=0),"",SQRT(2*$C84*1000000/(INDEX(Simulations!$J$3:$J$62,MATCH($A84,Simulations!$A$3:$A$62,0))*1000))/INDEX(Simulations!$T$3:$T$62,MATCH($A84,Simulations!$A$3:$A$62,0)))</f>
        <v/>
      </c>
      <c r="V84" s="19" t="str">
        <f aca="false">IF($A84="","",IF(ISNA(MATCH($A84,Simulations!$A$3:$A$62,0)),"✖ Sim ID not found on the Simulations sheet",IF($P84&gt;=1,"✖ brightness &gt;= sampling frequency: completely saturated (D too small, c too large)",IF($P84&gt;0.1,"⚠ brightness &gt; 10% of the sampling frequency: focus starts to saturate",IF(N($U84)&gt;0.1,"⚠ diffusion step &gt; 10% of wr: raise the sampling frequency",IF(MAX($E84:$H84)=0,"⚠ no brightness set","✔ OK"))))))</f>
        <v/>
      </c>
    </row>
    <row r="85" customFormat="false" ht="15" hidden="false" customHeight="false" outlineLevel="0" collapsed="false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4"/>
      <c r="O85" s="18" t="str">
        <f aca="false">IF(OR($A85="",ISNA(MATCH($A85,Simulations!$A$3:$A$62,0))),"",IF(INDEX(Simulations!$I$3:$I$62,MATCH($A85,Simulations!$A$3:$A$62,0))&gt;0,$D85/(INDEX(Simulations!$G$3:$G$62,MATCH($A85,Simulations!$A$3:$A$62,0))*INDEX(Simulations!$H$3:$H$62,MATCH($A85,Simulations!$A$3:$A$62,0))*IF(INDEX(Simulations!$I$3:$I$62,MATCH($A85,Simulations!$A$3:$A$62,0))&gt;0,INDEX(Simulations!$I$3:$I$62,MATCH($A85,Simulations!$A$3:$A$62,0)),1))/1E-024/6.022E+023/0.000000001,""))</f>
        <v/>
      </c>
      <c r="P85" s="20" t="str">
        <f aca="false">IF(OR($A85="",ISNA(MATCH($A85,Simulations!$A$3:$A$62,0))),"",MAX($E85:$H85)/INDEX(Simulations!$J$3:$J$62,MATCH($A85,Simulations!$A$3:$A$62,0)))</f>
        <v/>
      </c>
      <c r="Q85" s="16" t="str">
        <f aca="false">IF(OR($A85="",ISNA(MATCH($A85,Simulations!$A$3:$A$62,0))),"",IF(N($E85)&lt;=0,0,IF($E85&lt;INDEX(Simulations!$J$3:$J$62,MATCH($A85,Simulations!$A$3:$A$62,0)),$D85/(INDEX(Simulations!$G$3:$G$62,MATCH($A85,Simulations!$A$3:$A$62,0))*INDEX(Simulations!$H$3:$H$62,MATCH($A85,Simulations!$A$3:$A$62,0))*IF(INDEX(Simulations!$I$3:$I$62,MATCH($A85,Simulations!$A$3:$A$62,0))&gt;0,INDEX(Simulations!$I$3:$I$62,MATCH($A85,Simulations!$A$3:$A$62,0)),1))*$E85*(PI()/2*INDEX(Simulations!$T$3:$T$62,MATCH($A85,Simulations!$A$3:$A$62,0))^2*IF(INDEX(Simulations!$I$3:$I$62,MATCH($A85,Simulations!$A$3:$A$62,0))&gt;0,SQRT(PI()/2)*INDEX(Simulations!$U$3:$U$62,MATCH($A85,Simulations!$A$3:$A$62,0)),1)),$D85/(INDEX(Simulations!$G$3:$G$62,MATCH($A85,Simulations!$A$3:$A$62,0))*INDEX(Simulations!$H$3:$H$62,MATCH($A85,Simulations!$A$3:$A$62,0))*IF(INDEX(Simulations!$I$3:$I$62,MATCH($A85,Simulations!$A$3:$A$62,0))&gt;0,INDEX(Simulations!$I$3:$I$62,MATCH($A85,Simulations!$A$3:$A$62,0)),1))*INDEX(Simulations!$J$3:$J$62,MATCH($A85,Simulations!$A$3:$A$62,0))*IF(INDEX(Simulations!$I$3:$I$62,MATCH($A85,Simulations!$A$3:$A$62,0))&gt;0,2*PI()*INDEX(Simulations!$T$3:$T$62,MATCH($A85,Simulations!$A$3:$A$62,0))^2*INDEX(Simulations!$U$3:$U$62,MATCH($A85,Simulations!$A$3:$A$62,0))/2^1.5*(2/3*LN($E85/INDEX(Simulations!$J$3:$J$62,MATCH($A85,Simulations!$A$3:$A$62,0)))^1.5+SQRT(LN($E85/INDEX(Simulations!$J$3:$J$62,MATCH($A85,Simulations!$A$3:$A$62,0))))+$E85/INDEX(Simulations!$J$3:$J$62,MATCH($A85,Simulations!$A$3:$A$62,0))*SQRT(PI())/2*ERFC(SQRT(LN($E85/INDEX(Simulations!$J$3:$J$62,MATCH($A85,Simulations!$A$3:$A$62,0)))))),PI()*INDEX(Simulations!$T$3:$T$62,MATCH($A85,Simulations!$A$3:$A$62,0))^2/2*(LN($E85/INDEX(Simulations!$J$3:$J$62,MATCH($A85,Simulations!$A$3:$A$62,0)))+1)))))</f>
        <v/>
      </c>
      <c r="R85" s="16" t="str">
        <f aca="false">IF(OR($A85="",ISNA(MATCH($A85,Simulations!$A$3:$A$62,0))),"",IF(N($F85)&lt;=0,0,IF($F85&lt;INDEX(Simulations!$J$3:$J$62,MATCH($A85,Simulations!$A$3:$A$62,0)),$D85/(INDEX(Simulations!$G$3:$G$62,MATCH($A85,Simulations!$A$3:$A$62,0))*INDEX(Simulations!$H$3:$H$62,MATCH($A85,Simulations!$A$3:$A$62,0))*IF(INDEX(Simulations!$I$3:$I$62,MATCH($A85,Simulations!$A$3:$A$62,0))&gt;0,INDEX(Simulations!$I$3:$I$62,MATCH($A85,Simulations!$A$3:$A$62,0)),1))*$F85*(PI()/2*INDEX(Simulations!$T$3:$T$62,MATCH($A85,Simulations!$A$3:$A$62,0))^2*IF(INDEX(Simulations!$I$3:$I$62,MATCH($A85,Simulations!$A$3:$A$62,0))&gt;0,SQRT(PI()/2)*INDEX(Simulations!$U$3:$U$62,MATCH($A85,Simulations!$A$3:$A$62,0)),1)),$D85/(INDEX(Simulations!$G$3:$G$62,MATCH($A85,Simulations!$A$3:$A$62,0))*INDEX(Simulations!$H$3:$H$62,MATCH($A85,Simulations!$A$3:$A$62,0))*IF(INDEX(Simulations!$I$3:$I$62,MATCH($A85,Simulations!$A$3:$A$62,0))&gt;0,INDEX(Simulations!$I$3:$I$62,MATCH($A85,Simulations!$A$3:$A$62,0)),1))*INDEX(Simulations!$J$3:$J$62,MATCH($A85,Simulations!$A$3:$A$62,0))*IF(INDEX(Simulations!$I$3:$I$62,MATCH($A85,Simulations!$A$3:$A$62,0))&gt;0,2*PI()*INDEX(Simulations!$T$3:$T$62,MATCH($A85,Simulations!$A$3:$A$62,0))^2*INDEX(Simulations!$U$3:$U$62,MATCH($A85,Simulations!$A$3:$A$62,0))/2^1.5*(2/3*LN($F85/INDEX(Simulations!$J$3:$J$62,MATCH($A85,Simulations!$A$3:$A$62,0)))^1.5+SQRT(LN($F85/INDEX(Simulations!$J$3:$J$62,MATCH($A85,Simulations!$A$3:$A$62,0))))+$F85/INDEX(Simulations!$J$3:$J$62,MATCH($A85,Simulations!$A$3:$A$62,0))*SQRT(PI())/2*ERFC(SQRT(LN($F85/INDEX(Simulations!$J$3:$J$62,MATCH($A85,Simulations!$A$3:$A$62,0)))))),PI()*INDEX(Simulations!$T$3:$T$62,MATCH($A85,Simulations!$A$3:$A$62,0))^2/2*(LN($F85/INDEX(Simulations!$J$3:$J$62,MATCH($A85,Simulations!$A$3:$A$62,0)))+1)))))</f>
        <v/>
      </c>
      <c r="S85" s="16" t="str">
        <f aca="false">IF(OR($A85="",ISNA(MATCH($A85,Simulations!$A$3:$A$62,0))),"",IF(N($G85)&lt;=0,0,IF($G85&lt;INDEX(Simulations!$J$3:$J$62,MATCH($A85,Simulations!$A$3:$A$62,0)),$D85/(INDEX(Simulations!$G$3:$G$62,MATCH($A85,Simulations!$A$3:$A$62,0))*INDEX(Simulations!$H$3:$H$62,MATCH($A85,Simulations!$A$3:$A$62,0))*IF(INDEX(Simulations!$I$3:$I$62,MATCH($A85,Simulations!$A$3:$A$62,0))&gt;0,INDEX(Simulations!$I$3:$I$62,MATCH($A85,Simulations!$A$3:$A$62,0)),1))*$G85*(PI()/2*INDEX(Simulations!$T$3:$T$62,MATCH($A85,Simulations!$A$3:$A$62,0))^2*IF(INDEX(Simulations!$I$3:$I$62,MATCH($A85,Simulations!$A$3:$A$62,0))&gt;0,SQRT(PI()/2)*INDEX(Simulations!$U$3:$U$62,MATCH($A85,Simulations!$A$3:$A$62,0)),1)),$D85/(INDEX(Simulations!$G$3:$G$62,MATCH($A85,Simulations!$A$3:$A$62,0))*INDEX(Simulations!$H$3:$H$62,MATCH($A85,Simulations!$A$3:$A$62,0))*IF(INDEX(Simulations!$I$3:$I$62,MATCH($A85,Simulations!$A$3:$A$62,0))&gt;0,INDEX(Simulations!$I$3:$I$62,MATCH($A85,Simulations!$A$3:$A$62,0)),1))*INDEX(Simulations!$J$3:$J$62,MATCH($A85,Simulations!$A$3:$A$62,0))*IF(INDEX(Simulations!$I$3:$I$62,MATCH($A85,Simulations!$A$3:$A$62,0))&gt;0,2*PI()*INDEX(Simulations!$T$3:$T$62,MATCH($A85,Simulations!$A$3:$A$62,0))^2*INDEX(Simulations!$U$3:$U$62,MATCH($A85,Simulations!$A$3:$A$62,0))/2^1.5*(2/3*LN($G85/INDEX(Simulations!$J$3:$J$62,MATCH($A85,Simulations!$A$3:$A$62,0)))^1.5+SQRT(LN($G85/INDEX(Simulations!$J$3:$J$62,MATCH($A85,Simulations!$A$3:$A$62,0))))+$G85/INDEX(Simulations!$J$3:$J$62,MATCH($A85,Simulations!$A$3:$A$62,0))*SQRT(PI())/2*ERFC(SQRT(LN($G85/INDEX(Simulations!$J$3:$J$62,MATCH($A85,Simulations!$A$3:$A$62,0)))))),PI()*INDEX(Simulations!$T$3:$T$62,MATCH($A85,Simulations!$A$3:$A$62,0))^2/2*(LN($G85/INDEX(Simulations!$J$3:$J$62,MATCH($A85,Simulations!$A$3:$A$62,0)))+1)))))</f>
        <v/>
      </c>
      <c r="T85" s="16" t="str">
        <f aca="false">IF(OR($A85="",ISNA(MATCH($A85,Simulations!$A$3:$A$62,0))),"",IF(N($H85)&lt;=0,0,IF($H85&lt;INDEX(Simulations!$J$3:$J$62,MATCH($A85,Simulations!$A$3:$A$62,0)),$D85/(INDEX(Simulations!$G$3:$G$62,MATCH($A85,Simulations!$A$3:$A$62,0))*INDEX(Simulations!$H$3:$H$62,MATCH($A85,Simulations!$A$3:$A$62,0))*IF(INDEX(Simulations!$I$3:$I$62,MATCH($A85,Simulations!$A$3:$A$62,0))&gt;0,INDEX(Simulations!$I$3:$I$62,MATCH($A85,Simulations!$A$3:$A$62,0)),1))*$H85*(PI()/2*INDEX(Simulations!$T$3:$T$62,MATCH($A85,Simulations!$A$3:$A$62,0))^2*IF(INDEX(Simulations!$I$3:$I$62,MATCH($A85,Simulations!$A$3:$A$62,0))&gt;0,SQRT(PI()/2)*INDEX(Simulations!$U$3:$U$62,MATCH($A85,Simulations!$A$3:$A$62,0)),1)),$D85/(INDEX(Simulations!$G$3:$G$62,MATCH($A85,Simulations!$A$3:$A$62,0))*INDEX(Simulations!$H$3:$H$62,MATCH($A85,Simulations!$A$3:$A$62,0))*IF(INDEX(Simulations!$I$3:$I$62,MATCH($A85,Simulations!$A$3:$A$62,0))&gt;0,INDEX(Simulations!$I$3:$I$62,MATCH($A85,Simulations!$A$3:$A$62,0)),1))*INDEX(Simulations!$J$3:$J$62,MATCH($A85,Simulations!$A$3:$A$62,0))*IF(INDEX(Simulations!$I$3:$I$62,MATCH($A85,Simulations!$A$3:$A$62,0))&gt;0,2*PI()*INDEX(Simulations!$T$3:$T$62,MATCH($A85,Simulations!$A$3:$A$62,0))^2*INDEX(Simulations!$U$3:$U$62,MATCH($A85,Simulations!$A$3:$A$62,0))/2^1.5*(2/3*LN($H85/INDEX(Simulations!$J$3:$J$62,MATCH($A85,Simulations!$A$3:$A$62,0)))^1.5+SQRT(LN($H85/INDEX(Simulations!$J$3:$J$62,MATCH($A85,Simulations!$A$3:$A$62,0))))+$H85/INDEX(Simulations!$J$3:$J$62,MATCH($A85,Simulations!$A$3:$A$62,0))*SQRT(PI())/2*ERFC(SQRT(LN($H85/INDEX(Simulations!$J$3:$J$62,MATCH($A85,Simulations!$A$3:$A$62,0)))))),PI()*INDEX(Simulations!$T$3:$T$62,MATCH($A85,Simulations!$A$3:$A$62,0))^2/2*(LN($H85/INDEX(Simulations!$J$3:$J$62,MATCH($A85,Simulations!$A$3:$A$62,0)))+1)))))</f>
        <v/>
      </c>
      <c r="U85" s="18" t="str">
        <f aca="false">IF(OR(OR($A85="",ISNA(MATCH($A85,Simulations!$A$3:$A$62,0))),N($C85)&lt;=0),"",SQRT(2*$C85*1000000/(INDEX(Simulations!$J$3:$J$62,MATCH($A85,Simulations!$A$3:$A$62,0))*1000))/INDEX(Simulations!$T$3:$T$62,MATCH($A85,Simulations!$A$3:$A$62,0)))</f>
        <v/>
      </c>
      <c r="V85" s="19" t="str">
        <f aca="false">IF($A85="","",IF(ISNA(MATCH($A85,Simulations!$A$3:$A$62,0)),"✖ Sim ID not found on the Simulations sheet",IF($P85&gt;=1,"✖ brightness &gt;= sampling frequency: completely saturated (D too small, c too large)",IF($P85&gt;0.1,"⚠ brightness &gt; 10% of the sampling frequency: focus starts to saturate",IF(N($U85)&gt;0.1,"⚠ diffusion step &gt; 10% of wr: raise the sampling frequency",IF(MAX($E85:$H85)=0,"⚠ no brightness set","✔ OK"))))))</f>
        <v/>
      </c>
    </row>
    <row r="86" customFormat="false" ht="15" hidden="false" customHeight="false" outlineLevel="0" collapsed="false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4"/>
      <c r="O86" s="18" t="str">
        <f aca="false">IF(OR($A86="",ISNA(MATCH($A86,Simulations!$A$3:$A$62,0))),"",IF(INDEX(Simulations!$I$3:$I$62,MATCH($A86,Simulations!$A$3:$A$62,0))&gt;0,$D86/(INDEX(Simulations!$G$3:$G$62,MATCH($A86,Simulations!$A$3:$A$62,0))*INDEX(Simulations!$H$3:$H$62,MATCH($A86,Simulations!$A$3:$A$62,0))*IF(INDEX(Simulations!$I$3:$I$62,MATCH($A86,Simulations!$A$3:$A$62,0))&gt;0,INDEX(Simulations!$I$3:$I$62,MATCH($A86,Simulations!$A$3:$A$62,0)),1))/1E-024/6.022E+023/0.000000001,""))</f>
        <v/>
      </c>
      <c r="P86" s="20" t="str">
        <f aca="false">IF(OR($A86="",ISNA(MATCH($A86,Simulations!$A$3:$A$62,0))),"",MAX($E86:$H86)/INDEX(Simulations!$J$3:$J$62,MATCH($A86,Simulations!$A$3:$A$62,0)))</f>
        <v/>
      </c>
      <c r="Q86" s="16" t="str">
        <f aca="false">IF(OR($A86="",ISNA(MATCH($A86,Simulations!$A$3:$A$62,0))),"",IF(N($E86)&lt;=0,0,IF($E86&lt;INDEX(Simulations!$J$3:$J$62,MATCH($A86,Simulations!$A$3:$A$62,0)),$D86/(INDEX(Simulations!$G$3:$G$62,MATCH($A86,Simulations!$A$3:$A$62,0))*INDEX(Simulations!$H$3:$H$62,MATCH($A86,Simulations!$A$3:$A$62,0))*IF(INDEX(Simulations!$I$3:$I$62,MATCH($A86,Simulations!$A$3:$A$62,0))&gt;0,INDEX(Simulations!$I$3:$I$62,MATCH($A86,Simulations!$A$3:$A$62,0)),1))*$E86*(PI()/2*INDEX(Simulations!$T$3:$T$62,MATCH($A86,Simulations!$A$3:$A$62,0))^2*IF(INDEX(Simulations!$I$3:$I$62,MATCH($A86,Simulations!$A$3:$A$62,0))&gt;0,SQRT(PI()/2)*INDEX(Simulations!$U$3:$U$62,MATCH($A86,Simulations!$A$3:$A$62,0)),1)),$D86/(INDEX(Simulations!$G$3:$G$62,MATCH($A86,Simulations!$A$3:$A$62,0))*INDEX(Simulations!$H$3:$H$62,MATCH($A86,Simulations!$A$3:$A$62,0))*IF(INDEX(Simulations!$I$3:$I$62,MATCH($A86,Simulations!$A$3:$A$62,0))&gt;0,INDEX(Simulations!$I$3:$I$62,MATCH($A86,Simulations!$A$3:$A$62,0)),1))*INDEX(Simulations!$J$3:$J$62,MATCH($A86,Simulations!$A$3:$A$62,0))*IF(INDEX(Simulations!$I$3:$I$62,MATCH($A86,Simulations!$A$3:$A$62,0))&gt;0,2*PI()*INDEX(Simulations!$T$3:$T$62,MATCH($A86,Simulations!$A$3:$A$62,0))^2*INDEX(Simulations!$U$3:$U$62,MATCH($A86,Simulations!$A$3:$A$62,0))/2^1.5*(2/3*LN($E86/INDEX(Simulations!$J$3:$J$62,MATCH($A86,Simulations!$A$3:$A$62,0)))^1.5+SQRT(LN($E86/INDEX(Simulations!$J$3:$J$62,MATCH($A86,Simulations!$A$3:$A$62,0))))+$E86/INDEX(Simulations!$J$3:$J$62,MATCH($A86,Simulations!$A$3:$A$62,0))*SQRT(PI())/2*ERFC(SQRT(LN($E86/INDEX(Simulations!$J$3:$J$62,MATCH($A86,Simulations!$A$3:$A$62,0)))))),PI()*INDEX(Simulations!$T$3:$T$62,MATCH($A86,Simulations!$A$3:$A$62,0))^2/2*(LN($E86/INDEX(Simulations!$J$3:$J$62,MATCH($A86,Simulations!$A$3:$A$62,0)))+1)))))</f>
        <v/>
      </c>
      <c r="R86" s="16" t="str">
        <f aca="false">IF(OR($A86="",ISNA(MATCH($A86,Simulations!$A$3:$A$62,0))),"",IF(N($F86)&lt;=0,0,IF($F86&lt;INDEX(Simulations!$J$3:$J$62,MATCH($A86,Simulations!$A$3:$A$62,0)),$D86/(INDEX(Simulations!$G$3:$G$62,MATCH($A86,Simulations!$A$3:$A$62,0))*INDEX(Simulations!$H$3:$H$62,MATCH($A86,Simulations!$A$3:$A$62,0))*IF(INDEX(Simulations!$I$3:$I$62,MATCH($A86,Simulations!$A$3:$A$62,0))&gt;0,INDEX(Simulations!$I$3:$I$62,MATCH($A86,Simulations!$A$3:$A$62,0)),1))*$F86*(PI()/2*INDEX(Simulations!$T$3:$T$62,MATCH($A86,Simulations!$A$3:$A$62,0))^2*IF(INDEX(Simulations!$I$3:$I$62,MATCH($A86,Simulations!$A$3:$A$62,0))&gt;0,SQRT(PI()/2)*INDEX(Simulations!$U$3:$U$62,MATCH($A86,Simulations!$A$3:$A$62,0)),1)),$D86/(INDEX(Simulations!$G$3:$G$62,MATCH($A86,Simulations!$A$3:$A$62,0))*INDEX(Simulations!$H$3:$H$62,MATCH($A86,Simulations!$A$3:$A$62,0))*IF(INDEX(Simulations!$I$3:$I$62,MATCH($A86,Simulations!$A$3:$A$62,0))&gt;0,INDEX(Simulations!$I$3:$I$62,MATCH($A86,Simulations!$A$3:$A$62,0)),1))*INDEX(Simulations!$J$3:$J$62,MATCH($A86,Simulations!$A$3:$A$62,0))*IF(INDEX(Simulations!$I$3:$I$62,MATCH($A86,Simulations!$A$3:$A$62,0))&gt;0,2*PI()*INDEX(Simulations!$T$3:$T$62,MATCH($A86,Simulations!$A$3:$A$62,0))^2*INDEX(Simulations!$U$3:$U$62,MATCH($A86,Simulations!$A$3:$A$62,0))/2^1.5*(2/3*LN($F86/INDEX(Simulations!$J$3:$J$62,MATCH($A86,Simulations!$A$3:$A$62,0)))^1.5+SQRT(LN($F86/INDEX(Simulations!$J$3:$J$62,MATCH($A86,Simulations!$A$3:$A$62,0))))+$F86/INDEX(Simulations!$J$3:$J$62,MATCH($A86,Simulations!$A$3:$A$62,0))*SQRT(PI())/2*ERFC(SQRT(LN($F86/INDEX(Simulations!$J$3:$J$62,MATCH($A86,Simulations!$A$3:$A$62,0)))))),PI()*INDEX(Simulations!$T$3:$T$62,MATCH($A86,Simulations!$A$3:$A$62,0))^2/2*(LN($F86/INDEX(Simulations!$J$3:$J$62,MATCH($A86,Simulations!$A$3:$A$62,0)))+1)))))</f>
        <v/>
      </c>
      <c r="S86" s="16" t="str">
        <f aca="false">IF(OR($A86="",ISNA(MATCH($A86,Simulations!$A$3:$A$62,0))),"",IF(N($G86)&lt;=0,0,IF($G86&lt;INDEX(Simulations!$J$3:$J$62,MATCH($A86,Simulations!$A$3:$A$62,0)),$D86/(INDEX(Simulations!$G$3:$G$62,MATCH($A86,Simulations!$A$3:$A$62,0))*INDEX(Simulations!$H$3:$H$62,MATCH($A86,Simulations!$A$3:$A$62,0))*IF(INDEX(Simulations!$I$3:$I$62,MATCH($A86,Simulations!$A$3:$A$62,0))&gt;0,INDEX(Simulations!$I$3:$I$62,MATCH($A86,Simulations!$A$3:$A$62,0)),1))*$G86*(PI()/2*INDEX(Simulations!$T$3:$T$62,MATCH($A86,Simulations!$A$3:$A$62,0))^2*IF(INDEX(Simulations!$I$3:$I$62,MATCH($A86,Simulations!$A$3:$A$62,0))&gt;0,SQRT(PI()/2)*INDEX(Simulations!$U$3:$U$62,MATCH($A86,Simulations!$A$3:$A$62,0)),1)),$D86/(INDEX(Simulations!$G$3:$G$62,MATCH($A86,Simulations!$A$3:$A$62,0))*INDEX(Simulations!$H$3:$H$62,MATCH($A86,Simulations!$A$3:$A$62,0))*IF(INDEX(Simulations!$I$3:$I$62,MATCH($A86,Simulations!$A$3:$A$62,0))&gt;0,INDEX(Simulations!$I$3:$I$62,MATCH($A86,Simulations!$A$3:$A$62,0)),1))*INDEX(Simulations!$J$3:$J$62,MATCH($A86,Simulations!$A$3:$A$62,0))*IF(INDEX(Simulations!$I$3:$I$62,MATCH($A86,Simulations!$A$3:$A$62,0))&gt;0,2*PI()*INDEX(Simulations!$T$3:$T$62,MATCH($A86,Simulations!$A$3:$A$62,0))^2*INDEX(Simulations!$U$3:$U$62,MATCH($A86,Simulations!$A$3:$A$62,0))/2^1.5*(2/3*LN($G86/INDEX(Simulations!$J$3:$J$62,MATCH($A86,Simulations!$A$3:$A$62,0)))^1.5+SQRT(LN($G86/INDEX(Simulations!$J$3:$J$62,MATCH($A86,Simulations!$A$3:$A$62,0))))+$G86/INDEX(Simulations!$J$3:$J$62,MATCH($A86,Simulations!$A$3:$A$62,0))*SQRT(PI())/2*ERFC(SQRT(LN($G86/INDEX(Simulations!$J$3:$J$62,MATCH($A86,Simulations!$A$3:$A$62,0)))))),PI()*INDEX(Simulations!$T$3:$T$62,MATCH($A86,Simulations!$A$3:$A$62,0))^2/2*(LN($G86/INDEX(Simulations!$J$3:$J$62,MATCH($A86,Simulations!$A$3:$A$62,0)))+1)))))</f>
        <v/>
      </c>
      <c r="T86" s="16" t="str">
        <f aca="false">IF(OR($A86="",ISNA(MATCH($A86,Simulations!$A$3:$A$62,0))),"",IF(N($H86)&lt;=0,0,IF($H86&lt;INDEX(Simulations!$J$3:$J$62,MATCH($A86,Simulations!$A$3:$A$62,0)),$D86/(INDEX(Simulations!$G$3:$G$62,MATCH($A86,Simulations!$A$3:$A$62,0))*INDEX(Simulations!$H$3:$H$62,MATCH($A86,Simulations!$A$3:$A$62,0))*IF(INDEX(Simulations!$I$3:$I$62,MATCH($A86,Simulations!$A$3:$A$62,0))&gt;0,INDEX(Simulations!$I$3:$I$62,MATCH($A86,Simulations!$A$3:$A$62,0)),1))*$H86*(PI()/2*INDEX(Simulations!$T$3:$T$62,MATCH($A86,Simulations!$A$3:$A$62,0))^2*IF(INDEX(Simulations!$I$3:$I$62,MATCH($A86,Simulations!$A$3:$A$62,0))&gt;0,SQRT(PI()/2)*INDEX(Simulations!$U$3:$U$62,MATCH($A86,Simulations!$A$3:$A$62,0)),1)),$D86/(INDEX(Simulations!$G$3:$G$62,MATCH($A86,Simulations!$A$3:$A$62,0))*INDEX(Simulations!$H$3:$H$62,MATCH($A86,Simulations!$A$3:$A$62,0))*IF(INDEX(Simulations!$I$3:$I$62,MATCH($A86,Simulations!$A$3:$A$62,0))&gt;0,INDEX(Simulations!$I$3:$I$62,MATCH($A86,Simulations!$A$3:$A$62,0)),1))*INDEX(Simulations!$J$3:$J$62,MATCH($A86,Simulations!$A$3:$A$62,0))*IF(INDEX(Simulations!$I$3:$I$62,MATCH($A86,Simulations!$A$3:$A$62,0))&gt;0,2*PI()*INDEX(Simulations!$T$3:$T$62,MATCH($A86,Simulations!$A$3:$A$62,0))^2*INDEX(Simulations!$U$3:$U$62,MATCH($A86,Simulations!$A$3:$A$62,0))/2^1.5*(2/3*LN($H86/INDEX(Simulations!$J$3:$J$62,MATCH($A86,Simulations!$A$3:$A$62,0)))^1.5+SQRT(LN($H86/INDEX(Simulations!$J$3:$J$62,MATCH($A86,Simulations!$A$3:$A$62,0))))+$H86/INDEX(Simulations!$J$3:$J$62,MATCH($A86,Simulations!$A$3:$A$62,0))*SQRT(PI())/2*ERFC(SQRT(LN($H86/INDEX(Simulations!$J$3:$J$62,MATCH($A86,Simulations!$A$3:$A$62,0)))))),PI()*INDEX(Simulations!$T$3:$T$62,MATCH($A86,Simulations!$A$3:$A$62,0))^2/2*(LN($H86/INDEX(Simulations!$J$3:$J$62,MATCH($A86,Simulations!$A$3:$A$62,0)))+1)))))</f>
        <v/>
      </c>
      <c r="U86" s="18" t="str">
        <f aca="false">IF(OR(OR($A86="",ISNA(MATCH($A86,Simulations!$A$3:$A$62,0))),N($C86)&lt;=0),"",SQRT(2*$C86*1000000/(INDEX(Simulations!$J$3:$J$62,MATCH($A86,Simulations!$A$3:$A$62,0))*1000))/INDEX(Simulations!$T$3:$T$62,MATCH($A86,Simulations!$A$3:$A$62,0)))</f>
        <v/>
      </c>
      <c r="V86" s="19" t="str">
        <f aca="false">IF($A86="","",IF(ISNA(MATCH($A86,Simulations!$A$3:$A$62,0)),"✖ Sim ID not found on the Simulations sheet",IF($P86&gt;=1,"✖ brightness &gt;= sampling frequency: completely saturated (D too small, c too large)",IF($P86&gt;0.1,"⚠ brightness &gt; 10% of the sampling frequency: focus starts to saturate",IF(N($U86)&gt;0.1,"⚠ diffusion step &gt; 10% of wr: raise the sampling frequency",IF(MAX($E86:$H86)=0,"⚠ no brightness set","✔ OK"))))))</f>
        <v/>
      </c>
    </row>
    <row r="87" customFormat="false" ht="15" hidden="false" customHeight="false" outlineLevel="0" collapsed="false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4"/>
      <c r="O87" s="18" t="str">
        <f aca="false">IF(OR($A87="",ISNA(MATCH($A87,Simulations!$A$3:$A$62,0))),"",IF(INDEX(Simulations!$I$3:$I$62,MATCH($A87,Simulations!$A$3:$A$62,0))&gt;0,$D87/(INDEX(Simulations!$G$3:$G$62,MATCH($A87,Simulations!$A$3:$A$62,0))*INDEX(Simulations!$H$3:$H$62,MATCH($A87,Simulations!$A$3:$A$62,0))*IF(INDEX(Simulations!$I$3:$I$62,MATCH($A87,Simulations!$A$3:$A$62,0))&gt;0,INDEX(Simulations!$I$3:$I$62,MATCH($A87,Simulations!$A$3:$A$62,0)),1))/1E-024/6.022E+023/0.000000001,""))</f>
        <v/>
      </c>
      <c r="P87" s="20" t="str">
        <f aca="false">IF(OR($A87="",ISNA(MATCH($A87,Simulations!$A$3:$A$62,0))),"",MAX($E87:$H87)/INDEX(Simulations!$J$3:$J$62,MATCH($A87,Simulations!$A$3:$A$62,0)))</f>
        <v/>
      </c>
      <c r="Q87" s="16" t="str">
        <f aca="false">IF(OR($A87="",ISNA(MATCH($A87,Simulations!$A$3:$A$62,0))),"",IF(N($E87)&lt;=0,0,IF($E87&lt;INDEX(Simulations!$J$3:$J$62,MATCH($A87,Simulations!$A$3:$A$62,0)),$D87/(INDEX(Simulations!$G$3:$G$62,MATCH($A87,Simulations!$A$3:$A$62,0))*INDEX(Simulations!$H$3:$H$62,MATCH($A87,Simulations!$A$3:$A$62,0))*IF(INDEX(Simulations!$I$3:$I$62,MATCH($A87,Simulations!$A$3:$A$62,0))&gt;0,INDEX(Simulations!$I$3:$I$62,MATCH($A87,Simulations!$A$3:$A$62,0)),1))*$E87*(PI()/2*INDEX(Simulations!$T$3:$T$62,MATCH($A87,Simulations!$A$3:$A$62,0))^2*IF(INDEX(Simulations!$I$3:$I$62,MATCH($A87,Simulations!$A$3:$A$62,0))&gt;0,SQRT(PI()/2)*INDEX(Simulations!$U$3:$U$62,MATCH($A87,Simulations!$A$3:$A$62,0)),1)),$D87/(INDEX(Simulations!$G$3:$G$62,MATCH($A87,Simulations!$A$3:$A$62,0))*INDEX(Simulations!$H$3:$H$62,MATCH($A87,Simulations!$A$3:$A$62,0))*IF(INDEX(Simulations!$I$3:$I$62,MATCH($A87,Simulations!$A$3:$A$62,0))&gt;0,INDEX(Simulations!$I$3:$I$62,MATCH($A87,Simulations!$A$3:$A$62,0)),1))*INDEX(Simulations!$J$3:$J$62,MATCH($A87,Simulations!$A$3:$A$62,0))*IF(INDEX(Simulations!$I$3:$I$62,MATCH($A87,Simulations!$A$3:$A$62,0))&gt;0,2*PI()*INDEX(Simulations!$T$3:$T$62,MATCH($A87,Simulations!$A$3:$A$62,0))^2*INDEX(Simulations!$U$3:$U$62,MATCH($A87,Simulations!$A$3:$A$62,0))/2^1.5*(2/3*LN($E87/INDEX(Simulations!$J$3:$J$62,MATCH($A87,Simulations!$A$3:$A$62,0)))^1.5+SQRT(LN($E87/INDEX(Simulations!$J$3:$J$62,MATCH($A87,Simulations!$A$3:$A$62,0))))+$E87/INDEX(Simulations!$J$3:$J$62,MATCH($A87,Simulations!$A$3:$A$62,0))*SQRT(PI())/2*ERFC(SQRT(LN($E87/INDEX(Simulations!$J$3:$J$62,MATCH($A87,Simulations!$A$3:$A$62,0)))))),PI()*INDEX(Simulations!$T$3:$T$62,MATCH($A87,Simulations!$A$3:$A$62,0))^2/2*(LN($E87/INDEX(Simulations!$J$3:$J$62,MATCH($A87,Simulations!$A$3:$A$62,0)))+1)))))</f>
        <v/>
      </c>
      <c r="R87" s="16" t="str">
        <f aca="false">IF(OR($A87="",ISNA(MATCH($A87,Simulations!$A$3:$A$62,0))),"",IF(N($F87)&lt;=0,0,IF($F87&lt;INDEX(Simulations!$J$3:$J$62,MATCH($A87,Simulations!$A$3:$A$62,0)),$D87/(INDEX(Simulations!$G$3:$G$62,MATCH($A87,Simulations!$A$3:$A$62,0))*INDEX(Simulations!$H$3:$H$62,MATCH($A87,Simulations!$A$3:$A$62,0))*IF(INDEX(Simulations!$I$3:$I$62,MATCH($A87,Simulations!$A$3:$A$62,0))&gt;0,INDEX(Simulations!$I$3:$I$62,MATCH($A87,Simulations!$A$3:$A$62,0)),1))*$F87*(PI()/2*INDEX(Simulations!$T$3:$T$62,MATCH($A87,Simulations!$A$3:$A$62,0))^2*IF(INDEX(Simulations!$I$3:$I$62,MATCH($A87,Simulations!$A$3:$A$62,0))&gt;0,SQRT(PI()/2)*INDEX(Simulations!$U$3:$U$62,MATCH($A87,Simulations!$A$3:$A$62,0)),1)),$D87/(INDEX(Simulations!$G$3:$G$62,MATCH($A87,Simulations!$A$3:$A$62,0))*INDEX(Simulations!$H$3:$H$62,MATCH($A87,Simulations!$A$3:$A$62,0))*IF(INDEX(Simulations!$I$3:$I$62,MATCH($A87,Simulations!$A$3:$A$62,0))&gt;0,INDEX(Simulations!$I$3:$I$62,MATCH($A87,Simulations!$A$3:$A$62,0)),1))*INDEX(Simulations!$J$3:$J$62,MATCH($A87,Simulations!$A$3:$A$62,0))*IF(INDEX(Simulations!$I$3:$I$62,MATCH($A87,Simulations!$A$3:$A$62,0))&gt;0,2*PI()*INDEX(Simulations!$T$3:$T$62,MATCH($A87,Simulations!$A$3:$A$62,0))^2*INDEX(Simulations!$U$3:$U$62,MATCH($A87,Simulations!$A$3:$A$62,0))/2^1.5*(2/3*LN($F87/INDEX(Simulations!$J$3:$J$62,MATCH($A87,Simulations!$A$3:$A$62,0)))^1.5+SQRT(LN($F87/INDEX(Simulations!$J$3:$J$62,MATCH($A87,Simulations!$A$3:$A$62,0))))+$F87/INDEX(Simulations!$J$3:$J$62,MATCH($A87,Simulations!$A$3:$A$62,0))*SQRT(PI())/2*ERFC(SQRT(LN($F87/INDEX(Simulations!$J$3:$J$62,MATCH($A87,Simulations!$A$3:$A$62,0)))))),PI()*INDEX(Simulations!$T$3:$T$62,MATCH($A87,Simulations!$A$3:$A$62,0))^2/2*(LN($F87/INDEX(Simulations!$J$3:$J$62,MATCH($A87,Simulations!$A$3:$A$62,0)))+1)))))</f>
        <v/>
      </c>
      <c r="S87" s="16" t="str">
        <f aca="false">IF(OR($A87="",ISNA(MATCH($A87,Simulations!$A$3:$A$62,0))),"",IF(N($G87)&lt;=0,0,IF($G87&lt;INDEX(Simulations!$J$3:$J$62,MATCH($A87,Simulations!$A$3:$A$62,0)),$D87/(INDEX(Simulations!$G$3:$G$62,MATCH($A87,Simulations!$A$3:$A$62,0))*INDEX(Simulations!$H$3:$H$62,MATCH($A87,Simulations!$A$3:$A$62,0))*IF(INDEX(Simulations!$I$3:$I$62,MATCH($A87,Simulations!$A$3:$A$62,0))&gt;0,INDEX(Simulations!$I$3:$I$62,MATCH($A87,Simulations!$A$3:$A$62,0)),1))*$G87*(PI()/2*INDEX(Simulations!$T$3:$T$62,MATCH($A87,Simulations!$A$3:$A$62,0))^2*IF(INDEX(Simulations!$I$3:$I$62,MATCH($A87,Simulations!$A$3:$A$62,0))&gt;0,SQRT(PI()/2)*INDEX(Simulations!$U$3:$U$62,MATCH($A87,Simulations!$A$3:$A$62,0)),1)),$D87/(INDEX(Simulations!$G$3:$G$62,MATCH($A87,Simulations!$A$3:$A$62,0))*INDEX(Simulations!$H$3:$H$62,MATCH($A87,Simulations!$A$3:$A$62,0))*IF(INDEX(Simulations!$I$3:$I$62,MATCH($A87,Simulations!$A$3:$A$62,0))&gt;0,INDEX(Simulations!$I$3:$I$62,MATCH($A87,Simulations!$A$3:$A$62,0)),1))*INDEX(Simulations!$J$3:$J$62,MATCH($A87,Simulations!$A$3:$A$62,0))*IF(INDEX(Simulations!$I$3:$I$62,MATCH($A87,Simulations!$A$3:$A$62,0))&gt;0,2*PI()*INDEX(Simulations!$T$3:$T$62,MATCH($A87,Simulations!$A$3:$A$62,0))^2*INDEX(Simulations!$U$3:$U$62,MATCH($A87,Simulations!$A$3:$A$62,0))/2^1.5*(2/3*LN($G87/INDEX(Simulations!$J$3:$J$62,MATCH($A87,Simulations!$A$3:$A$62,0)))^1.5+SQRT(LN($G87/INDEX(Simulations!$J$3:$J$62,MATCH($A87,Simulations!$A$3:$A$62,0))))+$G87/INDEX(Simulations!$J$3:$J$62,MATCH($A87,Simulations!$A$3:$A$62,0))*SQRT(PI())/2*ERFC(SQRT(LN($G87/INDEX(Simulations!$J$3:$J$62,MATCH($A87,Simulations!$A$3:$A$62,0)))))),PI()*INDEX(Simulations!$T$3:$T$62,MATCH($A87,Simulations!$A$3:$A$62,0))^2/2*(LN($G87/INDEX(Simulations!$J$3:$J$62,MATCH($A87,Simulations!$A$3:$A$62,0)))+1)))))</f>
        <v/>
      </c>
      <c r="T87" s="16" t="str">
        <f aca="false">IF(OR($A87="",ISNA(MATCH($A87,Simulations!$A$3:$A$62,0))),"",IF(N($H87)&lt;=0,0,IF($H87&lt;INDEX(Simulations!$J$3:$J$62,MATCH($A87,Simulations!$A$3:$A$62,0)),$D87/(INDEX(Simulations!$G$3:$G$62,MATCH($A87,Simulations!$A$3:$A$62,0))*INDEX(Simulations!$H$3:$H$62,MATCH($A87,Simulations!$A$3:$A$62,0))*IF(INDEX(Simulations!$I$3:$I$62,MATCH($A87,Simulations!$A$3:$A$62,0))&gt;0,INDEX(Simulations!$I$3:$I$62,MATCH($A87,Simulations!$A$3:$A$62,0)),1))*$H87*(PI()/2*INDEX(Simulations!$T$3:$T$62,MATCH($A87,Simulations!$A$3:$A$62,0))^2*IF(INDEX(Simulations!$I$3:$I$62,MATCH($A87,Simulations!$A$3:$A$62,0))&gt;0,SQRT(PI()/2)*INDEX(Simulations!$U$3:$U$62,MATCH($A87,Simulations!$A$3:$A$62,0)),1)),$D87/(INDEX(Simulations!$G$3:$G$62,MATCH($A87,Simulations!$A$3:$A$62,0))*INDEX(Simulations!$H$3:$H$62,MATCH($A87,Simulations!$A$3:$A$62,0))*IF(INDEX(Simulations!$I$3:$I$62,MATCH($A87,Simulations!$A$3:$A$62,0))&gt;0,INDEX(Simulations!$I$3:$I$62,MATCH($A87,Simulations!$A$3:$A$62,0)),1))*INDEX(Simulations!$J$3:$J$62,MATCH($A87,Simulations!$A$3:$A$62,0))*IF(INDEX(Simulations!$I$3:$I$62,MATCH($A87,Simulations!$A$3:$A$62,0))&gt;0,2*PI()*INDEX(Simulations!$T$3:$T$62,MATCH($A87,Simulations!$A$3:$A$62,0))^2*INDEX(Simulations!$U$3:$U$62,MATCH($A87,Simulations!$A$3:$A$62,0))/2^1.5*(2/3*LN($H87/INDEX(Simulations!$J$3:$J$62,MATCH($A87,Simulations!$A$3:$A$62,0)))^1.5+SQRT(LN($H87/INDEX(Simulations!$J$3:$J$62,MATCH($A87,Simulations!$A$3:$A$62,0))))+$H87/INDEX(Simulations!$J$3:$J$62,MATCH($A87,Simulations!$A$3:$A$62,0))*SQRT(PI())/2*ERFC(SQRT(LN($H87/INDEX(Simulations!$J$3:$J$62,MATCH($A87,Simulations!$A$3:$A$62,0)))))),PI()*INDEX(Simulations!$T$3:$T$62,MATCH($A87,Simulations!$A$3:$A$62,0))^2/2*(LN($H87/INDEX(Simulations!$J$3:$J$62,MATCH($A87,Simulations!$A$3:$A$62,0)))+1)))))</f>
        <v/>
      </c>
      <c r="U87" s="18" t="str">
        <f aca="false">IF(OR(OR($A87="",ISNA(MATCH($A87,Simulations!$A$3:$A$62,0))),N($C87)&lt;=0),"",SQRT(2*$C87*1000000/(INDEX(Simulations!$J$3:$J$62,MATCH($A87,Simulations!$A$3:$A$62,0))*1000))/INDEX(Simulations!$T$3:$T$62,MATCH($A87,Simulations!$A$3:$A$62,0)))</f>
        <v/>
      </c>
      <c r="V87" s="19" t="str">
        <f aca="false">IF($A87="","",IF(ISNA(MATCH($A87,Simulations!$A$3:$A$62,0)),"✖ Sim ID not found on the Simulations sheet",IF($P87&gt;=1,"✖ brightness &gt;= sampling frequency: completely saturated (D too small, c too large)",IF($P87&gt;0.1,"⚠ brightness &gt; 10% of the sampling frequency: focus starts to saturate",IF(N($U87)&gt;0.1,"⚠ diffusion step &gt; 10% of wr: raise the sampling frequency",IF(MAX($E87:$H87)=0,"⚠ no brightness set","✔ OK"))))))</f>
        <v/>
      </c>
    </row>
    <row r="88" customFormat="false" ht="15" hidden="false" customHeight="false" outlineLevel="0" collapsed="false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4"/>
      <c r="O88" s="18" t="str">
        <f aca="false">IF(OR($A88="",ISNA(MATCH($A88,Simulations!$A$3:$A$62,0))),"",IF(INDEX(Simulations!$I$3:$I$62,MATCH($A88,Simulations!$A$3:$A$62,0))&gt;0,$D88/(INDEX(Simulations!$G$3:$G$62,MATCH($A88,Simulations!$A$3:$A$62,0))*INDEX(Simulations!$H$3:$H$62,MATCH($A88,Simulations!$A$3:$A$62,0))*IF(INDEX(Simulations!$I$3:$I$62,MATCH($A88,Simulations!$A$3:$A$62,0))&gt;0,INDEX(Simulations!$I$3:$I$62,MATCH($A88,Simulations!$A$3:$A$62,0)),1))/1E-024/6.022E+023/0.000000001,""))</f>
        <v/>
      </c>
      <c r="P88" s="20" t="str">
        <f aca="false">IF(OR($A88="",ISNA(MATCH($A88,Simulations!$A$3:$A$62,0))),"",MAX($E88:$H88)/INDEX(Simulations!$J$3:$J$62,MATCH($A88,Simulations!$A$3:$A$62,0)))</f>
        <v/>
      </c>
      <c r="Q88" s="16" t="str">
        <f aca="false">IF(OR($A88="",ISNA(MATCH($A88,Simulations!$A$3:$A$62,0))),"",IF(N($E88)&lt;=0,0,IF($E88&lt;INDEX(Simulations!$J$3:$J$62,MATCH($A88,Simulations!$A$3:$A$62,0)),$D88/(INDEX(Simulations!$G$3:$G$62,MATCH($A88,Simulations!$A$3:$A$62,0))*INDEX(Simulations!$H$3:$H$62,MATCH($A88,Simulations!$A$3:$A$62,0))*IF(INDEX(Simulations!$I$3:$I$62,MATCH($A88,Simulations!$A$3:$A$62,0))&gt;0,INDEX(Simulations!$I$3:$I$62,MATCH($A88,Simulations!$A$3:$A$62,0)),1))*$E88*(PI()/2*INDEX(Simulations!$T$3:$T$62,MATCH($A88,Simulations!$A$3:$A$62,0))^2*IF(INDEX(Simulations!$I$3:$I$62,MATCH($A88,Simulations!$A$3:$A$62,0))&gt;0,SQRT(PI()/2)*INDEX(Simulations!$U$3:$U$62,MATCH($A88,Simulations!$A$3:$A$62,0)),1)),$D88/(INDEX(Simulations!$G$3:$G$62,MATCH($A88,Simulations!$A$3:$A$62,0))*INDEX(Simulations!$H$3:$H$62,MATCH($A88,Simulations!$A$3:$A$62,0))*IF(INDEX(Simulations!$I$3:$I$62,MATCH($A88,Simulations!$A$3:$A$62,0))&gt;0,INDEX(Simulations!$I$3:$I$62,MATCH($A88,Simulations!$A$3:$A$62,0)),1))*INDEX(Simulations!$J$3:$J$62,MATCH($A88,Simulations!$A$3:$A$62,0))*IF(INDEX(Simulations!$I$3:$I$62,MATCH($A88,Simulations!$A$3:$A$62,0))&gt;0,2*PI()*INDEX(Simulations!$T$3:$T$62,MATCH($A88,Simulations!$A$3:$A$62,0))^2*INDEX(Simulations!$U$3:$U$62,MATCH($A88,Simulations!$A$3:$A$62,0))/2^1.5*(2/3*LN($E88/INDEX(Simulations!$J$3:$J$62,MATCH($A88,Simulations!$A$3:$A$62,0)))^1.5+SQRT(LN($E88/INDEX(Simulations!$J$3:$J$62,MATCH($A88,Simulations!$A$3:$A$62,0))))+$E88/INDEX(Simulations!$J$3:$J$62,MATCH($A88,Simulations!$A$3:$A$62,0))*SQRT(PI())/2*ERFC(SQRT(LN($E88/INDEX(Simulations!$J$3:$J$62,MATCH($A88,Simulations!$A$3:$A$62,0)))))),PI()*INDEX(Simulations!$T$3:$T$62,MATCH($A88,Simulations!$A$3:$A$62,0))^2/2*(LN($E88/INDEX(Simulations!$J$3:$J$62,MATCH($A88,Simulations!$A$3:$A$62,0)))+1)))))</f>
        <v/>
      </c>
      <c r="R88" s="16" t="str">
        <f aca="false">IF(OR($A88="",ISNA(MATCH($A88,Simulations!$A$3:$A$62,0))),"",IF(N($F88)&lt;=0,0,IF($F88&lt;INDEX(Simulations!$J$3:$J$62,MATCH($A88,Simulations!$A$3:$A$62,0)),$D88/(INDEX(Simulations!$G$3:$G$62,MATCH($A88,Simulations!$A$3:$A$62,0))*INDEX(Simulations!$H$3:$H$62,MATCH($A88,Simulations!$A$3:$A$62,0))*IF(INDEX(Simulations!$I$3:$I$62,MATCH($A88,Simulations!$A$3:$A$62,0))&gt;0,INDEX(Simulations!$I$3:$I$62,MATCH($A88,Simulations!$A$3:$A$62,0)),1))*$F88*(PI()/2*INDEX(Simulations!$T$3:$T$62,MATCH($A88,Simulations!$A$3:$A$62,0))^2*IF(INDEX(Simulations!$I$3:$I$62,MATCH($A88,Simulations!$A$3:$A$62,0))&gt;0,SQRT(PI()/2)*INDEX(Simulations!$U$3:$U$62,MATCH($A88,Simulations!$A$3:$A$62,0)),1)),$D88/(INDEX(Simulations!$G$3:$G$62,MATCH($A88,Simulations!$A$3:$A$62,0))*INDEX(Simulations!$H$3:$H$62,MATCH($A88,Simulations!$A$3:$A$62,0))*IF(INDEX(Simulations!$I$3:$I$62,MATCH($A88,Simulations!$A$3:$A$62,0))&gt;0,INDEX(Simulations!$I$3:$I$62,MATCH($A88,Simulations!$A$3:$A$62,0)),1))*INDEX(Simulations!$J$3:$J$62,MATCH($A88,Simulations!$A$3:$A$62,0))*IF(INDEX(Simulations!$I$3:$I$62,MATCH($A88,Simulations!$A$3:$A$62,0))&gt;0,2*PI()*INDEX(Simulations!$T$3:$T$62,MATCH($A88,Simulations!$A$3:$A$62,0))^2*INDEX(Simulations!$U$3:$U$62,MATCH($A88,Simulations!$A$3:$A$62,0))/2^1.5*(2/3*LN($F88/INDEX(Simulations!$J$3:$J$62,MATCH($A88,Simulations!$A$3:$A$62,0)))^1.5+SQRT(LN($F88/INDEX(Simulations!$J$3:$J$62,MATCH($A88,Simulations!$A$3:$A$62,0))))+$F88/INDEX(Simulations!$J$3:$J$62,MATCH($A88,Simulations!$A$3:$A$62,0))*SQRT(PI())/2*ERFC(SQRT(LN($F88/INDEX(Simulations!$J$3:$J$62,MATCH($A88,Simulations!$A$3:$A$62,0)))))),PI()*INDEX(Simulations!$T$3:$T$62,MATCH($A88,Simulations!$A$3:$A$62,0))^2/2*(LN($F88/INDEX(Simulations!$J$3:$J$62,MATCH($A88,Simulations!$A$3:$A$62,0)))+1)))))</f>
        <v/>
      </c>
      <c r="S88" s="16" t="str">
        <f aca="false">IF(OR($A88="",ISNA(MATCH($A88,Simulations!$A$3:$A$62,0))),"",IF(N($G88)&lt;=0,0,IF($G88&lt;INDEX(Simulations!$J$3:$J$62,MATCH($A88,Simulations!$A$3:$A$62,0)),$D88/(INDEX(Simulations!$G$3:$G$62,MATCH($A88,Simulations!$A$3:$A$62,0))*INDEX(Simulations!$H$3:$H$62,MATCH($A88,Simulations!$A$3:$A$62,0))*IF(INDEX(Simulations!$I$3:$I$62,MATCH($A88,Simulations!$A$3:$A$62,0))&gt;0,INDEX(Simulations!$I$3:$I$62,MATCH($A88,Simulations!$A$3:$A$62,0)),1))*$G88*(PI()/2*INDEX(Simulations!$T$3:$T$62,MATCH($A88,Simulations!$A$3:$A$62,0))^2*IF(INDEX(Simulations!$I$3:$I$62,MATCH($A88,Simulations!$A$3:$A$62,0))&gt;0,SQRT(PI()/2)*INDEX(Simulations!$U$3:$U$62,MATCH($A88,Simulations!$A$3:$A$62,0)),1)),$D88/(INDEX(Simulations!$G$3:$G$62,MATCH($A88,Simulations!$A$3:$A$62,0))*INDEX(Simulations!$H$3:$H$62,MATCH($A88,Simulations!$A$3:$A$62,0))*IF(INDEX(Simulations!$I$3:$I$62,MATCH($A88,Simulations!$A$3:$A$62,0))&gt;0,INDEX(Simulations!$I$3:$I$62,MATCH($A88,Simulations!$A$3:$A$62,0)),1))*INDEX(Simulations!$J$3:$J$62,MATCH($A88,Simulations!$A$3:$A$62,0))*IF(INDEX(Simulations!$I$3:$I$62,MATCH($A88,Simulations!$A$3:$A$62,0))&gt;0,2*PI()*INDEX(Simulations!$T$3:$T$62,MATCH($A88,Simulations!$A$3:$A$62,0))^2*INDEX(Simulations!$U$3:$U$62,MATCH($A88,Simulations!$A$3:$A$62,0))/2^1.5*(2/3*LN($G88/INDEX(Simulations!$J$3:$J$62,MATCH($A88,Simulations!$A$3:$A$62,0)))^1.5+SQRT(LN($G88/INDEX(Simulations!$J$3:$J$62,MATCH($A88,Simulations!$A$3:$A$62,0))))+$G88/INDEX(Simulations!$J$3:$J$62,MATCH($A88,Simulations!$A$3:$A$62,0))*SQRT(PI())/2*ERFC(SQRT(LN($G88/INDEX(Simulations!$J$3:$J$62,MATCH($A88,Simulations!$A$3:$A$62,0)))))),PI()*INDEX(Simulations!$T$3:$T$62,MATCH($A88,Simulations!$A$3:$A$62,0))^2/2*(LN($G88/INDEX(Simulations!$J$3:$J$62,MATCH($A88,Simulations!$A$3:$A$62,0)))+1)))))</f>
        <v/>
      </c>
      <c r="T88" s="16" t="str">
        <f aca="false">IF(OR($A88="",ISNA(MATCH($A88,Simulations!$A$3:$A$62,0))),"",IF(N($H88)&lt;=0,0,IF($H88&lt;INDEX(Simulations!$J$3:$J$62,MATCH($A88,Simulations!$A$3:$A$62,0)),$D88/(INDEX(Simulations!$G$3:$G$62,MATCH($A88,Simulations!$A$3:$A$62,0))*INDEX(Simulations!$H$3:$H$62,MATCH($A88,Simulations!$A$3:$A$62,0))*IF(INDEX(Simulations!$I$3:$I$62,MATCH($A88,Simulations!$A$3:$A$62,0))&gt;0,INDEX(Simulations!$I$3:$I$62,MATCH($A88,Simulations!$A$3:$A$62,0)),1))*$H88*(PI()/2*INDEX(Simulations!$T$3:$T$62,MATCH($A88,Simulations!$A$3:$A$62,0))^2*IF(INDEX(Simulations!$I$3:$I$62,MATCH($A88,Simulations!$A$3:$A$62,0))&gt;0,SQRT(PI()/2)*INDEX(Simulations!$U$3:$U$62,MATCH($A88,Simulations!$A$3:$A$62,0)),1)),$D88/(INDEX(Simulations!$G$3:$G$62,MATCH($A88,Simulations!$A$3:$A$62,0))*INDEX(Simulations!$H$3:$H$62,MATCH($A88,Simulations!$A$3:$A$62,0))*IF(INDEX(Simulations!$I$3:$I$62,MATCH($A88,Simulations!$A$3:$A$62,0))&gt;0,INDEX(Simulations!$I$3:$I$62,MATCH($A88,Simulations!$A$3:$A$62,0)),1))*INDEX(Simulations!$J$3:$J$62,MATCH($A88,Simulations!$A$3:$A$62,0))*IF(INDEX(Simulations!$I$3:$I$62,MATCH($A88,Simulations!$A$3:$A$62,0))&gt;0,2*PI()*INDEX(Simulations!$T$3:$T$62,MATCH($A88,Simulations!$A$3:$A$62,0))^2*INDEX(Simulations!$U$3:$U$62,MATCH($A88,Simulations!$A$3:$A$62,0))/2^1.5*(2/3*LN($H88/INDEX(Simulations!$J$3:$J$62,MATCH($A88,Simulations!$A$3:$A$62,0)))^1.5+SQRT(LN($H88/INDEX(Simulations!$J$3:$J$62,MATCH($A88,Simulations!$A$3:$A$62,0))))+$H88/INDEX(Simulations!$J$3:$J$62,MATCH($A88,Simulations!$A$3:$A$62,0))*SQRT(PI())/2*ERFC(SQRT(LN($H88/INDEX(Simulations!$J$3:$J$62,MATCH($A88,Simulations!$A$3:$A$62,0)))))),PI()*INDEX(Simulations!$T$3:$T$62,MATCH($A88,Simulations!$A$3:$A$62,0))^2/2*(LN($H88/INDEX(Simulations!$J$3:$J$62,MATCH($A88,Simulations!$A$3:$A$62,0)))+1)))))</f>
        <v/>
      </c>
      <c r="U88" s="18" t="str">
        <f aca="false">IF(OR(OR($A88="",ISNA(MATCH($A88,Simulations!$A$3:$A$62,0))),N($C88)&lt;=0),"",SQRT(2*$C88*1000000/(INDEX(Simulations!$J$3:$J$62,MATCH($A88,Simulations!$A$3:$A$62,0))*1000))/INDEX(Simulations!$T$3:$T$62,MATCH($A88,Simulations!$A$3:$A$62,0)))</f>
        <v/>
      </c>
      <c r="V88" s="19" t="str">
        <f aca="false">IF($A88="","",IF(ISNA(MATCH($A88,Simulations!$A$3:$A$62,0)),"✖ Sim ID not found on the Simulations sheet",IF($P88&gt;=1,"✖ brightness &gt;= sampling frequency: completely saturated (D too small, c too large)",IF($P88&gt;0.1,"⚠ brightness &gt; 10% of the sampling frequency: focus starts to saturate",IF(N($U88)&gt;0.1,"⚠ diffusion step &gt; 10% of wr: raise the sampling frequency",IF(MAX($E88:$H88)=0,"⚠ no brightness set","✔ OK"))))))</f>
        <v/>
      </c>
    </row>
    <row r="89" customFormat="false" ht="15" hidden="false" customHeight="false" outlineLevel="0" collapsed="false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4"/>
      <c r="O89" s="18" t="str">
        <f aca="false">IF(OR($A89="",ISNA(MATCH($A89,Simulations!$A$3:$A$62,0))),"",IF(INDEX(Simulations!$I$3:$I$62,MATCH($A89,Simulations!$A$3:$A$62,0))&gt;0,$D89/(INDEX(Simulations!$G$3:$G$62,MATCH($A89,Simulations!$A$3:$A$62,0))*INDEX(Simulations!$H$3:$H$62,MATCH($A89,Simulations!$A$3:$A$62,0))*IF(INDEX(Simulations!$I$3:$I$62,MATCH($A89,Simulations!$A$3:$A$62,0))&gt;0,INDEX(Simulations!$I$3:$I$62,MATCH($A89,Simulations!$A$3:$A$62,0)),1))/1E-024/6.022E+023/0.000000001,""))</f>
        <v/>
      </c>
      <c r="P89" s="20" t="str">
        <f aca="false">IF(OR($A89="",ISNA(MATCH($A89,Simulations!$A$3:$A$62,0))),"",MAX($E89:$H89)/INDEX(Simulations!$J$3:$J$62,MATCH($A89,Simulations!$A$3:$A$62,0)))</f>
        <v/>
      </c>
      <c r="Q89" s="16" t="str">
        <f aca="false">IF(OR($A89="",ISNA(MATCH($A89,Simulations!$A$3:$A$62,0))),"",IF(N($E89)&lt;=0,0,IF($E89&lt;INDEX(Simulations!$J$3:$J$62,MATCH($A89,Simulations!$A$3:$A$62,0)),$D89/(INDEX(Simulations!$G$3:$G$62,MATCH($A89,Simulations!$A$3:$A$62,0))*INDEX(Simulations!$H$3:$H$62,MATCH($A89,Simulations!$A$3:$A$62,0))*IF(INDEX(Simulations!$I$3:$I$62,MATCH($A89,Simulations!$A$3:$A$62,0))&gt;0,INDEX(Simulations!$I$3:$I$62,MATCH($A89,Simulations!$A$3:$A$62,0)),1))*$E89*(PI()/2*INDEX(Simulations!$T$3:$T$62,MATCH($A89,Simulations!$A$3:$A$62,0))^2*IF(INDEX(Simulations!$I$3:$I$62,MATCH($A89,Simulations!$A$3:$A$62,0))&gt;0,SQRT(PI()/2)*INDEX(Simulations!$U$3:$U$62,MATCH($A89,Simulations!$A$3:$A$62,0)),1)),$D89/(INDEX(Simulations!$G$3:$G$62,MATCH($A89,Simulations!$A$3:$A$62,0))*INDEX(Simulations!$H$3:$H$62,MATCH($A89,Simulations!$A$3:$A$62,0))*IF(INDEX(Simulations!$I$3:$I$62,MATCH($A89,Simulations!$A$3:$A$62,0))&gt;0,INDEX(Simulations!$I$3:$I$62,MATCH($A89,Simulations!$A$3:$A$62,0)),1))*INDEX(Simulations!$J$3:$J$62,MATCH($A89,Simulations!$A$3:$A$62,0))*IF(INDEX(Simulations!$I$3:$I$62,MATCH($A89,Simulations!$A$3:$A$62,0))&gt;0,2*PI()*INDEX(Simulations!$T$3:$T$62,MATCH($A89,Simulations!$A$3:$A$62,0))^2*INDEX(Simulations!$U$3:$U$62,MATCH($A89,Simulations!$A$3:$A$62,0))/2^1.5*(2/3*LN($E89/INDEX(Simulations!$J$3:$J$62,MATCH($A89,Simulations!$A$3:$A$62,0)))^1.5+SQRT(LN($E89/INDEX(Simulations!$J$3:$J$62,MATCH($A89,Simulations!$A$3:$A$62,0))))+$E89/INDEX(Simulations!$J$3:$J$62,MATCH($A89,Simulations!$A$3:$A$62,0))*SQRT(PI())/2*ERFC(SQRT(LN($E89/INDEX(Simulations!$J$3:$J$62,MATCH($A89,Simulations!$A$3:$A$62,0)))))),PI()*INDEX(Simulations!$T$3:$T$62,MATCH($A89,Simulations!$A$3:$A$62,0))^2/2*(LN($E89/INDEX(Simulations!$J$3:$J$62,MATCH($A89,Simulations!$A$3:$A$62,0)))+1)))))</f>
        <v/>
      </c>
      <c r="R89" s="16" t="str">
        <f aca="false">IF(OR($A89="",ISNA(MATCH($A89,Simulations!$A$3:$A$62,0))),"",IF(N($F89)&lt;=0,0,IF($F89&lt;INDEX(Simulations!$J$3:$J$62,MATCH($A89,Simulations!$A$3:$A$62,0)),$D89/(INDEX(Simulations!$G$3:$G$62,MATCH($A89,Simulations!$A$3:$A$62,0))*INDEX(Simulations!$H$3:$H$62,MATCH($A89,Simulations!$A$3:$A$62,0))*IF(INDEX(Simulations!$I$3:$I$62,MATCH($A89,Simulations!$A$3:$A$62,0))&gt;0,INDEX(Simulations!$I$3:$I$62,MATCH($A89,Simulations!$A$3:$A$62,0)),1))*$F89*(PI()/2*INDEX(Simulations!$T$3:$T$62,MATCH($A89,Simulations!$A$3:$A$62,0))^2*IF(INDEX(Simulations!$I$3:$I$62,MATCH($A89,Simulations!$A$3:$A$62,0))&gt;0,SQRT(PI()/2)*INDEX(Simulations!$U$3:$U$62,MATCH($A89,Simulations!$A$3:$A$62,0)),1)),$D89/(INDEX(Simulations!$G$3:$G$62,MATCH($A89,Simulations!$A$3:$A$62,0))*INDEX(Simulations!$H$3:$H$62,MATCH($A89,Simulations!$A$3:$A$62,0))*IF(INDEX(Simulations!$I$3:$I$62,MATCH($A89,Simulations!$A$3:$A$62,0))&gt;0,INDEX(Simulations!$I$3:$I$62,MATCH($A89,Simulations!$A$3:$A$62,0)),1))*INDEX(Simulations!$J$3:$J$62,MATCH($A89,Simulations!$A$3:$A$62,0))*IF(INDEX(Simulations!$I$3:$I$62,MATCH($A89,Simulations!$A$3:$A$62,0))&gt;0,2*PI()*INDEX(Simulations!$T$3:$T$62,MATCH($A89,Simulations!$A$3:$A$62,0))^2*INDEX(Simulations!$U$3:$U$62,MATCH($A89,Simulations!$A$3:$A$62,0))/2^1.5*(2/3*LN($F89/INDEX(Simulations!$J$3:$J$62,MATCH($A89,Simulations!$A$3:$A$62,0)))^1.5+SQRT(LN($F89/INDEX(Simulations!$J$3:$J$62,MATCH($A89,Simulations!$A$3:$A$62,0))))+$F89/INDEX(Simulations!$J$3:$J$62,MATCH($A89,Simulations!$A$3:$A$62,0))*SQRT(PI())/2*ERFC(SQRT(LN($F89/INDEX(Simulations!$J$3:$J$62,MATCH($A89,Simulations!$A$3:$A$62,0)))))),PI()*INDEX(Simulations!$T$3:$T$62,MATCH($A89,Simulations!$A$3:$A$62,0))^2/2*(LN($F89/INDEX(Simulations!$J$3:$J$62,MATCH($A89,Simulations!$A$3:$A$62,0)))+1)))))</f>
        <v/>
      </c>
      <c r="S89" s="16" t="str">
        <f aca="false">IF(OR($A89="",ISNA(MATCH($A89,Simulations!$A$3:$A$62,0))),"",IF(N($G89)&lt;=0,0,IF($G89&lt;INDEX(Simulations!$J$3:$J$62,MATCH($A89,Simulations!$A$3:$A$62,0)),$D89/(INDEX(Simulations!$G$3:$G$62,MATCH($A89,Simulations!$A$3:$A$62,0))*INDEX(Simulations!$H$3:$H$62,MATCH($A89,Simulations!$A$3:$A$62,0))*IF(INDEX(Simulations!$I$3:$I$62,MATCH($A89,Simulations!$A$3:$A$62,0))&gt;0,INDEX(Simulations!$I$3:$I$62,MATCH($A89,Simulations!$A$3:$A$62,0)),1))*$G89*(PI()/2*INDEX(Simulations!$T$3:$T$62,MATCH($A89,Simulations!$A$3:$A$62,0))^2*IF(INDEX(Simulations!$I$3:$I$62,MATCH($A89,Simulations!$A$3:$A$62,0))&gt;0,SQRT(PI()/2)*INDEX(Simulations!$U$3:$U$62,MATCH($A89,Simulations!$A$3:$A$62,0)),1)),$D89/(INDEX(Simulations!$G$3:$G$62,MATCH($A89,Simulations!$A$3:$A$62,0))*INDEX(Simulations!$H$3:$H$62,MATCH($A89,Simulations!$A$3:$A$62,0))*IF(INDEX(Simulations!$I$3:$I$62,MATCH($A89,Simulations!$A$3:$A$62,0))&gt;0,INDEX(Simulations!$I$3:$I$62,MATCH($A89,Simulations!$A$3:$A$62,0)),1))*INDEX(Simulations!$J$3:$J$62,MATCH($A89,Simulations!$A$3:$A$62,0))*IF(INDEX(Simulations!$I$3:$I$62,MATCH($A89,Simulations!$A$3:$A$62,0))&gt;0,2*PI()*INDEX(Simulations!$T$3:$T$62,MATCH($A89,Simulations!$A$3:$A$62,0))^2*INDEX(Simulations!$U$3:$U$62,MATCH($A89,Simulations!$A$3:$A$62,0))/2^1.5*(2/3*LN($G89/INDEX(Simulations!$J$3:$J$62,MATCH($A89,Simulations!$A$3:$A$62,0)))^1.5+SQRT(LN($G89/INDEX(Simulations!$J$3:$J$62,MATCH($A89,Simulations!$A$3:$A$62,0))))+$G89/INDEX(Simulations!$J$3:$J$62,MATCH($A89,Simulations!$A$3:$A$62,0))*SQRT(PI())/2*ERFC(SQRT(LN($G89/INDEX(Simulations!$J$3:$J$62,MATCH($A89,Simulations!$A$3:$A$62,0)))))),PI()*INDEX(Simulations!$T$3:$T$62,MATCH($A89,Simulations!$A$3:$A$62,0))^2/2*(LN($G89/INDEX(Simulations!$J$3:$J$62,MATCH($A89,Simulations!$A$3:$A$62,0)))+1)))))</f>
        <v/>
      </c>
      <c r="T89" s="16" t="str">
        <f aca="false">IF(OR($A89="",ISNA(MATCH($A89,Simulations!$A$3:$A$62,0))),"",IF(N($H89)&lt;=0,0,IF($H89&lt;INDEX(Simulations!$J$3:$J$62,MATCH($A89,Simulations!$A$3:$A$62,0)),$D89/(INDEX(Simulations!$G$3:$G$62,MATCH($A89,Simulations!$A$3:$A$62,0))*INDEX(Simulations!$H$3:$H$62,MATCH($A89,Simulations!$A$3:$A$62,0))*IF(INDEX(Simulations!$I$3:$I$62,MATCH($A89,Simulations!$A$3:$A$62,0))&gt;0,INDEX(Simulations!$I$3:$I$62,MATCH($A89,Simulations!$A$3:$A$62,0)),1))*$H89*(PI()/2*INDEX(Simulations!$T$3:$T$62,MATCH($A89,Simulations!$A$3:$A$62,0))^2*IF(INDEX(Simulations!$I$3:$I$62,MATCH($A89,Simulations!$A$3:$A$62,0))&gt;0,SQRT(PI()/2)*INDEX(Simulations!$U$3:$U$62,MATCH($A89,Simulations!$A$3:$A$62,0)),1)),$D89/(INDEX(Simulations!$G$3:$G$62,MATCH($A89,Simulations!$A$3:$A$62,0))*INDEX(Simulations!$H$3:$H$62,MATCH($A89,Simulations!$A$3:$A$62,0))*IF(INDEX(Simulations!$I$3:$I$62,MATCH($A89,Simulations!$A$3:$A$62,0))&gt;0,INDEX(Simulations!$I$3:$I$62,MATCH($A89,Simulations!$A$3:$A$62,0)),1))*INDEX(Simulations!$J$3:$J$62,MATCH($A89,Simulations!$A$3:$A$62,0))*IF(INDEX(Simulations!$I$3:$I$62,MATCH($A89,Simulations!$A$3:$A$62,0))&gt;0,2*PI()*INDEX(Simulations!$T$3:$T$62,MATCH($A89,Simulations!$A$3:$A$62,0))^2*INDEX(Simulations!$U$3:$U$62,MATCH($A89,Simulations!$A$3:$A$62,0))/2^1.5*(2/3*LN($H89/INDEX(Simulations!$J$3:$J$62,MATCH($A89,Simulations!$A$3:$A$62,0)))^1.5+SQRT(LN($H89/INDEX(Simulations!$J$3:$J$62,MATCH($A89,Simulations!$A$3:$A$62,0))))+$H89/INDEX(Simulations!$J$3:$J$62,MATCH($A89,Simulations!$A$3:$A$62,0))*SQRT(PI())/2*ERFC(SQRT(LN($H89/INDEX(Simulations!$J$3:$J$62,MATCH($A89,Simulations!$A$3:$A$62,0)))))),PI()*INDEX(Simulations!$T$3:$T$62,MATCH($A89,Simulations!$A$3:$A$62,0))^2/2*(LN($H89/INDEX(Simulations!$J$3:$J$62,MATCH($A89,Simulations!$A$3:$A$62,0)))+1)))))</f>
        <v/>
      </c>
      <c r="U89" s="18" t="str">
        <f aca="false">IF(OR(OR($A89="",ISNA(MATCH($A89,Simulations!$A$3:$A$62,0))),N($C89)&lt;=0),"",SQRT(2*$C89*1000000/(INDEX(Simulations!$J$3:$J$62,MATCH($A89,Simulations!$A$3:$A$62,0))*1000))/INDEX(Simulations!$T$3:$T$62,MATCH($A89,Simulations!$A$3:$A$62,0)))</f>
        <v/>
      </c>
      <c r="V89" s="19" t="str">
        <f aca="false">IF($A89="","",IF(ISNA(MATCH($A89,Simulations!$A$3:$A$62,0)),"✖ Sim ID not found on the Simulations sheet",IF($P89&gt;=1,"✖ brightness &gt;= sampling frequency: completely saturated (D too small, c too large)",IF($P89&gt;0.1,"⚠ brightness &gt; 10% of the sampling frequency: focus starts to saturate",IF(N($U89)&gt;0.1,"⚠ diffusion step &gt; 10% of wr: raise the sampling frequency",IF(MAX($E89:$H89)=0,"⚠ no brightness set","✔ OK"))))))</f>
        <v/>
      </c>
    </row>
    <row r="90" customFormat="false" ht="15" hidden="false" customHeight="false" outlineLevel="0" collapsed="false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4"/>
      <c r="O90" s="18" t="str">
        <f aca="false">IF(OR($A90="",ISNA(MATCH($A90,Simulations!$A$3:$A$62,0))),"",IF(INDEX(Simulations!$I$3:$I$62,MATCH($A90,Simulations!$A$3:$A$62,0))&gt;0,$D90/(INDEX(Simulations!$G$3:$G$62,MATCH($A90,Simulations!$A$3:$A$62,0))*INDEX(Simulations!$H$3:$H$62,MATCH($A90,Simulations!$A$3:$A$62,0))*IF(INDEX(Simulations!$I$3:$I$62,MATCH($A90,Simulations!$A$3:$A$62,0))&gt;0,INDEX(Simulations!$I$3:$I$62,MATCH($A90,Simulations!$A$3:$A$62,0)),1))/1E-024/6.022E+023/0.000000001,""))</f>
        <v/>
      </c>
      <c r="P90" s="20" t="str">
        <f aca="false">IF(OR($A90="",ISNA(MATCH($A90,Simulations!$A$3:$A$62,0))),"",MAX($E90:$H90)/INDEX(Simulations!$J$3:$J$62,MATCH($A90,Simulations!$A$3:$A$62,0)))</f>
        <v/>
      </c>
      <c r="Q90" s="16" t="str">
        <f aca="false">IF(OR($A90="",ISNA(MATCH($A90,Simulations!$A$3:$A$62,0))),"",IF(N($E90)&lt;=0,0,IF($E90&lt;INDEX(Simulations!$J$3:$J$62,MATCH($A90,Simulations!$A$3:$A$62,0)),$D90/(INDEX(Simulations!$G$3:$G$62,MATCH($A90,Simulations!$A$3:$A$62,0))*INDEX(Simulations!$H$3:$H$62,MATCH($A90,Simulations!$A$3:$A$62,0))*IF(INDEX(Simulations!$I$3:$I$62,MATCH($A90,Simulations!$A$3:$A$62,0))&gt;0,INDEX(Simulations!$I$3:$I$62,MATCH($A90,Simulations!$A$3:$A$62,0)),1))*$E90*(PI()/2*INDEX(Simulations!$T$3:$T$62,MATCH($A90,Simulations!$A$3:$A$62,0))^2*IF(INDEX(Simulations!$I$3:$I$62,MATCH($A90,Simulations!$A$3:$A$62,0))&gt;0,SQRT(PI()/2)*INDEX(Simulations!$U$3:$U$62,MATCH($A90,Simulations!$A$3:$A$62,0)),1)),$D90/(INDEX(Simulations!$G$3:$G$62,MATCH($A90,Simulations!$A$3:$A$62,0))*INDEX(Simulations!$H$3:$H$62,MATCH($A90,Simulations!$A$3:$A$62,0))*IF(INDEX(Simulations!$I$3:$I$62,MATCH($A90,Simulations!$A$3:$A$62,0))&gt;0,INDEX(Simulations!$I$3:$I$62,MATCH($A90,Simulations!$A$3:$A$62,0)),1))*INDEX(Simulations!$J$3:$J$62,MATCH($A90,Simulations!$A$3:$A$62,0))*IF(INDEX(Simulations!$I$3:$I$62,MATCH($A90,Simulations!$A$3:$A$62,0))&gt;0,2*PI()*INDEX(Simulations!$T$3:$T$62,MATCH($A90,Simulations!$A$3:$A$62,0))^2*INDEX(Simulations!$U$3:$U$62,MATCH($A90,Simulations!$A$3:$A$62,0))/2^1.5*(2/3*LN($E90/INDEX(Simulations!$J$3:$J$62,MATCH($A90,Simulations!$A$3:$A$62,0)))^1.5+SQRT(LN($E90/INDEX(Simulations!$J$3:$J$62,MATCH($A90,Simulations!$A$3:$A$62,0))))+$E90/INDEX(Simulations!$J$3:$J$62,MATCH($A90,Simulations!$A$3:$A$62,0))*SQRT(PI())/2*ERFC(SQRT(LN($E90/INDEX(Simulations!$J$3:$J$62,MATCH($A90,Simulations!$A$3:$A$62,0)))))),PI()*INDEX(Simulations!$T$3:$T$62,MATCH($A90,Simulations!$A$3:$A$62,0))^2/2*(LN($E90/INDEX(Simulations!$J$3:$J$62,MATCH($A90,Simulations!$A$3:$A$62,0)))+1)))))</f>
        <v/>
      </c>
      <c r="R90" s="16" t="str">
        <f aca="false">IF(OR($A90="",ISNA(MATCH($A90,Simulations!$A$3:$A$62,0))),"",IF(N($F90)&lt;=0,0,IF($F90&lt;INDEX(Simulations!$J$3:$J$62,MATCH($A90,Simulations!$A$3:$A$62,0)),$D90/(INDEX(Simulations!$G$3:$G$62,MATCH($A90,Simulations!$A$3:$A$62,0))*INDEX(Simulations!$H$3:$H$62,MATCH($A90,Simulations!$A$3:$A$62,0))*IF(INDEX(Simulations!$I$3:$I$62,MATCH($A90,Simulations!$A$3:$A$62,0))&gt;0,INDEX(Simulations!$I$3:$I$62,MATCH($A90,Simulations!$A$3:$A$62,0)),1))*$F90*(PI()/2*INDEX(Simulations!$T$3:$T$62,MATCH($A90,Simulations!$A$3:$A$62,0))^2*IF(INDEX(Simulations!$I$3:$I$62,MATCH($A90,Simulations!$A$3:$A$62,0))&gt;0,SQRT(PI()/2)*INDEX(Simulations!$U$3:$U$62,MATCH($A90,Simulations!$A$3:$A$62,0)),1)),$D90/(INDEX(Simulations!$G$3:$G$62,MATCH($A90,Simulations!$A$3:$A$62,0))*INDEX(Simulations!$H$3:$H$62,MATCH($A90,Simulations!$A$3:$A$62,0))*IF(INDEX(Simulations!$I$3:$I$62,MATCH($A90,Simulations!$A$3:$A$62,0))&gt;0,INDEX(Simulations!$I$3:$I$62,MATCH($A90,Simulations!$A$3:$A$62,0)),1))*INDEX(Simulations!$J$3:$J$62,MATCH($A90,Simulations!$A$3:$A$62,0))*IF(INDEX(Simulations!$I$3:$I$62,MATCH($A90,Simulations!$A$3:$A$62,0))&gt;0,2*PI()*INDEX(Simulations!$T$3:$T$62,MATCH($A90,Simulations!$A$3:$A$62,0))^2*INDEX(Simulations!$U$3:$U$62,MATCH($A90,Simulations!$A$3:$A$62,0))/2^1.5*(2/3*LN($F90/INDEX(Simulations!$J$3:$J$62,MATCH($A90,Simulations!$A$3:$A$62,0)))^1.5+SQRT(LN($F90/INDEX(Simulations!$J$3:$J$62,MATCH($A90,Simulations!$A$3:$A$62,0))))+$F90/INDEX(Simulations!$J$3:$J$62,MATCH($A90,Simulations!$A$3:$A$62,0))*SQRT(PI())/2*ERFC(SQRT(LN($F90/INDEX(Simulations!$J$3:$J$62,MATCH($A90,Simulations!$A$3:$A$62,0)))))),PI()*INDEX(Simulations!$T$3:$T$62,MATCH($A90,Simulations!$A$3:$A$62,0))^2/2*(LN($F90/INDEX(Simulations!$J$3:$J$62,MATCH($A90,Simulations!$A$3:$A$62,0)))+1)))))</f>
        <v/>
      </c>
      <c r="S90" s="16" t="str">
        <f aca="false">IF(OR($A90="",ISNA(MATCH($A90,Simulations!$A$3:$A$62,0))),"",IF(N($G90)&lt;=0,0,IF($G90&lt;INDEX(Simulations!$J$3:$J$62,MATCH($A90,Simulations!$A$3:$A$62,0)),$D90/(INDEX(Simulations!$G$3:$G$62,MATCH($A90,Simulations!$A$3:$A$62,0))*INDEX(Simulations!$H$3:$H$62,MATCH($A90,Simulations!$A$3:$A$62,0))*IF(INDEX(Simulations!$I$3:$I$62,MATCH($A90,Simulations!$A$3:$A$62,0))&gt;0,INDEX(Simulations!$I$3:$I$62,MATCH($A90,Simulations!$A$3:$A$62,0)),1))*$G90*(PI()/2*INDEX(Simulations!$T$3:$T$62,MATCH($A90,Simulations!$A$3:$A$62,0))^2*IF(INDEX(Simulations!$I$3:$I$62,MATCH($A90,Simulations!$A$3:$A$62,0))&gt;0,SQRT(PI()/2)*INDEX(Simulations!$U$3:$U$62,MATCH($A90,Simulations!$A$3:$A$62,0)),1)),$D90/(INDEX(Simulations!$G$3:$G$62,MATCH($A90,Simulations!$A$3:$A$62,0))*INDEX(Simulations!$H$3:$H$62,MATCH($A90,Simulations!$A$3:$A$62,0))*IF(INDEX(Simulations!$I$3:$I$62,MATCH($A90,Simulations!$A$3:$A$62,0))&gt;0,INDEX(Simulations!$I$3:$I$62,MATCH($A90,Simulations!$A$3:$A$62,0)),1))*INDEX(Simulations!$J$3:$J$62,MATCH($A90,Simulations!$A$3:$A$62,0))*IF(INDEX(Simulations!$I$3:$I$62,MATCH($A90,Simulations!$A$3:$A$62,0))&gt;0,2*PI()*INDEX(Simulations!$T$3:$T$62,MATCH($A90,Simulations!$A$3:$A$62,0))^2*INDEX(Simulations!$U$3:$U$62,MATCH($A90,Simulations!$A$3:$A$62,0))/2^1.5*(2/3*LN($G90/INDEX(Simulations!$J$3:$J$62,MATCH($A90,Simulations!$A$3:$A$62,0)))^1.5+SQRT(LN($G90/INDEX(Simulations!$J$3:$J$62,MATCH($A90,Simulations!$A$3:$A$62,0))))+$G90/INDEX(Simulations!$J$3:$J$62,MATCH($A90,Simulations!$A$3:$A$62,0))*SQRT(PI())/2*ERFC(SQRT(LN($G90/INDEX(Simulations!$J$3:$J$62,MATCH($A90,Simulations!$A$3:$A$62,0)))))),PI()*INDEX(Simulations!$T$3:$T$62,MATCH($A90,Simulations!$A$3:$A$62,0))^2/2*(LN($G90/INDEX(Simulations!$J$3:$J$62,MATCH($A90,Simulations!$A$3:$A$62,0)))+1)))))</f>
        <v/>
      </c>
      <c r="T90" s="16" t="str">
        <f aca="false">IF(OR($A90="",ISNA(MATCH($A90,Simulations!$A$3:$A$62,0))),"",IF(N($H90)&lt;=0,0,IF($H90&lt;INDEX(Simulations!$J$3:$J$62,MATCH($A90,Simulations!$A$3:$A$62,0)),$D90/(INDEX(Simulations!$G$3:$G$62,MATCH($A90,Simulations!$A$3:$A$62,0))*INDEX(Simulations!$H$3:$H$62,MATCH($A90,Simulations!$A$3:$A$62,0))*IF(INDEX(Simulations!$I$3:$I$62,MATCH($A90,Simulations!$A$3:$A$62,0))&gt;0,INDEX(Simulations!$I$3:$I$62,MATCH($A90,Simulations!$A$3:$A$62,0)),1))*$H90*(PI()/2*INDEX(Simulations!$T$3:$T$62,MATCH($A90,Simulations!$A$3:$A$62,0))^2*IF(INDEX(Simulations!$I$3:$I$62,MATCH($A90,Simulations!$A$3:$A$62,0))&gt;0,SQRT(PI()/2)*INDEX(Simulations!$U$3:$U$62,MATCH($A90,Simulations!$A$3:$A$62,0)),1)),$D90/(INDEX(Simulations!$G$3:$G$62,MATCH($A90,Simulations!$A$3:$A$62,0))*INDEX(Simulations!$H$3:$H$62,MATCH($A90,Simulations!$A$3:$A$62,0))*IF(INDEX(Simulations!$I$3:$I$62,MATCH($A90,Simulations!$A$3:$A$62,0))&gt;0,INDEX(Simulations!$I$3:$I$62,MATCH($A90,Simulations!$A$3:$A$62,0)),1))*INDEX(Simulations!$J$3:$J$62,MATCH($A90,Simulations!$A$3:$A$62,0))*IF(INDEX(Simulations!$I$3:$I$62,MATCH($A90,Simulations!$A$3:$A$62,0))&gt;0,2*PI()*INDEX(Simulations!$T$3:$T$62,MATCH($A90,Simulations!$A$3:$A$62,0))^2*INDEX(Simulations!$U$3:$U$62,MATCH($A90,Simulations!$A$3:$A$62,0))/2^1.5*(2/3*LN($H90/INDEX(Simulations!$J$3:$J$62,MATCH($A90,Simulations!$A$3:$A$62,0)))^1.5+SQRT(LN($H90/INDEX(Simulations!$J$3:$J$62,MATCH($A90,Simulations!$A$3:$A$62,0))))+$H90/INDEX(Simulations!$J$3:$J$62,MATCH($A90,Simulations!$A$3:$A$62,0))*SQRT(PI())/2*ERFC(SQRT(LN($H90/INDEX(Simulations!$J$3:$J$62,MATCH($A90,Simulations!$A$3:$A$62,0)))))),PI()*INDEX(Simulations!$T$3:$T$62,MATCH($A90,Simulations!$A$3:$A$62,0))^2/2*(LN($H90/INDEX(Simulations!$J$3:$J$62,MATCH($A90,Simulations!$A$3:$A$62,0)))+1)))))</f>
        <v/>
      </c>
      <c r="U90" s="18" t="str">
        <f aca="false">IF(OR(OR($A90="",ISNA(MATCH($A90,Simulations!$A$3:$A$62,0))),N($C90)&lt;=0),"",SQRT(2*$C90*1000000/(INDEX(Simulations!$J$3:$J$62,MATCH($A90,Simulations!$A$3:$A$62,0))*1000))/INDEX(Simulations!$T$3:$T$62,MATCH($A90,Simulations!$A$3:$A$62,0)))</f>
        <v/>
      </c>
      <c r="V90" s="19" t="str">
        <f aca="false">IF($A90="","",IF(ISNA(MATCH($A90,Simulations!$A$3:$A$62,0)),"✖ Sim ID not found on the Simulations sheet",IF($P90&gt;=1,"✖ brightness &gt;= sampling frequency: completely saturated (D too small, c too large)",IF($P90&gt;0.1,"⚠ brightness &gt; 10% of the sampling frequency: focus starts to saturate",IF(N($U90)&gt;0.1,"⚠ diffusion step &gt; 10% of wr: raise the sampling frequency",IF(MAX($E90:$H90)=0,"⚠ no brightness set","✔ OK"))))))</f>
        <v/>
      </c>
    </row>
    <row r="91" customFormat="false" ht="15" hidden="false" customHeight="false" outlineLevel="0" collapsed="false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4"/>
      <c r="O91" s="18" t="str">
        <f aca="false">IF(OR($A91="",ISNA(MATCH($A91,Simulations!$A$3:$A$62,0))),"",IF(INDEX(Simulations!$I$3:$I$62,MATCH($A91,Simulations!$A$3:$A$62,0))&gt;0,$D91/(INDEX(Simulations!$G$3:$G$62,MATCH($A91,Simulations!$A$3:$A$62,0))*INDEX(Simulations!$H$3:$H$62,MATCH($A91,Simulations!$A$3:$A$62,0))*IF(INDEX(Simulations!$I$3:$I$62,MATCH($A91,Simulations!$A$3:$A$62,0))&gt;0,INDEX(Simulations!$I$3:$I$62,MATCH($A91,Simulations!$A$3:$A$62,0)),1))/1E-024/6.022E+023/0.000000001,""))</f>
        <v/>
      </c>
      <c r="P91" s="20" t="str">
        <f aca="false">IF(OR($A91="",ISNA(MATCH($A91,Simulations!$A$3:$A$62,0))),"",MAX($E91:$H91)/INDEX(Simulations!$J$3:$J$62,MATCH($A91,Simulations!$A$3:$A$62,0)))</f>
        <v/>
      </c>
      <c r="Q91" s="16" t="str">
        <f aca="false">IF(OR($A91="",ISNA(MATCH($A91,Simulations!$A$3:$A$62,0))),"",IF(N($E91)&lt;=0,0,IF($E91&lt;INDEX(Simulations!$J$3:$J$62,MATCH($A91,Simulations!$A$3:$A$62,0)),$D91/(INDEX(Simulations!$G$3:$G$62,MATCH($A91,Simulations!$A$3:$A$62,0))*INDEX(Simulations!$H$3:$H$62,MATCH($A91,Simulations!$A$3:$A$62,0))*IF(INDEX(Simulations!$I$3:$I$62,MATCH($A91,Simulations!$A$3:$A$62,0))&gt;0,INDEX(Simulations!$I$3:$I$62,MATCH($A91,Simulations!$A$3:$A$62,0)),1))*$E91*(PI()/2*INDEX(Simulations!$T$3:$T$62,MATCH($A91,Simulations!$A$3:$A$62,0))^2*IF(INDEX(Simulations!$I$3:$I$62,MATCH($A91,Simulations!$A$3:$A$62,0))&gt;0,SQRT(PI()/2)*INDEX(Simulations!$U$3:$U$62,MATCH($A91,Simulations!$A$3:$A$62,0)),1)),$D91/(INDEX(Simulations!$G$3:$G$62,MATCH($A91,Simulations!$A$3:$A$62,0))*INDEX(Simulations!$H$3:$H$62,MATCH($A91,Simulations!$A$3:$A$62,0))*IF(INDEX(Simulations!$I$3:$I$62,MATCH($A91,Simulations!$A$3:$A$62,0))&gt;0,INDEX(Simulations!$I$3:$I$62,MATCH($A91,Simulations!$A$3:$A$62,0)),1))*INDEX(Simulations!$J$3:$J$62,MATCH($A91,Simulations!$A$3:$A$62,0))*IF(INDEX(Simulations!$I$3:$I$62,MATCH($A91,Simulations!$A$3:$A$62,0))&gt;0,2*PI()*INDEX(Simulations!$T$3:$T$62,MATCH($A91,Simulations!$A$3:$A$62,0))^2*INDEX(Simulations!$U$3:$U$62,MATCH($A91,Simulations!$A$3:$A$62,0))/2^1.5*(2/3*LN($E91/INDEX(Simulations!$J$3:$J$62,MATCH($A91,Simulations!$A$3:$A$62,0)))^1.5+SQRT(LN($E91/INDEX(Simulations!$J$3:$J$62,MATCH($A91,Simulations!$A$3:$A$62,0))))+$E91/INDEX(Simulations!$J$3:$J$62,MATCH($A91,Simulations!$A$3:$A$62,0))*SQRT(PI())/2*ERFC(SQRT(LN($E91/INDEX(Simulations!$J$3:$J$62,MATCH($A91,Simulations!$A$3:$A$62,0)))))),PI()*INDEX(Simulations!$T$3:$T$62,MATCH($A91,Simulations!$A$3:$A$62,0))^2/2*(LN($E91/INDEX(Simulations!$J$3:$J$62,MATCH($A91,Simulations!$A$3:$A$62,0)))+1)))))</f>
        <v/>
      </c>
      <c r="R91" s="16" t="str">
        <f aca="false">IF(OR($A91="",ISNA(MATCH($A91,Simulations!$A$3:$A$62,0))),"",IF(N($F91)&lt;=0,0,IF($F91&lt;INDEX(Simulations!$J$3:$J$62,MATCH($A91,Simulations!$A$3:$A$62,0)),$D91/(INDEX(Simulations!$G$3:$G$62,MATCH($A91,Simulations!$A$3:$A$62,0))*INDEX(Simulations!$H$3:$H$62,MATCH($A91,Simulations!$A$3:$A$62,0))*IF(INDEX(Simulations!$I$3:$I$62,MATCH($A91,Simulations!$A$3:$A$62,0))&gt;0,INDEX(Simulations!$I$3:$I$62,MATCH($A91,Simulations!$A$3:$A$62,0)),1))*$F91*(PI()/2*INDEX(Simulations!$T$3:$T$62,MATCH($A91,Simulations!$A$3:$A$62,0))^2*IF(INDEX(Simulations!$I$3:$I$62,MATCH($A91,Simulations!$A$3:$A$62,0))&gt;0,SQRT(PI()/2)*INDEX(Simulations!$U$3:$U$62,MATCH($A91,Simulations!$A$3:$A$62,0)),1)),$D91/(INDEX(Simulations!$G$3:$G$62,MATCH($A91,Simulations!$A$3:$A$62,0))*INDEX(Simulations!$H$3:$H$62,MATCH($A91,Simulations!$A$3:$A$62,0))*IF(INDEX(Simulations!$I$3:$I$62,MATCH($A91,Simulations!$A$3:$A$62,0))&gt;0,INDEX(Simulations!$I$3:$I$62,MATCH($A91,Simulations!$A$3:$A$62,0)),1))*INDEX(Simulations!$J$3:$J$62,MATCH($A91,Simulations!$A$3:$A$62,0))*IF(INDEX(Simulations!$I$3:$I$62,MATCH($A91,Simulations!$A$3:$A$62,0))&gt;0,2*PI()*INDEX(Simulations!$T$3:$T$62,MATCH($A91,Simulations!$A$3:$A$62,0))^2*INDEX(Simulations!$U$3:$U$62,MATCH($A91,Simulations!$A$3:$A$62,0))/2^1.5*(2/3*LN($F91/INDEX(Simulations!$J$3:$J$62,MATCH($A91,Simulations!$A$3:$A$62,0)))^1.5+SQRT(LN($F91/INDEX(Simulations!$J$3:$J$62,MATCH($A91,Simulations!$A$3:$A$62,0))))+$F91/INDEX(Simulations!$J$3:$J$62,MATCH($A91,Simulations!$A$3:$A$62,0))*SQRT(PI())/2*ERFC(SQRT(LN($F91/INDEX(Simulations!$J$3:$J$62,MATCH($A91,Simulations!$A$3:$A$62,0)))))),PI()*INDEX(Simulations!$T$3:$T$62,MATCH($A91,Simulations!$A$3:$A$62,0))^2/2*(LN($F91/INDEX(Simulations!$J$3:$J$62,MATCH($A91,Simulations!$A$3:$A$62,0)))+1)))))</f>
        <v/>
      </c>
      <c r="S91" s="16" t="str">
        <f aca="false">IF(OR($A91="",ISNA(MATCH($A91,Simulations!$A$3:$A$62,0))),"",IF(N($G91)&lt;=0,0,IF($G91&lt;INDEX(Simulations!$J$3:$J$62,MATCH($A91,Simulations!$A$3:$A$62,0)),$D91/(INDEX(Simulations!$G$3:$G$62,MATCH($A91,Simulations!$A$3:$A$62,0))*INDEX(Simulations!$H$3:$H$62,MATCH($A91,Simulations!$A$3:$A$62,0))*IF(INDEX(Simulations!$I$3:$I$62,MATCH($A91,Simulations!$A$3:$A$62,0))&gt;0,INDEX(Simulations!$I$3:$I$62,MATCH($A91,Simulations!$A$3:$A$62,0)),1))*$G91*(PI()/2*INDEX(Simulations!$T$3:$T$62,MATCH($A91,Simulations!$A$3:$A$62,0))^2*IF(INDEX(Simulations!$I$3:$I$62,MATCH($A91,Simulations!$A$3:$A$62,0))&gt;0,SQRT(PI()/2)*INDEX(Simulations!$U$3:$U$62,MATCH($A91,Simulations!$A$3:$A$62,0)),1)),$D91/(INDEX(Simulations!$G$3:$G$62,MATCH($A91,Simulations!$A$3:$A$62,0))*INDEX(Simulations!$H$3:$H$62,MATCH($A91,Simulations!$A$3:$A$62,0))*IF(INDEX(Simulations!$I$3:$I$62,MATCH($A91,Simulations!$A$3:$A$62,0))&gt;0,INDEX(Simulations!$I$3:$I$62,MATCH($A91,Simulations!$A$3:$A$62,0)),1))*INDEX(Simulations!$J$3:$J$62,MATCH($A91,Simulations!$A$3:$A$62,0))*IF(INDEX(Simulations!$I$3:$I$62,MATCH($A91,Simulations!$A$3:$A$62,0))&gt;0,2*PI()*INDEX(Simulations!$T$3:$T$62,MATCH($A91,Simulations!$A$3:$A$62,0))^2*INDEX(Simulations!$U$3:$U$62,MATCH($A91,Simulations!$A$3:$A$62,0))/2^1.5*(2/3*LN($G91/INDEX(Simulations!$J$3:$J$62,MATCH($A91,Simulations!$A$3:$A$62,0)))^1.5+SQRT(LN($G91/INDEX(Simulations!$J$3:$J$62,MATCH($A91,Simulations!$A$3:$A$62,0))))+$G91/INDEX(Simulations!$J$3:$J$62,MATCH($A91,Simulations!$A$3:$A$62,0))*SQRT(PI())/2*ERFC(SQRT(LN($G91/INDEX(Simulations!$J$3:$J$62,MATCH($A91,Simulations!$A$3:$A$62,0)))))),PI()*INDEX(Simulations!$T$3:$T$62,MATCH($A91,Simulations!$A$3:$A$62,0))^2/2*(LN($G91/INDEX(Simulations!$J$3:$J$62,MATCH($A91,Simulations!$A$3:$A$62,0)))+1)))))</f>
        <v/>
      </c>
      <c r="T91" s="16" t="str">
        <f aca="false">IF(OR($A91="",ISNA(MATCH($A91,Simulations!$A$3:$A$62,0))),"",IF(N($H91)&lt;=0,0,IF($H91&lt;INDEX(Simulations!$J$3:$J$62,MATCH($A91,Simulations!$A$3:$A$62,0)),$D91/(INDEX(Simulations!$G$3:$G$62,MATCH($A91,Simulations!$A$3:$A$62,0))*INDEX(Simulations!$H$3:$H$62,MATCH($A91,Simulations!$A$3:$A$62,0))*IF(INDEX(Simulations!$I$3:$I$62,MATCH($A91,Simulations!$A$3:$A$62,0))&gt;0,INDEX(Simulations!$I$3:$I$62,MATCH($A91,Simulations!$A$3:$A$62,0)),1))*$H91*(PI()/2*INDEX(Simulations!$T$3:$T$62,MATCH($A91,Simulations!$A$3:$A$62,0))^2*IF(INDEX(Simulations!$I$3:$I$62,MATCH($A91,Simulations!$A$3:$A$62,0))&gt;0,SQRT(PI()/2)*INDEX(Simulations!$U$3:$U$62,MATCH($A91,Simulations!$A$3:$A$62,0)),1)),$D91/(INDEX(Simulations!$G$3:$G$62,MATCH($A91,Simulations!$A$3:$A$62,0))*INDEX(Simulations!$H$3:$H$62,MATCH($A91,Simulations!$A$3:$A$62,0))*IF(INDEX(Simulations!$I$3:$I$62,MATCH($A91,Simulations!$A$3:$A$62,0))&gt;0,INDEX(Simulations!$I$3:$I$62,MATCH($A91,Simulations!$A$3:$A$62,0)),1))*INDEX(Simulations!$J$3:$J$62,MATCH($A91,Simulations!$A$3:$A$62,0))*IF(INDEX(Simulations!$I$3:$I$62,MATCH($A91,Simulations!$A$3:$A$62,0))&gt;0,2*PI()*INDEX(Simulations!$T$3:$T$62,MATCH($A91,Simulations!$A$3:$A$62,0))^2*INDEX(Simulations!$U$3:$U$62,MATCH($A91,Simulations!$A$3:$A$62,0))/2^1.5*(2/3*LN($H91/INDEX(Simulations!$J$3:$J$62,MATCH($A91,Simulations!$A$3:$A$62,0)))^1.5+SQRT(LN($H91/INDEX(Simulations!$J$3:$J$62,MATCH($A91,Simulations!$A$3:$A$62,0))))+$H91/INDEX(Simulations!$J$3:$J$62,MATCH($A91,Simulations!$A$3:$A$62,0))*SQRT(PI())/2*ERFC(SQRT(LN($H91/INDEX(Simulations!$J$3:$J$62,MATCH($A91,Simulations!$A$3:$A$62,0)))))),PI()*INDEX(Simulations!$T$3:$T$62,MATCH($A91,Simulations!$A$3:$A$62,0))^2/2*(LN($H91/INDEX(Simulations!$J$3:$J$62,MATCH($A91,Simulations!$A$3:$A$62,0)))+1)))))</f>
        <v/>
      </c>
      <c r="U91" s="18" t="str">
        <f aca="false">IF(OR(OR($A91="",ISNA(MATCH($A91,Simulations!$A$3:$A$62,0))),N($C91)&lt;=0),"",SQRT(2*$C91*1000000/(INDEX(Simulations!$J$3:$J$62,MATCH($A91,Simulations!$A$3:$A$62,0))*1000))/INDEX(Simulations!$T$3:$T$62,MATCH($A91,Simulations!$A$3:$A$62,0)))</f>
        <v/>
      </c>
      <c r="V91" s="19" t="str">
        <f aca="false">IF($A91="","",IF(ISNA(MATCH($A91,Simulations!$A$3:$A$62,0)),"✖ Sim ID not found on the Simulations sheet",IF($P91&gt;=1,"✖ brightness &gt;= sampling frequency: completely saturated (D too small, c too large)",IF($P91&gt;0.1,"⚠ brightness &gt; 10% of the sampling frequency: focus starts to saturate",IF(N($U91)&gt;0.1,"⚠ diffusion step &gt; 10% of wr: raise the sampling frequency",IF(MAX($E91:$H91)=0,"⚠ no brightness set","✔ OK"))))))</f>
        <v/>
      </c>
    </row>
    <row r="92" customFormat="false" ht="15" hidden="false" customHeight="false" outlineLevel="0" collapsed="false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4"/>
      <c r="O92" s="18" t="str">
        <f aca="false">IF(OR($A92="",ISNA(MATCH($A92,Simulations!$A$3:$A$62,0))),"",IF(INDEX(Simulations!$I$3:$I$62,MATCH($A92,Simulations!$A$3:$A$62,0))&gt;0,$D92/(INDEX(Simulations!$G$3:$G$62,MATCH($A92,Simulations!$A$3:$A$62,0))*INDEX(Simulations!$H$3:$H$62,MATCH($A92,Simulations!$A$3:$A$62,0))*IF(INDEX(Simulations!$I$3:$I$62,MATCH($A92,Simulations!$A$3:$A$62,0))&gt;0,INDEX(Simulations!$I$3:$I$62,MATCH($A92,Simulations!$A$3:$A$62,0)),1))/1E-024/6.022E+023/0.000000001,""))</f>
        <v/>
      </c>
      <c r="P92" s="20" t="str">
        <f aca="false">IF(OR($A92="",ISNA(MATCH($A92,Simulations!$A$3:$A$62,0))),"",MAX($E92:$H92)/INDEX(Simulations!$J$3:$J$62,MATCH($A92,Simulations!$A$3:$A$62,0)))</f>
        <v/>
      </c>
      <c r="Q92" s="16" t="str">
        <f aca="false">IF(OR($A92="",ISNA(MATCH($A92,Simulations!$A$3:$A$62,0))),"",IF(N($E92)&lt;=0,0,IF($E92&lt;INDEX(Simulations!$J$3:$J$62,MATCH($A92,Simulations!$A$3:$A$62,0)),$D92/(INDEX(Simulations!$G$3:$G$62,MATCH($A92,Simulations!$A$3:$A$62,0))*INDEX(Simulations!$H$3:$H$62,MATCH($A92,Simulations!$A$3:$A$62,0))*IF(INDEX(Simulations!$I$3:$I$62,MATCH($A92,Simulations!$A$3:$A$62,0))&gt;0,INDEX(Simulations!$I$3:$I$62,MATCH($A92,Simulations!$A$3:$A$62,0)),1))*$E92*(PI()/2*INDEX(Simulations!$T$3:$T$62,MATCH($A92,Simulations!$A$3:$A$62,0))^2*IF(INDEX(Simulations!$I$3:$I$62,MATCH($A92,Simulations!$A$3:$A$62,0))&gt;0,SQRT(PI()/2)*INDEX(Simulations!$U$3:$U$62,MATCH($A92,Simulations!$A$3:$A$62,0)),1)),$D92/(INDEX(Simulations!$G$3:$G$62,MATCH($A92,Simulations!$A$3:$A$62,0))*INDEX(Simulations!$H$3:$H$62,MATCH($A92,Simulations!$A$3:$A$62,0))*IF(INDEX(Simulations!$I$3:$I$62,MATCH($A92,Simulations!$A$3:$A$62,0))&gt;0,INDEX(Simulations!$I$3:$I$62,MATCH($A92,Simulations!$A$3:$A$62,0)),1))*INDEX(Simulations!$J$3:$J$62,MATCH($A92,Simulations!$A$3:$A$62,0))*IF(INDEX(Simulations!$I$3:$I$62,MATCH($A92,Simulations!$A$3:$A$62,0))&gt;0,2*PI()*INDEX(Simulations!$T$3:$T$62,MATCH($A92,Simulations!$A$3:$A$62,0))^2*INDEX(Simulations!$U$3:$U$62,MATCH($A92,Simulations!$A$3:$A$62,0))/2^1.5*(2/3*LN($E92/INDEX(Simulations!$J$3:$J$62,MATCH($A92,Simulations!$A$3:$A$62,0)))^1.5+SQRT(LN($E92/INDEX(Simulations!$J$3:$J$62,MATCH($A92,Simulations!$A$3:$A$62,0))))+$E92/INDEX(Simulations!$J$3:$J$62,MATCH($A92,Simulations!$A$3:$A$62,0))*SQRT(PI())/2*ERFC(SQRT(LN($E92/INDEX(Simulations!$J$3:$J$62,MATCH($A92,Simulations!$A$3:$A$62,0)))))),PI()*INDEX(Simulations!$T$3:$T$62,MATCH($A92,Simulations!$A$3:$A$62,0))^2/2*(LN($E92/INDEX(Simulations!$J$3:$J$62,MATCH($A92,Simulations!$A$3:$A$62,0)))+1)))))</f>
        <v/>
      </c>
      <c r="R92" s="16" t="str">
        <f aca="false">IF(OR($A92="",ISNA(MATCH($A92,Simulations!$A$3:$A$62,0))),"",IF(N($F92)&lt;=0,0,IF($F92&lt;INDEX(Simulations!$J$3:$J$62,MATCH($A92,Simulations!$A$3:$A$62,0)),$D92/(INDEX(Simulations!$G$3:$G$62,MATCH($A92,Simulations!$A$3:$A$62,0))*INDEX(Simulations!$H$3:$H$62,MATCH($A92,Simulations!$A$3:$A$62,0))*IF(INDEX(Simulations!$I$3:$I$62,MATCH($A92,Simulations!$A$3:$A$62,0))&gt;0,INDEX(Simulations!$I$3:$I$62,MATCH($A92,Simulations!$A$3:$A$62,0)),1))*$F92*(PI()/2*INDEX(Simulations!$T$3:$T$62,MATCH($A92,Simulations!$A$3:$A$62,0))^2*IF(INDEX(Simulations!$I$3:$I$62,MATCH($A92,Simulations!$A$3:$A$62,0))&gt;0,SQRT(PI()/2)*INDEX(Simulations!$U$3:$U$62,MATCH($A92,Simulations!$A$3:$A$62,0)),1)),$D92/(INDEX(Simulations!$G$3:$G$62,MATCH($A92,Simulations!$A$3:$A$62,0))*INDEX(Simulations!$H$3:$H$62,MATCH($A92,Simulations!$A$3:$A$62,0))*IF(INDEX(Simulations!$I$3:$I$62,MATCH($A92,Simulations!$A$3:$A$62,0))&gt;0,INDEX(Simulations!$I$3:$I$62,MATCH($A92,Simulations!$A$3:$A$62,0)),1))*INDEX(Simulations!$J$3:$J$62,MATCH($A92,Simulations!$A$3:$A$62,0))*IF(INDEX(Simulations!$I$3:$I$62,MATCH($A92,Simulations!$A$3:$A$62,0))&gt;0,2*PI()*INDEX(Simulations!$T$3:$T$62,MATCH($A92,Simulations!$A$3:$A$62,0))^2*INDEX(Simulations!$U$3:$U$62,MATCH($A92,Simulations!$A$3:$A$62,0))/2^1.5*(2/3*LN($F92/INDEX(Simulations!$J$3:$J$62,MATCH($A92,Simulations!$A$3:$A$62,0)))^1.5+SQRT(LN($F92/INDEX(Simulations!$J$3:$J$62,MATCH($A92,Simulations!$A$3:$A$62,0))))+$F92/INDEX(Simulations!$J$3:$J$62,MATCH($A92,Simulations!$A$3:$A$62,0))*SQRT(PI())/2*ERFC(SQRT(LN($F92/INDEX(Simulations!$J$3:$J$62,MATCH($A92,Simulations!$A$3:$A$62,0)))))),PI()*INDEX(Simulations!$T$3:$T$62,MATCH($A92,Simulations!$A$3:$A$62,0))^2/2*(LN($F92/INDEX(Simulations!$J$3:$J$62,MATCH($A92,Simulations!$A$3:$A$62,0)))+1)))))</f>
        <v/>
      </c>
      <c r="S92" s="16" t="str">
        <f aca="false">IF(OR($A92="",ISNA(MATCH($A92,Simulations!$A$3:$A$62,0))),"",IF(N($G92)&lt;=0,0,IF($G92&lt;INDEX(Simulations!$J$3:$J$62,MATCH($A92,Simulations!$A$3:$A$62,0)),$D92/(INDEX(Simulations!$G$3:$G$62,MATCH($A92,Simulations!$A$3:$A$62,0))*INDEX(Simulations!$H$3:$H$62,MATCH($A92,Simulations!$A$3:$A$62,0))*IF(INDEX(Simulations!$I$3:$I$62,MATCH($A92,Simulations!$A$3:$A$62,0))&gt;0,INDEX(Simulations!$I$3:$I$62,MATCH($A92,Simulations!$A$3:$A$62,0)),1))*$G92*(PI()/2*INDEX(Simulations!$T$3:$T$62,MATCH($A92,Simulations!$A$3:$A$62,0))^2*IF(INDEX(Simulations!$I$3:$I$62,MATCH($A92,Simulations!$A$3:$A$62,0))&gt;0,SQRT(PI()/2)*INDEX(Simulations!$U$3:$U$62,MATCH($A92,Simulations!$A$3:$A$62,0)),1)),$D92/(INDEX(Simulations!$G$3:$G$62,MATCH($A92,Simulations!$A$3:$A$62,0))*INDEX(Simulations!$H$3:$H$62,MATCH($A92,Simulations!$A$3:$A$62,0))*IF(INDEX(Simulations!$I$3:$I$62,MATCH($A92,Simulations!$A$3:$A$62,0))&gt;0,INDEX(Simulations!$I$3:$I$62,MATCH($A92,Simulations!$A$3:$A$62,0)),1))*INDEX(Simulations!$J$3:$J$62,MATCH($A92,Simulations!$A$3:$A$62,0))*IF(INDEX(Simulations!$I$3:$I$62,MATCH($A92,Simulations!$A$3:$A$62,0))&gt;0,2*PI()*INDEX(Simulations!$T$3:$T$62,MATCH($A92,Simulations!$A$3:$A$62,0))^2*INDEX(Simulations!$U$3:$U$62,MATCH($A92,Simulations!$A$3:$A$62,0))/2^1.5*(2/3*LN($G92/INDEX(Simulations!$J$3:$J$62,MATCH($A92,Simulations!$A$3:$A$62,0)))^1.5+SQRT(LN($G92/INDEX(Simulations!$J$3:$J$62,MATCH($A92,Simulations!$A$3:$A$62,0))))+$G92/INDEX(Simulations!$J$3:$J$62,MATCH($A92,Simulations!$A$3:$A$62,0))*SQRT(PI())/2*ERFC(SQRT(LN($G92/INDEX(Simulations!$J$3:$J$62,MATCH($A92,Simulations!$A$3:$A$62,0)))))),PI()*INDEX(Simulations!$T$3:$T$62,MATCH($A92,Simulations!$A$3:$A$62,0))^2/2*(LN($G92/INDEX(Simulations!$J$3:$J$62,MATCH($A92,Simulations!$A$3:$A$62,0)))+1)))))</f>
        <v/>
      </c>
      <c r="T92" s="16" t="str">
        <f aca="false">IF(OR($A92="",ISNA(MATCH($A92,Simulations!$A$3:$A$62,0))),"",IF(N($H92)&lt;=0,0,IF($H92&lt;INDEX(Simulations!$J$3:$J$62,MATCH($A92,Simulations!$A$3:$A$62,0)),$D92/(INDEX(Simulations!$G$3:$G$62,MATCH($A92,Simulations!$A$3:$A$62,0))*INDEX(Simulations!$H$3:$H$62,MATCH($A92,Simulations!$A$3:$A$62,0))*IF(INDEX(Simulations!$I$3:$I$62,MATCH($A92,Simulations!$A$3:$A$62,0))&gt;0,INDEX(Simulations!$I$3:$I$62,MATCH($A92,Simulations!$A$3:$A$62,0)),1))*$H92*(PI()/2*INDEX(Simulations!$T$3:$T$62,MATCH($A92,Simulations!$A$3:$A$62,0))^2*IF(INDEX(Simulations!$I$3:$I$62,MATCH($A92,Simulations!$A$3:$A$62,0))&gt;0,SQRT(PI()/2)*INDEX(Simulations!$U$3:$U$62,MATCH($A92,Simulations!$A$3:$A$62,0)),1)),$D92/(INDEX(Simulations!$G$3:$G$62,MATCH($A92,Simulations!$A$3:$A$62,0))*INDEX(Simulations!$H$3:$H$62,MATCH($A92,Simulations!$A$3:$A$62,0))*IF(INDEX(Simulations!$I$3:$I$62,MATCH($A92,Simulations!$A$3:$A$62,0))&gt;0,INDEX(Simulations!$I$3:$I$62,MATCH($A92,Simulations!$A$3:$A$62,0)),1))*INDEX(Simulations!$J$3:$J$62,MATCH($A92,Simulations!$A$3:$A$62,0))*IF(INDEX(Simulations!$I$3:$I$62,MATCH($A92,Simulations!$A$3:$A$62,0))&gt;0,2*PI()*INDEX(Simulations!$T$3:$T$62,MATCH($A92,Simulations!$A$3:$A$62,0))^2*INDEX(Simulations!$U$3:$U$62,MATCH($A92,Simulations!$A$3:$A$62,0))/2^1.5*(2/3*LN($H92/INDEX(Simulations!$J$3:$J$62,MATCH($A92,Simulations!$A$3:$A$62,0)))^1.5+SQRT(LN($H92/INDEX(Simulations!$J$3:$J$62,MATCH($A92,Simulations!$A$3:$A$62,0))))+$H92/INDEX(Simulations!$J$3:$J$62,MATCH($A92,Simulations!$A$3:$A$62,0))*SQRT(PI())/2*ERFC(SQRT(LN($H92/INDEX(Simulations!$J$3:$J$62,MATCH($A92,Simulations!$A$3:$A$62,0)))))),PI()*INDEX(Simulations!$T$3:$T$62,MATCH($A92,Simulations!$A$3:$A$62,0))^2/2*(LN($H92/INDEX(Simulations!$J$3:$J$62,MATCH($A92,Simulations!$A$3:$A$62,0)))+1)))))</f>
        <v/>
      </c>
      <c r="U92" s="18" t="str">
        <f aca="false">IF(OR(OR($A92="",ISNA(MATCH($A92,Simulations!$A$3:$A$62,0))),N($C92)&lt;=0),"",SQRT(2*$C92*1000000/(INDEX(Simulations!$J$3:$J$62,MATCH($A92,Simulations!$A$3:$A$62,0))*1000))/INDEX(Simulations!$T$3:$T$62,MATCH($A92,Simulations!$A$3:$A$62,0)))</f>
        <v/>
      </c>
      <c r="V92" s="19" t="str">
        <f aca="false">IF($A92="","",IF(ISNA(MATCH($A92,Simulations!$A$3:$A$62,0)),"✖ Sim ID not found on the Simulations sheet",IF($P92&gt;=1,"✖ brightness &gt;= sampling frequency: completely saturated (D too small, c too large)",IF($P92&gt;0.1,"⚠ brightness &gt; 10% of the sampling frequency: focus starts to saturate",IF(N($U92)&gt;0.1,"⚠ diffusion step &gt; 10% of wr: raise the sampling frequency",IF(MAX($E92:$H92)=0,"⚠ no brightness set","✔ OK"))))))</f>
        <v/>
      </c>
    </row>
    <row r="93" customFormat="false" ht="15" hidden="false" customHeight="false" outlineLevel="0" collapsed="false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4"/>
      <c r="O93" s="18" t="str">
        <f aca="false">IF(OR($A93="",ISNA(MATCH($A93,Simulations!$A$3:$A$62,0))),"",IF(INDEX(Simulations!$I$3:$I$62,MATCH($A93,Simulations!$A$3:$A$62,0))&gt;0,$D93/(INDEX(Simulations!$G$3:$G$62,MATCH($A93,Simulations!$A$3:$A$62,0))*INDEX(Simulations!$H$3:$H$62,MATCH($A93,Simulations!$A$3:$A$62,0))*IF(INDEX(Simulations!$I$3:$I$62,MATCH($A93,Simulations!$A$3:$A$62,0))&gt;0,INDEX(Simulations!$I$3:$I$62,MATCH($A93,Simulations!$A$3:$A$62,0)),1))/1E-024/6.022E+023/0.000000001,""))</f>
        <v/>
      </c>
      <c r="P93" s="20" t="str">
        <f aca="false">IF(OR($A93="",ISNA(MATCH($A93,Simulations!$A$3:$A$62,0))),"",MAX($E93:$H93)/INDEX(Simulations!$J$3:$J$62,MATCH($A93,Simulations!$A$3:$A$62,0)))</f>
        <v/>
      </c>
      <c r="Q93" s="16" t="str">
        <f aca="false">IF(OR($A93="",ISNA(MATCH($A93,Simulations!$A$3:$A$62,0))),"",IF(N($E93)&lt;=0,0,IF($E93&lt;INDEX(Simulations!$J$3:$J$62,MATCH($A93,Simulations!$A$3:$A$62,0)),$D93/(INDEX(Simulations!$G$3:$G$62,MATCH($A93,Simulations!$A$3:$A$62,0))*INDEX(Simulations!$H$3:$H$62,MATCH($A93,Simulations!$A$3:$A$62,0))*IF(INDEX(Simulations!$I$3:$I$62,MATCH($A93,Simulations!$A$3:$A$62,0))&gt;0,INDEX(Simulations!$I$3:$I$62,MATCH($A93,Simulations!$A$3:$A$62,0)),1))*$E93*(PI()/2*INDEX(Simulations!$T$3:$T$62,MATCH($A93,Simulations!$A$3:$A$62,0))^2*IF(INDEX(Simulations!$I$3:$I$62,MATCH($A93,Simulations!$A$3:$A$62,0))&gt;0,SQRT(PI()/2)*INDEX(Simulations!$U$3:$U$62,MATCH($A93,Simulations!$A$3:$A$62,0)),1)),$D93/(INDEX(Simulations!$G$3:$G$62,MATCH($A93,Simulations!$A$3:$A$62,0))*INDEX(Simulations!$H$3:$H$62,MATCH($A93,Simulations!$A$3:$A$62,0))*IF(INDEX(Simulations!$I$3:$I$62,MATCH($A93,Simulations!$A$3:$A$62,0))&gt;0,INDEX(Simulations!$I$3:$I$62,MATCH($A93,Simulations!$A$3:$A$62,0)),1))*INDEX(Simulations!$J$3:$J$62,MATCH($A93,Simulations!$A$3:$A$62,0))*IF(INDEX(Simulations!$I$3:$I$62,MATCH($A93,Simulations!$A$3:$A$62,0))&gt;0,2*PI()*INDEX(Simulations!$T$3:$T$62,MATCH($A93,Simulations!$A$3:$A$62,0))^2*INDEX(Simulations!$U$3:$U$62,MATCH($A93,Simulations!$A$3:$A$62,0))/2^1.5*(2/3*LN($E93/INDEX(Simulations!$J$3:$J$62,MATCH($A93,Simulations!$A$3:$A$62,0)))^1.5+SQRT(LN($E93/INDEX(Simulations!$J$3:$J$62,MATCH($A93,Simulations!$A$3:$A$62,0))))+$E93/INDEX(Simulations!$J$3:$J$62,MATCH($A93,Simulations!$A$3:$A$62,0))*SQRT(PI())/2*ERFC(SQRT(LN($E93/INDEX(Simulations!$J$3:$J$62,MATCH($A93,Simulations!$A$3:$A$62,0)))))),PI()*INDEX(Simulations!$T$3:$T$62,MATCH($A93,Simulations!$A$3:$A$62,0))^2/2*(LN($E93/INDEX(Simulations!$J$3:$J$62,MATCH($A93,Simulations!$A$3:$A$62,0)))+1)))))</f>
        <v/>
      </c>
      <c r="R93" s="16" t="str">
        <f aca="false">IF(OR($A93="",ISNA(MATCH($A93,Simulations!$A$3:$A$62,0))),"",IF(N($F93)&lt;=0,0,IF($F93&lt;INDEX(Simulations!$J$3:$J$62,MATCH($A93,Simulations!$A$3:$A$62,0)),$D93/(INDEX(Simulations!$G$3:$G$62,MATCH($A93,Simulations!$A$3:$A$62,0))*INDEX(Simulations!$H$3:$H$62,MATCH($A93,Simulations!$A$3:$A$62,0))*IF(INDEX(Simulations!$I$3:$I$62,MATCH($A93,Simulations!$A$3:$A$62,0))&gt;0,INDEX(Simulations!$I$3:$I$62,MATCH($A93,Simulations!$A$3:$A$62,0)),1))*$F93*(PI()/2*INDEX(Simulations!$T$3:$T$62,MATCH($A93,Simulations!$A$3:$A$62,0))^2*IF(INDEX(Simulations!$I$3:$I$62,MATCH($A93,Simulations!$A$3:$A$62,0))&gt;0,SQRT(PI()/2)*INDEX(Simulations!$U$3:$U$62,MATCH($A93,Simulations!$A$3:$A$62,0)),1)),$D93/(INDEX(Simulations!$G$3:$G$62,MATCH($A93,Simulations!$A$3:$A$62,0))*INDEX(Simulations!$H$3:$H$62,MATCH($A93,Simulations!$A$3:$A$62,0))*IF(INDEX(Simulations!$I$3:$I$62,MATCH($A93,Simulations!$A$3:$A$62,0))&gt;0,INDEX(Simulations!$I$3:$I$62,MATCH($A93,Simulations!$A$3:$A$62,0)),1))*INDEX(Simulations!$J$3:$J$62,MATCH($A93,Simulations!$A$3:$A$62,0))*IF(INDEX(Simulations!$I$3:$I$62,MATCH($A93,Simulations!$A$3:$A$62,0))&gt;0,2*PI()*INDEX(Simulations!$T$3:$T$62,MATCH($A93,Simulations!$A$3:$A$62,0))^2*INDEX(Simulations!$U$3:$U$62,MATCH($A93,Simulations!$A$3:$A$62,0))/2^1.5*(2/3*LN($F93/INDEX(Simulations!$J$3:$J$62,MATCH($A93,Simulations!$A$3:$A$62,0)))^1.5+SQRT(LN($F93/INDEX(Simulations!$J$3:$J$62,MATCH($A93,Simulations!$A$3:$A$62,0))))+$F93/INDEX(Simulations!$J$3:$J$62,MATCH($A93,Simulations!$A$3:$A$62,0))*SQRT(PI())/2*ERFC(SQRT(LN($F93/INDEX(Simulations!$J$3:$J$62,MATCH($A93,Simulations!$A$3:$A$62,0)))))),PI()*INDEX(Simulations!$T$3:$T$62,MATCH($A93,Simulations!$A$3:$A$62,0))^2/2*(LN($F93/INDEX(Simulations!$J$3:$J$62,MATCH($A93,Simulations!$A$3:$A$62,0)))+1)))))</f>
        <v/>
      </c>
      <c r="S93" s="16" t="str">
        <f aca="false">IF(OR($A93="",ISNA(MATCH($A93,Simulations!$A$3:$A$62,0))),"",IF(N($G93)&lt;=0,0,IF($G93&lt;INDEX(Simulations!$J$3:$J$62,MATCH($A93,Simulations!$A$3:$A$62,0)),$D93/(INDEX(Simulations!$G$3:$G$62,MATCH($A93,Simulations!$A$3:$A$62,0))*INDEX(Simulations!$H$3:$H$62,MATCH($A93,Simulations!$A$3:$A$62,0))*IF(INDEX(Simulations!$I$3:$I$62,MATCH($A93,Simulations!$A$3:$A$62,0))&gt;0,INDEX(Simulations!$I$3:$I$62,MATCH($A93,Simulations!$A$3:$A$62,0)),1))*$G93*(PI()/2*INDEX(Simulations!$T$3:$T$62,MATCH($A93,Simulations!$A$3:$A$62,0))^2*IF(INDEX(Simulations!$I$3:$I$62,MATCH($A93,Simulations!$A$3:$A$62,0))&gt;0,SQRT(PI()/2)*INDEX(Simulations!$U$3:$U$62,MATCH($A93,Simulations!$A$3:$A$62,0)),1)),$D93/(INDEX(Simulations!$G$3:$G$62,MATCH($A93,Simulations!$A$3:$A$62,0))*INDEX(Simulations!$H$3:$H$62,MATCH($A93,Simulations!$A$3:$A$62,0))*IF(INDEX(Simulations!$I$3:$I$62,MATCH($A93,Simulations!$A$3:$A$62,0))&gt;0,INDEX(Simulations!$I$3:$I$62,MATCH($A93,Simulations!$A$3:$A$62,0)),1))*INDEX(Simulations!$J$3:$J$62,MATCH($A93,Simulations!$A$3:$A$62,0))*IF(INDEX(Simulations!$I$3:$I$62,MATCH($A93,Simulations!$A$3:$A$62,0))&gt;0,2*PI()*INDEX(Simulations!$T$3:$T$62,MATCH($A93,Simulations!$A$3:$A$62,0))^2*INDEX(Simulations!$U$3:$U$62,MATCH($A93,Simulations!$A$3:$A$62,0))/2^1.5*(2/3*LN($G93/INDEX(Simulations!$J$3:$J$62,MATCH($A93,Simulations!$A$3:$A$62,0)))^1.5+SQRT(LN($G93/INDEX(Simulations!$J$3:$J$62,MATCH($A93,Simulations!$A$3:$A$62,0))))+$G93/INDEX(Simulations!$J$3:$J$62,MATCH($A93,Simulations!$A$3:$A$62,0))*SQRT(PI())/2*ERFC(SQRT(LN($G93/INDEX(Simulations!$J$3:$J$62,MATCH($A93,Simulations!$A$3:$A$62,0)))))),PI()*INDEX(Simulations!$T$3:$T$62,MATCH($A93,Simulations!$A$3:$A$62,0))^2/2*(LN($G93/INDEX(Simulations!$J$3:$J$62,MATCH($A93,Simulations!$A$3:$A$62,0)))+1)))))</f>
        <v/>
      </c>
      <c r="T93" s="16" t="str">
        <f aca="false">IF(OR($A93="",ISNA(MATCH($A93,Simulations!$A$3:$A$62,0))),"",IF(N($H93)&lt;=0,0,IF($H93&lt;INDEX(Simulations!$J$3:$J$62,MATCH($A93,Simulations!$A$3:$A$62,0)),$D93/(INDEX(Simulations!$G$3:$G$62,MATCH($A93,Simulations!$A$3:$A$62,0))*INDEX(Simulations!$H$3:$H$62,MATCH($A93,Simulations!$A$3:$A$62,0))*IF(INDEX(Simulations!$I$3:$I$62,MATCH($A93,Simulations!$A$3:$A$62,0))&gt;0,INDEX(Simulations!$I$3:$I$62,MATCH($A93,Simulations!$A$3:$A$62,0)),1))*$H93*(PI()/2*INDEX(Simulations!$T$3:$T$62,MATCH($A93,Simulations!$A$3:$A$62,0))^2*IF(INDEX(Simulations!$I$3:$I$62,MATCH($A93,Simulations!$A$3:$A$62,0))&gt;0,SQRT(PI()/2)*INDEX(Simulations!$U$3:$U$62,MATCH($A93,Simulations!$A$3:$A$62,0)),1)),$D93/(INDEX(Simulations!$G$3:$G$62,MATCH($A93,Simulations!$A$3:$A$62,0))*INDEX(Simulations!$H$3:$H$62,MATCH($A93,Simulations!$A$3:$A$62,0))*IF(INDEX(Simulations!$I$3:$I$62,MATCH($A93,Simulations!$A$3:$A$62,0))&gt;0,INDEX(Simulations!$I$3:$I$62,MATCH($A93,Simulations!$A$3:$A$62,0)),1))*INDEX(Simulations!$J$3:$J$62,MATCH($A93,Simulations!$A$3:$A$62,0))*IF(INDEX(Simulations!$I$3:$I$62,MATCH($A93,Simulations!$A$3:$A$62,0))&gt;0,2*PI()*INDEX(Simulations!$T$3:$T$62,MATCH($A93,Simulations!$A$3:$A$62,0))^2*INDEX(Simulations!$U$3:$U$62,MATCH($A93,Simulations!$A$3:$A$62,0))/2^1.5*(2/3*LN($H93/INDEX(Simulations!$J$3:$J$62,MATCH($A93,Simulations!$A$3:$A$62,0)))^1.5+SQRT(LN($H93/INDEX(Simulations!$J$3:$J$62,MATCH($A93,Simulations!$A$3:$A$62,0))))+$H93/INDEX(Simulations!$J$3:$J$62,MATCH($A93,Simulations!$A$3:$A$62,0))*SQRT(PI())/2*ERFC(SQRT(LN($H93/INDEX(Simulations!$J$3:$J$62,MATCH($A93,Simulations!$A$3:$A$62,0)))))),PI()*INDEX(Simulations!$T$3:$T$62,MATCH($A93,Simulations!$A$3:$A$62,0))^2/2*(LN($H93/INDEX(Simulations!$J$3:$J$62,MATCH($A93,Simulations!$A$3:$A$62,0)))+1)))))</f>
        <v/>
      </c>
      <c r="U93" s="18" t="str">
        <f aca="false">IF(OR(OR($A93="",ISNA(MATCH($A93,Simulations!$A$3:$A$62,0))),N($C93)&lt;=0),"",SQRT(2*$C93*1000000/(INDEX(Simulations!$J$3:$J$62,MATCH($A93,Simulations!$A$3:$A$62,0))*1000))/INDEX(Simulations!$T$3:$T$62,MATCH($A93,Simulations!$A$3:$A$62,0)))</f>
        <v/>
      </c>
      <c r="V93" s="19" t="str">
        <f aca="false">IF($A93="","",IF(ISNA(MATCH($A93,Simulations!$A$3:$A$62,0)),"✖ Sim ID not found on the Simulations sheet",IF($P93&gt;=1,"✖ brightness &gt;= sampling frequency: completely saturated (D too small, c too large)",IF($P93&gt;0.1,"⚠ brightness &gt; 10% of the sampling frequency: focus starts to saturate",IF(N($U93)&gt;0.1,"⚠ diffusion step &gt; 10% of wr: raise the sampling frequency",IF(MAX($E93:$H93)=0,"⚠ no brightness set","✔ OK"))))))</f>
        <v/>
      </c>
    </row>
    <row r="94" customFormat="false" ht="15" hidden="false" customHeight="false" outlineLevel="0" collapsed="false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4"/>
      <c r="O94" s="18" t="str">
        <f aca="false">IF(OR($A94="",ISNA(MATCH($A94,Simulations!$A$3:$A$62,0))),"",IF(INDEX(Simulations!$I$3:$I$62,MATCH($A94,Simulations!$A$3:$A$62,0))&gt;0,$D94/(INDEX(Simulations!$G$3:$G$62,MATCH($A94,Simulations!$A$3:$A$62,0))*INDEX(Simulations!$H$3:$H$62,MATCH($A94,Simulations!$A$3:$A$62,0))*IF(INDEX(Simulations!$I$3:$I$62,MATCH($A94,Simulations!$A$3:$A$62,0))&gt;0,INDEX(Simulations!$I$3:$I$62,MATCH($A94,Simulations!$A$3:$A$62,0)),1))/1E-024/6.022E+023/0.000000001,""))</f>
        <v/>
      </c>
      <c r="P94" s="20" t="str">
        <f aca="false">IF(OR($A94="",ISNA(MATCH($A94,Simulations!$A$3:$A$62,0))),"",MAX($E94:$H94)/INDEX(Simulations!$J$3:$J$62,MATCH($A94,Simulations!$A$3:$A$62,0)))</f>
        <v/>
      </c>
      <c r="Q94" s="16" t="str">
        <f aca="false">IF(OR($A94="",ISNA(MATCH($A94,Simulations!$A$3:$A$62,0))),"",IF(N($E94)&lt;=0,0,IF($E94&lt;INDEX(Simulations!$J$3:$J$62,MATCH($A94,Simulations!$A$3:$A$62,0)),$D94/(INDEX(Simulations!$G$3:$G$62,MATCH($A94,Simulations!$A$3:$A$62,0))*INDEX(Simulations!$H$3:$H$62,MATCH($A94,Simulations!$A$3:$A$62,0))*IF(INDEX(Simulations!$I$3:$I$62,MATCH($A94,Simulations!$A$3:$A$62,0))&gt;0,INDEX(Simulations!$I$3:$I$62,MATCH($A94,Simulations!$A$3:$A$62,0)),1))*$E94*(PI()/2*INDEX(Simulations!$T$3:$T$62,MATCH($A94,Simulations!$A$3:$A$62,0))^2*IF(INDEX(Simulations!$I$3:$I$62,MATCH($A94,Simulations!$A$3:$A$62,0))&gt;0,SQRT(PI()/2)*INDEX(Simulations!$U$3:$U$62,MATCH($A94,Simulations!$A$3:$A$62,0)),1)),$D94/(INDEX(Simulations!$G$3:$G$62,MATCH($A94,Simulations!$A$3:$A$62,0))*INDEX(Simulations!$H$3:$H$62,MATCH($A94,Simulations!$A$3:$A$62,0))*IF(INDEX(Simulations!$I$3:$I$62,MATCH($A94,Simulations!$A$3:$A$62,0))&gt;0,INDEX(Simulations!$I$3:$I$62,MATCH($A94,Simulations!$A$3:$A$62,0)),1))*INDEX(Simulations!$J$3:$J$62,MATCH($A94,Simulations!$A$3:$A$62,0))*IF(INDEX(Simulations!$I$3:$I$62,MATCH($A94,Simulations!$A$3:$A$62,0))&gt;0,2*PI()*INDEX(Simulations!$T$3:$T$62,MATCH($A94,Simulations!$A$3:$A$62,0))^2*INDEX(Simulations!$U$3:$U$62,MATCH($A94,Simulations!$A$3:$A$62,0))/2^1.5*(2/3*LN($E94/INDEX(Simulations!$J$3:$J$62,MATCH($A94,Simulations!$A$3:$A$62,0)))^1.5+SQRT(LN($E94/INDEX(Simulations!$J$3:$J$62,MATCH($A94,Simulations!$A$3:$A$62,0))))+$E94/INDEX(Simulations!$J$3:$J$62,MATCH($A94,Simulations!$A$3:$A$62,0))*SQRT(PI())/2*ERFC(SQRT(LN($E94/INDEX(Simulations!$J$3:$J$62,MATCH($A94,Simulations!$A$3:$A$62,0)))))),PI()*INDEX(Simulations!$T$3:$T$62,MATCH($A94,Simulations!$A$3:$A$62,0))^2/2*(LN($E94/INDEX(Simulations!$J$3:$J$62,MATCH($A94,Simulations!$A$3:$A$62,0)))+1)))))</f>
        <v/>
      </c>
      <c r="R94" s="16" t="str">
        <f aca="false">IF(OR($A94="",ISNA(MATCH($A94,Simulations!$A$3:$A$62,0))),"",IF(N($F94)&lt;=0,0,IF($F94&lt;INDEX(Simulations!$J$3:$J$62,MATCH($A94,Simulations!$A$3:$A$62,0)),$D94/(INDEX(Simulations!$G$3:$G$62,MATCH($A94,Simulations!$A$3:$A$62,0))*INDEX(Simulations!$H$3:$H$62,MATCH($A94,Simulations!$A$3:$A$62,0))*IF(INDEX(Simulations!$I$3:$I$62,MATCH($A94,Simulations!$A$3:$A$62,0))&gt;0,INDEX(Simulations!$I$3:$I$62,MATCH($A94,Simulations!$A$3:$A$62,0)),1))*$F94*(PI()/2*INDEX(Simulations!$T$3:$T$62,MATCH($A94,Simulations!$A$3:$A$62,0))^2*IF(INDEX(Simulations!$I$3:$I$62,MATCH($A94,Simulations!$A$3:$A$62,0))&gt;0,SQRT(PI()/2)*INDEX(Simulations!$U$3:$U$62,MATCH($A94,Simulations!$A$3:$A$62,0)),1)),$D94/(INDEX(Simulations!$G$3:$G$62,MATCH($A94,Simulations!$A$3:$A$62,0))*INDEX(Simulations!$H$3:$H$62,MATCH($A94,Simulations!$A$3:$A$62,0))*IF(INDEX(Simulations!$I$3:$I$62,MATCH($A94,Simulations!$A$3:$A$62,0))&gt;0,INDEX(Simulations!$I$3:$I$62,MATCH($A94,Simulations!$A$3:$A$62,0)),1))*INDEX(Simulations!$J$3:$J$62,MATCH($A94,Simulations!$A$3:$A$62,0))*IF(INDEX(Simulations!$I$3:$I$62,MATCH($A94,Simulations!$A$3:$A$62,0))&gt;0,2*PI()*INDEX(Simulations!$T$3:$T$62,MATCH($A94,Simulations!$A$3:$A$62,0))^2*INDEX(Simulations!$U$3:$U$62,MATCH($A94,Simulations!$A$3:$A$62,0))/2^1.5*(2/3*LN($F94/INDEX(Simulations!$J$3:$J$62,MATCH($A94,Simulations!$A$3:$A$62,0)))^1.5+SQRT(LN($F94/INDEX(Simulations!$J$3:$J$62,MATCH($A94,Simulations!$A$3:$A$62,0))))+$F94/INDEX(Simulations!$J$3:$J$62,MATCH($A94,Simulations!$A$3:$A$62,0))*SQRT(PI())/2*ERFC(SQRT(LN($F94/INDEX(Simulations!$J$3:$J$62,MATCH($A94,Simulations!$A$3:$A$62,0)))))),PI()*INDEX(Simulations!$T$3:$T$62,MATCH($A94,Simulations!$A$3:$A$62,0))^2/2*(LN($F94/INDEX(Simulations!$J$3:$J$62,MATCH($A94,Simulations!$A$3:$A$62,0)))+1)))))</f>
        <v/>
      </c>
      <c r="S94" s="16" t="str">
        <f aca="false">IF(OR($A94="",ISNA(MATCH($A94,Simulations!$A$3:$A$62,0))),"",IF(N($G94)&lt;=0,0,IF($G94&lt;INDEX(Simulations!$J$3:$J$62,MATCH($A94,Simulations!$A$3:$A$62,0)),$D94/(INDEX(Simulations!$G$3:$G$62,MATCH($A94,Simulations!$A$3:$A$62,0))*INDEX(Simulations!$H$3:$H$62,MATCH($A94,Simulations!$A$3:$A$62,0))*IF(INDEX(Simulations!$I$3:$I$62,MATCH($A94,Simulations!$A$3:$A$62,0))&gt;0,INDEX(Simulations!$I$3:$I$62,MATCH($A94,Simulations!$A$3:$A$62,0)),1))*$G94*(PI()/2*INDEX(Simulations!$T$3:$T$62,MATCH($A94,Simulations!$A$3:$A$62,0))^2*IF(INDEX(Simulations!$I$3:$I$62,MATCH($A94,Simulations!$A$3:$A$62,0))&gt;0,SQRT(PI()/2)*INDEX(Simulations!$U$3:$U$62,MATCH($A94,Simulations!$A$3:$A$62,0)),1)),$D94/(INDEX(Simulations!$G$3:$G$62,MATCH($A94,Simulations!$A$3:$A$62,0))*INDEX(Simulations!$H$3:$H$62,MATCH($A94,Simulations!$A$3:$A$62,0))*IF(INDEX(Simulations!$I$3:$I$62,MATCH($A94,Simulations!$A$3:$A$62,0))&gt;0,INDEX(Simulations!$I$3:$I$62,MATCH($A94,Simulations!$A$3:$A$62,0)),1))*INDEX(Simulations!$J$3:$J$62,MATCH($A94,Simulations!$A$3:$A$62,0))*IF(INDEX(Simulations!$I$3:$I$62,MATCH($A94,Simulations!$A$3:$A$62,0))&gt;0,2*PI()*INDEX(Simulations!$T$3:$T$62,MATCH($A94,Simulations!$A$3:$A$62,0))^2*INDEX(Simulations!$U$3:$U$62,MATCH($A94,Simulations!$A$3:$A$62,0))/2^1.5*(2/3*LN($G94/INDEX(Simulations!$J$3:$J$62,MATCH($A94,Simulations!$A$3:$A$62,0)))^1.5+SQRT(LN($G94/INDEX(Simulations!$J$3:$J$62,MATCH($A94,Simulations!$A$3:$A$62,0))))+$G94/INDEX(Simulations!$J$3:$J$62,MATCH($A94,Simulations!$A$3:$A$62,0))*SQRT(PI())/2*ERFC(SQRT(LN($G94/INDEX(Simulations!$J$3:$J$62,MATCH($A94,Simulations!$A$3:$A$62,0)))))),PI()*INDEX(Simulations!$T$3:$T$62,MATCH($A94,Simulations!$A$3:$A$62,0))^2/2*(LN($G94/INDEX(Simulations!$J$3:$J$62,MATCH($A94,Simulations!$A$3:$A$62,0)))+1)))))</f>
        <v/>
      </c>
      <c r="T94" s="16" t="str">
        <f aca="false">IF(OR($A94="",ISNA(MATCH($A94,Simulations!$A$3:$A$62,0))),"",IF(N($H94)&lt;=0,0,IF($H94&lt;INDEX(Simulations!$J$3:$J$62,MATCH($A94,Simulations!$A$3:$A$62,0)),$D94/(INDEX(Simulations!$G$3:$G$62,MATCH($A94,Simulations!$A$3:$A$62,0))*INDEX(Simulations!$H$3:$H$62,MATCH($A94,Simulations!$A$3:$A$62,0))*IF(INDEX(Simulations!$I$3:$I$62,MATCH($A94,Simulations!$A$3:$A$62,0))&gt;0,INDEX(Simulations!$I$3:$I$62,MATCH($A94,Simulations!$A$3:$A$62,0)),1))*$H94*(PI()/2*INDEX(Simulations!$T$3:$T$62,MATCH($A94,Simulations!$A$3:$A$62,0))^2*IF(INDEX(Simulations!$I$3:$I$62,MATCH($A94,Simulations!$A$3:$A$62,0))&gt;0,SQRT(PI()/2)*INDEX(Simulations!$U$3:$U$62,MATCH($A94,Simulations!$A$3:$A$62,0)),1)),$D94/(INDEX(Simulations!$G$3:$G$62,MATCH($A94,Simulations!$A$3:$A$62,0))*INDEX(Simulations!$H$3:$H$62,MATCH($A94,Simulations!$A$3:$A$62,0))*IF(INDEX(Simulations!$I$3:$I$62,MATCH($A94,Simulations!$A$3:$A$62,0))&gt;0,INDEX(Simulations!$I$3:$I$62,MATCH($A94,Simulations!$A$3:$A$62,0)),1))*INDEX(Simulations!$J$3:$J$62,MATCH($A94,Simulations!$A$3:$A$62,0))*IF(INDEX(Simulations!$I$3:$I$62,MATCH($A94,Simulations!$A$3:$A$62,0))&gt;0,2*PI()*INDEX(Simulations!$T$3:$T$62,MATCH($A94,Simulations!$A$3:$A$62,0))^2*INDEX(Simulations!$U$3:$U$62,MATCH($A94,Simulations!$A$3:$A$62,0))/2^1.5*(2/3*LN($H94/INDEX(Simulations!$J$3:$J$62,MATCH($A94,Simulations!$A$3:$A$62,0)))^1.5+SQRT(LN($H94/INDEX(Simulations!$J$3:$J$62,MATCH($A94,Simulations!$A$3:$A$62,0))))+$H94/INDEX(Simulations!$J$3:$J$62,MATCH($A94,Simulations!$A$3:$A$62,0))*SQRT(PI())/2*ERFC(SQRT(LN($H94/INDEX(Simulations!$J$3:$J$62,MATCH($A94,Simulations!$A$3:$A$62,0)))))),PI()*INDEX(Simulations!$T$3:$T$62,MATCH($A94,Simulations!$A$3:$A$62,0))^2/2*(LN($H94/INDEX(Simulations!$J$3:$J$62,MATCH($A94,Simulations!$A$3:$A$62,0)))+1)))))</f>
        <v/>
      </c>
      <c r="U94" s="18" t="str">
        <f aca="false">IF(OR(OR($A94="",ISNA(MATCH($A94,Simulations!$A$3:$A$62,0))),N($C94)&lt;=0),"",SQRT(2*$C94*1000000/(INDEX(Simulations!$J$3:$J$62,MATCH($A94,Simulations!$A$3:$A$62,0))*1000))/INDEX(Simulations!$T$3:$T$62,MATCH($A94,Simulations!$A$3:$A$62,0)))</f>
        <v/>
      </c>
      <c r="V94" s="19" t="str">
        <f aca="false">IF($A94="","",IF(ISNA(MATCH($A94,Simulations!$A$3:$A$62,0)),"✖ Sim ID not found on the Simulations sheet",IF($P94&gt;=1,"✖ brightness &gt;= sampling frequency: completely saturated (D too small, c too large)",IF($P94&gt;0.1,"⚠ brightness &gt; 10% of the sampling frequency: focus starts to saturate",IF(N($U94)&gt;0.1,"⚠ diffusion step &gt; 10% of wr: raise the sampling frequency",IF(MAX($E94:$H94)=0,"⚠ no brightness set","✔ OK"))))))</f>
        <v/>
      </c>
    </row>
    <row r="95" customFormat="false" ht="15" hidden="false" customHeight="false" outlineLevel="0" collapsed="false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4"/>
      <c r="O95" s="18" t="str">
        <f aca="false">IF(OR($A95="",ISNA(MATCH($A95,Simulations!$A$3:$A$62,0))),"",IF(INDEX(Simulations!$I$3:$I$62,MATCH($A95,Simulations!$A$3:$A$62,0))&gt;0,$D95/(INDEX(Simulations!$G$3:$G$62,MATCH($A95,Simulations!$A$3:$A$62,0))*INDEX(Simulations!$H$3:$H$62,MATCH($A95,Simulations!$A$3:$A$62,0))*IF(INDEX(Simulations!$I$3:$I$62,MATCH($A95,Simulations!$A$3:$A$62,0))&gt;0,INDEX(Simulations!$I$3:$I$62,MATCH($A95,Simulations!$A$3:$A$62,0)),1))/1E-024/6.022E+023/0.000000001,""))</f>
        <v/>
      </c>
      <c r="P95" s="20" t="str">
        <f aca="false">IF(OR($A95="",ISNA(MATCH($A95,Simulations!$A$3:$A$62,0))),"",MAX($E95:$H95)/INDEX(Simulations!$J$3:$J$62,MATCH($A95,Simulations!$A$3:$A$62,0)))</f>
        <v/>
      </c>
      <c r="Q95" s="16" t="str">
        <f aca="false">IF(OR($A95="",ISNA(MATCH($A95,Simulations!$A$3:$A$62,0))),"",IF(N($E95)&lt;=0,0,IF($E95&lt;INDEX(Simulations!$J$3:$J$62,MATCH($A95,Simulations!$A$3:$A$62,0)),$D95/(INDEX(Simulations!$G$3:$G$62,MATCH($A95,Simulations!$A$3:$A$62,0))*INDEX(Simulations!$H$3:$H$62,MATCH($A95,Simulations!$A$3:$A$62,0))*IF(INDEX(Simulations!$I$3:$I$62,MATCH($A95,Simulations!$A$3:$A$62,0))&gt;0,INDEX(Simulations!$I$3:$I$62,MATCH($A95,Simulations!$A$3:$A$62,0)),1))*$E95*(PI()/2*INDEX(Simulations!$T$3:$T$62,MATCH($A95,Simulations!$A$3:$A$62,0))^2*IF(INDEX(Simulations!$I$3:$I$62,MATCH($A95,Simulations!$A$3:$A$62,0))&gt;0,SQRT(PI()/2)*INDEX(Simulations!$U$3:$U$62,MATCH($A95,Simulations!$A$3:$A$62,0)),1)),$D95/(INDEX(Simulations!$G$3:$G$62,MATCH($A95,Simulations!$A$3:$A$62,0))*INDEX(Simulations!$H$3:$H$62,MATCH($A95,Simulations!$A$3:$A$62,0))*IF(INDEX(Simulations!$I$3:$I$62,MATCH($A95,Simulations!$A$3:$A$62,0))&gt;0,INDEX(Simulations!$I$3:$I$62,MATCH($A95,Simulations!$A$3:$A$62,0)),1))*INDEX(Simulations!$J$3:$J$62,MATCH($A95,Simulations!$A$3:$A$62,0))*IF(INDEX(Simulations!$I$3:$I$62,MATCH($A95,Simulations!$A$3:$A$62,0))&gt;0,2*PI()*INDEX(Simulations!$T$3:$T$62,MATCH($A95,Simulations!$A$3:$A$62,0))^2*INDEX(Simulations!$U$3:$U$62,MATCH($A95,Simulations!$A$3:$A$62,0))/2^1.5*(2/3*LN($E95/INDEX(Simulations!$J$3:$J$62,MATCH($A95,Simulations!$A$3:$A$62,0)))^1.5+SQRT(LN($E95/INDEX(Simulations!$J$3:$J$62,MATCH($A95,Simulations!$A$3:$A$62,0))))+$E95/INDEX(Simulations!$J$3:$J$62,MATCH($A95,Simulations!$A$3:$A$62,0))*SQRT(PI())/2*ERFC(SQRT(LN($E95/INDEX(Simulations!$J$3:$J$62,MATCH($A95,Simulations!$A$3:$A$62,0)))))),PI()*INDEX(Simulations!$T$3:$T$62,MATCH($A95,Simulations!$A$3:$A$62,0))^2/2*(LN($E95/INDEX(Simulations!$J$3:$J$62,MATCH($A95,Simulations!$A$3:$A$62,0)))+1)))))</f>
        <v/>
      </c>
      <c r="R95" s="16" t="str">
        <f aca="false">IF(OR($A95="",ISNA(MATCH($A95,Simulations!$A$3:$A$62,0))),"",IF(N($F95)&lt;=0,0,IF($F95&lt;INDEX(Simulations!$J$3:$J$62,MATCH($A95,Simulations!$A$3:$A$62,0)),$D95/(INDEX(Simulations!$G$3:$G$62,MATCH($A95,Simulations!$A$3:$A$62,0))*INDEX(Simulations!$H$3:$H$62,MATCH($A95,Simulations!$A$3:$A$62,0))*IF(INDEX(Simulations!$I$3:$I$62,MATCH($A95,Simulations!$A$3:$A$62,0))&gt;0,INDEX(Simulations!$I$3:$I$62,MATCH($A95,Simulations!$A$3:$A$62,0)),1))*$F95*(PI()/2*INDEX(Simulations!$T$3:$T$62,MATCH($A95,Simulations!$A$3:$A$62,0))^2*IF(INDEX(Simulations!$I$3:$I$62,MATCH($A95,Simulations!$A$3:$A$62,0))&gt;0,SQRT(PI()/2)*INDEX(Simulations!$U$3:$U$62,MATCH($A95,Simulations!$A$3:$A$62,0)),1)),$D95/(INDEX(Simulations!$G$3:$G$62,MATCH($A95,Simulations!$A$3:$A$62,0))*INDEX(Simulations!$H$3:$H$62,MATCH($A95,Simulations!$A$3:$A$62,0))*IF(INDEX(Simulations!$I$3:$I$62,MATCH($A95,Simulations!$A$3:$A$62,0))&gt;0,INDEX(Simulations!$I$3:$I$62,MATCH($A95,Simulations!$A$3:$A$62,0)),1))*INDEX(Simulations!$J$3:$J$62,MATCH($A95,Simulations!$A$3:$A$62,0))*IF(INDEX(Simulations!$I$3:$I$62,MATCH($A95,Simulations!$A$3:$A$62,0))&gt;0,2*PI()*INDEX(Simulations!$T$3:$T$62,MATCH($A95,Simulations!$A$3:$A$62,0))^2*INDEX(Simulations!$U$3:$U$62,MATCH($A95,Simulations!$A$3:$A$62,0))/2^1.5*(2/3*LN($F95/INDEX(Simulations!$J$3:$J$62,MATCH($A95,Simulations!$A$3:$A$62,0)))^1.5+SQRT(LN($F95/INDEX(Simulations!$J$3:$J$62,MATCH($A95,Simulations!$A$3:$A$62,0))))+$F95/INDEX(Simulations!$J$3:$J$62,MATCH($A95,Simulations!$A$3:$A$62,0))*SQRT(PI())/2*ERFC(SQRT(LN($F95/INDEX(Simulations!$J$3:$J$62,MATCH($A95,Simulations!$A$3:$A$62,0)))))),PI()*INDEX(Simulations!$T$3:$T$62,MATCH($A95,Simulations!$A$3:$A$62,0))^2/2*(LN($F95/INDEX(Simulations!$J$3:$J$62,MATCH($A95,Simulations!$A$3:$A$62,0)))+1)))))</f>
        <v/>
      </c>
      <c r="S95" s="16" t="str">
        <f aca="false">IF(OR($A95="",ISNA(MATCH($A95,Simulations!$A$3:$A$62,0))),"",IF(N($G95)&lt;=0,0,IF($G95&lt;INDEX(Simulations!$J$3:$J$62,MATCH($A95,Simulations!$A$3:$A$62,0)),$D95/(INDEX(Simulations!$G$3:$G$62,MATCH($A95,Simulations!$A$3:$A$62,0))*INDEX(Simulations!$H$3:$H$62,MATCH($A95,Simulations!$A$3:$A$62,0))*IF(INDEX(Simulations!$I$3:$I$62,MATCH($A95,Simulations!$A$3:$A$62,0))&gt;0,INDEX(Simulations!$I$3:$I$62,MATCH($A95,Simulations!$A$3:$A$62,0)),1))*$G95*(PI()/2*INDEX(Simulations!$T$3:$T$62,MATCH($A95,Simulations!$A$3:$A$62,0))^2*IF(INDEX(Simulations!$I$3:$I$62,MATCH($A95,Simulations!$A$3:$A$62,0))&gt;0,SQRT(PI()/2)*INDEX(Simulations!$U$3:$U$62,MATCH($A95,Simulations!$A$3:$A$62,0)),1)),$D95/(INDEX(Simulations!$G$3:$G$62,MATCH($A95,Simulations!$A$3:$A$62,0))*INDEX(Simulations!$H$3:$H$62,MATCH($A95,Simulations!$A$3:$A$62,0))*IF(INDEX(Simulations!$I$3:$I$62,MATCH($A95,Simulations!$A$3:$A$62,0))&gt;0,INDEX(Simulations!$I$3:$I$62,MATCH($A95,Simulations!$A$3:$A$62,0)),1))*INDEX(Simulations!$J$3:$J$62,MATCH($A95,Simulations!$A$3:$A$62,0))*IF(INDEX(Simulations!$I$3:$I$62,MATCH($A95,Simulations!$A$3:$A$62,0))&gt;0,2*PI()*INDEX(Simulations!$T$3:$T$62,MATCH($A95,Simulations!$A$3:$A$62,0))^2*INDEX(Simulations!$U$3:$U$62,MATCH($A95,Simulations!$A$3:$A$62,0))/2^1.5*(2/3*LN($G95/INDEX(Simulations!$J$3:$J$62,MATCH($A95,Simulations!$A$3:$A$62,0)))^1.5+SQRT(LN($G95/INDEX(Simulations!$J$3:$J$62,MATCH($A95,Simulations!$A$3:$A$62,0))))+$G95/INDEX(Simulations!$J$3:$J$62,MATCH($A95,Simulations!$A$3:$A$62,0))*SQRT(PI())/2*ERFC(SQRT(LN($G95/INDEX(Simulations!$J$3:$J$62,MATCH($A95,Simulations!$A$3:$A$62,0)))))),PI()*INDEX(Simulations!$T$3:$T$62,MATCH($A95,Simulations!$A$3:$A$62,0))^2/2*(LN($G95/INDEX(Simulations!$J$3:$J$62,MATCH($A95,Simulations!$A$3:$A$62,0)))+1)))))</f>
        <v/>
      </c>
      <c r="T95" s="16" t="str">
        <f aca="false">IF(OR($A95="",ISNA(MATCH($A95,Simulations!$A$3:$A$62,0))),"",IF(N($H95)&lt;=0,0,IF($H95&lt;INDEX(Simulations!$J$3:$J$62,MATCH($A95,Simulations!$A$3:$A$62,0)),$D95/(INDEX(Simulations!$G$3:$G$62,MATCH($A95,Simulations!$A$3:$A$62,0))*INDEX(Simulations!$H$3:$H$62,MATCH($A95,Simulations!$A$3:$A$62,0))*IF(INDEX(Simulations!$I$3:$I$62,MATCH($A95,Simulations!$A$3:$A$62,0))&gt;0,INDEX(Simulations!$I$3:$I$62,MATCH($A95,Simulations!$A$3:$A$62,0)),1))*$H95*(PI()/2*INDEX(Simulations!$T$3:$T$62,MATCH($A95,Simulations!$A$3:$A$62,0))^2*IF(INDEX(Simulations!$I$3:$I$62,MATCH($A95,Simulations!$A$3:$A$62,0))&gt;0,SQRT(PI()/2)*INDEX(Simulations!$U$3:$U$62,MATCH($A95,Simulations!$A$3:$A$62,0)),1)),$D95/(INDEX(Simulations!$G$3:$G$62,MATCH($A95,Simulations!$A$3:$A$62,0))*INDEX(Simulations!$H$3:$H$62,MATCH($A95,Simulations!$A$3:$A$62,0))*IF(INDEX(Simulations!$I$3:$I$62,MATCH($A95,Simulations!$A$3:$A$62,0))&gt;0,INDEX(Simulations!$I$3:$I$62,MATCH($A95,Simulations!$A$3:$A$62,0)),1))*INDEX(Simulations!$J$3:$J$62,MATCH($A95,Simulations!$A$3:$A$62,0))*IF(INDEX(Simulations!$I$3:$I$62,MATCH($A95,Simulations!$A$3:$A$62,0))&gt;0,2*PI()*INDEX(Simulations!$T$3:$T$62,MATCH($A95,Simulations!$A$3:$A$62,0))^2*INDEX(Simulations!$U$3:$U$62,MATCH($A95,Simulations!$A$3:$A$62,0))/2^1.5*(2/3*LN($H95/INDEX(Simulations!$J$3:$J$62,MATCH($A95,Simulations!$A$3:$A$62,0)))^1.5+SQRT(LN($H95/INDEX(Simulations!$J$3:$J$62,MATCH($A95,Simulations!$A$3:$A$62,0))))+$H95/INDEX(Simulations!$J$3:$J$62,MATCH($A95,Simulations!$A$3:$A$62,0))*SQRT(PI())/2*ERFC(SQRT(LN($H95/INDEX(Simulations!$J$3:$J$62,MATCH($A95,Simulations!$A$3:$A$62,0)))))),PI()*INDEX(Simulations!$T$3:$T$62,MATCH($A95,Simulations!$A$3:$A$62,0))^2/2*(LN($H95/INDEX(Simulations!$J$3:$J$62,MATCH($A95,Simulations!$A$3:$A$62,0)))+1)))))</f>
        <v/>
      </c>
      <c r="U95" s="18" t="str">
        <f aca="false">IF(OR(OR($A95="",ISNA(MATCH($A95,Simulations!$A$3:$A$62,0))),N($C95)&lt;=0),"",SQRT(2*$C95*1000000/(INDEX(Simulations!$J$3:$J$62,MATCH($A95,Simulations!$A$3:$A$62,0))*1000))/INDEX(Simulations!$T$3:$T$62,MATCH($A95,Simulations!$A$3:$A$62,0)))</f>
        <v/>
      </c>
      <c r="V95" s="19" t="str">
        <f aca="false">IF($A95="","",IF(ISNA(MATCH($A95,Simulations!$A$3:$A$62,0)),"✖ Sim ID not found on the Simulations sheet",IF($P95&gt;=1,"✖ brightness &gt;= sampling frequency: completely saturated (D too small, c too large)",IF($P95&gt;0.1,"⚠ brightness &gt; 10% of the sampling frequency: focus starts to saturate",IF(N($U95)&gt;0.1,"⚠ diffusion step &gt; 10% of wr: raise the sampling frequency",IF(MAX($E95:$H95)=0,"⚠ no brightness set","✔ OK"))))))</f>
        <v/>
      </c>
    </row>
    <row r="96" customFormat="false" ht="15" hidden="false" customHeight="false" outlineLevel="0" collapsed="false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4"/>
      <c r="O96" s="18" t="str">
        <f aca="false">IF(OR($A96="",ISNA(MATCH($A96,Simulations!$A$3:$A$62,0))),"",IF(INDEX(Simulations!$I$3:$I$62,MATCH($A96,Simulations!$A$3:$A$62,0))&gt;0,$D96/(INDEX(Simulations!$G$3:$G$62,MATCH($A96,Simulations!$A$3:$A$62,0))*INDEX(Simulations!$H$3:$H$62,MATCH($A96,Simulations!$A$3:$A$62,0))*IF(INDEX(Simulations!$I$3:$I$62,MATCH($A96,Simulations!$A$3:$A$62,0))&gt;0,INDEX(Simulations!$I$3:$I$62,MATCH($A96,Simulations!$A$3:$A$62,0)),1))/1E-024/6.022E+023/0.000000001,""))</f>
        <v/>
      </c>
      <c r="P96" s="20" t="str">
        <f aca="false">IF(OR($A96="",ISNA(MATCH($A96,Simulations!$A$3:$A$62,0))),"",MAX($E96:$H96)/INDEX(Simulations!$J$3:$J$62,MATCH($A96,Simulations!$A$3:$A$62,0)))</f>
        <v/>
      </c>
      <c r="Q96" s="16" t="str">
        <f aca="false">IF(OR($A96="",ISNA(MATCH($A96,Simulations!$A$3:$A$62,0))),"",IF(N($E96)&lt;=0,0,IF($E96&lt;INDEX(Simulations!$J$3:$J$62,MATCH($A96,Simulations!$A$3:$A$62,0)),$D96/(INDEX(Simulations!$G$3:$G$62,MATCH($A96,Simulations!$A$3:$A$62,0))*INDEX(Simulations!$H$3:$H$62,MATCH($A96,Simulations!$A$3:$A$62,0))*IF(INDEX(Simulations!$I$3:$I$62,MATCH($A96,Simulations!$A$3:$A$62,0))&gt;0,INDEX(Simulations!$I$3:$I$62,MATCH($A96,Simulations!$A$3:$A$62,0)),1))*$E96*(PI()/2*INDEX(Simulations!$T$3:$T$62,MATCH($A96,Simulations!$A$3:$A$62,0))^2*IF(INDEX(Simulations!$I$3:$I$62,MATCH($A96,Simulations!$A$3:$A$62,0))&gt;0,SQRT(PI()/2)*INDEX(Simulations!$U$3:$U$62,MATCH($A96,Simulations!$A$3:$A$62,0)),1)),$D96/(INDEX(Simulations!$G$3:$G$62,MATCH($A96,Simulations!$A$3:$A$62,0))*INDEX(Simulations!$H$3:$H$62,MATCH($A96,Simulations!$A$3:$A$62,0))*IF(INDEX(Simulations!$I$3:$I$62,MATCH($A96,Simulations!$A$3:$A$62,0))&gt;0,INDEX(Simulations!$I$3:$I$62,MATCH($A96,Simulations!$A$3:$A$62,0)),1))*INDEX(Simulations!$J$3:$J$62,MATCH($A96,Simulations!$A$3:$A$62,0))*IF(INDEX(Simulations!$I$3:$I$62,MATCH($A96,Simulations!$A$3:$A$62,0))&gt;0,2*PI()*INDEX(Simulations!$T$3:$T$62,MATCH($A96,Simulations!$A$3:$A$62,0))^2*INDEX(Simulations!$U$3:$U$62,MATCH($A96,Simulations!$A$3:$A$62,0))/2^1.5*(2/3*LN($E96/INDEX(Simulations!$J$3:$J$62,MATCH($A96,Simulations!$A$3:$A$62,0)))^1.5+SQRT(LN($E96/INDEX(Simulations!$J$3:$J$62,MATCH($A96,Simulations!$A$3:$A$62,0))))+$E96/INDEX(Simulations!$J$3:$J$62,MATCH($A96,Simulations!$A$3:$A$62,0))*SQRT(PI())/2*ERFC(SQRT(LN($E96/INDEX(Simulations!$J$3:$J$62,MATCH($A96,Simulations!$A$3:$A$62,0)))))),PI()*INDEX(Simulations!$T$3:$T$62,MATCH($A96,Simulations!$A$3:$A$62,0))^2/2*(LN($E96/INDEX(Simulations!$J$3:$J$62,MATCH($A96,Simulations!$A$3:$A$62,0)))+1)))))</f>
        <v/>
      </c>
      <c r="R96" s="16" t="str">
        <f aca="false">IF(OR($A96="",ISNA(MATCH($A96,Simulations!$A$3:$A$62,0))),"",IF(N($F96)&lt;=0,0,IF($F96&lt;INDEX(Simulations!$J$3:$J$62,MATCH($A96,Simulations!$A$3:$A$62,0)),$D96/(INDEX(Simulations!$G$3:$G$62,MATCH($A96,Simulations!$A$3:$A$62,0))*INDEX(Simulations!$H$3:$H$62,MATCH($A96,Simulations!$A$3:$A$62,0))*IF(INDEX(Simulations!$I$3:$I$62,MATCH($A96,Simulations!$A$3:$A$62,0))&gt;0,INDEX(Simulations!$I$3:$I$62,MATCH($A96,Simulations!$A$3:$A$62,0)),1))*$F96*(PI()/2*INDEX(Simulations!$T$3:$T$62,MATCH($A96,Simulations!$A$3:$A$62,0))^2*IF(INDEX(Simulations!$I$3:$I$62,MATCH($A96,Simulations!$A$3:$A$62,0))&gt;0,SQRT(PI()/2)*INDEX(Simulations!$U$3:$U$62,MATCH($A96,Simulations!$A$3:$A$62,0)),1)),$D96/(INDEX(Simulations!$G$3:$G$62,MATCH($A96,Simulations!$A$3:$A$62,0))*INDEX(Simulations!$H$3:$H$62,MATCH($A96,Simulations!$A$3:$A$62,0))*IF(INDEX(Simulations!$I$3:$I$62,MATCH($A96,Simulations!$A$3:$A$62,0))&gt;0,INDEX(Simulations!$I$3:$I$62,MATCH($A96,Simulations!$A$3:$A$62,0)),1))*INDEX(Simulations!$J$3:$J$62,MATCH($A96,Simulations!$A$3:$A$62,0))*IF(INDEX(Simulations!$I$3:$I$62,MATCH($A96,Simulations!$A$3:$A$62,0))&gt;0,2*PI()*INDEX(Simulations!$T$3:$T$62,MATCH($A96,Simulations!$A$3:$A$62,0))^2*INDEX(Simulations!$U$3:$U$62,MATCH($A96,Simulations!$A$3:$A$62,0))/2^1.5*(2/3*LN($F96/INDEX(Simulations!$J$3:$J$62,MATCH($A96,Simulations!$A$3:$A$62,0)))^1.5+SQRT(LN($F96/INDEX(Simulations!$J$3:$J$62,MATCH($A96,Simulations!$A$3:$A$62,0))))+$F96/INDEX(Simulations!$J$3:$J$62,MATCH($A96,Simulations!$A$3:$A$62,0))*SQRT(PI())/2*ERFC(SQRT(LN($F96/INDEX(Simulations!$J$3:$J$62,MATCH($A96,Simulations!$A$3:$A$62,0)))))),PI()*INDEX(Simulations!$T$3:$T$62,MATCH($A96,Simulations!$A$3:$A$62,0))^2/2*(LN($F96/INDEX(Simulations!$J$3:$J$62,MATCH($A96,Simulations!$A$3:$A$62,0)))+1)))))</f>
        <v/>
      </c>
      <c r="S96" s="16" t="str">
        <f aca="false">IF(OR($A96="",ISNA(MATCH($A96,Simulations!$A$3:$A$62,0))),"",IF(N($G96)&lt;=0,0,IF($G96&lt;INDEX(Simulations!$J$3:$J$62,MATCH($A96,Simulations!$A$3:$A$62,0)),$D96/(INDEX(Simulations!$G$3:$G$62,MATCH($A96,Simulations!$A$3:$A$62,0))*INDEX(Simulations!$H$3:$H$62,MATCH($A96,Simulations!$A$3:$A$62,0))*IF(INDEX(Simulations!$I$3:$I$62,MATCH($A96,Simulations!$A$3:$A$62,0))&gt;0,INDEX(Simulations!$I$3:$I$62,MATCH($A96,Simulations!$A$3:$A$62,0)),1))*$G96*(PI()/2*INDEX(Simulations!$T$3:$T$62,MATCH($A96,Simulations!$A$3:$A$62,0))^2*IF(INDEX(Simulations!$I$3:$I$62,MATCH($A96,Simulations!$A$3:$A$62,0))&gt;0,SQRT(PI()/2)*INDEX(Simulations!$U$3:$U$62,MATCH($A96,Simulations!$A$3:$A$62,0)),1)),$D96/(INDEX(Simulations!$G$3:$G$62,MATCH($A96,Simulations!$A$3:$A$62,0))*INDEX(Simulations!$H$3:$H$62,MATCH($A96,Simulations!$A$3:$A$62,0))*IF(INDEX(Simulations!$I$3:$I$62,MATCH($A96,Simulations!$A$3:$A$62,0))&gt;0,INDEX(Simulations!$I$3:$I$62,MATCH($A96,Simulations!$A$3:$A$62,0)),1))*INDEX(Simulations!$J$3:$J$62,MATCH($A96,Simulations!$A$3:$A$62,0))*IF(INDEX(Simulations!$I$3:$I$62,MATCH($A96,Simulations!$A$3:$A$62,0))&gt;0,2*PI()*INDEX(Simulations!$T$3:$T$62,MATCH($A96,Simulations!$A$3:$A$62,0))^2*INDEX(Simulations!$U$3:$U$62,MATCH($A96,Simulations!$A$3:$A$62,0))/2^1.5*(2/3*LN($G96/INDEX(Simulations!$J$3:$J$62,MATCH($A96,Simulations!$A$3:$A$62,0)))^1.5+SQRT(LN($G96/INDEX(Simulations!$J$3:$J$62,MATCH($A96,Simulations!$A$3:$A$62,0))))+$G96/INDEX(Simulations!$J$3:$J$62,MATCH($A96,Simulations!$A$3:$A$62,0))*SQRT(PI())/2*ERFC(SQRT(LN($G96/INDEX(Simulations!$J$3:$J$62,MATCH($A96,Simulations!$A$3:$A$62,0)))))),PI()*INDEX(Simulations!$T$3:$T$62,MATCH($A96,Simulations!$A$3:$A$62,0))^2/2*(LN($G96/INDEX(Simulations!$J$3:$J$62,MATCH($A96,Simulations!$A$3:$A$62,0)))+1)))))</f>
        <v/>
      </c>
      <c r="T96" s="16" t="str">
        <f aca="false">IF(OR($A96="",ISNA(MATCH($A96,Simulations!$A$3:$A$62,0))),"",IF(N($H96)&lt;=0,0,IF($H96&lt;INDEX(Simulations!$J$3:$J$62,MATCH($A96,Simulations!$A$3:$A$62,0)),$D96/(INDEX(Simulations!$G$3:$G$62,MATCH($A96,Simulations!$A$3:$A$62,0))*INDEX(Simulations!$H$3:$H$62,MATCH($A96,Simulations!$A$3:$A$62,0))*IF(INDEX(Simulations!$I$3:$I$62,MATCH($A96,Simulations!$A$3:$A$62,0))&gt;0,INDEX(Simulations!$I$3:$I$62,MATCH($A96,Simulations!$A$3:$A$62,0)),1))*$H96*(PI()/2*INDEX(Simulations!$T$3:$T$62,MATCH($A96,Simulations!$A$3:$A$62,0))^2*IF(INDEX(Simulations!$I$3:$I$62,MATCH($A96,Simulations!$A$3:$A$62,0))&gt;0,SQRT(PI()/2)*INDEX(Simulations!$U$3:$U$62,MATCH($A96,Simulations!$A$3:$A$62,0)),1)),$D96/(INDEX(Simulations!$G$3:$G$62,MATCH($A96,Simulations!$A$3:$A$62,0))*INDEX(Simulations!$H$3:$H$62,MATCH($A96,Simulations!$A$3:$A$62,0))*IF(INDEX(Simulations!$I$3:$I$62,MATCH($A96,Simulations!$A$3:$A$62,0))&gt;0,INDEX(Simulations!$I$3:$I$62,MATCH($A96,Simulations!$A$3:$A$62,0)),1))*INDEX(Simulations!$J$3:$J$62,MATCH($A96,Simulations!$A$3:$A$62,0))*IF(INDEX(Simulations!$I$3:$I$62,MATCH($A96,Simulations!$A$3:$A$62,0))&gt;0,2*PI()*INDEX(Simulations!$T$3:$T$62,MATCH($A96,Simulations!$A$3:$A$62,0))^2*INDEX(Simulations!$U$3:$U$62,MATCH($A96,Simulations!$A$3:$A$62,0))/2^1.5*(2/3*LN($H96/INDEX(Simulations!$J$3:$J$62,MATCH($A96,Simulations!$A$3:$A$62,0)))^1.5+SQRT(LN($H96/INDEX(Simulations!$J$3:$J$62,MATCH($A96,Simulations!$A$3:$A$62,0))))+$H96/INDEX(Simulations!$J$3:$J$62,MATCH($A96,Simulations!$A$3:$A$62,0))*SQRT(PI())/2*ERFC(SQRT(LN($H96/INDEX(Simulations!$J$3:$J$62,MATCH($A96,Simulations!$A$3:$A$62,0)))))),PI()*INDEX(Simulations!$T$3:$T$62,MATCH($A96,Simulations!$A$3:$A$62,0))^2/2*(LN($H96/INDEX(Simulations!$J$3:$J$62,MATCH($A96,Simulations!$A$3:$A$62,0)))+1)))))</f>
        <v/>
      </c>
      <c r="U96" s="18" t="str">
        <f aca="false">IF(OR(OR($A96="",ISNA(MATCH($A96,Simulations!$A$3:$A$62,0))),N($C96)&lt;=0),"",SQRT(2*$C96*1000000/(INDEX(Simulations!$J$3:$J$62,MATCH($A96,Simulations!$A$3:$A$62,0))*1000))/INDEX(Simulations!$T$3:$T$62,MATCH($A96,Simulations!$A$3:$A$62,0)))</f>
        <v/>
      </c>
      <c r="V96" s="19" t="str">
        <f aca="false">IF($A96="","",IF(ISNA(MATCH($A96,Simulations!$A$3:$A$62,0)),"✖ Sim ID not found on the Simulations sheet",IF($P96&gt;=1,"✖ brightness &gt;= sampling frequency: completely saturated (D too small, c too large)",IF($P96&gt;0.1,"⚠ brightness &gt; 10% of the sampling frequency: focus starts to saturate",IF(N($U96)&gt;0.1,"⚠ diffusion step &gt; 10% of wr: raise the sampling frequency",IF(MAX($E96:$H96)=0,"⚠ no brightness set","✔ OK"))))))</f>
        <v/>
      </c>
    </row>
    <row r="97" customFormat="false" ht="15" hidden="false" customHeight="false" outlineLevel="0" collapsed="false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4"/>
      <c r="O97" s="18" t="str">
        <f aca="false">IF(OR($A97="",ISNA(MATCH($A97,Simulations!$A$3:$A$62,0))),"",IF(INDEX(Simulations!$I$3:$I$62,MATCH($A97,Simulations!$A$3:$A$62,0))&gt;0,$D97/(INDEX(Simulations!$G$3:$G$62,MATCH($A97,Simulations!$A$3:$A$62,0))*INDEX(Simulations!$H$3:$H$62,MATCH($A97,Simulations!$A$3:$A$62,0))*IF(INDEX(Simulations!$I$3:$I$62,MATCH($A97,Simulations!$A$3:$A$62,0))&gt;0,INDEX(Simulations!$I$3:$I$62,MATCH($A97,Simulations!$A$3:$A$62,0)),1))/1E-024/6.022E+023/0.000000001,""))</f>
        <v/>
      </c>
      <c r="P97" s="20" t="str">
        <f aca="false">IF(OR($A97="",ISNA(MATCH($A97,Simulations!$A$3:$A$62,0))),"",MAX($E97:$H97)/INDEX(Simulations!$J$3:$J$62,MATCH($A97,Simulations!$A$3:$A$62,0)))</f>
        <v/>
      </c>
      <c r="Q97" s="16" t="str">
        <f aca="false">IF(OR($A97="",ISNA(MATCH($A97,Simulations!$A$3:$A$62,0))),"",IF(N($E97)&lt;=0,0,IF($E97&lt;INDEX(Simulations!$J$3:$J$62,MATCH($A97,Simulations!$A$3:$A$62,0)),$D97/(INDEX(Simulations!$G$3:$G$62,MATCH($A97,Simulations!$A$3:$A$62,0))*INDEX(Simulations!$H$3:$H$62,MATCH($A97,Simulations!$A$3:$A$62,0))*IF(INDEX(Simulations!$I$3:$I$62,MATCH($A97,Simulations!$A$3:$A$62,0))&gt;0,INDEX(Simulations!$I$3:$I$62,MATCH($A97,Simulations!$A$3:$A$62,0)),1))*$E97*(PI()/2*INDEX(Simulations!$T$3:$T$62,MATCH($A97,Simulations!$A$3:$A$62,0))^2*IF(INDEX(Simulations!$I$3:$I$62,MATCH($A97,Simulations!$A$3:$A$62,0))&gt;0,SQRT(PI()/2)*INDEX(Simulations!$U$3:$U$62,MATCH($A97,Simulations!$A$3:$A$62,0)),1)),$D97/(INDEX(Simulations!$G$3:$G$62,MATCH($A97,Simulations!$A$3:$A$62,0))*INDEX(Simulations!$H$3:$H$62,MATCH($A97,Simulations!$A$3:$A$62,0))*IF(INDEX(Simulations!$I$3:$I$62,MATCH($A97,Simulations!$A$3:$A$62,0))&gt;0,INDEX(Simulations!$I$3:$I$62,MATCH($A97,Simulations!$A$3:$A$62,0)),1))*INDEX(Simulations!$J$3:$J$62,MATCH($A97,Simulations!$A$3:$A$62,0))*IF(INDEX(Simulations!$I$3:$I$62,MATCH($A97,Simulations!$A$3:$A$62,0))&gt;0,2*PI()*INDEX(Simulations!$T$3:$T$62,MATCH($A97,Simulations!$A$3:$A$62,0))^2*INDEX(Simulations!$U$3:$U$62,MATCH($A97,Simulations!$A$3:$A$62,0))/2^1.5*(2/3*LN($E97/INDEX(Simulations!$J$3:$J$62,MATCH($A97,Simulations!$A$3:$A$62,0)))^1.5+SQRT(LN($E97/INDEX(Simulations!$J$3:$J$62,MATCH($A97,Simulations!$A$3:$A$62,0))))+$E97/INDEX(Simulations!$J$3:$J$62,MATCH($A97,Simulations!$A$3:$A$62,0))*SQRT(PI())/2*ERFC(SQRT(LN($E97/INDEX(Simulations!$J$3:$J$62,MATCH($A97,Simulations!$A$3:$A$62,0)))))),PI()*INDEX(Simulations!$T$3:$T$62,MATCH($A97,Simulations!$A$3:$A$62,0))^2/2*(LN($E97/INDEX(Simulations!$J$3:$J$62,MATCH($A97,Simulations!$A$3:$A$62,0)))+1)))))</f>
        <v/>
      </c>
      <c r="R97" s="16" t="str">
        <f aca="false">IF(OR($A97="",ISNA(MATCH($A97,Simulations!$A$3:$A$62,0))),"",IF(N($F97)&lt;=0,0,IF($F97&lt;INDEX(Simulations!$J$3:$J$62,MATCH($A97,Simulations!$A$3:$A$62,0)),$D97/(INDEX(Simulations!$G$3:$G$62,MATCH($A97,Simulations!$A$3:$A$62,0))*INDEX(Simulations!$H$3:$H$62,MATCH($A97,Simulations!$A$3:$A$62,0))*IF(INDEX(Simulations!$I$3:$I$62,MATCH($A97,Simulations!$A$3:$A$62,0))&gt;0,INDEX(Simulations!$I$3:$I$62,MATCH($A97,Simulations!$A$3:$A$62,0)),1))*$F97*(PI()/2*INDEX(Simulations!$T$3:$T$62,MATCH($A97,Simulations!$A$3:$A$62,0))^2*IF(INDEX(Simulations!$I$3:$I$62,MATCH($A97,Simulations!$A$3:$A$62,0))&gt;0,SQRT(PI()/2)*INDEX(Simulations!$U$3:$U$62,MATCH($A97,Simulations!$A$3:$A$62,0)),1)),$D97/(INDEX(Simulations!$G$3:$G$62,MATCH($A97,Simulations!$A$3:$A$62,0))*INDEX(Simulations!$H$3:$H$62,MATCH($A97,Simulations!$A$3:$A$62,0))*IF(INDEX(Simulations!$I$3:$I$62,MATCH($A97,Simulations!$A$3:$A$62,0))&gt;0,INDEX(Simulations!$I$3:$I$62,MATCH($A97,Simulations!$A$3:$A$62,0)),1))*INDEX(Simulations!$J$3:$J$62,MATCH($A97,Simulations!$A$3:$A$62,0))*IF(INDEX(Simulations!$I$3:$I$62,MATCH($A97,Simulations!$A$3:$A$62,0))&gt;0,2*PI()*INDEX(Simulations!$T$3:$T$62,MATCH($A97,Simulations!$A$3:$A$62,0))^2*INDEX(Simulations!$U$3:$U$62,MATCH($A97,Simulations!$A$3:$A$62,0))/2^1.5*(2/3*LN($F97/INDEX(Simulations!$J$3:$J$62,MATCH($A97,Simulations!$A$3:$A$62,0)))^1.5+SQRT(LN($F97/INDEX(Simulations!$J$3:$J$62,MATCH($A97,Simulations!$A$3:$A$62,0))))+$F97/INDEX(Simulations!$J$3:$J$62,MATCH($A97,Simulations!$A$3:$A$62,0))*SQRT(PI())/2*ERFC(SQRT(LN($F97/INDEX(Simulations!$J$3:$J$62,MATCH($A97,Simulations!$A$3:$A$62,0)))))),PI()*INDEX(Simulations!$T$3:$T$62,MATCH($A97,Simulations!$A$3:$A$62,0))^2/2*(LN($F97/INDEX(Simulations!$J$3:$J$62,MATCH($A97,Simulations!$A$3:$A$62,0)))+1)))))</f>
        <v/>
      </c>
      <c r="S97" s="16" t="str">
        <f aca="false">IF(OR($A97="",ISNA(MATCH($A97,Simulations!$A$3:$A$62,0))),"",IF(N($G97)&lt;=0,0,IF($G97&lt;INDEX(Simulations!$J$3:$J$62,MATCH($A97,Simulations!$A$3:$A$62,0)),$D97/(INDEX(Simulations!$G$3:$G$62,MATCH($A97,Simulations!$A$3:$A$62,0))*INDEX(Simulations!$H$3:$H$62,MATCH($A97,Simulations!$A$3:$A$62,0))*IF(INDEX(Simulations!$I$3:$I$62,MATCH($A97,Simulations!$A$3:$A$62,0))&gt;0,INDEX(Simulations!$I$3:$I$62,MATCH($A97,Simulations!$A$3:$A$62,0)),1))*$G97*(PI()/2*INDEX(Simulations!$T$3:$T$62,MATCH($A97,Simulations!$A$3:$A$62,0))^2*IF(INDEX(Simulations!$I$3:$I$62,MATCH($A97,Simulations!$A$3:$A$62,0))&gt;0,SQRT(PI()/2)*INDEX(Simulations!$U$3:$U$62,MATCH($A97,Simulations!$A$3:$A$62,0)),1)),$D97/(INDEX(Simulations!$G$3:$G$62,MATCH($A97,Simulations!$A$3:$A$62,0))*INDEX(Simulations!$H$3:$H$62,MATCH($A97,Simulations!$A$3:$A$62,0))*IF(INDEX(Simulations!$I$3:$I$62,MATCH($A97,Simulations!$A$3:$A$62,0))&gt;0,INDEX(Simulations!$I$3:$I$62,MATCH($A97,Simulations!$A$3:$A$62,0)),1))*INDEX(Simulations!$J$3:$J$62,MATCH($A97,Simulations!$A$3:$A$62,0))*IF(INDEX(Simulations!$I$3:$I$62,MATCH($A97,Simulations!$A$3:$A$62,0))&gt;0,2*PI()*INDEX(Simulations!$T$3:$T$62,MATCH($A97,Simulations!$A$3:$A$62,0))^2*INDEX(Simulations!$U$3:$U$62,MATCH($A97,Simulations!$A$3:$A$62,0))/2^1.5*(2/3*LN($G97/INDEX(Simulations!$J$3:$J$62,MATCH($A97,Simulations!$A$3:$A$62,0)))^1.5+SQRT(LN($G97/INDEX(Simulations!$J$3:$J$62,MATCH($A97,Simulations!$A$3:$A$62,0))))+$G97/INDEX(Simulations!$J$3:$J$62,MATCH($A97,Simulations!$A$3:$A$62,0))*SQRT(PI())/2*ERFC(SQRT(LN($G97/INDEX(Simulations!$J$3:$J$62,MATCH($A97,Simulations!$A$3:$A$62,0)))))),PI()*INDEX(Simulations!$T$3:$T$62,MATCH($A97,Simulations!$A$3:$A$62,0))^2/2*(LN($G97/INDEX(Simulations!$J$3:$J$62,MATCH($A97,Simulations!$A$3:$A$62,0)))+1)))))</f>
        <v/>
      </c>
      <c r="T97" s="16" t="str">
        <f aca="false">IF(OR($A97="",ISNA(MATCH($A97,Simulations!$A$3:$A$62,0))),"",IF(N($H97)&lt;=0,0,IF($H97&lt;INDEX(Simulations!$J$3:$J$62,MATCH($A97,Simulations!$A$3:$A$62,0)),$D97/(INDEX(Simulations!$G$3:$G$62,MATCH($A97,Simulations!$A$3:$A$62,0))*INDEX(Simulations!$H$3:$H$62,MATCH($A97,Simulations!$A$3:$A$62,0))*IF(INDEX(Simulations!$I$3:$I$62,MATCH($A97,Simulations!$A$3:$A$62,0))&gt;0,INDEX(Simulations!$I$3:$I$62,MATCH($A97,Simulations!$A$3:$A$62,0)),1))*$H97*(PI()/2*INDEX(Simulations!$T$3:$T$62,MATCH($A97,Simulations!$A$3:$A$62,0))^2*IF(INDEX(Simulations!$I$3:$I$62,MATCH($A97,Simulations!$A$3:$A$62,0))&gt;0,SQRT(PI()/2)*INDEX(Simulations!$U$3:$U$62,MATCH($A97,Simulations!$A$3:$A$62,0)),1)),$D97/(INDEX(Simulations!$G$3:$G$62,MATCH($A97,Simulations!$A$3:$A$62,0))*INDEX(Simulations!$H$3:$H$62,MATCH($A97,Simulations!$A$3:$A$62,0))*IF(INDEX(Simulations!$I$3:$I$62,MATCH($A97,Simulations!$A$3:$A$62,0))&gt;0,INDEX(Simulations!$I$3:$I$62,MATCH($A97,Simulations!$A$3:$A$62,0)),1))*INDEX(Simulations!$J$3:$J$62,MATCH($A97,Simulations!$A$3:$A$62,0))*IF(INDEX(Simulations!$I$3:$I$62,MATCH($A97,Simulations!$A$3:$A$62,0))&gt;0,2*PI()*INDEX(Simulations!$T$3:$T$62,MATCH($A97,Simulations!$A$3:$A$62,0))^2*INDEX(Simulations!$U$3:$U$62,MATCH($A97,Simulations!$A$3:$A$62,0))/2^1.5*(2/3*LN($H97/INDEX(Simulations!$J$3:$J$62,MATCH($A97,Simulations!$A$3:$A$62,0)))^1.5+SQRT(LN($H97/INDEX(Simulations!$J$3:$J$62,MATCH($A97,Simulations!$A$3:$A$62,0))))+$H97/INDEX(Simulations!$J$3:$J$62,MATCH($A97,Simulations!$A$3:$A$62,0))*SQRT(PI())/2*ERFC(SQRT(LN($H97/INDEX(Simulations!$J$3:$J$62,MATCH($A97,Simulations!$A$3:$A$62,0)))))),PI()*INDEX(Simulations!$T$3:$T$62,MATCH($A97,Simulations!$A$3:$A$62,0))^2/2*(LN($H97/INDEX(Simulations!$J$3:$J$62,MATCH($A97,Simulations!$A$3:$A$62,0)))+1)))))</f>
        <v/>
      </c>
      <c r="U97" s="18" t="str">
        <f aca="false">IF(OR(OR($A97="",ISNA(MATCH($A97,Simulations!$A$3:$A$62,0))),N($C97)&lt;=0),"",SQRT(2*$C97*1000000/(INDEX(Simulations!$J$3:$J$62,MATCH($A97,Simulations!$A$3:$A$62,0))*1000))/INDEX(Simulations!$T$3:$T$62,MATCH($A97,Simulations!$A$3:$A$62,0)))</f>
        <v/>
      </c>
      <c r="V97" s="19" t="str">
        <f aca="false">IF($A97="","",IF(ISNA(MATCH($A97,Simulations!$A$3:$A$62,0)),"✖ Sim ID not found on the Simulations sheet",IF($P97&gt;=1,"✖ brightness &gt;= sampling frequency: completely saturated (D too small, c too large)",IF($P97&gt;0.1,"⚠ brightness &gt; 10% of the sampling frequency: focus starts to saturate",IF(N($U97)&gt;0.1,"⚠ diffusion step &gt; 10% of wr: raise the sampling frequency",IF(MAX($E97:$H97)=0,"⚠ no brightness set","✔ OK"))))))</f>
        <v/>
      </c>
    </row>
    <row r="98" customFormat="false" ht="15" hidden="false" customHeight="false" outlineLevel="0" collapsed="false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4"/>
      <c r="O98" s="18" t="str">
        <f aca="false">IF(OR($A98="",ISNA(MATCH($A98,Simulations!$A$3:$A$62,0))),"",IF(INDEX(Simulations!$I$3:$I$62,MATCH($A98,Simulations!$A$3:$A$62,0))&gt;0,$D98/(INDEX(Simulations!$G$3:$G$62,MATCH($A98,Simulations!$A$3:$A$62,0))*INDEX(Simulations!$H$3:$H$62,MATCH($A98,Simulations!$A$3:$A$62,0))*IF(INDEX(Simulations!$I$3:$I$62,MATCH($A98,Simulations!$A$3:$A$62,0))&gt;0,INDEX(Simulations!$I$3:$I$62,MATCH($A98,Simulations!$A$3:$A$62,0)),1))/1E-024/6.022E+023/0.000000001,""))</f>
        <v/>
      </c>
      <c r="P98" s="20" t="str">
        <f aca="false">IF(OR($A98="",ISNA(MATCH($A98,Simulations!$A$3:$A$62,0))),"",MAX($E98:$H98)/INDEX(Simulations!$J$3:$J$62,MATCH($A98,Simulations!$A$3:$A$62,0)))</f>
        <v/>
      </c>
      <c r="Q98" s="16" t="str">
        <f aca="false">IF(OR($A98="",ISNA(MATCH($A98,Simulations!$A$3:$A$62,0))),"",IF(N($E98)&lt;=0,0,IF($E98&lt;INDEX(Simulations!$J$3:$J$62,MATCH($A98,Simulations!$A$3:$A$62,0)),$D98/(INDEX(Simulations!$G$3:$G$62,MATCH($A98,Simulations!$A$3:$A$62,0))*INDEX(Simulations!$H$3:$H$62,MATCH($A98,Simulations!$A$3:$A$62,0))*IF(INDEX(Simulations!$I$3:$I$62,MATCH($A98,Simulations!$A$3:$A$62,0))&gt;0,INDEX(Simulations!$I$3:$I$62,MATCH($A98,Simulations!$A$3:$A$62,0)),1))*$E98*(PI()/2*INDEX(Simulations!$T$3:$T$62,MATCH($A98,Simulations!$A$3:$A$62,0))^2*IF(INDEX(Simulations!$I$3:$I$62,MATCH($A98,Simulations!$A$3:$A$62,0))&gt;0,SQRT(PI()/2)*INDEX(Simulations!$U$3:$U$62,MATCH($A98,Simulations!$A$3:$A$62,0)),1)),$D98/(INDEX(Simulations!$G$3:$G$62,MATCH($A98,Simulations!$A$3:$A$62,0))*INDEX(Simulations!$H$3:$H$62,MATCH($A98,Simulations!$A$3:$A$62,0))*IF(INDEX(Simulations!$I$3:$I$62,MATCH($A98,Simulations!$A$3:$A$62,0))&gt;0,INDEX(Simulations!$I$3:$I$62,MATCH($A98,Simulations!$A$3:$A$62,0)),1))*INDEX(Simulations!$J$3:$J$62,MATCH($A98,Simulations!$A$3:$A$62,0))*IF(INDEX(Simulations!$I$3:$I$62,MATCH($A98,Simulations!$A$3:$A$62,0))&gt;0,2*PI()*INDEX(Simulations!$T$3:$T$62,MATCH($A98,Simulations!$A$3:$A$62,0))^2*INDEX(Simulations!$U$3:$U$62,MATCH($A98,Simulations!$A$3:$A$62,0))/2^1.5*(2/3*LN($E98/INDEX(Simulations!$J$3:$J$62,MATCH($A98,Simulations!$A$3:$A$62,0)))^1.5+SQRT(LN($E98/INDEX(Simulations!$J$3:$J$62,MATCH($A98,Simulations!$A$3:$A$62,0))))+$E98/INDEX(Simulations!$J$3:$J$62,MATCH($A98,Simulations!$A$3:$A$62,0))*SQRT(PI())/2*ERFC(SQRT(LN($E98/INDEX(Simulations!$J$3:$J$62,MATCH($A98,Simulations!$A$3:$A$62,0)))))),PI()*INDEX(Simulations!$T$3:$T$62,MATCH($A98,Simulations!$A$3:$A$62,0))^2/2*(LN($E98/INDEX(Simulations!$J$3:$J$62,MATCH($A98,Simulations!$A$3:$A$62,0)))+1)))))</f>
        <v/>
      </c>
      <c r="R98" s="16" t="str">
        <f aca="false">IF(OR($A98="",ISNA(MATCH($A98,Simulations!$A$3:$A$62,0))),"",IF(N($F98)&lt;=0,0,IF($F98&lt;INDEX(Simulations!$J$3:$J$62,MATCH($A98,Simulations!$A$3:$A$62,0)),$D98/(INDEX(Simulations!$G$3:$G$62,MATCH($A98,Simulations!$A$3:$A$62,0))*INDEX(Simulations!$H$3:$H$62,MATCH($A98,Simulations!$A$3:$A$62,0))*IF(INDEX(Simulations!$I$3:$I$62,MATCH($A98,Simulations!$A$3:$A$62,0))&gt;0,INDEX(Simulations!$I$3:$I$62,MATCH($A98,Simulations!$A$3:$A$62,0)),1))*$F98*(PI()/2*INDEX(Simulations!$T$3:$T$62,MATCH($A98,Simulations!$A$3:$A$62,0))^2*IF(INDEX(Simulations!$I$3:$I$62,MATCH($A98,Simulations!$A$3:$A$62,0))&gt;0,SQRT(PI()/2)*INDEX(Simulations!$U$3:$U$62,MATCH($A98,Simulations!$A$3:$A$62,0)),1)),$D98/(INDEX(Simulations!$G$3:$G$62,MATCH($A98,Simulations!$A$3:$A$62,0))*INDEX(Simulations!$H$3:$H$62,MATCH($A98,Simulations!$A$3:$A$62,0))*IF(INDEX(Simulations!$I$3:$I$62,MATCH($A98,Simulations!$A$3:$A$62,0))&gt;0,INDEX(Simulations!$I$3:$I$62,MATCH($A98,Simulations!$A$3:$A$62,0)),1))*INDEX(Simulations!$J$3:$J$62,MATCH($A98,Simulations!$A$3:$A$62,0))*IF(INDEX(Simulations!$I$3:$I$62,MATCH($A98,Simulations!$A$3:$A$62,0))&gt;0,2*PI()*INDEX(Simulations!$T$3:$T$62,MATCH($A98,Simulations!$A$3:$A$62,0))^2*INDEX(Simulations!$U$3:$U$62,MATCH($A98,Simulations!$A$3:$A$62,0))/2^1.5*(2/3*LN($F98/INDEX(Simulations!$J$3:$J$62,MATCH($A98,Simulations!$A$3:$A$62,0)))^1.5+SQRT(LN($F98/INDEX(Simulations!$J$3:$J$62,MATCH($A98,Simulations!$A$3:$A$62,0))))+$F98/INDEX(Simulations!$J$3:$J$62,MATCH($A98,Simulations!$A$3:$A$62,0))*SQRT(PI())/2*ERFC(SQRT(LN($F98/INDEX(Simulations!$J$3:$J$62,MATCH($A98,Simulations!$A$3:$A$62,0)))))),PI()*INDEX(Simulations!$T$3:$T$62,MATCH($A98,Simulations!$A$3:$A$62,0))^2/2*(LN($F98/INDEX(Simulations!$J$3:$J$62,MATCH($A98,Simulations!$A$3:$A$62,0)))+1)))))</f>
        <v/>
      </c>
      <c r="S98" s="16" t="str">
        <f aca="false">IF(OR($A98="",ISNA(MATCH($A98,Simulations!$A$3:$A$62,0))),"",IF(N($G98)&lt;=0,0,IF($G98&lt;INDEX(Simulations!$J$3:$J$62,MATCH($A98,Simulations!$A$3:$A$62,0)),$D98/(INDEX(Simulations!$G$3:$G$62,MATCH($A98,Simulations!$A$3:$A$62,0))*INDEX(Simulations!$H$3:$H$62,MATCH($A98,Simulations!$A$3:$A$62,0))*IF(INDEX(Simulations!$I$3:$I$62,MATCH($A98,Simulations!$A$3:$A$62,0))&gt;0,INDEX(Simulations!$I$3:$I$62,MATCH($A98,Simulations!$A$3:$A$62,0)),1))*$G98*(PI()/2*INDEX(Simulations!$T$3:$T$62,MATCH($A98,Simulations!$A$3:$A$62,0))^2*IF(INDEX(Simulations!$I$3:$I$62,MATCH($A98,Simulations!$A$3:$A$62,0))&gt;0,SQRT(PI()/2)*INDEX(Simulations!$U$3:$U$62,MATCH($A98,Simulations!$A$3:$A$62,0)),1)),$D98/(INDEX(Simulations!$G$3:$G$62,MATCH($A98,Simulations!$A$3:$A$62,0))*INDEX(Simulations!$H$3:$H$62,MATCH($A98,Simulations!$A$3:$A$62,0))*IF(INDEX(Simulations!$I$3:$I$62,MATCH($A98,Simulations!$A$3:$A$62,0))&gt;0,INDEX(Simulations!$I$3:$I$62,MATCH($A98,Simulations!$A$3:$A$62,0)),1))*INDEX(Simulations!$J$3:$J$62,MATCH($A98,Simulations!$A$3:$A$62,0))*IF(INDEX(Simulations!$I$3:$I$62,MATCH($A98,Simulations!$A$3:$A$62,0))&gt;0,2*PI()*INDEX(Simulations!$T$3:$T$62,MATCH($A98,Simulations!$A$3:$A$62,0))^2*INDEX(Simulations!$U$3:$U$62,MATCH($A98,Simulations!$A$3:$A$62,0))/2^1.5*(2/3*LN($G98/INDEX(Simulations!$J$3:$J$62,MATCH($A98,Simulations!$A$3:$A$62,0)))^1.5+SQRT(LN($G98/INDEX(Simulations!$J$3:$J$62,MATCH($A98,Simulations!$A$3:$A$62,0))))+$G98/INDEX(Simulations!$J$3:$J$62,MATCH($A98,Simulations!$A$3:$A$62,0))*SQRT(PI())/2*ERFC(SQRT(LN($G98/INDEX(Simulations!$J$3:$J$62,MATCH($A98,Simulations!$A$3:$A$62,0)))))),PI()*INDEX(Simulations!$T$3:$T$62,MATCH($A98,Simulations!$A$3:$A$62,0))^2/2*(LN($G98/INDEX(Simulations!$J$3:$J$62,MATCH($A98,Simulations!$A$3:$A$62,0)))+1)))))</f>
        <v/>
      </c>
      <c r="T98" s="16" t="str">
        <f aca="false">IF(OR($A98="",ISNA(MATCH($A98,Simulations!$A$3:$A$62,0))),"",IF(N($H98)&lt;=0,0,IF($H98&lt;INDEX(Simulations!$J$3:$J$62,MATCH($A98,Simulations!$A$3:$A$62,0)),$D98/(INDEX(Simulations!$G$3:$G$62,MATCH($A98,Simulations!$A$3:$A$62,0))*INDEX(Simulations!$H$3:$H$62,MATCH($A98,Simulations!$A$3:$A$62,0))*IF(INDEX(Simulations!$I$3:$I$62,MATCH($A98,Simulations!$A$3:$A$62,0))&gt;0,INDEX(Simulations!$I$3:$I$62,MATCH($A98,Simulations!$A$3:$A$62,0)),1))*$H98*(PI()/2*INDEX(Simulations!$T$3:$T$62,MATCH($A98,Simulations!$A$3:$A$62,0))^2*IF(INDEX(Simulations!$I$3:$I$62,MATCH($A98,Simulations!$A$3:$A$62,0))&gt;0,SQRT(PI()/2)*INDEX(Simulations!$U$3:$U$62,MATCH($A98,Simulations!$A$3:$A$62,0)),1)),$D98/(INDEX(Simulations!$G$3:$G$62,MATCH($A98,Simulations!$A$3:$A$62,0))*INDEX(Simulations!$H$3:$H$62,MATCH($A98,Simulations!$A$3:$A$62,0))*IF(INDEX(Simulations!$I$3:$I$62,MATCH($A98,Simulations!$A$3:$A$62,0))&gt;0,INDEX(Simulations!$I$3:$I$62,MATCH($A98,Simulations!$A$3:$A$62,0)),1))*INDEX(Simulations!$J$3:$J$62,MATCH($A98,Simulations!$A$3:$A$62,0))*IF(INDEX(Simulations!$I$3:$I$62,MATCH($A98,Simulations!$A$3:$A$62,0))&gt;0,2*PI()*INDEX(Simulations!$T$3:$T$62,MATCH($A98,Simulations!$A$3:$A$62,0))^2*INDEX(Simulations!$U$3:$U$62,MATCH($A98,Simulations!$A$3:$A$62,0))/2^1.5*(2/3*LN($H98/INDEX(Simulations!$J$3:$J$62,MATCH($A98,Simulations!$A$3:$A$62,0)))^1.5+SQRT(LN($H98/INDEX(Simulations!$J$3:$J$62,MATCH($A98,Simulations!$A$3:$A$62,0))))+$H98/INDEX(Simulations!$J$3:$J$62,MATCH($A98,Simulations!$A$3:$A$62,0))*SQRT(PI())/2*ERFC(SQRT(LN($H98/INDEX(Simulations!$J$3:$J$62,MATCH($A98,Simulations!$A$3:$A$62,0)))))),PI()*INDEX(Simulations!$T$3:$T$62,MATCH($A98,Simulations!$A$3:$A$62,0))^2/2*(LN($H98/INDEX(Simulations!$J$3:$J$62,MATCH($A98,Simulations!$A$3:$A$62,0)))+1)))))</f>
        <v/>
      </c>
      <c r="U98" s="18" t="str">
        <f aca="false">IF(OR(OR($A98="",ISNA(MATCH($A98,Simulations!$A$3:$A$62,0))),N($C98)&lt;=0),"",SQRT(2*$C98*1000000/(INDEX(Simulations!$J$3:$J$62,MATCH($A98,Simulations!$A$3:$A$62,0))*1000))/INDEX(Simulations!$T$3:$T$62,MATCH($A98,Simulations!$A$3:$A$62,0)))</f>
        <v/>
      </c>
      <c r="V98" s="19" t="str">
        <f aca="false">IF($A98="","",IF(ISNA(MATCH($A98,Simulations!$A$3:$A$62,0)),"✖ Sim ID not found on the Simulations sheet",IF($P98&gt;=1,"✖ brightness &gt;= sampling frequency: completely saturated (D too small, c too large)",IF($P98&gt;0.1,"⚠ brightness &gt; 10% of the sampling frequency: focus starts to saturate",IF(N($U98)&gt;0.1,"⚠ diffusion step &gt; 10% of wr: raise the sampling frequency",IF(MAX($E98:$H98)=0,"⚠ no brightness set","✔ OK"))))))</f>
        <v/>
      </c>
    </row>
    <row r="99" customFormat="false" ht="15" hidden="false" customHeight="false" outlineLevel="0" collapsed="false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4"/>
      <c r="O99" s="18" t="str">
        <f aca="false">IF(OR($A99="",ISNA(MATCH($A99,Simulations!$A$3:$A$62,0))),"",IF(INDEX(Simulations!$I$3:$I$62,MATCH($A99,Simulations!$A$3:$A$62,0))&gt;0,$D99/(INDEX(Simulations!$G$3:$G$62,MATCH($A99,Simulations!$A$3:$A$62,0))*INDEX(Simulations!$H$3:$H$62,MATCH($A99,Simulations!$A$3:$A$62,0))*IF(INDEX(Simulations!$I$3:$I$62,MATCH($A99,Simulations!$A$3:$A$62,0))&gt;0,INDEX(Simulations!$I$3:$I$62,MATCH($A99,Simulations!$A$3:$A$62,0)),1))/1E-024/6.022E+023/0.000000001,""))</f>
        <v/>
      </c>
      <c r="P99" s="20" t="str">
        <f aca="false">IF(OR($A99="",ISNA(MATCH($A99,Simulations!$A$3:$A$62,0))),"",MAX($E99:$H99)/INDEX(Simulations!$J$3:$J$62,MATCH($A99,Simulations!$A$3:$A$62,0)))</f>
        <v/>
      </c>
      <c r="Q99" s="16" t="str">
        <f aca="false">IF(OR($A99="",ISNA(MATCH($A99,Simulations!$A$3:$A$62,0))),"",IF(N($E99)&lt;=0,0,IF($E99&lt;INDEX(Simulations!$J$3:$J$62,MATCH($A99,Simulations!$A$3:$A$62,0)),$D99/(INDEX(Simulations!$G$3:$G$62,MATCH($A99,Simulations!$A$3:$A$62,0))*INDEX(Simulations!$H$3:$H$62,MATCH($A99,Simulations!$A$3:$A$62,0))*IF(INDEX(Simulations!$I$3:$I$62,MATCH($A99,Simulations!$A$3:$A$62,0))&gt;0,INDEX(Simulations!$I$3:$I$62,MATCH($A99,Simulations!$A$3:$A$62,0)),1))*$E99*(PI()/2*INDEX(Simulations!$T$3:$T$62,MATCH($A99,Simulations!$A$3:$A$62,0))^2*IF(INDEX(Simulations!$I$3:$I$62,MATCH($A99,Simulations!$A$3:$A$62,0))&gt;0,SQRT(PI()/2)*INDEX(Simulations!$U$3:$U$62,MATCH($A99,Simulations!$A$3:$A$62,0)),1)),$D99/(INDEX(Simulations!$G$3:$G$62,MATCH($A99,Simulations!$A$3:$A$62,0))*INDEX(Simulations!$H$3:$H$62,MATCH($A99,Simulations!$A$3:$A$62,0))*IF(INDEX(Simulations!$I$3:$I$62,MATCH($A99,Simulations!$A$3:$A$62,0))&gt;0,INDEX(Simulations!$I$3:$I$62,MATCH($A99,Simulations!$A$3:$A$62,0)),1))*INDEX(Simulations!$J$3:$J$62,MATCH($A99,Simulations!$A$3:$A$62,0))*IF(INDEX(Simulations!$I$3:$I$62,MATCH($A99,Simulations!$A$3:$A$62,0))&gt;0,2*PI()*INDEX(Simulations!$T$3:$T$62,MATCH($A99,Simulations!$A$3:$A$62,0))^2*INDEX(Simulations!$U$3:$U$62,MATCH($A99,Simulations!$A$3:$A$62,0))/2^1.5*(2/3*LN($E99/INDEX(Simulations!$J$3:$J$62,MATCH($A99,Simulations!$A$3:$A$62,0)))^1.5+SQRT(LN($E99/INDEX(Simulations!$J$3:$J$62,MATCH($A99,Simulations!$A$3:$A$62,0))))+$E99/INDEX(Simulations!$J$3:$J$62,MATCH($A99,Simulations!$A$3:$A$62,0))*SQRT(PI())/2*ERFC(SQRT(LN($E99/INDEX(Simulations!$J$3:$J$62,MATCH($A99,Simulations!$A$3:$A$62,0)))))),PI()*INDEX(Simulations!$T$3:$T$62,MATCH($A99,Simulations!$A$3:$A$62,0))^2/2*(LN($E99/INDEX(Simulations!$J$3:$J$62,MATCH($A99,Simulations!$A$3:$A$62,0)))+1)))))</f>
        <v/>
      </c>
      <c r="R99" s="16" t="str">
        <f aca="false">IF(OR($A99="",ISNA(MATCH($A99,Simulations!$A$3:$A$62,0))),"",IF(N($F99)&lt;=0,0,IF($F99&lt;INDEX(Simulations!$J$3:$J$62,MATCH($A99,Simulations!$A$3:$A$62,0)),$D99/(INDEX(Simulations!$G$3:$G$62,MATCH($A99,Simulations!$A$3:$A$62,0))*INDEX(Simulations!$H$3:$H$62,MATCH($A99,Simulations!$A$3:$A$62,0))*IF(INDEX(Simulations!$I$3:$I$62,MATCH($A99,Simulations!$A$3:$A$62,0))&gt;0,INDEX(Simulations!$I$3:$I$62,MATCH($A99,Simulations!$A$3:$A$62,0)),1))*$F99*(PI()/2*INDEX(Simulations!$T$3:$T$62,MATCH($A99,Simulations!$A$3:$A$62,0))^2*IF(INDEX(Simulations!$I$3:$I$62,MATCH($A99,Simulations!$A$3:$A$62,0))&gt;0,SQRT(PI()/2)*INDEX(Simulations!$U$3:$U$62,MATCH($A99,Simulations!$A$3:$A$62,0)),1)),$D99/(INDEX(Simulations!$G$3:$G$62,MATCH($A99,Simulations!$A$3:$A$62,0))*INDEX(Simulations!$H$3:$H$62,MATCH($A99,Simulations!$A$3:$A$62,0))*IF(INDEX(Simulations!$I$3:$I$62,MATCH($A99,Simulations!$A$3:$A$62,0))&gt;0,INDEX(Simulations!$I$3:$I$62,MATCH($A99,Simulations!$A$3:$A$62,0)),1))*INDEX(Simulations!$J$3:$J$62,MATCH($A99,Simulations!$A$3:$A$62,0))*IF(INDEX(Simulations!$I$3:$I$62,MATCH($A99,Simulations!$A$3:$A$62,0))&gt;0,2*PI()*INDEX(Simulations!$T$3:$T$62,MATCH($A99,Simulations!$A$3:$A$62,0))^2*INDEX(Simulations!$U$3:$U$62,MATCH($A99,Simulations!$A$3:$A$62,0))/2^1.5*(2/3*LN($F99/INDEX(Simulations!$J$3:$J$62,MATCH($A99,Simulations!$A$3:$A$62,0)))^1.5+SQRT(LN($F99/INDEX(Simulations!$J$3:$J$62,MATCH($A99,Simulations!$A$3:$A$62,0))))+$F99/INDEX(Simulations!$J$3:$J$62,MATCH($A99,Simulations!$A$3:$A$62,0))*SQRT(PI())/2*ERFC(SQRT(LN($F99/INDEX(Simulations!$J$3:$J$62,MATCH($A99,Simulations!$A$3:$A$62,0)))))),PI()*INDEX(Simulations!$T$3:$T$62,MATCH($A99,Simulations!$A$3:$A$62,0))^2/2*(LN($F99/INDEX(Simulations!$J$3:$J$62,MATCH($A99,Simulations!$A$3:$A$62,0)))+1)))))</f>
        <v/>
      </c>
      <c r="S99" s="16" t="str">
        <f aca="false">IF(OR($A99="",ISNA(MATCH($A99,Simulations!$A$3:$A$62,0))),"",IF(N($G99)&lt;=0,0,IF($G99&lt;INDEX(Simulations!$J$3:$J$62,MATCH($A99,Simulations!$A$3:$A$62,0)),$D99/(INDEX(Simulations!$G$3:$G$62,MATCH($A99,Simulations!$A$3:$A$62,0))*INDEX(Simulations!$H$3:$H$62,MATCH($A99,Simulations!$A$3:$A$62,0))*IF(INDEX(Simulations!$I$3:$I$62,MATCH($A99,Simulations!$A$3:$A$62,0))&gt;0,INDEX(Simulations!$I$3:$I$62,MATCH($A99,Simulations!$A$3:$A$62,0)),1))*$G99*(PI()/2*INDEX(Simulations!$T$3:$T$62,MATCH($A99,Simulations!$A$3:$A$62,0))^2*IF(INDEX(Simulations!$I$3:$I$62,MATCH($A99,Simulations!$A$3:$A$62,0))&gt;0,SQRT(PI()/2)*INDEX(Simulations!$U$3:$U$62,MATCH($A99,Simulations!$A$3:$A$62,0)),1)),$D99/(INDEX(Simulations!$G$3:$G$62,MATCH($A99,Simulations!$A$3:$A$62,0))*INDEX(Simulations!$H$3:$H$62,MATCH($A99,Simulations!$A$3:$A$62,0))*IF(INDEX(Simulations!$I$3:$I$62,MATCH($A99,Simulations!$A$3:$A$62,0))&gt;0,INDEX(Simulations!$I$3:$I$62,MATCH($A99,Simulations!$A$3:$A$62,0)),1))*INDEX(Simulations!$J$3:$J$62,MATCH($A99,Simulations!$A$3:$A$62,0))*IF(INDEX(Simulations!$I$3:$I$62,MATCH($A99,Simulations!$A$3:$A$62,0))&gt;0,2*PI()*INDEX(Simulations!$T$3:$T$62,MATCH($A99,Simulations!$A$3:$A$62,0))^2*INDEX(Simulations!$U$3:$U$62,MATCH($A99,Simulations!$A$3:$A$62,0))/2^1.5*(2/3*LN($G99/INDEX(Simulations!$J$3:$J$62,MATCH($A99,Simulations!$A$3:$A$62,0)))^1.5+SQRT(LN($G99/INDEX(Simulations!$J$3:$J$62,MATCH($A99,Simulations!$A$3:$A$62,0))))+$G99/INDEX(Simulations!$J$3:$J$62,MATCH($A99,Simulations!$A$3:$A$62,0))*SQRT(PI())/2*ERFC(SQRT(LN($G99/INDEX(Simulations!$J$3:$J$62,MATCH($A99,Simulations!$A$3:$A$62,0)))))),PI()*INDEX(Simulations!$T$3:$T$62,MATCH($A99,Simulations!$A$3:$A$62,0))^2/2*(LN($G99/INDEX(Simulations!$J$3:$J$62,MATCH($A99,Simulations!$A$3:$A$62,0)))+1)))))</f>
        <v/>
      </c>
      <c r="T99" s="16" t="str">
        <f aca="false">IF(OR($A99="",ISNA(MATCH($A99,Simulations!$A$3:$A$62,0))),"",IF(N($H99)&lt;=0,0,IF($H99&lt;INDEX(Simulations!$J$3:$J$62,MATCH($A99,Simulations!$A$3:$A$62,0)),$D99/(INDEX(Simulations!$G$3:$G$62,MATCH($A99,Simulations!$A$3:$A$62,0))*INDEX(Simulations!$H$3:$H$62,MATCH($A99,Simulations!$A$3:$A$62,0))*IF(INDEX(Simulations!$I$3:$I$62,MATCH($A99,Simulations!$A$3:$A$62,0))&gt;0,INDEX(Simulations!$I$3:$I$62,MATCH($A99,Simulations!$A$3:$A$62,0)),1))*$H99*(PI()/2*INDEX(Simulations!$T$3:$T$62,MATCH($A99,Simulations!$A$3:$A$62,0))^2*IF(INDEX(Simulations!$I$3:$I$62,MATCH($A99,Simulations!$A$3:$A$62,0))&gt;0,SQRT(PI()/2)*INDEX(Simulations!$U$3:$U$62,MATCH($A99,Simulations!$A$3:$A$62,0)),1)),$D99/(INDEX(Simulations!$G$3:$G$62,MATCH($A99,Simulations!$A$3:$A$62,0))*INDEX(Simulations!$H$3:$H$62,MATCH($A99,Simulations!$A$3:$A$62,0))*IF(INDEX(Simulations!$I$3:$I$62,MATCH($A99,Simulations!$A$3:$A$62,0))&gt;0,INDEX(Simulations!$I$3:$I$62,MATCH($A99,Simulations!$A$3:$A$62,0)),1))*INDEX(Simulations!$J$3:$J$62,MATCH($A99,Simulations!$A$3:$A$62,0))*IF(INDEX(Simulations!$I$3:$I$62,MATCH($A99,Simulations!$A$3:$A$62,0))&gt;0,2*PI()*INDEX(Simulations!$T$3:$T$62,MATCH($A99,Simulations!$A$3:$A$62,0))^2*INDEX(Simulations!$U$3:$U$62,MATCH($A99,Simulations!$A$3:$A$62,0))/2^1.5*(2/3*LN($H99/INDEX(Simulations!$J$3:$J$62,MATCH($A99,Simulations!$A$3:$A$62,0)))^1.5+SQRT(LN($H99/INDEX(Simulations!$J$3:$J$62,MATCH($A99,Simulations!$A$3:$A$62,0))))+$H99/INDEX(Simulations!$J$3:$J$62,MATCH($A99,Simulations!$A$3:$A$62,0))*SQRT(PI())/2*ERFC(SQRT(LN($H99/INDEX(Simulations!$J$3:$J$62,MATCH($A99,Simulations!$A$3:$A$62,0)))))),PI()*INDEX(Simulations!$T$3:$T$62,MATCH($A99,Simulations!$A$3:$A$62,0))^2/2*(LN($H99/INDEX(Simulations!$J$3:$J$62,MATCH($A99,Simulations!$A$3:$A$62,0)))+1)))))</f>
        <v/>
      </c>
      <c r="U99" s="18" t="str">
        <f aca="false">IF(OR(OR($A99="",ISNA(MATCH($A99,Simulations!$A$3:$A$62,0))),N($C99)&lt;=0),"",SQRT(2*$C99*1000000/(INDEX(Simulations!$J$3:$J$62,MATCH($A99,Simulations!$A$3:$A$62,0))*1000))/INDEX(Simulations!$T$3:$T$62,MATCH($A99,Simulations!$A$3:$A$62,0)))</f>
        <v/>
      </c>
      <c r="V99" s="19" t="str">
        <f aca="false">IF($A99="","",IF(ISNA(MATCH($A99,Simulations!$A$3:$A$62,0)),"✖ Sim ID not found on the Simulations sheet",IF($P99&gt;=1,"✖ brightness &gt;= sampling frequency: completely saturated (D too small, c too large)",IF($P99&gt;0.1,"⚠ brightness &gt; 10% of the sampling frequency: focus starts to saturate",IF(N($U99)&gt;0.1,"⚠ diffusion step &gt; 10% of wr: raise the sampling frequency",IF(MAX($E99:$H99)=0,"⚠ no brightness set","✔ OK"))))))</f>
        <v/>
      </c>
    </row>
    <row r="100" customFormat="false" ht="15" hidden="false" customHeight="false" outlineLevel="0" collapsed="false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4"/>
      <c r="O100" s="18" t="str">
        <f aca="false">IF(OR($A100="",ISNA(MATCH($A100,Simulations!$A$3:$A$62,0))),"",IF(INDEX(Simulations!$I$3:$I$62,MATCH($A100,Simulations!$A$3:$A$62,0))&gt;0,$D100/(INDEX(Simulations!$G$3:$G$62,MATCH($A100,Simulations!$A$3:$A$62,0))*INDEX(Simulations!$H$3:$H$62,MATCH($A100,Simulations!$A$3:$A$62,0))*IF(INDEX(Simulations!$I$3:$I$62,MATCH($A100,Simulations!$A$3:$A$62,0))&gt;0,INDEX(Simulations!$I$3:$I$62,MATCH($A100,Simulations!$A$3:$A$62,0)),1))/1E-024/6.022E+023/0.000000001,""))</f>
        <v/>
      </c>
      <c r="P100" s="20" t="str">
        <f aca="false">IF(OR($A100="",ISNA(MATCH($A100,Simulations!$A$3:$A$62,0))),"",MAX($E100:$H100)/INDEX(Simulations!$J$3:$J$62,MATCH($A100,Simulations!$A$3:$A$62,0)))</f>
        <v/>
      </c>
      <c r="Q100" s="16" t="str">
        <f aca="false">IF(OR($A100="",ISNA(MATCH($A100,Simulations!$A$3:$A$62,0))),"",IF(N($E100)&lt;=0,0,IF($E100&lt;INDEX(Simulations!$J$3:$J$62,MATCH($A100,Simulations!$A$3:$A$62,0)),$D100/(INDEX(Simulations!$G$3:$G$62,MATCH($A100,Simulations!$A$3:$A$62,0))*INDEX(Simulations!$H$3:$H$62,MATCH($A100,Simulations!$A$3:$A$62,0))*IF(INDEX(Simulations!$I$3:$I$62,MATCH($A100,Simulations!$A$3:$A$62,0))&gt;0,INDEX(Simulations!$I$3:$I$62,MATCH($A100,Simulations!$A$3:$A$62,0)),1))*$E100*(PI()/2*INDEX(Simulations!$T$3:$T$62,MATCH($A100,Simulations!$A$3:$A$62,0))^2*IF(INDEX(Simulations!$I$3:$I$62,MATCH($A100,Simulations!$A$3:$A$62,0))&gt;0,SQRT(PI()/2)*INDEX(Simulations!$U$3:$U$62,MATCH($A100,Simulations!$A$3:$A$62,0)),1)),$D100/(INDEX(Simulations!$G$3:$G$62,MATCH($A100,Simulations!$A$3:$A$62,0))*INDEX(Simulations!$H$3:$H$62,MATCH($A100,Simulations!$A$3:$A$62,0))*IF(INDEX(Simulations!$I$3:$I$62,MATCH($A100,Simulations!$A$3:$A$62,0))&gt;0,INDEX(Simulations!$I$3:$I$62,MATCH($A100,Simulations!$A$3:$A$62,0)),1))*INDEX(Simulations!$J$3:$J$62,MATCH($A100,Simulations!$A$3:$A$62,0))*IF(INDEX(Simulations!$I$3:$I$62,MATCH($A100,Simulations!$A$3:$A$62,0))&gt;0,2*PI()*INDEX(Simulations!$T$3:$T$62,MATCH($A100,Simulations!$A$3:$A$62,0))^2*INDEX(Simulations!$U$3:$U$62,MATCH($A100,Simulations!$A$3:$A$62,0))/2^1.5*(2/3*LN($E100/INDEX(Simulations!$J$3:$J$62,MATCH($A100,Simulations!$A$3:$A$62,0)))^1.5+SQRT(LN($E100/INDEX(Simulations!$J$3:$J$62,MATCH($A100,Simulations!$A$3:$A$62,0))))+$E100/INDEX(Simulations!$J$3:$J$62,MATCH($A100,Simulations!$A$3:$A$62,0))*SQRT(PI())/2*ERFC(SQRT(LN($E100/INDEX(Simulations!$J$3:$J$62,MATCH($A100,Simulations!$A$3:$A$62,0)))))),PI()*INDEX(Simulations!$T$3:$T$62,MATCH($A100,Simulations!$A$3:$A$62,0))^2/2*(LN($E100/INDEX(Simulations!$J$3:$J$62,MATCH($A100,Simulations!$A$3:$A$62,0)))+1)))))</f>
        <v/>
      </c>
      <c r="R100" s="16" t="str">
        <f aca="false">IF(OR($A100="",ISNA(MATCH($A100,Simulations!$A$3:$A$62,0))),"",IF(N($F100)&lt;=0,0,IF($F100&lt;INDEX(Simulations!$J$3:$J$62,MATCH($A100,Simulations!$A$3:$A$62,0)),$D100/(INDEX(Simulations!$G$3:$G$62,MATCH($A100,Simulations!$A$3:$A$62,0))*INDEX(Simulations!$H$3:$H$62,MATCH($A100,Simulations!$A$3:$A$62,0))*IF(INDEX(Simulations!$I$3:$I$62,MATCH($A100,Simulations!$A$3:$A$62,0))&gt;0,INDEX(Simulations!$I$3:$I$62,MATCH($A100,Simulations!$A$3:$A$62,0)),1))*$F100*(PI()/2*INDEX(Simulations!$T$3:$T$62,MATCH($A100,Simulations!$A$3:$A$62,0))^2*IF(INDEX(Simulations!$I$3:$I$62,MATCH($A100,Simulations!$A$3:$A$62,0))&gt;0,SQRT(PI()/2)*INDEX(Simulations!$U$3:$U$62,MATCH($A100,Simulations!$A$3:$A$62,0)),1)),$D100/(INDEX(Simulations!$G$3:$G$62,MATCH($A100,Simulations!$A$3:$A$62,0))*INDEX(Simulations!$H$3:$H$62,MATCH($A100,Simulations!$A$3:$A$62,0))*IF(INDEX(Simulations!$I$3:$I$62,MATCH($A100,Simulations!$A$3:$A$62,0))&gt;0,INDEX(Simulations!$I$3:$I$62,MATCH($A100,Simulations!$A$3:$A$62,0)),1))*INDEX(Simulations!$J$3:$J$62,MATCH($A100,Simulations!$A$3:$A$62,0))*IF(INDEX(Simulations!$I$3:$I$62,MATCH($A100,Simulations!$A$3:$A$62,0))&gt;0,2*PI()*INDEX(Simulations!$T$3:$T$62,MATCH($A100,Simulations!$A$3:$A$62,0))^2*INDEX(Simulations!$U$3:$U$62,MATCH($A100,Simulations!$A$3:$A$62,0))/2^1.5*(2/3*LN($F100/INDEX(Simulations!$J$3:$J$62,MATCH($A100,Simulations!$A$3:$A$62,0)))^1.5+SQRT(LN($F100/INDEX(Simulations!$J$3:$J$62,MATCH($A100,Simulations!$A$3:$A$62,0))))+$F100/INDEX(Simulations!$J$3:$J$62,MATCH($A100,Simulations!$A$3:$A$62,0))*SQRT(PI())/2*ERFC(SQRT(LN($F100/INDEX(Simulations!$J$3:$J$62,MATCH($A100,Simulations!$A$3:$A$62,0)))))),PI()*INDEX(Simulations!$T$3:$T$62,MATCH($A100,Simulations!$A$3:$A$62,0))^2/2*(LN($F100/INDEX(Simulations!$J$3:$J$62,MATCH($A100,Simulations!$A$3:$A$62,0)))+1)))))</f>
        <v/>
      </c>
      <c r="S100" s="16" t="str">
        <f aca="false">IF(OR($A100="",ISNA(MATCH($A100,Simulations!$A$3:$A$62,0))),"",IF(N($G100)&lt;=0,0,IF($G100&lt;INDEX(Simulations!$J$3:$J$62,MATCH($A100,Simulations!$A$3:$A$62,0)),$D100/(INDEX(Simulations!$G$3:$G$62,MATCH($A100,Simulations!$A$3:$A$62,0))*INDEX(Simulations!$H$3:$H$62,MATCH($A100,Simulations!$A$3:$A$62,0))*IF(INDEX(Simulations!$I$3:$I$62,MATCH($A100,Simulations!$A$3:$A$62,0))&gt;0,INDEX(Simulations!$I$3:$I$62,MATCH($A100,Simulations!$A$3:$A$62,0)),1))*$G100*(PI()/2*INDEX(Simulations!$T$3:$T$62,MATCH($A100,Simulations!$A$3:$A$62,0))^2*IF(INDEX(Simulations!$I$3:$I$62,MATCH($A100,Simulations!$A$3:$A$62,0))&gt;0,SQRT(PI()/2)*INDEX(Simulations!$U$3:$U$62,MATCH($A100,Simulations!$A$3:$A$62,0)),1)),$D100/(INDEX(Simulations!$G$3:$G$62,MATCH($A100,Simulations!$A$3:$A$62,0))*INDEX(Simulations!$H$3:$H$62,MATCH($A100,Simulations!$A$3:$A$62,0))*IF(INDEX(Simulations!$I$3:$I$62,MATCH($A100,Simulations!$A$3:$A$62,0))&gt;0,INDEX(Simulations!$I$3:$I$62,MATCH($A100,Simulations!$A$3:$A$62,0)),1))*INDEX(Simulations!$J$3:$J$62,MATCH($A100,Simulations!$A$3:$A$62,0))*IF(INDEX(Simulations!$I$3:$I$62,MATCH($A100,Simulations!$A$3:$A$62,0))&gt;0,2*PI()*INDEX(Simulations!$T$3:$T$62,MATCH($A100,Simulations!$A$3:$A$62,0))^2*INDEX(Simulations!$U$3:$U$62,MATCH($A100,Simulations!$A$3:$A$62,0))/2^1.5*(2/3*LN($G100/INDEX(Simulations!$J$3:$J$62,MATCH($A100,Simulations!$A$3:$A$62,0)))^1.5+SQRT(LN($G100/INDEX(Simulations!$J$3:$J$62,MATCH($A100,Simulations!$A$3:$A$62,0))))+$G100/INDEX(Simulations!$J$3:$J$62,MATCH($A100,Simulations!$A$3:$A$62,0))*SQRT(PI())/2*ERFC(SQRT(LN($G100/INDEX(Simulations!$J$3:$J$62,MATCH($A100,Simulations!$A$3:$A$62,0)))))),PI()*INDEX(Simulations!$T$3:$T$62,MATCH($A100,Simulations!$A$3:$A$62,0))^2/2*(LN($G100/INDEX(Simulations!$J$3:$J$62,MATCH($A100,Simulations!$A$3:$A$62,0)))+1)))))</f>
        <v/>
      </c>
      <c r="T100" s="16" t="str">
        <f aca="false">IF(OR($A100="",ISNA(MATCH($A100,Simulations!$A$3:$A$62,0))),"",IF(N($H100)&lt;=0,0,IF($H100&lt;INDEX(Simulations!$J$3:$J$62,MATCH($A100,Simulations!$A$3:$A$62,0)),$D100/(INDEX(Simulations!$G$3:$G$62,MATCH($A100,Simulations!$A$3:$A$62,0))*INDEX(Simulations!$H$3:$H$62,MATCH($A100,Simulations!$A$3:$A$62,0))*IF(INDEX(Simulations!$I$3:$I$62,MATCH($A100,Simulations!$A$3:$A$62,0))&gt;0,INDEX(Simulations!$I$3:$I$62,MATCH($A100,Simulations!$A$3:$A$62,0)),1))*$H100*(PI()/2*INDEX(Simulations!$T$3:$T$62,MATCH($A100,Simulations!$A$3:$A$62,0))^2*IF(INDEX(Simulations!$I$3:$I$62,MATCH($A100,Simulations!$A$3:$A$62,0))&gt;0,SQRT(PI()/2)*INDEX(Simulations!$U$3:$U$62,MATCH($A100,Simulations!$A$3:$A$62,0)),1)),$D100/(INDEX(Simulations!$G$3:$G$62,MATCH($A100,Simulations!$A$3:$A$62,0))*INDEX(Simulations!$H$3:$H$62,MATCH($A100,Simulations!$A$3:$A$62,0))*IF(INDEX(Simulations!$I$3:$I$62,MATCH($A100,Simulations!$A$3:$A$62,0))&gt;0,INDEX(Simulations!$I$3:$I$62,MATCH($A100,Simulations!$A$3:$A$62,0)),1))*INDEX(Simulations!$J$3:$J$62,MATCH($A100,Simulations!$A$3:$A$62,0))*IF(INDEX(Simulations!$I$3:$I$62,MATCH($A100,Simulations!$A$3:$A$62,0))&gt;0,2*PI()*INDEX(Simulations!$T$3:$T$62,MATCH($A100,Simulations!$A$3:$A$62,0))^2*INDEX(Simulations!$U$3:$U$62,MATCH($A100,Simulations!$A$3:$A$62,0))/2^1.5*(2/3*LN($H100/INDEX(Simulations!$J$3:$J$62,MATCH($A100,Simulations!$A$3:$A$62,0)))^1.5+SQRT(LN($H100/INDEX(Simulations!$J$3:$J$62,MATCH($A100,Simulations!$A$3:$A$62,0))))+$H100/INDEX(Simulations!$J$3:$J$62,MATCH($A100,Simulations!$A$3:$A$62,0))*SQRT(PI())/2*ERFC(SQRT(LN($H100/INDEX(Simulations!$J$3:$J$62,MATCH($A100,Simulations!$A$3:$A$62,0)))))),PI()*INDEX(Simulations!$T$3:$T$62,MATCH($A100,Simulations!$A$3:$A$62,0))^2/2*(LN($H100/INDEX(Simulations!$J$3:$J$62,MATCH($A100,Simulations!$A$3:$A$62,0)))+1)))))</f>
        <v/>
      </c>
      <c r="U100" s="18" t="str">
        <f aca="false">IF(OR(OR($A100="",ISNA(MATCH($A100,Simulations!$A$3:$A$62,0))),N($C100)&lt;=0),"",SQRT(2*$C100*1000000/(INDEX(Simulations!$J$3:$J$62,MATCH($A100,Simulations!$A$3:$A$62,0))*1000))/INDEX(Simulations!$T$3:$T$62,MATCH($A100,Simulations!$A$3:$A$62,0)))</f>
        <v/>
      </c>
      <c r="V100" s="19" t="str">
        <f aca="false">IF($A100="","",IF(ISNA(MATCH($A100,Simulations!$A$3:$A$62,0)),"✖ Sim ID not found on the Simulations sheet",IF($P100&gt;=1,"✖ brightness &gt;= sampling frequency: completely saturated (D too small, c too large)",IF($P100&gt;0.1,"⚠ brightness &gt; 10% of the sampling frequency: focus starts to saturate",IF(N($U100)&gt;0.1,"⚠ diffusion step &gt; 10% of wr: raise the sampling frequency",IF(MAX($E100:$H100)=0,"⚠ no brightness set","✔ OK"))))))</f>
        <v/>
      </c>
    </row>
    <row r="101" customFormat="false" ht="15" hidden="false" customHeight="false" outlineLevel="0" collapsed="false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4"/>
      <c r="O101" s="18" t="str">
        <f aca="false">IF(OR($A101="",ISNA(MATCH($A101,Simulations!$A$3:$A$62,0))),"",IF(INDEX(Simulations!$I$3:$I$62,MATCH($A101,Simulations!$A$3:$A$62,0))&gt;0,$D101/(INDEX(Simulations!$G$3:$G$62,MATCH($A101,Simulations!$A$3:$A$62,0))*INDEX(Simulations!$H$3:$H$62,MATCH($A101,Simulations!$A$3:$A$62,0))*IF(INDEX(Simulations!$I$3:$I$62,MATCH($A101,Simulations!$A$3:$A$62,0))&gt;0,INDEX(Simulations!$I$3:$I$62,MATCH($A101,Simulations!$A$3:$A$62,0)),1))/1E-024/6.022E+023/0.000000001,""))</f>
        <v/>
      </c>
      <c r="P101" s="20" t="str">
        <f aca="false">IF(OR($A101="",ISNA(MATCH($A101,Simulations!$A$3:$A$62,0))),"",MAX($E101:$H101)/INDEX(Simulations!$J$3:$J$62,MATCH($A101,Simulations!$A$3:$A$62,0)))</f>
        <v/>
      </c>
      <c r="Q101" s="16" t="str">
        <f aca="false">IF(OR($A101="",ISNA(MATCH($A101,Simulations!$A$3:$A$62,0))),"",IF(N($E101)&lt;=0,0,IF($E101&lt;INDEX(Simulations!$J$3:$J$62,MATCH($A101,Simulations!$A$3:$A$62,0)),$D101/(INDEX(Simulations!$G$3:$G$62,MATCH($A101,Simulations!$A$3:$A$62,0))*INDEX(Simulations!$H$3:$H$62,MATCH($A101,Simulations!$A$3:$A$62,0))*IF(INDEX(Simulations!$I$3:$I$62,MATCH($A101,Simulations!$A$3:$A$62,0))&gt;0,INDEX(Simulations!$I$3:$I$62,MATCH($A101,Simulations!$A$3:$A$62,0)),1))*$E101*(PI()/2*INDEX(Simulations!$T$3:$T$62,MATCH($A101,Simulations!$A$3:$A$62,0))^2*IF(INDEX(Simulations!$I$3:$I$62,MATCH($A101,Simulations!$A$3:$A$62,0))&gt;0,SQRT(PI()/2)*INDEX(Simulations!$U$3:$U$62,MATCH($A101,Simulations!$A$3:$A$62,0)),1)),$D101/(INDEX(Simulations!$G$3:$G$62,MATCH($A101,Simulations!$A$3:$A$62,0))*INDEX(Simulations!$H$3:$H$62,MATCH($A101,Simulations!$A$3:$A$62,0))*IF(INDEX(Simulations!$I$3:$I$62,MATCH($A101,Simulations!$A$3:$A$62,0))&gt;0,INDEX(Simulations!$I$3:$I$62,MATCH($A101,Simulations!$A$3:$A$62,0)),1))*INDEX(Simulations!$J$3:$J$62,MATCH($A101,Simulations!$A$3:$A$62,0))*IF(INDEX(Simulations!$I$3:$I$62,MATCH($A101,Simulations!$A$3:$A$62,0))&gt;0,2*PI()*INDEX(Simulations!$T$3:$T$62,MATCH($A101,Simulations!$A$3:$A$62,0))^2*INDEX(Simulations!$U$3:$U$62,MATCH($A101,Simulations!$A$3:$A$62,0))/2^1.5*(2/3*LN($E101/INDEX(Simulations!$J$3:$J$62,MATCH($A101,Simulations!$A$3:$A$62,0)))^1.5+SQRT(LN($E101/INDEX(Simulations!$J$3:$J$62,MATCH($A101,Simulations!$A$3:$A$62,0))))+$E101/INDEX(Simulations!$J$3:$J$62,MATCH($A101,Simulations!$A$3:$A$62,0))*SQRT(PI())/2*ERFC(SQRT(LN($E101/INDEX(Simulations!$J$3:$J$62,MATCH($A101,Simulations!$A$3:$A$62,0)))))),PI()*INDEX(Simulations!$T$3:$T$62,MATCH($A101,Simulations!$A$3:$A$62,0))^2/2*(LN($E101/INDEX(Simulations!$J$3:$J$62,MATCH($A101,Simulations!$A$3:$A$62,0)))+1)))))</f>
        <v/>
      </c>
      <c r="R101" s="16" t="str">
        <f aca="false">IF(OR($A101="",ISNA(MATCH($A101,Simulations!$A$3:$A$62,0))),"",IF(N($F101)&lt;=0,0,IF($F101&lt;INDEX(Simulations!$J$3:$J$62,MATCH($A101,Simulations!$A$3:$A$62,0)),$D101/(INDEX(Simulations!$G$3:$G$62,MATCH($A101,Simulations!$A$3:$A$62,0))*INDEX(Simulations!$H$3:$H$62,MATCH($A101,Simulations!$A$3:$A$62,0))*IF(INDEX(Simulations!$I$3:$I$62,MATCH($A101,Simulations!$A$3:$A$62,0))&gt;0,INDEX(Simulations!$I$3:$I$62,MATCH($A101,Simulations!$A$3:$A$62,0)),1))*$F101*(PI()/2*INDEX(Simulations!$T$3:$T$62,MATCH($A101,Simulations!$A$3:$A$62,0))^2*IF(INDEX(Simulations!$I$3:$I$62,MATCH($A101,Simulations!$A$3:$A$62,0))&gt;0,SQRT(PI()/2)*INDEX(Simulations!$U$3:$U$62,MATCH($A101,Simulations!$A$3:$A$62,0)),1)),$D101/(INDEX(Simulations!$G$3:$G$62,MATCH($A101,Simulations!$A$3:$A$62,0))*INDEX(Simulations!$H$3:$H$62,MATCH($A101,Simulations!$A$3:$A$62,0))*IF(INDEX(Simulations!$I$3:$I$62,MATCH($A101,Simulations!$A$3:$A$62,0))&gt;0,INDEX(Simulations!$I$3:$I$62,MATCH($A101,Simulations!$A$3:$A$62,0)),1))*INDEX(Simulations!$J$3:$J$62,MATCH($A101,Simulations!$A$3:$A$62,0))*IF(INDEX(Simulations!$I$3:$I$62,MATCH($A101,Simulations!$A$3:$A$62,0))&gt;0,2*PI()*INDEX(Simulations!$T$3:$T$62,MATCH($A101,Simulations!$A$3:$A$62,0))^2*INDEX(Simulations!$U$3:$U$62,MATCH($A101,Simulations!$A$3:$A$62,0))/2^1.5*(2/3*LN($F101/INDEX(Simulations!$J$3:$J$62,MATCH($A101,Simulations!$A$3:$A$62,0)))^1.5+SQRT(LN($F101/INDEX(Simulations!$J$3:$J$62,MATCH($A101,Simulations!$A$3:$A$62,0))))+$F101/INDEX(Simulations!$J$3:$J$62,MATCH($A101,Simulations!$A$3:$A$62,0))*SQRT(PI())/2*ERFC(SQRT(LN($F101/INDEX(Simulations!$J$3:$J$62,MATCH($A101,Simulations!$A$3:$A$62,0)))))),PI()*INDEX(Simulations!$T$3:$T$62,MATCH($A101,Simulations!$A$3:$A$62,0))^2/2*(LN($F101/INDEX(Simulations!$J$3:$J$62,MATCH($A101,Simulations!$A$3:$A$62,0)))+1)))))</f>
        <v/>
      </c>
      <c r="S101" s="16" t="str">
        <f aca="false">IF(OR($A101="",ISNA(MATCH($A101,Simulations!$A$3:$A$62,0))),"",IF(N($G101)&lt;=0,0,IF($G101&lt;INDEX(Simulations!$J$3:$J$62,MATCH($A101,Simulations!$A$3:$A$62,0)),$D101/(INDEX(Simulations!$G$3:$G$62,MATCH($A101,Simulations!$A$3:$A$62,0))*INDEX(Simulations!$H$3:$H$62,MATCH($A101,Simulations!$A$3:$A$62,0))*IF(INDEX(Simulations!$I$3:$I$62,MATCH($A101,Simulations!$A$3:$A$62,0))&gt;0,INDEX(Simulations!$I$3:$I$62,MATCH($A101,Simulations!$A$3:$A$62,0)),1))*$G101*(PI()/2*INDEX(Simulations!$T$3:$T$62,MATCH($A101,Simulations!$A$3:$A$62,0))^2*IF(INDEX(Simulations!$I$3:$I$62,MATCH($A101,Simulations!$A$3:$A$62,0))&gt;0,SQRT(PI()/2)*INDEX(Simulations!$U$3:$U$62,MATCH($A101,Simulations!$A$3:$A$62,0)),1)),$D101/(INDEX(Simulations!$G$3:$G$62,MATCH($A101,Simulations!$A$3:$A$62,0))*INDEX(Simulations!$H$3:$H$62,MATCH($A101,Simulations!$A$3:$A$62,0))*IF(INDEX(Simulations!$I$3:$I$62,MATCH($A101,Simulations!$A$3:$A$62,0))&gt;0,INDEX(Simulations!$I$3:$I$62,MATCH($A101,Simulations!$A$3:$A$62,0)),1))*INDEX(Simulations!$J$3:$J$62,MATCH($A101,Simulations!$A$3:$A$62,0))*IF(INDEX(Simulations!$I$3:$I$62,MATCH($A101,Simulations!$A$3:$A$62,0))&gt;0,2*PI()*INDEX(Simulations!$T$3:$T$62,MATCH($A101,Simulations!$A$3:$A$62,0))^2*INDEX(Simulations!$U$3:$U$62,MATCH($A101,Simulations!$A$3:$A$62,0))/2^1.5*(2/3*LN($G101/INDEX(Simulations!$J$3:$J$62,MATCH($A101,Simulations!$A$3:$A$62,0)))^1.5+SQRT(LN($G101/INDEX(Simulations!$J$3:$J$62,MATCH($A101,Simulations!$A$3:$A$62,0))))+$G101/INDEX(Simulations!$J$3:$J$62,MATCH($A101,Simulations!$A$3:$A$62,0))*SQRT(PI())/2*ERFC(SQRT(LN($G101/INDEX(Simulations!$J$3:$J$62,MATCH($A101,Simulations!$A$3:$A$62,0)))))),PI()*INDEX(Simulations!$T$3:$T$62,MATCH($A101,Simulations!$A$3:$A$62,0))^2/2*(LN($G101/INDEX(Simulations!$J$3:$J$62,MATCH($A101,Simulations!$A$3:$A$62,0)))+1)))))</f>
        <v/>
      </c>
      <c r="T101" s="16" t="str">
        <f aca="false">IF(OR($A101="",ISNA(MATCH($A101,Simulations!$A$3:$A$62,0))),"",IF(N($H101)&lt;=0,0,IF($H101&lt;INDEX(Simulations!$J$3:$J$62,MATCH($A101,Simulations!$A$3:$A$62,0)),$D101/(INDEX(Simulations!$G$3:$G$62,MATCH($A101,Simulations!$A$3:$A$62,0))*INDEX(Simulations!$H$3:$H$62,MATCH($A101,Simulations!$A$3:$A$62,0))*IF(INDEX(Simulations!$I$3:$I$62,MATCH($A101,Simulations!$A$3:$A$62,0))&gt;0,INDEX(Simulations!$I$3:$I$62,MATCH($A101,Simulations!$A$3:$A$62,0)),1))*$H101*(PI()/2*INDEX(Simulations!$T$3:$T$62,MATCH($A101,Simulations!$A$3:$A$62,0))^2*IF(INDEX(Simulations!$I$3:$I$62,MATCH($A101,Simulations!$A$3:$A$62,0))&gt;0,SQRT(PI()/2)*INDEX(Simulations!$U$3:$U$62,MATCH($A101,Simulations!$A$3:$A$62,0)),1)),$D101/(INDEX(Simulations!$G$3:$G$62,MATCH($A101,Simulations!$A$3:$A$62,0))*INDEX(Simulations!$H$3:$H$62,MATCH($A101,Simulations!$A$3:$A$62,0))*IF(INDEX(Simulations!$I$3:$I$62,MATCH($A101,Simulations!$A$3:$A$62,0))&gt;0,INDEX(Simulations!$I$3:$I$62,MATCH($A101,Simulations!$A$3:$A$62,0)),1))*INDEX(Simulations!$J$3:$J$62,MATCH($A101,Simulations!$A$3:$A$62,0))*IF(INDEX(Simulations!$I$3:$I$62,MATCH($A101,Simulations!$A$3:$A$62,0))&gt;0,2*PI()*INDEX(Simulations!$T$3:$T$62,MATCH($A101,Simulations!$A$3:$A$62,0))^2*INDEX(Simulations!$U$3:$U$62,MATCH($A101,Simulations!$A$3:$A$62,0))/2^1.5*(2/3*LN($H101/INDEX(Simulations!$J$3:$J$62,MATCH($A101,Simulations!$A$3:$A$62,0)))^1.5+SQRT(LN($H101/INDEX(Simulations!$J$3:$J$62,MATCH($A101,Simulations!$A$3:$A$62,0))))+$H101/INDEX(Simulations!$J$3:$J$62,MATCH($A101,Simulations!$A$3:$A$62,0))*SQRT(PI())/2*ERFC(SQRT(LN($H101/INDEX(Simulations!$J$3:$J$62,MATCH($A101,Simulations!$A$3:$A$62,0)))))),PI()*INDEX(Simulations!$T$3:$T$62,MATCH($A101,Simulations!$A$3:$A$62,0))^2/2*(LN($H101/INDEX(Simulations!$J$3:$J$62,MATCH($A101,Simulations!$A$3:$A$62,0)))+1)))))</f>
        <v/>
      </c>
      <c r="U101" s="18" t="str">
        <f aca="false">IF(OR(OR($A101="",ISNA(MATCH($A101,Simulations!$A$3:$A$62,0))),N($C101)&lt;=0),"",SQRT(2*$C101*1000000/(INDEX(Simulations!$J$3:$J$62,MATCH($A101,Simulations!$A$3:$A$62,0))*1000))/INDEX(Simulations!$T$3:$T$62,MATCH($A101,Simulations!$A$3:$A$62,0)))</f>
        <v/>
      </c>
      <c r="V101" s="19" t="str">
        <f aca="false">IF($A101="","",IF(ISNA(MATCH($A101,Simulations!$A$3:$A$62,0)),"✖ Sim ID not found on the Simulations sheet",IF($P101&gt;=1,"✖ brightness &gt;= sampling frequency: completely saturated (D too small, c too large)",IF($P101&gt;0.1,"⚠ brightness &gt; 10% of the sampling frequency: focus starts to saturate",IF(N($U101)&gt;0.1,"⚠ diffusion step &gt; 10% of wr: raise the sampling frequency",IF(MAX($E101:$H101)=0,"⚠ no brightness set","✔ OK"))))))</f>
        <v/>
      </c>
    </row>
    <row r="102" customFormat="false" ht="15" hidden="false" customHeight="false" outlineLevel="0" collapsed="false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4"/>
      <c r="O102" s="18" t="str">
        <f aca="false">IF(OR($A102="",ISNA(MATCH($A102,Simulations!$A$3:$A$62,0))),"",IF(INDEX(Simulations!$I$3:$I$62,MATCH($A102,Simulations!$A$3:$A$62,0))&gt;0,$D102/(INDEX(Simulations!$G$3:$G$62,MATCH($A102,Simulations!$A$3:$A$62,0))*INDEX(Simulations!$H$3:$H$62,MATCH($A102,Simulations!$A$3:$A$62,0))*IF(INDEX(Simulations!$I$3:$I$62,MATCH($A102,Simulations!$A$3:$A$62,0))&gt;0,INDEX(Simulations!$I$3:$I$62,MATCH($A102,Simulations!$A$3:$A$62,0)),1))/1E-024/6.022E+023/0.000000001,""))</f>
        <v/>
      </c>
      <c r="P102" s="20" t="str">
        <f aca="false">IF(OR($A102="",ISNA(MATCH($A102,Simulations!$A$3:$A$62,0))),"",MAX($E102:$H102)/INDEX(Simulations!$J$3:$J$62,MATCH($A102,Simulations!$A$3:$A$62,0)))</f>
        <v/>
      </c>
      <c r="Q102" s="16" t="str">
        <f aca="false">IF(OR($A102="",ISNA(MATCH($A102,Simulations!$A$3:$A$62,0))),"",IF(N($E102)&lt;=0,0,IF($E102&lt;INDEX(Simulations!$J$3:$J$62,MATCH($A102,Simulations!$A$3:$A$62,0)),$D102/(INDEX(Simulations!$G$3:$G$62,MATCH($A102,Simulations!$A$3:$A$62,0))*INDEX(Simulations!$H$3:$H$62,MATCH($A102,Simulations!$A$3:$A$62,0))*IF(INDEX(Simulations!$I$3:$I$62,MATCH($A102,Simulations!$A$3:$A$62,0))&gt;0,INDEX(Simulations!$I$3:$I$62,MATCH($A102,Simulations!$A$3:$A$62,0)),1))*$E102*(PI()/2*INDEX(Simulations!$T$3:$T$62,MATCH($A102,Simulations!$A$3:$A$62,0))^2*IF(INDEX(Simulations!$I$3:$I$62,MATCH($A102,Simulations!$A$3:$A$62,0))&gt;0,SQRT(PI()/2)*INDEX(Simulations!$U$3:$U$62,MATCH($A102,Simulations!$A$3:$A$62,0)),1)),$D102/(INDEX(Simulations!$G$3:$G$62,MATCH($A102,Simulations!$A$3:$A$62,0))*INDEX(Simulations!$H$3:$H$62,MATCH($A102,Simulations!$A$3:$A$62,0))*IF(INDEX(Simulations!$I$3:$I$62,MATCH($A102,Simulations!$A$3:$A$62,0))&gt;0,INDEX(Simulations!$I$3:$I$62,MATCH($A102,Simulations!$A$3:$A$62,0)),1))*INDEX(Simulations!$J$3:$J$62,MATCH($A102,Simulations!$A$3:$A$62,0))*IF(INDEX(Simulations!$I$3:$I$62,MATCH($A102,Simulations!$A$3:$A$62,0))&gt;0,2*PI()*INDEX(Simulations!$T$3:$T$62,MATCH($A102,Simulations!$A$3:$A$62,0))^2*INDEX(Simulations!$U$3:$U$62,MATCH($A102,Simulations!$A$3:$A$62,0))/2^1.5*(2/3*LN($E102/INDEX(Simulations!$J$3:$J$62,MATCH($A102,Simulations!$A$3:$A$62,0)))^1.5+SQRT(LN($E102/INDEX(Simulations!$J$3:$J$62,MATCH($A102,Simulations!$A$3:$A$62,0))))+$E102/INDEX(Simulations!$J$3:$J$62,MATCH($A102,Simulations!$A$3:$A$62,0))*SQRT(PI())/2*ERFC(SQRT(LN($E102/INDEX(Simulations!$J$3:$J$62,MATCH($A102,Simulations!$A$3:$A$62,0)))))),PI()*INDEX(Simulations!$T$3:$T$62,MATCH($A102,Simulations!$A$3:$A$62,0))^2/2*(LN($E102/INDEX(Simulations!$J$3:$J$62,MATCH($A102,Simulations!$A$3:$A$62,0)))+1)))))</f>
        <v/>
      </c>
      <c r="R102" s="16" t="str">
        <f aca="false">IF(OR($A102="",ISNA(MATCH($A102,Simulations!$A$3:$A$62,0))),"",IF(N($F102)&lt;=0,0,IF($F102&lt;INDEX(Simulations!$J$3:$J$62,MATCH($A102,Simulations!$A$3:$A$62,0)),$D102/(INDEX(Simulations!$G$3:$G$62,MATCH($A102,Simulations!$A$3:$A$62,0))*INDEX(Simulations!$H$3:$H$62,MATCH($A102,Simulations!$A$3:$A$62,0))*IF(INDEX(Simulations!$I$3:$I$62,MATCH($A102,Simulations!$A$3:$A$62,0))&gt;0,INDEX(Simulations!$I$3:$I$62,MATCH($A102,Simulations!$A$3:$A$62,0)),1))*$F102*(PI()/2*INDEX(Simulations!$T$3:$T$62,MATCH($A102,Simulations!$A$3:$A$62,0))^2*IF(INDEX(Simulations!$I$3:$I$62,MATCH($A102,Simulations!$A$3:$A$62,0))&gt;0,SQRT(PI()/2)*INDEX(Simulations!$U$3:$U$62,MATCH($A102,Simulations!$A$3:$A$62,0)),1)),$D102/(INDEX(Simulations!$G$3:$G$62,MATCH($A102,Simulations!$A$3:$A$62,0))*INDEX(Simulations!$H$3:$H$62,MATCH($A102,Simulations!$A$3:$A$62,0))*IF(INDEX(Simulations!$I$3:$I$62,MATCH($A102,Simulations!$A$3:$A$62,0))&gt;0,INDEX(Simulations!$I$3:$I$62,MATCH($A102,Simulations!$A$3:$A$62,0)),1))*INDEX(Simulations!$J$3:$J$62,MATCH($A102,Simulations!$A$3:$A$62,0))*IF(INDEX(Simulations!$I$3:$I$62,MATCH($A102,Simulations!$A$3:$A$62,0))&gt;0,2*PI()*INDEX(Simulations!$T$3:$T$62,MATCH($A102,Simulations!$A$3:$A$62,0))^2*INDEX(Simulations!$U$3:$U$62,MATCH($A102,Simulations!$A$3:$A$62,0))/2^1.5*(2/3*LN($F102/INDEX(Simulations!$J$3:$J$62,MATCH($A102,Simulations!$A$3:$A$62,0)))^1.5+SQRT(LN($F102/INDEX(Simulations!$J$3:$J$62,MATCH($A102,Simulations!$A$3:$A$62,0))))+$F102/INDEX(Simulations!$J$3:$J$62,MATCH($A102,Simulations!$A$3:$A$62,0))*SQRT(PI())/2*ERFC(SQRT(LN($F102/INDEX(Simulations!$J$3:$J$62,MATCH($A102,Simulations!$A$3:$A$62,0)))))),PI()*INDEX(Simulations!$T$3:$T$62,MATCH($A102,Simulations!$A$3:$A$62,0))^2/2*(LN($F102/INDEX(Simulations!$J$3:$J$62,MATCH($A102,Simulations!$A$3:$A$62,0)))+1)))))</f>
        <v/>
      </c>
      <c r="S102" s="16" t="str">
        <f aca="false">IF(OR($A102="",ISNA(MATCH($A102,Simulations!$A$3:$A$62,0))),"",IF(N($G102)&lt;=0,0,IF($G102&lt;INDEX(Simulations!$J$3:$J$62,MATCH($A102,Simulations!$A$3:$A$62,0)),$D102/(INDEX(Simulations!$G$3:$G$62,MATCH($A102,Simulations!$A$3:$A$62,0))*INDEX(Simulations!$H$3:$H$62,MATCH($A102,Simulations!$A$3:$A$62,0))*IF(INDEX(Simulations!$I$3:$I$62,MATCH($A102,Simulations!$A$3:$A$62,0))&gt;0,INDEX(Simulations!$I$3:$I$62,MATCH($A102,Simulations!$A$3:$A$62,0)),1))*$G102*(PI()/2*INDEX(Simulations!$T$3:$T$62,MATCH($A102,Simulations!$A$3:$A$62,0))^2*IF(INDEX(Simulations!$I$3:$I$62,MATCH($A102,Simulations!$A$3:$A$62,0))&gt;0,SQRT(PI()/2)*INDEX(Simulations!$U$3:$U$62,MATCH($A102,Simulations!$A$3:$A$62,0)),1)),$D102/(INDEX(Simulations!$G$3:$G$62,MATCH($A102,Simulations!$A$3:$A$62,0))*INDEX(Simulations!$H$3:$H$62,MATCH($A102,Simulations!$A$3:$A$62,0))*IF(INDEX(Simulations!$I$3:$I$62,MATCH($A102,Simulations!$A$3:$A$62,0))&gt;0,INDEX(Simulations!$I$3:$I$62,MATCH($A102,Simulations!$A$3:$A$62,0)),1))*INDEX(Simulations!$J$3:$J$62,MATCH($A102,Simulations!$A$3:$A$62,0))*IF(INDEX(Simulations!$I$3:$I$62,MATCH($A102,Simulations!$A$3:$A$62,0))&gt;0,2*PI()*INDEX(Simulations!$T$3:$T$62,MATCH($A102,Simulations!$A$3:$A$62,0))^2*INDEX(Simulations!$U$3:$U$62,MATCH($A102,Simulations!$A$3:$A$62,0))/2^1.5*(2/3*LN($G102/INDEX(Simulations!$J$3:$J$62,MATCH($A102,Simulations!$A$3:$A$62,0)))^1.5+SQRT(LN($G102/INDEX(Simulations!$J$3:$J$62,MATCH($A102,Simulations!$A$3:$A$62,0))))+$G102/INDEX(Simulations!$J$3:$J$62,MATCH($A102,Simulations!$A$3:$A$62,0))*SQRT(PI())/2*ERFC(SQRT(LN($G102/INDEX(Simulations!$J$3:$J$62,MATCH($A102,Simulations!$A$3:$A$62,0)))))),PI()*INDEX(Simulations!$T$3:$T$62,MATCH($A102,Simulations!$A$3:$A$62,0))^2/2*(LN($G102/INDEX(Simulations!$J$3:$J$62,MATCH($A102,Simulations!$A$3:$A$62,0)))+1)))))</f>
        <v/>
      </c>
      <c r="T102" s="16" t="str">
        <f aca="false">IF(OR($A102="",ISNA(MATCH($A102,Simulations!$A$3:$A$62,0))),"",IF(N($H102)&lt;=0,0,IF($H102&lt;INDEX(Simulations!$J$3:$J$62,MATCH($A102,Simulations!$A$3:$A$62,0)),$D102/(INDEX(Simulations!$G$3:$G$62,MATCH($A102,Simulations!$A$3:$A$62,0))*INDEX(Simulations!$H$3:$H$62,MATCH($A102,Simulations!$A$3:$A$62,0))*IF(INDEX(Simulations!$I$3:$I$62,MATCH($A102,Simulations!$A$3:$A$62,0))&gt;0,INDEX(Simulations!$I$3:$I$62,MATCH($A102,Simulations!$A$3:$A$62,0)),1))*$H102*(PI()/2*INDEX(Simulations!$T$3:$T$62,MATCH($A102,Simulations!$A$3:$A$62,0))^2*IF(INDEX(Simulations!$I$3:$I$62,MATCH($A102,Simulations!$A$3:$A$62,0))&gt;0,SQRT(PI()/2)*INDEX(Simulations!$U$3:$U$62,MATCH($A102,Simulations!$A$3:$A$62,0)),1)),$D102/(INDEX(Simulations!$G$3:$G$62,MATCH($A102,Simulations!$A$3:$A$62,0))*INDEX(Simulations!$H$3:$H$62,MATCH($A102,Simulations!$A$3:$A$62,0))*IF(INDEX(Simulations!$I$3:$I$62,MATCH($A102,Simulations!$A$3:$A$62,0))&gt;0,INDEX(Simulations!$I$3:$I$62,MATCH($A102,Simulations!$A$3:$A$62,0)),1))*INDEX(Simulations!$J$3:$J$62,MATCH($A102,Simulations!$A$3:$A$62,0))*IF(INDEX(Simulations!$I$3:$I$62,MATCH($A102,Simulations!$A$3:$A$62,0))&gt;0,2*PI()*INDEX(Simulations!$T$3:$T$62,MATCH($A102,Simulations!$A$3:$A$62,0))^2*INDEX(Simulations!$U$3:$U$62,MATCH($A102,Simulations!$A$3:$A$62,0))/2^1.5*(2/3*LN($H102/INDEX(Simulations!$J$3:$J$62,MATCH($A102,Simulations!$A$3:$A$62,0)))^1.5+SQRT(LN($H102/INDEX(Simulations!$J$3:$J$62,MATCH($A102,Simulations!$A$3:$A$62,0))))+$H102/INDEX(Simulations!$J$3:$J$62,MATCH($A102,Simulations!$A$3:$A$62,0))*SQRT(PI())/2*ERFC(SQRT(LN($H102/INDEX(Simulations!$J$3:$J$62,MATCH($A102,Simulations!$A$3:$A$62,0)))))),PI()*INDEX(Simulations!$T$3:$T$62,MATCH($A102,Simulations!$A$3:$A$62,0))^2/2*(LN($H102/INDEX(Simulations!$J$3:$J$62,MATCH($A102,Simulations!$A$3:$A$62,0)))+1)))))</f>
        <v/>
      </c>
      <c r="U102" s="18" t="str">
        <f aca="false">IF(OR(OR($A102="",ISNA(MATCH($A102,Simulations!$A$3:$A$62,0))),N($C102)&lt;=0),"",SQRT(2*$C102*1000000/(INDEX(Simulations!$J$3:$J$62,MATCH($A102,Simulations!$A$3:$A$62,0))*1000))/INDEX(Simulations!$T$3:$T$62,MATCH($A102,Simulations!$A$3:$A$62,0)))</f>
        <v/>
      </c>
      <c r="V102" s="19" t="str">
        <f aca="false">IF($A102="","",IF(ISNA(MATCH($A102,Simulations!$A$3:$A$62,0)),"✖ Sim ID not found on the Simulations sheet",IF($P102&gt;=1,"✖ brightness &gt;= sampling frequency: completely saturated (D too small, c too large)",IF($P102&gt;0.1,"⚠ brightness &gt; 10% of the sampling frequency: focus starts to saturate",IF(N($U102)&gt;0.1,"⚠ diffusion step &gt; 10% of wr: raise the sampling frequency",IF(MAX($E102:$H102)=0,"⚠ no brightness set","✔ OK"))))))</f>
        <v/>
      </c>
    </row>
    <row r="103" customFormat="false" ht="15" hidden="false" customHeight="false" outlineLevel="0" collapsed="false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4"/>
      <c r="O103" s="18" t="str">
        <f aca="false">IF(OR($A103="",ISNA(MATCH($A103,Simulations!$A$3:$A$62,0))),"",IF(INDEX(Simulations!$I$3:$I$62,MATCH($A103,Simulations!$A$3:$A$62,0))&gt;0,$D103/(INDEX(Simulations!$G$3:$G$62,MATCH($A103,Simulations!$A$3:$A$62,0))*INDEX(Simulations!$H$3:$H$62,MATCH($A103,Simulations!$A$3:$A$62,0))*IF(INDEX(Simulations!$I$3:$I$62,MATCH($A103,Simulations!$A$3:$A$62,0))&gt;0,INDEX(Simulations!$I$3:$I$62,MATCH($A103,Simulations!$A$3:$A$62,0)),1))/1E-024/6.022E+023/0.000000001,""))</f>
        <v/>
      </c>
      <c r="P103" s="20" t="str">
        <f aca="false">IF(OR($A103="",ISNA(MATCH($A103,Simulations!$A$3:$A$62,0))),"",MAX($E103:$H103)/INDEX(Simulations!$J$3:$J$62,MATCH($A103,Simulations!$A$3:$A$62,0)))</f>
        <v/>
      </c>
      <c r="Q103" s="16" t="str">
        <f aca="false">IF(OR($A103="",ISNA(MATCH($A103,Simulations!$A$3:$A$62,0))),"",IF(N($E103)&lt;=0,0,IF($E103&lt;INDEX(Simulations!$J$3:$J$62,MATCH($A103,Simulations!$A$3:$A$62,0)),$D103/(INDEX(Simulations!$G$3:$G$62,MATCH($A103,Simulations!$A$3:$A$62,0))*INDEX(Simulations!$H$3:$H$62,MATCH($A103,Simulations!$A$3:$A$62,0))*IF(INDEX(Simulations!$I$3:$I$62,MATCH($A103,Simulations!$A$3:$A$62,0))&gt;0,INDEX(Simulations!$I$3:$I$62,MATCH($A103,Simulations!$A$3:$A$62,0)),1))*$E103*(PI()/2*INDEX(Simulations!$T$3:$T$62,MATCH($A103,Simulations!$A$3:$A$62,0))^2*IF(INDEX(Simulations!$I$3:$I$62,MATCH($A103,Simulations!$A$3:$A$62,0))&gt;0,SQRT(PI()/2)*INDEX(Simulations!$U$3:$U$62,MATCH($A103,Simulations!$A$3:$A$62,0)),1)),$D103/(INDEX(Simulations!$G$3:$G$62,MATCH($A103,Simulations!$A$3:$A$62,0))*INDEX(Simulations!$H$3:$H$62,MATCH($A103,Simulations!$A$3:$A$62,0))*IF(INDEX(Simulations!$I$3:$I$62,MATCH($A103,Simulations!$A$3:$A$62,0))&gt;0,INDEX(Simulations!$I$3:$I$62,MATCH($A103,Simulations!$A$3:$A$62,0)),1))*INDEX(Simulations!$J$3:$J$62,MATCH($A103,Simulations!$A$3:$A$62,0))*IF(INDEX(Simulations!$I$3:$I$62,MATCH($A103,Simulations!$A$3:$A$62,0))&gt;0,2*PI()*INDEX(Simulations!$T$3:$T$62,MATCH($A103,Simulations!$A$3:$A$62,0))^2*INDEX(Simulations!$U$3:$U$62,MATCH($A103,Simulations!$A$3:$A$62,0))/2^1.5*(2/3*LN($E103/INDEX(Simulations!$J$3:$J$62,MATCH($A103,Simulations!$A$3:$A$62,0)))^1.5+SQRT(LN($E103/INDEX(Simulations!$J$3:$J$62,MATCH($A103,Simulations!$A$3:$A$62,0))))+$E103/INDEX(Simulations!$J$3:$J$62,MATCH($A103,Simulations!$A$3:$A$62,0))*SQRT(PI())/2*ERFC(SQRT(LN($E103/INDEX(Simulations!$J$3:$J$62,MATCH($A103,Simulations!$A$3:$A$62,0)))))),PI()*INDEX(Simulations!$T$3:$T$62,MATCH($A103,Simulations!$A$3:$A$62,0))^2/2*(LN($E103/INDEX(Simulations!$J$3:$J$62,MATCH($A103,Simulations!$A$3:$A$62,0)))+1)))))</f>
        <v/>
      </c>
      <c r="R103" s="16" t="str">
        <f aca="false">IF(OR($A103="",ISNA(MATCH($A103,Simulations!$A$3:$A$62,0))),"",IF(N($F103)&lt;=0,0,IF($F103&lt;INDEX(Simulations!$J$3:$J$62,MATCH($A103,Simulations!$A$3:$A$62,0)),$D103/(INDEX(Simulations!$G$3:$G$62,MATCH($A103,Simulations!$A$3:$A$62,0))*INDEX(Simulations!$H$3:$H$62,MATCH($A103,Simulations!$A$3:$A$62,0))*IF(INDEX(Simulations!$I$3:$I$62,MATCH($A103,Simulations!$A$3:$A$62,0))&gt;0,INDEX(Simulations!$I$3:$I$62,MATCH($A103,Simulations!$A$3:$A$62,0)),1))*$F103*(PI()/2*INDEX(Simulations!$T$3:$T$62,MATCH($A103,Simulations!$A$3:$A$62,0))^2*IF(INDEX(Simulations!$I$3:$I$62,MATCH($A103,Simulations!$A$3:$A$62,0))&gt;0,SQRT(PI()/2)*INDEX(Simulations!$U$3:$U$62,MATCH($A103,Simulations!$A$3:$A$62,0)),1)),$D103/(INDEX(Simulations!$G$3:$G$62,MATCH($A103,Simulations!$A$3:$A$62,0))*INDEX(Simulations!$H$3:$H$62,MATCH($A103,Simulations!$A$3:$A$62,0))*IF(INDEX(Simulations!$I$3:$I$62,MATCH($A103,Simulations!$A$3:$A$62,0))&gt;0,INDEX(Simulations!$I$3:$I$62,MATCH($A103,Simulations!$A$3:$A$62,0)),1))*INDEX(Simulations!$J$3:$J$62,MATCH($A103,Simulations!$A$3:$A$62,0))*IF(INDEX(Simulations!$I$3:$I$62,MATCH($A103,Simulations!$A$3:$A$62,0))&gt;0,2*PI()*INDEX(Simulations!$T$3:$T$62,MATCH($A103,Simulations!$A$3:$A$62,0))^2*INDEX(Simulations!$U$3:$U$62,MATCH($A103,Simulations!$A$3:$A$62,0))/2^1.5*(2/3*LN($F103/INDEX(Simulations!$J$3:$J$62,MATCH($A103,Simulations!$A$3:$A$62,0)))^1.5+SQRT(LN($F103/INDEX(Simulations!$J$3:$J$62,MATCH($A103,Simulations!$A$3:$A$62,0))))+$F103/INDEX(Simulations!$J$3:$J$62,MATCH($A103,Simulations!$A$3:$A$62,0))*SQRT(PI())/2*ERFC(SQRT(LN($F103/INDEX(Simulations!$J$3:$J$62,MATCH($A103,Simulations!$A$3:$A$62,0)))))),PI()*INDEX(Simulations!$T$3:$T$62,MATCH($A103,Simulations!$A$3:$A$62,0))^2/2*(LN($F103/INDEX(Simulations!$J$3:$J$62,MATCH($A103,Simulations!$A$3:$A$62,0)))+1)))))</f>
        <v/>
      </c>
      <c r="S103" s="16" t="str">
        <f aca="false">IF(OR($A103="",ISNA(MATCH($A103,Simulations!$A$3:$A$62,0))),"",IF(N($G103)&lt;=0,0,IF($G103&lt;INDEX(Simulations!$J$3:$J$62,MATCH($A103,Simulations!$A$3:$A$62,0)),$D103/(INDEX(Simulations!$G$3:$G$62,MATCH($A103,Simulations!$A$3:$A$62,0))*INDEX(Simulations!$H$3:$H$62,MATCH($A103,Simulations!$A$3:$A$62,0))*IF(INDEX(Simulations!$I$3:$I$62,MATCH($A103,Simulations!$A$3:$A$62,0))&gt;0,INDEX(Simulations!$I$3:$I$62,MATCH($A103,Simulations!$A$3:$A$62,0)),1))*$G103*(PI()/2*INDEX(Simulations!$T$3:$T$62,MATCH($A103,Simulations!$A$3:$A$62,0))^2*IF(INDEX(Simulations!$I$3:$I$62,MATCH($A103,Simulations!$A$3:$A$62,0))&gt;0,SQRT(PI()/2)*INDEX(Simulations!$U$3:$U$62,MATCH($A103,Simulations!$A$3:$A$62,0)),1)),$D103/(INDEX(Simulations!$G$3:$G$62,MATCH($A103,Simulations!$A$3:$A$62,0))*INDEX(Simulations!$H$3:$H$62,MATCH($A103,Simulations!$A$3:$A$62,0))*IF(INDEX(Simulations!$I$3:$I$62,MATCH($A103,Simulations!$A$3:$A$62,0))&gt;0,INDEX(Simulations!$I$3:$I$62,MATCH($A103,Simulations!$A$3:$A$62,0)),1))*INDEX(Simulations!$J$3:$J$62,MATCH($A103,Simulations!$A$3:$A$62,0))*IF(INDEX(Simulations!$I$3:$I$62,MATCH($A103,Simulations!$A$3:$A$62,0))&gt;0,2*PI()*INDEX(Simulations!$T$3:$T$62,MATCH($A103,Simulations!$A$3:$A$62,0))^2*INDEX(Simulations!$U$3:$U$62,MATCH($A103,Simulations!$A$3:$A$62,0))/2^1.5*(2/3*LN($G103/INDEX(Simulations!$J$3:$J$62,MATCH($A103,Simulations!$A$3:$A$62,0)))^1.5+SQRT(LN($G103/INDEX(Simulations!$J$3:$J$62,MATCH($A103,Simulations!$A$3:$A$62,0))))+$G103/INDEX(Simulations!$J$3:$J$62,MATCH($A103,Simulations!$A$3:$A$62,0))*SQRT(PI())/2*ERFC(SQRT(LN($G103/INDEX(Simulations!$J$3:$J$62,MATCH($A103,Simulations!$A$3:$A$62,0)))))),PI()*INDEX(Simulations!$T$3:$T$62,MATCH($A103,Simulations!$A$3:$A$62,0))^2/2*(LN($G103/INDEX(Simulations!$J$3:$J$62,MATCH($A103,Simulations!$A$3:$A$62,0)))+1)))))</f>
        <v/>
      </c>
      <c r="T103" s="16" t="str">
        <f aca="false">IF(OR($A103="",ISNA(MATCH($A103,Simulations!$A$3:$A$62,0))),"",IF(N($H103)&lt;=0,0,IF($H103&lt;INDEX(Simulations!$J$3:$J$62,MATCH($A103,Simulations!$A$3:$A$62,0)),$D103/(INDEX(Simulations!$G$3:$G$62,MATCH($A103,Simulations!$A$3:$A$62,0))*INDEX(Simulations!$H$3:$H$62,MATCH($A103,Simulations!$A$3:$A$62,0))*IF(INDEX(Simulations!$I$3:$I$62,MATCH($A103,Simulations!$A$3:$A$62,0))&gt;0,INDEX(Simulations!$I$3:$I$62,MATCH($A103,Simulations!$A$3:$A$62,0)),1))*$H103*(PI()/2*INDEX(Simulations!$T$3:$T$62,MATCH($A103,Simulations!$A$3:$A$62,0))^2*IF(INDEX(Simulations!$I$3:$I$62,MATCH($A103,Simulations!$A$3:$A$62,0))&gt;0,SQRT(PI()/2)*INDEX(Simulations!$U$3:$U$62,MATCH($A103,Simulations!$A$3:$A$62,0)),1)),$D103/(INDEX(Simulations!$G$3:$G$62,MATCH($A103,Simulations!$A$3:$A$62,0))*INDEX(Simulations!$H$3:$H$62,MATCH($A103,Simulations!$A$3:$A$62,0))*IF(INDEX(Simulations!$I$3:$I$62,MATCH($A103,Simulations!$A$3:$A$62,0))&gt;0,INDEX(Simulations!$I$3:$I$62,MATCH($A103,Simulations!$A$3:$A$62,0)),1))*INDEX(Simulations!$J$3:$J$62,MATCH($A103,Simulations!$A$3:$A$62,0))*IF(INDEX(Simulations!$I$3:$I$62,MATCH($A103,Simulations!$A$3:$A$62,0))&gt;0,2*PI()*INDEX(Simulations!$T$3:$T$62,MATCH($A103,Simulations!$A$3:$A$62,0))^2*INDEX(Simulations!$U$3:$U$62,MATCH($A103,Simulations!$A$3:$A$62,0))/2^1.5*(2/3*LN($H103/INDEX(Simulations!$J$3:$J$62,MATCH($A103,Simulations!$A$3:$A$62,0)))^1.5+SQRT(LN($H103/INDEX(Simulations!$J$3:$J$62,MATCH($A103,Simulations!$A$3:$A$62,0))))+$H103/INDEX(Simulations!$J$3:$J$62,MATCH($A103,Simulations!$A$3:$A$62,0))*SQRT(PI())/2*ERFC(SQRT(LN($H103/INDEX(Simulations!$J$3:$J$62,MATCH($A103,Simulations!$A$3:$A$62,0)))))),PI()*INDEX(Simulations!$T$3:$T$62,MATCH($A103,Simulations!$A$3:$A$62,0))^2/2*(LN($H103/INDEX(Simulations!$J$3:$J$62,MATCH($A103,Simulations!$A$3:$A$62,0)))+1)))))</f>
        <v/>
      </c>
      <c r="U103" s="18" t="str">
        <f aca="false">IF(OR(OR($A103="",ISNA(MATCH($A103,Simulations!$A$3:$A$62,0))),N($C103)&lt;=0),"",SQRT(2*$C103*1000000/(INDEX(Simulations!$J$3:$J$62,MATCH($A103,Simulations!$A$3:$A$62,0))*1000))/INDEX(Simulations!$T$3:$T$62,MATCH($A103,Simulations!$A$3:$A$62,0)))</f>
        <v/>
      </c>
      <c r="V103" s="19" t="str">
        <f aca="false">IF($A103="","",IF(ISNA(MATCH($A103,Simulations!$A$3:$A$62,0)),"✖ Sim ID not found on the Simulations sheet",IF($P103&gt;=1,"✖ brightness &gt;= sampling frequency: completely saturated (D too small, c too large)",IF($P103&gt;0.1,"⚠ brightness &gt; 10% of the sampling frequency: focus starts to saturate",IF(N($U103)&gt;0.1,"⚠ diffusion step &gt; 10% of wr: raise the sampling frequency",IF(MAX($E103:$H103)=0,"⚠ no brightness set","✔ OK"))))))</f>
        <v/>
      </c>
    </row>
    <row r="104" customFormat="false" ht="15" hidden="false" customHeight="false" outlineLevel="0" collapsed="false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4"/>
      <c r="O104" s="18" t="str">
        <f aca="false">IF(OR($A104="",ISNA(MATCH($A104,Simulations!$A$3:$A$62,0))),"",IF(INDEX(Simulations!$I$3:$I$62,MATCH($A104,Simulations!$A$3:$A$62,0))&gt;0,$D104/(INDEX(Simulations!$G$3:$G$62,MATCH($A104,Simulations!$A$3:$A$62,0))*INDEX(Simulations!$H$3:$H$62,MATCH($A104,Simulations!$A$3:$A$62,0))*IF(INDEX(Simulations!$I$3:$I$62,MATCH($A104,Simulations!$A$3:$A$62,0))&gt;0,INDEX(Simulations!$I$3:$I$62,MATCH($A104,Simulations!$A$3:$A$62,0)),1))/1E-024/6.022E+023/0.000000001,""))</f>
        <v/>
      </c>
      <c r="P104" s="20" t="str">
        <f aca="false">IF(OR($A104="",ISNA(MATCH($A104,Simulations!$A$3:$A$62,0))),"",MAX($E104:$H104)/INDEX(Simulations!$J$3:$J$62,MATCH($A104,Simulations!$A$3:$A$62,0)))</f>
        <v/>
      </c>
      <c r="Q104" s="16" t="str">
        <f aca="false">IF(OR($A104="",ISNA(MATCH($A104,Simulations!$A$3:$A$62,0))),"",IF(N($E104)&lt;=0,0,IF($E104&lt;INDEX(Simulations!$J$3:$J$62,MATCH($A104,Simulations!$A$3:$A$62,0)),$D104/(INDEX(Simulations!$G$3:$G$62,MATCH($A104,Simulations!$A$3:$A$62,0))*INDEX(Simulations!$H$3:$H$62,MATCH($A104,Simulations!$A$3:$A$62,0))*IF(INDEX(Simulations!$I$3:$I$62,MATCH($A104,Simulations!$A$3:$A$62,0))&gt;0,INDEX(Simulations!$I$3:$I$62,MATCH($A104,Simulations!$A$3:$A$62,0)),1))*$E104*(PI()/2*INDEX(Simulations!$T$3:$T$62,MATCH($A104,Simulations!$A$3:$A$62,0))^2*IF(INDEX(Simulations!$I$3:$I$62,MATCH($A104,Simulations!$A$3:$A$62,0))&gt;0,SQRT(PI()/2)*INDEX(Simulations!$U$3:$U$62,MATCH($A104,Simulations!$A$3:$A$62,0)),1)),$D104/(INDEX(Simulations!$G$3:$G$62,MATCH($A104,Simulations!$A$3:$A$62,0))*INDEX(Simulations!$H$3:$H$62,MATCH($A104,Simulations!$A$3:$A$62,0))*IF(INDEX(Simulations!$I$3:$I$62,MATCH($A104,Simulations!$A$3:$A$62,0))&gt;0,INDEX(Simulations!$I$3:$I$62,MATCH($A104,Simulations!$A$3:$A$62,0)),1))*INDEX(Simulations!$J$3:$J$62,MATCH($A104,Simulations!$A$3:$A$62,0))*IF(INDEX(Simulations!$I$3:$I$62,MATCH($A104,Simulations!$A$3:$A$62,0))&gt;0,2*PI()*INDEX(Simulations!$T$3:$T$62,MATCH($A104,Simulations!$A$3:$A$62,0))^2*INDEX(Simulations!$U$3:$U$62,MATCH($A104,Simulations!$A$3:$A$62,0))/2^1.5*(2/3*LN($E104/INDEX(Simulations!$J$3:$J$62,MATCH($A104,Simulations!$A$3:$A$62,0)))^1.5+SQRT(LN($E104/INDEX(Simulations!$J$3:$J$62,MATCH($A104,Simulations!$A$3:$A$62,0))))+$E104/INDEX(Simulations!$J$3:$J$62,MATCH($A104,Simulations!$A$3:$A$62,0))*SQRT(PI())/2*ERFC(SQRT(LN($E104/INDEX(Simulations!$J$3:$J$62,MATCH($A104,Simulations!$A$3:$A$62,0)))))),PI()*INDEX(Simulations!$T$3:$T$62,MATCH($A104,Simulations!$A$3:$A$62,0))^2/2*(LN($E104/INDEX(Simulations!$J$3:$J$62,MATCH($A104,Simulations!$A$3:$A$62,0)))+1)))))</f>
        <v/>
      </c>
      <c r="R104" s="16" t="str">
        <f aca="false">IF(OR($A104="",ISNA(MATCH($A104,Simulations!$A$3:$A$62,0))),"",IF(N($F104)&lt;=0,0,IF($F104&lt;INDEX(Simulations!$J$3:$J$62,MATCH($A104,Simulations!$A$3:$A$62,0)),$D104/(INDEX(Simulations!$G$3:$G$62,MATCH($A104,Simulations!$A$3:$A$62,0))*INDEX(Simulations!$H$3:$H$62,MATCH($A104,Simulations!$A$3:$A$62,0))*IF(INDEX(Simulations!$I$3:$I$62,MATCH($A104,Simulations!$A$3:$A$62,0))&gt;0,INDEX(Simulations!$I$3:$I$62,MATCH($A104,Simulations!$A$3:$A$62,0)),1))*$F104*(PI()/2*INDEX(Simulations!$T$3:$T$62,MATCH($A104,Simulations!$A$3:$A$62,0))^2*IF(INDEX(Simulations!$I$3:$I$62,MATCH($A104,Simulations!$A$3:$A$62,0))&gt;0,SQRT(PI()/2)*INDEX(Simulations!$U$3:$U$62,MATCH($A104,Simulations!$A$3:$A$62,0)),1)),$D104/(INDEX(Simulations!$G$3:$G$62,MATCH($A104,Simulations!$A$3:$A$62,0))*INDEX(Simulations!$H$3:$H$62,MATCH($A104,Simulations!$A$3:$A$62,0))*IF(INDEX(Simulations!$I$3:$I$62,MATCH($A104,Simulations!$A$3:$A$62,0))&gt;0,INDEX(Simulations!$I$3:$I$62,MATCH($A104,Simulations!$A$3:$A$62,0)),1))*INDEX(Simulations!$J$3:$J$62,MATCH($A104,Simulations!$A$3:$A$62,0))*IF(INDEX(Simulations!$I$3:$I$62,MATCH($A104,Simulations!$A$3:$A$62,0))&gt;0,2*PI()*INDEX(Simulations!$T$3:$T$62,MATCH($A104,Simulations!$A$3:$A$62,0))^2*INDEX(Simulations!$U$3:$U$62,MATCH($A104,Simulations!$A$3:$A$62,0))/2^1.5*(2/3*LN($F104/INDEX(Simulations!$J$3:$J$62,MATCH($A104,Simulations!$A$3:$A$62,0)))^1.5+SQRT(LN($F104/INDEX(Simulations!$J$3:$J$62,MATCH($A104,Simulations!$A$3:$A$62,0))))+$F104/INDEX(Simulations!$J$3:$J$62,MATCH($A104,Simulations!$A$3:$A$62,0))*SQRT(PI())/2*ERFC(SQRT(LN($F104/INDEX(Simulations!$J$3:$J$62,MATCH($A104,Simulations!$A$3:$A$62,0)))))),PI()*INDEX(Simulations!$T$3:$T$62,MATCH($A104,Simulations!$A$3:$A$62,0))^2/2*(LN($F104/INDEX(Simulations!$J$3:$J$62,MATCH($A104,Simulations!$A$3:$A$62,0)))+1)))))</f>
        <v/>
      </c>
      <c r="S104" s="16" t="str">
        <f aca="false">IF(OR($A104="",ISNA(MATCH($A104,Simulations!$A$3:$A$62,0))),"",IF(N($G104)&lt;=0,0,IF($G104&lt;INDEX(Simulations!$J$3:$J$62,MATCH($A104,Simulations!$A$3:$A$62,0)),$D104/(INDEX(Simulations!$G$3:$G$62,MATCH($A104,Simulations!$A$3:$A$62,0))*INDEX(Simulations!$H$3:$H$62,MATCH($A104,Simulations!$A$3:$A$62,0))*IF(INDEX(Simulations!$I$3:$I$62,MATCH($A104,Simulations!$A$3:$A$62,0))&gt;0,INDEX(Simulations!$I$3:$I$62,MATCH($A104,Simulations!$A$3:$A$62,0)),1))*$G104*(PI()/2*INDEX(Simulations!$T$3:$T$62,MATCH($A104,Simulations!$A$3:$A$62,0))^2*IF(INDEX(Simulations!$I$3:$I$62,MATCH($A104,Simulations!$A$3:$A$62,0))&gt;0,SQRT(PI()/2)*INDEX(Simulations!$U$3:$U$62,MATCH($A104,Simulations!$A$3:$A$62,0)),1)),$D104/(INDEX(Simulations!$G$3:$G$62,MATCH($A104,Simulations!$A$3:$A$62,0))*INDEX(Simulations!$H$3:$H$62,MATCH($A104,Simulations!$A$3:$A$62,0))*IF(INDEX(Simulations!$I$3:$I$62,MATCH($A104,Simulations!$A$3:$A$62,0))&gt;0,INDEX(Simulations!$I$3:$I$62,MATCH($A104,Simulations!$A$3:$A$62,0)),1))*INDEX(Simulations!$J$3:$J$62,MATCH($A104,Simulations!$A$3:$A$62,0))*IF(INDEX(Simulations!$I$3:$I$62,MATCH($A104,Simulations!$A$3:$A$62,0))&gt;0,2*PI()*INDEX(Simulations!$T$3:$T$62,MATCH($A104,Simulations!$A$3:$A$62,0))^2*INDEX(Simulations!$U$3:$U$62,MATCH($A104,Simulations!$A$3:$A$62,0))/2^1.5*(2/3*LN($G104/INDEX(Simulations!$J$3:$J$62,MATCH($A104,Simulations!$A$3:$A$62,0)))^1.5+SQRT(LN($G104/INDEX(Simulations!$J$3:$J$62,MATCH($A104,Simulations!$A$3:$A$62,0))))+$G104/INDEX(Simulations!$J$3:$J$62,MATCH($A104,Simulations!$A$3:$A$62,0))*SQRT(PI())/2*ERFC(SQRT(LN($G104/INDEX(Simulations!$J$3:$J$62,MATCH($A104,Simulations!$A$3:$A$62,0)))))),PI()*INDEX(Simulations!$T$3:$T$62,MATCH($A104,Simulations!$A$3:$A$62,0))^2/2*(LN($G104/INDEX(Simulations!$J$3:$J$62,MATCH($A104,Simulations!$A$3:$A$62,0)))+1)))))</f>
        <v/>
      </c>
      <c r="T104" s="16" t="str">
        <f aca="false">IF(OR($A104="",ISNA(MATCH($A104,Simulations!$A$3:$A$62,0))),"",IF(N($H104)&lt;=0,0,IF($H104&lt;INDEX(Simulations!$J$3:$J$62,MATCH($A104,Simulations!$A$3:$A$62,0)),$D104/(INDEX(Simulations!$G$3:$G$62,MATCH($A104,Simulations!$A$3:$A$62,0))*INDEX(Simulations!$H$3:$H$62,MATCH($A104,Simulations!$A$3:$A$62,0))*IF(INDEX(Simulations!$I$3:$I$62,MATCH($A104,Simulations!$A$3:$A$62,0))&gt;0,INDEX(Simulations!$I$3:$I$62,MATCH($A104,Simulations!$A$3:$A$62,0)),1))*$H104*(PI()/2*INDEX(Simulations!$T$3:$T$62,MATCH($A104,Simulations!$A$3:$A$62,0))^2*IF(INDEX(Simulations!$I$3:$I$62,MATCH($A104,Simulations!$A$3:$A$62,0))&gt;0,SQRT(PI()/2)*INDEX(Simulations!$U$3:$U$62,MATCH($A104,Simulations!$A$3:$A$62,0)),1)),$D104/(INDEX(Simulations!$G$3:$G$62,MATCH($A104,Simulations!$A$3:$A$62,0))*INDEX(Simulations!$H$3:$H$62,MATCH($A104,Simulations!$A$3:$A$62,0))*IF(INDEX(Simulations!$I$3:$I$62,MATCH($A104,Simulations!$A$3:$A$62,0))&gt;0,INDEX(Simulations!$I$3:$I$62,MATCH($A104,Simulations!$A$3:$A$62,0)),1))*INDEX(Simulations!$J$3:$J$62,MATCH($A104,Simulations!$A$3:$A$62,0))*IF(INDEX(Simulations!$I$3:$I$62,MATCH($A104,Simulations!$A$3:$A$62,0))&gt;0,2*PI()*INDEX(Simulations!$T$3:$T$62,MATCH($A104,Simulations!$A$3:$A$62,0))^2*INDEX(Simulations!$U$3:$U$62,MATCH($A104,Simulations!$A$3:$A$62,0))/2^1.5*(2/3*LN($H104/INDEX(Simulations!$J$3:$J$62,MATCH($A104,Simulations!$A$3:$A$62,0)))^1.5+SQRT(LN($H104/INDEX(Simulations!$J$3:$J$62,MATCH($A104,Simulations!$A$3:$A$62,0))))+$H104/INDEX(Simulations!$J$3:$J$62,MATCH($A104,Simulations!$A$3:$A$62,0))*SQRT(PI())/2*ERFC(SQRT(LN($H104/INDEX(Simulations!$J$3:$J$62,MATCH($A104,Simulations!$A$3:$A$62,0)))))),PI()*INDEX(Simulations!$T$3:$T$62,MATCH($A104,Simulations!$A$3:$A$62,0))^2/2*(LN($H104/INDEX(Simulations!$J$3:$J$62,MATCH($A104,Simulations!$A$3:$A$62,0)))+1)))))</f>
        <v/>
      </c>
      <c r="U104" s="18" t="str">
        <f aca="false">IF(OR(OR($A104="",ISNA(MATCH($A104,Simulations!$A$3:$A$62,0))),N($C104)&lt;=0),"",SQRT(2*$C104*1000000/(INDEX(Simulations!$J$3:$J$62,MATCH($A104,Simulations!$A$3:$A$62,0))*1000))/INDEX(Simulations!$T$3:$T$62,MATCH($A104,Simulations!$A$3:$A$62,0)))</f>
        <v/>
      </c>
      <c r="V104" s="19" t="str">
        <f aca="false">IF($A104="","",IF(ISNA(MATCH($A104,Simulations!$A$3:$A$62,0)),"✖ Sim ID not found on the Simulations sheet",IF($P104&gt;=1,"✖ brightness &gt;= sampling frequency: completely saturated (D too small, c too large)",IF($P104&gt;0.1,"⚠ brightness &gt; 10% of the sampling frequency: focus starts to saturate",IF(N($U104)&gt;0.1,"⚠ diffusion step &gt; 10% of wr: raise the sampling frequency",IF(MAX($E104:$H104)=0,"⚠ no brightness set","✔ OK"))))))</f>
        <v/>
      </c>
    </row>
    <row r="105" customFormat="false" ht="15" hidden="false" customHeight="false" outlineLevel="0" collapsed="false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4"/>
      <c r="O105" s="18" t="str">
        <f aca="false">IF(OR($A105="",ISNA(MATCH($A105,Simulations!$A$3:$A$62,0))),"",IF(INDEX(Simulations!$I$3:$I$62,MATCH($A105,Simulations!$A$3:$A$62,0))&gt;0,$D105/(INDEX(Simulations!$G$3:$G$62,MATCH($A105,Simulations!$A$3:$A$62,0))*INDEX(Simulations!$H$3:$H$62,MATCH($A105,Simulations!$A$3:$A$62,0))*IF(INDEX(Simulations!$I$3:$I$62,MATCH($A105,Simulations!$A$3:$A$62,0))&gt;0,INDEX(Simulations!$I$3:$I$62,MATCH($A105,Simulations!$A$3:$A$62,0)),1))/1E-024/6.022E+023/0.000000001,""))</f>
        <v/>
      </c>
      <c r="P105" s="20" t="str">
        <f aca="false">IF(OR($A105="",ISNA(MATCH($A105,Simulations!$A$3:$A$62,0))),"",MAX($E105:$H105)/INDEX(Simulations!$J$3:$J$62,MATCH($A105,Simulations!$A$3:$A$62,0)))</f>
        <v/>
      </c>
      <c r="Q105" s="16" t="str">
        <f aca="false">IF(OR($A105="",ISNA(MATCH($A105,Simulations!$A$3:$A$62,0))),"",IF(N($E105)&lt;=0,0,IF($E105&lt;INDEX(Simulations!$J$3:$J$62,MATCH($A105,Simulations!$A$3:$A$62,0)),$D105/(INDEX(Simulations!$G$3:$G$62,MATCH($A105,Simulations!$A$3:$A$62,0))*INDEX(Simulations!$H$3:$H$62,MATCH($A105,Simulations!$A$3:$A$62,0))*IF(INDEX(Simulations!$I$3:$I$62,MATCH($A105,Simulations!$A$3:$A$62,0))&gt;0,INDEX(Simulations!$I$3:$I$62,MATCH($A105,Simulations!$A$3:$A$62,0)),1))*$E105*(PI()/2*INDEX(Simulations!$T$3:$T$62,MATCH($A105,Simulations!$A$3:$A$62,0))^2*IF(INDEX(Simulations!$I$3:$I$62,MATCH($A105,Simulations!$A$3:$A$62,0))&gt;0,SQRT(PI()/2)*INDEX(Simulations!$U$3:$U$62,MATCH($A105,Simulations!$A$3:$A$62,0)),1)),$D105/(INDEX(Simulations!$G$3:$G$62,MATCH($A105,Simulations!$A$3:$A$62,0))*INDEX(Simulations!$H$3:$H$62,MATCH($A105,Simulations!$A$3:$A$62,0))*IF(INDEX(Simulations!$I$3:$I$62,MATCH($A105,Simulations!$A$3:$A$62,0))&gt;0,INDEX(Simulations!$I$3:$I$62,MATCH($A105,Simulations!$A$3:$A$62,0)),1))*INDEX(Simulations!$J$3:$J$62,MATCH($A105,Simulations!$A$3:$A$62,0))*IF(INDEX(Simulations!$I$3:$I$62,MATCH($A105,Simulations!$A$3:$A$62,0))&gt;0,2*PI()*INDEX(Simulations!$T$3:$T$62,MATCH($A105,Simulations!$A$3:$A$62,0))^2*INDEX(Simulations!$U$3:$U$62,MATCH($A105,Simulations!$A$3:$A$62,0))/2^1.5*(2/3*LN($E105/INDEX(Simulations!$J$3:$J$62,MATCH($A105,Simulations!$A$3:$A$62,0)))^1.5+SQRT(LN($E105/INDEX(Simulations!$J$3:$J$62,MATCH($A105,Simulations!$A$3:$A$62,0))))+$E105/INDEX(Simulations!$J$3:$J$62,MATCH($A105,Simulations!$A$3:$A$62,0))*SQRT(PI())/2*ERFC(SQRT(LN($E105/INDEX(Simulations!$J$3:$J$62,MATCH($A105,Simulations!$A$3:$A$62,0)))))),PI()*INDEX(Simulations!$T$3:$T$62,MATCH($A105,Simulations!$A$3:$A$62,0))^2/2*(LN($E105/INDEX(Simulations!$J$3:$J$62,MATCH($A105,Simulations!$A$3:$A$62,0)))+1)))))</f>
        <v/>
      </c>
      <c r="R105" s="16" t="str">
        <f aca="false">IF(OR($A105="",ISNA(MATCH($A105,Simulations!$A$3:$A$62,0))),"",IF(N($F105)&lt;=0,0,IF($F105&lt;INDEX(Simulations!$J$3:$J$62,MATCH($A105,Simulations!$A$3:$A$62,0)),$D105/(INDEX(Simulations!$G$3:$G$62,MATCH($A105,Simulations!$A$3:$A$62,0))*INDEX(Simulations!$H$3:$H$62,MATCH($A105,Simulations!$A$3:$A$62,0))*IF(INDEX(Simulations!$I$3:$I$62,MATCH($A105,Simulations!$A$3:$A$62,0))&gt;0,INDEX(Simulations!$I$3:$I$62,MATCH($A105,Simulations!$A$3:$A$62,0)),1))*$F105*(PI()/2*INDEX(Simulations!$T$3:$T$62,MATCH($A105,Simulations!$A$3:$A$62,0))^2*IF(INDEX(Simulations!$I$3:$I$62,MATCH($A105,Simulations!$A$3:$A$62,0))&gt;0,SQRT(PI()/2)*INDEX(Simulations!$U$3:$U$62,MATCH($A105,Simulations!$A$3:$A$62,0)),1)),$D105/(INDEX(Simulations!$G$3:$G$62,MATCH($A105,Simulations!$A$3:$A$62,0))*INDEX(Simulations!$H$3:$H$62,MATCH($A105,Simulations!$A$3:$A$62,0))*IF(INDEX(Simulations!$I$3:$I$62,MATCH($A105,Simulations!$A$3:$A$62,0))&gt;0,INDEX(Simulations!$I$3:$I$62,MATCH($A105,Simulations!$A$3:$A$62,0)),1))*INDEX(Simulations!$J$3:$J$62,MATCH($A105,Simulations!$A$3:$A$62,0))*IF(INDEX(Simulations!$I$3:$I$62,MATCH($A105,Simulations!$A$3:$A$62,0))&gt;0,2*PI()*INDEX(Simulations!$T$3:$T$62,MATCH($A105,Simulations!$A$3:$A$62,0))^2*INDEX(Simulations!$U$3:$U$62,MATCH($A105,Simulations!$A$3:$A$62,0))/2^1.5*(2/3*LN($F105/INDEX(Simulations!$J$3:$J$62,MATCH($A105,Simulations!$A$3:$A$62,0)))^1.5+SQRT(LN($F105/INDEX(Simulations!$J$3:$J$62,MATCH($A105,Simulations!$A$3:$A$62,0))))+$F105/INDEX(Simulations!$J$3:$J$62,MATCH($A105,Simulations!$A$3:$A$62,0))*SQRT(PI())/2*ERFC(SQRT(LN($F105/INDEX(Simulations!$J$3:$J$62,MATCH($A105,Simulations!$A$3:$A$62,0)))))),PI()*INDEX(Simulations!$T$3:$T$62,MATCH($A105,Simulations!$A$3:$A$62,0))^2/2*(LN($F105/INDEX(Simulations!$J$3:$J$62,MATCH($A105,Simulations!$A$3:$A$62,0)))+1)))))</f>
        <v/>
      </c>
      <c r="S105" s="16" t="str">
        <f aca="false">IF(OR($A105="",ISNA(MATCH($A105,Simulations!$A$3:$A$62,0))),"",IF(N($G105)&lt;=0,0,IF($G105&lt;INDEX(Simulations!$J$3:$J$62,MATCH($A105,Simulations!$A$3:$A$62,0)),$D105/(INDEX(Simulations!$G$3:$G$62,MATCH($A105,Simulations!$A$3:$A$62,0))*INDEX(Simulations!$H$3:$H$62,MATCH($A105,Simulations!$A$3:$A$62,0))*IF(INDEX(Simulations!$I$3:$I$62,MATCH($A105,Simulations!$A$3:$A$62,0))&gt;0,INDEX(Simulations!$I$3:$I$62,MATCH($A105,Simulations!$A$3:$A$62,0)),1))*$G105*(PI()/2*INDEX(Simulations!$T$3:$T$62,MATCH($A105,Simulations!$A$3:$A$62,0))^2*IF(INDEX(Simulations!$I$3:$I$62,MATCH($A105,Simulations!$A$3:$A$62,0))&gt;0,SQRT(PI()/2)*INDEX(Simulations!$U$3:$U$62,MATCH($A105,Simulations!$A$3:$A$62,0)),1)),$D105/(INDEX(Simulations!$G$3:$G$62,MATCH($A105,Simulations!$A$3:$A$62,0))*INDEX(Simulations!$H$3:$H$62,MATCH($A105,Simulations!$A$3:$A$62,0))*IF(INDEX(Simulations!$I$3:$I$62,MATCH($A105,Simulations!$A$3:$A$62,0))&gt;0,INDEX(Simulations!$I$3:$I$62,MATCH($A105,Simulations!$A$3:$A$62,0)),1))*INDEX(Simulations!$J$3:$J$62,MATCH($A105,Simulations!$A$3:$A$62,0))*IF(INDEX(Simulations!$I$3:$I$62,MATCH($A105,Simulations!$A$3:$A$62,0))&gt;0,2*PI()*INDEX(Simulations!$T$3:$T$62,MATCH($A105,Simulations!$A$3:$A$62,0))^2*INDEX(Simulations!$U$3:$U$62,MATCH($A105,Simulations!$A$3:$A$62,0))/2^1.5*(2/3*LN($G105/INDEX(Simulations!$J$3:$J$62,MATCH($A105,Simulations!$A$3:$A$62,0)))^1.5+SQRT(LN($G105/INDEX(Simulations!$J$3:$J$62,MATCH($A105,Simulations!$A$3:$A$62,0))))+$G105/INDEX(Simulations!$J$3:$J$62,MATCH($A105,Simulations!$A$3:$A$62,0))*SQRT(PI())/2*ERFC(SQRT(LN($G105/INDEX(Simulations!$J$3:$J$62,MATCH($A105,Simulations!$A$3:$A$62,0)))))),PI()*INDEX(Simulations!$T$3:$T$62,MATCH($A105,Simulations!$A$3:$A$62,0))^2/2*(LN($G105/INDEX(Simulations!$J$3:$J$62,MATCH($A105,Simulations!$A$3:$A$62,0)))+1)))))</f>
        <v/>
      </c>
      <c r="T105" s="16" t="str">
        <f aca="false">IF(OR($A105="",ISNA(MATCH($A105,Simulations!$A$3:$A$62,0))),"",IF(N($H105)&lt;=0,0,IF($H105&lt;INDEX(Simulations!$J$3:$J$62,MATCH($A105,Simulations!$A$3:$A$62,0)),$D105/(INDEX(Simulations!$G$3:$G$62,MATCH($A105,Simulations!$A$3:$A$62,0))*INDEX(Simulations!$H$3:$H$62,MATCH($A105,Simulations!$A$3:$A$62,0))*IF(INDEX(Simulations!$I$3:$I$62,MATCH($A105,Simulations!$A$3:$A$62,0))&gt;0,INDEX(Simulations!$I$3:$I$62,MATCH($A105,Simulations!$A$3:$A$62,0)),1))*$H105*(PI()/2*INDEX(Simulations!$T$3:$T$62,MATCH($A105,Simulations!$A$3:$A$62,0))^2*IF(INDEX(Simulations!$I$3:$I$62,MATCH($A105,Simulations!$A$3:$A$62,0))&gt;0,SQRT(PI()/2)*INDEX(Simulations!$U$3:$U$62,MATCH($A105,Simulations!$A$3:$A$62,0)),1)),$D105/(INDEX(Simulations!$G$3:$G$62,MATCH($A105,Simulations!$A$3:$A$62,0))*INDEX(Simulations!$H$3:$H$62,MATCH($A105,Simulations!$A$3:$A$62,0))*IF(INDEX(Simulations!$I$3:$I$62,MATCH($A105,Simulations!$A$3:$A$62,0))&gt;0,INDEX(Simulations!$I$3:$I$62,MATCH($A105,Simulations!$A$3:$A$62,0)),1))*INDEX(Simulations!$J$3:$J$62,MATCH($A105,Simulations!$A$3:$A$62,0))*IF(INDEX(Simulations!$I$3:$I$62,MATCH($A105,Simulations!$A$3:$A$62,0))&gt;0,2*PI()*INDEX(Simulations!$T$3:$T$62,MATCH($A105,Simulations!$A$3:$A$62,0))^2*INDEX(Simulations!$U$3:$U$62,MATCH($A105,Simulations!$A$3:$A$62,0))/2^1.5*(2/3*LN($H105/INDEX(Simulations!$J$3:$J$62,MATCH($A105,Simulations!$A$3:$A$62,0)))^1.5+SQRT(LN($H105/INDEX(Simulations!$J$3:$J$62,MATCH($A105,Simulations!$A$3:$A$62,0))))+$H105/INDEX(Simulations!$J$3:$J$62,MATCH($A105,Simulations!$A$3:$A$62,0))*SQRT(PI())/2*ERFC(SQRT(LN($H105/INDEX(Simulations!$J$3:$J$62,MATCH($A105,Simulations!$A$3:$A$62,0)))))),PI()*INDEX(Simulations!$T$3:$T$62,MATCH($A105,Simulations!$A$3:$A$62,0))^2/2*(LN($H105/INDEX(Simulations!$J$3:$J$62,MATCH($A105,Simulations!$A$3:$A$62,0)))+1)))))</f>
        <v/>
      </c>
      <c r="U105" s="18" t="str">
        <f aca="false">IF(OR(OR($A105="",ISNA(MATCH($A105,Simulations!$A$3:$A$62,0))),N($C105)&lt;=0),"",SQRT(2*$C105*1000000/(INDEX(Simulations!$J$3:$J$62,MATCH($A105,Simulations!$A$3:$A$62,0))*1000))/INDEX(Simulations!$T$3:$T$62,MATCH($A105,Simulations!$A$3:$A$62,0)))</f>
        <v/>
      </c>
      <c r="V105" s="19" t="str">
        <f aca="false">IF($A105="","",IF(ISNA(MATCH($A105,Simulations!$A$3:$A$62,0)),"✖ Sim ID not found on the Simulations sheet",IF($P105&gt;=1,"✖ brightness &gt;= sampling frequency: completely saturated (D too small, c too large)",IF($P105&gt;0.1,"⚠ brightness &gt; 10% of the sampling frequency: focus starts to saturate",IF(N($U105)&gt;0.1,"⚠ diffusion step &gt; 10% of wr: raise the sampling frequency",IF(MAX($E105:$H105)=0,"⚠ no brightness set","✔ OK"))))))</f>
        <v/>
      </c>
    </row>
    <row r="106" customFormat="false" ht="15" hidden="false" customHeight="false" outlineLevel="0" collapsed="false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4"/>
      <c r="O106" s="18" t="str">
        <f aca="false">IF(OR($A106="",ISNA(MATCH($A106,Simulations!$A$3:$A$62,0))),"",IF(INDEX(Simulations!$I$3:$I$62,MATCH($A106,Simulations!$A$3:$A$62,0))&gt;0,$D106/(INDEX(Simulations!$G$3:$G$62,MATCH($A106,Simulations!$A$3:$A$62,0))*INDEX(Simulations!$H$3:$H$62,MATCH($A106,Simulations!$A$3:$A$62,0))*IF(INDEX(Simulations!$I$3:$I$62,MATCH($A106,Simulations!$A$3:$A$62,0))&gt;0,INDEX(Simulations!$I$3:$I$62,MATCH($A106,Simulations!$A$3:$A$62,0)),1))/1E-024/6.022E+023/0.000000001,""))</f>
        <v/>
      </c>
      <c r="P106" s="20" t="str">
        <f aca="false">IF(OR($A106="",ISNA(MATCH($A106,Simulations!$A$3:$A$62,0))),"",MAX($E106:$H106)/INDEX(Simulations!$J$3:$J$62,MATCH($A106,Simulations!$A$3:$A$62,0)))</f>
        <v/>
      </c>
      <c r="Q106" s="16" t="str">
        <f aca="false">IF(OR($A106="",ISNA(MATCH($A106,Simulations!$A$3:$A$62,0))),"",IF(N($E106)&lt;=0,0,IF($E106&lt;INDEX(Simulations!$J$3:$J$62,MATCH($A106,Simulations!$A$3:$A$62,0)),$D106/(INDEX(Simulations!$G$3:$G$62,MATCH($A106,Simulations!$A$3:$A$62,0))*INDEX(Simulations!$H$3:$H$62,MATCH($A106,Simulations!$A$3:$A$62,0))*IF(INDEX(Simulations!$I$3:$I$62,MATCH($A106,Simulations!$A$3:$A$62,0))&gt;0,INDEX(Simulations!$I$3:$I$62,MATCH($A106,Simulations!$A$3:$A$62,0)),1))*$E106*(PI()/2*INDEX(Simulations!$T$3:$T$62,MATCH($A106,Simulations!$A$3:$A$62,0))^2*IF(INDEX(Simulations!$I$3:$I$62,MATCH($A106,Simulations!$A$3:$A$62,0))&gt;0,SQRT(PI()/2)*INDEX(Simulations!$U$3:$U$62,MATCH($A106,Simulations!$A$3:$A$62,0)),1)),$D106/(INDEX(Simulations!$G$3:$G$62,MATCH($A106,Simulations!$A$3:$A$62,0))*INDEX(Simulations!$H$3:$H$62,MATCH($A106,Simulations!$A$3:$A$62,0))*IF(INDEX(Simulations!$I$3:$I$62,MATCH($A106,Simulations!$A$3:$A$62,0))&gt;0,INDEX(Simulations!$I$3:$I$62,MATCH($A106,Simulations!$A$3:$A$62,0)),1))*INDEX(Simulations!$J$3:$J$62,MATCH($A106,Simulations!$A$3:$A$62,0))*IF(INDEX(Simulations!$I$3:$I$62,MATCH($A106,Simulations!$A$3:$A$62,0))&gt;0,2*PI()*INDEX(Simulations!$T$3:$T$62,MATCH($A106,Simulations!$A$3:$A$62,0))^2*INDEX(Simulations!$U$3:$U$62,MATCH($A106,Simulations!$A$3:$A$62,0))/2^1.5*(2/3*LN($E106/INDEX(Simulations!$J$3:$J$62,MATCH($A106,Simulations!$A$3:$A$62,0)))^1.5+SQRT(LN($E106/INDEX(Simulations!$J$3:$J$62,MATCH($A106,Simulations!$A$3:$A$62,0))))+$E106/INDEX(Simulations!$J$3:$J$62,MATCH($A106,Simulations!$A$3:$A$62,0))*SQRT(PI())/2*ERFC(SQRT(LN($E106/INDEX(Simulations!$J$3:$J$62,MATCH($A106,Simulations!$A$3:$A$62,0)))))),PI()*INDEX(Simulations!$T$3:$T$62,MATCH($A106,Simulations!$A$3:$A$62,0))^2/2*(LN($E106/INDEX(Simulations!$J$3:$J$62,MATCH($A106,Simulations!$A$3:$A$62,0)))+1)))))</f>
        <v/>
      </c>
      <c r="R106" s="16" t="str">
        <f aca="false">IF(OR($A106="",ISNA(MATCH($A106,Simulations!$A$3:$A$62,0))),"",IF(N($F106)&lt;=0,0,IF($F106&lt;INDEX(Simulations!$J$3:$J$62,MATCH($A106,Simulations!$A$3:$A$62,0)),$D106/(INDEX(Simulations!$G$3:$G$62,MATCH($A106,Simulations!$A$3:$A$62,0))*INDEX(Simulations!$H$3:$H$62,MATCH($A106,Simulations!$A$3:$A$62,0))*IF(INDEX(Simulations!$I$3:$I$62,MATCH($A106,Simulations!$A$3:$A$62,0))&gt;0,INDEX(Simulations!$I$3:$I$62,MATCH($A106,Simulations!$A$3:$A$62,0)),1))*$F106*(PI()/2*INDEX(Simulations!$T$3:$T$62,MATCH($A106,Simulations!$A$3:$A$62,0))^2*IF(INDEX(Simulations!$I$3:$I$62,MATCH($A106,Simulations!$A$3:$A$62,0))&gt;0,SQRT(PI()/2)*INDEX(Simulations!$U$3:$U$62,MATCH($A106,Simulations!$A$3:$A$62,0)),1)),$D106/(INDEX(Simulations!$G$3:$G$62,MATCH($A106,Simulations!$A$3:$A$62,0))*INDEX(Simulations!$H$3:$H$62,MATCH($A106,Simulations!$A$3:$A$62,0))*IF(INDEX(Simulations!$I$3:$I$62,MATCH($A106,Simulations!$A$3:$A$62,0))&gt;0,INDEX(Simulations!$I$3:$I$62,MATCH($A106,Simulations!$A$3:$A$62,0)),1))*INDEX(Simulations!$J$3:$J$62,MATCH($A106,Simulations!$A$3:$A$62,0))*IF(INDEX(Simulations!$I$3:$I$62,MATCH($A106,Simulations!$A$3:$A$62,0))&gt;0,2*PI()*INDEX(Simulations!$T$3:$T$62,MATCH($A106,Simulations!$A$3:$A$62,0))^2*INDEX(Simulations!$U$3:$U$62,MATCH($A106,Simulations!$A$3:$A$62,0))/2^1.5*(2/3*LN($F106/INDEX(Simulations!$J$3:$J$62,MATCH($A106,Simulations!$A$3:$A$62,0)))^1.5+SQRT(LN($F106/INDEX(Simulations!$J$3:$J$62,MATCH($A106,Simulations!$A$3:$A$62,0))))+$F106/INDEX(Simulations!$J$3:$J$62,MATCH($A106,Simulations!$A$3:$A$62,0))*SQRT(PI())/2*ERFC(SQRT(LN($F106/INDEX(Simulations!$J$3:$J$62,MATCH($A106,Simulations!$A$3:$A$62,0)))))),PI()*INDEX(Simulations!$T$3:$T$62,MATCH($A106,Simulations!$A$3:$A$62,0))^2/2*(LN($F106/INDEX(Simulations!$J$3:$J$62,MATCH($A106,Simulations!$A$3:$A$62,0)))+1)))))</f>
        <v/>
      </c>
      <c r="S106" s="16" t="str">
        <f aca="false">IF(OR($A106="",ISNA(MATCH($A106,Simulations!$A$3:$A$62,0))),"",IF(N($G106)&lt;=0,0,IF($G106&lt;INDEX(Simulations!$J$3:$J$62,MATCH($A106,Simulations!$A$3:$A$62,0)),$D106/(INDEX(Simulations!$G$3:$G$62,MATCH($A106,Simulations!$A$3:$A$62,0))*INDEX(Simulations!$H$3:$H$62,MATCH($A106,Simulations!$A$3:$A$62,0))*IF(INDEX(Simulations!$I$3:$I$62,MATCH($A106,Simulations!$A$3:$A$62,0))&gt;0,INDEX(Simulations!$I$3:$I$62,MATCH($A106,Simulations!$A$3:$A$62,0)),1))*$G106*(PI()/2*INDEX(Simulations!$T$3:$T$62,MATCH($A106,Simulations!$A$3:$A$62,0))^2*IF(INDEX(Simulations!$I$3:$I$62,MATCH($A106,Simulations!$A$3:$A$62,0))&gt;0,SQRT(PI()/2)*INDEX(Simulations!$U$3:$U$62,MATCH($A106,Simulations!$A$3:$A$62,0)),1)),$D106/(INDEX(Simulations!$G$3:$G$62,MATCH($A106,Simulations!$A$3:$A$62,0))*INDEX(Simulations!$H$3:$H$62,MATCH($A106,Simulations!$A$3:$A$62,0))*IF(INDEX(Simulations!$I$3:$I$62,MATCH($A106,Simulations!$A$3:$A$62,0))&gt;0,INDEX(Simulations!$I$3:$I$62,MATCH($A106,Simulations!$A$3:$A$62,0)),1))*INDEX(Simulations!$J$3:$J$62,MATCH($A106,Simulations!$A$3:$A$62,0))*IF(INDEX(Simulations!$I$3:$I$62,MATCH($A106,Simulations!$A$3:$A$62,0))&gt;0,2*PI()*INDEX(Simulations!$T$3:$T$62,MATCH($A106,Simulations!$A$3:$A$62,0))^2*INDEX(Simulations!$U$3:$U$62,MATCH($A106,Simulations!$A$3:$A$62,0))/2^1.5*(2/3*LN($G106/INDEX(Simulations!$J$3:$J$62,MATCH($A106,Simulations!$A$3:$A$62,0)))^1.5+SQRT(LN($G106/INDEX(Simulations!$J$3:$J$62,MATCH($A106,Simulations!$A$3:$A$62,0))))+$G106/INDEX(Simulations!$J$3:$J$62,MATCH($A106,Simulations!$A$3:$A$62,0))*SQRT(PI())/2*ERFC(SQRT(LN($G106/INDEX(Simulations!$J$3:$J$62,MATCH($A106,Simulations!$A$3:$A$62,0)))))),PI()*INDEX(Simulations!$T$3:$T$62,MATCH($A106,Simulations!$A$3:$A$62,0))^2/2*(LN($G106/INDEX(Simulations!$J$3:$J$62,MATCH($A106,Simulations!$A$3:$A$62,0)))+1)))))</f>
        <v/>
      </c>
      <c r="T106" s="16" t="str">
        <f aca="false">IF(OR($A106="",ISNA(MATCH($A106,Simulations!$A$3:$A$62,0))),"",IF(N($H106)&lt;=0,0,IF($H106&lt;INDEX(Simulations!$J$3:$J$62,MATCH($A106,Simulations!$A$3:$A$62,0)),$D106/(INDEX(Simulations!$G$3:$G$62,MATCH($A106,Simulations!$A$3:$A$62,0))*INDEX(Simulations!$H$3:$H$62,MATCH($A106,Simulations!$A$3:$A$62,0))*IF(INDEX(Simulations!$I$3:$I$62,MATCH($A106,Simulations!$A$3:$A$62,0))&gt;0,INDEX(Simulations!$I$3:$I$62,MATCH($A106,Simulations!$A$3:$A$62,0)),1))*$H106*(PI()/2*INDEX(Simulations!$T$3:$T$62,MATCH($A106,Simulations!$A$3:$A$62,0))^2*IF(INDEX(Simulations!$I$3:$I$62,MATCH($A106,Simulations!$A$3:$A$62,0))&gt;0,SQRT(PI()/2)*INDEX(Simulations!$U$3:$U$62,MATCH($A106,Simulations!$A$3:$A$62,0)),1)),$D106/(INDEX(Simulations!$G$3:$G$62,MATCH($A106,Simulations!$A$3:$A$62,0))*INDEX(Simulations!$H$3:$H$62,MATCH($A106,Simulations!$A$3:$A$62,0))*IF(INDEX(Simulations!$I$3:$I$62,MATCH($A106,Simulations!$A$3:$A$62,0))&gt;0,INDEX(Simulations!$I$3:$I$62,MATCH($A106,Simulations!$A$3:$A$62,0)),1))*INDEX(Simulations!$J$3:$J$62,MATCH($A106,Simulations!$A$3:$A$62,0))*IF(INDEX(Simulations!$I$3:$I$62,MATCH($A106,Simulations!$A$3:$A$62,0))&gt;0,2*PI()*INDEX(Simulations!$T$3:$T$62,MATCH($A106,Simulations!$A$3:$A$62,0))^2*INDEX(Simulations!$U$3:$U$62,MATCH($A106,Simulations!$A$3:$A$62,0))/2^1.5*(2/3*LN($H106/INDEX(Simulations!$J$3:$J$62,MATCH($A106,Simulations!$A$3:$A$62,0)))^1.5+SQRT(LN($H106/INDEX(Simulations!$J$3:$J$62,MATCH($A106,Simulations!$A$3:$A$62,0))))+$H106/INDEX(Simulations!$J$3:$J$62,MATCH($A106,Simulations!$A$3:$A$62,0))*SQRT(PI())/2*ERFC(SQRT(LN($H106/INDEX(Simulations!$J$3:$J$62,MATCH($A106,Simulations!$A$3:$A$62,0)))))),PI()*INDEX(Simulations!$T$3:$T$62,MATCH($A106,Simulations!$A$3:$A$62,0))^2/2*(LN($H106/INDEX(Simulations!$J$3:$J$62,MATCH($A106,Simulations!$A$3:$A$62,0)))+1)))))</f>
        <v/>
      </c>
      <c r="U106" s="18" t="str">
        <f aca="false">IF(OR(OR($A106="",ISNA(MATCH($A106,Simulations!$A$3:$A$62,0))),N($C106)&lt;=0),"",SQRT(2*$C106*1000000/(INDEX(Simulations!$J$3:$J$62,MATCH($A106,Simulations!$A$3:$A$62,0))*1000))/INDEX(Simulations!$T$3:$T$62,MATCH($A106,Simulations!$A$3:$A$62,0)))</f>
        <v/>
      </c>
      <c r="V106" s="19" t="str">
        <f aca="false">IF($A106="","",IF(ISNA(MATCH($A106,Simulations!$A$3:$A$62,0)),"✖ Sim ID not found on the Simulations sheet",IF($P106&gt;=1,"✖ brightness &gt;= sampling frequency: completely saturated (D too small, c too large)",IF($P106&gt;0.1,"⚠ brightness &gt; 10% of the sampling frequency: focus starts to saturate",IF(N($U106)&gt;0.1,"⚠ diffusion step &gt; 10% of wr: raise the sampling frequency",IF(MAX($E106:$H106)=0,"⚠ no brightness set","✔ OK"))))))</f>
        <v/>
      </c>
    </row>
    <row r="107" customFormat="false" ht="15" hidden="false" customHeight="false" outlineLevel="0" collapsed="false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4"/>
      <c r="O107" s="18" t="str">
        <f aca="false">IF(OR($A107="",ISNA(MATCH($A107,Simulations!$A$3:$A$62,0))),"",IF(INDEX(Simulations!$I$3:$I$62,MATCH($A107,Simulations!$A$3:$A$62,0))&gt;0,$D107/(INDEX(Simulations!$G$3:$G$62,MATCH($A107,Simulations!$A$3:$A$62,0))*INDEX(Simulations!$H$3:$H$62,MATCH($A107,Simulations!$A$3:$A$62,0))*IF(INDEX(Simulations!$I$3:$I$62,MATCH($A107,Simulations!$A$3:$A$62,0))&gt;0,INDEX(Simulations!$I$3:$I$62,MATCH($A107,Simulations!$A$3:$A$62,0)),1))/1E-024/6.022E+023/0.000000001,""))</f>
        <v/>
      </c>
      <c r="P107" s="20" t="str">
        <f aca="false">IF(OR($A107="",ISNA(MATCH($A107,Simulations!$A$3:$A$62,0))),"",MAX($E107:$H107)/INDEX(Simulations!$J$3:$J$62,MATCH($A107,Simulations!$A$3:$A$62,0)))</f>
        <v/>
      </c>
      <c r="Q107" s="16" t="str">
        <f aca="false">IF(OR($A107="",ISNA(MATCH($A107,Simulations!$A$3:$A$62,0))),"",IF(N($E107)&lt;=0,0,IF($E107&lt;INDEX(Simulations!$J$3:$J$62,MATCH($A107,Simulations!$A$3:$A$62,0)),$D107/(INDEX(Simulations!$G$3:$G$62,MATCH($A107,Simulations!$A$3:$A$62,0))*INDEX(Simulations!$H$3:$H$62,MATCH($A107,Simulations!$A$3:$A$62,0))*IF(INDEX(Simulations!$I$3:$I$62,MATCH($A107,Simulations!$A$3:$A$62,0))&gt;0,INDEX(Simulations!$I$3:$I$62,MATCH($A107,Simulations!$A$3:$A$62,0)),1))*$E107*(PI()/2*INDEX(Simulations!$T$3:$T$62,MATCH($A107,Simulations!$A$3:$A$62,0))^2*IF(INDEX(Simulations!$I$3:$I$62,MATCH($A107,Simulations!$A$3:$A$62,0))&gt;0,SQRT(PI()/2)*INDEX(Simulations!$U$3:$U$62,MATCH($A107,Simulations!$A$3:$A$62,0)),1)),$D107/(INDEX(Simulations!$G$3:$G$62,MATCH($A107,Simulations!$A$3:$A$62,0))*INDEX(Simulations!$H$3:$H$62,MATCH($A107,Simulations!$A$3:$A$62,0))*IF(INDEX(Simulations!$I$3:$I$62,MATCH($A107,Simulations!$A$3:$A$62,0))&gt;0,INDEX(Simulations!$I$3:$I$62,MATCH($A107,Simulations!$A$3:$A$62,0)),1))*INDEX(Simulations!$J$3:$J$62,MATCH($A107,Simulations!$A$3:$A$62,0))*IF(INDEX(Simulations!$I$3:$I$62,MATCH($A107,Simulations!$A$3:$A$62,0))&gt;0,2*PI()*INDEX(Simulations!$T$3:$T$62,MATCH($A107,Simulations!$A$3:$A$62,0))^2*INDEX(Simulations!$U$3:$U$62,MATCH($A107,Simulations!$A$3:$A$62,0))/2^1.5*(2/3*LN($E107/INDEX(Simulations!$J$3:$J$62,MATCH($A107,Simulations!$A$3:$A$62,0)))^1.5+SQRT(LN($E107/INDEX(Simulations!$J$3:$J$62,MATCH($A107,Simulations!$A$3:$A$62,0))))+$E107/INDEX(Simulations!$J$3:$J$62,MATCH($A107,Simulations!$A$3:$A$62,0))*SQRT(PI())/2*ERFC(SQRT(LN($E107/INDEX(Simulations!$J$3:$J$62,MATCH($A107,Simulations!$A$3:$A$62,0)))))),PI()*INDEX(Simulations!$T$3:$T$62,MATCH($A107,Simulations!$A$3:$A$62,0))^2/2*(LN($E107/INDEX(Simulations!$J$3:$J$62,MATCH($A107,Simulations!$A$3:$A$62,0)))+1)))))</f>
        <v/>
      </c>
      <c r="R107" s="16" t="str">
        <f aca="false">IF(OR($A107="",ISNA(MATCH($A107,Simulations!$A$3:$A$62,0))),"",IF(N($F107)&lt;=0,0,IF($F107&lt;INDEX(Simulations!$J$3:$J$62,MATCH($A107,Simulations!$A$3:$A$62,0)),$D107/(INDEX(Simulations!$G$3:$G$62,MATCH($A107,Simulations!$A$3:$A$62,0))*INDEX(Simulations!$H$3:$H$62,MATCH($A107,Simulations!$A$3:$A$62,0))*IF(INDEX(Simulations!$I$3:$I$62,MATCH($A107,Simulations!$A$3:$A$62,0))&gt;0,INDEX(Simulations!$I$3:$I$62,MATCH($A107,Simulations!$A$3:$A$62,0)),1))*$F107*(PI()/2*INDEX(Simulations!$T$3:$T$62,MATCH($A107,Simulations!$A$3:$A$62,0))^2*IF(INDEX(Simulations!$I$3:$I$62,MATCH($A107,Simulations!$A$3:$A$62,0))&gt;0,SQRT(PI()/2)*INDEX(Simulations!$U$3:$U$62,MATCH($A107,Simulations!$A$3:$A$62,0)),1)),$D107/(INDEX(Simulations!$G$3:$G$62,MATCH($A107,Simulations!$A$3:$A$62,0))*INDEX(Simulations!$H$3:$H$62,MATCH($A107,Simulations!$A$3:$A$62,0))*IF(INDEX(Simulations!$I$3:$I$62,MATCH($A107,Simulations!$A$3:$A$62,0))&gt;0,INDEX(Simulations!$I$3:$I$62,MATCH($A107,Simulations!$A$3:$A$62,0)),1))*INDEX(Simulations!$J$3:$J$62,MATCH($A107,Simulations!$A$3:$A$62,0))*IF(INDEX(Simulations!$I$3:$I$62,MATCH($A107,Simulations!$A$3:$A$62,0))&gt;0,2*PI()*INDEX(Simulations!$T$3:$T$62,MATCH($A107,Simulations!$A$3:$A$62,0))^2*INDEX(Simulations!$U$3:$U$62,MATCH($A107,Simulations!$A$3:$A$62,0))/2^1.5*(2/3*LN($F107/INDEX(Simulations!$J$3:$J$62,MATCH($A107,Simulations!$A$3:$A$62,0)))^1.5+SQRT(LN($F107/INDEX(Simulations!$J$3:$J$62,MATCH($A107,Simulations!$A$3:$A$62,0))))+$F107/INDEX(Simulations!$J$3:$J$62,MATCH($A107,Simulations!$A$3:$A$62,0))*SQRT(PI())/2*ERFC(SQRT(LN($F107/INDEX(Simulations!$J$3:$J$62,MATCH($A107,Simulations!$A$3:$A$62,0)))))),PI()*INDEX(Simulations!$T$3:$T$62,MATCH($A107,Simulations!$A$3:$A$62,0))^2/2*(LN($F107/INDEX(Simulations!$J$3:$J$62,MATCH($A107,Simulations!$A$3:$A$62,0)))+1)))))</f>
        <v/>
      </c>
      <c r="S107" s="16" t="str">
        <f aca="false">IF(OR($A107="",ISNA(MATCH($A107,Simulations!$A$3:$A$62,0))),"",IF(N($G107)&lt;=0,0,IF($G107&lt;INDEX(Simulations!$J$3:$J$62,MATCH($A107,Simulations!$A$3:$A$62,0)),$D107/(INDEX(Simulations!$G$3:$G$62,MATCH($A107,Simulations!$A$3:$A$62,0))*INDEX(Simulations!$H$3:$H$62,MATCH($A107,Simulations!$A$3:$A$62,0))*IF(INDEX(Simulations!$I$3:$I$62,MATCH($A107,Simulations!$A$3:$A$62,0))&gt;0,INDEX(Simulations!$I$3:$I$62,MATCH($A107,Simulations!$A$3:$A$62,0)),1))*$G107*(PI()/2*INDEX(Simulations!$T$3:$T$62,MATCH($A107,Simulations!$A$3:$A$62,0))^2*IF(INDEX(Simulations!$I$3:$I$62,MATCH($A107,Simulations!$A$3:$A$62,0))&gt;0,SQRT(PI()/2)*INDEX(Simulations!$U$3:$U$62,MATCH($A107,Simulations!$A$3:$A$62,0)),1)),$D107/(INDEX(Simulations!$G$3:$G$62,MATCH($A107,Simulations!$A$3:$A$62,0))*INDEX(Simulations!$H$3:$H$62,MATCH($A107,Simulations!$A$3:$A$62,0))*IF(INDEX(Simulations!$I$3:$I$62,MATCH($A107,Simulations!$A$3:$A$62,0))&gt;0,INDEX(Simulations!$I$3:$I$62,MATCH($A107,Simulations!$A$3:$A$62,0)),1))*INDEX(Simulations!$J$3:$J$62,MATCH($A107,Simulations!$A$3:$A$62,0))*IF(INDEX(Simulations!$I$3:$I$62,MATCH($A107,Simulations!$A$3:$A$62,0))&gt;0,2*PI()*INDEX(Simulations!$T$3:$T$62,MATCH($A107,Simulations!$A$3:$A$62,0))^2*INDEX(Simulations!$U$3:$U$62,MATCH($A107,Simulations!$A$3:$A$62,0))/2^1.5*(2/3*LN($G107/INDEX(Simulations!$J$3:$J$62,MATCH($A107,Simulations!$A$3:$A$62,0)))^1.5+SQRT(LN($G107/INDEX(Simulations!$J$3:$J$62,MATCH($A107,Simulations!$A$3:$A$62,0))))+$G107/INDEX(Simulations!$J$3:$J$62,MATCH($A107,Simulations!$A$3:$A$62,0))*SQRT(PI())/2*ERFC(SQRT(LN($G107/INDEX(Simulations!$J$3:$J$62,MATCH($A107,Simulations!$A$3:$A$62,0)))))),PI()*INDEX(Simulations!$T$3:$T$62,MATCH($A107,Simulations!$A$3:$A$62,0))^2/2*(LN($G107/INDEX(Simulations!$J$3:$J$62,MATCH($A107,Simulations!$A$3:$A$62,0)))+1)))))</f>
        <v/>
      </c>
      <c r="T107" s="16" t="str">
        <f aca="false">IF(OR($A107="",ISNA(MATCH($A107,Simulations!$A$3:$A$62,0))),"",IF(N($H107)&lt;=0,0,IF($H107&lt;INDEX(Simulations!$J$3:$J$62,MATCH($A107,Simulations!$A$3:$A$62,0)),$D107/(INDEX(Simulations!$G$3:$G$62,MATCH($A107,Simulations!$A$3:$A$62,0))*INDEX(Simulations!$H$3:$H$62,MATCH($A107,Simulations!$A$3:$A$62,0))*IF(INDEX(Simulations!$I$3:$I$62,MATCH($A107,Simulations!$A$3:$A$62,0))&gt;0,INDEX(Simulations!$I$3:$I$62,MATCH($A107,Simulations!$A$3:$A$62,0)),1))*$H107*(PI()/2*INDEX(Simulations!$T$3:$T$62,MATCH($A107,Simulations!$A$3:$A$62,0))^2*IF(INDEX(Simulations!$I$3:$I$62,MATCH($A107,Simulations!$A$3:$A$62,0))&gt;0,SQRT(PI()/2)*INDEX(Simulations!$U$3:$U$62,MATCH($A107,Simulations!$A$3:$A$62,0)),1)),$D107/(INDEX(Simulations!$G$3:$G$62,MATCH($A107,Simulations!$A$3:$A$62,0))*INDEX(Simulations!$H$3:$H$62,MATCH($A107,Simulations!$A$3:$A$62,0))*IF(INDEX(Simulations!$I$3:$I$62,MATCH($A107,Simulations!$A$3:$A$62,0))&gt;0,INDEX(Simulations!$I$3:$I$62,MATCH($A107,Simulations!$A$3:$A$62,0)),1))*INDEX(Simulations!$J$3:$J$62,MATCH($A107,Simulations!$A$3:$A$62,0))*IF(INDEX(Simulations!$I$3:$I$62,MATCH($A107,Simulations!$A$3:$A$62,0))&gt;0,2*PI()*INDEX(Simulations!$T$3:$T$62,MATCH($A107,Simulations!$A$3:$A$62,0))^2*INDEX(Simulations!$U$3:$U$62,MATCH($A107,Simulations!$A$3:$A$62,0))/2^1.5*(2/3*LN($H107/INDEX(Simulations!$J$3:$J$62,MATCH($A107,Simulations!$A$3:$A$62,0)))^1.5+SQRT(LN($H107/INDEX(Simulations!$J$3:$J$62,MATCH($A107,Simulations!$A$3:$A$62,0))))+$H107/INDEX(Simulations!$J$3:$J$62,MATCH($A107,Simulations!$A$3:$A$62,0))*SQRT(PI())/2*ERFC(SQRT(LN($H107/INDEX(Simulations!$J$3:$J$62,MATCH($A107,Simulations!$A$3:$A$62,0)))))),PI()*INDEX(Simulations!$T$3:$T$62,MATCH($A107,Simulations!$A$3:$A$62,0))^2/2*(LN($H107/INDEX(Simulations!$J$3:$J$62,MATCH($A107,Simulations!$A$3:$A$62,0)))+1)))))</f>
        <v/>
      </c>
      <c r="U107" s="18" t="str">
        <f aca="false">IF(OR(OR($A107="",ISNA(MATCH($A107,Simulations!$A$3:$A$62,0))),N($C107)&lt;=0),"",SQRT(2*$C107*1000000/(INDEX(Simulations!$J$3:$J$62,MATCH($A107,Simulations!$A$3:$A$62,0))*1000))/INDEX(Simulations!$T$3:$T$62,MATCH($A107,Simulations!$A$3:$A$62,0)))</f>
        <v/>
      </c>
      <c r="V107" s="19" t="str">
        <f aca="false">IF($A107="","",IF(ISNA(MATCH($A107,Simulations!$A$3:$A$62,0)),"✖ Sim ID not found on the Simulations sheet",IF($P107&gt;=1,"✖ brightness &gt;= sampling frequency: completely saturated (D too small, c too large)",IF($P107&gt;0.1,"⚠ brightness &gt; 10% of the sampling frequency: focus starts to saturate",IF(N($U107)&gt;0.1,"⚠ diffusion step &gt; 10% of wr: raise the sampling frequency",IF(MAX($E107:$H107)=0,"⚠ no brightness set","✔ OK"))))))</f>
        <v/>
      </c>
    </row>
    <row r="108" customFormat="false" ht="15" hidden="false" customHeight="false" outlineLevel="0" collapsed="false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4"/>
      <c r="O108" s="18" t="str">
        <f aca="false">IF(OR($A108="",ISNA(MATCH($A108,Simulations!$A$3:$A$62,0))),"",IF(INDEX(Simulations!$I$3:$I$62,MATCH($A108,Simulations!$A$3:$A$62,0))&gt;0,$D108/(INDEX(Simulations!$G$3:$G$62,MATCH($A108,Simulations!$A$3:$A$62,0))*INDEX(Simulations!$H$3:$H$62,MATCH($A108,Simulations!$A$3:$A$62,0))*IF(INDEX(Simulations!$I$3:$I$62,MATCH($A108,Simulations!$A$3:$A$62,0))&gt;0,INDEX(Simulations!$I$3:$I$62,MATCH($A108,Simulations!$A$3:$A$62,0)),1))/1E-024/6.022E+023/0.000000001,""))</f>
        <v/>
      </c>
      <c r="P108" s="20" t="str">
        <f aca="false">IF(OR($A108="",ISNA(MATCH($A108,Simulations!$A$3:$A$62,0))),"",MAX($E108:$H108)/INDEX(Simulations!$J$3:$J$62,MATCH($A108,Simulations!$A$3:$A$62,0)))</f>
        <v/>
      </c>
      <c r="Q108" s="16" t="str">
        <f aca="false">IF(OR($A108="",ISNA(MATCH($A108,Simulations!$A$3:$A$62,0))),"",IF(N($E108)&lt;=0,0,IF($E108&lt;INDEX(Simulations!$J$3:$J$62,MATCH($A108,Simulations!$A$3:$A$62,0)),$D108/(INDEX(Simulations!$G$3:$G$62,MATCH($A108,Simulations!$A$3:$A$62,0))*INDEX(Simulations!$H$3:$H$62,MATCH($A108,Simulations!$A$3:$A$62,0))*IF(INDEX(Simulations!$I$3:$I$62,MATCH($A108,Simulations!$A$3:$A$62,0))&gt;0,INDEX(Simulations!$I$3:$I$62,MATCH($A108,Simulations!$A$3:$A$62,0)),1))*$E108*(PI()/2*INDEX(Simulations!$T$3:$T$62,MATCH($A108,Simulations!$A$3:$A$62,0))^2*IF(INDEX(Simulations!$I$3:$I$62,MATCH($A108,Simulations!$A$3:$A$62,0))&gt;0,SQRT(PI()/2)*INDEX(Simulations!$U$3:$U$62,MATCH($A108,Simulations!$A$3:$A$62,0)),1)),$D108/(INDEX(Simulations!$G$3:$G$62,MATCH($A108,Simulations!$A$3:$A$62,0))*INDEX(Simulations!$H$3:$H$62,MATCH($A108,Simulations!$A$3:$A$62,0))*IF(INDEX(Simulations!$I$3:$I$62,MATCH($A108,Simulations!$A$3:$A$62,0))&gt;0,INDEX(Simulations!$I$3:$I$62,MATCH($A108,Simulations!$A$3:$A$62,0)),1))*INDEX(Simulations!$J$3:$J$62,MATCH($A108,Simulations!$A$3:$A$62,0))*IF(INDEX(Simulations!$I$3:$I$62,MATCH($A108,Simulations!$A$3:$A$62,0))&gt;0,2*PI()*INDEX(Simulations!$T$3:$T$62,MATCH($A108,Simulations!$A$3:$A$62,0))^2*INDEX(Simulations!$U$3:$U$62,MATCH($A108,Simulations!$A$3:$A$62,0))/2^1.5*(2/3*LN($E108/INDEX(Simulations!$J$3:$J$62,MATCH($A108,Simulations!$A$3:$A$62,0)))^1.5+SQRT(LN($E108/INDEX(Simulations!$J$3:$J$62,MATCH($A108,Simulations!$A$3:$A$62,0))))+$E108/INDEX(Simulations!$J$3:$J$62,MATCH($A108,Simulations!$A$3:$A$62,0))*SQRT(PI())/2*ERFC(SQRT(LN($E108/INDEX(Simulations!$J$3:$J$62,MATCH($A108,Simulations!$A$3:$A$62,0)))))),PI()*INDEX(Simulations!$T$3:$T$62,MATCH($A108,Simulations!$A$3:$A$62,0))^2/2*(LN($E108/INDEX(Simulations!$J$3:$J$62,MATCH($A108,Simulations!$A$3:$A$62,0)))+1)))))</f>
        <v/>
      </c>
      <c r="R108" s="16" t="str">
        <f aca="false">IF(OR($A108="",ISNA(MATCH($A108,Simulations!$A$3:$A$62,0))),"",IF(N($F108)&lt;=0,0,IF($F108&lt;INDEX(Simulations!$J$3:$J$62,MATCH($A108,Simulations!$A$3:$A$62,0)),$D108/(INDEX(Simulations!$G$3:$G$62,MATCH($A108,Simulations!$A$3:$A$62,0))*INDEX(Simulations!$H$3:$H$62,MATCH($A108,Simulations!$A$3:$A$62,0))*IF(INDEX(Simulations!$I$3:$I$62,MATCH($A108,Simulations!$A$3:$A$62,0))&gt;0,INDEX(Simulations!$I$3:$I$62,MATCH($A108,Simulations!$A$3:$A$62,0)),1))*$F108*(PI()/2*INDEX(Simulations!$T$3:$T$62,MATCH($A108,Simulations!$A$3:$A$62,0))^2*IF(INDEX(Simulations!$I$3:$I$62,MATCH($A108,Simulations!$A$3:$A$62,0))&gt;0,SQRT(PI()/2)*INDEX(Simulations!$U$3:$U$62,MATCH($A108,Simulations!$A$3:$A$62,0)),1)),$D108/(INDEX(Simulations!$G$3:$G$62,MATCH($A108,Simulations!$A$3:$A$62,0))*INDEX(Simulations!$H$3:$H$62,MATCH($A108,Simulations!$A$3:$A$62,0))*IF(INDEX(Simulations!$I$3:$I$62,MATCH($A108,Simulations!$A$3:$A$62,0))&gt;0,INDEX(Simulations!$I$3:$I$62,MATCH($A108,Simulations!$A$3:$A$62,0)),1))*INDEX(Simulations!$J$3:$J$62,MATCH($A108,Simulations!$A$3:$A$62,0))*IF(INDEX(Simulations!$I$3:$I$62,MATCH($A108,Simulations!$A$3:$A$62,0))&gt;0,2*PI()*INDEX(Simulations!$T$3:$T$62,MATCH($A108,Simulations!$A$3:$A$62,0))^2*INDEX(Simulations!$U$3:$U$62,MATCH($A108,Simulations!$A$3:$A$62,0))/2^1.5*(2/3*LN($F108/INDEX(Simulations!$J$3:$J$62,MATCH($A108,Simulations!$A$3:$A$62,0)))^1.5+SQRT(LN($F108/INDEX(Simulations!$J$3:$J$62,MATCH($A108,Simulations!$A$3:$A$62,0))))+$F108/INDEX(Simulations!$J$3:$J$62,MATCH($A108,Simulations!$A$3:$A$62,0))*SQRT(PI())/2*ERFC(SQRT(LN($F108/INDEX(Simulations!$J$3:$J$62,MATCH($A108,Simulations!$A$3:$A$62,0)))))),PI()*INDEX(Simulations!$T$3:$T$62,MATCH($A108,Simulations!$A$3:$A$62,0))^2/2*(LN($F108/INDEX(Simulations!$J$3:$J$62,MATCH($A108,Simulations!$A$3:$A$62,0)))+1)))))</f>
        <v/>
      </c>
      <c r="S108" s="16" t="str">
        <f aca="false">IF(OR($A108="",ISNA(MATCH($A108,Simulations!$A$3:$A$62,0))),"",IF(N($G108)&lt;=0,0,IF($G108&lt;INDEX(Simulations!$J$3:$J$62,MATCH($A108,Simulations!$A$3:$A$62,0)),$D108/(INDEX(Simulations!$G$3:$G$62,MATCH($A108,Simulations!$A$3:$A$62,0))*INDEX(Simulations!$H$3:$H$62,MATCH($A108,Simulations!$A$3:$A$62,0))*IF(INDEX(Simulations!$I$3:$I$62,MATCH($A108,Simulations!$A$3:$A$62,0))&gt;0,INDEX(Simulations!$I$3:$I$62,MATCH($A108,Simulations!$A$3:$A$62,0)),1))*$G108*(PI()/2*INDEX(Simulations!$T$3:$T$62,MATCH($A108,Simulations!$A$3:$A$62,0))^2*IF(INDEX(Simulations!$I$3:$I$62,MATCH($A108,Simulations!$A$3:$A$62,0))&gt;0,SQRT(PI()/2)*INDEX(Simulations!$U$3:$U$62,MATCH($A108,Simulations!$A$3:$A$62,0)),1)),$D108/(INDEX(Simulations!$G$3:$G$62,MATCH($A108,Simulations!$A$3:$A$62,0))*INDEX(Simulations!$H$3:$H$62,MATCH($A108,Simulations!$A$3:$A$62,0))*IF(INDEX(Simulations!$I$3:$I$62,MATCH($A108,Simulations!$A$3:$A$62,0))&gt;0,INDEX(Simulations!$I$3:$I$62,MATCH($A108,Simulations!$A$3:$A$62,0)),1))*INDEX(Simulations!$J$3:$J$62,MATCH($A108,Simulations!$A$3:$A$62,0))*IF(INDEX(Simulations!$I$3:$I$62,MATCH($A108,Simulations!$A$3:$A$62,0))&gt;0,2*PI()*INDEX(Simulations!$T$3:$T$62,MATCH($A108,Simulations!$A$3:$A$62,0))^2*INDEX(Simulations!$U$3:$U$62,MATCH($A108,Simulations!$A$3:$A$62,0))/2^1.5*(2/3*LN($G108/INDEX(Simulations!$J$3:$J$62,MATCH($A108,Simulations!$A$3:$A$62,0)))^1.5+SQRT(LN($G108/INDEX(Simulations!$J$3:$J$62,MATCH($A108,Simulations!$A$3:$A$62,0))))+$G108/INDEX(Simulations!$J$3:$J$62,MATCH($A108,Simulations!$A$3:$A$62,0))*SQRT(PI())/2*ERFC(SQRT(LN($G108/INDEX(Simulations!$J$3:$J$62,MATCH($A108,Simulations!$A$3:$A$62,0)))))),PI()*INDEX(Simulations!$T$3:$T$62,MATCH($A108,Simulations!$A$3:$A$62,0))^2/2*(LN($G108/INDEX(Simulations!$J$3:$J$62,MATCH($A108,Simulations!$A$3:$A$62,0)))+1)))))</f>
        <v/>
      </c>
      <c r="T108" s="16" t="str">
        <f aca="false">IF(OR($A108="",ISNA(MATCH($A108,Simulations!$A$3:$A$62,0))),"",IF(N($H108)&lt;=0,0,IF($H108&lt;INDEX(Simulations!$J$3:$J$62,MATCH($A108,Simulations!$A$3:$A$62,0)),$D108/(INDEX(Simulations!$G$3:$G$62,MATCH($A108,Simulations!$A$3:$A$62,0))*INDEX(Simulations!$H$3:$H$62,MATCH($A108,Simulations!$A$3:$A$62,0))*IF(INDEX(Simulations!$I$3:$I$62,MATCH($A108,Simulations!$A$3:$A$62,0))&gt;0,INDEX(Simulations!$I$3:$I$62,MATCH($A108,Simulations!$A$3:$A$62,0)),1))*$H108*(PI()/2*INDEX(Simulations!$T$3:$T$62,MATCH($A108,Simulations!$A$3:$A$62,0))^2*IF(INDEX(Simulations!$I$3:$I$62,MATCH($A108,Simulations!$A$3:$A$62,0))&gt;0,SQRT(PI()/2)*INDEX(Simulations!$U$3:$U$62,MATCH($A108,Simulations!$A$3:$A$62,0)),1)),$D108/(INDEX(Simulations!$G$3:$G$62,MATCH($A108,Simulations!$A$3:$A$62,0))*INDEX(Simulations!$H$3:$H$62,MATCH($A108,Simulations!$A$3:$A$62,0))*IF(INDEX(Simulations!$I$3:$I$62,MATCH($A108,Simulations!$A$3:$A$62,0))&gt;0,INDEX(Simulations!$I$3:$I$62,MATCH($A108,Simulations!$A$3:$A$62,0)),1))*INDEX(Simulations!$J$3:$J$62,MATCH($A108,Simulations!$A$3:$A$62,0))*IF(INDEX(Simulations!$I$3:$I$62,MATCH($A108,Simulations!$A$3:$A$62,0))&gt;0,2*PI()*INDEX(Simulations!$T$3:$T$62,MATCH($A108,Simulations!$A$3:$A$62,0))^2*INDEX(Simulations!$U$3:$U$62,MATCH($A108,Simulations!$A$3:$A$62,0))/2^1.5*(2/3*LN($H108/INDEX(Simulations!$J$3:$J$62,MATCH($A108,Simulations!$A$3:$A$62,0)))^1.5+SQRT(LN($H108/INDEX(Simulations!$J$3:$J$62,MATCH($A108,Simulations!$A$3:$A$62,0))))+$H108/INDEX(Simulations!$J$3:$J$62,MATCH($A108,Simulations!$A$3:$A$62,0))*SQRT(PI())/2*ERFC(SQRT(LN($H108/INDEX(Simulations!$J$3:$J$62,MATCH($A108,Simulations!$A$3:$A$62,0)))))),PI()*INDEX(Simulations!$T$3:$T$62,MATCH($A108,Simulations!$A$3:$A$62,0))^2/2*(LN($H108/INDEX(Simulations!$J$3:$J$62,MATCH($A108,Simulations!$A$3:$A$62,0)))+1)))))</f>
        <v/>
      </c>
      <c r="U108" s="18" t="str">
        <f aca="false">IF(OR(OR($A108="",ISNA(MATCH($A108,Simulations!$A$3:$A$62,0))),N($C108)&lt;=0),"",SQRT(2*$C108*1000000/(INDEX(Simulations!$J$3:$J$62,MATCH($A108,Simulations!$A$3:$A$62,0))*1000))/INDEX(Simulations!$T$3:$T$62,MATCH($A108,Simulations!$A$3:$A$62,0)))</f>
        <v/>
      </c>
      <c r="V108" s="19" t="str">
        <f aca="false">IF($A108="","",IF(ISNA(MATCH($A108,Simulations!$A$3:$A$62,0)),"✖ Sim ID not found on the Simulations sheet",IF($P108&gt;=1,"✖ brightness &gt;= sampling frequency: completely saturated (D too small, c too large)",IF($P108&gt;0.1,"⚠ brightness &gt; 10% of the sampling frequency: focus starts to saturate",IF(N($U108)&gt;0.1,"⚠ diffusion step &gt; 10% of wr: raise the sampling frequency",IF(MAX($E108:$H108)=0,"⚠ no brightness set","✔ OK"))))))</f>
        <v/>
      </c>
    </row>
    <row r="109" customFormat="false" ht="15" hidden="false" customHeight="false" outlineLevel="0" collapsed="false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4"/>
      <c r="O109" s="18" t="str">
        <f aca="false">IF(OR($A109="",ISNA(MATCH($A109,Simulations!$A$3:$A$62,0))),"",IF(INDEX(Simulations!$I$3:$I$62,MATCH($A109,Simulations!$A$3:$A$62,0))&gt;0,$D109/(INDEX(Simulations!$G$3:$G$62,MATCH($A109,Simulations!$A$3:$A$62,0))*INDEX(Simulations!$H$3:$H$62,MATCH($A109,Simulations!$A$3:$A$62,0))*IF(INDEX(Simulations!$I$3:$I$62,MATCH($A109,Simulations!$A$3:$A$62,0))&gt;0,INDEX(Simulations!$I$3:$I$62,MATCH($A109,Simulations!$A$3:$A$62,0)),1))/1E-024/6.022E+023/0.000000001,""))</f>
        <v/>
      </c>
      <c r="P109" s="20" t="str">
        <f aca="false">IF(OR($A109="",ISNA(MATCH($A109,Simulations!$A$3:$A$62,0))),"",MAX($E109:$H109)/INDEX(Simulations!$J$3:$J$62,MATCH($A109,Simulations!$A$3:$A$62,0)))</f>
        <v/>
      </c>
      <c r="Q109" s="16" t="str">
        <f aca="false">IF(OR($A109="",ISNA(MATCH($A109,Simulations!$A$3:$A$62,0))),"",IF(N($E109)&lt;=0,0,IF($E109&lt;INDEX(Simulations!$J$3:$J$62,MATCH($A109,Simulations!$A$3:$A$62,0)),$D109/(INDEX(Simulations!$G$3:$G$62,MATCH($A109,Simulations!$A$3:$A$62,0))*INDEX(Simulations!$H$3:$H$62,MATCH($A109,Simulations!$A$3:$A$62,0))*IF(INDEX(Simulations!$I$3:$I$62,MATCH($A109,Simulations!$A$3:$A$62,0))&gt;0,INDEX(Simulations!$I$3:$I$62,MATCH($A109,Simulations!$A$3:$A$62,0)),1))*$E109*(PI()/2*INDEX(Simulations!$T$3:$T$62,MATCH($A109,Simulations!$A$3:$A$62,0))^2*IF(INDEX(Simulations!$I$3:$I$62,MATCH($A109,Simulations!$A$3:$A$62,0))&gt;0,SQRT(PI()/2)*INDEX(Simulations!$U$3:$U$62,MATCH($A109,Simulations!$A$3:$A$62,0)),1)),$D109/(INDEX(Simulations!$G$3:$G$62,MATCH($A109,Simulations!$A$3:$A$62,0))*INDEX(Simulations!$H$3:$H$62,MATCH($A109,Simulations!$A$3:$A$62,0))*IF(INDEX(Simulations!$I$3:$I$62,MATCH($A109,Simulations!$A$3:$A$62,0))&gt;0,INDEX(Simulations!$I$3:$I$62,MATCH($A109,Simulations!$A$3:$A$62,0)),1))*INDEX(Simulations!$J$3:$J$62,MATCH($A109,Simulations!$A$3:$A$62,0))*IF(INDEX(Simulations!$I$3:$I$62,MATCH($A109,Simulations!$A$3:$A$62,0))&gt;0,2*PI()*INDEX(Simulations!$T$3:$T$62,MATCH($A109,Simulations!$A$3:$A$62,0))^2*INDEX(Simulations!$U$3:$U$62,MATCH($A109,Simulations!$A$3:$A$62,0))/2^1.5*(2/3*LN($E109/INDEX(Simulations!$J$3:$J$62,MATCH($A109,Simulations!$A$3:$A$62,0)))^1.5+SQRT(LN($E109/INDEX(Simulations!$J$3:$J$62,MATCH($A109,Simulations!$A$3:$A$62,0))))+$E109/INDEX(Simulations!$J$3:$J$62,MATCH($A109,Simulations!$A$3:$A$62,0))*SQRT(PI())/2*ERFC(SQRT(LN($E109/INDEX(Simulations!$J$3:$J$62,MATCH($A109,Simulations!$A$3:$A$62,0)))))),PI()*INDEX(Simulations!$T$3:$T$62,MATCH($A109,Simulations!$A$3:$A$62,0))^2/2*(LN($E109/INDEX(Simulations!$J$3:$J$62,MATCH($A109,Simulations!$A$3:$A$62,0)))+1)))))</f>
        <v/>
      </c>
      <c r="R109" s="16" t="str">
        <f aca="false">IF(OR($A109="",ISNA(MATCH($A109,Simulations!$A$3:$A$62,0))),"",IF(N($F109)&lt;=0,0,IF($F109&lt;INDEX(Simulations!$J$3:$J$62,MATCH($A109,Simulations!$A$3:$A$62,0)),$D109/(INDEX(Simulations!$G$3:$G$62,MATCH($A109,Simulations!$A$3:$A$62,0))*INDEX(Simulations!$H$3:$H$62,MATCH($A109,Simulations!$A$3:$A$62,0))*IF(INDEX(Simulations!$I$3:$I$62,MATCH($A109,Simulations!$A$3:$A$62,0))&gt;0,INDEX(Simulations!$I$3:$I$62,MATCH($A109,Simulations!$A$3:$A$62,0)),1))*$F109*(PI()/2*INDEX(Simulations!$T$3:$T$62,MATCH($A109,Simulations!$A$3:$A$62,0))^2*IF(INDEX(Simulations!$I$3:$I$62,MATCH($A109,Simulations!$A$3:$A$62,0))&gt;0,SQRT(PI()/2)*INDEX(Simulations!$U$3:$U$62,MATCH($A109,Simulations!$A$3:$A$62,0)),1)),$D109/(INDEX(Simulations!$G$3:$G$62,MATCH($A109,Simulations!$A$3:$A$62,0))*INDEX(Simulations!$H$3:$H$62,MATCH($A109,Simulations!$A$3:$A$62,0))*IF(INDEX(Simulations!$I$3:$I$62,MATCH($A109,Simulations!$A$3:$A$62,0))&gt;0,INDEX(Simulations!$I$3:$I$62,MATCH($A109,Simulations!$A$3:$A$62,0)),1))*INDEX(Simulations!$J$3:$J$62,MATCH($A109,Simulations!$A$3:$A$62,0))*IF(INDEX(Simulations!$I$3:$I$62,MATCH($A109,Simulations!$A$3:$A$62,0))&gt;0,2*PI()*INDEX(Simulations!$T$3:$T$62,MATCH($A109,Simulations!$A$3:$A$62,0))^2*INDEX(Simulations!$U$3:$U$62,MATCH($A109,Simulations!$A$3:$A$62,0))/2^1.5*(2/3*LN($F109/INDEX(Simulations!$J$3:$J$62,MATCH($A109,Simulations!$A$3:$A$62,0)))^1.5+SQRT(LN($F109/INDEX(Simulations!$J$3:$J$62,MATCH($A109,Simulations!$A$3:$A$62,0))))+$F109/INDEX(Simulations!$J$3:$J$62,MATCH($A109,Simulations!$A$3:$A$62,0))*SQRT(PI())/2*ERFC(SQRT(LN($F109/INDEX(Simulations!$J$3:$J$62,MATCH($A109,Simulations!$A$3:$A$62,0)))))),PI()*INDEX(Simulations!$T$3:$T$62,MATCH($A109,Simulations!$A$3:$A$62,0))^2/2*(LN($F109/INDEX(Simulations!$J$3:$J$62,MATCH($A109,Simulations!$A$3:$A$62,0)))+1)))))</f>
        <v/>
      </c>
      <c r="S109" s="16" t="str">
        <f aca="false">IF(OR($A109="",ISNA(MATCH($A109,Simulations!$A$3:$A$62,0))),"",IF(N($G109)&lt;=0,0,IF($G109&lt;INDEX(Simulations!$J$3:$J$62,MATCH($A109,Simulations!$A$3:$A$62,0)),$D109/(INDEX(Simulations!$G$3:$G$62,MATCH($A109,Simulations!$A$3:$A$62,0))*INDEX(Simulations!$H$3:$H$62,MATCH($A109,Simulations!$A$3:$A$62,0))*IF(INDEX(Simulations!$I$3:$I$62,MATCH($A109,Simulations!$A$3:$A$62,0))&gt;0,INDEX(Simulations!$I$3:$I$62,MATCH($A109,Simulations!$A$3:$A$62,0)),1))*$G109*(PI()/2*INDEX(Simulations!$T$3:$T$62,MATCH($A109,Simulations!$A$3:$A$62,0))^2*IF(INDEX(Simulations!$I$3:$I$62,MATCH($A109,Simulations!$A$3:$A$62,0))&gt;0,SQRT(PI()/2)*INDEX(Simulations!$U$3:$U$62,MATCH($A109,Simulations!$A$3:$A$62,0)),1)),$D109/(INDEX(Simulations!$G$3:$G$62,MATCH($A109,Simulations!$A$3:$A$62,0))*INDEX(Simulations!$H$3:$H$62,MATCH($A109,Simulations!$A$3:$A$62,0))*IF(INDEX(Simulations!$I$3:$I$62,MATCH($A109,Simulations!$A$3:$A$62,0))&gt;0,INDEX(Simulations!$I$3:$I$62,MATCH($A109,Simulations!$A$3:$A$62,0)),1))*INDEX(Simulations!$J$3:$J$62,MATCH($A109,Simulations!$A$3:$A$62,0))*IF(INDEX(Simulations!$I$3:$I$62,MATCH($A109,Simulations!$A$3:$A$62,0))&gt;0,2*PI()*INDEX(Simulations!$T$3:$T$62,MATCH($A109,Simulations!$A$3:$A$62,0))^2*INDEX(Simulations!$U$3:$U$62,MATCH($A109,Simulations!$A$3:$A$62,0))/2^1.5*(2/3*LN($G109/INDEX(Simulations!$J$3:$J$62,MATCH($A109,Simulations!$A$3:$A$62,0)))^1.5+SQRT(LN($G109/INDEX(Simulations!$J$3:$J$62,MATCH($A109,Simulations!$A$3:$A$62,0))))+$G109/INDEX(Simulations!$J$3:$J$62,MATCH($A109,Simulations!$A$3:$A$62,0))*SQRT(PI())/2*ERFC(SQRT(LN($G109/INDEX(Simulations!$J$3:$J$62,MATCH($A109,Simulations!$A$3:$A$62,0)))))),PI()*INDEX(Simulations!$T$3:$T$62,MATCH($A109,Simulations!$A$3:$A$62,0))^2/2*(LN($G109/INDEX(Simulations!$J$3:$J$62,MATCH($A109,Simulations!$A$3:$A$62,0)))+1)))))</f>
        <v/>
      </c>
      <c r="T109" s="16" t="str">
        <f aca="false">IF(OR($A109="",ISNA(MATCH($A109,Simulations!$A$3:$A$62,0))),"",IF(N($H109)&lt;=0,0,IF($H109&lt;INDEX(Simulations!$J$3:$J$62,MATCH($A109,Simulations!$A$3:$A$62,0)),$D109/(INDEX(Simulations!$G$3:$G$62,MATCH($A109,Simulations!$A$3:$A$62,0))*INDEX(Simulations!$H$3:$H$62,MATCH($A109,Simulations!$A$3:$A$62,0))*IF(INDEX(Simulations!$I$3:$I$62,MATCH($A109,Simulations!$A$3:$A$62,0))&gt;0,INDEX(Simulations!$I$3:$I$62,MATCH($A109,Simulations!$A$3:$A$62,0)),1))*$H109*(PI()/2*INDEX(Simulations!$T$3:$T$62,MATCH($A109,Simulations!$A$3:$A$62,0))^2*IF(INDEX(Simulations!$I$3:$I$62,MATCH($A109,Simulations!$A$3:$A$62,0))&gt;0,SQRT(PI()/2)*INDEX(Simulations!$U$3:$U$62,MATCH($A109,Simulations!$A$3:$A$62,0)),1)),$D109/(INDEX(Simulations!$G$3:$G$62,MATCH($A109,Simulations!$A$3:$A$62,0))*INDEX(Simulations!$H$3:$H$62,MATCH($A109,Simulations!$A$3:$A$62,0))*IF(INDEX(Simulations!$I$3:$I$62,MATCH($A109,Simulations!$A$3:$A$62,0))&gt;0,INDEX(Simulations!$I$3:$I$62,MATCH($A109,Simulations!$A$3:$A$62,0)),1))*INDEX(Simulations!$J$3:$J$62,MATCH($A109,Simulations!$A$3:$A$62,0))*IF(INDEX(Simulations!$I$3:$I$62,MATCH($A109,Simulations!$A$3:$A$62,0))&gt;0,2*PI()*INDEX(Simulations!$T$3:$T$62,MATCH($A109,Simulations!$A$3:$A$62,0))^2*INDEX(Simulations!$U$3:$U$62,MATCH($A109,Simulations!$A$3:$A$62,0))/2^1.5*(2/3*LN($H109/INDEX(Simulations!$J$3:$J$62,MATCH($A109,Simulations!$A$3:$A$62,0)))^1.5+SQRT(LN($H109/INDEX(Simulations!$J$3:$J$62,MATCH($A109,Simulations!$A$3:$A$62,0))))+$H109/INDEX(Simulations!$J$3:$J$62,MATCH($A109,Simulations!$A$3:$A$62,0))*SQRT(PI())/2*ERFC(SQRT(LN($H109/INDEX(Simulations!$J$3:$J$62,MATCH($A109,Simulations!$A$3:$A$62,0)))))),PI()*INDEX(Simulations!$T$3:$T$62,MATCH($A109,Simulations!$A$3:$A$62,0))^2/2*(LN($H109/INDEX(Simulations!$J$3:$J$62,MATCH($A109,Simulations!$A$3:$A$62,0)))+1)))))</f>
        <v/>
      </c>
      <c r="U109" s="18" t="str">
        <f aca="false">IF(OR(OR($A109="",ISNA(MATCH($A109,Simulations!$A$3:$A$62,0))),N($C109)&lt;=0),"",SQRT(2*$C109*1000000/(INDEX(Simulations!$J$3:$J$62,MATCH($A109,Simulations!$A$3:$A$62,0))*1000))/INDEX(Simulations!$T$3:$T$62,MATCH($A109,Simulations!$A$3:$A$62,0)))</f>
        <v/>
      </c>
      <c r="V109" s="19" t="str">
        <f aca="false">IF($A109="","",IF(ISNA(MATCH($A109,Simulations!$A$3:$A$62,0)),"✖ Sim ID not found on the Simulations sheet",IF($P109&gt;=1,"✖ brightness &gt;= sampling frequency: completely saturated (D too small, c too large)",IF($P109&gt;0.1,"⚠ brightness &gt; 10% of the sampling frequency: focus starts to saturate",IF(N($U109)&gt;0.1,"⚠ diffusion step &gt; 10% of wr: raise the sampling frequency",IF(MAX($E109:$H109)=0,"⚠ no brightness set","✔ OK"))))))</f>
        <v/>
      </c>
    </row>
    <row r="110" customFormat="false" ht="15" hidden="false" customHeight="false" outlineLevel="0" collapsed="false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4"/>
      <c r="O110" s="18" t="str">
        <f aca="false">IF(OR($A110="",ISNA(MATCH($A110,Simulations!$A$3:$A$62,0))),"",IF(INDEX(Simulations!$I$3:$I$62,MATCH($A110,Simulations!$A$3:$A$62,0))&gt;0,$D110/(INDEX(Simulations!$G$3:$G$62,MATCH($A110,Simulations!$A$3:$A$62,0))*INDEX(Simulations!$H$3:$H$62,MATCH($A110,Simulations!$A$3:$A$62,0))*IF(INDEX(Simulations!$I$3:$I$62,MATCH($A110,Simulations!$A$3:$A$62,0))&gt;0,INDEX(Simulations!$I$3:$I$62,MATCH($A110,Simulations!$A$3:$A$62,0)),1))/1E-024/6.022E+023/0.000000001,""))</f>
        <v/>
      </c>
      <c r="P110" s="20" t="str">
        <f aca="false">IF(OR($A110="",ISNA(MATCH($A110,Simulations!$A$3:$A$62,0))),"",MAX($E110:$H110)/INDEX(Simulations!$J$3:$J$62,MATCH($A110,Simulations!$A$3:$A$62,0)))</f>
        <v/>
      </c>
      <c r="Q110" s="16" t="str">
        <f aca="false">IF(OR($A110="",ISNA(MATCH($A110,Simulations!$A$3:$A$62,0))),"",IF(N($E110)&lt;=0,0,IF($E110&lt;INDEX(Simulations!$J$3:$J$62,MATCH($A110,Simulations!$A$3:$A$62,0)),$D110/(INDEX(Simulations!$G$3:$G$62,MATCH($A110,Simulations!$A$3:$A$62,0))*INDEX(Simulations!$H$3:$H$62,MATCH($A110,Simulations!$A$3:$A$62,0))*IF(INDEX(Simulations!$I$3:$I$62,MATCH($A110,Simulations!$A$3:$A$62,0))&gt;0,INDEX(Simulations!$I$3:$I$62,MATCH($A110,Simulations!$A$3:$A$62,0)),1))*$E110*(PI()/2*INDEX(Simulations!$T$3:$T$62,MATCH($A110,Simulations!$A$3:$A$62,0))^2*IF(INDEX(Simulations!$I$3:$I$62,MATCH($A110,Simulations!$A$3:$A$62,0))&gt;0,SQRT(PI()/2)*INDEX(Simulations!$U$3:$U$62,MATCH($A110,Simulations!$A$3:$A$62,0)),1)),$D110/(INDEX(Simulations!$G$3:$G$62,MATCH($A110,Simulations!$A$3:$A$62,0))*INDEX(Simulations!$H$3:$H$62,MATCH($A110,Simulations!$A$3:$A$62,0))*IF(INDEX(Simulations!$I$3:$I$62,MATCH($A110,Simulations!$A$3:$A$62,0))&gt;0,INDEX(Simulations!$I$3:$I$62,MATCH($A110,Simulations!$A$3:$A$62,0)),1))*INDEX(Simulations!$J$3:$J$62,MATCH($A110,Simulations!$A$3:$A$62,0))*IF(INDEX(Simulations!$I$3:$I$62,MATCH($A110,Simulations!$A$3:$A$62,0))&gt;0,2*PI()*INDEX(Simulations!$T$3:$T$62,MATCH($A110,Simulations!$A$3:$A$62,0))^2*INDEX(Simulations!$U$3:$U$62,MATCH($A110,Simulations!$A$3:$A$62,0))/2^1.5*(2/3*LN($E110/INDEX(Simulations!$J$3:$J$62,MATCH($A110,Simulations!$A$3:$A$62,0)))^1.5+SQRT(LN($E110/INDEX(Simulations!$J$3:$J$62,MATCH($A110,Simulations!$A$3:$A$62,0))))+$E110/INDEX(Simulations!$J$3:$J$62,MATCH($A110,Simulations!$A$3:$A$62,0))*SQRT(PI())/2*ERFC(SQRT(LN($E110/INDEX(Simulations!$J$3:$J$62,MATCH($A110,Simulations!$A$3:$A$62,0)))))),PI()*INDEX(Simulations!$T$3:$T$62,MATCH($A110,Simulations!$A$3:$A$62,0))^2/2*(LN($E110/INDEX(Simulations!$J$3:$J$62,MATCH($A110,Simulations!$A$3:$A$62,0)))+1)))))</f>
        <v/>
      </c>
      <c r="R110" s="16" t="str">
        <f aca="false">IF(OR($A110="",ISNA(MATCH($A110,Simulations!$A$3:$A$62,0))),"",IF(N($F110)&lt;=0,0,IF($F110&lt;INDEX(Simulations!$J$3:$J$62,MATCH($A110,Simulations!$A$3:$A$62,0)),$D110/(INDEX(Simulations!$G$3:$G$62,MATCH($A110,Simulations!$A$3:$A$62,0))*INDEX(Simulations!$H$3:$H$62,MATCH($A110,Simulations!$A$3:$A$62,0))*IF(INDEX(Simulations!$I$3:$I$62,MATCH($A110,Simulations!$A$3:$A$62,0))&gt;0,INDEX(Simulations!$I$3:$I$62,MATCH($A110,Simulations!$A$3:$A$62,0)),1))*$F110*(PI()/2*INDEX(Simulations!$T$3:$T$62,MATCH($A110,Simulations!$A$3:$A$62,0))^2*IF(INDEX(Simulations!$I$3:$I$62,MATCH($A110,Simulations!$A$3:$A$62,0))&gt;0,SQRT(PI()/2)*INDEX(Simulations!$U$3:$U$62,MATCH($A110,Simulations!$A$3:$A$62,0)),1)),$D110/(INDEX(Simulations!$G$3:$G$62,MATCH($A110,Simulations!$A$3:$A$62,0))*INDEX(Simulations!$H$3:$H$62,MATCH($A110,Simulations!$A$3:$A$62,0))*IF(INDEX(Simulations!$I$3:$I$62,MATCH($A110,Simulations!$A$3:$A$62,0))&gt;0,INDEX(Simulations!$I$3:$I$62,MATCH($A110,Simulations!$A$3:$A$62,0)),1))*INDEX(Simulations!$J$3:$J$62,MATCH($A110,Simulations!$A$3:$A$62,0))*IF(INDEX(Simulations!$I$3:$I$62,MATCH($A110,Simulations!$A$3:$A$62,0))&gt;0,2*PI()*INDEX(Simulations!$T$3:$T$62,MATCH($A110,Simulations!$A$3:$A$62,0))^2*INDEX(Simulations!$U$3:$U$62,MATCH($A110,Simulations!$A$3:$A$62,0))/2^1.5*(2/3*LN($F110/INDEX(Simulations!$J$3:$J$62,MATCH($A110,Simulations!$A$3:$A$62,0)))^1.5+SQRT(LN($F110/INDEX(Simulations!$J$3:$J$62,MATCH($A110,Simulations!$A$3:$A$62,0))))+$F110/INDEX(Simulations!$J$3:$J$62,MATCH($A110,Simulations!$A$3:$A$62,0))*SQRT(PI())/2*ERFC(SQRT(LN($F110/INDEX(Simulations!$J$3:$J$62,MATCH($A110,Simulations!$A$3:$A$62,0)))))),PI()*INDEX(Simulations!$T$3:$T$62,MATCH($A110,Simulations!$A$3:$A$62,0))^2/2*(LN($F110/INDEX(Simulations!$J$3:$J$62,MATCH($A110,Simulations!$A$3:$A$62,0)))+1)))))</f>
        <v/>
      </c>
      <c r="S110" s="16" t="str">
        <f aca="false">IF(OR($A110="",ISNA(MATCH($A110,Simulations!$A$3:$A$62,0))),"",IF(N($G110)&lt;=0,0,IF($G110&lt;INDEX(Simulations!$J$3:$J$62,MATCH($A110,Simulations!$A$3:$A$62,0)),$D110/(INDEX(Simulations!$G$3:$G$62,MATCH($A110,Simulations!$A$3:$A$62,0))*INDEX(Simulations!$H$3:$H$62,MATCH($A110,Simulations!$A$3:$A$62,0))*IF(INDEX(Simulations!$I$3:$I$62,MATCH($A110,Simulations!$A$3:$A$62,0))&gt;0,INDEX(Simulations!$I$3:$I$62,MATCH($A110,Simulations!$A$3:$A$62,0)),1))*$G110*(PI()/2*INDEX(Simulations!$T$3:$T$62,MATCH($A110,Simulations!$A$3:$A$62,0))^2*IF(INDEX(Simulations!$I$3:$I$62,MATCH($A110,Simulations!$A$3:$A$62,0))&gt;0,SQRT(PI()/2)*INDEX(Simulations!$U$3:$U$62,MATCH($A110,Simulations!$A$3:$A$62,0)),1)),$D110/(INDEX(Simulations!$G$3:$G$62,MATCH($A110,Simulations!$A$3:$A$62,0))*INDEX(Simulations!$H$3:$H$62,MATCH($A110,Simulations!$A$3:$A$62,0))*IF(INDEX(Simulations!$I$3:$I$62,MATCH($A110,Simulations!$A$3:$A$62,0))&gt;0,INDEX(Simulations!$I$3:$I$62,MATCH($A110,Simulations!$A$3:$A$62,0)),1))*INDEX(Simulations!$J$3:$J$62,MATCH($A110,Simulations!$A$3:$A$62,0))*IF(INDEX(Simulations!$I$3:$I$62,MATCH($A110,Simulations!$A$3:$A$62,0))&gt;0,2*PI()*INDEX(Simulations!$T$3:$T$62,MATCH($A110,Simulations!$A$3:$A$62,0))^2*INDEX(Simulations!$U$3:$U$62,MATCH($A110,Simulations!$A$3:$A$62,0))/2^1.5*(2/3*LN($G110/INDEX(Simulations!$J$3:$J$62,MATCH($A110,Simulations!$A$3:$A$62,0)))^1.5+SQRT(LN($G110/INDEX(Simulations!$J$3:$J$62,MATCH($A110,Simulations!$A$3:$A$62,0))))+$G110/INDEX(Simulations!$J$3:$J$62,MATCH($A110,Simulations!$A$3:$A$62,0))*SQRT(PI())/2*ERFC(SQRT(LN($G110/INDEX(Simulations!$J$3:$J$62,MATCH($A110,Simulations!$A$3:$A$62,0)))))),PI()*INDEX(Simulations!$T$3:$T$62,MATCH($A110,Simulations!$A$3:$A$62,0))^2/2*(LN($G110/INDEX(Simulations!$J$3:$J$62,MATCH($A110,Simulations!$A$3:$A$62,0)))+1)))))</f>
        <v/>
      </c>
      <c r="T110" s="16" t="str">
        <f aca="false">IF(OR($A110="",ISNA(MATCH($A110,Simulations!$A$3:$A$62,0))),"",IF(N($H110)&lt;=0,0,IF($H110&lt;INDEX(Simulations!$J$3:$J$62,MATCH($A110,Simulations!$A$3:$A$62,0)),$D110/(INDEX(Simulations!$G$3:$G$62,MATCH($A110,Simulations!$A$3:$A$62,0))*INDEX(Simulations!$H$3:$H$62,MATCH($A110,Simulations!$A$3:$A$62,0))*IF(INDEX(Simulations!$I$3:$I$62,MATCH($A110,Simulations!$A$3:$A$62,0))&gt;0,INDEX(Simulations!$I$3:$I$62,MATCH($A110,Simulations!$A$3:$A$62,0)),1))*$H110*(PI()/2*INDEX(Simulations!$T$3:$T$62,MATCH($A110,Simulations!$A$3:$A$62,0))^2*IF(INDEX(Simulations!$I$3:$I$62,MATCH($A110,Simulations!$A$3:$A$62,0))&gt;0,SQRT(PI()/2)*INDEX(Simulations!$U$3:$U$62,MATCH($A110,Simulations!$A$3:$A$62,0)),1)),$D110/(INDEX(Simulations!$G$3:$G$62,MATCH($A110,Simulations!$A$3:$A$62,0))*INDEX(Simulations!$H$3:$H$62,MATCH($A110,Simulations!$A$3:$A$62,0))*IF(INDEX(Simulations!$I$3:$I$62,MATCH($A110,Simulations!$A$3:$A$62,0))&gt;0,INDEX(Simulations!$I$3:$I$62,MATCH($A110,Simulations!$A$3:$A$62,0)),1))*INDEX(Simulations!$J$3:$J$62,MATCH($A110,Simulations!$A$3:$A$62,0))*IF(INDEX(Simulations!$I$3:$I$62,MATCH($A110,Simulations!$A$3:$A$62,0))&gt;0,2*PI()*INDEX(Simulations!$T$3:$T$62,MATCH($A110,Simulations!$A$3:$A$62,0))^2*INDEX(Simulations!$U$3:$U$62,MATCH($A110,Simulations!$A$3:$A$62,0))/2^1.5*(2/3*LN($H110/INDEX(Simulations!$J$3:$J$62,MATCH($A110,Simulations!$A$3:$A$62,0)))^1.5+SQRT(LN($H110/INDEX(Simulations!$J$3:$J$62,MATCH($A110,Simulations!$A$3:$A$62,0))))+$H110/INDEX(Simulations!$J$3:$J$62,MATCH($A110,Simulations!$A$3:$A$62,0))*SQRT(PI())/2*ERFC(SQRT(LN($H110/INDEX(Simulations!$J$3:$J$62,MATCH($A110,Simulations!$A$3:$A$62,0)))))),PI()*INDEX(Simulations!$T$3:$T$62,MATCH($A110,Simulations!$A$3:$A$62,0))^2/2*(LN($H110/INDEX(Simulations!$J$3:$J$62,MATCH($A110,Simulations!$A$3:$A$62,0)))+1)))))</f>
        <v/>
      </c>
      <c r="U110" s="18" t="str">
        <f aca="false">IF(OR(OR($A110="",ISNA(MATCH($A110,Simulations!$A$3:$A$62,0))),N($C110)&lt;=0),"",SQRT(2*$C110*1000000/(INDEX(Simulations!$J$3:$J$62,MATCH($A110,Simulations!$A$3:$A$62,0))*1000))/INDEX(Simulations!$T$3:$T$62,MATCH($A110,Simulations!$A$3:$A$62,0)))</f>
        <v/>
      </c>
      <c r="V110" s="19" t="str">
        <f aca="false">IF($A110="","",IF(ISNA(MATCH($A110,Simulations!$A$3:$A$62,0)),"✖ Sim ID not found on the Simulations sheet",IF($P110&gt;=1,"✖ brightness &gt;= sampling frequency: completely saturated (D too small, c too large)",IF($P110&gt;0.1,"⚠ brightness &gt; 10% of the sampling frequency: focus starts to saturate",IF(N($U110)&gt;0.1,"⚠ diffusion step &gt; 10% of wr: raise the sampling frequency",IF(MAX($E110:$H110)=0,"⚠ no brightness set","✔ OK"))))))</f>
        <v/>
      </c>
    </row>
    <row r="111" customFormat="false" ht="15" hidden="false" customHeight="false" outlineLevel="0" collapsed="false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4"/>
      <c r="O111" s="18" t="str">
        <f aca="false">IF(OR($A111="",ISNA(MATCH($A111,Simulations!$A$3:$A$62,0))),"",IF(INDEX(Simulations!$I$3:$I$62,MATCH($A111,Simulations!$A$3:$A$62,0))&gt;0,$D111/(INDEX(Simulations!$G$3:$G$62,MATCH($A111,Simulations!$A$3:$A$62,0))*INDEX(Simulations!$H$3:$H$62,MATCH($A111,Simulations!$A$3:$A$62,0))*IF(INDEX(Simulations!$I$3:$I$62,MATCH($A111,Simulations!$A$3:$A$62,0))&gt;0,INDEX(Simulations!$I$3:$I$62,MATCH($A111,Simulations!$A$3:$A$62,0)),1))/1E-024/6.022E+023/0.000000001,""))</f>
        <v/>
      </c>
      <c r="P111" s="20" t="str">
        <f aca="false">IF(OR($A111="",ISNA(MATCH($A111,Simulations!$A$3:$A$62,0))),"",MAX($E111:$H111)/INDEX(Simulations!$J$3:$J$62,MATCH($A111,Simulations!$A$3:$A$62,0)))</f>
        <v/>
      </c>
      <c r="Q111" s="16" t="str">
        <f aca="false">IF(OR($A111="",ISNA(MATCH($A111,Simulations!$A$3:$A$62,0))),"",IF(N($E111)&lt;=0,0,IF($E111&lt;INDEX(Simulations!$J$3:$J$62,MATCH($A111,Simulations!$A$3:$A$62,0)),$D111/(INDEX(Simulations!$G$3:$G$62,MATCH($A111,Simulations!$A$3:$A$62,0))*INDEX(Simulations!$H$3:$H$62,MATCH($A111,Simulations!$A$3:$A$62,0))*IF(INDEX(Simulations!$I$3:$I$62,MATCH($A111,Simulations!$A$3:$A$62,0))&gt;0,INDEX(Simulations!$I$3:$I$62,MATCH($A111,Simulations!$A$3:$A$62,0)),1))*$E111*(PI()/2*INDEX(Simulations!$T$3:$T$62,MATCH($A111,Simulations!$A$3:$A$62,0))^2*IF(INDEX(Simulations!$I$3:$I$62,MATCH($A111,Simulations!$A$3:$A$62,0))&gt;0,SQRT(PI()/2)*INDEX(Simulations!$U$3:$U$62,MATCH($A111,Simulations!$A$3:$A$62,0)),1)),$D111/(INDEX(Simulations!$G$3:$G$62,MATCH($A111,Simulations!$A$3:$A$62,0))*INDEX(Simulations!$H$3:$H$62,MATCH($A111,Simulations!$A$3:$A$62,0))*IF(INDEX(Simulations!$I$3:$I$62,MATCH($A111,Simulations!$A$3:$A$62,0))&gt;0,INDEX(Simulations!$I$3:$I$62,MATCH($A111,Simulations!$A$3:$A$62,0)),1))*INDEX(Simulations!$J$3:$J$62,MATCH($A111,Simulations!$A$3:$A$62,0))*IF(INDEX(Simulations!$I$3:$I$62,MATCH($A111,Simulations!$A$3:$A$62,0))&gt;0,2*PI()*INDEX(Simulations!$T$3:$T$62,MATCH($A111,Simulations!$A$3:$A$62,0))^2*INDEX(Simulations!$U$3:$U$62,MATCH($A111,Simulations!$A$3:$A$62,0))/2^1.5*(2/3*LN($E111/INDEX(Simulations!$J$3:$J$62,MATCH($A111,Simulations!$A$3:$A$62,0)))^1.5+SQRT(LN($E111/INDEX(Simulations!$J$3:$J$62,MATCH($A111,Simulations!$A$3:$A$62,0))))+$E111/INDEX(Simulations!$J$3:$J$62,MATCH($A111,Simulations!$A$3:$A$62,0))*SQRT(PI())/2*ERFC(SQRT(LN($E111/INDEX(Simulations!$J$3:$J$62,MATCH($A111,Simulations!$A$3:$A$62,0)))))),PI()*INDEX(Simulations!$T$3:$T$62,MATCH($A111,Simulations!$A$3:$A$62,0))^2/2*(LN($E111/INDEX(Simulations!$J$3:$J$62,MATCH($A111,Simulations!$A$3:$A$62,0)))+1)))))</f>
        <v/>
      </c>
      <c r="R111" s="16" t="str">
        <f aca="false">IF(OR($A111="",ISNA(MATCH($A111,Simulations!$A$3:$A$62,0))),"",IF(N($F111)&lt;=0,0,IF($F111&lt;INDEX(Simulations!$J$3:$J$62,MATCH($A111,Simulations!$A$3:$A$62,0)),$D111/(INDEX(Simulations!$G$3:$G$62,MATCH($A111,Simulations!$A$3:$A$62,0))*INDEX(Simulations!$H$3:$H$62,MATCH($A111,Simulations!$A$3:$A$62,0))*IF(INDEX(Simulations!$I$3:$I$62,MATCH($A111,Simulations!$A$3:$A$62,0))&gt;0,INDEX(Simulations!$I$3:$I$62,MATCH($A111,Simulations!$A$3:$A$62,0)),1))*$F111*(PI()/2*INDEX(Simulations!$T$3:$T$62,MATCH($A111,Simulations!$A$3:$A$62,0))^2*IF(INDEX(Simulations!$I$3:$I$62,MATCH($A111,Simulations!$A$3:$A$62,0))&gt;0,SQRT(PI()/2)*INDEX(Simulations!$U$3:$U$62,MATCH($A111,Simulations!$A$3:$A$62,0)),1)),$D111/(INDEX(Simulations!$G$3:$G$62,MATCH($A111,Simulations!$A$3:$A$62,0))*INDEX(Simulations!$H$3:$H$62,MATCH($A111,Simulations!$A$3:$A$62,0))*IF(INDEX(Simulations!$I$3:$I$62,MATCH($A111,Simulations!$A$3:$A$62,0))&gt;0,INDEX(Simulations!$I$3:$I$62,MATCH($A111,Simulations!$A$3:$A$62,0)),1))*INDEX(Simulations!$J$3:$J$62,MATCH($A111,Simulations!$A$3:$A$62,0))*IF(INDEX(Simulations!$I$3:$I$62,MATCH($A111,Simulations!$A$3:$A$62,0))&gt;0,2*PI()*INDEX(Simulations!$T$3:$T$62,MATCH($A111,Simulations!$A$3:$A$62,0))^2*INDEX(Simulations!$U$3:$U$62,MATCH($A111,Simulations!$A$3:$A$62,0))/2^1.5*(2/3*LN($F111/INDEX(Simulations!$J$3:$J$62,MATCH($A111,Simulations!$A$3:$A$62,0)))^1.5+SQRT(LN($F111/INDEX(Simulations!$J$3:$J$62,MATCH($A111,Simulations!$A$3:$A$62,0))))+$F111/INDEX(Simulations!$J$3:$J$62,MATCH($A111,Simulations!$A$3:$A$62,0))*SQRT(PI())/2*ERFC(SQRT(LN($F111/INDEX(Simulations!$J$3:$J$62,MATCH($A111,Simulations!$A$3:$A$62,0)))))),PI()*INDEX(Simulations!$T$3:$T$62,MATCH($A111,Simulations!$A$3:$A$62,0))^2/2*(LN($F111/INDEX(Simulations!$J$3:$J$62,MATCH($A111,Simulations!$A$3:$A$62,0)))+1)))))</f>
        <v/>
      </c>
      <c r="S111" s="16" t="str">
        <f aca="false">IF(OR($A111="",ISNA(MATCH($A111,Simulations!$A$3:$A$62,0))),"",IF(N($G111)&lt;=0,0,IF($G111&lt;INDEX(Simulations!$J$3:$J$62,MATCH($A111,Simulations!$A$3:$A$62,0)),$D111/(INDEX(Simulations!$G$3:$G$62,MATCH($A111,Simulations!$A$3:$A$62,0))*INDEX(Simulations!$H$3:$H$62,MATCH($A111,Simulations!$A$3:$A$62,0))*IF(INDEX(Simulations!$I$3:$I$62,MATCH($A111,Simulations!$A$3:$A$62,0))&gt;0,INDEX(Simulations!$I$3:$I$62,MATCH($A111,Simulations!$A$3:$A$62,0)),1))*$G111*(PI()/2*INDEX(Simulations!$T$3:$T$62,MATCH($A111,Simulations!$A$3:$A$62,0))^2*IF(INDEX(Simulations!$I$3:$I$62,MATCH($A111,Simulations!$A$3:$A$62,0))&gt;0,SQRT(PI()/2)*INDEX(Simulations!$U$3:$U$62,MATCH($A111,Simulations!$A$3:$A$62,0)),1)),$D111/(INDEX(Simulations!$G$3:$G$62,MATCH($A111,Simulations!$A$3:$A$62,0))*INDEX(Simulations!$H$3:$H$62,MATCH($A111,Simulations!$A$3:$A$62,0))*IF(INDEX(Simulations!$I$3:$I$62,MATCH($A111,Simulations!$A$3:$A$62,0))&gt;0,INDEX(Simulations!$I$3:$I$62,MATCH($A111,Simulations!$A$3:$A$62,0)),1))*INDEX(Simulations!$J$3:$J$62,MATCH($A111,Simulations!$A$3:$A$62,0))*IF(INDEX(Simulations!$I$3:$I$62,MATCH($A111,Simulations!$A$3:$A$62,0))&gt;0,2*PI()*INDEX(Simulations!$T$3:$T$62,MATCH($A111,Simulations!$A$3:$A$62,0))^2*INDEX(Simulations!$U$3:$U$62,MATCH($A111,Simulations!$A$3:$A$62,0))/2^1.5*(2/3*LN($G111/INDEX(Simulations!$J$3:$J$62,MATCH($A111,Simulations!$A$3:$A$62,0)))^1.5+SQRT(LN($G111/INDEX(Simulations!$J$3:$J$62,MATCH($A111,Simulations!$A$3:$A$62,0))))+$G111/INDEX(Simulations!$J$3:$J$62,MATCH($A111,Simulations!$A$3:$A$62,0))*SQRT(PI())/2*ERFC(SQRT(LN($G111/INDEX(Simulations!$J$3:$J$62,MATCH($A111,Simulations!$A$3:$A$62,0)))))),PI()*INDEX(Simulations!$T$3:$T$62,MATCH($A111,Simulations!$A$3:$A$62,0))^2/2*(LN($G111/INDEX(Simulations!$J$3:$J$62,MATCH($A111,Simulations!$A$3:$A$62,0)))+1)))))</f>
        <v/>
      </c>
      <c r="T111" s="16" t="str">
        <f aca="false">IF(OR($A111="",ISNA(MATCH($A111,Simulations!$A$3:$A$62,0))),"",IF(N($H111)&lt;=0,0,IF($H111&lt;INDEX(Simulations!$J$3:$J$62,MATCH($A111,Simulations!$A$3:$A$62,0)),$D111/(INDEX(Simulations!$G$3:$G$62,MATCH($A111,Simulations!$A$3:$A$62,0))*INDEX(Simulations!$H$3:$H$62,MATCH($A111,Simulations!$A$3:$A$62,0))*IF(INDEX(Simulations!$I$3:$I$62,MATCH($A111,Simulations!$A$3:$A$62,0))&gt;0,INDEX(Simulations!$I$3:$I$62,MATCH($A111,Simulations!$A$3:$A$62,0)),1))*$H111*(PI()/2*INDEX(Simulations!$T$3:$T$62,MATCH($A111,Simulations!$A$3:$A$62,0))^2*IF(INDEX(Simulations!$I$3:$I$62,MATCH($A111,Simulations!$A$3:$A$62,0))&gt;0,SQRT(PI()/2)*INDEX(Simulations!$U$3:$U$62,MATCH($A111,Simulations!$A$3:$A$62,0)),1)),$D111/(INDEX(Simulations!$G$3:$G$62,MATCH($A111,Simulations!$A$3:$A$62,0))*INDEX(Simulations!$H$3:$H$62,MATCH($A111,Simulations!$A$3:$A$62,0))*IF(INDEX(Simulations!$I$3:$I$62,MATCH($A111,Simulations!$A$3:$A$62,0))&gt;0,INDEX(Simulations!$I$3:$I$62,MATCH($A111,Simulations!$A$3:$A$62,0)),1))*INDEX(Simulations!$J$3:$J$62,MATCH($A111,Simulations!$A$3:$A$62,0))*IF(INDEX(Simulations!$I$3:$I$62,MATCH($A111,Simulations!$A$3:$A$62,0))&gt;0,2*PI()*INDEX(Simulations!$T$3:$T$62,MATCH($A111,Simulations!$A$3:$A$62,0))^2*INDEX(Simulations!$U$3:$U$62,MATCH($A111,Simulations!$A$3:$A$62,0))/2^1.5*(2/3*LN($H111/INDEX(Simulations!$J$3:$J$62,MATCH($A111,Simulations!$A$3:$A$62,0)))^1.5+SQRT(LN($H111/INDEX(Simulations!$J$3:$J$62,MATCH($A111,Simulations!$A$3:$A$62,0))))+$H111/INDEX(Simulations!$J$3:$J$62,MATCH($A111,Simulations!$A$3:$A$62,0))*SQRT(PI())/2*ERFC(SQRT(LN($H111/INDEX(Simulations!$J$3:$J$62,MATCH($A111,Simulations!$A$3:$A$62,0)))))),PI()*INDEX(Simulations!$T$3:$T$62,MATCH($A111,Simulations!$A$3:$A$62,0))^2/2*(LN($H111/INDEX(Simulations!$J$3:$J$62,MATCH($A111,Simulations!$A$3:$A$62,0)))+1)))))</f>
        <v/>
      </c>
      <c r="U111" s="18" t="str">
        <f aca="false">IF(OR(OR($A111="",ISNA(MATCH($A111,Simulations!$A$3:$A$62,0))),N($C111)&lt;=0),"",SQRT(2*$C111*1000000/(INDEX(Simulations!$J$3:$J$62,MATCH($A111,Simulations!$A$3:$A$62,0))*1000))/INDEX(Simulations!$T$3:$T$62,MATCH($A111,Simulations!$A$3:$A$62,0)))</f>
        <v/>
      </c>
      <c r="V111" s="19" t="str">
        <f aca="false">IF($A111="","",IF(ISNA(MATCH($A111,Simulations!$A$3:$A$62,0)),"✖ Sim ID not found on the Simulations sheet",IF($P111&gt;=1,"✖ brightness &gt;= sampling frequency: completely saturated (D too small, c too large)",IF($P111&gt;0.1,"⚠ brightness &gt; 10% of the sampling frequency: focus starts to saturate",IF(N($U111)&gt;0.1,"⚠ diffusion step &gt; 10% of wr: raise the sampling frequency",IF(MAX($E111:$H111)=0,"⚠ no brightness set","✔ OK"))))))</f>
        <v/>
      </c>
    </row>
    <row r="112" customFormat="false" ht="15" hidden="false" customHeight="false" outlineLevel="0" collapsed="false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4"/>
      <c r="O112" s="18" t="str">
        <f aca="false">IF(OR($A112="",ISNA(MATCH($A112,Simulations!$A$3:$A$62,0))),"",IF(INDEX(Simulations!$I$3:$I$62,MATCH($A112,Simulations!$A$3:$A$62,0))&gt;0,$D112/(INDEX(Simulations!$G$3:$G$62,MATCH($A112,Simulations!$A$3:$A$62,0))*INDEX(Simulations!$H$3:$H$62,MATCH($A112,Simulations!$A$3:$A$62,0))*IF(INDEX(Simulations!$I$3:$I$62,MATCH($A112,Simulations!$A$3:$A$62,0))&gt;0,INDEX(Simulations!$I$3:$I$62,MATCH($A112,Simulations!$A$3:$A$62,0)),1))/1E-024/6.022E+023/0.000000001,""))</f>
        <v/>
      </c>
      <c r="P112" s="20" t="str">
        <f aca="false">IF(OR($A112="",ISNA(MATCH($A112,Simulations!$A$3:$A$62,0))),"",MAX($E112:$H112)/INDEX(Simulations!$J$3:$J$62,MATCH($A112,Simulations!$A$3:$A$62,0)))</f>
        <v/>
      </c>
      <c r="Q112" s="16" t="str">
        <f aca="false">IF(OR($A112="",ISNA(MATCH($A112,Simulations!$A$3:$A$62,0))),"",IF(N($E112)&lt;=0,0,IF($E112&lt;INDEX(Simulations!$J$3:$J$62,MATCH($A112,Simulations!$A$3:$A$62,0)),$D112/(INDEX(Simulations!$G$3:$G$62,MATCH($A112,Simulations!$A$3:$A$62,0))*INDEX(Simulations!$H$3:$H$62,MATCH($A112,Simulations!$A$3:$A$62,0))*IF(INDEX(Simulations!$I$3:$I$62,MATCH($A112,Simulations!$A$3:$A$62,0))&gt;0,INDEX(Simulations!$I$3:$I$62,MATCH($A112,Simulations!$A$3:$A$62,0)),1))*$E112*(PI()/2*INDEX(Simulations!$T$3:$T$62,MATCH($A112,Simulations!$A$3:$A$62,0))^2*IF(INDEX(Simulations!$I$3:$I$62,MATCH($A112,Simulations!$A$3:$A$62,0))&gt;0,SQRT(PI()/2)*INDEX(Simulations!$U$3:$U$62,MATCH($A112,Simulations!$A$3:$A$62,0)),1)),$D112/(INDEX(Simulations!$G$3:$G$62,MATCH($A112,Simulations!$A$3:$A$62,0))*INDEX(Simulations!$H$3:$H$62,MATCH($A112,Simulations!$A$3:$A$62,0))*IF(INDEX(Simulations!$I$3:$I$62,MATCH($A112,Simulations!$A$3:$A$62,0))&gt;0,INDEX(Simulations!$I$3:$I$62,MATCH($A112,Simulations!$A$3:$A$62,0)),1))*INDEX(Simulations!$J$3:$J$62,MATCH($A112,Simulations!$A$3:$A$62,0))*IF(INDEX(Simulations!$I$3:$I$62,MATCH($A112,Simulations!$A$3:$A$62,0))&gt;0,2*PI()*INDEX(Simulations!$T$3:$T$62,MATCH($A112,Simulations!$A$3:$A$62,0))^2*INDEX(Simulations!$U$3:$U$62,MATCH($A112,Simulations!$A$3:$A$62,0))/2^1.5*(2/3*LN($E112/INDEX(Simulations!$J$3:$J$62,MATCH($A112,Simulations!$A$3:$A$62,0)))^1.5+SQRT(LN($E112/INDEX(Simulations!$J$3:$J$62,MATCH($A112,Simulations!$A$3:$A$62,0))))+$E112/INDEX(Simulations!$J$3:$J$62,MATCH($A112,Simulations!$A$3:$A$62,0))*SQRT(PI())/2*ERFC(SQRT(LN($E112/INDEX(Simulations!$J$3:$J$62,MATCH($A112,Simulations!$A$3:$A$62,0)))))),PI()*INDEX(Simulations!$T$3:$T$62,MATCH($A112,Simulations!$A$3:$A$62,0))^2/2*(LN($E112/INDEX(Simulations!$J$3:$J$62,MATCH($A112,Simulations!$A$3:$A$62,0)))+1)))))</f>
        <v/>
      </c>
      <c r="R112" s="16" t="str">
        <f aca="false">IF(OR($A112="",ISNA(MATCH($A112,Simulations!$A$3:$A$62,0))),"",IF(N($F112)&lt;=0,0,IF($F112&lt;INDEX(Simulations!$J$3:$J$62,MATCH($A112,Simulations!$A$3:$A$62,0)),$D112/(INDEX(Simulations!$G$3:$G$62,MATCH($A112,Simulations!$A$3:$A$62,0))*INDEX(Simulations!$H$3:$H$62,MATCH($A112,Simulations!$A$3:$A$62,0))*IF(INDEX(Simulations!$I$3:$I$62,MATCH($A112,Simulations!$A$3:$A$62,0))&gt;0,INDEX(Simulations!$I$3:$I$62,MATCH($A112,Simulations!$A$3:$A$62,0)),1))*$F112*(PI()/2*INDEX(Simulations!$T$3:$T$62,MATCH($A112,Simulations!$A$3:$A$62,0))^2*IF(INDEX(Simulations!$I$3:$I$62,MATCH($A112,Simulations!$A$3:$A$62,0))&gt;0,SQRT(PI()/2)*INDEX(Simulations!$U$3:$U$62,MATCH($A112,Simulations!$A$3:$A$62,0)),1)),$D112/(INDEX(Simulations!$G$3:$G$62,MATCH($A112,Simulations!$A$3:$A$62,0))*INDEX(Simulations!$H$3:$H$62,MATCH($A112,Simulations!$A$3:$A$62,0))*IF(INDEX(Simulations!$I$3:$I$62,MATCH($A112,Simulations!$A$3:$A$62,0))&gt;0,INDEX(Simulations!$I$3:$I$62,MATCH($A112,Simulations!$A$3:$A$62,0)),1))*INDEX(Simulations!$J$3:$J$62,MATCH($A112,Simulations!$A$3:$A$62,0))*IF(INDEX(Simulations!$I$3:$I$62,MATCH($A112,Simulations!$A$3:$A$62,0))&gt;0,2*PI()*INDEX(Simulations!$T$3:$T$62,MATCH($A112,Simulations!$A$3:$A$62,0))^2*INDEX(Simulations!$U$3:$U$62,MATCH($A112,Simulations!$A$3:$A$62,0))/2^1.5*(2/3*LN($F112/INDEX(Simulations!$J$3:$J$62,MATCH($A112,Simulations!$A$3:$A$62,0)))^1.5+SQRT(LN($F112/INDEX(Simulations!$J$3:$J$62,MATCH($A112,Simulations!$A$3:$A$62,0))))+$F112/INDEX(Simulations!$J$3:$J$62,MATCH($A112,Simulations!$A$3:$A$62,0))*SQRT(PI())/2*ERFC(SQRT(LN($F112/INDEX(Simulations!$J$3:$J$62,MATCH($A112,Simulations!$A$3:$A$62,0)))))),PI()*INDEX(Simulations!$T$3:$T$62,MATCH($A112,Simulations!$A$3:$A$62,0))^2/2*(LN($F112/INDEX(Simulations!$J$3:$J$62,MATCH($A112,Simulations!$A$3:$A$62,0)))+1)))))</f>
        <v/>
      </c>
      <c r="S112" s="16" t="str">
        <f aca="false">IF(OR($A112="",ISNA(MATCH($A112,Simulations!$A$3:$A$62,0))),"",IF(N($G112)&lt;=0,0,IF($G112&lt;INDEX(Simulations!$J$3:$J$62,MATCH($A112,Simulations!$A$3:$A$62,0)),$D112/(INDEX(Simulations!$G$3:$G$62,MATCH($A112,Simulations!$A$3:$A$62,0))*INDEX(Simulations!$H$3:$H$62,MATCH($A112,Simulations!$A$3:$A$62,0))*IF(INDEX(Simulations!$I$3:$I$62,MATCH($A112,Simulations!$A$3:$A$62,0))&gt;0,INDEX(Simulations!$I$3:$I$62,MATCH($A112,Simulations!$A$3:$A$62,0)),1))*$G112*(PI()/2*INDEX(Simulations!$T$3:$T$62,MATCH($A112,Simulations!$A$3:$A$62,0))^2*IF(INDEX(Simulations!$I$3:$I$62,MATCH($A112,Simulations!$A$3:$A$62,0))&gt;0,SQRT(PI()/2)*INDEX(Simulations!$U$3:$U$62,MATCH($A112,Simulations!$A$3:$A$62,0)),1)),$D112/(INDEX(Simulations!$G$3:$G$62,MATCH($A112,Simulations!$A$3:$A$62,0))*INDEX(Simulations!$H$3:$H$62,MATCH($A112,Simulations!$A$3:$A$62,0))*IF(INDEX(Simulations!$I$3:$I$62,MATCH($A112,Simulations!$A$3:$A$62,0))&gt;0,INDEX(Simulations!$I$3:$I$62,MATCH($A112,Simulations!$A$3:$A$62,0)),1))*INDEX(Simulations!$J$3:$J$62,MATCH($A112,Simulations!$A$3:$A$62,0))*IF(INDEX(Simulations!$I$3:$I$62,MATCH($A112,Simulations!$A$3:$A$62,0))&gt;0,2*PI()*INDEX(Simulations!$T$3:$T$62,MATCH($A112,Simulations!$A$3:$A$62,0))^2*INDEX(Simulations!$U$3:$U$62,MATCH($A112,Simulations!$A$3:$A$62,0))/2^1.5*(2/3*LN($G112/INDEX(Simulations!$J$3:$J$62,MATCH($A112,Simulations!$A$3:$A$62,0)))^1.5+SQRT(LN($G112/INDEX(Simulations!$J$3:$J$62,MATCH($A112,Simulations!$A$3:$A$62,0))))+$G112/INDEX(Simulations!$J$3:$J$62,MATCH($A112,Simulations!$A$3:$A$62,0))*SQRT(PI())/2*ERFC(SQRT(LN($G112/INDEX(Simulations!$J$3:$J$62,MATCH($A112,Simulations!$A$3:$A$62,0)))))),PI()*INDEX(Simulations!$T$3:$T$62,MATCH($A112,Simulations!$A$3:$A$62,0))^2/2*(LN($G112/INDEX(Simulations!$J$3:$J$62,MATCH($A112,Simulations!$A$3:$A$62,0)))+1)))))</f>
        <v/>
      </c>
      <c r="T112" s="16" t="str">
        <f aca="false">IF(OR($A112="",ISNA(MATCH($A112,Simulations!$A$3:$A$62,0))),"",IF(N($H112)&lt;=0,0,IF($H112&lt;INDEX(Simulations!$J$3:$J$62,MATCH($A112,Simulations!$A$3:$A$62,0)),$D112/(INDEX(Simulations!$G$3:$G$62,MATCH($A112,Simulations!$A$3:$A$62,0))*INDEX(Simulations!$H$3:$H$62,MATCH($A112,Simulations!$A$3:$A$62,0))*IF(INDEX(Simulations!$I$3:$I$62,MATCH($A112,Simulations!$A$3:$A$62,0))&gt;0,INDEX(Simulations!$I$3:$I$62,MATCH($A112,Simulations!$A$3:$A$62,0)),1))*$H112*(PI()/2*INDEX(Simulations!$T$3:$T$62,MATCH($A112,Simulations!$A$3:$A$62,0))^2*IF(INDEX(Simulations!$I$3:$I$62,MATCH($A112,Simulations!$A$3:$A$62,0))&gt;0,SQRT(PI()/2)*INDEX(Simulations!$U$3:$U$62,MATCH($A112,Simulations!$A$3:$A$62,0)),1)),$D112/(INDEX(Simulations!$G$3:$G$62,MATCH($A112,Simulations!$A$3:$A$62,0))*INDEX(Simulations!$H$3:$H$62,MATCH($A112,Simulations!$A$3:$A$62,0))*IF(INDEX(Simulations!$I$3:$I$62,MATCH($A112,Simulations!$A$3:$A$62,0))&gt;0,INDEX(Simulations!$I$3:$I$62,MATCH($A112,Simulations!$A$3:$A$62,0)),1))*INDEX(Simulations!$J$3:$J$62,MATCH($A112,Simulations!$A$3:$A$62,0))*IF(INDEX(Simulations!$I$3:$I$62,MATCH($A112,Simulations!$A$3:$A$62,0))&gt;0,2*PI()*INDEX(Simulations!$T$3:$T$62,MATCH($A112,Simulations!$A$3:$A$62,0))^2*INDEX(Simulations!$U$3:$U$62,MATCH($A112,Simulations!$A$3:$A$62,0))/2^1.5*(2/3*LN($H112/INDEX(Simulations!$J$3:$J$62,MATCH($A112,Simulations!$A$3:$A$62,0)))^1.5+SQRT(LN($H112/INDEX(Simulations!$J$3:$J$62,MATCH($A112,Simulations!$A$3:$A$62,0))))+$H112/INDEX(Simulations!$J$3:$J$62,MATCH($A112,Simulations!$A$3:$A$62,0))*SQRT(PI())/2*ERFC(SQRT(LN($H112/INDEX(Simulations!$J$3:$J$62,MATCH($A112,Simulations!$A$3:$A$62,0)))))),PI()*INDEX(Simulations!$T$3:$T$62,MATCH($A112,Simulations!$A$3:$A$62,0))^2/2*(LN($H112/INDEX(Simulations!$J$3:$J$62,MATCH($A112,Simulations!$A$3:$A$62,0)))+1)))))</f>
        <v/>
      </c>
      <c r="U112" s="18" t="str">
        <f aca="false">IF(OR(OR($A112="",ISNA(MATCH($A112,Simulations!$A$3:$A$62,0))),N($C112)&lt;=0),"",SQRT(2*$C112*1000000/(INDEX(Simulations!$J$3:$J$62,MATCH($A112,Simulations!$A$3:$A$62,0))*1000))/INDEX(Simulations!$T$3:$T$62,MATCH($A112,Simulations!$A$3:$A$62,0)))</f>
        <v/>
      </c>
      <c r="V112" s="19" t="str">
        <f aca="false">IF($A112="","",IF(ISNA(MATCH($A112,Simulations!$A$3:$A$62,0)),"✖ Sim ID not found on the Simulations sheet",IF($P112&gt;=1,"✖ brightness &gt;= sampling frequency: completely saturated (D too small, c too large)",IF($P112&gt;0.1,"⚠ brightness &gt; 10% of the sampling frequency: focus starts to saturate",IF(N($U112)&gt;0.1,"⚠ diffusion step &gt; 10% of wr: raise the sampling frequency",IF(MAX($E112:$H112)=0,"⚠ no brightness set","✔ OK"))))))</f>
        <v/>
      </c>
    </row>
    <row r="113" customFormat="false" ht="15" hidden="false" customHeight="false" outlineLevel="0" collapsed="false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4"/>
      <c r="O113" s="18" t="str">
        <f aca="false">IF(OR($A113="",ISNA(MATCH($A113,Simulations!$A$3:$A$62,0))),"",IF(INDEX(Simulations!$I$3:$I$62,MATCH($A113,Simulations!$A$3:$A$62,0))&gt;0,$D113/(INDEX(Simulations!$G$3:$G$62,MATCH($A113,Simulations!$A$3:$A$62,0))*INDEX(Simulations!$H$3:$H$62,MATCH($A113,Simulations!$A$3:$A$62,0))*IF(INDEX(Simulations!$I$3:$I$62,MATCH($A113,Simulations!$A$3:$A$62,0))&gt;0,INDEX(Simulations!$I$3:$I$62,MATCH($A113,Simulations!$A$3:$A$62,0)),1))/1E-024/6.022E+023/0.000000001,""))</f>
        <v/>
      </c>
      <c r="P113" s="20" t="str">
        <f aca="false">IF(OR($A113="",ISNA(MATCH($A113,Simulations!$A$3:$A$62,0))),"",MAX($E113:$H113)/INDEX(Simulations!$J$3:$J$62,MATCH($A113,Simulations!$A$3:$A$62,0)))</f>
        <v/>
      </c>
      <c r="Q113" s="16" t="str">
        <f aca="false">IF(OR($A113="",ISNA(MATCH($A113,Simulations!$A$3:$A$62,0))),"",IF(N($E113)&lt;=0,0,IF($E113&lt;INDEX(Simulations!$J$3:$J$62,MATCH($A113,Simulations!$A$3:$A$62,0)),$D113/(INDEX(Simulations!$G$3:$G$62,MATCH($A113,Simulations!$A$3:$A$62,0))*INDEX(Simulations!$H$3:$H$62,MATCH($A113,Simulations!$A$3:$A$62,0))*IF(INDEX(Simulations!$I$3:$I$62,MATCH($A113,Simulations!$A$3:$A$62,0))&gt;0,INDEX(Simulations!$I$3:$I$62,MATCH($A113,Simulations!$A$3:$A$62,0)),1))*$E113*(PI()/2*INDEX(Simulations!$T$3:$T$62,MATCH($A113,Simulations!$A$3:$A$62,0))^2*IF(INDEX(Simulations!$I$3:$I$62,MATCH($A113,Simulations!$A$3:$A$62,0))&gt;0,SQRT(PI()/2)*INDEX(Simulations!$U$3:$U$62,MATCH($A113,Simulations!$A$3:$A$62,0)),1)),$D113/(INDEX(Simulations!$G$3:$G$62,MATCH($A113,Simulations!$A$3:$A$62,0))*INDEX(Simulations!$H$3:$H$62,MATCH($A113,Simulations!$A$3:$A$62,0))*IF(INDEX(Simulations!$I$3:$I$62,MATCH($A113,Simulations!$A$3:$A$62,0))&gt;0,INDEX(Simulations!$I$3:$I$62,MATCH($A113,Simulations!$A$3:$A$62,0)),1))*INDEX(Simulations!$J$3:$J$62,MATCH($A113,Simulations!$A$3:$A$62,0))*IF(INDEX(Simulations!$I$3:$I$62,MATCH($A113,Simulations!$A$3:$A$62,0))&gt;0,2*PI()*INDEX(Simulations!$T$3:$T$62,MATCH($A113,Simulations!$A$3:$A$62,0))^2*INDEX(Simulations!$U$3:$U$62,MATCH($A113,Simulations!$A$3:$A$62,0))/2^1.5*(2/3*LN($E113/INDEX(Simulations!$J$3:$J$62,MATCH($A113,Simulations!$A$3:$A$62,0)))^1.5+SQRT(LN($E113/INDEX(Simulations!$J$3:$J$62,MATCH($A113,Simulations!$A$3:$A$62,0))))+$E113/INDEX(Simulations!$J$3:$J$62,MATCH($A113,Simulations!$A$3:$A$62,0))*SQRT(PI())/2*ERFC(SQRT(LN($E113/INDEX(Simulations!$J$3:$J$62,MATCH($A113,Simulations!$A$3:$A$62,0)))))),PI()*INDEX(Simulations!$T$3:$T$62,MATCH($A113,Simulations!$A$3:$A$62,0))^2/2*(LN($E113/INDEX(Simulations!$J$3:$J$62,MATCH($A113,Simulations!$A$3:$A$62,0)))+1)))))</f>
        <v/>
      </c>
      <c r="R113" s="16" t="str">
        <f aca="false">IF(OR($A113="",ISNA(MATCH($A113,Simulations!$A$3:$A$62,0))),"",IF(N($F113)&lt;=0,0,IF($F113&lt;INDEX(Simulations!$J$3:$J$62,MATCH($A113,Simulations!$A$3:$A$62,0)),$D113/(INDEX(Simulations!$G$3:$G$62,MATCH($A113,Simulations!$A$3:$A$62,0))*INDEX(Simulations!$H$3:$H$62,MATCH($A113,Simulations!$A$3:$A$62,0))*IF(INDEX(Simulations!$I$3:$I$62,MATCH($A113,Simulations!$A$3:$A$62,0))&gt;0,INDEX(Simulations!$I$3:$I$62,MATCH($A113,Simulations!$A$3:$A$62,0)),1))*$F113*(PI()/2*INDEX(Simulations!$T$3:$T$62,MATCH($A113,Simulations!$A$3:$A$62,0))^2*IF(INDEX(Simulations!$I$3:$I$62,MATCH($A113,Simulations!$A$3:$A$62,0))&gt;0,SQRT(PI()/2)*INDEX(Simulations!$U$3:$U$62,MATCH($A113,Simulations!$A$3:$A$62,0)),1)),$D113/(INDEX(Simulations!$G$3:$G$62,MATCH($A113,Simulations!$A$3:$A$62,0))*INDEX(Simulations!$H$3:$H$62,MATCH($A113,Simulations!$A$3:$A$62,0))*IF(INDEX(Simulations!$I$3:$I$62,MATCH($A113,Simulations!$A$3:$A$62,0))&gt;0,INDEX(Simulations!$I$3:$I$62,MATCH($A113,Simulations!$A$3:$A$62,0)),1))*INDEX(Simulations!$J$3:$J$62,MATCH($A113,Simulations!$A$3:$A$62,0))*IF(INDEX(Simulations!$I$3:$I$62,MATCH($A113,Simulations!$A$3:$A$62,0))&gt;0,2*PI()*INDEX(Simulations!$T$3:$T$62,MATCH($A113,Simulations!$A$3:$A$62,0))^2*INDEX(Simulations!$U$3:$U$62,MATCH($A113,Simulations!$A$3:$A$62,0))/2^1.5*(2/3*LN($F113/INDEX(Simulations!$J$3:$J$62,MATCH($A113,Simulations!$A$3:$A$62,0)))^1.5+SQRT(LN($F113/INDEX(Simulations!$J$3:$J$62,MATCH($A113,Simulations!$A$3:$A$62,0))))+$F113/INDEX(Simulations!$J$3:$J$62,MATCH($A113,Simulations!$A$3:$A$62,0))*SQRT(PI())/2*ERFC(SQRT(LN($F113/INDEX(Simulations!$J$3:$J$62,MATCH($A113,Simulations!$A$3:$A$62,0)))))),PI()*INDEX(Simulations!$T$3:$T$62,MATCH($A113,Simulations!$A$3:$A$62,0))^2/2*(LN($F113/INDEX(Simulations!$J$3:$J$62,MATCH($A113,Simulations!$A$3:$A$62,0)))+1)))))</f>
        <v/>
      </c>
      <c r="S113" s="16" t="str">
        <f aca="false">IF(OR($A113="",ISNA(MATCH($A113,Simulations!$A$3:$A$62,0))),"",IF(N($G113)&lt;=0,0,IF($G113&lt;INDEX(Simulations!$J$3:$J$62,MATCH($A113,Simulations!$A$3:$A$62,0)),$D113/(INDEX(Simulations!$G$3:$G$62,MATCH($A113,Simulations!$A$3:$A$62,0))*INDEX(Simulations!$H$3:$H$62,MATCH($A113,Simulations!$A$3:$A$62,0))*IF(INDEX(Simulations!$I$3:$I$62,MATCH($A113,Simulations!$A$3:$A$62,0))&gt;0,INDEX(Simulations!$I$3:$I$62,MATCH($A113,Simulations!$A$3:$A$62,0)),1))*$G113*(PI()/2*INDEX(Simulations!$T$3:$T$62,MATCH($A113,Simulations!$A$3:$A$62,0))^2*IF(INDEX(Simulations!$I$3:$I$62,MATCH($A113,Simulations!$A$3:$A$62,0))&gt;0,SQRT(PI()/2)*INDEX(Simulations!$U$3:$U$62,MATCH($A113,Simulations!$A$3:$A$62,0)),1)),$D113/(INDEX(Simulations!$G$3:$G$62,MATCH($A113,Simulations!$A$3:$A$62,0))*INDEX(Simulations!$H$3:$H$62,MATCH($A113,Simulations!$A$3:$A$62,0))*IF(INDEX(Simulations!$I$3:$I$62,MATCH($A113,Simulations!$A$3:$A$62,0))&gt;0,INDEX(Simulations!$I$3:$I$62,MATCH($A113,Simulations!$A$3:$A$62,0)),1))*INDEX(Simulations!$J$3:$J$62,MATCH($A113,Simulations!$A$3:$A$62,0))*IF(INDEX(Simulations!$I$3:$I$62,MATCH($A113,Simulations!$A$3:$A$62,0))&gt;0,2*PI()*INDEX(Simulations!$T$3:$T$62,MATCH($A113,Simulations!$A$3:$A$62,0))^2*INDEX(Simulations!$U$3:$U$62,MATCH($A113,Simulations!$A$3:$A$62,0))/2^1.5*(2/3*LN($G113/INDEX(Simulations!$J$3:$J$62,MATCH($A113,Simulations!$A$3:$A$62,0)))^1.5+SQRT(LN($G113/INDEX(Simulations!$J$3:$J$62,MATCH($A113,Simulations!$A$3:$A$62,0))))+$G113/INDEX(Simulations!$J$3:$J$62,MATCH($A113,Simulations!$A$3:$A$62,0))*SQRT(PI())/2*ERFC(SQRT(LN($G113/INDEX(Simulations!$J$3:$J$62,MATCH($A113,Simulations!$A$3:$A$62,0)))))),PI()*INDEX(Simulations!$T$3:$T$62,MATCH($A113,Simulations!$A$3:$A$62,0))^2/2*(LN($G113/INDEX(Simulations!$J$3:$J$62,MATCH($A113,Simulations!$A$3:$A$62,0)))+1)))))</f>
        <v/>
      </c>
      <c r="T113" s="16" t="str">
        <f aca="false">IF(OR($A113="",ISNA(MATCH($A113,Simulations!$A$3:$A$62,0))),"",IF(N($H113)&lt;=0,0,IF($H113&lt;INDEX(Simulations!$J$3:$J$62,MATCH($A113,Simulations!$A$3:$A$62,0)),$D113/(INDEX(Simulations!$G$3:$G$62,MATCH($A113,Simulations!$A$3:$A$62,0))*INDEX(Simulations!$H$3:$H$62,MATCH($A113,Simulations!$A$3:$A$62,0))*IF(INDEX(Simulations!$I$3:$I$62,MATCH($A113,Simulations!$A$3:$A$62,0))&gt;0,INDEX(Simulations!$I$3:$I$62,MATCH($A113,Simulations!$A$3:$A$62,0)),1))*$H113*(PI()/2*INDEX(Simulations!$T$3:$T$62,MATCH($A113,Simulations!$A$3:$A$62,0))^2*IF(INDEX(Simulations!$I$3:$I$62,MATCH($A113,Simulations!$A$3:$A$62,0))&gt;0,SQRT(PI()/2)*INDEX(Simulations!$U$3:$U$62,MATCH($A113,Simulations!$A$3:$A$62,0)),1)),$D113/(INDEX(Simulations!$G$3:$G$62,MATCH($A113,Simulations!$A$3:$A$62,0))*INDEX(Simulations!$H$3:$H$62,MATCH($A113,Simulations!$A$3:$A$62,0))*IF(INDEX(Simulations!$I$3:$I$62,MATCH($A113,Simulations!$A$3:$A$62,0))&gt;0,INDEX(Simulations!$I$3:$I$62,MATCH($A113,Simulations!$A$3:$A$62,0)),1))*INDEX(Simulations!$J$3:$J$62,MATCH($A113,Simulations!$A$3:$A$62,0))*IF(INDEX(Simulations!$I$3:$I$62,MATCH($A113,Simulations!$A$3:$A$62,0))&gt;0,2*PI()*INDEX(Simulations!$T$3:$T$62,MATCH($A113,Simulations!$A$3:$A$62,0))^2*INDEX(Simulations!$U$3:$U$62,MATCH($A113,Simulations!$A$3:$A$62,0))/2^1.5*(2/3*LN($H113/INDEX(Simulations!$J$3:$J$62,MATCH($A113,Simulations!$A$3:$A$62,0)))^1.5+SQRT(LN($H113/INDEX(Simulations!$J$3:$J$62,MATCH($A113,Simulations!$A$3:$A$62,0))))+$H113/INDEX(Simulations!$J$3:$J$62,MATCH($A113,Simulations!$A$3:$A$62,0))*SQRT(PI())/2*ERFC(SQRT(LN($H113/INDEX(Simulations!$J$3:$J$62,MATCH($A113,Simulations!$A$3:$A$62,0)))))),PI()*INDEX(Simulations!$T$3:$T$62,MATCH($A113,Simulations!$A$3:$A$62,0))^2/2*(LN($H113/INDEX(Simulations!$J$3:$J$62,MATCH($A113,Simulations!$A$3:$A$62,0)))+1)))))</f>
        <v/>
      </c>
      <c r="U113" s="18" t="str">
        <f aca="false">IF(OR(OR($A113="",ISNA(MATCH($A113,Simulations!$A$3:$A$62,0))),N($C113)&lt;=0),"",SQRT(2*$C113*1000000/(INDEX(Simulations!$J$3:$J$62,MATCH($A113,Simulations!$A$3:$A$62,0))*1000))/INDEX(Simulations!$T$3:$T$62,MATCH($A113,Simulations!$A$3:$A$62,0)))</f>
        <v/>
      </c>
      <c r="V113" s="19" t="str">
        <f aca="false">IF($A113="","",IF(ISNA(MATCH($A113,Simulations!$A$3:$A$62,0)),"✖ Sim ID not found on the Simulations sheet",IF($P113&gt;=1,"✖ brightness &gt;= sampling frequency: completely saturated (D too small, c too large)",IF($P113&gt;0.1,"⚠ brightness &gt; 10% of the sampling frequency: focus starts to saturate",IF(N($U113)&gt;0.1,"⚠ diffusion step &gt; 10% of wr: raise the sampling frequency",IF(MAX($E113:$H113)=0,"⚠ no brightness set","✔ OK"))))))</f>
        <v/>
      </c>
    </row>
    <row r="114" customFormat="false" ht="15" hidden="false" customHeight="false" outlineLevel="0" collapsed="false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4"/>
      <c r="O114" s="18" t="str">
        <f aca="false">IF(OR($A114="",ISNA(MATCH($A114,Simulations!$A$3:$A$62,0))),"",IF(INDEX(Simulations!$I$3:$I$62,MATCH($A114,Simulations!$A$3:$A$62,0))&gt;0,$D114/(INDEX(Simulations!$G$3:$G$62,MATCH($A114,Simulations!$A$3:$A$62,0))*INDEX(Simulations!$H$3:$H$62,MATCH($A114,Simulations!$A$3:$A$62,0))*IF(INDEX(Simulations!$I$3:$I$62,MATCH($A114,Simulations!$A$3:$A$62,0))&gt;0,INDEX(Simulations!$I$3:$I$62,MATCH($A114,Simulations!$A$3:$A$62,0)),1))/1E-024/6.022E+023/0.000000001,""))</f>
        <v/>
      </c>
      <c r="P114" s="20" t="str">
        <f aca="false">IF(OR($A114="",ISNA(MATCH($A114,Simulations!$A$3:$A$62,0))),"",MAX($E114:$H114)/INDEX(Simulations!$J$3:$J$62,MATCH($A114,Simulations!$A$3:$A$62,0)))</f>
        <v/>
      </c>
      <c r="Q114" s="16" t="str">
        <f aca="false">IF(OR($A114="",ISNA(MATCH($A114,Simulations!$A$3:$A$62,0))),"",IF(N($E114)&lt;=0,0,IF($E114&lt;INDEX(Simulations!$J$3:$J$62,MATCH($A114,Simulations!$A$3:$A$62,0)),$D114/(INDEX(Simulations!$G$3:$G$62,MATCH($A114,Simulations!$A$3:$A$62,0))*INDEX(Simulations!$H$3:$H$62,MATCH($A114,Simulations!$A$3:$A$62,0))*IF(INDEX(Simulations!$I$3:$I$62,MATCH($A114,Simulations!$A$3:$A$62,0))&gt;0,INDEX(Simulations!$I$3:$I$62,MATCH($A114,Simulations!$A$3:$A$62,0)),1))*$E114*(PI()/2*INDEX(Simulations!$T$3:$T$62,MATCH($A114,Simulations!$A$3:$A$62,0))^2*IF(INDEX(Simulations!$I$3:$I$62,MATCH($A114,Simulations!$A$3:$A$62,0))&gt;0,SQRT(PI()/2)*INDEX(Simulations!$U$3:$U$62,MATCH($A114,Simulations!$A$3:$A$62,0)),1)),$D114/(INDEX(Simulations!$G$3:$G$62,MATCH($A114,Simulations!$A$3:$A$62,0))*INDEX(Simulations!$H$3:$H$62,MATCH($A114,Simulations!$A$3:$A$62,0))*IF(INDEX(Simulations!$I$3:$I$62,MATCH($A114,Simulations!$A$3:$A$62,0))&gt;0,INDEX(Simulations!$I$3:$I$62,MATCH($A114,Simulations!$A$3:$A$62,0)),1))*INDEX(Simulations!$J$3:$J$62,MATCH($A114,Simulations!$A$3:$A$62,0))*IF(INDEX(Simulations!$I$3:$I$62,MATCH($A114,Simulations!$A$3:$A$62,0))&gt;0,2*PI()*INDEX(Simulations!$T$3:$T$62,MATCH($A114,Simulations!$A$3:$A$62,0))^2*INDEX(Simulations!$U$3:$U$62,MATCH($A114,Simulations!$A$3:$A$62,0))/2^1.5*(2/3*LN($E114/INDEX(Simulations!$J$3:$J$62,MATCH($A114,Simulations!$A$3:$A$62,0)))^1.5+SQRT(LN($E114/INDEX(Simulations!$J$3:$J$62,MATCH($A114,Simulations!$A$3:$A$62,0))))+$E114/INDEX(Simulations!$J$3:$J$62,MATCH($A114,Simulations!$A$3:$A$62,0))*SQRT(PI())/2*ERFC(SQRT(LN($E114/INDEX(Simulations!$J$3:$J$62,MATCH($A114,Simulations!$A$3:$A$62,0)))))),PI()*INDEX(Simulations!$T$3:$T$62,MATCH($A114,Simulations!$A$3:$A$62,0))^2/2*(LN($E114/INDEX(Simulations!$J$3:$J$62,MATCH($A114,Simulations!$A$3:$A$62,0)))+1)))))</f>
        <v/>
      </c>
      <c r="R114" s="16" t="str">
        <f aca="false">IF(OR($A114="",ISNA(MATCH($A114,Simulations!$A$3:$A$62,0))),"",IF(N($F114)&lt;=0,0,IF($F114&lt;INDEX(Simulations!$J$3:$J$62,MATCH($A114,Simulations!$A$3:$A$62,0)),$D114/(INDEX(Simulations!$G$3:$G$62,MATCH($A114,Simulations!$A$3:$A$62,0))*INDEX(Simulations!$H$3:$H$62,MATCH($A114,Simulations!$A$3:$A$62,0))*IF(INDEX(Simulations!$I$3:$I$62,MATCH($A114,Simulations!$A$3:$A$62,0))&gt;0,INDEX(Simulations!$I$3:$I$62,MATCH($A114,Simulations!$A$3:$A$62,0)),1))*$F114*(PI()/2*INDEX(Simulations!$T$3:$T$62,MATCH($A114,Simulations!$A$3:$A$62,0))^2*IF(INDEX(Simulations!$I$3:$I$62,MATCH($A114,Simulations!$A$3:$A$62,0))&gt;0,SQRT(PI()/2)*INDEX(Simulations!$U$3:$U$62,MATCH($A114,Simulations!$A$3:$A$62,0)),1)),$D114/(INDEX(Simulations!$G$3:$G$62,MATCH($A114,Simulations!$A$3:$A$62,0))*INDEX(Simulations!$H$3:$H$62,MATCH($A114,Simulations!$A$3:$A$62,0))*IF(INDEX(Simulations!$I$3:$I$62,MATCH($A114,Simulations!$A$3:$A$62,0))&gt;0,INDEX(Simulations!$I$3:$I$62,MATCH($A114,Simulations!$A$3:$A$62,0)),1))*INDEX(Simulations!$J$3:$J$62,MATCH($A114,Simulations!$A$3:$A$62,0))*IF(INDEX(Simulations!$I$3:$I$62,MATCH($A114,Simulations!$A$3:$A$62,0))&gt;0,2*PI()*INDEX(Simulations!$T$3:$T$62,MATCH($A114,Simulations!$A$3:$A$62,0))^2*INDEX(Simulations!$U$3:$U$62,MATCH($A114,Simulations!$A$3:$A$62,0))/2^1.5*(2/3*LN($F114/INDEX(Simulations!$J$3:$J$62,MATCH($A114,Simulations!$A$3:$A$62,0)))^1.5+SQRT(LN($F114/INDEX(Simulations!$J$3:$J$62,MATCH($A114,Simulations!$A$3:$A$62,0))))+$F114/INDEX(Simulations!$J$3:$J$62,MATCH($A114,Simulations!$A$3:$A$62,0))*SQRT(PI())/2*ERFC(SQRT(LN($F114/INDEX(Simulations!$J$3:$J$62,MATCH($A114,Simulations!$A$3:$A$62,0)))))),PI()*INDEX(Simulations!$T$3:$T$62,MATCH($A114,Simulations!$A$3:$A$62,0))^2/2*(LN($F114/INDEX(Simulations!$J$3:$J$62,MATCH($A114,Simulations!$A$3:$A$62,0)))+1)))))</f>
        <v/>
      </c>
      <c r="S114" s="16" t="str">
        <f aca="false">IF(OR($A114="",ISNA(MATCH($A114,Simulations!$A$3:$A$62,0))),"",IF(N($G114)&lt;=0,0,IF($G114&lt;INDEX(Simulations!$J$3:$J$62,MATCH($A114,Simulations!$A$3:$A$62,0)),$D114/(INDEX(Simulations!$G$3:$G$62,MATCH($A114,Simulations!$A$3:$A$62,0))*INDEX(Simulations!$H$3:$H$62,MATCH($A114,Simulations!$A$3:$A$62,0))*IF(INDEX(Simulations!$I$3:$I$62,MATCH($A114,Simulations!$A$3:$A$62,0))&gt;0,INDEX(Simulations!$I$3:$I$62,MATCH($A114,Simulations!$A$3:$A$62,0)),1))*$G114*(PI()/2*INDEX(Simulations!$T$3:$T$62,MATCH($A114,Simulations!$A$3:$A$62,0))^2*IF(INDEX(Simulations!$I$3:$I$62,MATCH($A114,Simulations!$A$3:$A$62,0))&gt;0,SQRT(PI()/2)*INDEX(Simulations!$U$3:$U$62,MATCH($A114,Simulations!$A$3:$A$62,0)),1)),$D114/(INDEX(Simulations!$G$3:$G$62,MATCH($A114,Simulations!$A$3:$A$62,0))*INDEX(Simulations!$H$3:$H$62,MATCH($A114,Simulations!$A$3:$A$62,0))*IF(INDEX(Simulations!$I$3:$I$62,MATCH($A114,Simulations!$A$3:$A$62,0))&gt;0,INDEX(Simulations!$I$3:$I$62,MATCH($A114,Simulations!$A$3:$A$62,0)),1))*INDEX(Simulations!$J$3:$J$62,MATCH($A114,Simulations!$A$3:$A$62,0))*IF(INDEX(Simulations!$I$3:$I$62,MATCH($A114,Simulations!$A$3:$A$62,0))&gt;0,2*PI()*INDEX(Simulations!$T$3:$T$62,MATCH($A114,Simulations!$A$3:$A$62,0))^2*INDEX(Simulations!$U$3:$U$62,MATCH($A114,Simulations!$A$3:$A$62,0))/2^1.5*(2/3*LN($G114/INDEX(Simulations!$J$3:$J$62,MATCH($A114,Simulations!$A$3:$A$62,0)))^1.5+SQRT(LN($G114/INDEX(Simulations!$J$3:$J$62,MATCH($A114,Simulations!$A$3:$A$62,0))))+$G114/INDEX(Simulations!$J$3:$J$62,MATCH($A114,Simulations!$A$3:$A$62,0))*SQRT(PI())/2*ERFC(SQRT(LN($G114/INDEX(Simulations!$J$3:$J$62,MATCH($A114,Simulations!$A$3:$A$62,0)))))),PI()*INDEX(Simulations!$T$3:$T$62,MATCH($A114,Simulations!$A$3:$A$62,0))^2/2*(LN($G114/INDEX(Simulations!$J$3:$J$62,MATCH($A114,Simulations!$A$3:$A$62,0)))+1)))))</f>
        <v/>
      </c>
      <c r="T114" s="16" t="str">
        <f aca="false">IF(OR($A114="",ISNA(MATCH($A114,Simulations!$A$3:$A$62,0))),"",IF(N($H114)&lt;=0,0,IF($H114&lt;INDEX(Simulations!$J$3:$J$62,MATCH($A114,Simulations!$A$3:$A$62,0)),$D114/(INDEX(Simulations!$G$3:$G$62,MATCH($A114,Simulations!$A$3:$A$62,0))*INDEX(Simulations!$H$3:$H$62,MATCH($A114,Simulations!$A$3:$A$62,0))*IF(INDEX(Simulations!$I$3:$I$62,MATCH($A114,Simulations!$A$3:$A$62,0))&gt;0,INDEX(Simulations!$I$3:$I$62,MATCH($A114,Simulations!$A$3:$A$62,0)),1))*$H114*(PI()/2*INDEX(Simulations!$T$3:$T$62,MATCH($A114,Simulations!$A$3:$A$62,0))^2*IF(INDEX(Simulations!$I$3:$I$62,MATCH($A114,Simulations!$A$3:$A$62,0))&gt;0,SQRT(PI()/2)*INDEX(Simulations!$U$3:$U$62,MATCH($A114,Simulations!$A$3:$A$62,0)),1)),$D114/(INDEX(Simulations!$G$3:$G$62,MATCH($A114,Simulations!$A$3:$A$62,0))*INDEX(Simulations!$H$3:$H$62,MATCH($A114,Simulations!$A$3:$A$62,0))*IF(INDEX(Simulations!$I$3:$I$62,MATCH($A114,Simulations!$A$3:$A$62,0))&gt;0,INDEX(Simulations!$I$3:$I$62,MATCH($A114,Simulations!$A$3:$A$62,0)),1))*INDEX(Simulations!$J$3:$J$62,MATCH($A114,Simulations!$A$3:$A$62,0))*IF(INDEX(Simulations!$I$3:$I$62,MATCH($A114,Simulations!$A$3:$A$62,0))&gt;0,2*PI()*INDEX(Simulations!$T$3:$T$62,MATCH($A114,Simulations!$A$3:$A$62,0))^2*INDEX(Simulations!$U$3:$U$62,MATCH($A114,Simulations!$A$3:$A$62,0))/2^1.5*(2/3*LN($H114/INDEX(Simulations!$J$3:$J$62,MATCH($A114,Simulations!$A$3:$A$62,0)))^1.5+SQRT(LN($H114/INDEX(Simulations!$J$3:$J$62,MATCH($A114,Simulations!$A$3:$A$62,0))))+$H114/INDEX(Simulations!$J$3:$J$62,MATCH($A114,Simulations!$A$3:$A$62,0))*SQRT(PI())/2*ERFC(SQRT(LN($H114/INDEX(Simulations!$J$3:$J$62,MATCH($A114,Simulations!$A$3:$A$62,0)))))),PI()*INDEX(Simulations!$T$3:$T$62,MATCH($A114,Simulations!$A$3:$A$62,0))^2/2*(LN($H114/INDEX(Simulations!$J$3:$J$62,MATCH($A114,Simulations!$A$3:$A$62,0)))+1)))))</f>
        <v/>
      </c>
      <c r="U114" s="18" t="str">
        <f aca="false">IF(OR(OR($A114="",ISNA(MATCH($A114,Simulations!$A$3:$A$62,0))),N($C114)&lt;=0),"",SQRT(2*$C114*1000000/(INDEX(Simulations!$J$3:$J$62,MATCH($A114,Simulations!$A$3:$A$62,0))*1000))/INDEX(Simulations!$T$3:$T$62,MATCH($A114,Simulations!$A$3:$A$62,0)))</f>
        <v/>
      </c>
      <c r="V114" s="19" t="str">
        <f aca="false">IF($A114="","",IF(ISNA(MATCH($A114,Simulations!$A$3:$A$62,0)),"✖ Sim ID not found on the Simulations sheet",IF($P114&gt;=1,"✖ brightness &gt;= sampling frequency: completely saturated (D too small, c too large)",IF($P114&gt;0.1,"⚠ brightness &gt; 10% of the sampling frequency: focus starts to saturate",IF(N($U114)&gt;0.1,"⚠ diffusion step &gt; 10% of wr: raise the sampling frequency",IF(MAX($E114:$H114)=0,"⚠ no brightness set","✔ OK"))))))</f>
        <v/>
      </c>
    </row>
    <row r="115" customFormat="false" ht="15" hidden="false" customHeight="false" outlineLevel="0" collapsed="false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4"/>
      <c r="O115" s="18" t="str">
        <f aca="false">IF(OR($A115="",ISNA(MATCH($A115,Simulations!$A$3:$A$62,0))),"",IF(INDEX(Simulations!$I$3:$I$62,MATCH($A115,Simulations!$A$3:$A$62,0))&gt;0,$D115/(INDEX(Simulations!$G$3:$G$62,MATCH($A115,Simulations!$A$3:$A$62,0))*INDEX(Simulations!$H$3:$H$62,MATCH($A115,Simulations!$A$3:$A$62,0))*IF(INDEX(Simulations!$I$3:$I$62,MATCH($A115,Simulations!$A$3:$A$62,0))&gt;0,INDEX(Simulations!$I$3:$I$62,MATCH($A115,Simulations!$A$3:$A$62,0)),1))/1E-024/6.022E+023/0.000000001,""))</f>
        <v/>
      </c>
      <c r="P115" s="20" t="str">
        <f aca="false">IF(OR($A115="",ISNA(MATCH($A115,Simulations!$A$3:$A$62,0))),"",MAX($E115:$H115)/INDEX(Simulations!$J$3:$J$62,MATCH($A115,Simulations!$A$3:$A$62,0)))</f>
        <v/>
      </c>
      <c r="Q115" s="16" t="str">
        <f aca="false">IF(OR($A115="",ISNA(MATCH($A115,Simulations!$A$3:$A$62,0))),"",IF(N($E115)&lt;=0,0,IF($E115&lt;INDEX(Simulations!$J$3:$J$62,MATCH($A115,Simulations!$A$3:$A$62,0)),$D115/(INDEX(Simulations!$G$3:$G$62,MATCH($A115,Simulations!$A$3:$A$62,0))*INDEX(Simulations!$H$3:$H$62,MATCH($A115,Simulations!$A$3:$A$62,0))*IF(INDEX(Simulations!$I$3:$I$62,MATCH($A115,Simulations!$A$3:$A$62,0))&gt;0,INDEX(Simulations!$I$3:$I$62,MATCH($A115,Simulations!$A$3:$A$62,0)),1))*$E115*(PI()/2*INDEX(Simulations!$T$3:$T$62,MATCH($A115,Simulations!$A$3:$A$62,0))^2*IF(INDEX(Simulations!$I$3:$I$62,MATCH($A115,Simulations!$A$3:$A$62,0))&gt;0,SQRT(PI()/2)*INDEX(Simulations!$U$3:$U$62,MATCH($A115,Simulations!$A$3:$A$62,0)),1)),$D115/(INDEX(Simulations!$G$3:$G$62,MATCH($A115,Simulations!$A$3:$A$62,0))*INDEX(Simulations!$H$3:$H$62,MATCH($A115,Simulations!$A$3:$A$62,0))*IF(INDEX(Simulations!$I$3:$I$62,MATCH($A115,Simulations!$A$3:$A$62,0))&gt;0,INDEX(Simulations!$I$3:$I$62,MATCH($A115,Simulations!$A$3:$A$62,0)),1))*INDEX(Simulations!$J$3:$J$62,MATCH($A115,Simulations!$A$3:$A$62,0))*IF(INDEX(Simulations!$I$3:$I$62,MATCH($A115,Simulations!$A$3:$A$62,0))&gt;0,2*PI()*INDEX(Simulations!$T$3:$T$62,MATCH($A115,Simulations!$A$3:$A$62,0))^2*INDEX(Simulations!$U$3:$U$62,MATCH($A115,Simulations!$A$3:$A$62,0))/2^1.5*(2/3*LN($E115/INDEX(Simulations!$J$3:$J$62,MATCH($A115,Simulations!$A$3:$A$62,0)))^1.5+SQRT(LN($E115/INDEX(Simulations!$J$3:$J$62,MATCH($A115,Simulations!$A$3:$A$62,0))))+$E115/INDEX(Simulations!$J$3:$J$62,MATCH($A115,Simulations!$A$3:$A$62,0))*SQRT(PI())/2*ERFC(SQRT(LN($E115/INDEX(Simulations!$J$3:$J$62,MATCH($A115,Simulations!$A$3:$A$62,0)))))),PI()*INDEX(Simulations!$T$3:$T$62,MATCH($A115,Simulations!$A$3:$A$62,0))^2/2*(LN($E115/INDEX(Simulations!$J$3:$J$62,MATCH($A115,Simulations!$A$3:$A$62,0)))+1)))))</f>
        <v/>
      </c>
      <c r="R115" s="16" t="str">
        <f aca="false">IF(OR($A115="",ISNA(MATCH($A115,Simulations!$A$3:$A$62,0))),"",IF(N($F115)&lt;=0,0,IF($F115&lt;INDEX(Simulations!$J$3:$J$62,MATCH($A115,Simulations!$A$3:$A$62,0)),$D115/(INDEX(Simulations!$G$3:$G$62,MATCH($A115,Simulations!$A$3:$A$62,0))*INDEX(Simulations!$H$3:$H$62,MATCH($A115,Simulations!$A$3:$A$62,0))*IF(INDEX(Simulations!$I$3:$I$62,MATCH($A115,Simulations!$A$3:$A$62,0))&gt;0,INDEX(Simulations!$I$3:$I$62,MATCH($A115,Simulations!$A$3:$A$62,0)),1))*$F115*(PI()/2*INDEX(Simulations!$T$3:$T$62,MATCH($A115,Simulations!$A$3:$A$62,0))^2*IF(INDEX(Simulations!$I$3:$I$62,MATCH($A115,Simulations!$A$3:$A$62,0))&gt;0,SQRT(PI()/2)*INDEX(Simulations!$U$3:$U$62,MATCH($A115,Simulations!$A$3:$A$62,0)),1)),$D115/(INDEX(Simulations!$G$3:$G$62,MATCH($A115,Simulations!$A$3:$A$62,0))*INDEX(Simulations!$H$3:$H$62,MATCH($A115,Simulations!$A$3:$A$62,0))*IF(INDEX(Simulations!$I$3:$I$62,MATCH($A115,Simulations!$A$3:$A$62,0))&gt;0,INDEX(Simulations!$I$3:$I$62,MATCH($A115,Simulations!$A$3:$A$62,0)),1))*INDEX(Simulations!$J$3:$J$62,MATCH($A115,Simulations!$A$3:$A$62,0))*IF(INDEX(Simulations!$I$3:$I$62,MATCH($A115,Simulations!$A$3:$A$62,0))&gt;0,2*PI()*INDEX(Simulations!$T$3:$T$62,MATCH($A115,Simulations!$A$3:$A$62,0))^2*INDEX(Simulations!$U$3:$U$62,MATCH($A115,Simulations!$A$3:$A$62,0))/2^1.5*(2/3*LN($F115/INDEX(Simulations!$J$3:$J$62,MATCH($A115,Simulations!$A$3:$A$62,0)))^1.5+SQRT(LN($F115/INDEX(Simulations!$J$3:$J$62,MATCH($A115,Simulations!$A$3:$A$62,0))))+$F115/INDEX(Simulations!$J$3:$J$62,MATCH($A115,Simulations!$A$3:$A$62,0))*SQRT(PI())/2*ERFC(SQRT(LN($F115/INDEX(Simulations!$J$3:$J$62,MATCH($A115,Simulations!$A$3:$A$62,0)))))),PI()*INDEX(Simulations!$T$3:$T$62,MATCH($A115,Simulations!$A$3:$A$62,0))^2/2*(LN($F115/INDEX(Simulations!$J$3:$J$62,MATCH($A115,Simulations!$A$3:$A$62,0)))+1)))))</f>
        <v/>
      </c>
      <c r="S115" s="16" t="str">
        <f aca="false">IF(OR($A115="",ISNA(MATCH($A115,Simulations!$A$3:$A$62,0))),"",IF(N($G115)&lt;=0,0,IF($G115&lt;INDEX(Simulations!$J$3:$J$62,MATCH($A115,Simulations!$A$3:$A$62,0)),$D115/(INDEX(Simulations!$G$3:$G$62,MATCH($A115,Simulations!$A$3:$A$62,0))*INDEX(Simulations!$H$3:$H$62,MATCH($A115,Simulations!$A$3:$A$62,0))*IF(INDEX(Simulations!$I$3:$I$62,MATCH($A115,Simulations!$A$3:$A$62,0))&gt;0,INDEX(Simulations!$I$3:$I$62,MATCH($A115,Simulations!$A$3:$A$62,0)),1))*$G115*(PI()/2*INDEX(Simulations!$T$3:$T$62,MATCH($A115,Simulations!$A$3:$A$62,0))^2*IF(INDEX(Simulations!$I$3:$I$62,MATCH($A115,Simulations!$A$3:$A$62,0))&gt;0,SQRT(PI()/2)*INDEX(Simulations!$U$3:$U$62,MATCH($A115,Simulations!$A$3:$A$62,0)),1)),$D115/(INDEX(Simulations!$G$3:$G$62,MATCH($A115,Simulations!$A$3:$A$62,0))*INDEX(Simulations!$H$3:$H$62,MATCH($A115,Simulations!$A$3:$A$62,0))*IF(INDEX(Simulations!$I$3:$I$62,MATCH($A115,Simulations!$A$3:$A$62,0))&gt;0,INDEX(Simulations!$I$3:$I$62,MATCH($A115,Simulations!$A$3:$A$62,0)),1))*INDEX(Simulations!$J$3:$J$62,MATCH($A115,Simulations!$A$3:$A$62,0))*IF(INDEX(Simulations!$I$3:$I$62,MATCH($A115,Simulations!$A$3:$A$62,0))&gt;0,2*PI()*INDEX(Simulations!$T$3:$T$62,MATCH($A115,Simulations!$A$3:$A$62,0))^2*INDEX(Simulations!$U$3:$U$62,MATCH($A115,Simulations!$A$3:$A$62,0))/2^1.5*(2/3*LN($G115/INDEX(Simulations!$J$3:$J$62,MATCH($A115,Simulations!$A$3:$A$62,0)))^1.5+SQRT(LN($G115/INDEX(Simulations!$J$3:$J$62,MATCH($A115,Simulations!$A$3:$A$62,0))))+$G115/INDEX(Simulations!$J$3:$J$62,MATCH($A115,Simulations!$A$3:$A$62,0))*SQRT(PI())/2*ERFC(SQRT(LN($G115/INDEX(Simulations!$J$3:$J$62,MATCH($A115,Simulations!$A$3:$A$62,0)))))),PI()*INDEX(Simulations!$T$3:$T$62,MATCH($A115,Simulations!$A$3:$A$62,0))^2/2*(LN($G115/INDEX(Simulations!$J$3:$J$62,MATCH($A115,Simulations!$A$3:$A$62,0)))+1)))))</f>
        <v/>
      </c>
      <c r="T115" s="16" t="str">
        <f aca="false">IF(OR($A115="",ISNA(MATCH($A115,Simulations!$A$3:$A$62,0))),"",IF(N($H115)&lt;=0,0,IF($H115&lt;INDEX(Simulations!$J$3:$J$62,MATCH($A115,Simulations!$A$3:$A$62,0)),$D115/(INDEX(Simulations!$G$3:$G$62,MATCH($A115,Simulations!$A$3:$A$62,0))*INDEX(Simulations!$H$3:$H$62,MATCH($A115,Simulations!$A$3:$A$62,0))*IF(INDEX(Simulations!$I$3:$I$62,MATCH($A115,Simulations!$A$3:$A$62,0))&gt;0,INDEX(Simulations!$I$3:$I$62,MATCH($A115,Simulations!$A$3:$A$62,0)),1))*$H115*(PI()/2*INDEX(Simulations!$T$3:$T$62,MATCH($A115,Simulations!$A$3:$A$62,0))^2*IF(INDEX(Simulations!$I$3:$I$62,MATCH($A115,Simulations!$A$3:$A$62,0))&gt;0,SQRT(PI()/2)*INDEX(Simulations!$U$3:$U$62,MATCH($A115,Simulations!$A$3:$A$62,0)),1)),$D115/(INDEX(Simulations!$G$3:$G$62,MATCH($A115,Simulations!$A$3:$A$62,0))*INDEX(Simulations!$H$3:$H$62,MATCH($A115,Simulations!$A$3:$A$62,0))*IF(INDEX(Simulations!$I$3:$I$62,MATCH($A115,Simulations!$A$3:$A$62,0))&gt;0,INDEX(Simulations!$I$3:$I$62,MATCH($A115,Simulations!$A$3:$A$62,0)),1))*INDEX(Simulations!$J$3:$J$62,MATCH($A115,Simulations!$A$3:$A$62,0))*IF(INDEX(Simulations!$I$3:$I$62,MATCH($A115,Simulations!$A$3:$A$62,0))&gt;0,2*PI()*INDEX(Simulations!$T$3:$T$62,MATCH($A115,Simulations!$A$3:$A$62,0))^2*INDEX(Simulations!$U$3:$U$62,MATCH($A115,Simulations!$A$3:$A$62,0))/2^1.5*(2/3*LN($H115/INDEX(Simulations!$J$3:$J$62,MATCH($A115,Simulations!$A$3:$A$62,0)))^1.5+SQRT(LN($H115/INDEX(Simulations!$J$3:$J$62,MATCH($A115,Simulations!$A$3:$A$62,0))))+$H115/INDEX(Simulations!$J$3:$J$62,MATCH($A115,Simulations!$A$3:$A$62,0))*SQRT(PI())/2*ERFC(SQRT(LN($H115/INDEX(Simulations!$J$3:$J$62,MATCH($A115,Simulations!$A$3:$A$62,0)))))),PI()*INDEX(Simulations!$T$3:$T$62,MATCH($A115,Simulations!$A$3:$A$62,0))^2/2*(LN($H115/INDEX(Simulations!$J$3:$J$62,MATCH($A115,Simulations!$A$3:$A$62,0)))+1)))))</f>
        <v/>
      </c>
      <c r="U115" s="18" t="str">
        <f aca="false">IF(OR(OR($A115="",ISNA(MATCH($A115,Simulations!$A$3:$A$62,0))),N($C115)&lt;=0),"",SQRT(2*$C115*1000000/(INDEX(Simulations!$J$3:$J$62,MATCH($A115,Simulations!$A$3:$A$62,0))*1000))/INDEX(Simulations!$T$3:$T$62,MATCH($A115,Simulations!$A$3:$A$62,0)))</f>
        <v/>
      </c>
      <c r="V115" s="19" t="str">
        <f aca="false">IF($A115="","",IF(ISNA(MATCH($A115,Simulations!$A$3:$A$62,0)),"✖ Sim ID not found on the Simulations sheet",IF($P115&gt;=1,"✖ brightness &gt;= sampling frequency: completely saturated (D too small, c too large)",IF($P115&gt;0.1,"⚠ brightness &gt; 10% of the sampling frequency: focus starts to saturate",IF(N($U115)&gt;0.1,"⚠ diffusion step &gt; 10% of wr: raise the sampling frequency",IF(MAX($E115:$H115)=0,"⚠ no brightness set","✔ OK"))))))</f>
        <v/>
      </c>
    </row>
    <row r="116" customFormat="false" ht="15" hidden="false" customHeight="false" outlineLevel="0" collapsed="false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4"/>
      <c r="O116" s="18" t="str">
        <f aca="false">IF(OR($A116="",ISNA(MATCH($A116,Simulations!$A$3:$A$62,0))),"",IF(INDEX(Simulations!$I$3:$I$62,MATCH($A116,Simulations!$A$3:$A$62,0))&gt;0,$D116/(INDEX(Simulations!$G$3:$G$62,MATCH($A116,Simulations!$A$3:$A$62,0))*INDEX(Simulations!$H$3:$H$62,MATCH($A116,Simulations!$A$3:$A$62,0))*IF(INDEX(Simulations!$I$3:$I$62,MATCH($A116,Simulations!$A$3:$A$62,0))&gt;0,INDEX(Simulations!$I$3:$I$62,MATCH($A116,Simulations!$A$3:$A$62,0)),1))/1E-024/6.022E+023/0.000000001,""))</f>
        <v/>
      </c>
      <c r="P116" s="20" t="str">
        <f aca="false">IF(OR($A116="",ISNA(MATCH($A116,Simulations!$A$3:$A$62,0))),"",MAX($E116:$H116)/INDEX(Simulations!$J$3:$J$62,MATCH($A116,Simulations!$A$3:$A$62,0)))</f>
        <v/>
      </c>
      <c r="Q116" s="16" t="str">
        <f aca="false">IF(OR($A116="",ISNA(MATCH($A116,Simulations!$A$3:$A$62,0))),"",IF(N($E116)&lt;=0,0,IF($E116&lt;INDEX(Simulations!$J$3:$J$62,MATCH($A116,Simulations!$A$3:$A$62,0)),$D116/(INDEX(Simulations!$G$3:$G$62,MATCH($A116,Simulations!$A$3:$A$62,0))*INDEX(Simulations!$H$3:$H$62,MATCH($A116,Simulations!$A$3:$A$62,0))*IF(INDEX(Simulations!$I$3:$I$62,MATCH($A116,Simulations!$A$3:$A$62,0))&gt;0,INDEX(Simulations!$I$3:$I$62,MATCH($A116,Simulations!$A$3:$A$62,0)),1))*$E116*(PI()/2*INDEX(Simulations!$T$3:$T$62,MATCH($A116,Simulations!$A$3:$A$62,0))^2*IF(INDEX(Simulations!$I$3:$I$62,MATCH($A116,Simulations!$A$3:$A$62,0))&gt;0,SQRT(PI()/2)*INDEX(Simulations!$U$3:$U$62,MATCH($A116,Simulations!$A$3:$A$62,0)),1)),$D116/(INDEX(Simulations!$G$3:$G$62,MATCH($A116,Simulations!$A$3:$A$62,0))*INDEX(Simulations!$H$3:$H$62,MATCH($A116,Simulations!$A$3:$A$62,0))*IF(INDEX(Simulations!$I$3:$I$62,MATCH($A116,Simulations!$A$3:$A$62,0))&gt;0,INDEX(Simulations!$I$3:$I$62,MATCH($A116,Simulations!$A$3:$A$62,0)),1))*INDEX(Simulations!$J$3:$J$62,MATCH($A116,Simulations!$A$3:$A$62,0))*IF(INDEX(Simulations!$I$3:$I$62,MATCH($A116,Simulations!$A$3:$A$62,0))&gt;0,2*PI()*INDEX(Simulations!$T$3:$T$62,MATCH($A116,Simulations!$A$3:$A$62,0))^2*INDEX(Simulations!$U$3:$U$62,MATCH($A116,Simulations!$A$3:$A$62,0))/2^1.5*(2/3*LN($E116/INDEX(Simulations!$J$3:$J$62,MATCH($A116,Simulations!$A$3:$A$62,0)))^1.5+SQRT(LN($E116/INDEX(Simulations!$J$3:$J$62,MATCH($A116,Simulations!$A$3:$A$62,0))))+$E116/INDEX(Simulations!$J$3:$J$62,MATCH($A116,Simulations!$A$3:$A$62,0))*SQRT(PI())/2*ERFC(SQRT(LN($E116/INDEX(Simulations!$J$3:$J$62,MATCH($A116,Simulations!$A$3:$A$62,0)))))),PI()*INDEX(Simulations!$T$3:$T$62,MATCH($A116,Simulations!$A$3:$A$62,0))^2/2*(LN($E116/INDEX(Simulations!$J$3:$J$62,MATCH($A116,Simulations!$A$3:$A$62,0)))+1)))))</f>
        <v/>
      </c>
      <c r="R116" s="16" t="str">
        <f aca="false">IF(OR($A116="",ISNA(MATCH($A116,Simulations!$A$3:$A$62,0))),"",IF(N($F116)&lt;=0,0,IF($F116&lt;INDEX(Simulations!$J$3:$J$62,MATCH($A116,Simulations!$A$3:$A$62,0)),$D116/(INDEX(Simulations!$G$3:$G$62,MATCH($A116,Simulations!$A$3:$A$62,0))*INDEX(Simulations!$H$3:$H$62,MATCH($A116,Simulations!$A$3:$A$62,0))*IF(INDEX(Simulations!$I$3:$I$62,MATCH($A116,Simulations!$A$3:$A$62,0))&gt;0,INDEX(Simulations!$I$3:$I$62,MATCH($A116,Simulations!$A$3:$A$62,0)),1))*$F116*(PI()/2*INDEX(Simulations!$T$3:$T$62,MATCH($A116,Simulations!$A$3:$A$62,0))^2*IF(INDEX(Simulations!$I$3:$I$62,MATCH($A116,Simulations!$A$3:$A$62,0))&gt;0,SQRT(PI()/2)*INDEX(Simulations!$U$3:$U$62,MATCH($A116,Simulations!$A$3:$A$62,0)),1)),$D116/(INDEX(Simulations!$G$3:$G$62,MATCH($A116,Simulations!$A$3:$A$62,0))*INDEX(Simulations!$H$3:$H$62,MATCH($A116,Simulations!$A$3:$A$62,0))*IF(INDEX(Simulations!$I$3:$I$62,MATCH($A116,Simulations!$A$3:$A$62,0))&gt;0,INDEX(Simulations!$I$3:$I$62,MATCH($A116,Simulations!$A$3:$A$62,0)),1))*INDEX(Simulations!$J$3:$J$62,MATCH($A116,Simulations!$A$3:$A$62,0))*IF(INDEX(Simulations!$I$3:$I$62,MATCH($A116,Simulations!$A$3:$A$62,0))&gt;0,2*PI()*INDEX(Simulations!$T$3:$T$62,MATCH($A116,Simulations!$A$3:$A$62,0))^2*INDEX(Simulations!$U$3:$U$62,MATCH($A116,Simulations!$A$3:$A$62,0))/2^1.5*(2/3*LN($F116/INDEX(Simulations!$J$3:$J$62,MATCH($A116,Simulations!$A$3:$A$62,0)))^1.5+SQRT(LN($F116/INDEX(Simulations!$J$3:$J$62,MATCH($A116,Simulations!$A$3:$A$62,0))))+$F116/INDEX(Simulations!$J$3:$J$62,MATCH($A116,Simulations!$A$3:$A$62,0))*SQRT(PI())/2*ERFC(SQRT(LN($F116/INDEX(Simulations!$J$3:$J$62,MATCH($A116,Simulations!$A$3:$A$62,0)))))),PI()*INDEX(Simulations!$T$3:$T$62,MATCH($A116,Simulations!$A$3:$A$62,0))^2/2*(LN($F116/INDEX(Simulations!$J$3:$J$62,MATCH($A116,Simulations!$A$3:$A$62,0)))+1)))))</f>
        <v/>
      </c>
      <c r="S116" s="16" t="str">
        <f aca="false">IF(OR($A116="",ISNA(MATCH($A116,Simulations!$A$3:$A$62,0))),"",IF(N($G116)&lt;=0,0,IF($G116&lt;INDEX(Simulations!$J$3:$J$62,MATCH($A116,Simulations!$A$3:$A$62,0)),$D116/(INDEX(Simulations!$G$3:$G$62,MATCH($A116,Simulations!$A$3:$A$62,0))*INDEX(Simulations!$H$3:$H$62,MATCH($A116,Simulations!$A$3:$A$62,0))*IF(INDEX(Simulations!$I$3:$I$62,MATCH($A116,Simulations!$A$3:$A$62,0))&gt;0,INDEX(Simulations!$I$3:$I$62,MATCH($A116,Simulations!$A$3:$A$62,0)),1))*$G116*(PI()/2*INDEX(Simulations!$T$3:$T$62,MATCH($A116,Simulations!$A$3:$A$62,0))^2*IF(INDEX(Simulations!$I$3:$I$62,MATCH($A116,Simulations!$A$3:$A$62,0))&gt;0,SQRT(PI()/2)*INDEX(Simulations!$U$3:$U$62,MATCH($A116,Simulations!$A$3:$A$62,0)),1)),$D116/(INDEX(Simulations!$G$3:$G$62,MATCH($A116,Simulations!$A$3:$A$62,0))*INDEX(Simulations!$H$3:$H$62,MATCH($A116,Simulations!$A$3:$A$62,0))*IF(INDEX(Simulations!$I$3:$I$62,MATCH($A116,Simulations!$A$3:$A$62,0))&gt;0,INDEX(Simulations!$I$3:$I$62,MATCH($A116,Simulations!$A$3:$A$62,0)),1))*INDEX(Simulations!$J$3:$J$62,MATCH($A116,Simulations!$A$3:$A$62,0))*IF(INDEX(Simulations!$I$3:$I$62,MATCH($A116,Simulations!$A$3:$A$62,0))&gt;0,2*PI()*INDEX(Simulations!$T$3:$T$62,MATCH($A116,Simulations!$A$3:$A$62,0))^2*INDEX(Simulations!$U$3:$U$62,MATCH($A116,Simulations!$A$3:$A$62,0))/2^1.5*(2/3*LN($G116/INDEX(Simulations!$J$3:$J$62,MATCH($A116,Simulations!$A$3:$A$62,0)))^1.5+SQRT(LN($G116/INDEX(Simulations!$J$3:$J$62,MATCH($A116,Simulations!$A$3:$A$62,0))))+$G116/INDEX(Simulations!$J$3:$J$62,MATCH($A116,Simulations!$A$3:$A$62,0))*SQRT(PI())/2*ERFC(SQRT(LN($G116/INDEX(Simulations!$J$3:$J$62,MATCH($A116,Simulations!$A$3:$A$62,0)))))),PI()*INDEX(Simulations!$T$3:$T$62,MATCH($A116,Simulations!$A$3:$A$62,0))^2/2*(LN($G116/INDEX(Simulations!$J$3:$J$62,MATCH($A116,Simulations!$A$3:$A$62,0)))+1)))))</f>
        <v/>
      </c>
      <c r="T116" s="16" t="str">
        <f aca="false">IF(OR($A116="",ISNA(MATCH($A116,Simulations!$A$3:$A$62,0))),"",IF(N($H116)&lt;=0,0,IF($H116&lt;INDEX(Simulations!$J$3:$J$62,MATCH($A116,Simulations!$A$3:$A$62,0)),$D116/(INDEX(Simulations!$G$3:$G$62,MATCH($A116,Simulations!$A$3:$A$62,0))*INDEX(Simulations!$H$3:$H$62,MATCH($A116,Simulations!$A$3:$A$62,0))*IF(INDEX(Simulations!$I$3:$I$62,MATCH($A116,Simulations!$A$3:$A$62,0))&gt;0,INDEX(Simulations!$I$3:$I$62,MATCH($A116,Simulations!$A$3:$A$62,0)),1))*$H116*(PI()/2*INDEX(Simulations!$T$3:$T$62,MATCH($A116,Simulations!$A$3:$A$62,0))^2*IF(INDEX(Simulations!$I$3:$I$62,MATCH($A116,Simulations!$A$3:$A$62,0))&gt;0,SQRT(PI()/2)*INDEX(Simulations!$U$3:$U$62,MATCH($A116,Simulations!$A$3:$A$62,0)),1)),$D116/(INDEX(Simulations!$G$3:$G$62,MATCH($A116,Simulations!$A$3:$A$62,0))*INDEX(Simulations!$H$3:$H$62,MATCH($A116,Simulations!$A$3:$A$62,0))*IF(INDEX(Simulations!$I$3:$I$62,MATCH($A116,Simulations!$A$3:$A$62,0))&gt;0,INDEX(Simulations!$I$3:$I$62,MATCH($A116,Simulations!$A$3:$A$62,0)),1))*INDEX(Simulations!$J$3:$J$62,MATCH($A116,Simulations!$A$3:$A$62,0))*IF(INDEX(Simulations!$I$3:$I$62,MATCH($A116,Simulations!$A$3:$A$62,0))&gt;0,2*PI()*INDEX(Simulations!$T$3:$T$62,MATCH($A116,Simulations!$A$3:$A$62,0))^2*INDEX(Simulations!$U$3:$U$62,MATCH($A116,Simulations!$A$3:$A$62,0))/2^1.5*(2/3*LN($H116/INDEX(Simulations!$J$3:$J$62,MATCH($A116,Simulations!$A$3:$A$62,0)))^1.5+SQRT(LN($H116/INDEX(Simulations!$J$3:$J$62,MATCH($A116,Simulations!$A$3:$A$62,0))))+$H116/INDEX(Simulations!$J$3:$J$62,MATCH($A116,Simulations!$A$3:$A$62,0))*SQRT(PI())/2*ERFC(SQRT(LN($H116/INDEX(Simulations!$J$3:$J$62,MATCH($A116,Simulations!$A$3:$A$62,0)))))),PI()*INDEX(Simulations!$T$3:$T$62,MATCH($A116,Simulations!$A$3:$A$62,0))^2/2*(LN($H116/INDEX(Simulations!$J$3:$J$62,MATCH($A116,Simulations!$A$3:$A$62,0)))+1)))))</f>
        <v/>
      </c>
      <c r="U116" s="18" t="str">
        <f aca="false">IF(OR(OR($A116="",ISNA(MATCH($A116,Simulations!$A$3:$A$62,0))),N($C116)&lt;=0),"",SQRT(2*$C116*1000000/(INDEX(Simulations!$J$3:$J$62,MATCH($A116,Simulations!$A$3:$A$62,0))*1000))/INDEX(Simulations!$T$3:$T$62,MATCH($A116,Simulations!$A$3:$A$62,0)))</f>
        <v/>
      </c>
      <c r="V116" s="19" t="str">
        <f aca="false">IF($A116="","",IF(ISNA(MATCH($A116,Simulations!$A$3:$A$62,0)),"✖ Sim ID not found on the Simulations sheet",IF($P116&gt;=1,"✖ brightness &gt;= sampling frequency: completely saturated (D too small, c too large)",IF($P116&gt;0.1,"⚠ brightness &gt; 10% of the sampling frequency: focus starts to saturate",IF(N($U116)&gt;0.1,"⚠ diffusion step &gt; 10% of wr: raise the sampling frequency",IF(MAX($E116:$H116)=0,"⚠ no brightness set","✔ OK"))))))</f>
        <v/>
      </c>
    </row>
    <row r="117" customFormat="false" ht="15" hidden="false" customHeight="false" outlineLevel="0" collapsed="false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4"/>
      <c r="O117" s="18" t="str">
        <f aca="false">IF(OR($A117="",ISNA(MATCH($A117,Simulations!$A$3:$A$62,0))),"",IF(INDEX(Simulations!$I$3:$I$62,MATCH($A117,Simulations!$A$3:$A$62,0))&gt;0,$D117/(INDEX(Simulations!$G$3:$G$62,MATCH($A117,Simulations!$A$3:$A$62,0))*INDEX(Simulations!$H$3:$H$62,MATCH($A117,Simulations!$A$3:$A$62,0))*IF(INDEX(Simulations!$I$3:$I$62,MATCH($A117,Simulations!$A$3:$A$62,0))&gt;0,INDEX(Simulations!$I$3:$I$62,MATCH($A117,Simulations!$A$3:$A$62,0)),1))/1E-024/6.022E+023/0.000000001,""))</f>
        <v/>
      </c>
      <c r="P117" s="20" t="str">
        <f aca="false">IF(OR($A117="",ISNA(MATCH($A117,Simulations!$A$3:$A$62,0))),"",MAX($E117:$H117)/INDEX(Simulations!$J$3:$J$62,MATCH($A117,Simulations!$A$3:$A$62,0)))</f>
        <v/>
      </c>
      <c r="Q117" s="16" t="str">
        <f aca="false">IF(OR($A117="",ISNA(MATCH($A117,Simulations!$A$3:$A$62,0))),"",IF(N($E117)&lt;=0,0,IF($E117&lt;INDEX(Simulations!$J$3:$J$62,MATCH($A117,Simulations!$A$3:$A$62,0)),$D117/(INDEX(Simulations!$G$3:$G$62,MATCH($A117,Simulations!$A$3:$A$62,0))*INDEX(Simulations!$H$3:$H$62,MATCH($A117,Simulations!$A$3:$A$62,0))*IF(INDEX(Simulations!$I$3:$I$62,MATCH($A117,Simulations!$A$3:$A$62,0))&gt;0,INDEX(Simulations!$I$3:$I$62,MATCH($A117,Simulations!$A$3:$A$62,0)),1))*$E117*(PI()/2*INDEX(Simulations!$T$3:$T$62,MATCH($A117,Simulations!$A$3:$A$62,0))^2*IF(INDEX(Simulations!$I$3:$I$62,MATCH($A117,Simulations!$A$3:$A$62,0))&gt;0,SQRT(PI()/2)*INDEX(Simulations!$U$3:$U$62,MATCH($A117,Simulations!$A$3:$A$62,0)),1)),$D117/(INDEX(Simulations!$G$3:$G$62,MATCH($A117,Simulations!$A$3:$A$62,0))*INDEX(Simulations!$H$3:$H$62,MATCH($A117,Simulations!$A$3:$A$62,0))*IF(INDEX(Simulations!$I$3:$I$62,MATCH($A117,Simulations!$A$3:$A$62,0))&gt;0,INDEX(Simulations!$I$3:$I$62,MATCH($A117,Simulations!$A$3:$A$62,0)),1))*INDEX(Simulations!$J$3:$J$62,MATCH($A117,Simulations!$A$3:$A$62,0))*IF(INDEX(Simulations!$I$3:$I$62,MATCH($A117,Simulations!$A$3:$A$62,0))&gt;0,2*PI()*INDEX(Simulations!$T$3:$T$62,MATCH($A117,Simulations!$A$3:$A$62,0))^2*INDEX(Simulations!$U$3:$U$62,MATCH($A117,Simulations!$A$3:$A$62,0))/2^1.5*(2/3*LN($E117/INDEX(Simulations!$J$3:$J$62,MATCH($A117,Simulations!$A$3:$A$62,0)))^1.5+SQRT(LN($E117/INDEX(Simulations!$J$3:$J$62,MATCH($A117,Simulations!$A$3:$A$62,0))))+$E117/INDEX(Simulations!$J$3:$J$62,MATCH($A117,Simulations!$A$3:$A$62,0))*SQRT(PI())/2*ERFC(SQRT(LN($E117/INDEX(Simulations!$J$3:$J$62,MATCH($A117,Simulations!$A$3:$A$62,0)))))),PI()*INDEX(Simulations!$T$3:$T$62,MATCH($A117,Simulations!$A$3:$A$62,0))^2/2*(LN($E117/INDEX(Simulations!$J$3:$J$62,MATCH($A117,Simulations!$A$3:$A$62,0)))+1)))))</f>
        <v/>
      </c>
      <c r="R117" s="16" t="str">
        <f aca="false">IF(OR($A117="",ISNA(MATCH($A117,Simulations!$A$3:$A$62,0))),"",IF(N($F117)&lt;=0,0,IF($F117&lt;INDEX(Simulations!$J$3:$J$62,MATCH($A117,Simulations!$A$3:$A$62,0)),$D117/(INDEX(Simulations!$G$3:$G$62,MATCH($A117,Simulations!$A$3:$A$62,0))*INDEX(Simulations!$H$3:$H$62,MATCH($A117,Simulations!$A$3:$A$62,0))*IF(INDEX(Simulations!$I$3:$I$62,MATCH($A117,Simulations!$A$3:$A$62,0))&gt;0,INDEX(Simulations!$I$3:$I$62,MATCH($A117,Simulations!$A$3:$A$62,0)),1))*$F117*(PI()/2*INDEX(Simulations!$T$3:$T$62,MATCH($A117,Simulations!$A$3:$A$62,0))^2*IF(INDEX(Simulations!$I$3:$I$62,MATCH($A117,Simulations!$A$3:$A$62,0))&gt;0,SQRT(PI()/2)*INDEX(Simulations!$U$3:$U$62,MATCH($A117,Simulations!$A$3:$A$62,0)),1)),$D117/(INDEX(Simulations!$G$3:$G$62,MATCH($A117,Simulations!$A$3:$A$62,0))*INDEX(Simulations!$H$3:$H$62,MATCH($A117,Simulations!$A$3:$A$62,0))*IF(INDEX(Simulations!$I$3:$I$62,MATCH($A117,Simulations!$A$3:$A$62,0))&gt;0,INDEX(Simulations!$I$3:$I$62,MATCH($A117,Simulations!$A$3:$A$62,0)),1))*INDEX(Simulations!$J$3:$J$62,MATCH($A117,Simulations!$A$3:$A$62,0))*IF(INDEX(Simulations!$I$3:$I$62,MATCH($A117,Simulations!$A$3:$A$62,0))&gt;0,2*PI()*INDEX(Simulations!$T$3:$T$62,MATCH($A117,Simulations!$A$3:$A$62,0))^2*INDEX(Simulations!$U$3:$U$62,MATCH($A117,Simulations!$A$3:$A$62,0))/2^1.5*(2/3*LN($F117/INDEX(Simulations!$J$3:$J$62,MATCH($A117,Simulations!$A$3:$A$62,0)))^1.5+SQRT(LN($F117/INDEX(Simulations!$J$3:$J$62,MATCH($A117,Simulations!$A$3:$A$62,0))))+$F117/INDEX(Simulations!$J$3:$J$62,MATCH($A117,Simulations!$A$3:$A$62,0))*SQRT(PI())/2*ERFC(SQRT(LN($F117/INDEX(Simulations!$J$3:$J$62,MATCH($A117,Simulations!$A$3:$A$62,0)))))),PI()*INDEX(Simulations!$T$3:$T$62,MATCH($A117,Simulations!$A$3:$A$62,0))^2/2*(LN($F117/INDEX(Simulations!$J$3:$J$62,MATCH($A117,Simulations!$A$3:$A$62,0)))+1)))))</f>
        <v/>
      </c>
      <c r="S117" s="16" t="str">
        <f aca="false">IF(OR($A117="",ISNA(MATCH($A117,Simulations!$A$3:$A$62,0))),"",IF(N($G117)&lt;=0,0,IF($G117&lt;INDEX(Simulations!$J$3:$J$62,MATCH($A117,Simulations!$A$3:$A$62,0)),$D117/(INDEX(Simulations!$G$3:$G$62,MATCH($A117,Simulations!$A$3:$A$62,0))*INDEX(Simulations!$H$3:$H$62,MATCH($A117,Simulations!$A$3:$A$62,0))*IF(INDEX(Simulations!$I$3:$I$62,MATCH($A117,Simulations!$A$3:$A$62,0))&gt;0,INDEX(Simulations!$I$3:$I$62,MATCH($A117,Simulations!$A$3:$A$62,0)),1))*$G117*(PI()/2*INDEX(Simulations!$T$3:$T$62,MATCH($A117,Simulations!$A$3:$A$62,0))^2*IF(INDEX(Simulations!$I$3:$I$62,MATCH($A117,Simulations!$A$3:$A$62,0))&gt;0,SQRT(PI()/2)*INDEX(Simulations!$U$3:$U$62,MATCH($A117,Simulations!$A$3:$A$62,0)),1)),$D117/(INDEX(Simulations!$G$3:$G$62,MATCH($A117,Simulations!$A$3:$A$62,0))*INDEX(Simulations!$H$3:$H$62,MATCH($A117,Simulations!$A$3:$A$62,0))*IF(INDEX(Simulations!$I$3:$I$62,MATCH($A117,Simulations!$A$3:$A$62,0))&gt;0,INDEX(Simulations!$I$3:$I$62,MATCH($A117,Simulations!$A$3:$A$62,0)),1))*INDEX(Simulations!$J$3:$J$62,MATCH($A117,Simulations!$A$3:$A$62,0))*IF(INDEX(Simulations!$I$3:$I$62,MATCH($A117,Simulations!$A$3:$A$62,0))&gt;0,2*PI()*INDEX(Simulations!$T$3:$T$62,MATCH($A117,Simulations!$A$3:$A$62,0))^2*INDEX(Simulations!$U$3:$U$62,MATCH($A117,Simulations!$A$3:$A$62,0))/2^1.5*(2/3*LN($G117/INDEX(Simulations!$J$3:$J$62,MATCH($A117,Simulations!$A$3:$A$62,0)))^1.5+SQRT(LN($G117/INDEX(Simulations!$J$3:$J$62,MATCH($A117,Simulations!$A$3:$A$62,0))))+$G117/INDEX(Simulations!$J$3:$J$62,MATCH($A117,Simulations!$A$3:$A$62,0))*SQRT(PI())/2*ERFC(SQRT(LN($G117/INDEX(Simulations!$J$3:$J$62,MATCH($A117,Simulations!$A$3:$A$62,0)))))),PI()*INDEX(Simulations!$T$3:$T$62,MATCH($A117,Simulations!$A$3:$A$62,0))^2/2*(LN($G117/INDEX(Simulations!$J$3:$J$62,MATCH($A117,Simulations!$A$3:$A$62,0)))+1)))))</f>
        <v/>
      </c>
      <c r="T117" s="16" t="str">
        <f aca="false">IF(OR($A117="",ISNA(MATCH($A117,Simulations!$A$3:$A$62,0))),"",IF(N($H117)&lt;=0,0,IF($H117&lt;INDEX(Simulations!$J$3:$J$62,MATCH($A117,Simulations!$A$3:$A$62,0)),$D117/(INDEX(Simulations!$G$3:$G$62,MATCH($A117,Simulations!$A$3:$A$62,0))*INDEX(Simulations!$H$3:$H$62,MATCH($A117,Simulations!$A$3:$A$62,0))*IF(INDEX(Simulations!$I$3:$I$62,MATCH($A117,Simulations!$A$3:$A$62,0))&gt;0,INDEX(Simulations!$I$3:$I$62,MATCH($A117,Simulations!$A$3:$A$62,0)),1))*$H117*(PI()/2*INDEX(Simulations!$T$3:$T$62,MATCH($A117,Simulations!$A$3:$A$62,0))^2*IF(INDEX(Simulations!$I$3:$I$62,MATCH($A117,Simulations!$A$3:$A$62,0))&gt;0,SQRT(PI()/2)*INDEX(Simulations!$U$3:$U$62,MATCH($A117,Simulations!$A$3:$A$62,0)),1)),$D117/(INDEX(Simulations!$G$3:$G$62,MATCH($A117,Simulations!$A$3:$A$62,0))*INDEX(Simulations!$H$3:$H$62,MATCH($A117,Simulations!$A$3:$A$62,0))*IF(INDEX(Simulations!$I$3:$I$62,MATCH($A117,Simulations!$A$3:$A$62,0))&gt;0,INDEX(Simulations!$I$3:$I$62,MATCH($A117,Simulations!$A$3:$A$62,0)),1))*INDEX(Simulations!$J$3:$J$62,MATCH($A117,Simulations!$A$3:$A$62,0))*IF(INDEX(Simulations!$I$3:$I$62,MATCH($A117,Simulations!$A$3:$A$62,0))&gt;0,2*PI()*INDEX(Simulations!$T$3:$T$62,MATCH($A117,Simulations!$A$3:$A$62,0))^2*INDEX(Simulations!$U$3:$U$62,MATCH($A117,Simulations!$A$3:$A$62,0))/2^1.5*(2/3*LN($H117/INDEX(Simulations!$J$3:$J$62,MATCH($A117,Simulations!$A$3:$A$62,0)))^1.5+SQRT(LN($H117/INDEX(Simulations!$J$3:$J$62,MATCH($A117,Simulations!$A$3:$A$62,0))))+$H117/INDEX(Simulations!$J$3:$J$62,MATCH($A117,Simulations!$A$3:$A$62,0))*SQRT(PI())/2*ERFC(SQRT(LN($H117/INDEX(Simulations!$J$3:$J$62,MATCH($A117,Simulations!$A$3:$A$62,0)))))),PI()*INDEX(Simulations!$T$3:$T$62,MATCH($A117,Simulations!$A$3:$A$62,0))^2/2*(LN($H117/INDEX(Simulations!$J$3:$J$62,MATCH($A117,Simulations!$A$3:$A$62,0)))+1)))))</f>
        <v/>
      </c>
      <c r="U117" s="18" t="str">
        <f aca="false">IF(OR(OR($A117="",ISNA(MATCH($A117,Simulations!$A$3:$A$62,0))),N($C117)&lt;=0),"",SQRT(2*$C117*1000000/(INDEX(Simulations!$J$3:$J$62,MATCH($A117,Simulations!$A$3:$A$62,0))*1000))/INDEX(Simulations!$T$3:$T$62,MATCH($A117,Simulations!$A$3:$A$62,0)))</f>
        <v/>
      </c>
      <c r="V117" s="19" t="str">
        <f aca="false">IF($A117="","",IF(ISNA(MATCH($A117,Simulations!$A$3:$A$62,0)),"✖ Sim ID not found on the Simulations sheet",IF($P117&gt;=1,"✖ brightness &gt;= sampling frequency: completely saturated (D too small, c too large)",IF($P117&gt;0.1,"⚠ brightness &gt; 10% of the sampling frequency: focus starts to saturate",IF(N($U117)&gt;0.1,"⚠ diffusion step &gt; 10% of wr: raise the sampling frequency",IF(MAX($E117:$H117)=0,"⚠ no brightness set","✔ OK"))))))</f>
        <v/>
      </c>
    </row>
    <row r="118" customFormat="false" ht="15" hidden="false" customHeight="false" outlineLevel="0" collapsed="false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4"/>
      <c r="O118" s="18" t="str">
        <f aca="false">IF(OR($A118="",ISNA(MATCH($A118,Simulations!$A$3:$A$62,0))),"",IF(INDEX(Simulations!$I$3:$I$62,MATCH($A118,Simulations!$A$3:$A$62,0))&gt;0,$D118/(INDEX(Simulations!$G$3:$G$62,MATCH($A118,Simulations!$A$3:$A$62,0))*INDEX(Simulations!$H$3:$H$62,MATCH($A118,Simulations!$A$3:$A$62,0))*IF(INDEX(Simulations!$I$3:$I$62,MATCH($A118,Simulations!$A$3:$A$62,0))&gt;0,INDEX(Simulations!$I$3:$I$62,MATCH($A118,Simulations!$A$3:$A$62,0)),1))/1E-024/6.022E+023/0.000000001,""))</f>
        <v/>
      </c>
      <c r="P118" s="20" t="str">
        <f aca="false">IF(OR($A118="",ISNA(MATCH($A118,Simulations!$A$3:$A$62,0))),"",MAX($E118:$H118)/INDEX(Simulations!$J$3:$J$62,MATCH($A118,Simulations!$A$3:$A$62,0)))</f>
        <v/>
      </c>
      <c r="Q118" s="16" t="str">
        <f aca="false">IF(OR($A118="",ISNA(MATCH($A118,Simulations!$A$3:$A$62,0))),"",IF(N($E118)&lt;=0,0,IF($E118&lt;INDEX(Simulations!$J$3:$J$62,MATCH($A118,Simulations!$A$3:$A$62,0)),$D118/(INDEX(Simulations!$G$3:$G$62,MATCH($A118,Simulations!$A$3:$A$62,0))*INDEX(Simulations!$H$3:$H$62,MATCH($A118,Simulations!$A$3:$A$62,0))*IF(INDEX(Simulations!$I$3:$I$62,MATCH($A118,Simulations!$A$3:$A$62,0))&gt;0,INDEX(Simulations!$I$3:$I$62,MATCH($A118,Simulations!$A$3:$A$62,0)),1))*$E118*(PI()/2*INDEX(Simulations!$T$3:$T$62,MATCH($A118,Simulations!$A$3:$A$62,0))^2*IF(INDEX(Simulations!$I$3:$I$62,MATCH($A118,Simulations!$A$3:$A$62,0))&gt;0,SQRT(PI()/2)*INDEX(Simulations!$U$3:$U$62,MATCH($A118,Simulations!$A$3:$A$62,0)),1)),$D118/(INDEX(Simulations!$G$3:$G$62,MATCH($A118,Simulations!$A$3:$A$62,0))*INDEX(Simulations!$H$3:$H$62,MATCH($A118,Simulations!$A$3:$A$62,0))*IF(INDEX(Simulations!$I$3:$I$62,MATCH($A118,Simulations!$A$3:$A$62,0))&gt;0,INDEX(Simulations!$I$3:$I$62,MATCH($A118,Simulations!$A$3:$A$62,0)),1))*INDEX(Simulations!$J$3:$J$62,MATCH($A118,Simulations!$A$3:$A$62,0))*IF(INDEX(Simulations!$I$3:$I$62,MATCH($A118,Simulations!$A$3:$A$62,0))&gt;0,2*PI()*INDEX(Simulations!$T$3:$T$62,MATCH($A118,Simulations!$A$3:$A$62,0))^2*INDEX(Simulations!$U$3:$U$62,MATCH($A118,Simulations!$A$3:$A$62,0))/2^1.5*(2/3*LN($E118/INDEX(Simulations!$J$3:$J$62,MATCH($A118,Simulations!$A$3:$A$62,0)))^1.5+SQRT(LN($E118/INDEX(Simulations!$J$3:$J$62,MATCH($A118,Simulations!$A$3:$A$62,0))))+$E118/INDEX(Simulations!$J$3:$J$62,MATCH($A118,Simulations!$A$3:$A$62,0))*SQRT(PI())/2*ERFC(SQRT(LN($E118/INDEX(Simulations!$J$3:$J$62,MATCH($A118,Simulations!$A$3:$A$62,0)))))),PI()*INDEX(Simulations!$T$3:$T$62,MATCH($A118,Simulations!$A$3:$A$62,0))^2/2*(LN($E118/INDEX(Simulations!$J$3:$J$62,MATCH($A118,Simulations!$A$3:$A$62,0)))+1)))))</f>
        <v/>
      </c>
      <c r="R118" s="16" t="str">
        <f aca="false">IF(OR($A118="",ISNA(MATCH($A118,Simulations!$A$3:$A$62,0))),"",IF(N($F118)&lt;=0,0,IF($F118&lt;INDEX(Simulations!$J$3:$J$62,MATCH($A118,Simulations!$A$3:$A$62,0)),$D118/(INDEX(Simulations!$G$3:$G$62,MATCH($A118,Simulations!$A$3:$A$62,0))*INDEX(Simulations!$H$3:$H$62,MATCH($A118,Simulations!$A$3:$A$62,0))*IF(INDEX(Simulations!$I$3:$I$62,MATCH($A118,Simulations!$A$3:$A$62,0))&gt;0,INDEX(Simulations!$I$3:$I$62,MATCH($A118,Simulations!$A$3:$A$62,0)),1))*$F118*(PI()/2*INDEX(Simulations!$T$3:$T$62,MATCH($A118,Simulations!$A$3:$A$62,0))^2*IF(INDEX(Simulations!$I$3:$I$62,MATCH($A118,Simulations!$A$3:$A$62,0))&gt;0,SQRT(PI()/2)*INDEX(Simulations!$U$3:$U$62,MATCH($A118,Simulations!$A$3:$A$62,0)),1)),$D118/(INDEX(Simulations!$G$3:$G$62,MATCH($A118,Simulations!$A$3:$A$62,0))*INDEX(Simulations!$H$3:$H$62,MATCH($A118,Simulations!$A$3:$A$62,0))*IF(INDEX(Simulations!$I$3:$I$62,MATCH($A118,Simulations!$A$3:$A$62,0))&gt;0,INDEX(Simulations!$I$3:$I$62,MATCH($A118,Simulations!$A$3:$A$62,0)),1))*INDEX(Simulations!$J$3:$J$62,MATCH($A118,Simulations!$A$3:$A$62,0))*IF(INDEX(Simulations!$I$3:$I$62,MATCH($A118,Simulations!$A$3:$A$62,0))&gt;0,2*PI()*INDEX(Simulations!$T$3:$T$62,MATCH($A118,Simulations!$A$3:$A$62,0))^2*INDEX(Simulations!$U$3:$U$62,MATCH($A118,Simulations!$A$3:$A$62,0))/2^1.5*(2/3*LN($F118/INDEX(Simulations!$J$3:$J$62,MATCH($A118,Simulations!$A$3:$A$62,0)))^1.5+SQRT(LN($F118/INDEX(Simulations!$J$3:$J$62,MATCH($A118,Simulations!$A$3:$A$62,0))))+$F118/INDEX(Simulations!$J$3:$J$62,MATCH($A118,Simulations!$A$3:$A$62,0))*SQRT(PI())/2*ERFC(SQRT(LN($F118/INDEX(Simulations!$J$3:$J$62,MATCH($A118,Simulations!$A$3:$A$62,0)))))),PI()*INDEX(Simulations!$T$3:$T$62,MATCH($A118,Simulations!$A$3:$A$62,0))^2/2*(LN($F118/INDEX(Simulations!$J$3:$J$62,MATCH($A118,Simulations!$A$3:$A$62,0)))+1)))))</f>
        <v/>
      </c>
      <c r="S118" s="16" t="str">
        <f aca="false">IF(OR($A118="",ISNA(MATCH($A118,Simulations!$A$3:$A$62,0))),"",IF(N($G118)&lt;=0,0,IF($G118&lt;INDEX(Simulations!$J$3:$J$62,MATCH($A118,Simulations!$A$3:$A$62,0)),$D118/(INDEX(Simulations!$G$3:$G$62,MATCH($A118,Simulations!$A$3:$A$62,0))*INDEX(Simulations!$H$3:$H$62,MATCH($A118,Simulations!$A$3:$A$62,0))*IF(INDEX(Simulations!$I$3:$I$62,MATCH($A118,Simulations!$A$3:$A$62,0))&gt;0,INDEX(Simulations!$I$3:$I$62,MATCH($A118,Simulations!$A$3:$A$62,0)),1))*$G118*(PI()/2*INDEX(Simulations!$T$3:$T$62,MATCH($A118,Simulations!$A$3:$A$62,0))^2*IF(INDEX(Simulations!$I$3:$I$62,MATCH($A118,Simulations!$A$3:$A$62,0))&gt;0,SQRT(PI()/2)*INDEX(Simulations!$U$3:$U$62,MATCH($A118,Simulations!$A$3:$A$62,0)),1)),$D118/(INDEX(Simulations!$G$3:$G$62,MATCH($A118,Simulations!$A$3:$A$62,0))*INDEX(Simulations!$H$3:$H$62,MATCH($A118,Simulations!$A$3:$A$62,0))*IF(INDEX(Simulations!$I$3:$I$62,MATCH($A118,Simulations!$A$3:$A$62,0))&gt;0,INDEX(Simulations!$I$3:$I$62,MATCH($A118,Simulations!$A$3:$A$62,0)),1))*INDEX(Simulations!$J$3:$J$62,MATCH($A118,Simulations!$A$3:$A$62,0))*IF(INDEX(Simulations!$I$3:$I$62,MATCH($A118,Simulations!$A$3:$A$62,0))&gt;0,2*PI()*INDEX(Simulations!$T$3:$T$62,MATCH($A118,Simulations!$A$3:$A$62,0))^2*INDEX(Simulations!$U$3:$U$62,MATCH($A118,Simulations!$A$3:$A$62,0))/2^1.5*(2/3*LN($G118/INDEX(Simulations!$J$3:$J$62,MATCH($A118,Simulations!$A$3:$A$62,0)))^1.5+SQRT(LN($G118/INDEX(Simulations!$J$3:$J$62,MATCH($A118,Simulations!$A$3:$A$62,0))))+$G118/INDEX(Simulations!$J$3:$J$62,MATCH($A118,Simulations!$A$3:$A$62,0))*SQRT(PI())/2*ERFC(SQRT(LN($G118/INDEX(Simulations!$J$3:$J$62,MATCH($A118,Simulations!$A$3:$A$62,0)))))),PI()*INDEX(Simulations!$T$3:$T$62,MATCH($A118,Simulations!$A$3:$A$62,0))^2/2*(LN($G118/INDEX(Simulations!$J$3:$J$62,MATCH($A118,Simulations!$A$3:$A$62,0)))+1)))))</f>
        <v/>
      </c>
      <c r="T118" s="16" t="str">
        <f aca="false">IF(OR($A118="",ISNA(MATCH($A118,Simulations!$A$3:$A$62,0))),"",IF(N($H118)&lt;=0,0,IF($H118&lt;INDEX(Simulations!$J$3:$J$62,MATCH($A118,Simulations!$A$3:$A$62,0)),$D118/(INDEX(Simulations!$G$3:$G$62,MATCH($A118,Simulations!$A$3:$A$62,0))*INDEX(Simulations!$H$3:$H$62,MATCH($A118,Simulations!$A$3:$A$62,0))*IF(INDEX(Simulations!$I$3:$I$62,MATCH($A118,Simulations!$A$3:$A$62,0))&gt;0,INDEX(Simulations!$I$3:$I$62,MATCH($A118,Simulations!$A$3:$A$62,0)),1))*$H118*(PI()/2*INDEX(Simulations!$T$3:$T$62,MATCH($A118,Simulations!$A$3:$A$62,0))^2*IF(INDEX(Simulations!$I$3:$I$62,MATCH($A118,Simulations!$A$3:$A$62,0))&gt;0,SQRT(PI()/2)*INDEX(Simulations!$U$3:$U$62,MATCH($A118,Simulations!$A$3:$A$62,0)),1)),$D118/(INDEX(Simulations!$G$3:$G$62,MATCH($A118,Simulations!$A$3:$A$62,0))*INDEX(Simulations!$H$3:$H$62,MATCH($A118,Simulations!$A$3:$A$62,0))*IF(INDEX(Simulations!$I$3:$I$62,MATCH($A118,Simulations!$A$3:$A$62,0))&gt;0,INDEX(Simulations!$I$3:$I$62,MATCH($A118,Simulations!$A$3:$A$62,0)),1))*INDEX(Simulations!$J$3:$J$62,MATCH($A118,Simulations!$A$3:$A$62,0))*IF(INDEX(Simulations!$I$3:$I$62,MATCH($A118,Simulations!$A$3:$A$62,0))&gt;0,2*PI()*INDEX(Simulations!$T$3:$T$62,MATCH($A118,Simulations!$A$3:$A$62,0))^2*INDEX(Simulations!$U$3:$U$62,MATCH($A118,Simulations!$A$3:$A$62,0))/2^1.5*(2/3*LN($H118/INDEX(Simulations!$J$3:$J$62,MATCH($A118,Simulations!$A$3:$A$62,0)))^1.5+SQRT(LN($H118/INDEX(Simulations!$J$3:$J$62,MATCH($A118,Simulations!$A$3:$A$62,0))))+$H118/INDEX(Simulations!$J$3:$J$62,MATCH($A118,Simulations!$A$3:$A$62,0))*SQRT(PI())/2*ERFC(SQRT(LN($H118/INDEX(Simulations!$J$3:$J$62,MATCH($A118,Simulations!$A$3:$A$62,0)))))),PI()*INDEX(Simulations!$T$3:$T$62,MATCH($A118,Simulations!$A$3:$A$62,0))^2/2*(LN($H118/INDEX(Simulations!$J$3:$J$62,MATCH($A118,Simulations!$A$3:$A$62,0)))+1)))))</f>
        <v/>
      </c>
      <c r="U118" s="18" t="str">
        <f aca="false">IF(OR(OR($A118="",ISNA(MATCH($A118,Simulations!$A$3:$A$62,0))),N($C118)&lt;=0),"",SQRT(2*$C118*1000000/(INDEX(Simulations!$J$3:$J$62,MATCH($A118,Simulations!$A$3:$A$62,0))*1000))/INDEX(Simulations!$T$3:$T$62,MATCH($A118,Simulations!$A$3:$A$62,0)))</f>
        <v/>
      </c>
      <c r="V118" s="19" t="str">
        <f aca="false">IF($A118="","",IF(ISNA(MATCH($A118,Simulations!$A$3:$A$62,0)),"✖ Sim ID not found on the Simulations sheet",IF($P118&gt;=1,"✖ brightness &gt;= sampling frequency: completely saturated (D too small, c too large)",IF($P118&gt;0.1,"⚠ brightness &gt; 10% of the sampling frequency: focus starts to saturate",IF(N($U118)&gt;0.1,"⚠ diffusion step &gt; 10% of wr: raise the sampling frequency",IF(MAX($E118:$H118)=0,"⚠ no brightness set","✔ OK"))))))</f>
        <v/>
      </c>
    </row>
    <row r="119" customFormat="false" ht="15" hidden="false" customHeight="false" outlineLevel="0" collapsed="false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4"/>
      <c r="O119" s="18" t="str">
        <f aca="false">IF(OR($A119="",ISNA(MATCH($A119,Simulations!$A$3:$A$62,0))),"",IF(INDEX(Simulations!$I$3:$I$62,MATCH($A119,Simulations!$A$3:$A$62,0))&gt;0,$D119/(INDEX(Simulations!$G$3:$G$62,MATCH($A119,Simulations!$A$3:$A$62,0))*INDEX(Simulations!$H$3:$H$62,MATCH($A119,Simulations!$A$3:$A$62,0))*IF(INDEX(Simulations!$I$3:$I$62,MATCH($A119,Simulations!$A$3:$A$62,0))&gt;0,INDEX(Simulations!$I$3:$I$62,MATCH($A119,Simulations!$A$3:$A$62,0)),1))/1E-024/6.022E+023/0.000000001,""))</f>
        <v/>
      </c>
      <c r="P119" s="20" t="str">
        <f aca="false">IF(OR($A119="",ISNA(MATCH($A119,Simulations!$A$3:$A$62,0))),"",MAX($E119:$H119)/INDEX(Simulations!$J$3:$J$62,MATCH($A119,Simulations!$A$3:$A$62,0)))</f>
        <v/>
      </c>
      <c r="Q119" s="16" t="str">
        <f aca="false">IF(OR($A119="",ISNA(MATCH($A119,Simulations!$A$3:$A$62,0))),"",IF(N($E119)&lt;=0,0,IF($E119&lt;INDEX(Simulations!$J$3:$J$62,MATCH($A119,Simulations!$A$3:$A$62,0)),$D119/(INDEX(Simulations!$G$3:$G$62,MATCH($A119,Simulations!$A$3:$A$62,0))*INDEX(Simulations!$H$3:$H$62,MATCH($A119,Simulations!$A$3:$A$62,0))*IF(INDEX(Simulations!$I$3:$I$62,MATCH($A119,Simulations!$A$3:$A$62,0))&gt;0,INDEX(Simulations!$I$3:$I$62,MATCH($A119,Simulations!$A$3:$A$62,0)),1))*$E119*(PI()/2*INDEX(Simulations!$T$3:$T$62,MATCH($A119,Simulations!$A$3:$A$62,0))^2*IF(INDEX(Simulations!$I$3:$I$62,MATCH($A119,Simulations!$A$3:$A$62,0))&gt;0,SQRT(PI()/2)*INDEX(Simulations!$U$3:$U$62,MATCH($A119,Simulations!$A$3:$A$62,0)),1)),$D119/(INDEX(Simulations!$G$3:$G$62,MATCH($A119,Simulations!$A$3:$A$62,0))*INDEX(Simulations!$H$3:$H$62,MATCH($A119,Simulations!$A$3:$A$62,0))*IF(INDEX(Simulations!$I$3:$I$62,MATCH($A119,Simulations!$A$3:$A$62,0))&gt;0,INDEX(Simulations!$I$3:$I$62,MATCH($A119,Simulations!$A$3:$A$62,0)),1))*INDEX(Simulations!$J$3:$J$62,MATCH($A119,Simulations!$A$3:$A$62,0))*IF(INDEX(Simulations!$I$3:$I$62,MATCH($A119,Simulations!$A$3:$A$62,0))&gt;0,2*PI()*INDEX(Simulations!$T$3:$T$62,MATCH($A119,Simulations!$A$3:$A$62,0))^2*INDEX(Simulations!$U$3:$U$62,MATCH($A119,Simulations!$A$3:$A$62,0))/2^1.5*(2/3*LN($E119/INDEX(Simulations!$J$3:$J$62,MATCH($A119,Simulations!$A$3:$A$62,0)))^1.5+SQRT(LN($E119/INDEX(Simulations!$J$3:$J$62,MATCH($A119,Simulations!$A$3:$A$62,0))))+$E119/INDEX(Simulations!$J$3:$J$62,MATCH($A119,Simulations!$A$3:$A$62,0))*SQRT(PI())/2*ERFC(SQRT(LN($E119/INDEX(Simulations!$J$3:$J$62,MATCH($A119,Simulations!$A$3:$A$62,0)))))),PI()*INDEX(Simulations!$T$3:$T$62,MATCH($A119,Simulations!$A$3:$A$62,0))^2/2*(LN($E119/INDEX(Simulations!$J$3:$J$62,MATCH($A119,Simulations!$A$3:$A$62,0)))+1)))))</f>
        <v/>
      </c>
      <c r="R119" s="16" t="str">
        <f aca="false">IF(OR($A119="",ISNA(MATCH($A119,Simulations!$A$3:$A$62,0))),"",IF(N($F119)&lt;=0,0,IF($F119&lt;INDEX(Simulations!$J$3:$J$62,MATCH($A119,Simulations!$A$3:$A$62,0)),$D119/(INDEX(Simulations!$G$3:$G$62,MATCH($A119,Simulations!$A$3:$A$62,0))*INDEX(Simulations!$H$3:$H$62,MATCH($A119,Simulations!$A$3:$A$62,0))*IF(INDEX(Simulations!$I$3:$I$62,MATCH($A119,Simulations!$A$3:$A$62,0))&gt;0,INDEX(Simulations!$I$3:$I$62,MATCH($A119,Simulations!$A$3:$A$62,0)),1))*$F119*(PI()/2*INDEX(Simulations!$T$3:$T$62,MATCH($A119,Simulations!$A$3:$A$62,0))^2*IF(INDEX(Simulations!$I$3:$I$62,MATCH($A119,Simulations!$A$3:$A$62,0))&gt;0,SQRT(PI()/2)*INDEX(Simulations!$U$3:$U$62,MATCH($A119,Simulations!$A$3:$A$62,0)),1)),$D119/(INDEX(Simulations!$G$3:$G$62,MATCH($A119,Simulations!$A$3:$A$62,0))*INDEX(Simulations!$H$3:$H$62,MATCH($A119,Simulations!$A$3:$A$62,0))*IF(INDEX(Simulations!$I$3:$I$62,MATCH($A119,Simulations!$A$3:$A$62,0))&gt;0,INDEX(Simulations!$I$3:$I$62,MATCH($A119,Simulations!$A$3:$A$62,0)),1))*INDEX(Simulations!$J$3:$J$62,MATCH($A119,Simulations!$A$3:$A$62,0))*IF(INDEX(Simulations!$I$3:$I$62,MATCH($A119,Simulations!$A$3:$A$62,0))&gt;0,2*PI()*INDEX(Simulations!$T$3:$T$62,MATCH($A119,Simulations!$A$3:$A$62,0))^2*INDEX(Simulations!$U$3:$U$62,MATCH($A119,Simulations!$A$3:$A$62,0))/2^1.5*(2/3*LN($F119/INDEX(Simulations!$J$3:$J$62,MATCH($A119,Simulations!$A$3:$A$62,0)))^1.5+SQRT(LN($F119/INDEX(Simulations!$J$3:$J$62,MATCH($A119,Simulations!$A$3:$A$62,0))))+$F119/INDEX(Simulations!$J$3:$J$62,MATCH($A119,Simulations!$A$3:$A$62,0))*SQRT(PI())/2*ERFC(SQRT(LN($F119/INDEX(Simulations!$J$3:$J$62,MATCH($A119,Simulations!$A$3:$A$62,0)))))),PI()*INDEX(Simulations!$T$3:$T$62,MATCH($A119,Simulations!$A$3:$A$62,0))^2/2*(LN($F119/INDEX(Simulations!$J$3:$J$62,MATCH($A119,Simulations!$A$3:$A$62,0)))+1)))))</f>
        <v/>
      </c>
      <c r="S119" s="16" t="str">
        <f aca="false">IF(OR($A119="",ISNA(MATCH($A119,Simulations!$A$3:$A$62,0))),"",IF(N($G119)&lt;=0,0,IF($G119&lt;INDEX(Simulations!$J$3:$J$62,MATCH($A119,Simulations!$A$3:$A$62,0)),$D119/(INDEX(Simulations!$G$3:$G$62,MATCH($A119,Simulations!$A$3:$A$62,0))*INDEX(Simulations!$H$3:$H$62,MATCH($A119,Simulations!$A$3:$A$62,0))*IF(INDEX(Simulations!$I$3:$I$62,MATCH($A119,Simulations!$A$3:$A$62,0))&gt;0,INDEX(Simulations!$I$3:$I$62,MATCH($A119,Simulations!$A$3:$A$62,0)),1))*$G119*(PI()/2*INDEX(Simulations!$T$3:$T$62,MATCH($A119,Simulations!$A$3:$A$62,0))^2*IF(INDEX(Simulations!$I$3:$I$62,MATCH($A119,Simulations!$A$3:$A$62,0))&gt;0,SQRT(PI()/2)*INDEX(Simulations!$U$3:$U$62,MATCH($A119,Simulations!$A$3:$A$62,0)),1)),$D119/(INDEX(Simulations!$G$3:$G$62,MATCH($A119,Simulations!$A$3:$A$62,0))*INDEX(Simulations!$H$3:$H$62,MATCH($A119,Simulations!$A$3:$A$62,0))*IF(INDEX(Simulations!$I$3:$I$62,MATCH($A119,Simulations!$A$3:$A$62,0))&gt;0,INDEX(Simulations!$I$3:$I$62,MATCH($A119,Simulations!$A$3:$A$62,0)),1))*INDEX(Simulations!$J$3:$J$62,MATCH($A119,Simulations!$A$3:$A$62,0))*IF(INDEX(Simulations!$I$3:$I$62,MATCH($A119,Simulations!$A$3:$A$62,0))&gt;0,2*PI()*INDEX(Simulations!$T$3:$T$62,MATCH($A119,Simulations!$A$3:$A$62,0))^2*INDEX(Simulations!$U$3:$U$62,MATCH($A119,Simulations!$A$3:$A$62,0))/2^1.5*(2/3*LN($G119/INDEX(Simulations!$J$3:$J$62,MATCH($A119,Simulations!$A$3:$A$62,0)))^1.5+SQRT(LN($G119/INDEX(Simulations!$J$3:$J$62,MATCH($A119,Simulations!$A$3:$A$62,0))))+$G119/INDEX(Simulations!$J$3:$J$62,MATCH($A119,Simulations!$A$3:$A$62,0))*SQRT(PI())/2*ERFC(SQRT(LN($G119/INDEX(Simulations!$J$3:$J$62,MATCH($A119,Simulations!$A$3:$A$62,0)))))),PI()*INDEX(Simulations!$T$3:$T$62,MATCH($A119,Simulations!$A$3:$A$62,0))^2/2*(LN($G119/INDEX(Simulations!$J$3:$J$62,MATCH($A119,Simulations!$A$3:$A$62,0)))+1)))))</f>
        <v/>
      </c>
      <c r="T119" s="16" t="str">
        <f aca="false">IF(OR($A119="",ISNA(MATCH($A119,Simulations!$A$3:$A$62,0))),"",IF(N($H119)&lt;=0,0,IF($H119&lt;INDEX(Simulations!$J$3:$J$62,MATCH($A119,Simulations!$A$3:$A$62,0)),$D119/(INDEX(Simulations!$G$3:$G$62,MATCH($A119,Simulations!$A$3:$A$62,0))*INDEX(Simulations!$H$3:$H$62,MATCH($A119,Simulations!$A$3:$A$62,0))*IF(INDEX(Simulations!$I$3:$I$62,MATCH($A119,Simulations!$A$3:$A$62,0))&gt;0,INDEX(Simulations!$I$3:$I$62,MATCH($A119,Simulations!$A$3:$A$62,0)),1))*$H119*(PI()/2*INDEX(Simulations!$T$3:$T$62,MATCH($A119,Simulations!$A$3:$A$62,0))^2*IF(INDEX(Simulations!$I$3:$I$62,MATCH($A119,Simulations!$A$3:$A$62,0))&gt;0,SQRT(PI()/2)*INDEX(Simulations!$U$3:$U$62,MATCH($A119,Simulations!$A$3:$A$62,0)),1)),$D119/(INDEX(Simulations!$G$3:$G$62,MATCH($A119,Simulations!$A$3:$A$62,0))*INDEX(Simulations!$H$3:$H$62,MATCH($A119,Simulations!$A$3:$A$62,0))*IF(INDEX(Simulations!$I$3:$I$62,MATCH($A119,Simulations!$A$3:$A$62,0))&gt;0,INDEX(Simulations!$I$3:$I$62,MATCH($A119,Simulations!$A$3:$A$62,0)),1))*INDEX(Simulations!$J$3:$J$62,MATCH($A119,Simulations!$A$3:$A$62,0))*IF(INDEX(Simulations!$I$3:$I$62,MATCH($A119,Simulations!$A$3:$A$62,0))&gt;0,2*PI()*INDEX(Simulations!$T$3:$T$62,MATCH($A119,Simulations!$A$3:$A$62,0))^2*INDEX(Simulations!$U$3:$U$62,MATCH($A119,Simulations!$A$3:$A$62,0))/2^1.5*(2/3*LN($H119/INDEX(Simulations!$J$3:$J$62,MATCH($A119,Simulations!$A$3:$A$62,0)))^1.5+SQRT(LN($H119/INDEX(Simulations!$J$3:$J$62,MATCH($A119,Simulations!$A$3:$A$62,0))))+$H119/INDEX(Simulations!$J$3:$J$62,MATCH($A119,Simulations!$A$3:$A$62,0))*SQRT(PI())/2*ERFC(SQRT(LN($H119/INDEX(Simulations!$J$3:$J$62,MATCH($A119,Simulations!$A$3:$A$62,0)))))),PI()*INDEX(Simulations!$T$3:$T$62,MATCH($A119,Simulations!$A$3:$A$62,0))^2/2*(LN($H119/INDEX(Simulations!$J$3:$J$62,MATCH($A119,Simulations!$A$3:$A$62,0)))+1)))))</f>
        <v/>
      </c>
      <c r="U119" s="18" t="str">
        <f aca="false">IF(OR(OR($A119="",ISNA(MATCH($A119,Simulations!$A$3:$A$62,0))),N($C119)&lt;=0),"",SQRT(2*$C119*1000000/(INDEX(Simulations!$J$3:$J$62,MATCH($A119,Simulations!$A$3:$A$62,0))*1000))/INDEX(Simulations!$T$3:$T$62,MATCH($A119,Simulations!$A$3:$A$62,0)))</f>
        <v/>
      </c>
      <c r="V119" s="19" t="str">
        <f aca="false">IF($A119="","",IF(ISNA(MATCH($A119,Simulations!$A$3:$A$62,0)),"✖ Sim ID not found on the Simulations sheet",IF($P119&gt;=1,"✖ brightness &gt;= sampling frequency: completely saturated (D too small, c too large)",IF($P119&gt;0.1,"⚠ brightness &gt; 10% of the sampling frequency: focus starts to saturate",IF(N($U119)&gt;0.1,"⚠ diffusion step &gt; 10% of wr: raise the sampling frequency",IF(MAX($E119:$H119)=0,"⚠ no brightness set","✔ OK"))))))</f>
        <v/>
      </c>
    </row>
    <row r="120" customFormat="false" ht="15" hidden="false" customHeight="false" outlineLevel="0" collapsed="false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4"/>
      <c r="O120" s="18" t="str">
        <f aca="false">IF(OR($A120="",ISNA(MATCH($A120,Simulations!$A$3:$A$62,0))),"",IF(INDEX(Simulations!$I$3:$I$62,MATCH($A120,Simulations!$A$3:$A$62,0))&gt;0,$D120/(INDEX(Simulations!$G$3:$G$62,MATCH($A120,Simulations!$A$3:$A$62,0))*INDEX(Simulations!$H$3:$H$62,MATCH($A120,Simulations!$A$3:$A$62,0))*IF(INDEX(Simulations!$I$3:$I$62,MATCH($A120,Simulations!$A$3:$A$62,0))&gt;0,INDEX(Simulations!$I$3:$I$62,MATCH($A120,Simulations!$A$3:$A$62,0)),1))/1E-024/6.022E+023/0.000000001,""))</f>
        <v/>
      </c>
      <c r="P120" s="20" t="str">
        <f aca="false">IF(OR($A120="",ISNA(MATCH($A120,Simulations!$A$3:$A$62,0))),"",MAX($E120:$H120)/INDEX(Simulations!$J$3:$J$62,MATCH($A120,Simulations!$A$3:$A$62,0)))</f>
        <v/>
      </c>
      <c r="Q120" s="16" t="str">
        <f aca="false">IF(OR($A120="",ISNA(MATCH($A120,Simulations!$A$3:$A$62,0))),"",IF(N($E120)&lt;=0,0,IF($E120&lt;INDEX(Simulations!$J$3:$J$62,MATCH($A120,Simulations!$A$3:$A$62,0)),$D120/(INDEX(Simulations!$G$3:$G$62,MATCH($A120,Simulations!$A$3:$A$62,0))*INDEX(Simulations!$H$3:$H$62,MATCH($A120,Simulations!$A$3:$A$62,0))*IF(INDEX(Simulations!$I$3:$I$62,MATCH($A120,Simulations!$A$3:$A$62,0))&gt;0,INDEX(Simulations!$I$3:$I$62,MATCH($A120,Simulations!$A$3:$A$62,0)),1))*$E120*(PI()/2*INDEX(Simulations!$T$3:$T$62,MATCH($A120,Simulations!$A$3:$A$62,0))^2*IF(INDEX(Simulations!$I$3:$I$62,MATCH($A120,Simulations!$A$3:$A$62,0))&gt;0,SQRT(PI()/2)*INDEX(Simulations!$U$3:$U$62,MATCH($A120,Simulations!$A$3:$A$62,0)),1)),$D120/(INDEX(Simulations!$G$3:$G$62,MATCH($A120,Simulations!$A$3:$A$62,0))*INDEX(Simulations!$H$3:$H$62,MATCH($A120,Simulations!$A$3:$A$62,0))*IF(INDEX(Simulations!$I$3:$I$62,MATCH($A120,Simulations!$A$3:$A$62,0))&gt;0,INDEX(Simulations!$I$3:$I$62,MATCH($A120,Simulations!$A$3:$A$62,0)),1))*INDEX(Simulations!$J$3:$J$62,MATCH($A120,Simulations!$A$3:$A$62,0))*IF(INDEX(Simulations!$I$3:$I$62,MATCH($A120,Simulations!$A$3:$A$62,0))&gt;0,2*PI()*INDEX(Simulations!$T$3:$T$62,MATCH($A120,Simulations!$A$3:$A$62,0))^2*INDEX(Simulations!$U$3:$U$62,MATCH($A120,Simulations!$A$3:$A$62,0))/2^1.5*(2/3*LN($E120/INDEX(Simulations!$J$3:$J$62,MATCH($A120,Simulations!$A$3:$A$62,0)))^1.5+SQRT(LN($E120/INDEX(Simulations!$J$3:$J$62,MATCH($A120,Simulations!$A$3:$A$62,0))))+$E120/INDEX(Simulations!$J$3:$J$62,MATCH($A120,Simulations!$A$3:$A$62,0))*SQRT(PI())/2*ERFC(SQRT(LN($E120/INDEX(Simulations!$J$3:$J$62,MATCH($A120,Simulations!$A$3:$A$62,0)))))),PI()*INDEX(Simulations!$T$3:$T$62,MATCH($A120,Simulations!$A$3:$A$62,0))^2/2*(LN($E120/INDEX(Simulations!$J$3:$J$62,MATCH($A120,Simulations!$A$3:$A$62,0)))+1)))))</f>
        <v/>
      </c>
      <c r="R120" s="16" t="str">
        <f aca="false">IF(OR($A120="",ISNA(MATCH($A120,Simulations!$A$3:$A$62,0))),"",IF(N($F120)&lt;=0,0,IF($F120&lt;INDEX(Simulations!$J$3:$J$62,MATCH($A120,Simulations!$A$3:$A$62,0)),$D120/(INDEX(Simulations!$G$3:$G$62,MATCH($A120,Simulations!$A$3:$A$62,0))*INDEX(Simulations!$H$3:$H$62,MATCH($A120,Simulations!$A$3:$A$62,0))*IF(INDEX(Simulations!$I$3:$I$62,MATCH($A120,Simulations!$A$3:$A$62,0))&gt;0,INDEX(Simulations!$I$3:$I$62,MATCH($A120,Simulations!$A$3:$A$62,0)),1))*$F120*(PI()/2*INDEX(Simulations!$T$3:$T$62,MATCH($A120,Simulations!$A$3:$A$62,0))^2*IF(INDEX(Simulations!$I$3:$I$62,MATCH($A120,Simulations!$A$3:$A$62,0))&gt;0,SQRT(PI()/2)*INDEX(Simulations!$U$3:$U$62,MATCH($A120,Simulations!$A$3:$A$62,0)),1)),$D120/(INDEX(Simulations!$G$3:$G$62,MATCH($A120,Simulations!$A$3:$A$62,0))*INDEX(Simulations!$H$3:$H$62,MATCH($A120,Simulations!$A$3:$A$62,0))*IF(INDEX(Simulations!$I$3:$I$62,MATCH($A120,Simulations!$A$3:$A$62,0))&gt;0,INDEX(Simulations!$I$3:$I$62,MATCH($A120,Simulations!$A$3:$A$62,0)),1))*INDEX(Simulations!$J$3:$J$62,MATCH($A120,Simulations!$A$3:$A$62,0))*IF(INDEX(Simulations!$I$3:$I$62,MATCH($A120,Simulations!$A$3:$A$62,0))&gt;0,2*PI()*INDEX(Simulations!$T$3:$T$62,MATCH($A120,Simulations!$A$3:$A$62,0))^2*INDEX(Simulations!$U$3:$U$62,MATCH($A120,Simulations!$A$3:$A$62,0))/2^1.5*(2/3*LN($F120/INDEX(Simulations!$J$3:$J$62,MATCH($A120,Simulations!$A$3:$A$62,0)))^1.5+SQRT(LN($F120/INDEX(Simulations!$J$3:$J$62,MATCH($A120,Simulations!$A$3:$A$62,0))))+$F120/INDEX(Simulations!$J$3:$J$62,MATCH($A120,Simulations!$A$3:$A$62,0))*SQRT(PI())/2*ERFC(SQRT(LN($F120/INDEX(Simulations!$J$3:$J$62,MATCH($A120,Simulations!$A$3:$A$62,0)))))),PI()*INDEX(Simulations!$T$3:$T$62,MATCH($A120,Simulations!$A$3:$A$62,0))^2/2*(LN($F120/INDEX(Simulations!$J$3:$J$62,MATCH($A120,Simulations!$A$3:$A$62,0)))+1)))))</f>
        <v/>
      </c>
      <c r="S120" s="16" t="str">
        <f aca="false">IF(OR($A120="",ISNA(MATCH($A120,Simulations!$A$3:$A$62,0))),"",IF(N($G120)&lt;=0,0,IF($G120&lt;INDEX(Simulations!$J$3:$J$62,MATCH($A120,Simulations!$A$3:$A$62,0)),$D120/(INDEX(Simulations!$G$3:$G$62,MATCH($A120,Simulations!$A$3:$A$62,0))*INDEX(Simulations!$H$3:$H$62,MATCH($A120,Simulations!$A$3:$A$62,0))*IF(INDEX(Simulations!$I$3:$I$62,MATCH($A120,Simulations!$A$3:$A$62,0))&gt;0,INDEX(Simulations!$I$3:$I$62,MATCH($A120,Simulations!$A$3:$A$62,0)),1))*$G120*(PI()/2*INDEX(Simulations!$T$3:$T$62,MATCH($A120,Simulations!$A$3:$A$62,0))^2*IF(INDEX(Simulations!$I$3:$I$62,MATCH($A120,Simulations!$A$3:$A$62,0))&gt;0,SQRT(PI()/2)*INDEX(Simulations!$U$3:$U$62,MATCH($A120,Simulations!$A$3:$A$62,0)),1)),$D120/(INDEX(Simulations!$G$3:$G$62,MATCH($A120,Simulations!$A$3:$A$62,0))*INDEX(Simulations!$H$3:$H$62,MATCH($A120,Simulations!$A$3:$A$62,0))*IF(INDEX(Simulations!$I$3:$I$62,MATCH($A120,Simulations!$A$3:$A$62,0))&gt;0,INDEX(Simulations!$I$3:$I$62,MATCH($A120,Simulations!$A$3:$A$62,0)),1))*INDEX(Simulations!$J$3:$J$62,MATCH($A120,Simulations!$A$3:$A$62,0))*IF(INDEX(Simulations!$I$3:$I$62,MATCH($A120,Simulations!$A$3:$A$62,0))&gt;0,2*PI()*INDEX(Simulations!$T$3:$T$62,MATCH($A120,Simulations!$A$3:$A$62,0))^2*INDEX(Simulations!$U$3:$U$62,MATCH($A120,Simulations!$A$3:$A$62,0))/2^1.5*(2/3*LN($G120/INDEX(Simulations!$J$3:$J$62,MATCH($A120,Simulations!$A$3:$A$62,0)))^1.5+SQRT(LN($G120/INDEX(Simulations!$J$3:$J$62,MATCH($A120,Simulations!$A$3:$A$62,0))))+$G120/INDEX(Simulations!$J$3:$J$62,MATCH($A120,Simulations!$A$3:$A$62,0))*SQRT(PI())/2*ERFC(SQRT(LN($G120/INDEX(Simulations!$J$3:$J$62,MATCH($A120,Simulations!$A$3:$A$62,0)))))),PI()*INDEX(Simulations!$T$3:$T$62,MATCH($A120,Simulations!$A$3:$A$62,0))^2/2*(LN($G120/INDEX(Simulations!$J$3:$J$62,MATCH($A120,Simulations!$A$3:$A$62,0)))+1)))))</f>
        <v/>
      </c>
      <c r="T120" s="16" t="str">
        <f aca="false">IF(OR($A120="",ISNA(MATCH($A120,Simulations!$A$3:$A$62,0))),"",IF(N($H120)&lt;=0,0,IF($H120&lt;INDEX(Simulations!$J$3:$J$62,MATCH($A120,Simulations!$A$3:$A$62,0)),$D120/(INDEX(Simulations!$G$3:$G$62,MATCH($A120,Simulations!$A$3:$A$62,0))*INDEX(Simulations!$H$3:$H$62,MATCH($A120,Simulations!$A$3:$A$62,0))*IF(INDEX(Simulations!$I$3:$I$62,MATCH($A120,Simulations!$A$3:$A$62,0))&gt;0,INDEX(Simulations!$I$3:$I$62,MATCH($A120,Simulations!$A$3:$A$62,0)),1))*$H120*(PI()/2*INDEX(Simulations!$T$3:$T$62,MATCH($A120,Simulations!$A$3:$A$62,0))^2*IF(INDEX(Simulations!$I$3:$I$62,MATCH($A120,Simulations!$A$3:$A$62,0))&gt;0,SQRT(PI()/2)*INDEX(Simulations!$U$3:$U$62,MATCH($A120,Simulations!$A$3:$A$62,0)),1)),$D120/(INDEX(Simulations!$G$3:$G$62,MATCH($A120,Simulations!$A$3:$A$62,0))*INDEX(Simulations!$H$3:$H$62,MATCH($A120,Simulations!$A$3:$A$62,0))*IF(INDEX(Simulations!$I$3:$I$62,MATCH($A120,Simulations!$A$3:$A$62,0))&gt;0,INDEX(Simulations!$I$3:$I$62,MATCH($A120,Simulations!$A$3:$A$62,0)),1))*INDEX(Simulations!$J$3:$J$62,MATCH($A120,Simulations!$A$3:$A$62,0))*IF(INDEX(Simulations!$I$3:$I$62,MATCH($A120,Simulations!$A$3:$A$62,0))&gt;0,2*PI()*INDEX(Simulations!$T$3:$T$62,MATCH($A120,Simulations!$A$3:$A$62,0))^2*INDEX(Simulations!$U$3:$U$62,MATCH($A120,Simulations!$A$3:$A$62,0))/2^1.5*(2/3*LN($H120/INDEX(Simulations!$J$3:$J$62,MATCH($A120,Simulations!$A$3:$A$62,0)))^1.5+SQRT(LN($H120/INDEX(Simulations!$J$3:$J$62,MATCH($A120,Simulations!$A$3:$A$62,0))))+$H120/INDEX(Simulations!$J$3:$J$62,MATCH($A120,Simulations!$A$3:$A$62,0))*SQRT(PI())/2*ERFC(SQRT(LN($H120/INDEX(Simulations!$J$3:$J$62,MATCH($A120,Simulations!$A$3:$A$62,0)))))),PI()*INDEX(Simulations!$T$3:$T$62,MATCH($A120,Simulations!$A$3:$A$62,0))^2/2*(LN($H120/INDEX(Simulations!$J$3:$J$62,MATCH($A120,Simulations!$A$3:$A$62,0)))+1)))))</f>
        <v/>
      </c>
      <c r="U120" s="18" t="str">
        <f aca="false">IF(OR(OR($A120="",ISNA(MATCH($A120,Simulations!$A$3:$A$62,0))),N($C120)&lt;=0),"",SQRT(2*$C120*1000000/(INDEX(Simulations!$J$3:$J$62,MATCH($A120,Simulations!$A$3:$A$62,0))*1000))/INDEX(Simulations!$T$3:$T$62,MATCH($A120,Simulations!$A$3:$A$62,0)))</f>
        <v/>
      </c>
      <c r="V120" s="19" t="str">
        <f aca="false">IF($A120="","",IF(ISNA(MATCH($A120,Simulations!$A$3:$A$62,0)),"✖ Sim ID not found on the Simulations sheet",IF($P120&gt;=1,"✖ brightness &gt;= sampling frequency: completely saturated (D too small, c too large)",IF($P120&gt;0.1,"⚠ brightness &gt; 10% of the sampling frequency: focus starts to saturate",IF(N($U120)&gt;0.1,"⚠ diffusion step &gt; 10% of wr: raise the sampling frequency",IF(MAX($E120:$H120)=0,"⚠ no brightness set","✔ OK"))))))</f>
        <v/>
      </c>
    </row>
    <row r="121" customFormat="false" ht="15" hidden="false" customHeight="false" outlineLevel="0" collapsed="false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4"/>
      <c r="O121" s="18" t="str">
        <f aca="false">IF(OR($A121="",ISNA(MATCH($A121,Simulations!$A$3:$A$62,0))),"",IF(INDEX(Simulations!$I$3:$I$62,MATCH($A121,Simulations!$A$3:$A$62,0))&gt;0,$D121/(INDEX(Simulations!$G$3:$G$62,MATCH($A121,Simulations!$A$3:$A$62,0))*INDEX(Simulations!$H$3:$H$62,MATCH($A121,Simulations!$A$3:$A$62,0))*IF(INDEX(Simulations!$I$3:$I$62,MATCH($A121,Simulations!$A$3:$A$62,0))&gt;0,INDEX(Simulations!$I$3:$I$62,MATCH($A121,Simulations!$A$3:$A$62,0)),1))/1E-024/6.022E+023/0.000000001,""))</f>
        <v/>
      </c>
      <c r="P121" s="20" t="str">
        <f aca="false">IF(OR($A121="",ISNA(MATCH($A121,Simulations!$A$3:$A$62,0))),"",MAX($E121:$H121)/INDEX(Simulations!$J$3:$J$62,MATCH($A121,Simulations!$A$3:$A$62,0)))</f>
        <v/>
      </c>
      <c r="Q121" s="16" t="str">
        <f aca="false">IF(OR($A121="",ISNA(MATCH($A121,Simulations!$A$3:$A$62,0))),"",IF(N($E121)&lt;=0,0,IF($E121&lt;INDEX(Simulations!$J$3:$J$62,MATCH($A121,Simulations!$A$3:$A$62,0)),$D121/(INDEX(Simulations!$G$3:$G$62,MATCH($A121,Simulations!$A$3:$A$62,0))*INDEX(Simulations!$H$3:$H$62,MATCH($A121,Simulations!$A$3:$A$62,0))*IF(INDEX(Simulations!$I$3:$I$62,MATCH($A121,Simulations!$A$3:$A$62,0))&gt;0,INDEX(Simulations!$I$3:$I$62,MATCH($A121,Simulations!$A$3:$A$62,0)),1))*$E121*(PI()/2*INDEX(Simulations!$T$3:$T$62,MATCH($A121,Simulations!$A$3:$A$62,0))^2*IF(INDEX(Simulations!$I$3:$I$62,MATCH($A121,Simulations!$A$3:$A$62,0))&gt;0,SQRT(PI()/2)*INDEX(Simulations!$U$3:$U$62,MATCH($A121,Simulations!$A$3:$A$62,0)),1)),$D121/(INDEX(Simulations!$G$3:$G$62,MATCH($A121,Simulations!$A$3:$A$62,0))*INDEX(Simulations!$H$3:$H$62,MATCH($A121,Simulations!$A$3:$A$62,0))*IF(INDEX(Simulations!$I$3:$I$62,MATCH($A121,Simulations!$A$3:$A$62,0))&gt;0,INDEX(Simulations!$I$3:$I$62,MATCH($A121,Simulations!$A$3:$A$62,0)),1))*INDEX(Simulations!$J$3:$J$62,MATCH($A121,Simulations!$A$3:$A$62,0))*IF(INDEX(Simulations!$I$3:$I$62,MATCH($A121,Simulations!$A$3:$A$62,0))&gt;0,2*PI()*INDEX(Simulations!$T$3:$T$62,MATCH($A121,Simulations!$A$3:$A$62,0))^2*INDEX(Simulations!$U$3:$U$62,MATCH($A121,Simulations!$A$3:$A$62,0))/2^1.5*(2/3*LN($E121/INDEX(Simulations!$J$3:$J$62,MATCH($A121,Simulations!$A$3:$A$62,0)))^1.5+SQRT(LN($E121/INDEX(Simulations!$J$3:$J$62,MATCH($A121,Simulations!$A$3:$A$62,0))))+$E121/INDEX(Simulations!$J$3:$J$62,MATCH($A121,Simulations!$A$3:$A$62,0))*SQRT(PI())/2*ERFC(SQRT(LN($E121/INDEX(Simulations!$J$3:$J$62,MATCH($A121,Simulations!$A$3:$A$62,0)))))),PI()*INDEX(Simulations!$T$3:$T$62,MATCH($A121,Simulations!$A$3:$A$62,0))^2/2*(LN($E121/INDEX(Simulations!$J$3:$J$62,MATCH($A121,Simulations!$A$3:$A$62,0)))+1)))))</f>
        <v/>
      </c>
      <c r="R121" s="16" t="str">
        <f aca="false">IF(OR($A121="",ISNA(MATCH($A121,Simulations!$A$3:$A$62,0))),"",IF(N($F121)&lt;=0,0,IF($F121&lt;INDEX(Simulations!$J$3:$J$62,MATCH($A121,Simulations!$A$3:$A$62,0)),$D121/(INDEX(Simulations!$G$3:$G$62,MATCH($A121,Simulations!$A$3:$A$62,0))*INDEX(Simulations!$H$3:$H$62,MATCH($A121,Simulations!$A$3:$A$62,0))*IF(INDEX(Simulations!$I$3:$I$62,MATCH($A121,Simulations!$A$3:$A$62,0))&gt;0,INDEX(Simulations!$I$3:$I$62,MATCH($A121,Simulations!$A$3:$A$62,0)),1))*$F121*(PI()/2*INDEX(Simulations!$T$3:$T$62,MATCH($A121,Simulations!$A$3:$A$62,0))^2*IF(INDEX(Simulations!$I$3:$I$62,MATCH($A121,Simulations!$A$3:$A$62,0))&gt;0,SQRT(PI()/2)*INDEX(Simulations!$U$3:$U$62,MATCH($A121,Simulations!$A$3:$A$62,0)),1)),$D121/(INDEX(Simulations!$G$3:$G$62,MATCH($A121,Simulations!$A$3:$A$62,0))*INDEX(Simulations!$H$3:$H$62,MATCH($A121,Simulations!$A$3:$A$62,0))*IF(INDEX(Simulations!$I$3:$I$62,MATCH($A121,Simulations!$A$3:$A$62,0))&gt;0,INDEX(Simulations!$I$3:$I$62,MATCH($A121,Simulations!$A$3:$A$62,0)),1))*INDEX(Simulations!$J$3:$J$62,MATCH($A121,Simulations!$A$3:$A$62,0))*IF(INDEX(Simulations!$I$3:$I$62,MATCH($A121,Simulations!$A$3:$A$62,0))&gt;0,2*PI()*INDEX(Simulations!$T$3:$T$62,MATCH($A121,Simulations!$A$3:$A$62,0))^2*INDEX(Simulations!$U$3:$U$62,MATCH($A121,Simulations!$A$3:$A$62,0))/2^1.5*(2/3*LN($F121/INDEX(Simulations!$J$3:$J$62,MATCH($A121,Simulations!$A$3:$A$62,0)))^1.5+SQRT(LN($F121/INDEX(Simulations!$J$3:$J$62,MATCH($A121,Simulations!$A$3:$A$62,0))))+$F121/INDEX(Simulations!$J$3:$J$62,MATCH($A121,Simulations!$A$3:$A$62,0))*SQRT(PI())/2*ERFC(SQRT(LN($F121/INDEX(Simulations!$J$3:$J$62,MATCH($A121,Simulations!$A$3:$A$62,0)))))),PI()*INDEX(Simulations!$T$3:$T$62,MATCH($A121,Simulations!$A$3:$A$62,0))^2/2*(LN($F121/INDEX(Simulations!$J$3:$J$62,MATCH($A121,Simulations!$A$3:$A$62,0)))+1)))))</f>
        <v/>
      </c>
      <c r="S121" s="16" t="str">
        <f aca="false">IF(OR($A121="",ISNA(MATCH($A121,Simulations!$A$3:$A$62,0))),"",IF(N($G121)&lt;=0,0,IF($G121&lt;INDEX(Simulations!$J$3:$J$62,MATCH($A121,Simulations!$A$3:$A$62,0)),$D121/(INDEX(Simulations!$G$3:$G$62,MATCH($A121,Simulations!$A$3:$A$62,0))*INDEX(Simulations!$H$3:$H$62,MATCH($A121,Simulations!$A$3:$A$62,0))*IF(INDEX(Simulations!$I$3:$I$62,MATCH($A121,Simulations!$A$3:$A$62,0))&gt;0,INDEX(Simulations!$I$3:$I$62,MATCH($A121,Simulations!$A$3:$A$62,0)),1))*$G121*(PI()/2*INDEX(Simulations!$T$3:$T$62,MATCH($A121,Simulations!$A$3:$A$62,0))^2*IF(INDEX(Simulations!$I$3:$I$62,MATCH($A121,Simulations!$A$3:$A$62,0))&gt;0,SQRT(PI()/2)*INDEX(Simulations!$U$3:$U$62,MATCH($A121,Simulations!$A$3:$A$62,0)),1)),$D121/(INDEX(Simulations!$G$3:$G$62,MATCH($A121,Simulations!$A$3:$A$62,0))*INDEX(Simulations!$H$3:$H$62,MATCH($A121,Simulations!$A$3:$A$62,0))*IF(INDEX(Simulations!$I$3:$I$62,MATCH($A121,Simulations!$A$3:$A$62,0))&gt;0,INDEX(Simulations!$I$3:$I$62,MATCH($A121,Simulations!$A$3:$A$62,0)),1))*INDEX(Simulations!$J$3:$J$62,MATCH($A121,Simulations!$A$3:$A$62,0))*IF(INDEX(Simulations!$I$3:$I$62,MATCH($A121,Simulations!$A$3:$A$62,0))&gt;0,2*PI()*INDEX(Simulations!$T$3:$T$62,MATCH($A121,Simulations!$A$3:$A$62,0))^2*INDEX(Simulations!$U$3:$U$62,MATCH($A121,Simulations!$A$3:$A$62,0))/2^1.5*(2/3*LN($G121/INDEX(Simulations!$J$3:$J$62,MATCH($A121,Simulations!$A$3:$A$62,0)))^1.5+SQRT(LN($G121/INDEX(Simulations!$J$3:$J$62,MATCH($A121,Simulations!$A$3:$A$62,0))))+$G121/INDEX(Simulations!$J$3:$J$62,MATCH($A121,Simulations!$A$3:$A$62,0))*SQRT(PI())/2*ERFC(SQRT(LN($G121/INDEX(Simulations!$J$3:$J$62,MATCH($A121,Simulations!$A$3:$A$62,0)))))),PI()*INDEX(Simulations!$T$3:$T$62,MATCH($A121,Simulations!$A$3:$A$62,0))^2/2*(LN($G121/INDEX(Simulations!$J$3:$J$62,MATCH($A121,Simulations!$A$3:$A$62,0)))+1)))))</f>
        <v/>
      </c>
      <c r="T121" s="16" t="str">
        <f aca="false">IF(OR($A121="",ISNA(MATCH($A121,Simulations!$A$3:$A$62,0))),"",IF(N($H121)&lt;=0,0,IF($H121&lt;INDEX(Simulations!$J$3:$J$62,MATCH($A121,Simulations!$A$3:$A$62,0)),$D121/(INDEX(Simulations!$G$3:$G$62,MATCH($A121,Simulations!$A$3:$A$62,0))*INDEX(Simulations!$H$3:$H$62,MATCH($A121,Simulations!$A$3:$A$62,0))*IF(INDEX(Simulations!$I$3:$I$62,MATCH($A121,Simulations!$A$3:$A$62,0))&gt;0,INDEX(Simulations!$I$3:$I$62,MATCH($A121,Simulations!$A$3:$A$62,0)),1))*$H121*(PI()/2*INDEX(Simulations!$T$3:$T$62,MATCH($A121,Simulations!$A$3:$A$62,0))^2*IF(INDEX(Simulations!$I$3:$I$62,MATCH($A121,Simulations!$A$3:$A$62,0))&gt;0,SQRT(PI()/2)*INDEX(Simulations!$U$3:$U$62,MATCH($A121,Simulations!$A$3:$A$62,0)),1)),$D121/(INDEX(Simulations!$G$3:$G$62,MATCH($A121,Simulations!$A$3:$A$62,0))*INDEX(Simulations!$H$3:$H$62,MATCH($A121,Simulations!$A$3:$A$62,0))*IF(INDEX(Simulations!$I$3:$I$62,MATCH($A121,Simulations!$A$3:$A$62,0))&gt;0,INDEX(Simulations!$I$3:$I$62,MATCH($A121,Simulations!$A$3:$A$62,0)),1))*INDEX(Simulations!$J$3:$J$62,MATCH($A121,Simulations!$A$3:$A$62,0))*IF(INDEX(Simulations!$I$3:$I$62,MATCH($A121,Simulations!$A$3:$A$62,0))&gt;0,2*PI()*INDEX(Simulations!$T$3:$T$62,MATCH($A121,Simulations!$A$3:$A$62,0))^2*INDEX(Simulations!$U$3:$U$62,MATCH($A121,Simulations!$A$3:$A$62,0))/2^1.5*(2/3*LN($H121/INDEX(Simulations!$J$3:$J$62,MATCH($A121,Simulations!$A$3:$A$62,0)))^1.5+SQRT(LN($H121/INDEX(Simulations!$J$3:$J$62,MATCH($A121,Simulations!$A$3:$A$62,0))))+$H121/INDEX(Simulations!$J$3:$J$62,MATCH($A121,Simulations!$A$3:$A$62,0))*SQRT(PI())/2*ERFC(SQRT(LN($H121/INDEX(Simulations!$J$3:$J$62,MATCH($A121,Simulations!$A$3:$A$62,0)))))),PI()*INDEX(Simulations!$T$3:$T$62,MATCH($A121,Simulations!$A$3:$A$62,0))^2/2*(LN($H121/INDEX(Simulations!$J$3:$J$62,MATCH($A121,Simulations!$A$3:$A$62,0)))+1)))))</f>
        <v/>
      </c>
      <c r="U121" s="18" t="str">
        <f aca="false">IF(OR(OR($A121="",ISNA(MATCH($A121,Simulations!$A$3:$A$62,0))),N($C121)&lt;=0),"",SQRT(2*$C121*1000000/(INDEX(Simulations!$J$3:$J$62,MATCH($A121,Simulations!$A$3:$A$62,0))*1000))/INDEX(Simulations!$T$3:$T$62,MATCH($A121,Simulations!$A$3:$A$62,0)))</f>
        <v/>
      </c>
      <c r="V121" s="19" t="str">
        <f aca="false">IF($A121="","",IF(ISNA(MATCH($A121,Simulations!$A$3:$A$62,0)),"✖ Sim ID not found on the Simulations sheet",IF($P121&gt;=1,"✖ brightness &gt;= sampling frequency: completely saturated (D too small, c too large)",IF($P121&gt;0.1,"⚠ brightness &gt; 10% of the sampling frequency: focus starts to saturate",IF(N($U121)&gt;0.1,"⚠ diffusion step &gt; 10% of wr: raise the sampling frequency",IF(MAX($E121:$H121)=0,"⚠ no brightness set","✔ OK"))))))</f>
        <v/>
      </c>
    </row>
    <row r="122" customFormat="false" ht="15" hidden="false" customHeight="false" outlineLevel="0" collapsed="false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4"/>
      <c r="O122" s="18" t="str">
        <f aca="false">IF(OR($A122="",ISNA(MATCH($A122,Simulations!$A$3:$A$62,0))),"",IF(INDEX(Simulations!$I$3:$I$62,MATCH($A122,Simulations!$A$3:$A$62,0))&gt;0,$D122/(INDEX(Simulations!$G$3:$G$62,MATCH($A122,Simulations!$A$3:$A$62,0))*INDEX(Simulations!$H$3:$H$62,MATCH($A122,Simulations!$A$3:$A$62,0))*IF(INDEX(Simulations!$I$3:$I$62,MATCH($A122,Simulations!$A$3:$A$62,0))&gt;0,INDEX(Simulations!$I$3:$I$62,MATCH($A122,Simulations!$A$3:$A$62,0)),1))/1E-024/6.022E+023/0.000000001,""))</f>
        <v/>
      </c>
      <c r="P122" s="20" t="str">
        <f aca="false">IF(OR($A122="",ISNA(MATCH($A122,Simulations!$A$3:$A$62,0))),"",MAX($E122:$H122)/INDEX(Simulations!$J$3:$J$62,MATCH($A122,Simulations!$A$3:$A$62,0)))</f>
        <v/>
      </c>
      <c r="Q122" s="16" t="str">
        <f aca="false">IF(OR($A122="",ISNA(MATCH($A122,Simulations!$A$3:$A$62,0))),"",IF(N($E122)&lt;=0,0,IF($E122&lt;INDEX(Simulations!$J$3:$J$62,MATCH($A122,Simulations!$A$3:$A$62,0)),$D122/(INDEX(Simulations!$G$3:$G$62,MATCH($A122,Simulations!$A$3:$A$62,0))*INDEX(Simulations!$H$3:$H$62,MATCH($A122,Simulations!$A$3:$A$62,0))*IF(INDEX(Simulations!$I$3:$I$62,MATCH($A122,Simulations!$A$3:$A$62,0))&gt;0,INDEX(Simulations!$I$3:$I$62,MATCH($A122,Simulations!$A$3:$A$62,0)),1))*$E122*(PI()/2*INDEX(Simulations!$T$3:$T$62,MATCH($A122,Simulations!$A$3:$A$62,0))^2*IF(INDEX(Simulations!$I$3:$I$62,MATCH($A122,Simulations!$A$3:$A$62,0))&gt;0,SQRT(PI()/2)*INDEX(Simulations!$U$3:$U$62,MATCH($A122,Simulations!$A$3:$A$62,0)),1)),$D122/(INDEX(Simulations!$G$3:$G$62,MATCH($A122,Simulations!$A$3:$A$62,0))*INDEX(Simulations!$H$3:$H$62,MATCH($A122,Simulations!$A$3:$A$62,0))*IF(INDEX(Simulations!$I$3:$I$62,MATCH($A122,Simulations!$A$3:$A$62,0))&gt;0,INDEX(Simulations!$I$3:$I$62,MATCH($A122,Simulations!$A$3:$A$62,0)),1))*INDEX(Simulations!$J$3:$J$62,MATCH($A122,Simulations!$A$3:$A$62,0))*IF(INDEX(Simulations!$I$3:$I$62,MATCH($A122,Simulations!$A$3:$A$62,0))&gt;0,2*PI()*INDEX(Simulations!$T$3:$T$62,MATCH($A122,Simulations!$A$3:$A$62,0))^2*INDEX(Simulations!$U$3:$U$62,MATCH($A122,Simulations!$A$3:$A$62,0))/2^1.5*(2/3*LN($E122/INDEX(Simulations!$J$3:$J$62,MATCH($A122,Simulations!$A$3:$A$62,0)))^1.5+SQRT(LN($E122/INDEX(Simulations!$J$3:$J$62,MATCH($A122,Simulations!$A$3:$A$62,0))))+$E122/INDEX(Simulations!$J$3:$J$62,MATCH($A122,Simulations!$A$3:$A$62,0))*SQRT(PI())/2*ERFC(SQRT(LN($E122/INDEX(Simulations!$J$3:$J$62,MATCH($A122,Simulations!$A$3:$A$62,0)))))),PI()*INDEX(Simulations!$T$3:$T$62,MATCH($A122,Simulations!$A$3:$A$62,0))^2/2*(LN($E122/INDEX(Simulations!$J$3:$J$62,MATCH($A122,Simulations!$A$3:$A$62,0)))+1)))))</f>
        <v/>
      </c>
      <c r="R122" s="16" t="str">
        <f aca="false">IF(OR($A122="",ISNA(MATCH($A122,Simulations!$A$3:$A$62,0))),"",IF(N($F122)&lt;=0,0,IF($F122&lt;INDEX(Simulations!$J$3:$J$62,MATCH($A122,Simulations!$A$3:$A$62,0)),$D122/(INDEX(Simulations!$G$3:$G$62,MATCH($A122,Simulations!$A$3:$A$62,0))*INDEX(Simulations!$H$3:$H$62,MATCH($A122,Simulations!$A$3:$A$62,0))*IF(INDEX(Simulations!$I$3:$I$62,MATCH($A122,Simulations!$A$3:$A$62,0))&gt;0,INDEX(Simulations!$I$3:$I$62,MATCH($A122,Simulations!$A$3:$A$62,0)),1))*$F122*(PI()/2*INDEX(Simulations!$T$3:$T$62,MATCH($A122,Simulations!$A$3:$A$62,0))^2*IF(INDEX(Simulations!$I$3:$I$62,MATCH($A122,Simulations!$A$3:$A$62,0))&gt;0,SQRT(PI()/2)*INDEX(Simulations!$U$3:$U$62,MATCH($A122,Simulations!$A$3:$A$62,0)),1)),$D122/(INDEX(Simulations!$G$3:$G$62,MATCH($A122,Simulations!$A$3:$A$62,0))*INDEX(Simulations!$H$3:$H$62,MATCH($A122,Simulations!$A$3:$A$62,0))*IF(INDEX(Simulations!$I$3:$I$62,MATCH($A122,Simulations!$A$3:$A$62,0))&gt;0,INDEX(Simulations!$I$3:$I$62,MATCH($A122,Simulations!$A$3:$A$62,0)),1))*INDEX(Simulations!$J$3:$J$62,MATCH($A122,Simulations!$A$3:$A$62,0))*IF(INDEX(Simulations!$I$3:$I$62,MATCH($A122,Simulations!$A$3:$A$62,0))&gt;0,2*PI()*INDEX(Simulations!$T$3:$T$62,MATCH($A122,Simulations!$A$3:$A$62,0))^2*INDEX(Simulations!$U$3:$U$62,MATCH($A122,Simulations!$A$3:$A$62,0))/2^1.5*(2/3*LN($F122/INDEX(Simulations!$J$3:$J$62,MATCH($A122,Simulations!$A$3:$A$62,0)))^1.5+SQRT(LN($F122/INDEX(Simulations!$J$3:$J$62,MATCH($A122,Simulations!$A$3:$A$62,0))))+$F122/INDEX(Simulations!$J$3:$J$62,MATCH($A122,Simulations!$A$3:$A$62,0))*SQRT(PI())/2*ERFC(SQRT(LN($F122/INDEX(Simulations!$J$3:$J$62,MATCH($A122,Simulations!$A$3:$A$62,0)))))),PI()*INDEX(Simulations!$T$3:$T$62,MATCH($A122,Simulations!$A$3:$A$62,0))^2/2*(LN($F122/INDEX(Simulations!$J$3:$J$62,MATCH($A122,Simulations!$A$3:$A$62,0)))+1)))))</f>
        <v/>
      </c>
      <c r="S122" s="16" t="str">
        <f aca="false">IF(OR($A122="",ISNA(MATCH($A122,Simulations!$A$3:$A$62,0))),"",IF(N($G122)&lt;=0,0,IF($G122&lt;INDEX(Simulations!$J$3:$J$62,MATCH($A122,Simulations!$A$3:$A$62,0)),$D122/(INDEX(Simulations!$G$3:$G$62,MATCH($A122,Simulations!$A$3:$A$62,0))*INDEX(Simulations!$H$3:$H$62,MATCH($A122,Simulations!$A$3:$A$62,0))*IF(INDEX(Simulations!$I$3:$I$62,MATCH($A122,Simulations!$A$3:$A$62,0))&gt;0,INDEX(Simulations!$I$3:$I$62,MATCH($A122,Simulations!$A$3:$A$62,0)),1))*$G122*(PI()/2*INDEX(Simulations!$T$3:$T$62,MATCH($A122,Simulations!$A$3:$A$62,0))^2*IF(INDEX(Simulations!$I$3:$I$62,MATCH($A122,Simulations!$A$3:$A$62,0))&gt;0,SQRT(PI()/2)*INDEX(Simulations!$U$3:$U$62,MATCH($A122,Simulations!$A$3:$A$62,0)),1)),$D122/(INDEX(Simulations!$G$3:$G$62,MATCH($A122,Simulations!$A$3:$A$62,0))*INDEX(Simulations!$H$3:$H$62,MATCH($A122,Simulations!$A$3:$A$62,0))*IF(INDEX(Simulations!$I$3:$I$62,MATCH($A122,Simulations!$A$3:$A$62,0))&gt;0,INDEX(Simulations!$I$3:$I$62,MATCH($A122,Simulations!$A$3:$A$62,0)),1))*INDEX(Simulations!$J$3:$J$62,MATCH($A122,Simulations!$A$3:$A$62,0))*IF(INDEX(Simulations!$I$3:$I$62,MATCH($A122,Simulations!$A$3:$A$62,0))&gt;0,2*PI()*INDEX(Simulations!$T$3:$T$62,MATCH($A122,Simulations!$A$3:$A$62,0))^2*INDEX(Simulations!$U$3:$U$62,MATCH($A122,Simulations!$A$3:$A$62,0))/2^1.5*(2/3*LN($G122/INDEX(Simulations!$J$3:$J$62,MATCH($A122,Simulations!$A$3:$A$62,0)))^1.5+SQRT(LN($G122/INDEX(Simulations!$J$3:$J$62,MATCH($A122,Simulations!$A$3:$A$62,0))))+$G122/INDEX(Simulations!$J$3:$J$62,MATCH($A122,Simulations!$A$3:$A$62,0))*SQRT(PI())/2*ERFC(SQRT(LN($G122/INDEX(Simulations!$J$3:$J$62,MATCH($A122,Simulations!$A$3:$A$62,0)))))),PI()*INDEX(Simulations!$T$3:$T$62,MATCH($A122,Simulations!$A$3:$A$62,0))^2/2*(LN($G122/INDEX(Simulations!$J$3:$J$62,MATCH($A122,Simulations!$A$3:$A$62,0)))+1)))))</f>
        <v/>
      </c>
      <c r="T122" s="16" t="str">
        <f aca="false">IF(OR($A122="",ISNA(MATCH($A122,Simulations!$A$3:$A$62,0))),"",IF(N($H122)&lt;=0,0,IF($H122&lt;INDEX(Simulations!$J$3:$J$62,MATCH($A122,Simulations!$A$3:$A$62,0)),$D122/(INDEX(Simulations!$G$3:$G$62,MATCH($A122,Simulations!$A$3:$A$62,0))*INDEX(Simulations!$H$3:$H$62,MATCH($A122,Simulations!$A$3:$A$62,0))*IF(INDEX(Simulations!$I$3:$I$62,MATCH($A122,Simulations!$A$3:$A$62,0))&gt;0,INDEX(Simulations!$I$3:$I$62,MATCH($A122,Simulations!$A$3:$A$62,0)),1))*$H122*(PI()/2*INDEX(Simulations!$T$3:$T$62,MATCH($A122,Simulations!$A$3:$A$62,0))^2*IF(INDEX(Simulations!$I$3:$I$62,MATCH($A122,Simulations!$A$3:$A$62,0))&gt;0,SQRT(PI()/2)*INDEX(Simulations!$U$3:$U$62,MATCH($A122,Simulations!$A$3:$A$62,0)),1)),$D122/(INDEX(Simulations!$G$3:$G$62,MATCH($A122,Simulations!$A$3:$A$62,0))*INDEX(Simulations!$H$3:$H$62,MATCH($A122,Simulations!$A$3:$A$62,0))*IF(INDEX(Simulations!$I$3:$I$62,MATCH($A122,Simulations!$A$3:$A$62,0))&gt;0,INDEX(Simulations!$I$3:$I$62,MATCH($A122,Simulations!$A$3:$A$62,0)),1))*INDEX(Simulations!$J$3:$J$62,MATCH($A122,Simulations!$A$3:$A$62,0))*IF(INDEX(Simulations!$I$3:$I$62,MATCH($A122,Simulations!$A$3:$A$62,0))&gt;0,2*PI()*INDEX(Simulations!$T$3:$T$62,MATCH($A122,Simulations!$A$3:$A$62,0))^2*INDEX(Simulations!$U$3:$U$62,MATCH($A122,Simulations!$A$3:$A$62,0))/2^1.5*(2/3*LN($H122/INDEX(Simulations!$J$3:$J$62,MATCH($A122,Simulations!$A$3:$A$62,0)))^1.5+SQRT(LN($H122/INDEX(Simulations!$J$3:$J$62,MATCH($A122,Simulations!$A$3:$A$62,0))))+$H122/INDEX(Simulations!$J$3:$J$62,MATCH($A122,Simulations!$A$3:$A$62,0))*SQRT(PI())/2*ERFC(SQRT(LN($H122/INDEX(Simulations!$J$3:$J$62,MATCH($A122,Simulations!$A$3:$A$62,0)))))),PI()*INDEX(Simulations!$T$3:$T$62,MATCH($A122,Simulations!$A$3:$A$62,0))^2/2*(LN($H122/INDEX(Simulations!$J$3:$J$62,MATCH($A122,Simulations!$A$3:$A$62,0)))+1)))))</f>
        <v/>
      </c>
      <c r="U122" s="18" t="str">
        <f aca="false">IF(OR(OR($A122="",ISNA(MATCH($A122,Simulations!$A$3:$A$62,0))),N($C122)&lt;=0),"",SQRT(2*$C122*1000000/(INDEX(Simulations!$J$3:$J$62,MATCH($A122,Simulations!$A$3:$A$62,0))*1000))/INDEX(Simulations!$T$3:$T$62,MATCH($A122,Simulations!$A$3:$A$62,0)))</f>
        <v/>
      </c>
      <c r="V122" s="19" t="str">
        <f aca="false">IF($A122="","",IF(ISNA(MATCH($A122,Simulations!$A$3:$A$62,0)),"✖ Sim ID not found on the Simulations sheet",IF($P122&gt;=1,"✖ brightness &gt;= sampling frequency: completely saturated (D too small, c too large)",IF($P122&gt;0.1,"⚠ brightness &gt; 10% of the sampling frequency: focus starts to saturate",IF(N($U122)&gt;0.1,"⚠ diffusion step &gt; 10% of wr: raise the sampling frequency",IF(MAX($E122:$H122)=0,"⚠ no brightness set","✔ OK"))))))</f>
        <v/>
      </c>
    </row>
    <row r="123" customFormat="false" ht="15" hidden="false" customHeight="false" outlineLevel="0" collapsed="false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4"/>
      <c r="O123" s="18" t="str">
        <f aca="false">IF(OR($A123="",ISNA(MATCH($A123,Simulations!$A$3:$A$62,0))),"",IF(INDEX(Simulations!$I$3:$I$62,MATCH($A123,Simulations!$A$3:$A$62,0))&gt;0,$D123/(INDEX(Simulations!$G$3:$G$62,MATCH($A123,Simulations!$A$3:$A$62,0))*INDEX(Simulations!$H$3:$H$62,MATCH($A123,Simulations!$A$3:$A$62,0))*IF(INDEX(Simulations!$I$3:$I$62,MATCH($A123,Simulations!$A$3:$A$62,0))&gt;0,INDEX(Simulations!$I$3:$I$62,MATCH($A123,Simulations!$A$3:$A$62,0)),1))/1E-024/6.022E+023/0.000000001,""))</f>
        <v/>
      </c>
      <c r="P123" s="20" t="str">
        <f aca="false">IF(OR($A123="",ISNA(MATCH($A123,Simulations!$A$3:$A$62,0))),"",MAX($E123:$H123)/INDEX(Simulations!$J$3:$J$62,MATCH($A123,Simulations!$A$3:$A$62,0)))</f>
        <v/>
      </c>
      <c r="Q123" s="16" t="str">
        <f aca="false">IF(OR($A123="",ISNA(MATCH($A123,Simulations!$A$3:$A$62,0))),"",IF(N($E123)&lt;=0,0,IF($E123&lt;INDEX(Simulations!$J$3:$J$62,MATCH($A123,Simulations!$A$3:$A$62,0)),$D123/(INDEX(Simulations!$G$3:$G$62,MATCH($A123,Simulations!$A$3:$A$62,0))*INDEX(Simulations!$H$3:$H$62,MATCH($A123,Simulations!$A$3:$A$62,0))*IF(INDEX(Simulations!$I$3:$I$62,MATCH($A123,Simulations!$A$3:$A$62,0))&gt;0,INDEX(Simulations!$I$3:$I$62,MATCH($A123,Simulations!$A$3:$A$62,0)),1))*$E123*(PI()/2*INDEX(Simulations!$T$3:$T$62,MATCH($A123,Simulations!$A$3:$A$62,0))^2*IF(INDEX(Simulations!$I$3:$I$62,MATCH($A123,Simulations!$A$3:$A$62,0))&gt;0,SQRT(PI()/2)*INDEX(Simulations!$U$3:$U$62,MATCH($A123,Simulations!$A$3:$A$62,0)),1)),$D123/(INDEX(Simulations!$G$3:$G$62,MATCH($A123,Simulations!$A$3:$A$62,0))*INDEX(Simulations!$H$3:$H$62,MATCH($A123,Simulations!$A$3:$A$62,0))*IF(INDEX(Simulations!$I$3:$I$62,MATCH($A123,Simulations!$A$3:$A$62,0))&gt;0,INDEX(Simulations!$I$3:$I$62,MATCH($A123,Simulations!$A$3:$A$62,0)),1))*INDEX(Simulations!$J$3:$J$62,MATCH($A123,Simulations!$A$3:$A$62,0))*IF(INDEX(Simulations!$I$3:$I$62,MATCH($A123,Simulations!$A$3:$A$62,0))&gt;0,2*PI()*INDEX(Simulations!$T$3:$T$62,MATCH($A123,Simulations!$A$3:$A$62,0))^2*INDEX(Simulations!$U$3:$U$62,MATCH($A123,Simulations!$A$3:$A$62,0))/2^1.5*(2/3*LN($E123/INDEX(Simulations!$J$3:$J$62,MATCH($A123,Simulations!$A$3:$A$62,0)))^1.5+SQRT(LN($E123/INDEX(Simulations!$J$3:$J$62,MATCH($A123,Simulations!$A$3:$A$62,0))))+$E123/INDEX(Simulations!$J$3:$J$62,MATCH($A123,Simulations!$A$3:$A$62,0))*SQRT(PI())/2*ERFC(SQRT(LN($E123/INDEX(Simulations!$J$3:$J$62,MATCH($A123,Simulations!$A$3:$A$62,0)))))),PI()*INDEX(Simulations!$T$3:$T$62,MATCH($A123,Simulations!$A$3:$A$62,0))^2/2*(LN($E123/INDEX(Simulations!$J$3:$J$62,MATCH($A123,Simulations!$A$3:$A$62,0)))+1)))))</f>
        <v/>
      </c>
      <c r="R123" s="16" t="str">
        <f aca="false">IF(OR($A123="",ISNA(MATCH($A123,Simulations!$A$3:$A$62,0))),"",IF(N($F123)&lt;=0,0,IF($F123&lt;INDEX(Simulations!$J$3:$J$62,MATCH($A123,Simulations!$A$3:$A$62,0)),$D123/(INDEX(Simulations!$G$3:$G$62,MATCH($A123,Simulations!$A$3:$A$62,0))*INDEX(Simulations!$H$3:$H$62,MATCH($A123,Simulations!$A$3:$A$62,0))*IF(INDEX(Simulations!$I$3:$I$62,MATCH($A123,Simulations!$A$3:$A$62,0))&gt;0,INDEX(Simulations!$I$3:$I$62,MATCH($A123,Simulations!$A$3:$A$62,0)),1))*$F123*(PI()/2*INDEX(Simulations!$T$3:$T$62,MATCH($A123,Simulations!$A$3:$A$62,0))^2*IF(INDEX(Simulations!$I$3:$I$62,MATCH($A123,Simulations!$A$3:$A$62,0))&gt;0,SQRT(PI()/2)*INDEX(Simulations!$U$3:$U$62,MATCH($A123,Simulations!$A$3:$A$62,0)),1)),$D123/(INDEX(Simulations!$G$3:$G$62,MATCH($A123,Simulations!$A$3:$A$62,0))*INDEX(Simulations!$H$3:$H$62,MATCH($A123,Simulations!$A$3:$A$62,0))*IF(INDEX(Simulations!$I$3:$I$62,MATCH($A123,Simulations!$A$3:$A$62,0))&gt;0,INDEX(Simulations!$I$3:$I$62,MATCH($A123,Simulations!$A$3:$A$62,0)),1))*INDEX(Simulations!$J$3:$J$62,MATCH($A123,Simulations!$A$3:$A$62,0))*IF(INDEX(Simulations!$I$3:$I$62,MATCH($A123,Simulations!$A$3:$A$62,0))&gt;0,2*PI()*INDEX(Simulations!$T$3:$T$62,MATCH($A123,Simulations!$A$3:$A$62,0))^2*INDEX(Simulations!$U$3:$U$62,MATCH($A123,Simulations!$A$3:$A$62,0))/2^1.5*(2/3*LN($F123/INDEX(Simulations!$J$3:$J$62,MATCH($A123,Simulations!$A$3:$A$62,0)))^1.5+SQRT(LN($F123/INDEX(Simulations!$J$3:$J$62,MATCH($A123,Simulations!$A$3:$A$62,0))))+$F123/INDEX(Simulations!$J$3:$J$62,MATCH($A123,Simulations!$A$3:$A$62,0))*SQRT(PI())/2*ERFC(SQRT(LN($F123/INDEX(Simulations!$J$3:$J$62,MATCH($A123,Simulations!$A$3:$A$62,0)))))),PI()*INDEX(Simulations!$T$3:$T$62,MATCH($A123,Simulations!$A$3:$A$62,0))^2/2*(LN($F123/INDEX(Simulations!$J$3:$J$62,MATCH($A123,Simulations!$A$3:$A$62,0)))+1)))))</f>
        <v/>
      </c>
      <c r="S123" s="16" t="str">
        <f aca="false">IF(OR($A123="",ISNA(MATCH($A123,Simulations!$A$3:$A$62,0))),"",IF(N($G123)&lt;=0,0,IF($G123&lt;INDEX(Simulations!$J$3:$J$62,MATCH($A123,Simulations!$A$3:$A$62,0)),$D123/(INDEX(Simulations!$G$3:$G$62,MATCH($A123,Simulations!$A$3:$A$62,0))*INDEX(Simulations!$H$3:$H$62,MATCH($A123,Simulations!$A$3:$A$62,0))*IF(INDEX(Simulations!$I$3:$I$62,MATCH($A123,Simulations!$A$3:$A$62,0))&gt;0,INDEX(Simulations!$I$3:$I$62,MATCH($A123,Simulations!$A$3:$A$62,0)),1))*$G123*(PI()/2*INDEX(Simulations!$T$3:$T$62,MATCH($A123,Simulations!$A$3:$A$62,0))^2*IF(INDEX(Simulations!$I$3:$I$62,MATCH($A123,Simulations!$A$3:$A$62,0))&gt;0,SQRT(PI()/2)*INDEX(Simulations!$U$3:$U$62,MATCH($A123,Simulations!$A$3:$A$62,0)),1)),$D123/(INDEX(Simulations!$G$3:$G$62,MATCH($A123,Simulations!$A$3:$A$62,0))*INDEX(Simulations!$H$3:$H$62,MATCH($A123,Simulations!$A$3:$A$62,0))*IF(INDEX(Simulations!$I$3:$I$62,MATCH($A123,Simulations!$A$3:$A$62,0))&gt;0,INDEX(Simulations!$I$3:$I$62,MATCH($A123,Simulations!$A$3:$A$62,0)),1))*INDEX(Simulations!$J$3:$J$62,MATCH($A123,Simulations!$A$3:$A$62,0))*IF(INDEX(Simulations!$I$3:$I$62,MATCH($A123,Simulations!$A$3:$A$62,0))&gt;0,2*PI()*INDEX(Simulations!$T$3:$T$62,MATCH($A123,Simulations!$A$3:$A$62,0))^2*INDEX(Simulations!$U$3:$U$62,MATCH($A123,Simulations!$A$3:$A$62,0))/2^1.5*(2/3*LN($G123/INDEX(Simulations!$J$3:$J$62,MATCH($A123,Simulations!$A$3:$A$62,0)))^1.5+SQRT(LN($G123/INDEX(Simulations!$J$3:$J$62,MATCH($A123,Simulations!$A$3:$A$62,0))))+$G123/INDEX(Simulations!$J$3:$J$62,MATCH($A123,Simulations!$A$3:$A$62,0))*SQRT(PI())/2*ERFC(SQRT(LN($G123/INDEX(Simulations!$J$3:$J$62,MATCH($A123,Simulations!$A$3:$A$62,0)))))),PI()*INDEX(Simulations!$T$3:$T$62,MATCH($A123,Simulations!$A$3:$A$62,0))^2/2*(LN($G123/INDEX(Simulations!$J$3:$J$62,MATCH($A123,Simulations!$A$3:$A$62,0)))+1)))))</f>
        <v/>
      </c>
      <c r="T123" s="16" t="str">
        <f aca="false">IF(OR($A123="",ISNA(MATCH($A123,Simulations!$A$3:$A$62,0))),"",IF(N($H123)&lt;=0,0,IF($H123&lt;INDEX(Simulations!$J$3:$J$62,MATCH($A123,Simulations!$A$3:$A$62,0)),$D123/(INDEX(Simulations!$G$3:$G$62,MATCH($A123,Simulations!$A$3:$A$62,0))*INDEX(Simulations!$H$3:$H$62,MATCH($A123,Simulations!$A$3:$A$62,0))*IF(INDEX(Simulations!$I$3:$I$62,MATCH($A123,Simulations!$A$3:$A$62,0))&gt;0,INDEX(Simulations!$I$3:$I$62,MATCH($A123,Simulations!$A$3:$A$62,0)),1))*$H123*(PI()/2*INDEX(Simulations!$T$3:$T$62,MATCH($A123,Simulations!$A$3:$A$62,0))^2*IF(INDEX(Simulations!$I$3:$I$62,MATCH($A123,Simulations!$A$3:$A$62,0))&gt;0,SQRT(PI()/2)*INDEX(Simulations!$U$3:$U$62,MATCH($A123,Simulations!$A$3:$A$62,0)),1)),$D123/(INDEX(Simulations!$G$3:$G$62,MATCH($A123,Simulations!$A$3:$A$62,0))*INDEX(Simulations!$H$3:$H$62,MATCH($A123,Simulations!$A$3:$A$62,0))*IF(INDEX(Simulations!$I$3:$I$62,MATCH($A123,Simulations!$A$3:$A$62,0))&gt;0,INDEX(Simulations!$I$3:$I$62,MATCH($A123,Simulations!$A$3:$A$62,0)),1))*INDEX(Simulations!$J$3:$J$62,MATCH($A123,Simulations!$A$3:$A$62,0))*IF(INDEX(Simulations!$I$3:$I$62,MATCH($A123,Simulations!$A$3:$A$62,0))&gt;0,2*PI()*INDEX(Simulations!$T$3:$T$62,MATCH($A123,Simulations!$A$3:$A$62,0))^2*INDEX(Simulations!$U$3:$U$62,MATCH($A123,Simulations!$A$3:$A$62,0))/2^1.5*(2/3*LN($H123/INDEX(Simulations!$J$3:$J$62,MATCH($A123,Simulations!$A$3:$A$62,0)))^1.5+SQRT(LN($H123/INDEX(Simulations!$J$3:$J$62,MATCH($A123,Simulations!$A$3:$A$62,0))))+$H123/INDEX(Simulations!$J$3:$J$62,MATCH($A123,Simulations!$A$3:$A$62,0))*SQRT(PI())/2*ERFC(SQRT(LN($H123/INDEX(Simulations!$J$3:$J$62,MATCH($A123,Simulations!$A$3:$A$62,0)))))),PI()*INDEX(Simulations!$T$3:$T$62,MATCH($A123,Simulations!$A$3:$A$62,0))^2/2*(LN($H123/INDEX(Simulations!$J$3:$J$62,MATCH($A123,Simulations!$A$3:$A$62,0)))+1)))))</f>
        <v/>
      </c>
      <c r="U123" s="18" t="str">
        <f aca="false">IF(OR(OR($A123="",ISNA(MATCH($A123,Simulations!$A$3:$A$62,0))),N($C123)&lt;=0),"",SQRT(2*$C123*1000000/(INDEX(Simulations!$J$3:$J$62,MATCH($A123,Simulations!$A$3:$A$62,0))*1000))/INDEX(Simulations!$T$3:$T$62,MATCH($A123,Simulations!$A$3:$A$62,0)))</f>
        <v/>
      </c>
      <c r="V123" s="19" t="str">
        <f aca="false">IF($A123="","",IF(ISNA(MATCH($A123,Simulations!$A$3:$A$62,0)),"✖ Sim ID not found on the Simulations sheet",IF($P123&gt;=1,"✖ brightness &gt;= sampling frequency: completely saturated (D too small, c too large)",IF($P123&gt;0.1,"⚠ brightness &gt; 10% of the sampling frequency: focus starts to saturate",IF(N($U123)&gt;0.1,"⚠ diffusion step &gt; 10% of wr: raise the sampling frequency",IF(MAX($E123:$H123)=0,"⚠ no brightness set","✔ OK"))))))</f>
        <v/>
      </c>
    </row>
    <row r="124" customFormat="false" ht="15" hidden="false" customHeight="false" outlineLevel="0" collapsed="false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4"/>
      <c r="O124" s="18" t="str">
        <f aca="false">IF(OR($A124="",ISNA(MATCH($A124,Simulations!$A$3:$A$62,0))),"",IF(INDEX(Simulations!$I$3:$I$62,MATCH($A124,Simulations!$A$3:$A$62,0))&gt;0,$D124/(INDEX(Simulations!$G$3:$G$62,MATCH($A124,Simulations!$A$3:$A$62,0))*INDEX(Simulations!$H$3:$H$62,MATCH($A124,Simulations!$A$3:$A$62,0))*IF(INDEX(Simulations!$I$3:$I$62,MATCH($A124,Simulations!$A$3:$A$62,0))&gt;0,INDEX(Simulations!$I$3:$I$62,MATCH($A124,Simulations!$A$3:$A$62,0)),1))/1E-024/6.022E+023/0.000000001,""))</f>
        <v/>
      </c>
      <c r="P124" s="20" t="str">
        <f aca="false">IF(OR($A124="",ISNA(MATCH($A124,Simulations!$A$3:$A$62,0))),"",MAX($E124:$H124)/INDEX(Simulations!$J$3:$J$62,MATCH($A124,Simulations!$A$3:$A$62,0)))</f>
        <v/>
      </c>
      <c r="Q124" s="16" t="str">
        <f aca="false">IF(OR($A124="",ISNA(MATCH($A124,Simulations!$A$3:$A$62,0))),"",IF(N($E124)&lt;=0,0,IF($E124&lt;INDEX(Simulations!$J$3:$J$62,MATCH($A124,Simulations!$A$3:$A$62,0)),$D124/(INDEX(Simulations!$G$3:$G$62,MATCH($A124,Simulations!$A$3:$A$62,0))*INDEX(Simulations!$H$3:$H$62,MATCH($A124,Simulations!$A$3:$A$62,0))*IF(INDEX(Simulations!$I$3:$I$62,MATCH($A124,Simulations!$A$3:$A$62,0))&gt;0,INDEX(Simulations!$I$3:$I$62,MATCH($A124,Simulations!$A$3:$A$62,0)),1))*$E124*(PI()/2*INDEX(Simulations!$T$3:$T$62,MATCH($A124,Simulations!$A$3:$A$62,0))^2*IF(INDEX(Simulations!$I$3:$I$62,MATCH($A124,Simulations!$A$3:$A$62,0))&gt;0,SQRT(PI()/2)*INDEX(Simulations!$U$3:$U$62,MATCH($A124,Simulations!$A$3:$A$62,0)),1)),$D124/(INDEX(Simulations!$G$3:$G$62,MATCH($A124,Simulations!$A$3:$A$62,0))*INDEX(Simulations!$H$3:$H$62,MATCH($A124,Simulations!$A$3:$A$62,0))*IF(INDEX(Simulations!$I$3:$I$62,MATCH($A124,Simulations!$A$3:$A$62,0))&gt;0,INDEX(Simulations!$I$3:$I$62,MATCH($A124,Simulations!$A$3:$A$62,0)),1))*INDEX(Simulations!$J$3:$J$62,MATCH($A124,Simulations!$A$3:$A$62,0))*IF(INDEX(Simulations!$I$3:$I$62,MATCH($A124,Simulations!$A$3:$A$62,0))&gt;0,2*PI()*INDEX(Simulations!$T$3:$T$62,MATCH($A124,Simulations!$A$3:$A$62,0))^2*INDEX(Simulations!$U$3:$U$62,MATCH($A124,Simulations!$A$3:$A$62,0))/2^1.5*(2/3*LN($E124/INDEX(Simulations!$J$3:$J$62,MATCH($A124,Simulations!$A$3:$A$62,0)))^1.5+SQRT(LN($E124/INDEX(Simulations!$J$3:$J$62,MATCH($A124,Simulations!$A$3:$A$62,0))))+$E124/INDEX(Simulations!$J$3:$J$62,MATCH($A124,Simulations!$A$3:$A$62,0))*SQRT(PI())/2*ERFC(SQRT(LN($E124/INDEX(Simulations!$J$3:$J$62,MATCH($A124,Simulations!$A$3:$A$62,0)))))),PI()*INDEX(Simulations!$T$3:$T$62,MATCH($A124,Simulations!$A$3:$A$62,0))^2/2*(LN($E124/INDEX(Simulations!$J$3:$J$62,MATCH($A124,Simulations!$A$3:$A$62,0)))+1)))))</f>
        <v/>
      </c>
      <c r="R124" s="16" t="str">
        <f aca="false">IF(OR($A124="",ISNA(MATCH($A124,Simulations!$A$3:$A$62,0))),"",IF(N($F124)&lt;=0,0,IF($F124&lt;INDEX(Simulations!$J$3:$J$62,MATCH($A124,Simulations!$A$3:$A$62,0)),$D124/(INDEX(Simulations!$G$3:$G$62,MATCH($A124,Simulations!$A$3:$A$62,0))*INDEX(Simulations!$H$3:$H$62,MATCH($A124,Simulations!$A$3:$A$62,0))*IF(INDEX(Simulations!$I$3:$I$62,MATCH($A124,Simulations!$A$3:$A$62,0))&gt;0,INDEX(Simulations!$I$3:$I$62,MATCH($A124,Simulations!$A$3:$A$62,0)),1))*$F124*(PI()/2*INDEX(Simulations!$T$3:$T$62,MATCH($A124,Simulations!$A$3:$A$62,0))^2*IF(INDEX(Simulations!$I$3:$I$62,MATCH($A124,Simulations!$A$3:$A$62,0))&gt;0,SQRT(PI()/2)*INDEX(Simulations!$U$3:$U$62,MATCH($A124,Simulations!$A$3:$A$62,0)),1)),$D124/(INDEX(Simulations!$G$3:$G$62,MATCH($A124,Simulations!$A$3:$A$62,0))*INDEX(Simulations!$H$3:$H$62,MATCH($A124,Simulations!$A$3:$A$62,0))*IF(INDEX(Simulations!$I$3:$I$62,MATCH($A124,Simulations!$A$3:$A$62,0))&gt;0,INDEX(Simulations!$I$3:$I$62,MATCH($A124,Simulations!$A$3:$A$62,0)),1))*INDEX(Simulations!$J$3:$J$62,MATCH($A124,Simulations!$A$3:$A$62,0))*IF(INDEX(Simulations!$I$3:$I$62,MATCH($A124,Simulations!$A$3:$A$62,0))&gt;0,2*PI()*INDEX(Simulations!$T$3:$T$62,MATCH($A124,Simulations!$A$3:$A$62,0))^2*INDEX(Simulations!$U$3:$U$62,MATCH($A124,Simulations!$A$3:$A$62,0))/2^1.5*(2/3*LN($F124/INDEX(Simulations!$J$3:$J$62,MATCH($A124,Simulations!$A$3:$A$62,0)))^1.5+SQRT(LN($F124/INDEX(Simulations!$J$3:$J$62,MATCH($A124,Simulations!$A$3:$A$62,0))))+$F124/INDEX(Simulations!$J$3:$J$62,MATCH($A124,Simulations!$A$3:$A$62,0))*SQRT(PI())/2*ERFC(SQRT(LN($F124/INDEX(Simulations!$J$3:$J$62,MATCH($A124,Simulations!$A$3:$A$62,0)))))),PI()*INDEX(Simulations!$T$3:$T$62,MATCH($A124,Simulations!$A$3:$A$62,0))^2/2*(LN($F124/INDEX(Simulations!$J$3:$J$62,MATCH($A124,Simulations!$A$3:$A$62,0)))+1)))))</f>
        <v/>
      </c>
      <c r="S124" s="16" t="str">
        <f aca="false">IF(OR($A124="",ISNA(MATCH($A124,Simulations!$A$3:$A$62,0))),"",IF(N($G124)&lt;=0,0,IF($G124&lt;INDEX(Simulations!$J$3:$J$62,MATCH($A124,Simulations!$A$3:$A$62,0)),$D124/(INDEX(Simulations!$G$3:$G$62,MATCH($A124,Simulations!$A$3:$A$62,0))*INDEX(Simulations!$H$3:$H$62,MATCH($A124,Simulations!$A$3:$A$62,0))*IF(INDEX(Simulations!$I$3:$I$62,MATCH($A124,Simulations!$A$3:$A$62,0))&gt;0,INDEX(Simulations!$I$3:$I$62,MATCH($A124,Simulations!$A$3:$A$62,0)),1))*$G124*(PI()/2*INDEX(Simulations!$T$3:$T$62,MATCH($A124,Simulations!$A$3:$A$62,0))^2*IF(INDEX(Simulations!$I$3:$I$62,MATCH($A124,Simulations!$A$3:$A$62,0))&gt;0,SQRT(PI()/2)*INDEX(Simulations!$U$3:$U$62,MATCH($A124,Simulations!$A$3:$A$62,0)),1)),$D124/(INDEX(Simulations!$G$3:$G$62,MATCH($A124,Simulations!$A$3:$A$62,0))*INDEX(Simulations!$H$3:$H$62,MATCH($A124,Simulations!$A$3:$A$62,0))*IF(INDEX(Simulations!$I$3:$I$62,MATCH($A124,Simulations!$A$3:$A$62,0))&gt;0,INDEX(Simulations!$I$3:$I$62,MATCH($A124,Simulations!$A$3:$A$62,0)),1))*INDEX(Simulations!$J$3:$J$62,MATCH($A124,Simulations!$A$3:$A$62,0))*IF(INDEX(Simulations!$I$3:$I$62,MATCH($A124,Simulations!$A$3:$A$62,0))&gt;0,2*PI()*INDEX(Simulations!$T$3:$T$62,MATCH($A124,Simulations!$A$3:$A$62,0))^2*INDEX(Simulations!$U$3:$U$62,MATCH($A124,Simulations!$A$3:$A$62,0))/2^1.5*(2/3*LN($G124/INDEX(Simulations!$J$3:$J$62,MATCH($A124,Simulations!$A$3:$A$62,0)))^1.5+SQRT(LN($G124/INDEX(Simulations!$J$3:$J$62,MATCH($A124,Simulations!$A$3:$A$62,0))))+$G124/INDEX(Simulations!$J$3:$J$62,MATCH($A124,Simulations!$A$3:$A$62,0))*SQRT(PI())/2*ERFC(SQRT(LN($G124/INDEX(Simulations!$J$3:$J$62,MATCH($A124,Simulations!$A$3:$A$62,0)))))),PI()*INDEX(Simulations!$T$3:$T$62,MATCH($A124,Simulations!$A$3:$A$62,0))^2/2*(LN($G124/INDEX(Simulations!$J$3:$J$62,MATCH($A124,Simulations!$A$3:$A$62,0)))+1)))))</f>
        <v/>
      </c>
      <c r="T124" s="16" t="str">
        <f aca="false">IF(OR($A124="",ISNA(MATCH($A124,Simulations!$A$3:$A$62,0))),"",IF(N($H124)&lt;=0,0,IF($H124&lt;INDEX(Simulations!$J$3:$J$62,MATCH($A124,Simulations!$A$3:$A$62,0)),$D124/(INDEX(Simulations!$G$3:$G$62,MATCH($A124,Simulations!$A$3:$A$62,0))*INDEX(Simulations!$H$3:$H$62,MATCH($A124,Simulations!$A$3:$A$62,0))*IF(INDEX(Simulations!$I$3:$I$62,MATCH($A124,Simulations!$A$3:$A$62,0))&gt;0,INDEX(Simulations!$I$3:$I$62,MATCH($A124,Simulations!$A$3:$A$62,0)),1))*$H124*(PI()/2*INDEX(Simulations!$T$3:$T$62,MATCH($A124,Simulations!$A$3:$A$62,0))^2*IF(INDEX(Simulations!$I$3:$I$62,MATCH($A124,Simulations!$A$3:$A$62,0))&gt;0,SQRT(PI()/2)*INDEX(Simulations!$U$3:$U$62,MATCH($A124,Simulations!$A$3:$A$62,0)),1)),$D124/(INDEX(Simulations!$G$3:$G$62,MATCH($A124,Simulations!$A$3:$A$62,0))*INDEX(Simulations!$H$3:$H$62,MATCH($A124,Simulations!$A$3:$A$62,0))*IF(INDEX(Simulations!$I$3:$I$62,MATCH($A124,Simulations!$A$3:$A$62,0))&gt;0,INDEX(Simulations!$I$3:$I$62,MATCH($A124,Simulations!$A$3:$A$62,0)),1))*INDEX(Simulations!$J$3:$J$62,MATCH($A124,Simulations!$A$3:$A$62,0))*IF(INDEX(Simulations!$I$3:$I$62,MATCH($A124,Simulations!$A$3:$A$62,0))&gt;0,2*PI()*INDEX(Simulations!$T$3:$T$62,MATCH($A124,Simulations!$A$3:$A$62,0))^2*INDEX(Simulations!$U$3:$U$62,MATCH($A124,Simulations!$A$3:$A$62,0))/2^1.5*(2/3*LN($H124/INDEX(Simulations!$J$3:$J$62,MATCH($A124,Simulations!$A$3:$A$62,0)))^1.5+SQRT(LN($H124/INDEX(Simulations!$J$3:$J$62,MATCH($A124,Simulations!$A$3:$A$62,0))))+$H124/INDEX(Simulations!$J$3:$J$62,MATCH($A124,Simulations!$A$3:$A$62,0))*SQRT(PI())/2*ERFC(SQRT(LN($H124/INDEX(Simulations!$J$3:$J$62,MATCH($A124,Simulations!$A$3:$A$62,0)))))),PI()*INDEX(Simulations!$T$3:$T$62,MATCH($A124,Simulations!$A$3:$A$62,0))^2/2*(LN($H124/INDEX(Simulations!$J$3:$J$62,MATCH($A124,Simulations!$A$3:$A$62,0)))+1)))))</f>
        <v/>
      </c>
      <c r="U124" s="18" t="str">
        <f aca="false">IF(OR(OR($A124="",ISNA(MATCH($A124,Simulations!$A$3:$A$62,0))),N($C124)&lt;=0),"",SQRT(2*$C124*1000000/(INDEX(Simulations!$J$3:$J$62,MATCH($A124,Simulations!$A$3:$A$62,0))*1000))/INDEX(Simulations!$T$3:$T$62,MATCH($A124,Simulations!$A$3:$A$62,0)))</f>
        <v/>
      </c>
      <c r="V124" s="19" t="str">
        <f aca="false">IF($A124="","",IF(ISNA(MATCH($A124,Simulations!$A$3:$A$62,0)),"✖ Sim ID not found on the Simulations sheet",IF($P124&gt;=1,"✖ brightness &gt;= sampling frequency: completely saturated (D too small, c too large)",IF($P124&gt;0.1,"⚠ brightness &gt; 10% of the sampling frequency: focus starts to saturate",IF(N($U124)&gt;0.1,"⚠ diffusion step &gt; 10% of wr: raise the sampling frequency",IF(MAX($E124:$H124)=0,"⚠ no brightness set","✔ OK"))))))</f>
        <v/>
      </c>
    </row>
    <row r="125" customFormat="false" ht="15" hidden="false" customHeight="false" outlineLevel="0" collapsed="false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4"/>
      <c r="O125" s="18" t="str">
        <f aca="false">IF(OR($A125="",ISNA(MATCH($A125,Simulations!$A$3:$A$62,0))),"",IF(INDEX(Simulations!$I$3:$I$62,MATCH($A125,Simulations!$A$3:$A$62,0))&gt;0,$D125/(INDEX(Simulations!$G$3:$G$62,MATCH($A125,Simulations!$A$3:$A$62,0))*INDEX(Simulations!$H$3:$H$62,MATCH($A125,Simulations!$A$3:$A$62,0))*IF(INDEX(Simulations!$I$3:$I$62,MATCH($A125,Simulations!$A$3:$A$62,0))&gt;0,INDEX(Simulations!$I$3:$I$62,MATCH($A125,Simulations!$A$3:$A$62,0)),1))/1E-024/6.022E+023/0.000000001,""))</f>
        <v/>
      </c>
      <c r="P125" s="20" t="str">
        <f aca="false">IF(OR($A125="",ISNA(MATCH($A125,Simulations!$A$3:$A$62,0))),"",MAX($E125:$H125)/INDEX(Simulations!$J$3:$J$62,MATCH($A125,Simulations!$A$3:$A$62,0)))</f>
        <v/>
      </c>
      <c r="Q125" s="16" t="str">
        <f aca="false">IF(OR($A125="",ISNA(MATCH($A125,Simulations!$A$3:$A$62,0))),"",IF(N($E125)&lt;=0,0,IF($E125&lt;INDEX(Simulations!$J$3:$J$62,MATCH($A125,Simulations!$A$3:$A$62,0)),$D125/(INDEX(Simulations!$G$3:$G$62,MATCH($A125,Simulations!$A$3:$A$62,0))*INDEX(Simulations!$H$3:$H$62,MATCH($A125,Simulations!$A$3:$A$62,0))*IF(INDEX(Simulations!$I$3:$I$62,MATCH($A125,Simulations!$A$3:$A$62,0))&gt;0,INDEX(Simulations!$I$3:$I$62,MATCH($A125,Simulations!$A$3:$A$62,0)),1))*$E125*(PI()/2*INDEX(Simulations!$T$3:$T$62,MATCH($A125,Simulations!$A$3:$A$62,0))^2*IF(INDEX(Simulations!$I$3:$I$62,MATCH($A125,Simulations!$A$3:$A$62,0))&gt;0,SQRT(PI()/2)*INDEX(Simulations!$U$3:$U$62,MATCH($A125,Simulations!$A$3:$A$62,0)),1)),$D125/(INDEX(Simulations!$G$3:$G$62,MATCH($A125,Simulations!$A$3:$A$62,0))*INDEX(Simulations!$H$3:$H$62,MATCH($A125,Simulations!$A$3:$A$62,0))*IF(INDEX(Simulations!$I$3:$I$62,MATCH($A125,Simulations!$A$3:$A$62,0))&gt;0,INDEX(Simulations!$I$3:$I$62,MATCH($A125,Simulations!$A$3:$A$62,0)),1))*INDEX(Simulations!$J$3:$J$62,MATCH($A125,Simulations!$A$3:$A$62,0))*IF(INDEX(Simulations!$I$3:$I$62,MATCH($A125,Simulations!$A$3:$A$62,0))&gt;0,2*PI()*INDEX(Simulations!$T$3:$T$62,MATCH($A125,Simulations!$A$3:$A$62,0))^2*INDEX(Simulations!$U$3:$U$62,MATCH($A125,Simulations!$A$3:$A$62,0))/2^1.5*(2/3*LN($E125/INDEX(Simulations!$J$3:$J$62,MATCH($A125,Simulations!$A$3:$A$62,0)))^1.5+SQRT(LN($E125/INDEX(Simulations!$J$3:$J$62,MATCH($A125,Simulations!$A$3:$A$62,0))))+$E125/INDEX(Simulations!$J$3:$J$62,MATCH($A125,Simulations!$A$3:$A$62,0))*SQRT(PI())/2*ERFC(SQRT(LN($E125/INDEX(Simulations!$J$3:$J$62,MATCH($A125,Simulations!$A$3:$A$62,0)))))),PI()*INDEX(Simulations!$T$3:$T$62,MATCH($A125,Simulations!$A$3:$A$62,0))^2/2*(LN($E125/INDEX(Simulations!$J$3:$J$62,MATCH($A125,Simulations!$A$3:$A$62,0)))+1)))))</f>
        <v/>
      </c>
      <c r="R125" s="16" t="str">
        <f aca="false">IF(OR($A125="",ISNA(MATCH($A125,Simulations!$A$3:$A$62,0))),"",IF(N($F125)&lt;=0,0,IF($F125&lt;INDEX(Simulations!$J$3:$J$62,MATCH($A125,Simulations!$A$3:$A$62,0)),$D125/(INDEX(Simulations!$G$3:$G$62,MATCH($A125,Simulations!$A$3:$A$62,0))*INDEX(Simulations!$H$3:$H$62,MATCH($A125,Simulations!$A$3:$A$62,0))*IF(INDEX(Simulations!$I$3:$I$62,MATCH($A125,Simulations!$A$3:$A$62,0))&gt;0,INDEX(Simulations!$I$3:$I$62,MATCH($A125,Simulations!$A$3:$A$62,0)),1))*$F125*(PI()/2*INDEX(Simulations!$T$3:$T$62,MATCH($A125,Simulations!$A$3:$A$62,0))^2*IF(INDEX(Simulations!$I$3:$I$62,MATCH($A125,Simulations!$A$3:$A$62,0))&gt;0,SQRT(PI()/2)*INDEX(Simulations!$U$3:$U$62,MATCH($A125,Simulations!$A$3:$A$62,0)),1)),$D125/(INDEX(Simulations!$G$3:$G$62,MATCH($A125,Simulations!$A$3:$A$62,0))*INDEX(Simulations!$H$3:$H$62,MATCH($A125,Simulations!$A$3:$A$62,0))*IF(INDEX(Simulations!$I$3:$I$62,MATCH($A125,Simulations!$A$3:$A$62,0))&gt;0,INDEX(Simulations!$I$3:$I$62,MATCH($A125,Simulations!$A$3:$A$62,0)),1))*INDEX(Simulations!$J$3:$J$62,MATCH($A125,Simulations!$A$3:$A$62,0))*IF(INDEX(Simulations!$I$3:$I$62,MATCH($A125,Simulations!$A$3:$A$62,0))&gt;0,2*PI()*INDEX(Simulations!$T$3:$T$62,MATCH($A125,Simulations!$A$3:$A$62,0))^2*INDEX(Simulations!$U$3:$U$62,MATCH($A125,Simulations!$A$3:$A$62,0))/2^1.5*(2/3*LN($F125/INDEX(Simulations!$J$3:$J$62,MATCH($A125,Simulations!$A$3:$A$62,0)))^1.5+SQRT(LN($F125/INDEX(Simulations!$J$3:$J$62,MATCH($A125,Simulations!$A$3:$A$62,0))))+$F125/INDEX(Simulations!$J$3:$J$62,MATCH($A125,Simulations!$A$3:$A$62,0))*SQRT(PI())/2*ERFC(SQRT(LN($F125/INDEX(Simulations!$J$3:$J$62,MATCH($A125,Simulations!$A$3:$A$62,0)))))),PI()*INDEX(Simulations!$T$3:$T$62,MATCH($A125,Simulations!$A$3:$A$62,0))^2/2*(LN($F125/INDEX(Simulations!$J$3:$J$62,MATCH($A125,Simulations!$A$3:$A$62,0)))+1)))))</f>
        <v/>
      </c>
      <c r="S125" s="16" t="str">
        <f aca="false">IF(OR($A125="",ISNA(MATCH($A125,Simulations!$A$3:$A$62,0))),"",IF(N($G125)&lt;=0,0,IF($G125&lt;INDEX(Simulations!$J$3:$J$62,MATCH($A125,Simulations!$A$3:$A$62,0)),$D125/(INDEX(Simulations!$G$3:$G$62,MATCH($A125,Simulations!$A$3:$A$62,0))*INDEX(Simulations!$H$3:$H$62,MATCH($A125,Simulations!$A$3:$A$62,0))*IF(INDEX(Simulations!$I$3:$I$62,MATCH($A125,Simulations!$A$3:$A$62,0))&gt;0,INDEX(Simulations!$I$3:$I$62,MATCH($A125,Simulations!$A$3:$A$62,0)),1))*$G125*(PI()/2*INDEX(Simulations!$T$3:$T$62,MATCH($A125,Simulations!$A$3:$A$62,0))^2*IF(INDEX(Simulations!$I$3:$I$62,MATCH($A125,Simulations!$A$3:$A$62,0))&gt;0,SQRT(PI()/2)*INDEX(Simulations!$U$3:$U$62,MATCH($A125,Simulations!$A$3:$A$62,0)),1)),$D125/(INDEX(Simulations!$G$3:$G$62,MATCH($A125,Simulations!$A$3:$A$62,0))*INDEX(Simulations!$H$3:$H$62,MATCH($A125,Simulations!$A$3:$A$62,0))*IF(INDEX(Simulations!$I$3:$I$62,MATCH($A125,Simulations!$A$3:$A$62,0))&gt;0,INDEX(Simulations!$I$3:$I$62,MATCH($A125,Simulations!$A$3:$A$62,0)),1))*INDEX(Simulations!$J$3:$J$62,MATCH($A125,Simulations!$A$3:$A$62,0))*IF(INDEX(Simulations!$I$3:$I$62,MATCH($A125,Simulations!$A$3:$A$62,0))&gt;0,2*PI()*INDEX(Simulations!$T$3:$T$62,MATCH($A125,Simulations!$A$3:$A$62,0))^2*INDEX(Simulations!$U$3:$U$62,MATCH($A125,Simulations!$A$3:$A$62,0))/2^1.5*(2/3*LN($G125/INDEX(Simulations!$J$3:$J$62,MATCH($A125,Simulations!$A$3:$A$62,0)))^1.5+SQRT(LN($G125/INDEX(Simulations!$J$3:$J$62,MATCH($A125,Simulations!$A$3:$A$62,0))))+$G125/INDEX(Simulations!$J$3:$J$62,MATCH($A125,Simulations!$A$3:$A$62,0))*SQRT(PI())/2*ERFC(SQRT(LN($G125/INDEX(Simulations!$J$3:$J$62,MATCH($A125,Simulations!$A$3:$A$62,0)))))),PI()*INDEX(Simulations!$T$3:$T$62,MATCH($A125,Simulations!$A$3:$A$62,0))^2/2*(LN($G125/INDEX(Simulations!$J$3:$J$62,MATCH($A125,Simulations!$A$3:$A$62,0)))+1)))))</f>
        <v/>
      </c>
      <c r="T125" s="16" t="str">
        <f aca="false">IF(OR($A125="",ISNA(MATCH($A125,Simulations!$A$3:$A$62,0))),"",IF(N($H125)&lt;=0,0,IF($H125&lt;INDEX(Simulations!$J$3:$J$62,MATCH($A125,Simulations!$A$3:$A$62,0)),$D125/(INDEX(Simulations!$G$3:$G$62,MATCH($A125,Simulations!$A$3:$A$62,0))*INDEX(Simulations!$H$3:$H$62,MATCH($A125,Simulations!$A$3:$A$62,0))*IF(INDEX(Simulations!$I$3:$I$62,MATCH($A125,Simulations!$A$3:$A$62,0))&gt;0,INDEX(Simulations!$I$3:$I$62,MATCH($A125,Simulations!$A$3:$A$62,0)),1))*$H125*(PI()/2*INDEX(Simulations!$T$3:$T$62,MATCH($A125,Simulations!$A$3:$A$62,0))^2*IF(INDEX(Simulations!$I$3:$I$62,MATCH($A125,Simulations!$A$3:$A$62,0))&gt;0,SQRT(PI()/2)*INDEX(Simulations!$U$3:$U$62,MATCH($A125,Simulations!$A$3:$A$62,0)),1)),$D125/(INDEX(Simulations!$G$3:$G$62,MATCH($A125,Simulations!$A$3:$A$62,0))*INDEX(Simulations!$H$3:$H$62,MATCH($A125,Simulations!$A$3:$A$62,0))*IF(INDEX(Simulations!$I$3:$I$62,MATCH($A125,Simulations!$A$3:$A$62,0))&gt;0,INDEX(Simulations!$I$3:$I$62,MATCH($A125,Simulations!$A$3:$A$62,0)),1))*INDEX(Simulations!$J$3:$J$62,MATCH($A125,Simulations!$A$3:$A$62,0))*IF(INDEX(Simulations!$I$3:$I$62,MATCH($A125,Simulations!$A$3:$A$62,0))&gt;0,2*PI()*INDEX(Simulations!$T$3:$T$62,MATCH($A125,Simulations!$A$3:$A$62,0))^2*INDEX(Simulations!$U$3:$U$62,MATCH($A125,Simulations!$A$3:$A$62,0))/2^1.5*(2/3*LN($H125/INDEX(Simulations!$J$3:$J$62,MATCH($A125,Simulations!$A$3:$A$62,0)))^1.5+SQRT(LN($H125/INDEX(Simulations!$J$3:$J$62,MATCH($A125,Simulations!$A$3:$A$62,0))))+$H125/INDEX(Simulations!$J$3:$J$62,MATCH($A125,Simulations!$A$3:$A$62,0))*SQRT(PI())/2*ERFC(SQRT(LN($H125/INDEX(Simulations!$J$3:$J$62,MATCH($A125,Simulations!$A$3:$A$62,0)))))),PI()*INDEX(Simulations!$T$3:$T$62,MATCH($A125,Simulations!$A$3:$A$62,0))^2/2*(LN($H125/INDEX(Simulations!$J$3:$J$62,MATCH($A125,Simulations!$A$3:$A$62,0)))+1)))))</f>
        <v/>
      </c>
      <c r="U125" s="18" t="str">
        <f aca="false">IF(OR(OR($A125="",ISNA(MATCH($A125,Simulations!$A$3:$A$62,0))),N($C125)&lt;=0),"",SQRT(2*$C125*1000000/(INDEX(Simulations!$J$3:$J$62,MATCH($A125,Simulations!$A$3:$A$62,0))*1000))/INDEX(Simulations!$T$3:$T$62,MATCH($A125,Simulations!$A$3:$A$62,0)))</f>
        <v/>
      </c>
      <c r="V125" s="19" t="str">
        <f aca="false">IF($A125="","",IF(ISNA(MATCH($A125,Simulations!$A$3:$A$62,0)),"✖ Sim ID not found on the Simulations sheet",IF($P125&gt;=1,"✖ brightness &gt;= sampling frequency: completely saturated (D too small, c too large)",IF($P125&gt;0.1,"⚠ brightness &gt; 10% of the sampling frequency: focus starts to saturate",IF(N($U125)&gt;0.1,"⚠ diffusion step &gt; 10% of wr: raise the sampling frequency",IF(MAX($E125:$H125)=0,"⚠ no brightness set","✔ OK"))))))</f>
        <v/>
      </c>
    </row>
    <row r="126" customFormat="false" ht="15" hidden="false" customHeight="false" outlineLevel="0" collapsed="false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4"/>
      <c r="O126" s="18" t="str">
        <f aca="false">IF(OR($A126="",ISNA(MATCH($A126,Simulations!$A$3:$A$62,0))),"",IF(INDEX(Simulations!$I$3:$I$62,MATCH($A126,Simulations!$A$3:$A$62,0))&gt;0,$D126/(INDEX(Simulations!$G$3:$G$62,MATCH($A126,Simulations!$A$3:$A$62,0))*INDEX(Simulations!$H$3:$H$62,MATCH($A126,Simulations!$A$3:$A$62,0))*IF(INDEX(Simulations!$I$3:$I$62,MATCH($A126,Simulations!$A$3:$A$62,0))&gt;0,INDEX(Simulations!$I$3:$I$62,MATCH($A126,Simulations!$A$3:$A$62,0)),1))/1E-024/6.022E+023/0.000000001,""))</f>
        <v/>
      </c>
      <c r="P126" s="20" t="str">
        <f aca="false">IF(OR($A126="",ISNA(MATCH($A126,Simulations!$A$3:$A$62,0))),"",MAX($E126:$H126)/INDEX(Simulations!$J$3:$J$62,MATCH($A126,Simulations!$A$3:$A$62,0)))</f>
        <v/>
      </c>
      <c r="Q126" s="16" t="str">
        <f aca="false">IF(OR($A126="",ISNA(MATCH($A126,Simulations!$A$3:$A$62,0))),"",IF(N($E126)&lt;=0,0,IF($E126&lt;INDEX(Simulations!$J$3:$J$62,MATCH($A126,Simulations!$A$3:$A$62,0)),$D126/(INDEX(Simulations!$G$3:$G$62,MATCH($A126,Simulations!$A$3:$A$62,0))*INDEX(Simulations!$H$3:$H$62,MATCH($A126,Simulations!$A$3:$A$62,0))*IF(INDEX(Simulations!$I$3:$I$62,MATCH($A126,Simulations!$A$3:$A$62,0))&gt;0,INDEX(Simulations!$I$3:$I$62,MATCH($A126,Simulations!$A$3:$A$62,0)),1))*$E126*(PI()/2*INDEX(Simulations!$T$3:$T$62,MATCH($A126,Simulations!$A$3:$A$62,0))^2*IF(INDEX(Simulations!$I$3:$I$62,MATCH($A126,Simulations!$A$3:$A$62,0))&gt;0,SQRT(PI()/2)*INDEX(Simulations!$U$3:$U$62,MATCH($A126,Simulations!$A$3:$A$62,0)),1)),$D126/(INDEX(Simulations!$G$3:$G$62,MATCH($A126,Simulations!$A$3:$A$62,0))*INDEX(Simulations!$H$3:$H$62,MATCH($A126,Simulations!$A$3:$A$62,0))*IF(INDEX(Simulations!$I$3:$I$62,MATCH($A126,Simulations!$A$3:$A$62,0))&gt;0,INDEX(Simulations!$I$3:$I$62,MATCH($A126,Simulations!$A$3:$A$62,0)),1))*INDEX(Simulations!$J$3:$J$62,MATCH($A126,Simulations!$A$3:$A$62,0))*IF(INDEX(Simulations!$I$3:$I$62,MATCH($A126,Simulations!$A$3:$A$62,0))&gt;0,2*PI()*INDEX(Simulations!$T$3:$T$62,MATCH($A126,Simulations!$A$3:$A$62,0))^2*INDEX(Simulations!$U$3:$U$62,MATCH($A126,Simulations!$A$3:$A$62,0))/2^1.5*(2/3*LN($E126/INDEX(Simulations!$J$3:$J$62,MATCH($A126,Simulations!$A$3:$A$62,0)))^1.5+SQRT(LN($E126/INDEX(Simulations!$J$3:$J$62,MATCH($A126,Simulations!$A$3:$A$62,0))))+$E126/INDEX(Simulations!$J$3:$J$62,MATCH($A126,Simulations!$A$3:$A$62,0))*SQRT(PI())/2*ERFC(SQRT(LN($E126/INDEX(Simulations!$J$3:$J$62,MATCH($A126,Simulations!$A$3:$A$62,0)))))),PI()*INDEX(Simulations!$T$3:$T$62,MATCH($A126,Simulations!$A$3:$A$62,0))^2/2*(LN($E126/INDEX(Simulations!$J$3:$J$62,MATCH($A126,Simulations!$A$3:$A$62,0)))+1)))))</f>
        <v/>
      </c>
      <c r="R126" s="16" t="str">
        <f aca="false">IF(OR($A126="",ISNA(MATCH($A126,Simulations!$A$3:$A$62,0))),"",IF(N($F126)&lt;=0,0,IF($F126&lt;INDEX(Simulations!$J$3:$J$62,MATCH($A126,Simulations!$A$3:$A$62,0)),$D126/(INDEX(Simulations!$G$3:$G$62,MATCH($A126,Simulations!$A$3:$A$62,0))*INDEX(Simulations!$H$3:$H$62,MATCH($A126,Simulations!$A$3:$A$62,0))*IF(INDEX(Simulations!$I$3:$I$62,MATCH($A126,Simulations!$A$3:$A$62,0))&gt;0,INDEX(Simulations!$I$3:$I$62,MATCH($A126,Simulations!$A$3:$A$62,0)),1))*$F126*(PI()/2*INDEX(Simulations!$T$3:$T$62,MATCH($A126,Simulations!$A$3:$A$62,0))^2*IF(INDEX(Simulations!$I$3:$I$62,MATCH($A126,Simulations!$A$3:$A$62,0))&gt;0,SQRT(PI()/2)*INDEX(Simulations!$U$3:$U$62,MATCH($A126,Simulations!$A$3:$A$62,0)),1)),$D126/(INDEX(Simulations!$G$3:$G$62,MATCH($A126,Simulations!$A$3:$A$62,0))*INDEX(Simulations!$H$3:$H$62,MATCH($A126,Simulations!$A$3:$A$62,0))*IF(INDEX(Simulations!$I$3:$I$62,MATCH($A126,Simulations!$A$3:$A$62,0))&gt;0,INDEX(Simulations!$I$3:$I$62,MATCH($A126,Simulations!$A$3:$A$62,0)),1))*INDEX(Simulations!$J$3:$J$62,MATCH($A126,Simulations!$A$3:$A$62,0))*IF(INDEX(Simulations!$I$3:$I$62,MATCH($A126,Simulations!$A$3:$A$62,0))&gt;0,2*PI()*INDEX(Simulations!$T$3:$T$62,MATCH($A126,Simulations!$A$3:$A$62,0))^2*INDEX(Simulations!$U$3:$U$62,MATCH($A126,Simulations!$A$3:$A$62,0))/2^1.5*(2/3*LN($F126/INDEX(Simulations!$J$3:$J$62,MATCH($A126,Simulations!$A$3:$A$62,0)))^1.5+SQRT(LN($F126/INDEX(Simulations!$J$3:$J$62,MATCH($A126,Simulations!$A$3:$A$62,0))))+$F126/INDEX(Simulations!$J$3:$J$62,MATCH($A126,Simulations!$A$3:$A$62,0))*SQRT(PI())/2*ERFC(SQRT(LN($F126/INDEX(Simulations!$J$3:$J$62,MATCH($A126,Simulations!$A$3:$A$62,0)))))),PI()*INDEX(Simulations!$T$3:$T$62,MATCH($A126,Simulations!$A$3:$A$62,0))^2/2*(LN($F126/INDEX(Simulations!$J$3:$J$62,MATCH($A126,Simulations!$A$3:$A$62,0)))+1)))))</f>
        <v/>
      </c>
      <c r="S126" s="16" t="str">
        <f aca="false">IF(OR($A126="",ISNA(MATCH($A126,Simulations!$A$3:$A$62,0))),"",IF(N($G126)&lt;=0,0,IF($G126&lt;INDEX(Simulations!$J$3:$J$62,MATCH($A126,Simulations!$A$3:$A$62,0)),$D126/(INDEX(Simulations!$G$3:$G$62,MATCH($A126,Simulations!$A$3:$A$62,0))*INDEX(Simulations!$H$3:$H$62,MATCH($A126,Simulations!$A$3:$A$62,0))*IF(INDEX(Simulations!$I$3:$I$62,MATCH($A126,Simulations!$A$3:$A$62,0))&gt;0,INDEX(Simulations!$I$3:$I$62,MATCH($A126,Simulations!$A$3:$A$62,0)),1))*$G126*(PI()/2*INDEX(Simulations!$T$3:$T$62,MATCH($A126,Simulations!$A$3:$A$62,0))^2*IF(INDEX(Simulations!$I$3:$I$62,MATCH($A126,Simulations!$A$3:$A$62,0))&gt;0,SQRT(PI()/2)*INDEX(Simulations!$U$3:$U$62,MATCH($A126,Simulations!$A$3:$A$62,0)),1)),$D126/(INDEX(Simulations!$G$3:$G$62,MATCH($A126,Simulations!$A$3:$A$62,0))*INDEX(Simulations!$H$3:$H$62,MATCH($A126,Simulations!$A$3:$A$62,0))*IF(INDEX(Simulations!$I$3:$I$62,MATCH($A126,Simulations!$A$3:$A$62,0))&gt;0,INDEX(Simulations!$I$3:$I$62,MATCH($A126,Simulations!$A$3:$A$62,0)),1))*INDEX(Simulations!$J$3:$J$62,MATCH($A126,Simulations!$A$3:$A$62,0))*IF(INDEX(Simulations!$I$3:$I$62,MATCH($A126,Simulations!$A$3:$A$62,0))&gt;0,2*PI()*INDEX(Simulations!$T$3:$T$62,MATCH($A126,Simulations!$A$3:$A$62,0))^2*INDEX(Simulations!$U$3:$U$62,MATCH($A126,Simulations!$A$3:$A$62,0))/2^1.5*(2/3*LN($G126/INDEX(Simulations!$J$3:$J$62,MATCH($A126,Simulations!$A$3:$A$62,0)))^1.5+SQRT(LN($G126/INDEX(Simulations!$J$3:$J$62,MATCH($A126,Simulations!$A$3:$A$62,0))))+$G126/INDEX(Simulations!$J$3:$J$62,MATCH($A126,Simulations!$A$3:$A$62,0))*SQRT(PI())/2*ERFC(SQRT(LN($G126/INDEX(Simulations!$J$3:$J$62,MATCH($A126,Simulations!$A$3:$A$62,0)))))),PI()*INDEX(Simulations!$T$3:$T$62,MATCH($A126,Simulations!$A$3:$A$62,0))^2/2*(LN($G126/INDEX(Simulations!$J$3:$J$62,MATCH($A126,Simulations!$A$3:$A$62,0)))+1)))))</f>
        <v/>
      </c>
      <c r="T126" s="16" t="str">
        <f aca="false">IF(OR($A126="",ISNA(MATCH($A126,Simulations!$A$3:$A$62,0))),"",IF(N($H126)&lt;=0,0,IF($H126&lt;INDEX(Simulations!$J$3:$J$62,MATCH($A126,Simulations!$A$3:$A$62,0)),$D126/(INDEX(Simulations!$G$3:$G$62,MATCH($A126,Simulations!$A$3:$A$62,0))*INDEX(Simulations!$H$3:$H$62,MATCH($A126,Simulations!$A$3:$A$62,0))*IF(INDEX(Simulations!$I$3:$I$62,MATCH($A126,Simulations!$A$3:$A$62,0))&gt;0,INDEX(Simulations!$I$3:$I$62,MATCH($A126,Simulations!$A$3:$A$62,0)),1))*$H126*(PI()/2*INDEX(Simulations!$T$3:$T$62,MATCH($A126,Simulations!$A$3:$A$62,0))^2*IF(INDEX(Simulations!$I$3:$I$62,MATCH($A126,Simulations!$A$3:$A$62,0))&gt;0,SQRT(PI()/2)*INDEX(Simulations!$U$3:$U$62,MATCH($A126,Simulations!$A$3:$A$62,0)),1)),$D126/(INDEX(Simulations!$G$3:$G$62,MATCH($A126,Simulations!$A$3:$A$62,0))*INDEX(Simulations!$H$3:$H$62,MATCH($A126,Simulations!$A$3:$A$62,0))*IF(INDEX(Simulations!$I$3:$I$62,MATCH($A126,Simulations!$A$3:$A$62,0))&gt;0,INDEX(Simulations!$I$3:$I$62,MATCH($A126,Simulations!$A$3:$A$62,0)),1))*INDEX(Simulations!$J$3:$J$62,MATCH($A126,Simulations!$A$3:$A$62,0))*IF(INDEX(Simulations!$I$3:$I$62,MATCH($A126,Simulations!$A$3:$A$62,0))&gt;0,2*PI()*INDEX(Simulations!$T$3:$T$62,MATCH($A126,Simulations!$A$3:$A$62,0))^2*INDEX(Simulations!$U$3:$U$62,MATCH($A126,Simulations!$A$3:$A$62,0))/2^1.5*(2/3*LN($H126/INDEX(Simulations!$J$3:$J$62,MATCH($A126,Simulations!$A$3:$A$62,0)))^1.5+SQRT(LN($H126/INDEX(Simulations!$J$3:$J$62,MATCH($A126,Simulations!$A$3:$A$62,0))))+$H126/INDEX(Simulations!$J$3:$J$62,MATCH($A126,Simulations!$A$3:$A$62,0))*SQRT(PI())/2*ERFC(SQRT(LN($H126/INDEX(Simulations!$J$3:$J$62,MATCH($A126,Simulations!$A$3:$A$62,0)))))),PI()*INDEX(Simulations!$T$3:$T$62,MATCH($A126,Simulations!$A$3:$A$62,0))^2/2*(LN($H126/INDEX(Simulations!$J$3:$J$62,MATCH($A126,Simulations!$A$3:$A$62,0)))+1)))))</f>
        <v/>
      </c>
      <c r="U126" s="18" t="str">
        <f aca="false">IF(OR(OR($A126="",ISNA(MATCH($A126,Simulations!$A$3:$A$62,0))),N($C126)&lt;=0),"",SQRT(2*$C126*1000000/(INDEX(Simulations!$J$3:$J$62,MATCH($A126,Simulations!$A$3:$A$62,0))*1000))/INDEX(Simulations!$T$3:$T$62,MATCH($A126,Simulations!$A$3:$A$62,0)))</f>
        <v/>
      </c>
      <c r="V126" s="19" t="str">
        <f aca="false">IF($A126="","",IF(ISNA(MATCH($A126,Simulations!$A$3:$A$62,0)),"✖ Sim ID not found on the Simulations sheet",IF($P126&gt;=1,"✖ brightness &gt;= sampling frequency: completely saturated (D too small, c too large)",IF($P126&gt;0.1,"⚠ brightness &gt; 10% of the sampling frequency: focus starts to saturate",IF(N($U126)&gt;0.1,"⚠ diffusion step &gt; 10% of wr: raise the sampling frequency",IF(MAX($E126:$H126)=0,"⚠ no brightness set","✔ OK"))))))</f>
        <v/>
      </c>
    </row>
    <row r="127" customFormat="false" ht="15" hidden="false" customHeight="false" outlineLevel="0" collapsed="false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4"/>
      <c r="O127" s="18" t="str">
        <f aca="false">IF(OR($A127="",ISNA(MATCH($A127,Simulations!$A$3:$A$62,0))),"",IF(INDEX(Simulations!$I$3:$I$62,MATCH($A127,Simulations!$A$3:$A$62,0))&gt;0,$D127/(INDEX(Simulations!$G$3:$G$62,MATCH($A127,Simulations!$A$3:$A$62,0))*INDEX(Simulations!$H$3:$H$62,MATCH($A127,Simulations!$A$3:$A$62,0))*IF(INDEX(Simulations!$I$3:$I$62,MATCH($A127,Simulations!$A$3:$A$62,0))&gt;0,INDEX(Simulations!$I$3:$I$62,MATCH($A127,Simulations!$A$3:$A$62,0)),1))/1E-024/6.022E+023/0.000000001,""))</f>
        <v/>
      </c>
      <c r="P127" s="20" t="str">
        <f aca="false">IF(OR($A127="",ISNA(MATCH($A127,Simulations!$A$3:$A$62,0))),"",MAX($E127:$H127)/INDEX(Simulations!$J$3:$J$62,MATCH($A127,Simulations!$A$3:$A$62,0)))</f>
        <v/>
      </c>
      <c r="Q127" s="16" t="str">
        <f aca="false">IF(OR($A127="",ISNA(MATCH($A127,Simulations!$A$3:$A$62,0))),"",IF(N($E127)&lt;=0,0,IF($E127&lt;INDEX(Simulations!$J$3:$J$62,MATCH($A127,Simulations!$A$3:$A$62,0)),$D127/(INDEX(Simulations!$G$3:$G$62,MATCH($A127,Simulations!$A$3:$A$62,0))*INDEX(Simulations!$H$3:$H$62,MATCH($A127,Simulations!$A$3:$A$62,0))*IF(INDEX(Simulations!$I$3:$I$62,MATCH($A127,Simulations!$A$3:$A$62,0))&gt;0,INDEX(Simulations!$I$3:$I$62,MATCH($A127,Simulations!$A$3:$A$62,0)),1))*$E127*(PI()/2*INDEX(Simulations!$T$3:$T$62,MATCH($A127,Simulations!$A$3:$A$62,0))^2*IF(INDEX(Simulations!$I$3:$I$62,MATCH($A127,Simulations!$A$3:$A$62,0))&gt;0,SQRT(PI()/2)*INDEX(Simulations!$U$3:$U$62,MATCH($A127,Simulations!$A$3:$A$62,0)),1)),$D127/(INDEX(Simulations!$G$3:$G$62,MATCH($A127,Simulations!$A$3:$A$62,0))*INDEX(Simulations!$H$3:$H$62,MATCH($A127,Simulations!$A$3:$A$62,0))*IF(INDEX(Simulations!$I$3:$I$62,MATCH($A127,Simulations!$A$3:$A$62,0))&gt;0,INDEX(Simulations!$I$3:$I$62,MATCH($A127,Simulations!$A$3:$A$62,0)),1))*INDEX(Simulations!$J$3:$J$62,MATCH($A127,Simulations!$A$3:$A$62,0))*IF(INDEX(Simulations!$I$3:$I$62,MATCH($A127,Simulations!$A$3:$A$62,0))&gt;0,2*PI()*INDEX(Simulations!$T$3:$T$62,MATCH($A127,Simulations!$A$3:$A$62,0))^2*INDEX(Simulations!$U$3:$U$62,MATCH($A127,Simulations!$A$3:$A$62,0))/2^1.5*(2/3*LN($E127/INDEX(Simulations!$J$3:$J$62,MATCH($A127,Simulations!$A$3:$A$62,0)))^1.5+SQRT(LN($E127/INDEX(Simulations!$J$3:$J$62,MATCH($A127,Simulations!$A$3:$A$62,0))))+$E127/INDEX(Simulations!$J$3:$J$62,MATCH($A127,Simulations!$A$3:$A$62,0))*SQRT(PI())/2*ERFC(SQRT(LN($E127/INDEX(Simulations!$J$3:$J$62,MATCH($A127,Simulations!$A$3:$A$62,0)))))),PI()*INDEX(Simulations!$T$3:$T$62,MATCH($A127,Simulations!$A$3:$A$62,0))^2/2*(LN($E127/INDEX(Simulations!$J$3:$J$62,MATCH($A127,Simulations!$A$3:$A$62,0)))+1)))))</f>
        <v/>
      </c>
      <c r="R127" s="16" t="str">
        <f aca="false">IF(OR($A127="",ISNA(MATCH($A127,Simulations!$A$3:$A$62,0))),"",IF(N($F127)&lt;=0,0,IF($F127&lt;INDEX(Simulations!$J$3:$J$62,MATCH($A127,Simulations!$A$3:$A$62,0)),$D127/(INDEX(Simulations!$G$3:$G$62,MATCH($A127,Simulations!$A$3:$A$62,0))*INDEX(Simulations!$H$3:$H$62,MATCH($A127,Simulations!$A$3:$A$62,0))*IF(INDEX(Simulations!$I$3:$I$62,MATCH($A127,Simulations!$A$3:$A$62,0))&gt;0,INDEX(Simulations!$I$3:$I$62,MATCH($A127,Simulations!$A$3:$A$62,0)),1))*$F127*(PI()/2*INDEX(Simulations!$T$3:$T$62,MATCH($A127,Simulations!$A$3:$A$62,0))^2*IF(INDEX(Simulations!$I$3:$I$62,MATCH($A127,Simulations!$A$3:$A$62,0))&gt;0,SQRT(PI()/2)*INDEX(Simulations!$U$3:$U$62,MATCH($A127,Simulations!$A$3:$A$62,0)),1)),$D127/(INDEX(Simulations!$G$3:$G$62,MATCH($A127,Simulations!$A$3:$A$62,0))*INDEX(Simulations!$H$3:$H$62,MATCH($A127,Simulations!$A$3:$A$62,0))*IF(INDEX(Simulations!$I$3:$I$62,MATCH($A127,Simulations!$A$3:$A$62,0))&gt;0,INDEX(Simulations!$I$3:$I$62,MATCH($A127,Simulations!$A$3:$A$62,0)),1))*INDEX(Simulations!$J$3:$J$62,MATCH($A127,Simulations!$A$3:$A$62,0))*IF(INDEX(Simulations!$I$3:$I$62,MATCH($A127,Simulations!$A$3:$A$62,0))&gt;0,2*PI()*INDEX(Simulations!$T$3:$T$62,MATCH($A127,Simulations!$A$3:$A$62,0))^2*INDEX(Simulations!$U$3:$U$62,MATCH($A127,Simulations!$A$3:$A$62,0))/2^1.5*(2/3*LN($F127/INDEX(Simulations!$J$3:$J$62,MATCH($A127,Simulations!$A$3:$A$62,0)))^1.5+SQRT(LN($F127/INDEX(Simulations!$J$3:$J$62,MATCH($A127,Simulations!$A$3:$A$62,0))))+$F127/INDEX(Simulations!$J$3:$J$62,MATCH($A127,Simulations!$A$3:$A$62,0))*SQRT(PI())/2*ERFC(SQRT(LN($F127/INDEX(Simulations!$J$3:$J$62,MATCH($A127,Simulations!$A$3:$A$62,0)))))),PI()*INDEX(Simulations!$T$3:$T$62,MATCH($A127,Simulations!$A$3:$A$62,0))^2/2*(LN($F127/INDEX(Simulations!$J$3:$J$62,MATCH($A127,Simulations!$A$3:$A$62,0)))+1)))))</f>
        <v/>
      </c>
      <c r="S127" s="16" t="str">
        <f aca="false">IF(OR($A127="",ISNA(MATCH($A127,Simulations!$A$3:$A$62,0))),"",IF(N($G127)&lt;=0,0,IF($G127&lt;INDEX(Simulations!$J$3:$J$62,MATCH($A127,Simulations!$A$3:$A$62,0)),$D127/(INDEX(Simulations!$G$3:$G$62,MATCH($A127,Simulations!$A$3:$A$62,0))*INDEX(Simulations!$H$3:$H$62,MATCH($A127,Simulations!$A$3:$A$62,0))*IF(INDEX(Simulations!$I$3:$I$62,MATCH($A127,Simulations!$A$3:$A$62,0))&gt;0,INDEX(Simulations!$I$3:$I$62,MATCH($A127,Simulations!$A$3:$A$62,0)),1))*$G127*(PI()/2*INDEX(Simulations!$T$3:$T$62,MATCH($A127,Simulations!$A$3:$A$62,0))^2*IF(INDEX(Simulations!$I$3:$I$62,MATCH($A127,Simulations!$A$3:$A$62,0))&gt;0,SQRT(PI()/2)*INDEX(Simulations!$U$3:$U$62,MATCH($A127,Simulations!$A$3:$A$62,0)),1)),$D127/(INDEX(Simulations!$G$3:$G$62,MATCH($A127,Simulations!$A$3:$A$62,0))*INDEX(Simulations!$H$3:$H$62,MATCH($A127,Simulations!$A$3:$A$62,0))*IF(INDEX(Simulations!$I$3:$I$62,MATCH($A127,Simulations!$A$3:$A$62,0))&gt;0,INDEX(Simulations!$I$3:$I$62,MATCH($A127,Simulations!$A$3:$A$62,0)),1))*INDEX(Simulations!$J$3:$J$62,MATCH($A127,Simulations!$A$3:$A$62,0))*IF(INDEX(Simulations!$I$3:$I$62,MATCH($A127,Simulations!$A$3:$A$62,0))&gt;0,2*PI()*INDEX(Simulations!$T$3:$T$62,MATCH($A127,Simulations!$A$3:$A$62,0))^2*INDEX(Simulations!$U$3:$U$62,MATCH($A127,Simulations!$A$3:$A$62,0))/2^1.5*(2/3*LN($G127/INDEX(Simulations!$J$3:$J$62,MATCH($A127,Simulations!$A$3:$A$62,0)))^1.5+SQRT(LN($G127/INDEX(Simulations!$J$3:$J$62,MATCH($A127,Simulations!$A$3:$A$62,0))))+$G127/INDEX(Simulations!$J$3:$J$62,MATCH($A127,Simulations!$A$3:$A$62,0))*SQRT(PI())/2*ERFC(SQRT(LN($G127/INDEX(Simulations!$J$3:$J$62,MATCH($A127,Simulations!$A$3:$A$62,0)))))),PI()*INDEX(Simulations!$T$3:$T$62,MATCH($A127,Simulations!$A$3:$A$62,0))^2/2*(LN($G127/INDEX(Simulations!$J$3:$J$62,MATCH($A127,Simulations!$A$3:$A$62,0)))+1)))))</f>
        <v/>
      </c>
      <c r="T127" s="16" t="str">
        <f aca="false">IF(OR($A127="",ISNA(MATCH($A127,Simulations!$A$3:$A$62,0))),"",IF(N($H127)&lt;=0,0,IF($H127&lt;INDEX(Simulations!$J$3:$J$62,MATCH($A127,Simulations!$A$3:$A$62,0)),$D127/(INDEX(Simulations!$G$3:$G$62,MATCH($A127,Simulations!$A$3:$A$62,0))*INDEX(Simulations!$H$3:$H$62,MATCH($A127,Simulations!$A$3:$A$62,0))*IF(INDEX(Simulations!$I$3:$I$62,MATCH($A127,Simulations!$A$3:$A$62,0))&gt;0,INDEX(Simulations!$I$3:$I$62,MATCH($A127,Simulations!$A$3:$A$62,0)),1))*$H127*(PI()/2*INDEX(Simulations!$T$3:$T$62,MATCH($A127,Simulations!$A$3:$A$62,0))^2*IF(INDEX(Simulations!$I$3:$I$62,MATCH($A127,Simulations!$A$3:$A$62,0))&gt;0,SQRT(PI()/2)*INDEX(Simulations!$U$3:$U$62,MATCH($A127,Simulations!$A$3:$A$62,0)),1)),$D127/(INDEX(Simulations!$G$3:$G$62,MATCH($A127,Simulations!$A$3:$A$62,0))*INDEX(Simulations!$H$3:$H$62,MATCH($A127,Simulations!$A$3:$A$62,0))*IF(INDEX(Simulations!$I$3:$I$62,MATCH($A127,Simulations!$A$3:$A$62,0))&gt;0,INDEX(Simulations!$I$3:$I$62,MATCH($A127,Simulations!$A$3:$A$62,0)),1))*INDEX(Simulations!$J$3:$J$62,MATCH($A127,Simulations!$A$3:$A$62,0))*IF(INDEX(Simulations!$I$3:$I$62,MATCH($A127,Simulations!$A$3:$A$62,0))&gt;0,2*PI()*INDEX(Simulations!$T$3:$T$62,MATCH($A127,Simulations!$A$3:$A$62,0))^2*INDEX(Simulations!$U$3:$U$62,MATCH($A127,Simulations!$A$3:$A$62,0))/2^1.5*(2/3*LN($H127/INDEX(Simulations!$J$3:$J$62,MATCH($A127,Simulations!$A$3:$A$62,0)))^1.5+SQRT(LN($H127/INDEX(Simulations!$J$3:$J$62,MATCH($A127,Simulations!$A$3:$A$62,0))))+$H127/INDEX(Simulations!$J$3:$J$62,MATCH($A127,Simulations!$A$3:$A$62,0))*SQRT(PI())/2*ERFC(SQRT(LN($H127/INDEX(Simulations!$J$3:$J$62,MATCH($A127,Simulations!$A$3:$A$62,0)))))),PI()*INDEX(Simulations!$T$3:$T$62,MATCH($A127,Simulations!$A$3:$A$62,0))^2/2*(LN($H127/INDEX(Simulations!$J$3:$J$62,MATCH($A127,Simulations!$A$3:$A$62,0)))+1)))))</f>
        <v/>
      </c>
      <c r="U127" s="18" t="str">
        <f aca="false">IF(OR(OR($A127="",ISNA(MATCH($A127,Simulations!$A$3:$A$62,0))),N($C127)&lt;=0),"",SQRT(2*$C127*1000000/(INDEX(Simulations!$J$3:$J$62,MATCH($A127,Simulations!$A$3:$A$62,0))*1000))/INDEX(Simulations!$T$3:$T$62,MATCH($A127,Simulations!$A$3:$A$62,0)))</f>
        <v/>
      </c>
      <c r="V127" s="19" t="str">
        <f aca="false">IF($A127="","",IF(ISNA(MATCH($A127,Simulations!$A$3:$A$62,0)),"✖ Sim ID not found on the Simulations sheet",IF($P127&gt;=1,"✖ brightness &gt;= sampling frequency: completely saturated (D too small, c too large)",IF($P127&gt;0.1,"⚠ brightness &gt; 10% of the sampling frequency: focus starts to saturate",IF(N($U127)&gt;0.1,"⚠ diffusion step &gt; 10% of wr: raise the sampling frequency",IF(MAX($E127:$H127)=0,"⚠ no brightness set","✔ OK"))))))</f>
        <v/>
      </c>
    </row>
    <row r="128" customFormat="false" ht="15" hidden="false" customHeight="false" outlineLevel="0" collapsed="false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4"/>
      <c r="O128" s="18" t="str">
        <f aca="false">IF(OR($A128="",ISNA(MATCH($A128,Simulations!$A$3:$A$62,0))),"",IF(INDEX(Simulations!$I$3:$I$62,MATCH($A128,Simulations!$A$3:$A$62,0))&gt;0,$D128/(INDEX(Simulations!$G$3:$G$62,MATCH($A128,Simulations!$A$3:$A$62,0))*INDEX(Simulations!$H$3:$H$62,MATCH($A128,Simulations!$A$3:$A$62,0))*IF(INDEX(Simulations!$I$3:$I$62,MATCH($A128,Simulations!$A$3:$A$62,0))&gt;0,INDEX(Simulations!$I$3:$I$62,MATCH($A128,Simulations!$A$3:$A$62,0)),1))/1E-024/6.022E+023/0.000000001,""))</f>
        <v/>
      </c>
      <c r="P128" s="20" t="str">
        <f aca="false">IF(OR($A128="",ISNA(MATCH($A128,Simulations!$A$3:$A$62,0))),"",MAX($E128:$H128)/INDEX(Simulations!$J$3:$J$62,MATCH($A128,Simulations!$A$3:$A$62,0)))</f>
        <v/>
      </c>
      <c r="Q128" s="16" t="str">
        <f aca="false">IF(OR($A128="",ISNA(MATCH($A128,Simulations!$A$3:$A$62,0))),"",IF(N($E128)&lt;=0,0,IF($E128&lt;INDEX(Simulations!$J$3:$J$62,MATCH($A128,Simulations!$A$3:$A$62,0)),$D128/(INDEX(Simulations!$G$3:$G$62,MATCH($A128,Simulations!$A$3:$A$62,0))*INDEX(Simulations!$H$3:$H$62,MATCH($A128,Simulations!$A$3:$A$62,0))*IF(INDEX(Simulations!$I$3:$I$62,MATCH($A128,Simulations!$A$3:$A$62,0))&gt;0,INDEX(Simulations!$I$3:$I$62,MATCH($A128,Simulations!$A$3:$A$62,0)),1))*$E128*(PI()/2*INDEX(Simulations!$T$3:$T$62,MATCH($A128,Simulations!$A$3:$A$62,0))^2*IF(INDEX(Simulations!$I$3:$I$62,MATCH($A128,Simulations!$A$3:$A$62,0))&gt;0,SQRT(PI()/2)*INDEX(Simulations!$U$3:$U$62,MATCH($A128,Simulations!$A$3:$A$62,0)),1)),$D128/(INDEX(Simulations!$G$3:$G$62,MATCH($A128,Simulations!$A$3:$A$62,0))*INDEX(Simulations!$H$3:$H$62,MATCH($A128,Simulations!$A$3:$A$62,0))*IF(INDEX(Simulations!$I$3:$I$62,MATCH($A128,Simulations!$A$3:$A$62,0))&gt;0,INDEX(Simulations!$I$3:$I$62,MATCH($A128,Simulations!$A$3:$A$62,0)),1))*INDEX(Simulations!$J$3:$J$62,MATCH($A128,Simulations!$A$3:$A$62,0))*IF(INDEX(Simulations!$I$3:$I$62,MATCH($A128,Simulations!$A$3:$A$62,0))&gt;0,2*PI()*INDEX(Simulations!$T$3:$T$62,MATCH($A128,Simulations!$A$3:$A$62,0))^2*INDEX(Simulations!$U$3:$U$62,MATCH($A128,Simulations!$A$3:$A$62,0))/2^1.5*(2/3*LN($E128/INDEX(Simulations!$J$3:$J$62,MATCH($A128,Simulations!$A$3:$A$62,0)))^1.5+SQRT(LN($E128/INDEX(Simulations!$J$3:$J$62,MATCH($A128,Simulations!$A$3:$A$62,0))))+$E128/INDEX(Simulations!$J$3:$J$62,MATCH($A128,Simulations!$A$3:$A$62,0))*SQRT(PI())/2*ERFC(SQRT(LN($E128/INDEX(Simulations!$J$3:$J$62,MATCH($A128,Simulations!$A$3:$A$62,0)))))),PI()*INDEX(Simulations!$T$3:$T$62,MATCH($A128,Simulations!$A$3:$A$62,0))^2/2*(LN($E128/INDEX(Simulations!$J$3:$J$62,MATCH($A128,Simulations!$A$3:$A$62,0)))+1)))))</f>
        <v/>
      </c>
      <c r="R128" s="16" t="str">
        <f aca="false">IF(OR($A128="",ISNA(MATCH($A128,Simulations!$A$3:$A$62,0))),"",IF(N($F128)&lt;=0,0,IF($F128&lt;INDEX(Simulations!$J$3:$J$62,MATCH($A128,Simulations!$A$3:$A$62,0)),$D128/(INDEX(Simulations!$G$3:$G$62,MATCH($A128,Simulations!$A$3:$A$62,0))*INDEX(Simulations!$H$3:$H$62,MATCH($A128,Simulations!$A$3:$A$62,0))*IF(INDEX(Simulations!$I$3:$I$62,MATCH($A128,Simulations!$A$3:$A$62,0))&gt;0,INDEX(Simulations!$I$3:$I$62,MATCH($A128,Simulations!$A$3:$A$62,0)),1))*$F128*(PI()/2*INDEX(Simulations!$T$3:$T$62,MATCH($A128,Simulations!$A$3:$A$62,0))^2*IF(INDEX(Simulations!$I$3:$I$62,MATCH($A128,Simulations!$A$3:$A$62,0))&gt;0,SQRT(PI()/2)*INDEX(Simulations!$U$3:$U$62,MATCH($A128,Simulations!$A$3:$A$62,0)),1)),$D128/(INDEX(Simulations!$G$3:$G$62,MATCH($A128,Simulations!$A$3:$A$62,0))*INDEX(Simulations!$H$3:$H$62,MATCH($A128,Simulations!$A$3:$A$62,0))*IF(INDEX(Simulations!$I$3:$I$62,MATCH($A128,Simulations!$A$3:$A$62,0))&gt;0,INDEX(Simulations!$I$3:$I$62,MATCH($A128,Simulations!$A$3:$A$62,0)),1))*INDEX(Simulations!$J$3:$J$62,MATCH($A128,Simulations!$A$3:$A$62,0))*IF(INDEX(Simulations!$I$3:$I$62,MATCH($A128,Simulations!$A$3:$A$62,0))&gt;0,2*PI()*INDEX(Simulations!$T$3:$T$62,MATCH($A128,Simulations!$A$3:$A$62,0))^2*INDEX(Simulations!$U$3:$U$62,MATCH($A128,Simulations!$A$3:$A$62,0))/2^1.5*(2/3*LN($F128/INDEX(Simulations!$J$3:$J$62,MATCH($A128,Simulations!$A$3:$A$62,0)))^1.5+SQRT(LN($F128/INDEX(Simulations!$J$3:$J$62,MATCH($A128,Simulations!$A$3:$A$62,0))))+$F128/INDEX(Simulations!$J$3:$J$62,MATCH($A128,Simulations!$A$3:$A$62,0))*SQRT(PI())/2*ERFC(SQRT(LN($F128/INDEX(Simulations!$J$3:$J$62,MATCH($A128,Simulations!$A$3:$A$62,0)))))),PI()*INDEX(Simulations!$T$3:$T$62,MATCH($A128,Simulations!$A$3:$A$62,0))^2/2*(LN($F128/INDEX(Simulations!$J$3:$J$62,MATCH($A128,Simulations!$A$3:$A$62,0)))+1)))))</f>
        <v/>
      </c>
      <c r="S128" s="16" t="str">
        <f aca="false">IF(OR($A128="",ISNA(MATCH($A128,Simulations!$A$3:$A$62,0))),"",IF(N($G128)&lt;=0,0,IF($G128&lt;INDEX(Simulations!$J$3:$J$62,MATCH($A128,Simulations!$A$3:$A$62,0)),$D128/(INDEX(Simulations!$G$3:$G$62,MATCH($A128,Simulations!$A$3:$A$62,0))*INDEX(Simulations!$H$3:$H$62,MATCH($A128,Simulations!$A$3:$A$62,0))*IF(INDEX(Simulations!$I$3:$I$62,MATCH($A128,Simulations!$A$3:$A$62,0))&gt;0,INDEX(Simulations!$I$3:$I$62,MATCH($A128,Simulations!$A$3:$A$62,0)),1))*$G128*(PI()/2*INDEX(Simulations!$T$3:$T$62,MATCH($A128,Simulations!$A$3:$A$62,0))^2*IF(INDEX(Simulations!$I$3:$I$62,MATCH($A128,Simulations!$A$3:$A$62,0))&gt;0,SQRT(PI()/2)*INDEX(Simulations!$U$3:$U$62,MATCH($A128,Simulations!$A$3:$A$62,0)),1)),$D128/(INDEX(Simulations!$G$3:$G$62,MATCH($A128,Simulations!$A$3:$A$62,0))*INDEX(Simulations!$H$3:$H$62,MATCH($A128,Simulations!$A$3:$A$62,0))*IF(INDEX(Simulations!$I$3:$I$62,MATCH($A128,Simulations!$A$3:$A$62,0))&gt;0,INDEX(Simulations!$I$3:$I$62,MATCH($A128,Simulations!$A$3:$A$62,0)),1))*INDEX(Simulations!$J$3:$J$62,MATCH($A128,Simulations!$A$3:$A$62,0))*IF(INDEX(Simulations!$I$3:$I$62,MATCH($A128,Simulations!$A$3:$A$62,0))&gt;0,2*PI()*INDEX(Simulations!$T$3:$T$62,MATCH($A128,Simulations!$A$3:$A$62,0))^2*INDEX(Simulations!$U$3:$U$62,MATCH($A128,Simulations!$A$3:$A$62,0))/2^1.5*(2/3*LN($G128/INDEX(Simulations!$J$3:$J$62,MATCH($A128,Simulations!$A$3:$A$62,0)))^1.5+SQRT(LN($G128/INDEX(Simulations!$J$3:$J$62,MATCH($A128,Simulations!$A$3:$A$62,0))))+$G128/INDEX(Simulations!$J$3:$J$62,MATCH($A128,Simulations!$A$3:$A$62,0))*SQRT(PI())/2*ERFC(SQRT(LN($G128/INDEX(Simulations!$J$3:$J$62,MATCH($A128,Simulations!$A$3:$A$62,0)))))),PI()*INDEX(Simulations!$T$3:$T$62,MATCH($A128,Simulations!$A$3:$A$62,0))^2/2*(LN($G128/INDEX(Simulations!$J$3:$J$62,MATCH($A128,Simulations!$A$3:$A$62,0)))+1)))))</f>
        <v/>
      </c>
      <c r="T128" s="16" t="str">
        <f aca="false">IF(OR($A128="",ISNA(MATCH($A128,Simulations!$A$3:$A$62,0))),"",IF(N($H128)&lt;=0,0,IF($H128&lt;INDEX(Simulations!$J$3:$J$62,MATCH($A128,Simulations!$A$3:$A$62,0)),$D128/(INDEX(Simulations!$G$3:$G$62,MATCH($A128,Simulations!$A$3:$A$62,0))*INDEX(Simulations!$H$3:$H$62,MATCH($A128,Simulations!$A$3:$A$62,0))*IF(INDEX(Simulations!$I$3:$I$62,MATCH($A128,Simulations!$A$3:$A$62,0))&gt;0,INDEX(Simulations!$I$3:$I$62,MATCH($A128,Simulations!$A$3:$A$62,0)),1))*$H128*(PI()/2*INDEX(Simulations!$T$3:$T$62,MATCH($A128,Simulations!$A$3:$A$62,0))^2*IF(INDEX(Simulations!$I$3:$I$62,MATCH($A128,Simulations!$A$3:$A$62,0))&gt;0,SQRT(PI()/2)*INDEX(Simulations!$U$3:$U$62,MATCH($A128,Simulations!$A$3:$A$62,0)),1)),$D128/(INDEX(Simulations!$G$3:$G$62,MATCH($A128,Simulations!$A$3:$A$62,0))*INDEX(Simulations!$H$3:$H$62,MATCH($A128,Simulations!$A$3:$A$62,0))*IF(INDEX(Simulations!$I$3:$I$62,MATCH($A128,Simulations!$A$3:$A$62,0))&gt;0,INDEX(Simulations!$I$3:$I$62,MATCH($A128,Simulations!$A$3:$A$62,0)),1))*INDEX(Simulations!$J$3:$J$62,MATCH($A128,Simulations!$A$3:$A$62,0))*IF(INDEX(Simulations!$I$3:$I$62,MATCH($A128,Simulations!$A$3:$A$62,0))&gt;0,2*PI()*INDEX(Simulations!$T$3:$T$62,MATCH($A128,Simulations!$A$3:$A$62,0))^2*INDEX(Simulations!$U$3:$U$62,MATCH($A128,Simulations!$A$3:$A$62,0))/2^1.5*(2/3*LN($H128/INDEX(Simulations!$J$3:$J$62,MATCH($A128,Simulations!$A$3:$A$62,0)))^1.5+SQRT(LN($H128/INDEX(Simulations!$J$3:$J$62,MATCH($A128,Simulations!$A$3:$A$62,0))))+$H128/INDEX(Simulations!$J$3:$J$62,MATCH($A128,Simulations!$A$3:$A$62,0))*SQRT(PI())/2*ERFC(SQRT(LN($H128/INDEX(Simulations!$J$3:$J$62,MATCH($A128,Simulations!$A$3:$A$62,0)))))),PI()*INDEX(Simulations!$T$3:$T$62,MATCH($A128,Simulations!$A$3:$A$62,0))^2/2*(LN($H128/INDEX(Simulations!$J$3:$J$62,MATCH($A128,Simulations!$A$3:$A$62,0)))+1)))))</f>
        <v/>
      </c>
      <c r="U128" s="18" t="str">
        <f aca="false">IF(OR(OR($A128="",ISNA(MATCH($A128,Simulations!$A$3:$A$62,0))),N($C128)&lt;=0),"",SQRT(2*$C128*1000000/(INDEX(Simulations!$J$3:$J$62,MATCH($A128,Simulations!$A$3:$A$62,0))*1000))/INDEX(Simulations!$T$3:$T$62,MATCH($A128,Simulations!$A$3:$A$62,0)))</f>
        <v/>
      </c>
      <c r="V128" s="19" t="str">
        <f aca="false">IF($A128="","",IF(ISNA(MATCH($A128,Simulations!$A$3:$A$62,0)),"✖ Sim ID not found on the Simulations sheet",IF($P128&gt;=1,"✖ brightness &gt;= sampling frequency: completely saturated (D too small, c too large)",IF($P128&gt;0.1,"⚠ brightness &gt; 10% of the sampling frequency: focus starts to saturate",IF(N($U128)&gt;0.1,"⚠ diffusion step &gt; 10% of wr: raise the sampling frequency",IF(MAX($E128:$H128)=0,"⚠ no brightness set","✔ OK"))))))</f>
        <v/>
      </c>
    </row>
    <row r="129" customFormat="false" ht="15" hidden="false" customHeight="false" outlineLevel="0" collapsed="false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4"/>
      <c r="O129" s="18" t="str">
        <f aca="false">IF(OR($A129="",ISNA(MATCH($A129,Simulations!$A$3:$A$62,0))),"",IF(INDEX(Simulations!$I$3:$I$62,MATCH($A129,Simulations!$A$3:$A$62,0))&gt;0,$D129/(INDEX(Simulations!$G$3:$G$62,MATCH($A129,Simulations!$A$3:$A$62,0))*INDEX(Simulations!$H$3:$H$62,MATCH($A129,Simulations!$A$3:$A$62,0))*IF(INDEX(Simulations!$I$3:$I$62,MATCH($A129,Simulations!$A$3:$A$62,0))&gt;0,INDEX(Simulations!$I$3:$I$62,MATCH($A129,Simulations!$A$3:$A$62,0)),1))/1E-024/6.022E+023/0.000000001,""))</f>
        <v/>
      </c>
      <c r="P129" s="20" t="str">
        <f aca="false">IF(OR($A129="",ISNA(MATCH($A129,Simulations!$A$3:$A$62,0))),"",MAX($E129:$H129)/INDEX(Simulations!$J$3:$J$62,MATCH($A129,Simulations!$A$3:$A$62,0)))</f>
        <v/>
      </c>
      <c r="Q129" s="16" t="str">
        <f aca="false">IF(OR($A129="",ISNA(MATCH($A129,Simulations!$A$3:$A$62,0))),"",IF(N($E129)&lt;=0,0,IF($E129&lt;INDEX(Simulations!$J$3:$J$62,MATCH($A129,Simulations!$A$3:$A$62,0)),$D129/(INDEX(Simulations!$G$3:$G$62,MATCH($A129,Simulations!$A$3:$A$62,0))*INDEX(Simulations!$H$3:$H$62,MATCH($A129,Simulations!$A$3:$A$62,0))*IF(INDEX(Simulations!$I$3:$I$62,MATCH($A129,Simulations!$A$3:$A$62,0))&gt;0,INDEX(Simulations!$I$3:$I$62,MATCH($A129,Simulations!$A$3:$A$62,0)),1))*$E129*(PI()/2*INDEX(Simulations!$T$3:$T$62,MATCH($A129,Simulations!$A$3:$A$62,0))^2*IF(INDEX(Simulations!$I$3:$I$62,MATCH($A129,Simulations!$A$3:$A$62,0))&gt;0,SQRT(PI()/2)*INDEX(Simulations!$U$3:$U$62,MATCH($A129,Simulations!$A$3:$A$62,0)),1)),$D129/(INDEX(Simulations!$G$3:$G$62,MATCH($A129,Simulations!$A$3:$A$62,0))*INDEX(Simulations!$H$3:$H$62,MATCH($A129,Simulations!$A$3:$A$62,0))*IF(INDEX(Simulations!$I$3:$I$62,MATCH($A129,Simulations!$A$3:$A$62,0))&gt;0,INDEX(Simulations!$I$3:$I$62,MATCH($A129,Simulations!$A$3:$A$62,0)),1))*INDEX(Simulations!$J$3:$J$62,MATCH($A129,Simulations!$A$3:$A$62,0))*IF(INDEX(Simulations!$I$3:$I$62,MATCH($A129,Simulations!$A$3:$A$62,0))&gt;0,2*PI()*INDEX(Simulations!$T$3:$T$62,MATCH($A129,Simulations!$A$3:$A$62,0))^2*INDEX(Simulations!$U$3:$U$62,MATCH($A129,Simulations!$A$3:$A$62,0))/2^1.5*(2/3*LN($E129/INDEX(Simulations!$J$3:$J$62,MATCH($A129,Simulations!$A$3:$A$62,0)))^1.5+SQRT(LN($E129/INDEX(Simulations!$J$3:$J$62,MATCH($A129,Simulations!$A$3:$A$62,0))))+$E129/INDEX(Simulations!$J$3:$J$62,MATCH($A129,Simulations!$A$3:$A$62,0))*SQRT(PI())/2*ERFC(SQRT(LN($E129/INDEX(Simulations!$J$3:$J$62,MATCH($A129,Simulations!$A$3:$A$62,0)))))),PI()*INDEX(Simulations!$T$3:$T$62,MATCH($A129,Simulations!$A$3:$A$62,0))^2/2*(LN($E129/INDEX(Simulations!$J$3:$J$62,MATCH($A129,Simulations!$A$3:$A$62,0)))+1)))))</f>
        <v/>
      </c>
      <c r="R129" s="16" t="str">
        <f aca="false">IF(OR($A129="",ISNA(MATCH($A129,Simulations!$A$3:$A$62,0))),"",IF(N($F129)&lt;=0,0,IF($F129&lt;INDEX(Simulations!$J$3:$J$62,MATCH($A129,Simulations!$A$3:$A$62,0)),$D129/(INDEX(Simulations!$G$3:$G$62,MATCH($A129,Simulations!$A$3:$A$62,0))*INDEX(Simulations!$H$3:$H$62,MATCH($A129,Simulations!$A$3:$A$62,0))*IF(INDEX(Simulations!$I$3:$I$62,MATCH($A129,Simulations!$A$3:$A$62,0))&gt;0,INDEX(Simulations!$I$3:$I$62,MATCH($A129,Simulations!$A$3:$A$62,0)),1))*$F129*(PI()/2*INDEX(Simulations!$T$3:$T$62,MATCH($A129,Simulations!$A$3:$A$62,0))^2*IF(INDEX(Simulations!$I$3:$I$62,MATCH($A129,Simulations!$A$3:$A$62,0))&gt;0,SQRT(PI()/2)*INDEX(Simulations!$U$3:$U$62,MATCH($A129,Simulations!$A$3:$A$62,0)),1)),$D129/(INDEX(Simulations!$G$3:$G$62,MATCH($A129,Simulations!$A$3:$A$62,0))*INDEX(Simulations!$H$3:$H$62,MATCH($A129,Simulations!$A$3:$A$62,0))*IF(INDEX(Simulations!$I$3:$I$62,MATCH($A129,Simulations!$A$3:$A$62,0))&gt;0,INDEX(Simulations!$I$3:$I$62,MATCH($A129,Simulations!$A$3:$A$62,0)),1))*INDEX(Simulations!$J$3:$J$62,MATCH($A129,Simulations!$A$3:$A$62,0))*IF(INDEX(Simulations!$I$3:$I$62,MATCH($A129,Simulations!$A$3:$A$62,0))&gt;0,2*PI()*INDEX(Simulations!$T$3:$T$62,MATCH($A129,Simulations!$A$3:$A$62,0))^2*INDEX(Simulations!$U$3:$U$62,MATCH($A129,Simulations!$A$3:$A$62,0))/2^1.5*(2/3*LN($F129/INDEX(Simulations!$J$3:$J$62,MATCH($A129,Simulations!$A$3:$A$62,0)))^1.5+SQRT(LN($F129/INDEX(Simulations!$J$3:$J$62,MATCH($A129,Simulations!$A$3:$A$62,0))))+$F129/INDEX(Simulations!$J$3:$J$62,MATCH($A129,Simulations!$A$3:$A$62,0))*SQRT(PI())/2*ERFC(SQRT(LN($F129/INDEX(Simulations!$J$3:$J$62,MATCH($A129,Simulations!$A$3:$A$62,0)))))),PI()*INDEX(Simulations!$T$3:$T$62,MATCH($A129,Simulations!$A$3:$A$62,0))^2/2*(LN($F129/INDEX(Simulations!$J$3:$J$62,MATCH($A129,Simulations!$A$3:$A$62,0)))+1)))))</f>
        <v/>
      </c>
      <c r="S129" s="16" t="str">
        <f aca="false">IF(OR($A129="",ISNA(MATCH($A129,Simulations!$A$3:$A$62,0))),"",IF(N($G129)&lt;=0,0,IF($G129&lt;INDEX(Simulations!$J$3:$J$62,MATCH($A129,Simulations!$A$3:$A$62,0)),$D129/(INDEX(Simulations!$G$3:$G$62,MATCH($A129,Simulations!$A$3:$A$62,0))*INDEX(Simulations!$H$3:$H$62,MATCH($A129,Simulations!$A$3:$A$62,0))*IF(INDEX(Simulations!$I$3:$I$62,MATCH($A129,Simulations!$A$3:$A$62,0))&gt;0,INDEX(Simulations!$I$3:$I$62,MATCH($A129,Simulations!$A$3:$A$62,0)),1))*$G129*(PI()/2*INDEX(Simulations!$T$3:$T$62,MATCH($A129,Simulations!$A$3:$A$62,0))^2*IF(INDEX(Simulations!$I$3:$I$62,MATCH($A129,Simulations!$A$3:$A$62,0))&gt;0,SQRT(PI()/2)*INDEX(Simulations!$U$3:$U$62,MATCH($A129,Simulations!$A$3:$A$62,0)),1)),$D129/(INDEX(Simulations!$G$3:$G$62,MATCH($A129,Simulations!$A$3:$A$62,0))*INDEX(Simulations!$H$3:$H$62,MATCH($A129,Simulations!$A$3:$A$62,0))*IF(INDEX(Simulations!$I$3:$I$62,MATCH($A129,Simulations!$A$3:$A$62,0))&gt;0,INDEX(Simulations!$I$3:$I$62,MATCH($A129,Simulations!$A$3:$A$62,0)),1))*INDEX(Simulations!$J$3:$J$62,MATCH($A129,Simulations!$A$3:$A$62,0))*IF(INDEX(Simulations!$I$3:$I$62,MATCH($A129,Simulations!$A$3:$A$62,0))&gt;0,2*PI()*INDEX(Simulations!$T$3:$T$62,MATCH($A129,Simulations!$A$3:$A$62,0))^2*INDEX(Simulations!$U$3:$U$62,MATCH($A129,Simulations!$A$3:$A$62,0))/2^1.5*(2/3*LN($G129/INDEX(Simulations!$J$3:$J$62,MATCH($A129,Simulations!$A$3:$A$62,0)))^1.5+SQRT(LN($G129/INDEX(Simulations!$J$3:$J$62,MATCH($A129,Simulations!$A$3:$A$62,0))))+$G129/INDEX(Simulations!$J$3:$J$62,MATCH($A129,Simulations!$A$3:$A$62,0))*SQRT(PI())/2*ERFC(SQRT(LN($G129/INDEX(Simulations!$J$3:$J$62,MATCH($A129,Simulations!$A$3:$A$62,0)))))),PI()*INDEX(Simulations!$T$3:$T$62,MATCH($A129,Simulations!$A$3:$A$62,0))^2/2*(LN($G129/INDEX(Simulations!$J$3:$J$62,MATCH($A129,Simulations!$A$3:$A$62,0)))+1)))))</f>
        <v/>
      </c>
      <c r="T129" s="16" t="str">
        <f aca="false">IF(OR($A129="",ISNA(MATCH($A129,Simulations!$A$3:$A$62,0))),"",IF(N($H129)&lt;=0,0,IF($H129&lt;INDEX(Simulations!$J$3:$J$62,MATCH($A129,Simulations!$A$3:$A$62,0)),$D129/(INDEX(Simulations!$G$3:$G$62,MATCH($A129,Simulations!$A$3:$A$62,0))*INDEX(Simulations!$H$3:$H$62,MATCH($A129,Simulations!$A$3:$A$62,0))*IF(INDEX(Simulations!$I$3:$I$62,MATCH($A129,Simulations!$A$3:$A$62,0))&gt;0,INDEX(Simulations!$I$3:$I$62,MATCH($A129,Simulations!$A$3:$A$62,0)),1))*$H129*(PI()/2*INDEX(Simulations!$T$3:$T$62,MATCH($A129,Simulations!$A$3:$A$62,0))^2*IF(INDEX(Simulations!$I$3:$I$62,MATCH($A129,Simulations!$A$3:$A$62,0))&gt;0,SQRT(PI()/2)*INDEX(Simulations!$U$3:$U$62,MATCH($A129,Simulations!$A$3:$A$62,0)),1)),$D129/(INDEX(Simulations!$G$3:$G$62,MATCH($A129,Simulations!$A$3:$A$62,0))*INDEX(Simulations!$H$3:$H$62,MATCH($A129,Simulations!$A$3:$A$62,0))*IF(INDEX(Simulations!$I$3:$I$62,MATCH($A129,Simulations!$A$3:$A$62,0))&gt;0,INDEX(Simulations!$I$3:$I$62,MATCH($A129,Simulations!$A$3:$A$62,0)),1))*INDEX(Simulations!$J$3:$J$62,MATCH($A129,Simulations!$A$3:$A$62,0))*IF(INDEX(Simulations!$I$3:$I$62,MATCH($A129,Simulations!$A$3:$A$62,0))&gt;0,2*PI()*INDEX(Simulations!$T$3:$T$62,MATCH($A129,Simulations!$A$3:$A$62,0))^2*INDEX(Simulations!$U$3:$U$62,MATCH($A129,Simulations!$A$3:$A$62,0))/2^1.5*(2/3*LN($H129/INDEX(Simulations!$J$3:$J$62,MATCH($A129,Simulations!$A$3:$A$62,0)))^1.5+SQRT(LN($H129/INDEX(Simulations!$J$3:$J$62,MATCH($A129,Simulations!$A$3:$A$62,0))))+$H129/INDEX(Simulations!$J$3:$J$62,MATCH($A129,Simulations!$A$3:$A$62,0))*SQRT(PI())/2*ERFC(SQRT(LN($H129/INDEX(Simulations!$J$3:$J$62,MATCH($A129,Simulations!$A$3:$A$62,0)))))),PI()*INDEX(Simulations!$T$3:$T$62,MATCH($A129,Simulations!$A$3:$A$62,0))^2/2*(LN($H129/INDEX(Simulations!$J$3:$J$62,MATCH($A129,Simulations!$A$3:$A$62,0)))+1)))))</f>
        <v/>
      </c>
      <c r="U129" s="18" t="str">
        <f aca="false">IF(OR(OR($A129="",ISNA(MATCH($A129,Simulations!$A$3:$A$62,0))),N($C129)&lt;=0),"",SQRT(2*$C129*1000000/(INDEX(Simulations!$J$3:$J$62,MATCH($A129,Simulations!$A$3:$A$62,0))*1000))/INDEX(Simulations!$T$3:$T$62,MATCH($A129,Simulations!$A$3:$A$62,0)))</f>
        <v/>
      </c>
      <c r="V129" s="19" t="str">
        <f aca="false">IF($A129="","",IF(ISNA(MATCH($A129,Simulations!$A$3:$A$62,0)),"✖ Sim ID not found on the Simulations sheet",IF($P129&gt;=1,"✖ brightness &gt;= sampling frequency: completely saturated (D too small, c too large)",IF($P129&gt;0.1,"⚠ brightness &gt; 10% of the sampling frequency: focus starts to saturate",IF(N($U129)&gt;0.1,"⚠ diffusion step &gt; 10% of wr: raise the sampling frequency",IF(MAX($E129:$H129)=0,"⚠ no brightness set","✔ OK"))))))</f>
        <v/>
      </c>
    </row>
    <row r="130" customFormat="false" ht="15" hidden="false" customHeight="false" outlineLevel="0" collapsed="false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4"/>
      <c r="O130" s="18" t="str">
        <f aca="false">IF(OR($A130="",ISNA(MATCH($A130,Simulations!$A$3:$A$62,0))),"",IF(INDEX(Simulations!$I$3:$I$62,MATCH($A130,Simulations!$A$3:$A$62,0))&gt;0,$D130/(INDEX(Simulations!$G$3:$G$62,MATCH($A130,Simulations!$A$3:$A$62,0))*INDEX(Simulations!$H$3:$H$62,MATCH($A130,Simulations!$A$3:$A$62,0))*IF(INDEX(Simulations!$I$3:$I$62,MATCH($A130,Simulations!$A$3:$A$62,0))&gt;0,INDEX(Simulations!$I$3:$I$62,MATCH($A130,Simulations!$A$3:$A$62,0)),1))/1E-024/6.022E+023/0.000000001,""))</f>
        <v/>
      </c>
      <c r="P130" s="20" t="str">
        <f aca="false">IF(OR($A130="",ISNA(MATCH($A130,Simulations!$A$3:$A$62,0))),"",MAX($E130:$H130)/INDEX(Simulations!$J$3:$J$62,MATCH($A130,Simulations!$A$3:$A$62,0)))</f>
        <v/>
      </c>
      <c r="Q130" s="16" t="str">
        <f aca="false">IF(OR($A130="",ISNA(MATCH($A130,Simulations!$A$3:$A$62,0))),"",IF(N($E130)&lt;=0,0,IF($E130&lt;INDEX(Simulations!$J$3:$J$62,MATCH($A130,Simulations!$A$3:$A$62,0)),$D130/(INDEX(Simulations!$G$3:$G$62,MATCH($A130,Simulations!$A$3:$A$62,0))*INDEX(Simulations!$H$3:$H$62,MATCH($A130,Simulations!$A$3:$A$62,0))*IF(INDEX(Simulations!$I$3:$I$62,MATCH($A130,Simulations!$A$3:$A$62,0))&gt;0,INDEX(Simulations!$I$3:$I$62,MATCH($A130,Simulations!$A$3:$A$62,0)),1))*$E130*(PI()/2*INDEX(Simulations!$T$3:$T$62,MATCH($A130,Simulations!$A$3:$A$62,0))^2*IF(INDEX(Simulations!$I$3:$I$62,MATCH($A130,Simulations!$A$3:$A$62,0))&gt;0,SQRT(PI()/2)*INDEX(Simulations!$U$3:$U$62,MATCH($A130,Simulations!$A$3:$A$62,0)),1)),$D130/(INDEX(Simulations!$G$3:$G$62,MATCH($A130,Simulations!$A$3:$A$62,0))*INDEX(Simulations!$H$3:$H$62,MATCH($A130,Simulations!$A$3:$A$62,0))*IF(INDEX(Simulations!$I$3:$I$62,MATCH($A130,Simulations!$A$3:$A$62,0))&gt;0,INDEX(Simulations!$I$3:$I$62,MATCH($A130,Simulations!$A$3:$A$62,0)),1))*INDEX(Simulations!$J$3:$J$62,MATCH($A130,Simulations!$A$3:$A$62,0))*IF(INDEX(Simulations!$I$3:$I$62,MATCH($A130,Simulations!$A$3:$A$62,0))&gt;0,2*PI()*INDEX(Simulations!$T$3:$T$62,MATCH($A130,Simulations!$A$3:$A$62,0))^2*INDEX(Simulations!$U$3:$U$62,MATCH($A130,Simulations!$A$3:$A$62,0))/2^1.5*(2/3*LN($E130/INDEX(Simulations!$J$3:$J$62,MATCH($A130,Simulations!$A$3:$A$62,0)))^1.5+SQRT(LN($E130/INDEX(Simulations!$J$3:$J$62,MATCH($A130,Simulations!$A$3:$A$62,0))))+$E130/INDEX(Simulations!$J$3:$J$62,MATCH($A130,Simulations!$A$3:$A$62,0))*SQRT(PI())/2*ERFC(SQRT(LN($E130/INDEX(Simulations!$J$3:$J$62,MATCH($A130,Simulations!$A$3:$A$62,0)))))),PI()*INDEX(Simulations!$T$3:$T$62,MATCH($A130,Simulations!$A$3:$A$62,0))^2/2*(LN($E130/INDEX(Simulations!$J$3:$J$62,MATCH($A130,Simulations!$A$3:$A$62,0)))+1)))))</f>
        <v/>
      </c>
      <c r="R130" s="16" t="str">
        <f aca="false">IF(OR($A130="",ISNA(MATCH($A130,Simulations!$A$3:$A$62,0))),"",IF(N($F130)&lt;=0,0,IF($F130&lt;INDEX(Simulations!$J$3:$J$62,MATCH($A130,Simulations!$A$3:$A$62,0)),$D130/(INDEX(Simulations!$G$3:$G$62,MATCH($A130,Simulations!$A$3:$A$62,0))*INDEX(Simulations!$H$3:$H$62,MATCH($A130,Simulations!$A$3:$A$62,0))*IF(INDEX(Simulations!$I$3:$I$62,MATCH($A130,Simulations!$A$3:$A$62,0))&gt;0,INDEX(Simulations!$I$3:$I$62,MATCH($A130,Simulations!$A$3:$A$62,0)),1))*$F130*(PI()/2*INDEX(Simulations!$T$3:$T$62,MATCH($A130,Simulations!$A$3:$A$62,0))^2*IF(INDEX(Simulations!$I$3:$I$62,MATCH($A130,Simulations!$A$3:$A$62,0))&gt;0,SQRT(PI()/2)*INDEX(Simulations!$U$3:$U$62,MATCH($A130,Simulations!$A$3:$A$62,0)),1)),$D130/(INDEX(Simulations!$G$3:$G$62,MATCH($A130,Simulations!$A$3:$A$62,0))*INDEX(Simulations!$H$3:$H$62,MATCH($A130,Simulations!$A$3:$A$62,0))*IF(INDEX(Simulations!$I$3:$I$62,MATCH($A130,Simulations!$A$3:$A$62,0))&gt;0,INDEX(Simulations!$I$3:$I$62,MATCH($A130,Simulations!$A$3:$A$62,0)),1))*INDEX(Simulations!$J$3:$J$62,MATCH($A130,Simulations!$A$3:$A$62,0))*IF(INDEX(Simulations!$I$3:$I$62,MATCH($A130,Simulations!$A$3:$A$62,0))&gt;0,2*PI()*INDEX(Simulations!$T$3:$T$62,MATCH($A130,Simulations!$A$3:$A$62,0))^2*INDEX(Simulations!$U$3:$U$62,MATCH($A130,Simulations!$A$3:$A$62,0))/2^1.5*(2/3*LN($F130/INDEX(Simulations!$J$3:$J$62,MATCH($A130,Simulations!$A$3:$A$62,0)))^1.5+SQRT(LN($F130/INDEX(Simulations!$J$3:$J$62,MATCH($A130,Simulations!$A$3:$A$62,0))))+$F130/INDEX(Simulations!$J$3:$J$62,MATCH($A130,Simulations!$A$3:$A$62,0))*SQRT(PI())/2*ERFC(SQRT(LN($F130/INDEX(Simulations!$J$3:$J$62,MATCH($A130,Simulations!$A$3:$A$62,0)))))),PI()*INDEX(Simulations!$T$3:$T$62,MATCH($A130,Simulations!$A$3:$A$62,0))^2/2*(LN($F130/INDEX(Simulations!$J$3:$J$62,MATCH($A130,Simulations!$A$3:$A$62,0)))+1)))))</f>
        <v/>
      </c>
      <c r="S130" s="16" t="str">
        <f aca="false">IF(OR($A130="",ISNA(MATCH($A130,Simulations!$A$3:$A$62,0))),"",IF(N($G130)&lt;=0,0,IF($G130&lt;INDEX(Simulations!$J$3:$J$62,MATCH($A130,Simulations!$A$3:$A$62,0)),$D130/(INDEX(Simulations!$G$3:$G$62,MATCH($A130,Simulations!$A$3:$A$62,0))*INDEX(Simulations!$H$3:$H$62,MATCH($A130,Simulations!$A$3:$A$62,0))*IF(INDEX(Simulations!$I$3:$I$62,MATCH($A130,Simulations!$A$3:$A$62,0))&gt;0,INDEX(Simulations!$I$3:$I$62,MATCH($A130,Simulations!$A$3:$A$62,0)),1))*$G130*(PI()/2*INDEX(Simulations!$T$3:$T$62,MATCH($A130,Simulations!$A$3:$A$62,0))^2*IF(INDEX(Simulations!$I$3:$I$62,MATCH($A130,Simulations!$A$3:$A$62,0))&gt;0,SQRT(PI()/2)*INDEX(Simulations!$U$3:$U$62,MATCH($A130,Simulations!$A$3:$A$62,0)),1)),$D130/(INDEX(Simulations!$G$3:$G$62,MATCH($A130,Simulations!$A$3:$A$62,0))*INDEX(Simulations!$H$3:$H$62,MATCH($A130,Simulations!$A$3:$A$62,0))*IF(INDEX(Simulations!$I$3:$I$62,MATCH($A130,Simulations!$A$3:$A$62,0))&gt;0,INDEX(Simulations!$I$3:$I$62,MATCH($A130,Simulations!$A$3:$A$62,0)),1))*INDEX(Simulations!$J$3:$J$62,MATCH($A130,Simulations!$A$3:$A$62,0))*IF(INDEX(Simulations!$I$3:$I$62,MATCH($A130,Simulations!$A$3:$A$62,0))&gt;0,2*PI()*INDEX(Simulations!$T$3:$T$62,MATCH($A130,Simulations!$A$3:$A$62,0))^2*INDEX(Simulations!$U$3:$U$62,MATCH($A130,Simulations!$A$3:$A$62,0))/2^1.5*(2/3*LN($G130/INDEX(Simulations!$J$3:$J$62,MATCH($A130,Simulations!$A$3:$A$62,0)))^1.5+SQRT(LN($G130/INDEX(Simulations!$J$3:$J$62,MATCH($A130,Simulations!$A$3:$A$62,0))))+$G130/INDEX(Simulations!$J$3:$J$62,MATCH($A130,Simulations!$A$3:$A$62,0))*SQRT(PI())/2*ERFC(SQRT(LN($G130/INDEX(Simulations!$J$3:$J$62,MATCH($A130,Simulations!$A$3:$A$62,0)))))),PI()*INDEX(Simulations!$T$3:$T$62,MATCH($A130,Simulations!$A$3:$A$62,0))^2/2*(LN($G130/INDEX(Simulations!$J$3:$J$62,MATCH($A130,Simulations!$A$3:$A$62,0)))+1)))))</f>
        <v/>
      </c>
      <c r="T130" s="16" t="str">
        <f aca="false">IF(OR($A130="",ISNA(MATCH($A130,Simulations!$A$3:$A$62,0))),"",IF(N($H130)&lt;=0,0,IF($H130&lt;INDEX(Simulations!$J$3:$J$62,MATCH($A130,Simulations!$A$3:$A$62,0)),$D130/(INDEX(Simulations!$G$3:$G$62,MATCH($A130,Simulations!$A$3:$A$62,0))*INDEX(Simulations!$H$3:$H$62,MATCH($A130,Simulations!$A$3:$A$62,0))*IF(INDEX(Simulations!$I$3:$I$62,MATCH($A130,Simulations!$A$3:$A$62,0))&gt;0,INDEX(Simulations!$I$3:$I$62,MATCH($A130,Simulations!$A$3:$A$62,0)),1))*$H130*(PI()/2*INDEX(Simulations!$T$3:$T$62,MATCH($A130,Simulations!$A$3:$A$62,0))^2*IF(INDEX(Simulations!$I$3:$I$62,MATCH($A130,Simulations!$A$3:$A$62,0))&gt;0,SQRT(PI()/2)*INDEX(Simulations!$U$3:$U$62,MATCH($A130,Simulations!$A$3:$A$62,0)),1)),$D130/(INDEX(Simulations!$G$3:$G$62,MATCH($A130,Simulations!$A$3:$A$62,0))*INDEX(Simulations!$H$3:$H$62,MATCH($A130,Simulations!$A$3:$A$62,0))*IF(INDEX(Simulations!$I$3:$I$62,MATCH($A130,Simulations!$A$3:$A$62,0))&gt;0,INDEX(Simulations!$I$3:$I$62,MATCH($A130,Simulations!$A$3:$A$62,0)),1))*INDEX(Simulations!$J$3:$J$62,MATCH($A130,Simulations!$A$3:$A$62,0))*IF(INDEX(Simulations!$I$3:$I$62,MATCH($A130,Simulations!$A$3:$A$62,0))&gt;0,2*PI()*INDEX(Simulations!$T$3:$T$62,MATCH($A130,Simulations!$A$3:$A$62,0))^2*INDEX(Simulations!$U$3:$U$62,MATCH($A130,Simulations!$A$3:$A$62,0))/2^1.5*(2/3*LN($H130/INDEX(Simulations!$J$3:$J$62,MATCH($A130,Simulations!$A$3:$A$62,0)))^1.5+SQRT(LN($H130/INDEX(Simulations!$J$3:$J$62,MATCH($A130,Simulations!$A$3:$A$62,0))))+$H130/INDEX(Simulations!$J$3:$J$62,MATCH($A130,Simulations!$A$3:$A$62,0))*SQRT(PI())/2*ERFC(SQRT(LN($H130/INDEX(Simulations!$J$3:$J$62,MATCH($A130,Simulations!$A$3:$A$62,0)))))),PI()*INDEX(Simulations!$T$3:$T$62,MATCH($A130,Simulations!$A$3:$A$62,0))^2/2*(LN($H130/INDEX(Simulations!$J$3:$J$62,MATCH($A130,Simulations!$A$3:$A$62,0)))+1)))))</f>
        <v/>
      </c>
      <c r="U130" s="18" t="str">
        <f aca="false">IF(OR(OR($A130="",ISNA(MATCH($A130,Simulations!$A$3:$A$62,0))),N($C130)&lt;=0),"",SQRT(2*$C130*1000000/(INDEX(Simulations!$J$3:$J$62,MATCH($A130,Simulations!$A$3:$A$62,0))*1000))/INDEX(Simulations!$T$3:$T$62,MATCH($A130,Simulations!$A$3:$A$62,0)))</f>
        <v/>
      </c>
      <c r="V130" s="19" t="str">
        <f aca="false">IF($A130="","",IF(ISNA(MATCH($A130,Simulations!$A$3:$A$62,0)),"✖ Sim ID not found on the Simulations sheet",IF($P130&gt;=1,"✖ brightness &gt;= sampling frequency: completely saturated (D too small, c too large)",IF($P130&gt;0.1,"⚠ brightness &gt; 10% of the sampling frequency: focus starts to saturate",IF(N($U130)&gt;0.1,"⚠ diffusion step &gt; 10% of wr: raise the sampling frequency",IF(MAX($E130:$H130)=0,"⚠ no brightness set","✔ OK"))))))</f>
        <v/>
      </c>
    </row>
    <row r="131" customFormat="false" ht="15" hidden="false" customHeight="false" outlineLevel="0" collapsed="false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4"/>
      <c r="O131" s="18" t="str">
        <f aca="false">IF(OR($A131="",ISNA(MATCH($A131,Simulations!$A$3:$A$62,0))),"",IF(INDEX(Simulations!$I$3:$I$62,MATCH($A131,Simulations!$A$3:$A$62,0))&gt;0,$D131/(INDEX(Simulations!$G$3:$G$62,MATCH($A131,Simulations!$A$3:$A$62,0))*INDEX(Simulations!$H$3:$H$62,MATCH($A131,Simulations!$A$3:$A$62,0))*IF(INDEX(Simulations!$I$3:$I$62,MATCH($A131,Simulations!$A$3:$A$62,0))&gt;0,INDEX(Simulations!$I$3:$I$62,MATCH($A131,Simulations!$A$3:$A$62,0)),1))/1E-024/6.022E+023/0.000000001,""))</f>
        <v/>
      </c>
      <c r="P131" s="20" t="str">
        <f aca="false">IF(OR($A131="",ISNA(MATCH($A131,Simulations!$A$3:$A$62,0))),"",MAX($E131:$H131)/INDEX(Simulations!$J$3:$J$62,MATCH($A131,Simulations!$A$3:$A$62,0)))</f>
        <v/>
      </c>
      <c r="Q131" s="16" t="str">
        <f aca="false">IF(OR($A131="",ISNA(MATCH($A131,Simulations!$A$3:$A$62,0))),"",IF(N($E131)&lt;=0,0,IF($E131&lt;INDEX(Simulations!$J$3:$J$62,MATCH($A131,Simulations!$A$3:$A$62,0)),$D131/(INDEX(Simulations!$G$3:$G$62,MATCH($A131,Simulations!$A$3:$A$62,0))*INDEX(Simulations!$H$3:$H$62,MATCH($A131,Simulations!$A$3:$A$62,0))*IF(INDEX(Simulations!$I$3:$I$62,MATCH($A131,Simulations!$A$3:$A$62,0))&gt;0,INDEX(Simulations!$I$3:$I$62,MATCH($A131,Simulations!$A$3:$A$62,0)),1))*$E131*(PI()/2*INDEX(Simulations!$T$3:$T$62,MATCH($A131,Simulations!$A$3:$A$62,0))^2*IF(INDEX(Simulations!$I$3:$I$62,MATCH($A131,Simulations!$A$3:$A$62,0))&gt;0,SQRT(PI()/2)*INDEX(Simulations!$U$3:$U$62,MATCH($A131,Simulations!$A$3:$A$62,0)),1)),$D131/(INDEX(Simulations!$G$3:$G$62,MATCH($A131,Simulations!$A$3:$A$62,0))*INDEX(Simulations!$H$3:$H$62,MATCH($A131,Simulations!$A$3:$A$62,0))*IF(INDEX(Simulations!$I$3:$I$62,MATCH($A131,Simulations!$A$3:$A$62,0))&gt;0,INDEX(Simulations!$I$3:$I$62,MATCH($A131,Simulations!$A$3:$A$62,0)),1))*INDEX(Simulations!$J$3:$J$62,MATCH($A131,Simulations!$A$3:$A$62,0))*IF(INDEX(Simulations!$I$3:$I$62,MATCH($A131,Simulations!$A$3:$A$62,0))&gt;0,2*PI()*INDEX(Simulations!$T$3:$T$62,MATCH($A131,Simulations!$A$3:$A$62,0))^2*INDEX(Simulations!$U$3:$U$62,MATCH($A131,Simulations!$A$3:$A$62,0))/2^1.5*(2/3*LN($E131/INDEX(Simulations!$J$3:$J$62,MATCH($A131,Simulations!$A$3:$A$62,0)))^1.5+SQRT(LN($E131/INDEX(Simulations!$J$3:$J$62,MATCH($A131,Simulations!$A$3:$A$62,0))))+$E131/INDEX(Simulations!$J$3:$J$62,MATCH($A131,Simulations!$A$3:$A$62,0))*SQRT(PI())/2*ERFC(SQRT(LN($E131/INDEX(Simulations!$J$3:$J$62,MATCH($A131,Simulations!$A$3:$A$62,0)))))),PI()*INDEX(Simulations!$T$3:$T$62,MATCH($A131,Simulations!$A$3:$A$62,0))^2/2*(LN($E131/INDEX(Simulations!$J$3:$J$62,MATCH($A131,Simulations!$A$3:$A$62,0)))+1)))))</f>
        <v/>
      </c>
      <c r="R131" s="16" t="str">
        <f aca="false">IF(OR($A131="",ISNA(MATCH($A131,Simulations!$A$3:$A$62,0))),"",IF(N($F131)&lt;=0,0,IF($F131&lt;INDEX(Simulations!$J$3:$J$62,MATCH($A131,Simulations!$A$3:$A$62,0)),$D131/(INDEX(Simulations!$G$3:$G$62,MATCH($A131,Simulations!$A$3:$A$62,0))*INDEX(Simulations!$H$3:$H$62,MATCH($A131,Simulations!$A$3:$A$62,0))*IF(INDEX(Simulations!$I$3:$I$62,MATCH($A131,Simulations!$A$3:$A$62,0))&gt;0,INDEX(Simulations!$I$3:$I$62,MATCH($A131,Simulations!$A$3:$A$62,0)),1))*$F131*(PI()/2*INDEX(Simulations!$T$3:$T$62,MATCH($A131,Simulations!$A$3:$A$62,0))^2*IF(INDEX(Simulations!$I$3:$I$62,MATCH($A131,Simulations!$A$3:$A$62,0))&gt;0,SQRT(PI()/2)*INDEX(Simulations!$U$3:$U$62,MATCH($A131,Simulations!$A$3:$A$62,0)),1)),$D131/(INDEX(Simulations!$G$3:$G$62,MATCH($A131,Simulations!$A$3:$A$62,0))*INDEX(Simulations!$H$3:$H$62,MATCH($A131,Simulations!$A$3:$A$62,0))*IF(INDEX(Simulations!$I$3:$I$62,MATCH($A131,Simulations!$A$3:$A$62,0))&gt;0,INDEX(Simulations!$I$3:$I$62,MATCH($A131,Simulations!$A$3:$A$62,0)),1))*INDEX(Simulations!$J$3:$J$62,MATCH($A131,Simulations!$A$3:$A$62,0))*IF(INDEX(Simulations!$I$3:$I$62,MATCH($A131,Simulations!$A$3:$A$62,0))&gt;0,2*PI()*INDEX(Simulations!$T$3:$T$62,MATCH($A131,Simulations!$A$3:$A$62,0))^2*INDEX(Simulations!$U$3:$U$62,MATCH($A131,Simulations!$A$3:$A$62,0))/2^1.5*(2/3*LN($F131/INDEX(Simulations!$J$3:$J$62,MATCH($A131,Simulations!$A$3:$A$62,0)))^1.5+SQRT(LN($F131/INDEX(Simulations!$J$3:$J$62,MATCH($A131,Simulations!$A$3:$A$62,0))))+$F131/INDEX(Simulations!$J$3:$J$62,MATCH($A131,Simulations!$A$3:$A$62,0))*SQRT(PI())/2*ERFC(SQRT(LN($F131/INDEX(Simulations!$J$3:$J$62,MATCH($A131,Simulations!$A$3:$A$62,0)))))),PI()*INDEX(Simulations!$T$3:$T$62,MATCH($A131,Simulations!$A$3:$A$62,0))^2/2*(LN($F131/INDEX(Simulations!$J$3:$J$62,MATCH($A131,Simulations!$A$3:$A$62,0)))+1)))))</f>
        <v/>
      </c>
      <c r="S131" s="16" t="str">
        <f aca="false">IF(OR($A131="",ISNA(MATCH($A131,Simulations!$A$3:$A$62,0))),"",IF(N($G131)&lt;=0,0,IF($G131&lt;INDEX(Simulations!$J$3:$J$62,MATCH($A131,Simulations!$A$3:$A$62,0)),$D131/(INDEX(Simulations!$G$3:$G$62,MATCH($A131,Simulations!$A$3:$A$62,0))*INDEX(Simulations!$H$3:$H$62,MATCH($A131,Simulations!$A$3:$A$62,0))*IF(INDEX(Simulations!$I$3:$I$62,MATCH($A131,Simulations!$A$3:$A$62,0))&gt;0,INDEX(Simulations!$I$3:$I$62,MATCH($A131,Simulations!$A$3:$A$62,0)),1))*$G131*(PI()/2*INDEX(Simulations!$T$3:$T$62,MATCH($A131,Simulations!$A$3:$A$62,0))^2*IF(INDEX(Simulations!$I$3:$I$62,MATCH($A131,Simulations!$A$3:$A$62,0))&gt;0,SQRT(PI()/2)*INDEX(Simulations!$U$3:$U$62,MATCH($A131,Simulations!$A$3:$A$62,0)),1)),$D131/(INDEX(Simulations!$G$3:$G$62,MATCH($A131,Simulations!$A$3:$A$62,0))*INDEX(Simulations!$H$3:$H$62,MATCH($A131,Simulations!$A$3:$A$62,0))*IF(INDEX(Simulations!$I$3:$I$62,MATCH($A131,Simulations!$A$3:$A$62,0))&gt;0,INDEX(Simulations!$I$3:$I$62,MATCH($A131,Simulations!$A$3:$A$62,0)),1))*INDEX(Simulations!$J$3:$J$62,MATCH($A131,Simulations!$A$3:$A$62,0))*IF(INDEX(Simulations!$I$3:$I$62,MATCH($A131,Simulations!$A$3:$A$62,0))&gt;0,2*PI()*INDEX(Simulations!$T$3:$T$62,MATCH($A131,Simulations!$A$3:$A$62,0))^2*INDEX(Simulations!$U$3:$U$62,MATCH($A131,Simulations!$A$3:$A$62,0))/2^1.5*(2/3*LN($G131/INDEX(Simulations!$J$3:$J$62,MATCH($A131,Simulations!$A$3:$A$62,0)))^1.5+SQRT(LN($G131/INDEX(Simulations!$J$3:$J$62,MATCH($A131,Simulations!$A$3:$A$62,0))))+$G131/INDEX(Simulations!$J$3:$J$62,MATCH($A131,Simulations!$A$3:$A$62,0))*SQRT(PI())/2*ERFC(SQRT(LN($G131/INDEX(Simulations!$J$3:$J$62,MATCH($A131,Simulations!$A$3:$A$62,0)))))),PI()*INDEX(Simulations!$T$3:$T$62,MATCH($A131,Simulations!$A$3:$A$62,0))^2/2*(LN($G131/INDEX(Simulations!$J$3:$J$62,MATCH($A131,Simulations!$A$3:$A$62,0)))+1)))))</f>
        <v/>
      </c>
      <c r="T131" s="16" t="str">
        <f aca="false">IF(OR($A131="",ISNA(MATCH($A131,Simulations!$A$3:$A$62,0))),"",IF(N($H131)&lt;=0,0,IF($H131&lt;INDEX(Simulations!$J$3:$J$62,MATCH($A131,Simulations!$A$3:$A$62,0)),$D131/(INDEX(Simulations!$G$3:$G$62,MATCH($A131,Simulations!$A$3:$A$62,0))*INDEX(Simulations!$H$3:$H$62,MATCH($A131,Simulations!$A$3:$A$62,0))*IF(INDEX(Simulations!$I$3:$I$62,MATCH($A131,Simulations!$A$3:$A$62,0))&gt;0,INDEX(Simulations!$I$3:$I$62,MATCH($A131,Simulations!$A$3:$A$62,0)),1))*$H131*(PI()/2*INDEX(Simulations!$T$3:$T$62,MATCH($A131,Simulations!$A$3:$A$62,0))^2*IF(INDEX(Simulations!$I$3:$I$62,MATCH($A131,Simulations!$A$3:$A$62,0))&gt;0,SQRT(PI()/2)*INDEX(Simulations!$U$3:$U$62,MATCH($A131,Simulations!$A$3:$A$62,0)),1)),$D131/(INDEX(Simulations!$G$3:$G$62,MATCH($A131,Simulations!$A$3:$A$62,0))*INDEX(Simulations!$H$3:$H$62,MATCH($A131,Simulations!$A$3:$A$62,0))*IF(INDEX(Simulations!$I$3:$I$62,MATCH($A131,Simulations!$A$3:$A$62,0))&gt;0,INDEX(Simulations!$I$3:$I$62,MATCH($A131,Simulations!$A$3:$A$62,0)),1))*INDEX(Simulations!$J$3:$J$62,MATCH($A131,Simulations!$A$3:$A$62,0))*IF(INDEX(Simulations!$I$3:$I$62,MATCH($A131,Simulations!$A$3:$A$62,0))&gt;0,2*PI()*INDEX(Simulations!$T$3:$T$62,MATCH($A131,Simulations!$A$3:$A$62,0))^2*INDEX(Simulations!$U$3:$U$62,MATCH($A131,Simulations!$A$3:$A$62,0))/2^1.5*(2/3*LN($H131/INDEX(Simulations!$J$3:$J$62,MATCH($A131,Simulations!$A$3:$A$62,0)))^1.5+SQRT(LN($H131/INDEX(Simulations!$J$3:$J$62,MATCH($A131,Simulations!$A$3:$A$62,0))))+$H131/INDEX(Simulations!$J$3:$J$62,MATCH($A131,Simulations!$A$3:$A$62,0))*SQRT(PI())/2*ERFC(SQRT(LN($H131/INDEX(Simulations!$J$3:$J$62,MATCH($A131,Simulations!$A$3:$A$62,0)))))),PI()*INDEX(Simulations!$T$3:$T$62,MATCH($A131,Simulations!$A$3:$A$62,0))^2/2*(LN($H131/INDEX(Simulations!$J$3:$J$62,MATCH($A131,Simulations!$A$3:$A$62,0)))+1)))))</f>
        <v/>
      </c>
      <c r="U131" s="18" t="str">
        <f aca="false">IF(OR(OR($A131="",ISNA(MATCH($A131,Simulations!$A$3:$A$62,0))),N($C131)&lt;=0),"",SQRT(2*$C131*1000000/(INDEX(Simulations!$J$3:$J$62,MATCH($A131,Simulations!$A$3:$A$62,0))*1000))/INDEX(Simulations!$T$3:$T$62,MATCH($A131,Simulations!$A$3:$A$62,0)))</f>
        <v/>
      </c>
      <c r="V131" s="19" t="str">
        <f aca="false">IF($A131="","",IF(ISNA(MATCH($A131,Simulations!$A$3:$A$62,0)),"✖ Sim ID not found on the Simulations sheet",IF($P131&gt;=1,"✖ brightness &gt;= sampling frequency: completely saturated (D too small, c too large)",IF($P131&gt;0.1,"⚠ brightness &gt; 10% of the sampling frequency: focus starts to saturate",IF(N($U131)&gt;0.1,"⚠ diffusion step &gt; 10% of wr: raise the sampling frequency",IF(MAX($E131:$H131)=0,"⚠ no brightness set","✔ OK"))))))</f>
        <v/>
      </c>
    </row>
    <row r="132" customFormat="false" ht="15" hidden="false" customHeight="false" outlineLevel="0" collapsed="false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4"/>
      <c r="O132" s="18" t="str">
        <f aca="false">IF(OR($A132="",ISNA(MATCH($A132,Simulations!$A$3:$A$62,0))),"",IF(INDEX(Simulations!$I$3:$I$62,MATCH($A132,Simulations!$A$3:$A$62,0))&gt;0,$D132/(INDEX(Simulations!$G$3:$G$62,MATCH($A132,Simulations!$A$3:$A$62,0))*INDEX(Simulations!$H$3:$H$62,MATCH($A132,Simulations!$A$3:$A$62,0))*IF(INDEX(Simulations!$I$3:$I$62,MATCH($A132,Simulations!$A$3:$A$62,0))&gt;0,INDEX(Simulations!$I$3:$I$62,MATCH($A132,Simulations!$A$3:$A$62,0)),1))/1E-024/6.022E+023/0.000000001,""))</f>
        <v/>
      </c>
      <c r="P132" s="20" t="str">
        <f aca="false">IF(OR($A132="",ISNA(MATCH($A132,Simulations!$A$3:$A$62,0))),"",MAX($E132:$H132)/INDEX(Simulations!$J$3:$J$62,MATCH($A132,Simulations!$A$3:$A$62,0)))</f>
        <v/>
      </c>
      <c r="Q132" s="16" t="str">
        <f aca="false">IF(OR($A132="",ISNA(MATCH($A132,Simulations!$A$3:$A$62,0))),"",IF(N($E132)&lt;=0,0,IF($E132&lt;INDEX(Simulations!$J$3:$J$62,MATCH($A132,Simulations!$A$3:$A$62,0)),$D132/(INDEX(Simulations!$G$3:$G$62,MATCH($A132,Simulations!$A$3:$A$62,0))*INDEX(Simulations!$H$3:$H$62,MATCH($A132,Simulations!$A$3:$A$62,0))*IF(INDEX(Simulations!$I$3:$I$62,MATCH($A132,Simulations!$A$3:$A$62,0))&gt;0,INDEX(Simulations!$I$3:$I$62,MATCH($A132,Simulations!$A$3:$A$62,0)),1))*$E132*(PI()/2*INDEX(Simulations!$T$3:$T$62,MATCH($A132,Simulations!$A$3:$A$62,0))^2*IF(INDEX(Simulations!$I$3:$I$62,MATCH($A132,Simulations!$A$3:$A$62,0))&gt;0,SQRT(PI()/2)*INDEX(Simulations!$U$3:$U$62,MATCH($A132,Simulations!$A$3:$A$62,0)),1)),$D132/(INDEX(Simulations!$G$3:$G$62,MATCH($A132,Simulations!$A$3:$A$62,0))*INDEX(Simulations!$H$3:$H$62,MATCH($A132,Simulations!$A$3:$A$62,0))*IF(INDEX(Simulations!$I$3:$I$62,MATCH($A132,Simulations!$A$3:$A$62,0))&gt;0,INDEX(Simulations!$I$3:$I$62,MATCH($A132,Simulations!$A$3:$A$62,0)),1))*INDEX(Simulations!$J$3:$J$62,MATCH($A132,Simulations!$A$3:$A$62,0))*IF(INDEX(Simulations!$I$3:$I$62,MATCH($A132,Simulations!$A$3:$A$62,0))&gt;0,2*PI()*INDEX(Simulations!$T$3:$T$62,MATCH($A132,Simulations!$A$3:$A$62,0))^2*INDEX(Simulations!$U$3:$U$62,MATCH($A132,Simulations!$A$3:$A$62,0))/2^1.5*(2/3*LN($E132/INDEX(Simulations!$J$3:$J$62,MATCH($A132,Simulations!$A$3:$A$62,0)))^1.5+SQRT(LN($E132/INDEX(Simulations!$J$3:$J$62,MATCH($A132,Simulations!$A$3:$A$62,0))))+$E132/INDEX(Simulations!$J$3:$J$62,MATCH($A132,Simulations!$A$3:$A$62,0))*SQRT(PI())/2*ERFC(SQRT(LN($E132/INDEX(Simulations!$J$3:$J$62,MATCH($A132,Simulations!$A$3:$A$62,0)))))),PI()*INDEX(Simulations!$T$3:$T$62,MATCH($A132,Simulations!$A$3:$A$62,0))^2/2*(LN($E132/INDEX(Simulations!$J$3:$J$62,MATCH($A132,Simulations!$A$3:$A$62,0)))+1)))))</f>
        <v/>
      </c>
      <c r="R132" s="16" t="str">
        <f aca="false">IF(OR($A132="",ISNA(MATCH($A132,Simulations!$A$3:$A$62,0))),"",IF(N($F132)&lt;=0,0,IF($F132&lt;INDEX(Simulations!$J$3:$J$62,MATCH($A132,Simulations!$A$3:$A$62,0)),$D132/(INDEX(Simulations!$G$3:$G$62,MATCH($A132,Simulations!$A$3:$A$62,0))*INDEX(Simulations!$H$3:$H$62,MATCH($A132,Simulations!$A$3:$A$62,0))*IF(INDEX(Simulations!$I$3:$I$62,MATCH($A132,Simulations!$A$3:$A$62,0))&gt;0,INDEX(Simulations!$I$3:$I$62,MATCH($A132,Simulations!$A$3:$A$62,0)),1))*$F132*(PI()/2*INDEX(Simulations!$T$3:$T$62,MATCH($A132,Simulations!$A$3:$A$62,0))^2*IF(INDEX(Simulations!$I$3:$I$62,MATCH($A132,Simulations!$A$3:$A$62,0))&gt;0,SQRT(PI()/2)*INDEX(Simulations!$U$3:$U$62,MATCH($A132,Simulations!$A$3:$A$62,0)),1)),$D132/(INDEX(Simulations!$G$3:$G$62,MATCH($A132,Simulations!$A$3:$A$62,0))*INDEX(Simulations!$H$3:$H$62,MATCH($A132,Simulations!$A$3:$A$62,0))*IF(INDEX(Simulations!$I$3:$I$62,MATCH($A132,Simulations!$A$3:$A$62,0))&gt;0,INDEX(Simulations!$I$3:$I$62,MATCH($A132,Simulations!$A$3:$A$62,0)),1))*INDEX(Simulations!$J$3:$J$62,MATCH($A132,Simulations!$A$3:$A$62,0))*IF(INDEX(Simulations!$I$3:$I$62,MATCH($A132,Simulations!$A$3:$A$62,0))&gt;0,2*PI()*INDEX(Simulations!$T$3:$T$62,MATCH($A132,Simulations!$A$3:$A$62,0))^2*INDEX(Simulations!$U$3:$U$62,MATCH($A132,Simulations!$A$3:$A$62,0))/2^1.5*(2/3*LN($F132/INDEX(Simulations!$J$3:$J$62,MATCH($A132,Simulations!$A$3:$A$62,0)))^1.5+SQRT(LN($F132/INDEX(Simulations!$J$3:$J$62,MATCH($A132,Simulations!$A$3:$A$62,0))))+$F132/INDEX(Simulations!$J$3:$J$62,MATCH($A132,Simulations!$A$3:$A$62,0))*SQRT(PI())/2*ERFC(SQRT(LN($F132/INDEX(Simulations!$J$3:$J$62,MATCH($A132,Simulations!$A$3:$A$62,0)))))),PI()*INDEX(Simulations!$T$3:$T$62,MATCH($A132,Simulations!$A$3:$A$62,0))^2/2*(LN($F132/INDEX(Simulations!$J$3:$J$62,MATCH($A132,Simulations!$A$3:$A$62,0)))+1)))))</f>
        <v/>
      </c>
      <c r="S132" s="16" t="str">
        <f aca="false">IF(OR($A132="",ISNA(MATCH($A132,Simulations!$A$3:$A$62,0))),"",IF(N($G132)&lt;=0,0,IF($G132&lt;INDEX(Simulations!$J$3:$J$62,MATCH($A132,Simulations!$A$3:$A$62,0)),$D132/(INDEX(Simulations!$G$3:$G$62,MATCH($A132,Simulations!$A$3:$A$62,0))*INDEX(Simulations!$H$3:$H$62,MATCH($A132,Simulations!$A$3:$A$62,0))*IF(INDEX(Simulations!$I$3:$I$62,MATCH($A132,Simulations!$A$3:$A$62,0))&gt;0,INDEX(Simulations!$I$3:$I$62,MATCH($A132,Simulations!$A$3:$A$62,0)),1))*$G132*(PI()/2*INDEX(Simulations!$T$3:$T$62,MATCH($A132,Simulations!$A$3:$A$62,0))^2*IF(INDEX(Simulations!$I$3:$I$62,MATCH($A132,Simulations!$A$3:$A$62,0))&gt;0,SQRT(PI()/2)*INDEX(Simulations!$U$3:$U$62,MATCH($A132,Simulations!$A$3:$A$62,0)),1)),$D132/(INDEX(Simulations!$G$3:$G$62,MATCH($A132,Simulations!$A$3:$A$62,0))*INDEX(Simulations!$H$3:$H$62,MATCH($A132,Simulations!$A$3:$A$62,0))*IF(INDEX(Simulations!$I$3:$I$62,MATCH($A132,Simulations!$A$3:$A$62,0))&gt;0,INDEX(Simulations!$I$3:$I$62,MATCH($A132,Simulations!$A$3:$A$62,0)),1))*INDEX(Simulations!$J$3:$J$62,MATCH($A132,Simulations!$A$3:$A$62,0))*IF(INDEX(Simulations!$I$3:$I$62,MATCH($A132,Simulations!$A$3:$A$62,0))&gt;0,2*PI()*INDEX(Simulations!$T$3:$T$62,MATCH($A132,Simulations!$A$3:$A$62,0))^2*INDEX(Simulations!$U$3:$U$62,MATCH($A132,Simulations!$A$3:$A$62,0))/2^1.5*(2/3*LN($G132/INDEX(Simulations!$J$3:$J$62,MATCH($A132,Simulations!$A$3:$A$62,0)))^1.5+SQRT(LN($G132/INDEX(Simulations!$J$3:$J$62,MATCH($A132,Simulations!$A$3:$A$62,0))))+$G132/INDEX(Simulations!$J$3:$J$62,MATCH($A132,Simulations!$A$3:$A$62,0))*SQRT(PI())/2*ERFC(SQRT(LN($G132/INDEX(Simulations!$J$3:$J$62,MATCH($A132,Simulations!$A$3:$A$62,0)))))),PI()*INDEX(Simulations!$T$3:$T$62,MATCH($A132,Simulations!$A$3:$A$62,0))^2/2*(LN($G132/INDEX(Simulations!$J$3:$J$62,MATCH($A132,Simulations!$A$3:$A$62,0)))+1)))))</f>
        <v/>
      </c>
      <c r="T132" s="16" t="str">
        <f aca="false">IF(OR($A132="",ISNA(MATCH($A132,Simulations!$A$3:$A$62,0))),"",IF(N($H132)&lt;=0,0,IF($H132&lt;INDEX(Simulations!$J$3:$J$62,MATCH($A132,Simulations!$A$3:$A$62,0)),$D132/(INDEX(Simulations!$G$3:$G$62,MATCH($A132,Simulations!$A$3:$A$62,0))*INDEX(Simulations!$H$3:$H$62,MATCH($A132,Simulations!$A$3:$A$62,0))*IF(INDEX(Simulations!$I$3:$I$62,MATCH($A132,Simulations!$A$3:$A$62,0))&gt;0,INDEX(Simulations!$I$3:$I$62,MATCH($A132,Simulations!$A$3:$A$62,0)),1))*$H132*(PI()/2*INDEX(Simulations!$T$3:$T$62,MATCH($A132,Simulations!$A$3:$A$62,0))^2*IF(INDEX(Simulations!$I$3:$I$62,MATCH($A132,Simulations!$A$3:$A$62,0))&gt;0,SQRT(PI()/2)*INDEX(Simulations!$U$3:$U$62,MATCH($A132,Simulations!$A$3:$A$62,0)),1)),$D132/(INDEX(Simulations!$G$3:$G$62,MATCH($A132,Simulations!$A$3:$A$62,0))*INDEX(Simulations!$H$3:$H$62,MATCH($A132,Simulations!$A$3:$A$62,0))*IF(INDEX(Simulations!$I$3:$I$62,MATCH($A132,Simulations!$A$3:$A$62,0))&gt;0,INDEX(Simulations!$I$3:$I$62,MATCH($A132,Simulations!$A$3:$A$62,0)),1))*INDEX(Simulations!$J$3:$J$62,MATCH($A132,Simulations!$A$3:$A$62,0))*IF(INDEX(Simulations!$I$3:$I$62,MATCH($A132,Simulations!$A$3:$A$62,0))&gt;0,2*PI()*INDEX(Simulations!$T$3:$T$62,MATCH($A132,Simulations!$A$3:$A$62,0))^2*INDEX(Simulations!$U$3:$U$62,MATCH($A132,Simulations!$A$3:$A$62,0))/2^1.5*(2/3*LN($H132/INDEX(Simulations!$J$3:$J$62,MATCH($A132,Simulations!$A$3:$A$62,0)))^1.5+SQRT(LN($H132/INDEX(Simulations!$J$3:$J$62,MATCH($A132,Simulations!$A$3:$A$62,0))))+$H132/INDEX(Simulations!$J$3:$J$62,MATCH($A132,Simulations!$A$3:$A$62,0))*SQRT(PI())/2*ERFC(SQRT(LN($H132/INDEX(Simulations!$J$3:$J$62,MATCH($A132,Simulations!$A$3:$A$62,0)))))),PI()*INDEX(Simulations!$T$3:$T$62,MATCH($A132,Simulations!$A$3:$A$62,0))^2/2*(LN($H132/INDEX(Simulations!$J$3:$J$62,MATCH($A132,Simulations!$A$3:$A$62,0)))+1)))))</f>
        <v/>
      </c>
      <c r="U132" s="18" t="str">
        <f aca="false">IF(OR(OR($A132="",ISNA(MATCH($A132,Simulations!$A$3:$A$62,0))),N($C132)&lt;=0),"",SQRT(2*$C132*1000000/(INDEX(Simulations!$J$3:$J$62,MATCH($A132,Simulations!$A$3:$A$62,0))*1000))/INDEX(Simulations!$T$3:$T$62,MATCH($A132,Simulations!$A$3:$A$62,0)))</f>
        <v/>
      </c>
      <c r="V132" s="19" t="str">
        <f aca="false">IF($A132="","",IF(ISNA(MATCH($A132,Simulations!$A$3:$A$62,0)),"✖ Sim ID not found on the Simulations sheet",IF($P132&gt;=1,"✖ brightness &gt;= sampling frequency: completely saturated (D too small, c too large)",IF($P132&gt;0.1,"⚠ brightness &gt; 10% of the sampling frequency: focus starts to saturate",IF(N($U132)&gt;0.1,"⚠ diffusion step &gt; 10% of wr: raise the sampling frequency",IF(MAX($E132:$H132)=0,"⚠ no brightness set","✔ OK"))))))</f>
        <v/>
      </c>
    </row>
    <row r="133" customFormat="false" ht="15" hidden="false" customHeight="false" outlineLevel="0" collapsed="false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4"/>
      <c r="O133" s="18" t="str">
        <f aca="false">IF(OR($A133="",ISNA(MATCH($A133,Simulations!$A$3:$A$62,0))),"",IF(INDEX(Simulations!$I$3:$I$62,MATCH($A133,Simulations!$A$3:$A$62,0))&gt;0,$D133/(INDEX(Simulations!$G$3:$G$62,MATCH($A133,Simulations!$A$3:$A$62,0))*INDEX(Simulations!$H$3:$H$62,MATCH($A133,Simulations!$A$3:$A$62,0))*IF(INDEX(Simulations!$I$3:$I$62,MATCH($A133,Simulations!$A$3:$A$62,0))&gt;0,INDEX(Simulations!$I$3:$I$62,MATCH($A133,Simulations!$A$3:$A$62,0)),1))/1E-024/6.022E+023/0.000000001,""))</f>
        <v/>
      </c>
      <c r="P133" s="20" t="str">
        <f aca="false">IF(OR($A133="",ISNA(MATCH($A133,Simulations!$A$3:$A$62,0))),"",MAX($E133:$H133)/INDEX(Simulations!$J$3:$J$62,MATCH($A133,Simulations!$A$3:$A$62,0)))</f>
        <v/>
      </c>
      <c r="Q133" s="16" t="str">
        <f aca="false">IF(OR($A133="",ISNA(MATCH($A133,Simulations!$A$3:$A$62,0))),"",IF(N($E133)&lt;=0,0,IF($E133&lt;INDEX(Simulations!$J$3:$J$62,MATCH($A133,Simulations!$A$3:$A$62,0)),$D133/(INDEX(Simulations!$G$3:$G$62,MATCH($A133,Simulations!$A$3:$A$62,0))*INDEX(Simulations!$H$3:$H$62,MATCH($A133,Simulations!$A$3:$A$62,0))*IF(INDEX(Simulations!$I$3:$I$62,MATCH($A133,Simulations!$A$3:$A$62,0))&gt;0,INDEX(Simulations!$I$3:$I$62,MATCH($A133,Simulations!$A$3:$A$62,0)),1))*$E133*(PI()/2*INDEX(Simulations!$T$3:$T$62,MATCH($A133,Simulations!$A$3:$A$62,0))^2*IF(INDEX(Simulations!$I$3:$I$62,MATCH($A133,Simulations!$A$3:$A$62,0))&gt;0,SQRT(PI()/2)*INDEX(Simulations!$U$3:$U$62,MATCH($A133,Simulations!$A$3:$A$62,0)),1)),$D133/(INDEX(Simulations!$G$3:$G$62,MATCH($A133,Simulations!$A$3:$A$62,0))*INDEX(Simulations!$H$3:$H$62,MATCH($A133,Simulations!$A$3:$A$62,0))*IF(INDEX(Simulations!$I$3:$I$62,MATCH($A133,Simulations!$A$3:$A$62,0))&gt;0,INDEX(Simulations!$I$3:$I$62,MATCH($A133,Simulations!$A$3:$A$62,0)),1))*INDEX(Simulations!$J$3:$J$62,MATCH($A133,Simulations!$A$3:$A$62,0))*IF(INDEX(Simulations!$I$3:$I$62,MATCH($A133,Simulations!$A$3:$A$62,0))&gt;0,2*PI()*INDEX(Simulations!$T$3:$T$62,MATCH($A133,Simulations!$A$3:$A$62,0))^2*INDEX(Simulations!$U$3:$U$62,MATCH($A133,Simulations!$A$3:$A$62,0))/2^1.5*(2/3*LN($E133/INDEX(Simulations!$J$3:$J$62,MATCH($A133,Simulations!$A$3:$A$62,0)))^1.5+SQRT(LN($E133/INDEX(Simulations!$J$3:$J$62,MATCH($A133,Simulations!$A$3:$A$62,0))))+$E133/INDEX(Simulations!$J$3:$J$62,MATCH($A133,Simulations!$A$3:$A$62,0))*SQRT(PI())/2*ERFC(SQRT(LN($E133/INDEX(Simulations!$J$3:$J$62,MATCH($A133,Simulations!$A$3:$A$62,0)))))),PI()*INDEX(Simulations!$T$3:$T$62,MATCH($A133,Simulations!$A$3:$A$62,0))^2/2*(LN($E133/INDEX(Simulations!$J$3:$J$62,MATCH($A133,Simulations!$A$3:$A$62,0)))+1)))))</f>
        <v/>
      </c>
      <c r="R133" s="16" t="str">
        <f aca="false">IF(OR($A133="",ISNA(MATCH($A133,Simulations!$A$3:$A$62,0))),"",IF(N($F133)&lt;=0,0,IF($F133&lt;INDEX(Simulations!$J$3:$J$62,MATCH($A133,Simulations!$A$3:$A$62,0)),$D133/(INDEX(Simulations!$G$3:$G$62,MATCH($A133,Simulations!$A$3:$A$62,0))*INDEX(Simulations!$H$3:$H$62,MATCH($A133,Simulations!$A$3:$A$62,0))*IF(INDEX(Simulations!$I$3:$I$62,MATCH($A133,Simulations!$A$3:$A$62,0))&gt;0,INDEX(Simulations!$I$3:$I$62,MATCH($A133,Simulations!$A$3:$A$62,0)),1))*$F133*(PI()/2*INDEX(Simulations!$T$3:$T$62,MATCH($A133,Simulations!$A$3:$A$62,0))^2*IF(INDEX(Simulations!$I$3:$I$62,MATCH($A133,Simulations!$A$3:$A$62,0))&gt;0,SQRT(PI()/2)*INDEX(Simulations!$U$3:$U$62,MATCH($A133,Simulations!$A$3:$A$62,0)),1)),$D133/(INDEX(Simulations!$G$3:$G$62,MATCH($A133,Simulations!$A$3:$A$62,0))*INDEX(Simulations!$H$3:$H$62,MATCH($A133,Simulations!$A$3:$A$62,0))*IF(INDEX(Simulations!$I$3:$I$62,MATCH($A133,Simulations!$A$3:$A$62,0))&gt;0,INDEX(Simulations!$I$3:$I$62,MATCH($A133,Simulations!$A$3:$A$62,0)),1))*INDEX(Simulations!$J$3:$J$62,MATCH($A133,Simulations!$A$3:$A$62,0))*IF(INDEX(Simulations!$I$3:$I$62,MATCH($A133,Simulations!$A$3:$A$62,0))&gt;0,2*PI()*INDEX(Simulations!$T$3:$T$62,MATCH($A133,Simulations!$A$3:$A$62,0))^2*INDEX(Simulations!$U$3:$U$62,MATCH($A133,Simulations!$A$3:$A$62,0))/2^1.5*(2/3*LN($F133/INDEX(Simulations!$J$3:$J$62,MATCH($A133,Simulations!$A$3:$A$62,0)))^1.5+SQRT(LN($F133/INDEX(Simulations!$J$3:$J$62,MATCH($A133,Simulations!$A$3:$A$62,0))))+$F133/INDEX(Simulations!$J$3:$J$62,MATCH($A133,Simulations!$A$3:$A$62,0))*SQRT(PI())/2*ERFC(SQRT(LN($F133/INDEX(Simulations!$J$3:$J$62,MATCH($A133,Simulations!$A$3:$A$62,0)))))),PI()*INDEX(Simulations!$T$3:$T$62,MATCH($A133,Simulations!$A$3:$A$62,0))^2/2*(LN($F133/INDEX(Simulations!$J$3:$J$62,MATCH($A133,Simulations!$A$3:$A$62,0)))+1)))))</f>
        <v/>
      </c>
      <c r="S133" s="16" t="str">
        <f aca="false">IF(OR($A133="",ISNA(MATCH($A133,Simulations!$A$3:$A$62,0))),"",IF(N($G133)&lt;=0,0,IF($G133&lt;INDEX(Simulations!$J$3:$J$62,MATCH($A133,Simulations!$A$3:$A$62,0)),$D133/(INDEX(Simulations!$G$3:$G$62,MATCH($A133,Simulations!$A$3:$A$62,0))*INDEX(Simulations!$H$3:$H$62,MATCH($A133,Simulations!$A$3:$A$62,0))*IF(INDEX(Simulations!$I$3:$I$62,MATCH($A133,Simulations!$A$3:$A$62,0))&gt;0,INDEX(Simulations!$I$3:$I$62,MATCH($A133,Simulations!$A$3:$A$62,0)),1))*$G133*(PI()/2*INDEX(Simulations!$T$3:$T$62,MATCH($A133,Simulations!$A$3:$A$62,0))^2*IF(INDEX(Simulations!$I$3:$I$62,MATCH($A133,Simulations!$A$3:$A$62,0))&gt;0,SQRT(PI()/2)*INDEX(Simulations!$U$3:$U$62,MATCH($A133,Simulations!$A$3:$A$62,0)),1)),$D133/(INDEX(Simulations!$G$3:$G$62,MATCH($A133,Simulations!$A$3:$A$62,0))*INDEX(Simulations!$H$3:$H$62,MATCH($A133,Simulations!$A$3:$A$62,0))*IF(INDEX(Simulations!$I$3:$I$62,MATCH($A133,Simulations!$A$3:$A$62,0))&gt;0,INDEX(Simulations!$I$3:$I$62,MATCH($A133,Simulations!$A$3:$A$62,0)),1))*INDEX(Simulations!$J$3:$J$62,MATCH($A133,Simulations!$A$3:$A$62,0))*IF(INDEX(Simulations!$I$3:$I$62,MATCH($A133,Simulations!$A$3:$A$62,0))&gt;0,2*PI()*INDEX(Simulations!$T$3:$T$62,MATCH($A133,Simulations!$A$3:$A$62,0))^2*INDEX(Simulations!$U$3:$U$62,MATCH($A133,Simulations!$A$3:$A$62,0))/2^1.5*(2/3*LN($G133/INDEX(Simulations!$J$3:$J$62,MATCH($A133,Simulations!$A$3:$A$62,0)))^1.5+SQRT(LN($G133/INDEX(Simulations!$J$3:$J$62,MATCH($A133,Simulations!$A$3:$A$62,0))))+$G133/INDEX(Simulations!$J$3:$J$62,MATCH($A133,Simulations!$A$3:$A$62,0))*SQRT(PI())/2*ERFC(SQRT(LN($G133/INDEX(Simulations!$J$3:$J$62,MATCH($A133,Simulations!$A$3:$A$62,0)))))),PI()*INDEX(Simulations!$T$3:$T$62,MATCH($A133,Simulations!$A$3:$A$62,0))^2/2*(LN($G133/INDEX(Simulations!$J$3:$J$62,MATCH($A133,Simulations!$A$3:$A$62,0)))+1)))))</f>
        <v/>
      </c>
      <c r="T133" s="16" t="str">
        <f aca="false">IF(OR($A133="",ISNA(MATCH($A133,Simulations!$A$3:$A$62,0))),"",IF(N($H133)&lt;=0,0,IF($H133&lt;INDEX(Simulations!$J$3:$J$62,MATCH($A133,Simulations!$A$3:$A$62,0)),$D133/(INDEX(Simulations!$G$3:$G$62,MATCH($A133,Simulations!$A$3:$A$62,0))*INDEX(Simulations!$H$3:$H$62,MATCH($A133,Simulations!$A$3:$A$62,0))*IF(INDEX(Simulations!$I$3:$I$62,MATCH($A133,Simulations!$A$3:$A$62,0))&gt;0,INDEX(Simulations!$I$3:$I$62,MATCH($A133,Simulations!$A$3:$A$62,0)),1))*$H133*(PI()/2*INDEX(Simulations!$T$3:$T$62,MATCH($A133,Simulations!$A$3:$A$62,0))^2*IF(INDEX(Simulations!$I$3:$I$62,MATCH($A133,Simulations!$A$3:$A$62,0))&gt;0,SQRT(PI()/2)*INDEX(Simulations!$U$3:$U$62,MATCH($A133,Simulations!$A$3:$A$62,0)),1)),$D133/(INDEX(Simulations!$G$3:$G$62,MATCH($A133,Simulations!$A$3:$A$62,0))*INDEX(Simulations!$H$3:$H$62,MATCH($A133,Simulations!$A$3:$A$62,0))*IF(INDEX(Simulations!$I$3:$I$62,MATCH($A133,Simulations!$A$3:$A$62,0))&gt;0,INDEX(Simulations!$I$3:$I$62,MATCH($A133,Simulations!$A$3:$A$62,0)),1))*INDEX(Simulations!$J$3:$J$62,MATCH($A133,Simulations!$A$3:$A$62,0))*IF(INDEX(Simulations!$I$3:$I$62,MATCH($A133,Simulations!$A$3:$A$62,0))&gt;0,2*PI()*INDEX(Simulations!$T$3:$T$62,MATCH($A133,Simulations!$A$3:$A$62,0))^2*INDEX(Simulations!$U$3:$U$62,MATCH($A133,Simulations!$A$3:$A$62,0))/2^1.5*(2/3*LN($H133/INDEX(Simulations!$J$3:$J$62,MATCH($A133,Simulations!$A$3:$A$62,0)))^1.5+SQRT(LN($H133/INDEX(Simulations!$J$3:$J$62,MATCH($A133,Simulations!$A$3:$A$62,0))))+$H133/INDEX(Simulations!$J$3:$J$62,MATCH($A133,Simulations!$A$3:$A$62,0))*SQRT(PI())/2*ERFC(SQRT(LN($H133/INDEX(Simulations!$J$3:$J$62,MATCH($A133,Simulations!$A$3:$A$62,0)))))),PI()*INDEX(Simulations!$T$3:$T$62,MATCH($A133,Simulations!$A$3:$A$62,0))^2/2*(LN($H133/INDEX(Simulations!$J$3:$J$62,MATCH($A133,Simulations!$A$3:$A$62,0)))+1)))))</f>
        <v/>
      </c>
      <c r="U133" s="18" t="str">
        <f aca="false">IF(OR(OR($A133="",ISNA(MATCH($A133,Simulations!$A$3:$A$62,0))),N($C133)&lt;=0),"",SQRT(2*$C133*1000000/(INDEX(Simulations!$J$3:$J$62,MATCH($A133,Simulations!$A$3:$A$62,0))*1000))/INDEX(Simulations!$T$3:$T$62,MATCH($A133,Simulations!$A$3:$A$62,0)))</f>
        <v/>
      </c>
      <c r="V133" s="19" t="str">
        <f aca="false">IF($A133="","",IF(ISNA(MATCH($A133,Simulations!$A$3:$A$62,0)),"✖ Sim ID not found on the Simulations sheet",IF($P133&gt;=1,"✖ brightness &gt;= sampling frequency: completely saturated (D too small, c too large)",IF($P133&gt;0.1,"⚠ brightness &gt; 10% of the sampling frequency: focus starts to saturate",IF(N($U133)&gt;0.1,"⚠ diffusion step &gt; 10% of wr: raise the sampling frequency",IF(MAX($E133:$H133)=0,"⚠ no brightness set","✔ OK"))))))</f>
        <v/>
      </c>
    </row>
    <row r="134" customFormat="false" ht="15" hidden="false" customHeight="false" outlineLevel="0" collapsed="false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4"/>
      <c r="O134" s="18" t="str">
        <f aca="false">IF(OR($A134="",ISNA(MATCH($A134,Simulations!$A$3:$A$62,0))),"",IF(INDEX(Simulations!$I$3:$I$62,MATCH($A134,Simulations!$A$3:$A$62,0))&gt;0,$D134/(INDEX(Simulations!$G$3:$G$62,MATCH($A134,Simulations!$A$3:$A$62,0))*INDEX(Simulations!$H$3:$H$62,MATCH($A134,Simulations!$A$3:$A$62,0))*IF(INDEX(Simulations!$I$3:$I$62,MATCH($A134,Simulations!$A$3:$A$62,0))&gt;0,INDEX(Simulations!$I$3:$I$62,MATCH($A134,Simulations!$A$3:$A$62,0)),1))/1E-024/6.022E+023/0.000000001,""))</f>
        <v/>
      </c>
      <c r="P134" s="20" t="str">
        <f aca="false">IF(OR($A134="",ISNA(MATCH($A134,Simulations!$A$3:$A$62,0))),"",MAX($E134:$H134)/INDEX(Simulations!$J$3:$J$62,MATCH($A134,Simulations!$A$3:$A$62,0)))</f>
        <v/>
      </c>
      <c r="Q134" s="16" t="str">
        <f aca="false">IF(OR($A134="",ISNA(MATCH($A134,Simulations!$A$3:$A$62,0))),"",IF(N($E134)&lt;=0,0,IF($E134&lt;INDEX(Simulations!$J$3:$J$62,MATCH($A134,Simulations!$A$3:$A$62,0)),$D134/(INDEX(Simulations!$G$3:$G$62,MATCH($A134,Simulations!$A$3:$A$62,0))*INDEX(Simulations!$H$3:$H$62,MATCH($A134,Simulations!$A$3:$A$62,0))*IF(INDEX(Simulations!$I$3:$I$62,MATCH($A134,Simulations!$A$3:$A$62,0))&gt;0,INDEX(Simulations!$I$3:$I$62,MATCH($A134,Simulations!$A$3:$A$62,0)),1))*$E134*(PI()/2*INDEX(Simulations!$T$3:$T$62,MATCH($A134,Simulations!$A$3:$A$62,0))^2*IF(INDEX(Simulations!$I$3:$I$62,MATCH($A134,Simulations!$A$3:$A$62,0))&gt;0,SQRT(PI()/2)*INDEX(Simulations!$U$3:$U$62,MATCH($A134,Simulations!$A$3:$A$62,0)),1)),$D134/(INDEX(Simulations!$G$3:$G$62,MATCH($A134,Simulations!$A$3:$A$62,0))*INDEX(Simulations!$H$3:$H$62,MATCH($A134,Simulations!$A$3:$A$62,0))*IF(INDEX(Simulations!$I$3:$I$62,MATCH($A134,Simulations!$A$3:$A$62,0))&gt;0,INDEX(Simulations!$I$3:$I$62,MATCH($A134,Simulations!$A$3:$A$62,0)),1))*INDEX(Simulations!$J$3:$J$62,MATCH($A134,Simulations!$A$3:$A$62,0))*IF(INDEX(Simulations!$I$3:$I$62,MATCH($A134,Simulations!$A$3:$A$62,0))&gt;0,2*PI()*INDEX(Simulations!$T$3:$T$62,MATCH($A134,Simulations!$A$3:$A$62,0))^2*INDEX(Simulations!$U$3:$U$62,MATCH($A134,Simulations!$A$3:$A$62,0))/2^1.5*(2/3*LN($E134/INDEX(Simulations!$J$3:$J$62,MATCH($A134,Simulations!$A$3:$A$62,0)))^1.5+SQRT(LN($E134/INDEX(Simulations!$J$3:$J$62,MATCH($A134,Simulations!$A$3:$A$62,0))))+$E134/INDEX(Simulations!$J$3:$J$62,MATCH($A134,Simulations!$A$3:$A$62,0))*SQRT(PI())/2*ERFC(SQRT(LN($E134/INDEX(Simulations!$J$3:$J$62,MATCH($A134,Simulations!$A$3:$A$62,0)))))),PI()*INDEX(Simulations!$T$3:$T$62,MATCH($A134,Simulations!$A$3:$A$62,0))^2/2*(LN($E134/INDEX(Simulations!$J$3:$J$62,MATCH($A134,Simulations!$A$3:$A$62,0)))+1)))))</f>
        <v/>
      </c>
      <c r="R134" s="16" t="str">
        <f aca="false">IF(OR($A134="",ISNA(MATCH($A134,Simulations!$A$3:$A$62,0))),"",IF(N($F134)&lt;=0,0,IF($F134&lt;INDEX(Simulations!$J$3:$J$62,MATCH($A134,Simulations!$A$3:$A$62,0)),$D134/(INDEX(Simulations!$G$3:$G$62,MATCH($A134,Simulations!$A$3:$A$62,0))*INDEX(Simulations!$H$3:$H$62,MATCH($A134,Simulations!$A$3:$A$62,0))*IF(INDEX(Simulations!$I$3:$I$62,MATCH($A134,Simulations!$A$3:$A$62,0))&gt;0,INDEX(Simulations!$I$3:$I$62,MATCH($A134,Simulations!$A$3:$A$62,0)),1))*$F134*(PI()/2*INDEX(Simulations!$T$3:$T$62,MATCH($A134,Simulations!$A$3:$A$62,0))^2*IF(INDEX(Simulations!$I$3:$I$62,MATCH($A134,Simulations!$A$3:$A$62,0))&gt;0,SQRT(PI()/2)*INDEX(Simulations!$U$3:$U$62,MATCH($A134,Simulations!$A$3:$A$62,0)),1)),$D134/(INDEX(Simulations!$G$3:$G$62,MATCH($A134,Simulations!$A$3:$A$62,0))*INDEX(Simulations!$H$3:$H$62,MATCH($A134,Simulations!$A$3:$A$62,0))*IF(INDEX(Simulations!$I$3:$I$62,MATCH($A134,Simulations!$A$3:$A$62,0))&gt;0,INDEX(Simulations!$I$3:$I$62,MATCH($A134,Simulations!$A$3:$A$62,0)),1))*INDEX(Simulations!$J$3:$J$62,MATCH($A134,Simulations!$A$3:$A$62,0))*IF(INDEX(Simulations!$I$3:$I$62,MATCH($A134,Simulations!$A$3:$A$62,0))&gt;0,2*PI()*INDEX(Simulations!$T$3:$T$62,MATCH($A134,Simulations!$A$3:$A$62,0))^2*INDEX(Simulations!$U$3:$U$62,MATCH($A134,Simulations!$A$3:$A$62,0))/2^1.5*(2/3*LN($F134/INDEX(Simulations!$J$3:$J$62,MATCH($A134,Simulations!$A$3:$A$62,0)))^1.5+SQRT(LN($F134/INDEX(Simulations!$J$3:$J$62,MATCH($A134,Simulations!$A$3:$A$62,0))))+$F134/INDEX(Simulations!$J$3:$J$62,MATCH($A134,Simulations!$A$3:$A$62,0))*SQRT(PI())/2*ERFC(SQRT(LN($F134/INDEX(Simulations!$J$3:$J$62,MATCH($A134,Simulations!$A$3:$A$62,0)))))),PI()*INDEX(Simulations!$T$3:$T$62,MATCH($A134,Simulations!$A$3:$A$62,0))^2/2*(LN($F134/INDEX(Simulations!$J$3:$J$62,MATCH($A134,Simulations!$A$3:$A$62,0)))+1)))))</f>
        <v/>
      </c>
      <c r="S134" s="16" t="str">
        <f aca="false">IF(OR($A134="",ISNA(MATCH($A134,Simulations!$A$3:$A$62,0))),"",IF(N($G134)&lt;=0,0,IF($G134&lt;INDEX(Simulations!$J$3:$J$62,MATCH($A134,Simulations!$A$3:$A$62,0)),$D134/(INDEX(Simulations!$G$3:$G$62,MATCH($A134,Simulations!$A$3:$A$62,0))*INDEX(Simulations!$H$3:$H$62,MATCH($A134,Simulations!$A$3:$A$62,0))*IF(INDEX(Simulations!$I$3:$I$62,MATCH($A134,Simulations!$A$3:$A$62,0))&gt;0,INDEX(Simulations!$I$3:$I$62,MATCH($A134,Simulations!$A$3:$A$62,0)),1))*$G134*(PI()/2*INDEX(Simulations!$T$3:$T$62,MATCH($A134,Simulations!$A$3:$A$62,0))^2*IF(INDEX(Simulations!$I$3:$I$62,MATCH($A134,Simulations!$A$3:$A$62,0))&gt;0,SQRT(PI()/2)*INDEX(Simulations!$U$3:$U$62,MATCH($A134,Simulations!$A$3:$A$62,0)),1)),$D134/(INDEX(Simulations!$G$3:$G$62,MATCH($A134,Simulations!$A$3:$A$62,0))*INDEX(Simulations!$H$3:$H$62,MATCH($A134,Simulations!$A$3:$A$62,0))*IF(INDEX(Simulations!$I$3:$I$62,MATCH($A134,Simulations!$A$3:$A$62,0))&gt;0,INDEX(Simulations!$I$3:$I$62,MATCH($A134,Simulations!$A$3:$A$62,0)),1))*INDEX(Simulations!$J$3:$J$62,MATCH($A134,Simulations!$A$3:$A$62,0))*IF(INDEX(Simulations!$I$3:$I$62,MATCH($A134,Simulations!$A$3:$A$62,0))&gt;0,2*PI()*INDEX(Simulations!$T$3:$T$62,MATCH($A134,Simulations!$A$3:$A$62,0))^2*INDEX(Simulations!$U$3:$U$62,MATCH($A134,Simulations!$A$3:$A$62,0))/2^1.5*(2/3*LN($G134/INDEX(Simulations!$J$3:$J$62,MATCH($A134,Simulations!$A$3:$A$62,0)))^1.5+SQRT(LN($G134/INDEX(Simulations!$J$3:$J$62,MATCH($A134,Simulations!$A$3:$A$62,0))))+$G134/INDEX(Simulations!$J$3:$J$62,MATCH($A134,Simulations!$A$3:$A$62,0))*SQRT(PI())/2*ERFC(SQRT(LN($G134/INDEX(Simulations!$J$3:$J$62,MATCH($A134,Simulations!$A$3:$A$62,0)))))),PI()*INDEX(Simulations!$T$3:$T$62,MATCH($A134,Simulations!$A$3:$A$62,0))^2/2*(LN($G134/INDEX(Simulations!$J$3:$J$62,MATCH($A134,Simulations!$A$3:$A$62,0)))+1)))))</f>
        <v/>
      </c>
      <c r="T134" s="16" t="str">
        <f aca="false">IF(OR($A134="",ISNA(MATCH($A134,Simulations!$A$3:$A$62,0))),"",IF(N($H134)&lt;=0,0,IF($H134&lt;INDEX(Simulations!$J$3:$J$62,MATCH($A134,Simulations!$A$3:$A$62,0)),$D134/(INDEX(Simulations!$G$3:$G$62,MATCH($A134,Simulations!$A$3:$A$62,0))*INDEX(Simulations!$H$3:$H$62,MATCH($A134,Simulations!$A$3:$A$62,0))*IF(INDEX(Simulations!$I$3:$I$62,MATCH($A134,Simulations!$A$3:$A$62,0))&gt;0,INDEX(Simulations!$I$3:$I$62,MATCH($A134,Simulations!$A$3:$A$62,0)),1))*$H134*(PI()/2*INDEX(Simulations!$T$3:$T$62,MATCH($A134,Simulations!$A$3:$A$62,0))^2*IF(INDEX(Simulations!$I$3:$I$62,MATCH($A134,Simulations!$A$3:$A$62,0))&gt;0,SQRT(PI()/2)*INDEX(Simulations!$U$3:$U$62,MATCH($A134,Simulations!$A$3:$A$62,0)),1)),$D134/(INDEX(Simulations!$G$3:$G$62,MATCH($A134,Simulations!$A$3:$A$62,0))*INDEX(Simulations!$H$3:$H$62,MATCH($A134,Simulations!$A$3:$A$62,0))*IF(INDEX(Simulations!$I$3:$I$62,MATCH($A134,Simulations!$A$3:$A$62,0))&gt;0,INDEX(Simulations!$I$3:$I$62,MATCH($A134,Simulations!$A$3:$A$62,0)),1))*INDEX(Simulations!$J$3:$J$62,MATCH($A134,Simulations!$A$3:$A$62,0))*IF(INDEX(Simulations!$I$3:$I$62,MATCH($A134,Simulations!$A$3:$A$62,0))&gt;0,2*PI()*INDEX(Simulations!$T$3:$T$62,MATCH($A134,Simulations!$A$3:$A$62,0))^2*INDEX(Simulations!$U$3:$U$62,MATCH($A134,Simulations!$A$3:$A$62,0))/2^1.5*(2/3*LN($H134/INDEX(Simulations!$J$3:$J$62,MATCH($A134,Simulations!$A$3:$A$62,0)))^1.5+SQRT(LN($H134/INDEX(Simulations!$J$3:$J$62,MATCH($A134,Simulations!$A$3:$A$62,0))))+$H134/INDEX(Simulations!$J$3:$J$62,MATCH($A134,Simulations!$A$3:$A$62,0))*SQRT(PI())/2*ERFC(SQRT(LN($H134/INDEX(Simulations!$J$3:$J$62,MATCH($A134,Simulations!$A$3:$A$62,0)))))),PI()*INDEX(Simulations!$T$3:$T$62,MATCH($A134,Simulations!$A$3:$A$62,0))^2/2*(LN($H134/INDEX(Simulations!$J$3:$J$62,MATCH($A134,Simulations!$A$3:$A$62,0)))+1)))))</f>
        <v/>
      </c>
      <c r="U134" s="18" t="str">
        <f aca="false">IF(OR(OR($A134="",ISNA(MATCH($A134,Simulations!$A$3:$A$62,0))),N($C134)&lt;=0),"",SQRT(2*$C134*1000000/(INDEX(Simulations!$J$3:$J$62,MATCH($A134,Simulations!$A$3:$A$62,0))*1000))/INDEX(Simulations!$T$3:$T$62,MATCH($A134,Simulations!$A$3:$A$62,0)))</f>
        <v/>
      </c>
      <c r="V134" s="19" t="str">
        <f aca="false">IF($A134="","",IF(ISNA(MATCH($A134,Simulations!$A$3:$A$62,0)),"✖ Sim ID not found on the Simulations sheet",IF($P134&gt;=1,"✖ brightness &gt;= sampling frequency: completely saturated (D too small, c too large)",IF($P134&gt;0.1,"⚠ brightness &gt; 10% of the sampling frequency: focus starts to saturate",IF(N($U134)&gt;0.1,"⚠ diffusion step &gt; 10% of wr: raise the sampling frequency",IF(MAX($E134:$H134)=0,"⚠ no brightness set","✔ OK"))))))</f>
        <v/>
      </c>
    </row>
    <row r="135" customFormat="false" ht="15" hidden="false" customHeight="false" outlineLevel="0" collapsed="false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4"/>
      <c r="O135" s="18" t="str">
        <f aca="false">IF(OR($A135="",ISNA(MATCH($A135,Simulations!$A$3:$A$62,0))),"",IF(INDEX(Simulations!$I$3:$I$62,MATCH($A135,Simulations!$A$3:$A$62,0))&gt;0,$D135/(INDEX(Simulations!$G$3:$G$62,MATCH($A135,Simulations!$A$3:$A$62,0))*INDEX(Simulations!$H$3:$H$62,MATCH($A135,Simulations!$A$3:$A$62,0))*IF(INDEX(Simulations!$I$3:$I$62,MATCH($A135,Simulations!$A$3:$A$62,0))&gt;0,INDEX(Simulations!$I$3:$I$62,MATCH($A135,Simulations!$A$3:$A$62,0)),1))/1E-024/6.022E+023/0.000000001,""))</f>
        <v/>
      </c>
      <c r="P135" s="20" t="str">
        <f aca="false">IF(OR($A135="",ISNA(MATCH($A135,Simulations!$A$3:$A$62,0))),"",MAX($E135:$H135)/INDEX(Simulations!$J$3:$J$62,MATCH($A135,Simulations!$A$3:$A$62,0)))</f>
        <v/>
      </c>
      <c r="Q135" s="16" t="str">
        <f aca="false">IF(OR($A135="",ISNA(MATCH($A135,Simulations!$A$3:$A$62,0))),"",IF(N($E135)&lt;=0,0,IF($E135&lt;INDEX(Simulations!$J$3:$J$62,MATCH($A135,Simulations!$A$3:$A$62,0)),$D135/(INDEX(Simulations!$G$3:$G$62,MATCH($A135,Simulations!$A$3:$A$62,0))*INDEX(Simulations!$H$3:$H$62,MATCH($A135,Simulations!$A$3:$A$62,0))*IF(INDEX(Simulations!$I$3:$I$62,MATCH($A135,Simulations!$A$3:$A$62,0))&gt;0,INDEX(Simulations!$I$3:$I$62,MATCH($A135,Simulations!$A$3:$A$62,0)),1))*$E135*(PI()/2*INDEX(Simulations!$T$3:$T$62,MATCH($A135,Simulations!$A$3:$A$62,0))^2*IF(INDEX(Simulations!$I$3:$I$62,MATCH($A135,Simulations!$A$3:$A$62,0))&gt;0,SQRT(PI()/2)*INDEX(Simulations!$U$3:$U$62,MATCH($A135,Simulations!$A$3:$A$62,0)),1)),$D135/(INDEX(Simulations!$G$3:$G$62,MATCH($A135,Simulations!$A$3:$A$62,0))*INDEX(Simulations!$H$3:$H$62,MATCH($A135,Simulations!$A$3:$A$62,0))*IF(INDEX(Simulations!$I$3:$I$62,MATCH($A135,Simulations!$A$3:$A$62,0))&gt;0,INDEX(Simulations!$I$3:$I$62,MATCH($A135,Simulations!$A$3:$A$62,0)),1))*INDEX(Simulations!$J$3:$J$62,MATCH($A135,Simulations!$A$3:$A$62,0))*IF(INDEX(Simulations!$I$3:$I$62,MATCH($A135,Simulations!$A$3:$A$62,0))&gt;0,2*PI()*INDEX(Simulations!$T$3:$T$62,MATCH($A135,Simulations!$A$3:$A$62,0))^2*INDEX(Simulations!$U$3:$U$62,MATCH($A135,Simulations!$A$3:$A$62,0))/2^1.5*(2/3*LN($E135/INDEX(Simulations!$J$3:$J$62,MATCH($A135,Simulations!$A$3:$A$62,0)))^1.5+SQRT(LN($E135/INDEX(Simulations!$J$3:$J$62,MATCH($A135,Simulations!$A$3:$A$62,0))))+$E135/INDEX(Simulations!$J$3:$J$62,MATCH($A135,Simulations!$A$3:$A$62,0))*SQRT(PI())/2*ERFC(SQRT(LN($E135/INDEX(Simulations!$J$3:$J$62,MATCH($A135,Simulations!$A$3:$A$62,0)))))),PI()*INDEX(Simulations!$T$3:$T$62,MATCH($A135,Simulations!$A$3:$A$62,0))^2/2*(LN($E135/INDEX(Simulations!$J$3:$J$62,MATCH($A135,Simulations!$A$3:$A$62,0)))+1)))))</f>
        <v/>
      </c>
      <c r="R135" s="16" t="str">
        <f aca="false">IF(OR($A135="",ISNA(MATCH($A135,Simulations!$A$3:$A$62,0))),"",IF(N($F135)&lt;=0,0,IF($F135&lt;INDEX(Simulations!$J$3:$J$62,MATCH($A135,Simulations!$A$3:$A$62,0)),$D135/(INDEX(Simulations!$G$3:$G$62,MATCH($A135,Simulations!$A$3:$A$62,0))*INDEX(Simulations!$H$3:$H$62,MATCH($A135,Simulations!$A$3:$A$62,0))*IF(INDEX(Simulations!$I$3:$I$62,MATCH($A135,Simulations!$A$3:$A$62,0))&gt;0,INDEX(Simulations!$I$3:$I$62,MATCH($A135,Simulations!$A$3:$A$62,0)),1))*$F135*(PI()/2*INDEX(Simulations!$T$3:$T$62,MATCH($A135,Simulations!$A$3:$A$62,0))^2*IF(INDEX(Simulations!$I$3:$I$62,MATCH($A135,Simulations!$A$3:$A$62,0))&gt;0,SQRT(PI()/2)*INDEX(Simulations!$U$3:$U$62,MATCH($A135,Simulations!$A$3:$A$62,0)),1)),$D135/(INDEX(Simulations!$G$3:$G$62,MATCH($A135,Simulations!$A$3:$A$62,0))*INDEX(Simulations!$H$3:$H$62,MATCH($A135,Simulations!$A$3:$A$62,0))*IF(INDEX(Simulations!$I$3:$I$62,MATCH($A135,Simulations!$A$3:$A$62,0))&gt;0,INDEX(Simulations!$I$3:$I$62,MATCH($A135,Simulations!$A$3:$A$62,0)),1))*INDEX(Simulations!$J$3:$J$62,MATCH($A135,Simulations!$A$3:$A$62,0))*IF(INDEX(Simulations!$I$3:$I$62,MATCH($A135,Simulations!$A$3:$A$62,0))&gt;0,2*PI()*INDEX(Simulations!$T$3:$T$62,MATCH($A135,Simulations!$A$3:$A$62,0))^2*INDEX(Simulations!$U$3:$U$62,MATCH($A135,Simulations!$A$3:$A$62,0))/2^1.5*(2/3*LN($F135/INDEX(Simulations!$J$3:$J$62,MATCH($A135,Simulations!$A$3:$A$62,0)))^1.5+SQRT(LN($F135/INDEX(Simulations!$J$3:$J$62,MATCH($A135,Simulations!$A$3:$A$62,0))))+$F135/INDEX(Simulations!$J$3:$J$62,MATCH($A135,Simulations!$A$3:$A$62,0))*SQRT(PI())/2*ERFC(SQRT(LN($F135/INDEX(Simulations!$J$3:$J$62,MATCH($A135,Simulations!$A$3:$A$62,0)))))),PI()*INDEX(Simulations!$T$3:$T$62,MATCH($A135,Simulations!$A$3:$A$62,0))^2/2*(LN($F135/INDEX(Simulations!$J$3:$J$62,MATCH($A135,Simulations!$A$3:$A$62,0)))+1)))))</f>
        <v/>
      </c>
      <c r="S135" s="16" t="str">
        <f aca="false">IF(OR($A135="",ISNA(MATCH($A135,Simulations!$A$3:$A$62,0))),"",IF(N($G135)&lt;=0,0,IF($G135&lt;INDEX(Simulations!$J$3:$J$62,MATCH($A135,Simulations!$A$3:$A$62,0)),$D135/(INDEX(Simulations!$G$3:$G$62,MATCH($A135,Simulations!$A$3:$A$62,0))*INDEX(Simulations!$H$3:$H$62,MATCH($A135,Simulations!$A$3:$A$62,0))*IF(INDEX(Simulations!$I$3:$I$62,MATCH($A135,Simulations!$A$3:$A$62,0))&gt;0,INDEX(Simulations!$I$3:$I$62,MATCH($A135,Simulations!$A$3:$A$62,0)),1))*$G135*(PI()/2*INDEX(Simulations!$T$3:$T$62,MATCH($A135,Simulations!$A$3:$A$62,0))^2*IF(INDEX(Simulations!$I$3:$I$62,MATCH($A135,Simulations!$A$3:$A$62,0))&gt;0,SQRT(PI()/2)*INDEX(Simulations!$U$3:$U$62,MATCH($A135,Simulations!$A$3:$A$62,0)),1)),$D135/(INDEX(Simulations!$G$3:$G$62,MATCH($A135,Simulations!$A$3:$A$62,0))*INDEX(Simulations!$H$3:$H$62,MATCH($A135,Simulations!$A$3:$A$62,0))*IF(INDEX(Simulations!$I$3:$I$62,MATCH($A135,Simulations!$A$3:$A$62,0))&gt;0,INDEX(Simulations!$I$3:$I$62,MATCH($A135,Simulations!$A$3:$A$62,0)),1))*INDEX(Simulations!$J$3:$J$62,MATCH($A135,Simulations!$A$3:$A$62,0))*IF(INDEX(Simulations!$I$3:$I$62,MATCH($A135,Simulations!$A$3:$A$62,0))&gt;0,2*PI()*INDEX(Simulations!$T$3:$T$62,MATCH($A135,Simulations!$A$3:$A$62,0))^2*INDEX(Simulations!$U$3:$U$62,MATCH($A135,Simulations!$A$3:$A$62,0))/2^1.5*(2/3*LN($G135/INDEX(Simulations!$J$3:$J$62,MATCH($A135,Simulations!$A$3:$A$62,0)))^1.5+SQRT(LN($G135/INDEX(Simulations!$J$3:$J$62,MATCH($A135,Simulations!$A$3:$A$62,0))))+$G135/INDEX(Simulations!$J$3:$J$62,MATCH($A135,Simulations!$A$3:$A$62,0))*SQRT(PI())/2*ERFC(SQRT(LN($G135/INDEX(Simulations!$J$3:$J$62,MATCH($A135,Simulations!$A$3:$A$62,0)))))),PI()*INDEX(Simulations!$T$3:$T$62,MATCH($A135,Simulations!$A$3:$A$62,0))^2/2*(LN($G135/INDEX(Simulations!$J$3:$J$62,MATCH($A135,Simulations!$A$3:$A$62,0)))+1)))))</f>
        <v/>
      </c>
      <c r="T135" s="16" t="str">
        <f aca="false">IF(OR($A135="",ISNA(MATCH($A135,Simulations!$A$3:$A$62,0))),"",IF(N($H135)&lt;=0,0,IF($H135&lt;INDEX(Simulations!$J$3:$J$62,MATCH($A135,Simulations!$A$3:$A$62,0)),$D135/(INDEX(Simulations!$G$3:$G$62,MATCH($A135,Simulations!$A$3:$A$62,0))*INDEX(Simulations!$H$3:$H$62,MATCH($A135,Simulations!$A$3:$A$62,0))*IF(INDEX(Simulations!$I$3:$I$62,MATCH($A135,Simulations!$A$3:$A$62,0))&gt;0,INDEX(Simulations!$I$3:$I$62,MATCH($A135,Simulations!$A$3:$A$62,0)),1))*$H135*(PI()/2*INDEX(Simulations!$T$3:$T$62,MATCH($A135,Simulations!$A$3:$A$62,0))^2*IF(INDEX(Simulations!$I$3:$I$62,MATCH($A135,Simulations!$A$3:$A$62,0))&gt;0,SQRT(PI()/2)*INDEX(Simulations!$U$3:$U$62,MATCH($A135,Simulations!$A$3:$A$62,0)),1)),$D135/(INDEX(Simulations!$G$3:$G$62,MATCH($A135,Simulations!$A$3:$A$62,0))*INDEX(Simulations!$H$3:$H$62,MATCH($A135,Simulations!$A$3:$A$62,0))*IF(INDEX(Simulations!$I$3:$I$62,MATCH($A135,Simulations!$A$3:$A$62,0))&gt;0,INDEX(Simulations!$I$3:$I$62,MATCH($A135,Simulations!$A$3:$A$62,0)),1))*INDEX(Simulations!$J$3:$J$62,MATCH($A135,Simulations!$A$3:$A$62,0))*IF(INDEX(Simulations!$I$3:$I$62,MATCH($A135,Simulations!$A$3:$A$62,0))&gt;0,2*PI()*INDEX(Simulations!$T$3:$T$62,MATCH($A135,Simulations!$A$3:$A$62,0))^2*INDEX(Simulations!$U$3:$U$62,MATCH($A135,Simulations!$A$3:$A$62,0))/2^1.5*(2/3*LN($H135/INDEX(Simulations!$J$3:$J$62,MATCH($A135,Simulations!$A$3:$A$62,0)))^1.5+SQRT(LN($H135/INDEX(Simulations!$J$3:$J$62,MATCH($A135,Simulations!$A$3:$A$62,0))))+$H135/INDEX(Simulations!$J$3:$J$62,MATCH($A135,Simulations!$A$3:$A$62,0))*SQRT(PI())/2*ERFC(SQRT(LN($H135/INDEX(Simulations!$J$3:$J$62,MATCH($A135,Simulations!$A$3:$A$62,0)))))),PI()*INDEX(Simulations!$T$3:$T$62,MATCH($A135,Simulations!$A$3:$A$62,0))^2/2*(LN($H135/INDEX(Simulations!$J$3:$J$62,MATCH($A135,Simulations!$A$3:$A$62,0)))+1)))))</f>
        <v/>
      </c>
      <c r="U135" s="18" t="str">
        <f aca="false">IF(OR(OR($A135="",ISNA(MATCH($A135,Simulations!$A$3:$A$62,0))),N($C135)&lt;=0),"",SQRT(2*$C135*1000000/(INDEX(Simulations!$J$3:$J$62,MATCH($A135,Simulations!$A$3:$A$62,0))*1000))/INDEX(Simulations!$T$3:$T$62,MATCH($A135,Simulations!$A$3:$A$62,0)))</f>
        <v/>
      </c>
      <c r="V135" s="19" t="str">
        <f aca="false">IF($A135="","",IF(ISNA(MATCH($A135,Simulations!$A$3:$A$62,0)),"✖ Sim ID not found on the Simulations sheet",IF($P135&gt;=1,"✖ brightness &gt;= sampling frequency: completely saturated (D too small, c too large)",IF($P135&gt;0.1,"⚠ brightness &gt; 10% of the sampling frequency: focus starts to saturate",IF(N($U135)&gt;0.1,"⚠ diffusion step &gt; 10% of wr: raise the sampling frequency",IF(MAX($E135:$H135)=0,"⚠ no brightness set","✔ OK"))))))</f>
        <v/>
      </c>
    </row>
    <row r="136" customFormat="false" ht="15" hidden="false" customHeight="false" outlineLevel="0" collapsed="false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4"/>
      <c r="O136" s="18" t="str">
        <f aca="false">IF(OR($A136="",ISNA(MATCH($A136,Simulations!$A$3:$A$62,0))),"",IF(INDEX(Simulations!$I$3:$I$62,MATCH($A136,Simulations!$A$3:$A$62,0))&gt;0,$D136/(INDEX(Simulations!$G$3:$G$62,MATCH($A136,Simulations!$A$3:$A$62,0))*INDEX(Simulations!$H$3:$H$62,MATCH($A136,Simulations!$A$3:$A$62,0))*IF(INDEX(Simulations!$I$3:$I$62,MATCH($A136,Simulations!$A$3:$A$62,0))&gt;0,INDEX(Simulations!$I$3:$I$62,MATCH($A136,Simulations!$A$3:$A$62,0)),1))/1E-024/6.022E+023/0.000000001,""))</f>
        <v/>
      </c>
      <c r="P136" s="20" t="str">
        <f aca="false">IF(OR($A136="",ISNA(MATCH($A136,Simulations!$A$3:$A$62,0))),"",MAX($E136:$H136)/INDEX(Simulations!$J$3:$J$62,MATCH($A136,Simulations!$A$3:$A$62,0)))</f>
        <v/>
      </c>
      <c r="Q136" s="16" t="str">
        <f aca="false">IF(OR($A136="",ISNA(MATCH($A136,Simulations!$A$3:$A$62,0))),"",IF(N($E136)&lt;=0,0,IF($E136&lt;INDEX(Simulations!$J$3:$J$62,MATCH($A136,Simulations!$A$3:$A$62,0)),$D136/(INDEX(Simulations!$G$3:$G$62,MATCH($A136,Simulations!$A$3:$A$62,0))*INDEX(Simulations!$H$3:$H$62,MATCH($A136,Simulations!$A$3:$A$62,0))*IF(INDEX(Simulations!$I$3:$I$62,MATCH($A136,Simulations!$A$3:$A$62,0))&gt;0,INDEX(Simulations!$I$3:$I$62,MATCH($A136,Simulations!$A$3:$A$62,0)),1))*$E136*(PI()/2*INDEX(Simulations!$T$3:$T$62,MATCH($A136,Simulations!$A$3:$A$62,0))^2*IF(INDEX(Simulations!$I$3:$I$62,MATCH($A136,Simulations!$A$3:$A$62,0))&gt;0,SQRT(PI()/2)*INDEX(Simulations!$U$3:$U$62,MATCH($A136,Simulations!$A$3:$A$62,0)),1)),$D136/(INDEX(Simulations!$G$3:$G$62,MATCH($A136,Simulations!$A$3:$A$62,0))*INDEX(Simulations!$H$3:$H$62,MATCH($A136,Simulations!$A$3:$A$62,0))*IF(INDEX(Simulations!$I$3:$I$62,MATCH($A136,Simulations!$A$3:$A$62,0))&gt;0,INDEX(Simulations!$I$3:$I$62,MATCH($A136,Simulations!$A$3:$A$62,0)),1))*INDEX(Simulations!$J$3:$J$62,MATCH($A136,Simulations!$A$3:$A$62,0))*IF(INDEX(Simulations!$I$3:$I$62,MATCH($A136,Simulations!$A$3:$A$62,0))&gt;0,2*PI()*INDEX(Simulations!$T$3:$T$62,MATCH($A136,Simulations!$A$3:$A$62,0))^2*INDEX(Simulations!$U$3:$U$62,MATCH($A136,Simulations!$A$3:$A$62,0))/2^1.5*(2/3*LN($E136/INDEX(Simulations!$J$3:$J$62,MATCH($A136,Simulations!$A$3:$A$62,0)))^1.5+SQRT(LN($E136/INDEX(Simulations!$J$3:$J$62,MATCH($A136,Simulations!$A$3:$A$62,0))))+$E136/INDEX(Simulations!$J$3:$J$62,MATCH($A136,Simulations!$A$3:$A$62,0))*SQRT(PI())/2*ERFC(SQRT(LN($E136/INDEX(Simulations!$J$3:$J$62,MATCH($A136,Simulations!$A$3:$A$62,0)))))),PI()*INDEX(Simulations!$T$3:$T$62,MATCH($A136,Simulations!$A$3:$A$62,0))^2/2*(LN($E136/INDEX(Simulations!$J$3:$J$62,MATCH($A136,Simulations!$A$3:$A$62,0)))+1)))))</f>
        <v/>
      </c>
      <c r="R136" s="16" t="str">
        <f aca="false">IF(OR($A136="",ISNA(MATCH($A136,Simulations!$A$3:$A$62,0))),"",IF(N($F136)&lt;=0,0,IF($F136&lt;INDEX(Simulations!$J$3:$J$62,MATCH($A136,Simulations!$A$3:$A$62,0)),$D136/(INDEX(Simulations!$G$3:$G$62,MATCH($A136,Simulations!$A$3:$A$62,0))*INDEX(Simulations!$H$3:$H$62,MATCH($A136,Simulations!$A$3:$A$62,0))*IF(INDEX(Simulations!$I$3:$I$62,MATCH($A136,Simulations!$A$3:$A$62,0))&gt;0,INDEX(Simulations!$I$3:$I$62,MATCH($A136,Simulations!$A$3:$A$62,0)),1))*$F136*(PI()/2*INDEX(Simulations!$T$3:$T$62,MATCH($A136,Simulations!$A$3:$A$62,0))^2*IF(INDEX(Simulations!$I$3:$I$62,MATCH($A136,Simulations!$A$3:$A$62,0))&gt;0,SQRT(PI()/2)*INDEX(Simulations!$U$3:$U$62,MATCH($A136,Simulations!$A$3:$A$62,0)),1)),$D136/(INDEX(Simulations!$G$3:$G$62,MATCH($A136,Simulations!$A$3:$A$62,0))*INDEX(Simulations!$H$3:$H$62,MATCH($A136,Simulations!$A$3:$A$62,0))*IF(INDEX(Simulations!$I$3:$I$62,MATCH($A136,Simulations!$A$3:$A$62,0))&gt;0,INDEX(Simulations!$I$3:$I$62,MATCH($A136,Simulations!$A$3:$A$62,0)),1))*INDEX(Simulations!$J$3:$J$62,MATCH($A136,Simulations!$A$3:$A$62,0))*IF(INDEX(Simulations!$I$3:$I$62,MATCH($A136,Simulations!$A$3:$A$62,0))&gt;0,2*PI()*INDEX(Simulations!$T$3:$T$62,MATCH($A136,Simulations!$A$3:$A$62,0))^2*INDEX(Simulations!$U$3:$U$62,MATCH($A136,Simulations!$A$3:$A$62,0))/2^1.5*(2/3*LN($F136/INDEX(Simulations!$J$3:$J$62,MATCH($A136,Simulations!$A$3:$A$62,0)))^1.5+SQRT(LN($F136/INDEX(Simulations!$J$3:$J$62,MATCH($A136,Simulations!$A$3:$A$62,0))))+$F136/INDEX(Simulations!$J$3:$J$62,MATCH($A136,Simulations!$A$3:$A$62,0))*SQRT(PI())/2*ERFC(SQRT(LN($F136/INDEX(Simulations!$J$3:$J$62,MATCH($A136,Simulations!$A$3:$A$62,0)))))),PI()*INDEX(Simulations!$T$3:$T$62,MATCH($A136,Simulations!$A$3:$A$62,0))^2/2*(LN($F136/INDEX(Simulations!$J$3:$J$62,MATCH($A136,Simulations!$A$3:$A$62,0)))+1)))))</f>
        <v/>
      </c>
      <c r="S136" s="16" t="str">
        <f aca="false">IF(OR($A136="",ISNA(MATCH($A136,Simulations!$A$3:$A$62,0))),"",IF(N($G136)&lt;=0,0,IF($G136&lt;INDEX(Simulations!$J$3:$J$62,MATCH($A136,Simulations!$A$3:$A$62,0)),$D136/(INDEX(Simulations!$G$3:$G$62,MATCH($A136,Simulations!$A$3:$A$62,0))*INDEX(Simulations!$H$3:$H$62,MATCH($A136,Simulations!$A$3:$A$62,0))*IF(INDEX(Simulations!$I$3:$I$62,MATCH($A136,Simulations!$A$3:$A$62,0))&gt;0,INDEX(Simulations!$I$3:$I$62,MATCH($A136,Simulations!$A$3:$A$62,0)),1))*$G136*(PI()/2*INDEX(Simulations!$T$3:$T$62,MATCH($A136,Simulations!$A$3:$A$62,0))^2*IF(INDEX(Simulations!$I$3:$I$62,MATCH($A136,Simulations!$A$3:$A$62,0))&gt;0,SQRT(PI()/2)*INDEX(Simulations!$U$3:$U$62,MATCH($A136,Simulations!$A$3:$A$62,0)),1)),$D136/(INDEX(Simulations!$G$3:$G$62,MATCH($A136,Simulations!$A$3:$A$62,0))*INDEX(Simulations!$H$3:$H$62,MATCH($A136,Simulations!$A$3:$A$62,0))*IF(INDEX(Simulations!$I$3:$I$62,MATCH($A136,Simulations!$A$3:$A$62,0))&gt;0,INDEX(Simulations!$I$3:$I$62,MATCH($A136,Simulations!$A$3:$A$62,0)),1))*INDEX(Simulations!$J$3:$J$62,MATCH($A136,Simulations!$A$3:$A$62,0))*IF(INDEX(Simulations!$I$3:$I$62,MATCH($A136,Simulations!$A$3:$A$62,0))&gt;0,2*PI()*INDEX(Simulations!$T$3:$T$62,MATCH($A136,Simulations!$A$3:$A$62,0))^2*INDEX(Simulations!$U$3:$U$62,MATCH($A136,Simulations!$A$3:$A$62,0))/2^1.5*(2/3*LN($G136/INDEX(Simulations!$J$3:$J$62,MATCH($A136,Simulations!$A$3:$A$62,0)))^1.5+SQRT(LN($G136/INDEX(Simulations!$J$3:$J$62,MATCH($A136,Simulations!$A$3:$A$62,0))))+$G136/INDEX(Simulations!$J$3:$J$62,MATCH($A136,Simulations!$A$3:$A$62,0))*SQRT(PI())/2*ERFC(SQRT(LN($G136/INDEX(Simulations!$J$3:$J$62,MATCH($A136,Simulations!$A$3:$A$62,0)))))),PI()*INDEX(Simulations!$T$3:$T$62,MATCH($A136,Simulations!$A$3:$A$62,0))^2/2*(LN($G136/INDEX(Simulations!$J$3:$J$62,MATCH($A136,Simulations!$A$3:$A$62,0)))+1)))))</f>
        <v/>
      </c>
      <c r="T136" s="16" t="str">
        <f aca="false">IF(OR($A136="",ISNA(MATCH($A136,Simulations!$A$3:$A$62,0))),"",IF(N($H136)&lt;=0,0,IF($H136&lt;INDEX(Simulations!$J$3:$J$62,MATCH($A136,Simulations!$A$3:$A$62,0)),$D136/(INDEX(Simulations!$G$3:$G$62,MATCH($A136,Simulations!$A$3:$A$62,0))*INDEX(Simulations!$H$3:$H$62,MATCH($A136,Simulations!$A$3:$A$62,0))*IF(INDEX(Simulations!$I$3:$I$62,MATCH($A136,Simulations!$A$3:$A$62,0))&gt;0,INDEX(Simulations!$I$3:$I$62,MATCH($A136,Simulations!$A$3:$A$62,0)),1))*$H136*(PI()/2*INDEX(Simulations!$T$3:$T$62,MATCH($A136,Simulations!$A$3:$A$62,0))^2*IF(INDEX(Simulations!$I$3:$I$62,MATCH($A136,Simulations!$A$3:$A$62,0))&gt;0,SQRT(PI()/2)*INDEX(Simulations!$U$3:$U$62,MATCH($A136,Simulations!$A$3:$A$62,0)),1)),$D136/(INDEX(Simulations!$G$3:$G$62,MATCH($A136,Simulations!$A$3:$A$62,0))*INDEX(Simulations!$H$3:$H$62,MATCH($A136,Simulations!$A$3:$A$62,0))*IF(INDEX(Simulations!$I$3:$I$62,MATCH($A136,Simulations!$A$3:$A$62,0))&gt;0,INDEX(Simulations!$I$3:$I$62,MATCH($A136,Simulations!$A$3:$A$62,0)),1))*INDEX(Simulations!$J$3:$J$62,MATCH($A136,Simulations!$A$3:$A$62,0))*IF(INDEX(Simulations!$I$3:$I$62,MATCH($A136,Simulations!$A$3:$A$62,0))&gt;0,2*PI()*INDEX(Simulations!$T$3:$T$62,MATCH($A136,Simulations!$A$3:$A$62,0))^2*INDEX(Simulations!$U$3:$U$62,MATCH($A136,Simulations!$A$3:$A$62,0))/2^1.5*(2/3*LN($H136/INDEX(Simulations!$J$3:$J$62,MATCH($A136,Simulations!$A$3:$A$62,0)))^1.5+SQRT(LN($H136/INDEX(Simulations!$J$3:$J$62,MATCH($A136,Simulations!$A$3:$A$62,0))))+$H136/INDEX(Simulations!$J$3:$J$62,MATCH($A136,Simulations!$A$3:$A$62,0))*SQRT(PI())/2*ERFC(SQRT(LN($H136/INDEX(Simulations!$J$3:$J$62,MATCH($A136,Simulations!$A$3:$A$62,0)))))),PI()*INDEX(Simulations!$T$3:$T$62,MATCH($A136,Simulations!$A$3:$A$62,0))^2/2*(LN($H136/INDEX(Simulations!$J$3:$J$62,MATCH($A136,Simulations!$A$3:$A$62,0)))+1)))))</f>
        <v/>
      </c>
      <c r="U136" s="18" t="str">
        <f aca="false">IF(OR(OR($A136="",ISNA(MATCH($A136,Simulations!$A$3:$A$62,0))),N($C136)&lt;=0),"",SQRT(2*$C136*1000000/(INDEX(Simulations!$J$3:$J$62,MATCH($A136,Simulations!$A$3:$A$62,0))*1000))/INDEX(Simulations!$T$3:$T$62,MATCH($A136,Simulations!$A$3:$A$62,0)))</f>
        <v/>
      </c>
      <c r="V136" s="19" t="str">
        <f aca="false">IF($A136="","",IF(ISNA(MATCH($A136,Simulations!$A$3:$A$62,0)),"✖ Sim ID not found on the Simulations sheet",IF($P136&gt;=1,"✖ brightness &gt;= sampling frequency: completely saturated (D too small, c too large)",IF($P136&gt;0.1,"⚠ brightness &gt; 10% of the sampling frequency: focus starts to saturate",IF(N($U136)&gt;0.1,"⚠ diffusion step &gt; 10% of wr: raise the sampling frequency",IF(MAX($E136:$H136)=0,"⚠ no brightness set","✔ OK"))))))</f>
        <v/>
      </c>
    </row>
    <row r="137" customFormat="false" ht="15" hidden="false" customHeight="false" outlineLevel="0" collapsed="false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4"/>
      <c r="O137" s="18" t="str">
        <f aca="false">IF(OR($A137="",ISNA(MATCH($A137,Simulations!$A$3:$A$62,0))),"",IF(INDEX(Simulations!$I$3:$I$62,MATCH($A137,Simulations!$A$3:$A$62,0))&gt;0,$D137/(INDEX(Simulations!$G$3:$G$62,MATCH($A137,Simulations!$A$3:$A$62,0))*INDEX(Simulations!$H$3:$H$62,MATCH($A137,Simulations!$A$3:$A$62,0))*IF(INDEX(Simulations!$I$3:$I$62,MATCH($A137,Simulations!$A$3:$A$62,0))&gt;0,INDEX(Simulations!$I$3:$I$62,MATCH($A137,Simulations!$A$3:$A$62,0)),1))/1E-024/6.022E+023/0.000000001,""))</f>
        <v/>
      </c>
      <c r="P137" s="20" t="str">
        <f aca="false">IF(OR($A137="",ISNA(MATCH($A137,Simulations!$A$3:$A$62,0))),"",MAX($E137:$H137)/INDEX(Simulations!$J$3:$J$62,MATCH($A137,Simulations!$A$3:$A$62,0)))</f>
        <v/>
      </c>
      <c r="Q137" s="16" t="str">
        <f aca="false">IF(OR($A137="",ISNA(MATCH($A137,Simulations!$A$3:$A$62,0))),"",IF(N($E137)&lt;=0,0,IF($E137&lt;INDEX(Simulations!$J$3:$J$62,MATCH($A137,Simulations!$A$3:$A$62,0)),$D137/(INDEX(Simulations!$G$3:$G$62,MATCH($A137,Simulations!$A$3:$A$62,0))*INDEX(Simulations!$H$3:$H$62,MATCH($A137,Simulations!$A$3:$A$62,0))*IF(INDEX(Simulations!$I$3:$I$62,MATCH($A137,Simulations!$A$3:$A$62,0))&gt;0,INDEX(Simulations!$I$3:$I$62,MATCH($A137,Simulations!$A$3:$A$62,0)),1))*$E137*(PI()/2*INDEX(Simulations!$T$3:$T$62,MATCH($A137,Simulations!$A$3:$A$62,0))^2*IF(INDEX(Simulations!$I$3:$I$62,MATCH($A137,Simulations!$A$3:$A$62,0))&gt;0,SQRT(PI()/2)*INDEX(Simulations!$U$3:$U$62,MATCH($A137,Simulations!$A$3:$A$62,0)),1)),$D137/(INDEX(Simulations!$G$3:$G$62,MATCH($A137,Simulations!$A$3:$A$62,0))*INDEX(Simulations!$H$3:$H$62,MATCH($A137,Simulations!$A$3:$A$62,0))*IF(INDEX(Simulations!$I$3:$I$62,MATCH($A137,Simulations!$A$3:$A$62,0))&gt;0,INDEX(Simulations!$I$3:$I$62,MATCH($A137,Simulations!$A$3:$A$62,0)),1))*INDEX(Simulations!$J$3:$J$62,MATCH($A137,Simulations!$A$3:$A$62,0))*IF(INDEX(Simulations!$I$3:$I$62,MATCH($A137,Simulations!$A$3:$A$62,0))&gt;0,2*PI()*INDEX(Simulations!$T$3:$T$62,MATCH($A137,Simulations!$A$3:$A$62,0))^2*INDEX(Simulations!$U$3:$U$62,MATCH($A137,Simulations!$A$3:$A$62,0))/2^1.5*(2/3*LN($E137/INDEX(Simulations!$J$3:$J$62,MATCH($A137,Simulations!$A$3:$A$62,0)))^1.5+SQRT(LN($E137/INDEX(Simulations!$J$3:$J$62,MATCH($A137,Simulations!$A$3:$A$62,0))))+$E137/INDEX(Simulations!$J$3:$J$62,MATCH($A137,Simulations!$A$3:$A$62,0))*SQRT(PI())/2*ERFC(SQRT(LN($E137/INDEX(Simulations!$J$3:$J$62,MATCH($A137,Simulations!$A$3:$A$62,0)))))),PI()*INDEX(Simulations!$T$3:$T$62,MATCH($A137,Simulations!$A$3:$A$62,0))^2/2*(LN($E137/INDEX(Simulations!$J$3:$J$62,MATCH($A137,Simulations!$A$3:$A$62,0)))+1)))))</f>
        <v/>
      </c>
      <c r="R137" s="16" t="str">
        <f aca="false">IF(OR($A137="",ISNA(MATCH($A137,Simulations!$A$3:$A$62,0))),"",IF(N($F137)&lt;=0,0,IF($F137&lt;INDEX(Simulations!$J$3:$J$62,MATCH($A137,Simulations!$A$3:$A$62,0)),$D137/(INDEX(Simulations!$G$3:$G$62,MATCH($A137,Simulations!$A$3:$A$62,0))*INDEX(Simulations!$H$3:$H$62,MATCH($A137,Simulations!$A$3:$A$62,0))*IF(INDEX(Simulations!$I$3:$I$62,MATCH($A137,Simulations!$A$3:$A$62,0))&gt;0,INDEX(Simulations!$I$3:$I$62,MATCH($A137,Simulations!$A$3:$A$62,0)),1))*$F137*(PI()/2*INDEX(Simulations!$T$3:$T$62,MATCH($A137,Simulations!$A$3:$A$62,0))^2*IF(INDEX(Simulations!$I$3:$I$62,MATCH($A137,Simulations!$A$3:$A$62,0))&gt;0,SQRT(PI()/2)*INDEX(Simulations!$U$3:$U$62,MATCH($A137,Simulations!$A$3:$A$62,0)),1)),$D137/(INDEX(Simulations!$G$3:$G$62,MATCH($A137,Simulations!$A$3:$A$62,0))*INDEX(Simulations!$H$3:$H$62,MATCH($A137,Simulations!$A$3:$A$62,0))*IF(INDEX(Simulations!$I$3:$I$62,MATCH($A137,Simulations!$A$3:$A$62,0))&gt;0,INDEX(Simulations!$I$3:$I$62,MATCH($A137,Simulations!$A$3:$A$62,0)),1))*INDEX(Simulations!$J$3:$J$62,MATCH($A137,Simulations!$A$3:$A$62,0))*IF(INDEX(Simulations!$I$3:$I$62,MATCH($A137,Simulations!$A$3:$A$62,0))&gt;0,2*PI()*INDEX(Simulations!$T$3:$T$62,MATCH($A137,Simulations!$A$3:$A$62,0))^2*INDEX(Simulations!$U$3:$U$62,MATCH($A137,Simulations!$A$3:$A$62,0))/2^1.5*(2/3*LN($F137/INDEX(Simulations!$J$3:$J$62,MATCH($A137,Simulations!$A$3:$A$62,0)))^1.5+SQRT(LN($F137/INDEX(Simulations!$J$3:$J$62,MATCH($A137,Simulations!$A$3:$A$62,0))))+$F137/INDEX(Simulations!$J$3:$J$62,MATCH($A137,Simulations!$A$3:$A$62,0))*SQRT(PI())/2*ERFC(SQRT(LN($F137/INDEX(Simulations!$J$3:$J$62,MATCH($A137,Simulations!$A$3:$A$62,0)))))),PI()*INDEX(Simulations!$T$3:$T$62,MATCH($A137,Simulations!$A$3:$A$62,0))^2/2*(LN($F137/INDEX(Simulations!$J$3:$J$62,MATCH($A137,Simulations!$A$3:$A$62,0)))+1)))))</f>
        <v/>
      </c>
      <c r="S137" s="16" t="str">
        <f aca="false">IF(OR($A137="",ISNA(MATCH($A137,Simulations!$A$3:$A$62,0))),"",IF(N($G137)&lt;=0,0,IF($G137&lt;INDEX(Simulations!$J$3:$J$62,MATCH($A137,Simulations!$A$3:$A$62,0)),$D137/(INDEX(Simulations!$G$3:$G$62,MATCH($A137,Simulations!$A$3:$A$62,0))*INDEX(Simulations!$H$3:$H$62,MATCH($A137,Simulations!$A$3:$A$62,0))*IF(INDEX(Simulations!$I$3:$I$62,MATCH($A137,Simulations!$A$3:$A$62,0))&gt;0,INDEX(Simulations!$I$3:$I$62,MATCH($A137,Simulations!$A$3:$A$62,0)),1))*$G137*(PI()/2*INDEX(Simulations!$T$3:$T$62,MATCH($A137,Simulations!$A$3:$A$62,0))^2*IF(INDEX(Simulations!$I$3:$I$62,MATCH($A137,Simulations!$A$3:$A$62,0))&gt;0,SQRT(PI()/2)*INDEX(Simulations!$U$3:$U$62,MATCH($A137,Simulations!$A$3:$A$62,0)),1)),$D137/(INDEX(Simulations!$G$3:$G$62,MATCH($A137,Simulations!$A$3:$A$62,0))*INDEX(Simulations!$H$3:$H$62,MATCH($A137,Simulations!$A$3:$A$62,0))*IF(INDEX(Simulations!$I$3:$I$62,MATCH($A137,Simulations!$A$3:$A$62,0))&gt;0,INDEX(Simulations!$I$3:$I$62,MATCH($A137,Simulations!$A$3:$A$62,0)),1))*INDEX(Simulations!$J$3:$J$62,MATCH($A137,Simulations!$A$3:$A$62,0))*IF(INDEX(Simulations!$I$3:$I$62,MATCH($A137,Simulations!$A$3:$A$62,0))&gt;0,2*PI()*INDEX(Simulations!$T$3:$T$62,MATCH($A137,Simulations!$A$3:$A$62,0))^2*INDEX(Simulations!$U$3:$U$62,MATCH($A137,Simulations!$A$3:$A$62,0))/2^1.5*(2/3*LN($G137/INDEX(Simulations!$J$3:$J$62,MATCH($A137,Simulations!$A$3:$A$62,0)))^1.5+SQRT(LN($G137/INDEX(Simulations!$J$3:$J$62,MATCH($A137,Simulations!$A$3:$A$62,0))))+$G137/INDEX(Simulations!$J$3:$J$62,MATCH($A137,Simulations!$A$3:$A$62,0))*SQRT(PI())/2*ERFC(SQRT(LN($G137/INDEX(Simulations!$J$3:$J$62,MATCH($A137,Simulations!$A$3:$A$62,0)))))),PI()*INDEX(Simulations!$T$3:$T$62,MATCH($A137,Simulations!$A$3:$A$62,0))^2/2*(LN($G137/INDEX(Simulations!$J$3:$J$62,MATCH($A137,Simulations!$A$3:$A$62,0)))+1)))))</f>
        <v/>
      </c>
      <c r="T137" s="16" t="str">
        <f aca="false">IF(OR($A137="",ISNA(MATCH($A137,Simulations!$A$3:$A$62,0))),"",IF(N($H137)&lt;=0,0,IF($H137&lt;INDEX(Simulations!$J$3:$J$62,MATCH($A137,Simulations!$A$3:$A$62,0)),$D137/(INDEX(Simulations!$G$3:$G$62,MATCH($A137,Simulations!$A$3:$A$62,0))*INDEX(Simulations!$H$3:$H$62,MATCH($A137,Simulations!$A$3:$A$62,0))*IF(INDEX(Simulations!$I$3:$I$62,MATCH($A137,Simulations!$A$3:$A$62,0))&gt;0,INDEX(Simulations!$I$3:$I$62,MATCH($A137,Simulations!$A$3:$A$62,0)),1))*$H137*(PI()/2*INDEX(Simulations!$T$3:$T$62,MATCH($A137,Simulations!$A$3:$A$62,0))^2*IF(INDEX(Simulations!$I$3:$I$62,MATCH($A137,Simulations!$A$3:$A$62,0))&gt;0,SQRT(PI()/2)*INDEX(Simulations!$U$3:$U$62,MATCH($A137,Simulations!$A$3:$A$62,0)),1)),$D137/(INDEX(Simulations!$G$3:$G$62,MATCH($A137,Simulations!$A$3:$A$62,0))*INDEX(Simulations!$H$3:$H$62,MATCH($A137,Simulations!$A$3:$A$62,0))*IF(INDEX(Simulations!$I$3:$I$62,MATCH($A137,Simulations!$A$3:$A$62,0))&gt;0,INDEX(Simulations!$I$3:$I$62,MATCH($A137,Simulations!$A$3:$A$62,0)),1))*INDEX(Simulations!$J$3:$J$62,MATCH($A137,Simulations!$A$3:$A$62,0))*IF(INDEX(Simulations!$I$3:$I$62,MATCH($A137,Simulations!$A$3:$A$62,0))&gt;0,2*PI()*INDEX(Simulations!$T$3:$T$62,MATCH($A137,Simulations!$A$3:$A$62,0))^2*INDEX(Simulations!$U$3:$U$62,MATCH($A137,Simulations!$A$3:$A$62,0))/2^1.5*(2/3*LN($H137/INDEX(Simulations!$J$3:$J$62,MATCH($A137,Simulations!$A$3:$A$62,0)))^1.5+SQRT(LN($H137/INDEX(Simulations!$J$3:$J$62,MATCH($A137,Simulations!$A$3:$A$62,0))))+$H137/INDEX(Simulations!$J$3:$J$62,MATCH($A137,Simulations!$A$3:$A$62,0))*SQRT(PI())/2*ERFC(SQRT(LN($H137/INDEX(Simulations!$J$3:$J$62,MATCH($A137,Simulations!$A$3:$A$62,0)))))),PI()*INDEX(Simulations!$T$3:$T$62,MATCH($A137,Simulations!$A$3:$A$62,0))^2/2*(LN($H137/INDEX(Simulations!$J$3:$J$62,MATCH($A137,Simulations!$A$3:$A$62,0)))+1)))))</f>
        <v/>
      </c>
      <c r="U137" s="18" t="str">
        <f aca="false">IF(OR(OR($A137="",ISNA(MATCH($A137,Simulations!$A$3:$A$62,0))),N($C137)&lt;=0),"",SQRT(2*$C137*1000000/(INDEX(Simulations!$J$3:$J$62,MATCH($A137,Simulations!$A$3:$A$62,0))*1000))/INDEX(Simulations!$T$3:$T$62,MATCH($A137,Simulations!$A$3:$A$62,0)))</f>
        <v/>
      </c>
      <c r="V137" s="19" t="str">
        <f aca="false">IF($A137="","",IF(ISNA(MATCH($A137,Simulations!$A$3:$A$62,0)),"✖ Sim ID not found on the Simulations sheet",IF($P137&gt;=1,"✖ brightness &gt;= sampling frequency: completely saturated (D too small, c too large)",IF($P137&gt;0.1,"⚠ brightness &gt; 10% of the sampling frequency: focus starts to saturate",IF(N($U137)&gt;0.1,"⚠ diffusion step &gt; 10% of wr: raise the sampling frequency",IF(MAX($E137:$H137)=0,"⚠ no brightness set","✔ OK"))))))</f>
        <v/>
      </c>
    </row>
    <row r="138" customFormat="false" ht="15" hidden="false" customHeight="false" outlineLevel="0" collapsed="false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4"/>
      <c r="O138" s="18" t="str">
        <f aca="false">IF(OR($A138="",ISNA(MATCH($A138,Simulations!$A$3:$A$62,0))),"",IF(INDEX(Simulations!$I$3:$I$62,MATCH($A138,Simulations!$A$3:$A$62,0))&gt;0,$D138/(INDEX(Simulations!$G$3:$G$62,MATCH($A138,Simulations!$A$3:$A$62,0))*INDEX(Simulations!$H$3:$H$62,MATCH($A138,Simulations!$A$3:$A$62,0))*IF(INDEX(Simulations!$I$3:$I$62,MATCH($A138,Simulations!$A$3:$A$62,0))&gt;0,INDEX(Simulations!$I$3:$I$62,MATCH($A138,Simulations!$A$3:$A$62,0)),1))/1E-024/6.022E+023/0.000000001,""))</f>
        <v/>
      </c>
      <c r="P138" s="20" t="str">
        <f aca="false">IF(OR($A138="",ISNA(MATCH($A138,Simulations!$A$3:$A$62,0))),"",MAX($E138:$H138)/INDEX(Simulations!$J$3:$J$62,MATCH($A138,Simulations!$A$3:$A$62,0)))</f>
        <v/>
      </c>
      <c r="Q138" s="16" t="str">
        <f aca="false">IF(OR($A138="",ISNA(MATCH($A138,Simulations!$A$3:$A$62,0))),"",IF(N($E138)&lt;=0,0,IF($E138&lt;INDEX(Simulations!$J$3:$J$62,MATCH($A138,Simulations!$A$3:$A$62,0)),$D138/(INDEX(Simulations!$G$3:$G$62,MATCH($A138,Simulations!$A$3:$A$62,0))*INDEX(Simulations!$H$3:$H$62,MATCH($A138,Simulations!$A$3:$A$62,0))*IF(INDEX(Simulations!$I$3:$I$62,MATCH($A138,Simulations!$A$3:$A$62,0))&gt;0,INDEX(Simulations!$I$3:$I$62,MATCH($A138,Simulations!$A$3:$A$62,0)),1))*$E138*(PI()/2*INDEX(Simulations!$T$3:$T$62,MATCH($A138,Simulations!$A$3:$A$62,0))^2*IF(INDEX(Simulations!$I$3:$I$62,MATCH($A138,Simulations!$A$3:$A$62,0))&gt;0,SQRT(PI()/2)*INDEX(Simulations!$U$3:$U$62,MATCH($A138,Simulations!$A$3:$A$62,0)),1)),$D138/(INDEX(Simulations!$G$3:$G$62,MATCH($A138,Simulations!$A$3:$A$62,0))*INDEX(Simulations!$H$3:$H$62,MATCH($A138,Simulations!$A$3:$A$62,0))*IF(INDEX(Simulations!$I$3:$I$62,MATCH($A138,Simulations!$A$3:$A$62,0))&gt;0,INDEX(Simulations!$I$3:$I$62,MATCH($A138,Simulations!$A$3:$A$62,0)),1))*INDEX(Simulations!$J$3:$J$62,MATCH($A138,Simulations!$A$3:$A$62,0))*IF(INDEX(Simulations!$I$3:$I$62,MATCH($A138,Simulations!$A$3:$A$62,0))&gt;0,2*PI()*INDEX(Simulations!$T$3:$T$62,MATCH($A138,Simulations!$A$3:$A$62,0))^2*INDEX(Simulations!$U$3:$U$62,MATCH($A138,Simulations!$A$3:$A$62,0))/2^1.5*(2/3*LN($E138/INDEX(Simulations!$J$3:$J$62,MATCH($A138,Simulations!$A$3:$A$62,0)))^1.5+SQRT(LN($E138/INDEX(Simulations!$J$3:$J$62,MATCH($A138,Simulations!$A$3:$A$62,0))))+$E138/INDEX(Simulations!$J$3:$J$62,MATCH($A138,Simulations!$A$3:$A$62,0))*SQRT(PI())/2*ERFC(SQRT(LN($E138/INDEX(Simulations!$J$3:$J$62,MATCH($A138,Simulations!$A$3:$A$62,0)))))),PI()*INDEX(Simulations!$T$3:$T$62,MATCH($A138,Simulations!$A$3:$A$62,0))^2/2*(LN($E138/INDEX(Simulations!$J$3:$J$62,MATCH($A138,Simulations!$A$3:$A$62,0)))+1)))))</f>
        <v/>
      </c>
      <c r="R138" s="16" t="str">
        <f aca="false">IF(OR($A138="",ISNA(MATCH($A138,Simulations!$A$3:$A$62,0))),"",IF(N($F138)&lt;=0,0,IF($F138&lt;INDEX(Simulations!$J$3:$J$62,MATCH($A138,Simulations!$A$3:$A$62,0)),$D138/(INDEX(Simulations!$G$3:$G$62,MATCH($A138,Simulations!$A$3:$A$62,0))*INDEX(Simulations!$H$3:$H$62,MATCH($A138,Simulations!$A$3:$A$62,0))*IF(INDEX(Simulations!$I$3:$I$62,MATCH($A138,Simulations!$A$3:$A$62,0))&gt;0,INDEX(Simulations!$I$3:$I$62,MATCH($A138,Simulations!$A$3:$A$62,0)),1))*$F138*(PI()/2*INDEX(Simulations!$T$3:$T$62,MATCH($A138,Simulations!$A$3:$A$62,0))^2*IF(INDEX(Simulations!$I$3:$I$62,MATCH($A138,Simulations!$A$3:$A$62,0))&gt;0,SQRT(PI()/2)*INDEX(Simulations!$U$3:$U$62,MATCH($A138,Simulations!$A$3:$A$62,0)),1)),$D138/(INDEX(Simulations!$G$3:$G$62,MATCH($A138,Simulations!$A$3:$A$62,0))*INDEX(Simulations!$H$3:$H$62,MATCH($A138,Simulations!$A$3:$A$62,0))*IF(INDEX(Simulations!$I$3:$I$62,MATCH($A138,Simulations!$A$3:$A$62,0))&gt;0,INDEX(Simulations!$I$3:$I$62,MATCH($A138,Simulations!$A$3:$A$62,0)),1))*INDEX(Simulations!$J$3:$J$62,MATCH($A138,Simulations!$A$3:$A$62,0))*IF(INDEX(Simulations!$I$3:$I$62,MATCH($A138,Simulations!$A$3:$A$62,0))&gt;0,2*PI()*INDEX(Simulations!$T$3:$T$62,MATCH($A138,Simulations!$A$3:$A$62,0))^2*INDEX(Simulations!$U$3:$U$62,MATCH($A138,Simulations!$A$3:$A$62,0))/2^1.5*(2/3*LN($F138/INDEX(Simulations!$J$3:$J$62,MATCH($A138,Simulations!$A$3:$A$62,0)))^1.5+SQRT(LN($F138/INDEX(Simulations!$J$3:$J$62,MATCH($A138,Simulations!$A$3:$A$62,0))))+$F138/INDEX(Simulations!$J$3:$J$62,MATCH($A138,Simulations!$A$3:$A$62,0))*SQRT(PI())/2*ERFC(SQRT(LN($F138/INDEX(Simulations!$J$3:$J$62,MATCH($A138,Simulations!$A$3:$A$62,0)))))),PI()*INDEX(Simulations!$T$3:$T$62,MATCH($A138,Simulations!$A$3:$A$62,0))^2/2*(LN($F138/INDEX(Simulations!$J$3:$J$62,MATCH($A138,Simulations!$A$3:$A$62,0)))+1)))))</f>
        <v/>
      </c>
      <c r="S138" s="16" t="str">
        <f aca="false">IF(OR($A138="",ISNA(MATCH($A138,Simulations!$A$3:$A$62,0))),"",IF(N($G138)&lt;=0,0,IF($G138&lt;INDEX(Simulations!$J$3:$J$62,MATCH($A138,Simulations!$A$3:$A$62,0)),$D138/(INDEX(Simulations!$G$3:$G$62,MATCH($A138,Simulations!$A$3:$A$62,0))*INDEX(Simulations!$H$3:$H$62,MATCH($A138,Simulations!$A$3:$A$62,0))*IF(INDEX(Simulations!$I$3:$I$62,MATCH($A138,Simulations!$A$3:$A$62,0))&gt;0,INDEX(Simulations!$I$3:$I$62,MATCH($A138,Simulations!$A$3:$A$62,0)),1))*$G138*(PI()/2*INDEX(Simulations!$T$3:$T$62,MATCH($A138,Simulations!$A$3:$A$62,0))^2*IF(INDEX(Simulations!$I$3:$I$62,MATCH($A138,Simulations!$A$3:$A$62,0))&gt;0,SQRT(PI()/2)*INDEX(Simulations!$U$3:$U$62,MATCH($A138,Simulations!$A$3:$A$62,0)),1)),$D138/(INDEX(Simulations!$G$3:$G$62,MATCH($A138,Simulations!$A$3:$A$62,0))*INDEX(Simulations!$H$3:$H$62,MATCH($A138,Simulations!$A$3:$A$62,0))*IF(INDEX(Simulations!$I$3:$I$62,MATCH($A138,Simulations!$A$3:$A$62,0))&gt;0,INDEX(Simulations!$I$3:$I$62,MATCH($A138,Simulations!$A$3:$A$62,0)),1))*INDEX(Simulations!$J$3:$J$62,MATCH($A138,Simulations!$A$3:$A$62,0))*IF(INDEX(Simulations!$I$3:$I$62,MATCH($A138,Simulations!$A$3:$A$62,0))&gt;0,2*PI()*INDEX(Simulations!$T$3:$T$62,MATCH($A138,Simulations!$A$3:$A$62,0))^2*INDEX(Simulations!$U$3:$U$62,MATCH($A138,Simulations!$A$3:$A$62,0))/2^1.5*(2/3*LN($G138/INDEX(Simulations!$J$3:$J$62,MATCH($A138,Simulations!$A$3:$A$62,0)))^1.5+SQRT(LN($G138/INDEX(Simulations!$J$3:$J$62,MATCH($A138,Simulations!$A$3:$A$62,0))))+$G138/INDEX(Simulations!$J$3:$J$62,MATCH($A138,Simulations!$A$3:$A$62,0))*SQRT(PI())/2*ERFC(SQRT(LN($G138/INDEX(Simulations!$J$3:$J$62,MATCH($A138,Simulations!$A$3:$A$62,0)))))),PI()*INDEX(Simulations!$T$3:$T$62,MATCH($A138,Simulations!$A$3:$A$62,0))^2/2*(LN($G138/INDEX(Simulations!$J$3:$J$62,MATCH($A138,Simulations!$A$3:$A$62,0)))+1)))))</f>
        <v/>
      </c>
      <c r="T138" s="16" t="str">
        <f aca="false">IF(OR($A138="",ISNA(MATCH($A138,Simulations!$A$3:$A$62,0))),"",IF(N($H138)&lt;=0,0,IF($H138&lt;INDEX(Simulations!$J$3:$J$62,MATCH($A138,Simulations!$A$3:$A$62,0)),$D138/(INDEX(Simulations!$G$3:$G$62,MATCH($A138,Simulations!$A$3:$A$62,0))*INDEX(Simulations!$H$3:$H$62,MATCH($A138,Simulations!$A$3:$A$62,0))*IF(INDEX(Simulations!$I$3:$I$62,MATCH($A138,Simulations!$A$3:$A$62,0))&gt;0,INDEX(Simulations!$I$3:$I$62,MATCH($A138,Simulations!$A$3:$A$62,0)),1))*$H138*(PI()/2*INDEX(Simulations!$T$3:$T$62,MATCH($A138,Simulations!$A$3:$A$62,0))^2*IF(INDEX(Simulations!$I$3:$I$62,MATCH($A138,Simulations!$A$3:$A$62,0))&gt;0,SQRT(PI()/2)*INDEX(Simulations!$U$3:$U$62,MATCH($A138,Simulations!$A$3:$A$62,0)),1)),$D138/(INDEX(Simulations!$G$3:$G$62,MATCH($A138,Simulations!$A$3:$A$62,0))*INDEX(Simulations!$H$3:$H$62,MATCH($A138,Simulations!$A$3:$A$62,0))*IF(INDEX(Simulations!$I$3:$I$62,MATCH($A138,Simulations!$A$3:$A$62,0))&gt;0,INDEX(Simulations!$I$3:$I$62,MATCH($A138,Simulations!$A$3:$A$62,0)),1))*INDEX(Simulations!$J$3:$J$62,MATCH($A138,Simulations!$A$3:$A$62,0))*IF(INDEX(Simulations!$I$3:$I$62,MATCH($A138,Simulations!$A$3:$A$62,0))&gt;0,2*PI()*INDEX(Simulations!$T$3:$T$62,MATCH($A138,Simulations!$A$3:$A$62,0))^2*INDEX(Simulations!$U$3:$U$62,MATCH($A138,Simulations!$A$3:$A$62,0))/2^1.5*(2/3*LN($H138/INDEX(Simulations!$J$3:$J$62,MATCH($A138,Simulations!$A$3:$A$62,0)))^1.5+SQRT(LN($H138/INDEX(Simulations!$J$3:$J$62,MATCH($A138,Simulations!$A$3:$A$62,0))))+$H138/INDEX(Simulations!$J$3:$J$62,MATCH($A138,Simulations!$A$3:$A$62,0))*SQRT(PI())/2*ERFC(SQRT(LN($H138/INDEX(Simulations!$J$3:$J$62,MATCH($A138,Simulations!$A$3:$A$62,0)))))),PI()*INDEX(Simulations!$T$3:$T$62,MATCH($A138,Simulations!$A$3:$A$62,0))^2/2*(LN($H138/INDEX(Simulations!$J$3:$J$62,MATCH($A138,Simulations!$A$3:$A$62,0)))+1)))))</f>
        <v/>
      </c>
      <c r="U138" s="18" t="str">
        <f aca="false">IF(OR(OR($A138="",ISNA(MATCH($A138,Simulations!$A$3:$A$62,0))),N($C138)&lt;=0),"",SQRT(2*$C138*1000000/(INDEX(Simulations!$J$3:$J$62,MATCH($A138,Simulations!$A$3:$A$62,0))*1000))/INDEX(Simulations!$T$3:$T$62,MATCH($A138,Simulations!$A$3:$A$62,0)))</f>
        <v/>
      </c>
      <c r="V138" s="19" t="str">
        <f aca="false">IF($A138="","",IF(ISNA(MATCH($A138,Simulations!$A$3:$A$62,0)),"✖ Sim ID not found on the Simulations sheet",IF($P138&gt;=1,"✖ brightness &gt;= sampling frequency: completely saturated (D too small, c too large)",IF($P138&gt;0.1,"⚠ brightness &gt; 10% of the sampling frequency: focus starts to saturate",IF(N($U138)&gt;0.1,"⚠ diffusion step &gt; 10% of wr: raise the sampling frequency",IF(MAX($E138:$H138)=0,"⚠ no brightness set","✔ OK"))))))</f>
        <v/>
      </c>
    </row>
    <row r="139" customFormat="false" ht="15" hidden="false" customHeight="false" outlineLevel="0" collapsed="false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4"/>
      <c r="O139" s="18" t="str">
        <f aca="false">IF(OR($A139="",ISNA(MATCH($A139,Simulations!$A$3:$A$62,0))),"",IF(INDEX(Simulations!$I$3:$I$62,MATCH($A139,Simulations!$A$3:$A$62,0))&gt;0,$D139/(INDEX(Simulations!$G$3:$G$62,MATCH($A139,Simulations!$A$3:$A$62,0))*INDEX(Simulations!$H$3:$H$62,MATCH($A139,Simulations!$A$3:$A$62,0))*IF(INDEX(Simulations!$I$3:$I$62,MATCH($A139,Simulations!$A$3:$A$62,0))&gt;0,INDEX(Simulations!$I$3:$I$62,MATCH($A139,Simulations!$A$3:$A$62,0)),1))/1E-024/6.022E+023/0.000000001,""))</f>
        <v/>
      </c>
      <c r="P139" s="20" t="str">
        <f aca="false">IF(OR($A139="",ISNA(MATCH($A139,Simulations!$A$3:$A$62,0))),"",MAX($E139:$H139)/INDEX(Simulations!$J$3:$J$62,MATCH($A139,Simulations!$A$3:$A$62,0)))</f>
        <v/>
      </c>
      <c r="Q139" s="16" t="str">
        <f aca="false">IF(OR($A139="",ISNA(MATCH($A139,Simulations!$A$3:$A$62,0))),"",IF(N($E139)&lt;=0,0,IF($E139&lt;INDEX(Simulations!$J$3:$J$62,MATCH($A139,Simulations!$A$3:$A$62,0)),$D139/(INDEX(Simulations!$G$3:$G$62,MATCH($A139,Simulations!$A$3:$A$62,0))*INDEX(Simulations!$H$3:$H$62,MATCH($A139,Simulations!$A$3:$A$62,0))*IF(INDEX(Simulations!$I$3:$I$62,MATCH($A139,Simulations!$A$3:$A$62,0))&gt;0,INDEX(Simulations!$I$3:$I$62,MATCH($A139,Simulations!$A$3:$A$62,0)),1))*$E139*(PI()/2*INDEX(Simulations!$T$3:$T$62,MATCH($A139,Simulations!$A$3:$A$62,0))^2*IF(INDEX(Simulations!$I$3:$I$62,MATCH($A139,Simulations!$A$3:$A$62,0))&gt;0,SQRT(PI()/2)*INDEX(Simulations!$U$3:$U$62,MATCH($A139,Simulations!$A$3:$A$62,0)),1)),$D139/(INDEX(Simulations!$G$3:$G$62,MATCH($A139,Simulations!$A$3:$A$62,0))*INDEX(Simulations!$H$3:$H$62,MATCH($A139,Simulations!$A$3:$A$62,0))*IF(INDEX(Simulations!$I$3:$I$62,MATCH($A139,Simulations!$A$3:$A$62,0))&gt;0,INDEX(Simulations!$I$3:$I$62,MATCH($A139,Simulations!$A$3:$A$62,0)),1))*INDEX(Simulations!$J$3:$J$62,MATCH($A139,Simulations!$A$3:$A$62,0))*IF(INDEX(Simulations!$I$3:$I$62,MATCH($A139,Simulations!$A$3:$A$62,0))&gt;0,2*PI()*INDEX(Simulations!$T$3:$T$62,MATCH($A139,Simulations!$A$3:$A$62,0))^2*INDEX(Simulations!$U$3:$U$62,MATCH($A139,Simulations!$A$3:$A$62,0))/2^1.5*(2/3*LN($E139/INDEX(Simulations!$J$3:$J$62,MATCH($A139,Simulations!$A$3:$A$62,0)))^1.5+SQRT(LN($E139/INDEX(Simulations!$J$3:$J$62,MATCH($A139,Simulations!$A$3:$A$62,0))))+$E139/INDEX(Simulations!$J$3:$J$62,MATCH($A139,Simulations!$A$3:$A$62,0))*SQRT(PI())/2*ERFC(SQRT(LN($E139/INDEX(Simulations!$J$3:$J$62,MATCH($A139,Simulations!$A$3:$A$62,0)))))),PI()*INDEX(Simulations!$T$3:$T$62,MATCH($A139,Simulations!$A$3:$A$62,0))^2/2*(LN($E139/INDEX(Simulations!$J$3:$J$62,MATCH($A139,Simulations!$A$3:$A$62,0)))+1)))))</f>
        <v/>
      </c>
      <c r="R139" s="16" t="str">
        <f aca="false">IF(OR($A139="",ISNA(MATCH($A139,Simulations!$A$3:$A$62,0))),"",IF(N($F139)&lt;=0,0,IF($F139&lt;INDEX(Simulations!$J$3:$J$62,MATCH($A139,Simulations!$A$3:$A$62,0)),$D139/(INDEX(Simulations!$G$3:$G$62,MATCH($A139,Simulations!$A$3:$A$62,0))*INDEX(Simulations!$H$3:$H$62,MATCH($A139,Simulations!$A$3:$A$62,0))*IF(INDEX(Simulations!$I$3:$I$62,MATCH($A139,Simulations!$A$3:$A$62,0))&gt;0,INDEX(Simulations!$I$3:$I$62,MATCH($A139,Simulations!$A$3:$A$62,0)),1))*$F139*(PI()/2*INDEX(Simulations!$T$3:$T$62,MATCH($A139,Simulations!$A$3:$A$62,0))^2*IF(INDEX(Simulations!$I$3:$I$62,MATCH($A139,Simulations!$A$3:$A$62,0))&gt;0,SQRT(PI()/2)*INDEX(Simulations!$U$3:$U$62,MATCH($A139,Simulations!$A$3:$A$62,0)),1)),$D139/(INDEX(Simulations!$G$3:$G$62,MATCH($A139,Simulations!$A$3:$A$62,0))*INDEX(Simulations!$H$3:$H$62,MATCH($A139,Simulations!$A$3:$A$62,0))*IF(INDEX(Simulations!$I$3:$I$62,MATCH($A139,Simulations!$A$3:$A$62,0))&gt;0,INDEX(Simulations!$I$3:$I$62,MATCH($A139,Simulations!$A$3:$A$62,0)),1))*INDEX(Simulations!$J$3:$J$62,MATCH($A139,Simulations!$A$3:$A$62,0))*IF(INDEX(Simulations!$I$3:$I$62,MATCH($A139,Simulations!$A$3:$A$62,0))&gt;0,2*PI()*INDEX(Simulations!$T$3:$T$62,MATCH($A139,Simulations!$A$3:$A$62,0))^2*INDEX(Simulations!$U$3:$U$62,MATCH($A139,Simulations!$A$3:$A$62,0))/2^1.5*(2/3*LN($F139/INDEX(Simulations!$J$3:$J$62,MATCH($A139,Simulations!$A$3:$A$62,0)))^1.5+SQRT(LN($F139/INDEX(Simulations!$J$3:$J$62,MATCH($A139,Simulations!$A$3:$A$62,0))))+$F139/INDEX(Simulations!$J$3:$J$62,MATCH($A139,Simulations!$A$3:$A$62,0))*SQRT(PI())/2*ERFC(SQRT(LN($F139/INDEX(Simulations!$J$3:$J$62,MATCH($A139,Simulations!$A$3:$A$62,0)))))),PI()*INDEX(Simulations!$T$3:$T$62,MATCH($A139,Simulations!$A$3:$A$62,0))^2/2*(LN($F139/INDEX(Simulations!$J$3:$J$62,MATCH($A139,Simulations!$A$3:$A$62,0)))+1)))))</f>
        <v/>
      </c>
      <c r="S139" s="16" t="str">
        <f aca="false">IF(OR($A139="",ISNA(MATCH($A139,Simulations!$A$3:$A$62,0))),"",IF(N($G139)&lt;=0,0,IF($G139&lt;INDEX(Simulations!$J$3:$J$62,MATCH($A139,Simulations!$A$3:$A$62,0)),$D139/(INDEX(Simulations!$G$3:$G$62,MATCH($A139,Simulations!$A$3:$A$62,0))*INDEX(Simulations!$H$3:$H$62,MATCH($A139,Simulations!$A$3:$A$62,0))*IF(INDEX(Simulations!$I$3:$I$62,MATCH($A139,Simulations!$A$3:$A$62,0))&gt;0,INDEX(Simulations!$I$3:$I$62,MATCH($A139,Simulations!$A$3:$A$62,0)),1))*$G139*(PI()/2*INDEX(Simulations!$T$3:$T$62,MATCH($A139,Simulations!$A$3:$A$62,0))^2*IF(INDEX(Simulations!$I$3:$I$62,MATCH($A139,Simulations!$A$3:$A$62,0))&gt;0,SQRT(PI()/2)*INDEX(Simulations!$U$3:$U$62,MATCH($A139,Simulations!$A$3:$A$62,0)),1)),$D139/(INDEX(Simulations!$G$3:$G$62,MATCH($A139,Simulations!$A$3:$A$62,0))*INDEX(Simulations!$H$3:$H$62,MATCH($A139,Simulations!$A$3:$A$62,0))*IF(INDEX(Simulations!$I$3:$I$62,MATCH($A139,Simulations!$A$3:$A$62,0))&gt;0,INDEX(Simulations!$I$3:$I$62,MATCH($A139,Simulations!$A$3:$A$62,0)),1))*INDEX(Simulations!$J$3:$J$62,MATCH($A139,Simulations!$A$3:$A$62,0))*IF(INDEX(Simulations!$I$3:$I$62,MATCH($A139,Simulations!$A$3:$A$62,0))&gt;0,2*PI()*INDEX(Simulations!$T$3:$T$62,MATCH($A139,Simulations!$A$3:$A$62,0))^2*INDEX(Simulations!$U$3:$U$62,MATCH($A139,Simulations!$A$3:$A$62,0))/2^1.5*(2/3*LN($G139/INDEX(Simulations!$J$3:$J$62,MATCH($A139,Simulations!$A$3:$A$62,0)))^1.5+SQRT(LN($G139/INDEX(Simulations!$J$3:$J$62,MATCH($A139,Simulations!$A$3:$A$62,0))))+$G139/INDEX(Simulations!$J$3:$J$62,MATCH($A139,Simulations!$A$3:$A$62,0))*SQRT(PI())/2*ERFC(SQRT(LN($G139/INDEX(Simulations!$J$3:$J$62,MATCH($A139,Simulations!$A$3:$A$62,0)))))),PI()*INDEX(Simulations!$T$3:$T$62,MATCH($A139,Simulations!$A$3:$A$62,0))^2/2*(LN($G139/INDEX(Simulations!$J$3:$J$62,MATCH($A139,Simulations!$A$3:$A$62,0)))+1)))))</f>
        <v/>
      </c>
      <c r="T139" s="16" t="str">
        <f aca="false">IF(OR($A139="",ISNA(MATCH($A139,Simulations!$A$3:$A$62,0))),"",IF(N($H139)&lt;=0,0,IF($H139&lt;INDEX(Simulations!$J$3:$J$62,MATCH($A139,Simulations!$A$3:$A$62,0)),$D139/(INDEX(Simulations!$G$3:$G$62,MATCH($A139,Simulations!$A$3:$A$62,0))*INDEX(Simulations!$H$3:$H$62,MATCH($A139,Simulations!$A$3:$A$62,0))*IF(INDEX(Simulations!$I$3:$I$62,MATCH($A139,Simulations!$A$3:$A$62,0))&gt;0,INDEX(Simulations!$I$3:$I$62,MATCH($A139,Simulations!$A$3:$A$62,0)),1))*$H139*(PI()/2*INDEX(Simulations!$T$3:$T$62,MATCH($A139,Simulations!$A$3:$A$62,0))^2*IF(INDEX(Simulations!$I$3:$I$62,MATCH($A139,Simulations!$A$3:$A$62,0))&gt;0,SQRT(PI()/2)*INDEX(Simulations!$U$3:$U$62,MATCH($A139,Simulations!$A$3:$A$62,0)),1)),$D139/(INDEX(Simulations!$G$3:$G$62,MATCH($A139,Simulations!$A$3:$A$62,0))*INDEX(Simulations!$H$3:$H$62,MATCH($A139,Simulations!$A$3:$A$62,0))*IF(INDEX(Simulations!$I$3:$I$62,MATCH($A139,Simulations!$A$3:$A$62,0))&gt;0,INDEX(Simulations!$I$3:$I$62,MATCH($A139,Simulations!$A$3:$A$62,0)),1))*INDEX(Simulations!$J$3:$J$62,MATCH($A139,Simulations!$A$3:$A$62,0))*IF(INDEX(Simulations!$I$3:$I$62,MATCH($A139,Simulations!$A$3:$A$62,0))&gt;0,2*PI()*INDEX(Simulations!$T$3:$T$62,MATCH($A139,Simulations!$A$3:$A$62,0))^2*INDEX(Simulations!$U$3:$U$62,MATCH($A139,Simulations!$A$3:$A$62,0))/2^1.5*(2/3*LN($H139/INDEX(Simulations!$J$3:$J$62,MATCH($A139,Simulations!$A$3:$A$62,0)))^1.5+SQRT(LN($H139/INDEX(Simulations!$J$3:$J$62,MATCH($A139,Simulations!$A$3:$A$62,0))))+$H139/INDEX(Simulations!$J$3:$J$62,MATCH($A139,Simulations!$A$3:$A$62,0))*SQRT(PI())/2*ERFC(SQRT(LN($H139/INDEX(Simulations!$J$3:$J$62,MATCH($A139,Simulations!$A$3:$A$62,0)))))),PI()*INDEX(Simulations!$T$3:$T$62,MATCH($A139,Simulations!$A$3:$A$62,0))^2/2*(LN($H139/INDEX(Simulations!$J$3:$J$62,MATCH($A139,Simulations!$A$3:$A$62,0)))+1)))))</f>
        <v/>
      </c>
      <c r="U139" s="18" t="str">
        <f aca="false">IF(OR(OR($A139="",ISNA(MATCH($A139,Simulations!$A$3:$A$62,0))),N($C139)&lt;=0),"",SQRT(2*$C139*1000000/(INDEX(Simulations!$J$3:$J$62,MATCH($A139,Simulations!$A$3:$A$62,0))*1000))/INDEX(Simulations!$T$3:$T$62,MATCH($A139,Simulations!$A$3:$A$62,0)))</f>
        <v/>
      </c>
      <c r="V139" s="19" t="str">
        <f aca="false">IF($A139="","",IF(ISNA(MATCH($A139,Simulations!$A$3:$A$62,0)),"✖ Sim ID not found on the Simulations sheet",IF($P139&gt;=1,"✖ brightness &gt;= sampling frequency: completely saturated (D too small, c too large)",IF($P139&gt;0.1,"⚠ brightness &gt; 10% of the sampling frequency: focus starts to saturate",IF(N($U139)&gt;0.1,"⚠ diffusion step &gt; 10% of wr: raise the sampling frequency",IF(MAX($E139:$H139)=0,"⚠ no brightness set","✔ OK"))))))</f>
        <v/>
      </c>
    </row>
    <row r="140" customFormat="false" ht="15" hidden="false" customHeight="false" outlineLevel="0" collapsed="false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4"/>
      <c r="O140" s="18" t="str">
        <f aca="false">IF(OR($A140="",ISNA(MATCH($A140,Simulations!$A$3:$A$62,0))),"",IF(INDEX(Simulations!$I$3:$I$62,MATCH($A140,Simulations!$A$3:$A$62,0))&gt;0,$D140/(INDEX(Simulations!$G$3:$G$62,MATCH($A140,Simulations!$A$3:$A$62,0))*INDEX(Simulations!$H$3:$H$62,MATCH($A140,Simulations!$A$3:$A$62,0))*IF(INDEX(Simulations!$I$3:$I$62,MATCH($A140,Simulations!$A$3:$A$62,0))&gt;0,INDEX(Simulations!$I$3:$I$62,MATCH($A140,Simulations!$A$3:$A$62,0)),1))/1E-024/6.022E+023/0.000000001,""))</f>
        <v/>
      </c>
      <c r="P140" s="20" t="str">
        <f aca="false">IF(OR($A140="",ISNA(MATCH($A140,Simulations!$A$3:$A$62,0))),"",MAX($E140:$H140)/INDEX(Simulations!$J$3:$J$62,MATCH($A140,Simulations!$A$3:$A$62,0)))</f>
        <v/>
      </c>
      <c r="Q140" s="16" t="str">
        <f aca="false">IF(OR($A140="",ISNA(MATCH($A140,Simulations!$A$3:$A$62,0))),"",IF(N($E140)&lt;=0,0,IF($E140&lt;INDEX(Simulations!$J$3:$J$62,MATCH($A140,Simulations!$A$3:$A$62,0)),$D140/(INDEX(Simulations!$G$3:$G$62,MATCH($A140,Simulations!$A$3:$A$62,0))*INDEX(Simulations!$H$3:$H$62,MATCH($A140,Simulations!$A$3:$A$62,0))*IF(INDEX(Simulations!$I$3:$I$62,MATCH($A140,Simulations!$A$3:$A$62,0))&gt;0,INDEX(Simulations!$I$3:$I$62,MATCH($A140,Simulations!$A$3:$A$62,0)),1))*$E140*(PI()/2*INDEX(Simulations!$T$3:$T$62,MATCH($A140,Simulations!$A$3:$A$62,0))^2*IF(INDEX(Simulations!$I$3:$I$62,MATCH($A140,Simulations!$A$3:$A$62,0))&gt;0,SQRT(PI()/2)*INDEX(Simulations!$U$3:$U$62,MATCH($A140,Simulations!$A$3:$A$62,0)),1)),$D140/(INDEX(Simulations!$G$3:$G$62,MATCH($A140,Simulations!$A$3:$A$62,0))*INDEX(Simulations!$H$3:$H$62,MATCH($A140,Simulations!$A$3:$A$62,0))*IF(INDEX(Simulations!$I$3:$I$62,MATCH($A140,Simulations!$A$3:$A$62,0))&gt;0,INDEX(Simulations!$I$3:$I$62,MATCH($A140,Simulations!$A$3:$A$62,0)),1))*INDEX(Simulations!$J$3:$J$62,MATCH($A140,Simulations!$A$3:$A$62,0))*IF(INDEX(Simulations!$I$3:$I$62,MATCH($A140,Simulations!$A$3:$A$62,0))&gt;0,2*PI()*INDEX(Simulations!$T$3:$T$62,MATCH($A140,Simulations!$A$3:$A$62,0))^2*INDEX(Simulations!$U$3:$U$62,MATCH($A140,Simulations!$A$3:$A$62,0))/2^1.5*(2/3*LN($E140/INDEX(Simulations!$J$3:$J$62,MATCH($A140,Simulations!$A$3:$A$62,0)))^1.5+SQRT(LN($E140/INDEX(Simulations!$J$3:$J$62,MATCH($A140,Simulations!$A$3:$A$62,0))))+$E140/INDEX(Simulations!$J$3:$J$62,MATCH($A140,Simulations!$A$3:$A$62,0))*SQRT(PI())/2*ERFC(SQRT(LN($E140/INDEX(Simulations!$J$3:$J$62,MATCH($A140,Simulations!$A$3:$A$62,0)))))),PI()*INDEX(Simulations!$T$3:$T$62,MATCH($A140,Simulations!$A$3:$A$62,0))^2/2*(LN($E140/INDEX(Simulations!$J$3:$J$62,MATCH($A140,Simulations!$A$3:$A$62,0)))+1)))))</f>
        <v/>
      </c>
      <c r="R140" s="16" t="str">
        <f aca="false">IF(OR($A140="",ISNA(MATCH($A140,Simulations!$A$3:$A$62,0))),"",IF(N($F140)&lt;=0,0,IF($F140&lt;INDEX(Simulations!$J$3:$J$62,MATCH($A140,Simulations!$A$3:$A$62,0)),$D140/(INDEX(Simulations!$G$3:$G$62,MATCH($A140,Simulations!$A$3:$A$62,0))*INDEX(Simulations!$H$3:$H$62,MATCH($A140,Simulations!$A$3:$A$62,0))*IF(INDEX(Simulations!$I$3:$I$62,MATCH($A140,Simulations!$A$3:$A$62,0))&gt;0,INDEX(Simulations!$I$3:$I$62,MATCH($A140,Simulations!$A$3:$A$62,0)),1))*$F140*(PI()/2*INDEX(Simulations!$T$3:$T$62,MATCH($A140,Simulations!$A$3:$A$62,0))^2*IF(INDEX(Simulations!$I$3:$I$62,MATCH($A140,Simulations!$A$3:$A$62,0))&gt;0,SQRT(PI()/2)*INDEX(Simulations!$U$3:$U$62,MATCH($A140,Simulations!$A$3:$A$62,0)),1)),$D140/(INDEX(Simulations!$G$3:$G$62,MATCH($A140,Simulations!$A$3:$A$62,0))*INDEX(Simulations!$H$3:$H$62,MATCH($A140,Simulations!$A$3:$A$62,0))*IF(INDEX(Simulations!$I$3:$I$62,MATCH($A140,Simulations!$A$3:$A$62,0))&gt;0,INDEX(Simulations!$I$3:$I$62,MATCH($A140,Simulations!$A$3:$A$62,0)),1))*INDEX(Simulations!$J$3:$J$62,MATCH($A140,Simulations!$A$3:$A$62,0))*IF(INDEX(Simulations!$I$3:$I$62,MATCH($A140,Simulations!$A$3:$A$62,0))&gt;0,2*PI()*INDEX(Simulations!$T$3:$T$62,MATCH($A140,Simulations!$A$3:$A$62,0))^2*INDEX(Simulations!$U$3:$U$62,MATCH($A140,Simulations!$A$3:$A$62,0))/2^1.5*(2/3*LN($F140/INDEX(Simulations!$J$3:$J$62,MATCH($A140,Simulations!$A$3:$A$62,0)))^1.5+SQRT(LN($F140/INDEX(Simulations!$J$3:$J$62,MATCH($A140,Simulations!$A$3:$A$62,0))))+$F140/INDEX(Simulations!$J$3:$J$62,MATCH($A140,Simulations!$A$3:$A$62,0))*SQRT(PI())/2*ERFC(SQRT(LN($F140/INDEX(Simulations!$J$3:$J$62,MATCH($A140,Simulations!$A$3:$A$62,0)))))),PI()*INDEX(Simulations!$T$3:$T$62,MATCH($A140,Simulations!$A$3:$A$62,0))^2/2*(LN($F140/INDEX(Simulations!$J$3:$J$62,MATCH($A140,Simulations!$A$3:$A$62,0)))+1)))))</f>
        <v/>
      </c>
      <c r="S140" s="16" t="str">
        <f aca="false">IF(OR($A140="",ISNA(MATCH($A140,Simulations!$A$3:$A$62,0))),"",IF(N($G140)&lt;=0,0,IF($G140&lt;INDEX(Simulations!$J$3:$J$62,MATCH($A140,Simulations!$A$3:$A$62,0)),$D140/(INDEX(Simulations!$G$3:$G$62,MATCH($A140,Simulations!$A$3:$A$62,0))*INDEX(Simulations!$H$3:$H$62,MATCH($A140,Simulations!$A$3:$A$62,0))*IF(INDEX(Simulations!$I$3:$I$62,MATCH($A140,Simulations!$A$3:$A$62,0))&gt;0,INDEX(Simulations!$I$3:$I$62,MATCH($A140,Simulations!$A$3:$A$62,0)),1))*$G140*(PI()/2*INDEX(Simulations!$T$3:$T$62,MATCH($A140,Simulations!$A$3:$A$62,0))^2*IF(INDEX(Simulations!$I$3:$I$62,MATCH($A140,Simulations!$A$3:$A$62,0))&gt;0,SQRT(PI()/2)*INDEX(Simulations!$U$3:$U$62,MATCH($A140,Simulations!$A$3:$A$62,0)),1)),$D140/(INDEX(Simulations!$G$3:$G$62,MATCH($A140,Simulations!$A$3:$A$62,0))*INDEX(Simulations!$H$3:$H$62,MATCH($A140,Simulations!$A$3:$A$62,0))*IF(INDEX(Simulations!$I$3:$I$62,MATCH($A140,Simulations!$A$3:$A$62,0))&gt;0,INDEX(Simulations!$I$3:$I$62,MATCH($A140,Simulations!$A$3:$A$62,0)),1))*INDEX(Simulations!$J$3:$J$62,MATCH($A140,Simulations!$A$3:$A$62,0))*IF(INDEX(Simulations!$I$3:$I$62,MATCH($A140,Simulations!$A$3:$A$62,0))&gt;0,2*PI()*INDEX(Simulations!$T$3:$T$62,MATCH($A140,Simulations!$A$3:$A$62,0))^2*INDEX(Simulations!$U$3:$U$62,MATCH($A140,Simulations!$A$3:$A$62,0))/2^1.5*(2/3*LN($G140/INDEX(Simulations!$J$3:$J$62,MATCH($A140,Simulations!$A$3:$A$62,0)))^1.5+SQRT(LN($G140/INDEX(Simulations!$J$3:$J$62,MATCH($A140,Simulations!$A$3:$A$62,0))))+$G140/INDEX(Simulations!$J$3:$J$62,MATCH($A140,Simulations!$A$3:$A$62,0))*SQRT(PI())/2*ERFC(SQRT(LN($G140/INDEX(Simulations!$J$3:$J$62,MATCH($A140,Simulations!$A$3:$A$62,0)))))),PI()*INDEX(Simulations!$T$3:$T$62,MATCH($A140,Simulations!$A$3:$A$62,0))^2/2*(LN($G140/INDEX(Simulations!$J$3:$J$62,MATCH($A140,Simulations!$A$3:$A$62,0)))+1)))))</f>
        <v/>
      </c>
      <c r="T140" s="16" t="str">
        <f aca="false">IF(OR($A140="",ISNA(MATCH($A140,Simulations!$A$3:$A$62,0))),"",IF(N($H140)&lt;=0,0,IF($H140&lt;INDEX(Simulations!$J$3:$J$62,MATCH($A140,Simulations!$A$3:$A$62,0)),$D140/(INDEX(Simulations!$G$3:$G$62,MATCH($A140,Simulations!$A$3:$A$62,0))*INDEX(Simulations!$H$3:$H$62,MATCH($A140,Simulations!$A$3:$A$62,0))*IF(INDEX(Simulations!$I$3:$I$62,MATCH($A140,Simulations!$A$3:$A$62,0))&gt;0,INDEX(Simulations!$I$3:$I$62,MATCH($A140,Simulations!$A$3:$A$62,0)),1))*$H140*(PI()/2*INDEX(Simulations!$T$3:$T$62,MATCH($A140,Simulations!$A$3:$A$62,0))^2*IF(INDEX(Simulations!$I$3:$I$62,MATCH($A140,Simulations!$A$3:$A$62,0))&gt;0,SQRT(PI()/2)*INDEX(Simulations!$U$3:$U$62,MATCH($A140,Simulations!$A$3:$A$62,0)),1)),$D140/(INDEX(Simulations!$G$3:$G$62,MATCH($A140,Simulations!$A$3:$A$62,0))*INDEX(Simulations!$H$3:$H$62,MATCH($A140,Simulations!$A$3:$A$62,0))*IF(INDEX(Simulations!$I$3:$I$62,MATCH($A140,Simulations!$A$3:$A$62,0))&gt;0,INDEX(Simulations!$I$3:$I$62,MATCH($A140,Simulations!$A$3:$A$62,0)),1))*INDEX(Simulations!$J$3:$J$62,MATCH($A140,Simulations!$A$3:$A$62,0))*IF(INDEX(Simulations!$I$3:$I$62,MATCH($A140,Simulations!$A$3:$A$62,0))&gt;0,2*PI()*INDEX(Simulations!$T$3:$T$62,MATCH($A140,Simulations!$A$3:$A$62,0))^2*INDEX(Simulations!$U$3:$U$62,MATCH($A140,Simulations!$A$3:$A$62,0))/2^1.5*(2/3*LN($H140/INDEX(Simulations!$J$3:$J$62,MATCH($A140,Simulations!$A$3:$A$62,0)))^1.5+SQRT(LN($H140/INDEX(Simulations!$J$3:$J$62,MATCH($A140,Simulations!$A$3:$A$62,0))))+$H140/INDEX(Simulations!$J$3:$J$62,MATCH($A140,Simulations!$A$3:$A$62,0))*SQRT(PI())/2*ERFC(SQRT(LN($H140/INDEX(Simulations!$J$3:$J$62,MATCH($A140,Simulations!$A$3:$A$62,0)))))),PI()*INDEX(Simulations!$T$3:$T$62,MATCH($A140,Simulations!$A$3:$A$62,0))^2/2*(LN($H140/INDEX(Simulations!$J$3:$J$62,MATCH($A140,Simulations!$A$3:$A$62,0)))+1)))))</f>
        <v/>
      </c>
      <c r="U140" s="18" t="str">
        <f aca="false">IF(OR(OR($A140="",ISNA(MATCH($A140,Simulations!$A$3:$A$62,0))),N($C140)&lt;=0),"",SQRT(2*$C140*1000000/(INDEX(Simulations!$J$3:$J$62,MATCH($A140,Simulations!$A$3:$A$62,0))*1000))/INDEX(Simulations!$T$3:$T$62,MATCH($A140,Simulations!$A$3:$A$62,0)))</f>
        <v/>
      </c>
      <c r="V140" s="19" t="str">
        <f aca="false">IF($A140="","",IF(ISNA(MATCH($A140,Simulations!$A$3:$A$62,0)),"✖ Sim ID not found on the Simulations sheet",IF($P140&gt;=1,"✖ brightness &gt;= sampling frequency: completely saturated (D too small, c too large)",IF($P140&gt;0.1,"⚠ brightness &gt; 10% of the sampling frequency: focus starts to saturate",IF(N($U140)&gt;0.1,"⚠ diffusion step &gt; 10% of wr: raise the sampling frequency",IF(MAX($E140:$H140)=0,"⚠ no brightness set","✔ OK"))))))</f>
        <v/>
      </c>
    </row>
    <row r="141" customFormat="false" ht="15" hidden="false" customHeight="false" outlineLevel="0" collapsed="false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4"/>
      <c r="O141" s="18" t="str">
        <f aca="false">IF(OR($A141="",ISNA(MATCH($A141,Simulations!$A$3:$A$62,0))),"",IF(INDEX(Simulations!$I$3:$I$62,MATCH($A141,Simulations!$A$3:$A$62,0))&gt;0,$D141/(INDEX(Simulations!$G$3:$G$62,MATCH($A141,Simulations!$A$3:$A$62,0))*INDEX(Simulations!$H$3:$H$62,MATCH($A141,Simulations!$A$3:$A$62,0))*IF(INDEX(Simulations!$I$3:$I$62,MATCH($A141,Simulations!$A$3:$A$62,0))&gt;0,INDEX(Simulations!$I$3:$I$62,MATCH($A141,Simulations!$A$3:$A$62,0)),1))/1E-024/6.022E+023/0.000000001,""))</f>
        <v/>
      </c>
      <c r="P141" s="20" t="str">
        <f aca="false">IF(OR($A141="",ISNA(MATCH($A141,Simulations!$A$3:$A$62,0))),"",MAX($E141:$H141)/INDEX(Simulations!$J$3:$J$62,MATCH($A141,Simulations!$A$3:$A$62,0)))</f>
        <v/>
      </c>
      <c r="Q141" s="16" t="str">
        <f aca="false">IF(OR($A141="",ISNA(MATCH($A141,Simulations!$A$3:$A$62,0))),"",IF(N($E141)&lt;=0,0,IF($E141&lt;INDEX(Simulations!$J$3:$J$62,MATCH($A141,Simulations!$A$3:$A$62,0)),$D141/(INDEX(Simulations!$G$3:$G$62,MATCH($A141,Simulations!$A$3:$A$62,0))*INDEX(Simulations!$H$3:$H$62,MATCH($A141,Simulations!$A$3:$A$62,0))*IF(INDEX(Simulations!$I$3:$I$62,MATCH($A141,Simulations!$A$3:$A$62,0))&gt;0,INDEX(Simulations!$I$3:$I$62,MATCH($A141,Simulations!$A$3:$A$62,0)),1))*$E141*(PI()/2*INDEX(Simulations!$T$3:$T$62,MATCH($A141,Simulations!$A$3:$A$62,0))^2*IF(INDEX(Simulations!$I$3:$I$62,MATCH($A141,Simulations!$A$3:$A$62,0))&gt;0,SQRT(PI()/2)*INDEX(Simulations!$U$3:$U$62,MATCH($A141,Simulations!$A$3:$A$62,0)),1)),$D141/(INDEX(Simulations!$G$3:$G$62,MATCH($A141,Simulations!$A$3:$A$62,0))*INDEX(Simulations!$H$3:$H$62,MATCH($A141,Simulations!$A$3:$A$62,0))*IF(INDEX(Simulations!$I$3:$I$62,MATCH($A141,Simulations!$A$3:$A$62,0))&gt;0,INDEX(Simulations!$I$3:$I$62,MATCH($A141,Simulations!$A$3:$A$62,0)),1))*INDEX(Simulations!$J$3:$J$62,MATCH($A141,Simulations!$A$3:$A$62,0))*IF(INDEX(Simulations!$I$3:$I$62,MATCH($A141,Simulations!$A$3:$A$62,0))&gt;0,2*PI()*INDEX(Simulations!$T$3:$T$62,MATCH($A141,Simulations!$A$3:$A$62,0))^2*INDEX(Simulations!$U$3:$U$62,MATCH($A141,Simulations!$A$3:$A$62,0))/2^1.5*(2/3*LN($E141/INDEX(Simulations!$J$3:$J$62,MATCH($A141,Simulations!$A$3:$A$62,0)))^1.5+SQRT(LN($E141/INDEX(Simulations!$J$3:$J$62,MATCH($A141,Simulations!$A$3:$A$62,0))))+$E141/INDEX(Simulations!$J$3:$J$62,MATCH($A141,Simulations!$A$3:$A$62,0))*SQRT(PI())/2*ERFC(SQRT(LN($E141/INDEX(Simulations!$J$3:$J$62,MATCH($A141,Simulations!$A$3:$A$62,0)))))),PI()*INDEX(Simulations!$T$3:$T$62,MATCH($A141,Simulations!$A$3:$A$62,0))^2/2*(LN($E141/INDEX(Simulations!$J$3:$J$62,MATCH($A141,Simulations!$A$3:$A$62,0)))+1)))))</f>
        <v/>
      </c>
      <c r="R141" s="16" t="str">
        <f aca="false">IF(OR($A141="",ISNA(MATCH($A141,Simulations!$A$3:$A$62,0))),"",IF(N($F141)&lt;=0,0,IF($F141&lt;INDEX(Simulations!$J$3:$J$62,MATCH($A141,Simulations!$A$3:$A$62,0)),$D141/(INDEX(Simulations!$G$3:$G$62,MATCH($A141,Simulations!$A$3:$A$62,0))*INDEX(Simulations!$H$3:$H$62,MATCH($A141,Simulations!$A$3:$A$62,0))*IF(INDEX(Simulations!$I$3:$I$62,MATCH($A141,Simulations!$A$3:$A$62,0))&gt;0,INDEX(Simulations!$I$3:$I$62,MATCH($A141,Simulations!$A$3:$A$62,0)),1))*$F141*(PI()/2*INDEX(Simulations!$T$3:$T$62,MATCH($A141,Simulations!$A$3:$A$62,0))^2*IF(INDEX(Simulations!$I$3:$I$62,MATCH($A141,Simulations!$A$3:$A$62,0))&gt;0,SQRT(PI()/2)*INDEX(Simulations!$U$3:$U$62,MATCH($A141,Simulations!$A$3:$A$62,0)),1)),$D141/(INDEX(Simulations!$G$3:$G$62,MATCH($A141,Simulations!$A$3:$A$62,0))*INDEX(Simulations!$H$3:$H$62,MATCH($A141,Simulations!$A$3:$A$62,0))*IF(INDEX(Simulations!$I$3:$I$62,MATCH($A141,Simulations!$A$3:$A$62,0))&gt;0,INDEX(Simulations!$I$3:$I$62,MATCH($A141,Simulations!$A$3:$A$62,0)),1))*INDEX(Simulations!$J$3:$J$62,MATCH($A141,Simulations!$A$3:$A$62,0))*IF(INDEX(Simulations!$I$3:$I$62,MATCH($A141,Simulations!$A$3:$A$62,0))&gt;0,2*PI()*INDEX(Simulations!$T$3:$T$62,MATCH($A141,Simulations!$A$3:$A$62,0))^2*INDEX(Simulations!$U$3:$U$62,MATCH($A141,Simulations!$A$3:$A$62,0))/2^1.5*(2/3*LN($F141/INDEX(Simulations!$J$3:$J$62,MATCH($A141,Simulations!$A$3:$A$62,0)))^1.5+SQRT(LN($F141/INDEX(Simulations!$J$3:$J$62,MATCH($A141,Simulations!$A$3:$A$62,0))))+$F141/INDEX(Simulations!$J$3:$J$62,MATCH($A141,Simulations!$A$3:$A$62,0))*SQRT(PI())/2*ERFC(SQRT(LN($F141/INDEX(Simulations!$J$3:$J$62,MATCH($A141,Simulations!$A$3:$A$62,0)))))),PI()*INDEX(Simulations!$T$3:$T$62,MATCH($A141,Simulations!$A$3:$A$62,0))^2/2*(LN($F141/INDEX(Simulations!$J$3:$J$62,MATCH($A141,Simulations!$A$3:$A$62,0)))+1)))))</f>
        <v/>
      </c>
      <c r="S141" s="16" t="str">
        <f aca="false">IF(OR($A141="",ISNA(MATCH($A141,Simulations!$A$3:$A$62,0))),"",IF(N($G141)&lt;=0,0,IF($G141&lt;INDEX(Simulations!$J$3:$J$62,MATCH($A141,Simulations!$A$3:$A$62,0)),$D141/(INDEX(Simulations!$G$3:$G$62,MATCH($A141,Simulations!$A$3:$A$62,0))*INDEX(Simulations!$H$3:$H$62,MATCH($A141,Simulations!$A$3:$A$62,0))*IF(INDEX(Simulations!$I$3:$I$62,MATCH($A141,Simulations!$A$3:$A$62,0))&gt;0,INDEX(Simulations!$I$3:$I$62,MATCH($A141,Simulations!$A$3:$A$62,0)),1))*$G141*(PI()/2*INDEX(Simulations!$T$3:$T$62,MATCH($A141,Simulations!$A$3:$A$62,0))^2*IF(INDEX(Simulations!$I$3:$I$62,MATCH($A141,Simulations!$A$3:$A$62,0))&gt;0,SQRT(PI()/2)*INDEX(Simulations!$U$3:$U$62,MATCH($A141,Simulations!$A$3:$A$62,0)),1)),$D141/(INDEX(Simulations!$G$3:$G$62,MATCH($A141,Simulations!$A$3:$A$62,0))*INDEX(Simulations!$H$3:$H$62,MATCH($A141,Simulations!$A$3:$A$62,0))*IF(INDEX(Simulations!$I$3:$I$62,MATCH($A141,Simulations!$A$3:$A$62,0))&gt;0,INDEX(Simulations!$I$3:$I$62,MATCH($A141,Simulations!$A$3:$A$62,0)),1))*INDEX(Simulations!$J$3:$J$62,MATCH($A141,Simulations!$A$3:$A$62,0))*IF(INDEX(Simulations!$I$3:$I$62,MATCH($A141,Simulations!$A$3:$A$62,0))&gt;0,2*PI()*INDEX(Simulations!$T$3:$T$62,MATCH($A141,Simulations!$A$3:$A$62,0))^2*INDEX(Simulations!$U$3:$U$62,MATCH($A141,Simulations!$A$3:$A$62,0))/2^1.5*(2/3*LN($G141/INDEX(Simulations!$J$3:$J$62,MATCH($A141,Simulations!$A$3:$A$62,0)))^1.5+SQRT(LN($G141/INDEX(Simulations!$J$3:$J$62,MATCH($A141,Simulations!$A$3:$A$62,0))))+$G141/INDEX(Simulations!$J$3:$J$62,MATCH($A141,Simulations!$A$3:$A$62,0))*SQRT(PI())/2*ERFC(SQRT(LN($G141/INDEX(Simulations!$J$3:$J$62,MATCH($A141,Simulations!$A$3:$A$62,0)))))),PI()*INDEX(Simulations!$T$3:$T$62,MATCH($A141,Simulations!$A$3:$A$62,0))^2/2*(LN($G141/INDEX(Simulations!$J$3:$J$62,MATCH($A141,Simulations!$A$3:$A$62,0)))+1)))))</f>
        <v/>
      </c>
      <c r="T141" s="16" t="str">
        <f aca="false">IF(OR($A141="",ISNA(MATCH($A141,Simulations!$A$3:$A$62,0))),"",IF(N($H141)&lt;=0,0,IF($H141&lt;INDEX(Simulations!$J$3:$J$62,MATCH($A141,Simulations!$A$3:$A$62,0)),$D141/(INDEX(Simulations!$G$3:$G$62,MATCH($A141,Simulations!$A$3:$A$62,0))*INDEX(Simulations!$H$3:$H$62,MATCH($A141,Simulations!$A$3:$A$62,0))*IF(INDEX(Simulations!$I$3:$I$62,MATCH($A141,Simulations!$A$3:$A$62,0))&gt;0,INDEX(Simulations!$I$3:$I$62,MATCH($A141,Simulations!$A$3:$A$62,0)),1))*$H141*(PI()/2*INDEX(Simulations!$T$3:$T$62,MATCH($A141,Simulations!$A$3:$A$62,0))^2*IF(INDEX(Simulations!$I$3:$I$62,MATCH($A141,Simulations!$A$3:$A$62,0))&gt;0,SQRT(PI()/2)*INDEX(Simulations!$U$3:$U$62,MATCH($A141,Simulations!$A$3:$A$62,0)),1)),$D141/(INDEX(Simulations!$G$3:$G$62,MATCH($A141,Simulations!$A$3:$A$62,0))*INDEX(Simulations!$H$3:$H$62,MATCH($A141,Simulations!$A$3:$A$62,0))*IF(INDEX(Simulations!$I$3:$I$62,MATCH($A141,Simulations!$A$3:$A$62,0))&gt;0,INDEX(Simulations!$I$3:$I$62,MATCH($A141,Simulations!$A$3:$A$62,0)),1))*INDEX(Simulations!$J$3:$J$62,MATCH($A141,Simulations!$A$3:$A$62,0))*IF(INDEX(Simulations!$I$3:$I$62,MATCH($A141,Simulations!$A$3:$A$62,0))&gt;0,2*PI()*INDEX(Simulations!$T$3:$T$62,MATCH($A141,Simulations!$A$3:$A$62,0))^2*INDEX(Simulations!$U$3:$U$62,MATCH($A141,Simulations!$A$3:$A$62,0))/2^1.5*(2/3*LN($H141/INDEX(Simulations!$J$3:$J$62,MATCH($A141,Simulations!$A$3:$A$62,0)))^1.5+SQRT(LN($H141/INDEX(Simulations!$J$3:$J$62,MATCH($A141,Simulations!$A$3:$A$62,0))))+$H141/INDEX(Simulations!$J$3:$J$62,MATCH($A141,Simulations!$A$3:$A$62,0))*SQRT(PI())/2*ERFC(SQRT(LN($H141/INDEX(Simulations!$J$3:$J$62,MATCH($A141,Simulations!$A$3:$A$62,0)))))),PI()*INDEX(Simulations!$T$3:$T$62,MATCH($A141,Simulations!$A$3:$A$62,0))^2/2*(LN($H141/INDEX(Simulations!$J$3:$J$62,MATCH($A141,Simulations!$A$3:$A$62,0)))+1)))))</f>
        <v/>
      </c>
      <c r="U141" s="18" t="str">
        <f aca="false">IF(OR(OR($A141="",ISNA(MATCH($A141,Simulations!$A$3:$A$62,0))),N($C141)&lt;=0),"",SQRT(2*$C141*1000000/(INDEX(Simulations!$J$3:$J$62,MATCH($A141,Simulations!$A$3:$A$62,0))*1000))/INDEX(Simulations!$T$3:$T$62,MATCH($A141,Simulations!$A$3:$A$62,0)))</f>
        <v/>
      </c>
      <c r="V141" s="19" t="str">
        <f aca="false">IF($A141="","",IF(ISNA(MATCH($A141,Simulations!$A$3:$A$62,0)),"✖ Sim ID not found on the Simulations sheet",IF($P141&gt;=1,"✖ brightness &gt;= sampling frequency: completely saturated (D too small, c too large)",IF($P141&gt;0.1,"⚠ brightness &gt; 10% of the sampling frequency: focus starts to saturate",IF(N($U141)&gt;0.1,"⚠ diffusion step &gt; 10% of wr: raise the sampling frequency",IF(MAX($E141:$H141)=0,"⚠ no brightness set","✔ OK"))))))</f>
        <v/>
      </c>
    </row>
    <row r="142" customFormat="false" ht="15" hidden="false" customHeight="false" outlineLevel="0" collapsed="false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4"/>
      <c r="O142" s="18" t="str">
        <f aca="false">IF(OR($A142="",ISNA(MATCH($A142,Simulations!$A$3:$A$62,0))),"",IF(INDEX(Simulations!$I$3:$I$62,MATCH($A142,Simulations!$A$3:$A$62,0))&gt;0,$D142/(INDEX(Simulations!$G$3:$G$62,MATCH($A142,Simulations!$A$3:$A$62,0))*INDEX(Simulations!$H$3:$H$62,MATCH($A142,Simulations!$A$3:$A$62,0))*IF(INDEX(Simulations!$I$3:$I$62,MATCH($A142,Simulations!$A$3:$A$62,0))&gt;0,INDEX(Simulations!$I$3:$I$62,MATCH($A142,Simulations!$A$3:$A$62,0)),1))/1E-024/6.022E+023/0.000000001,""))</f>
        <v/>
      </c>
      <c r="P142" s="20" t="str">
        <f aca="false">IF(OR($A142="",ISNA(MATCH($A142,Simulations!$A$3:$A$62,0))),"",MAX($E142:$H142)/INDEX(Simulations!$J$3:$J$62,MATCH($A142,Simulations!$A$3:$A$62,0)))</f>
        <v/>
      </c>
      <c r="Q142" s="16" t="str">
        <f aca="false">IF(OR($A142="",ISNA(MATCH($A142,Simulations!$A$3:$A$62,0))),"",IF(N($E142)&lt;=0,0,IF($E142&lt;INDEX(Simulations!$J$3:$J$62,MATCH($A142,Simulations!$A$3:$A$62,0)),$D142/(INDEX(Simulations!$G$3:$G$62,MATCH($A142,Simulations!$A$3:$A$62,0))*INDEX(Simulations!$H$3:$H$62,MATCH($A142,Simulations!$A$3:$A$62,0))*IF(INDEX(Simulations!$I$3:$I$62,MATCH($A142,Simulations!$A$3:$A$62,0))&gt;0,INDEX(Simulations!$I$3:$I$62,MATCH($A142,Simulations!$A$3:$A$62,0)),1))*$E142*(PI()/2*INDEX(Simulations!$T$3:$T$62,MATCH($A142,Simulations!$A$3:$A$62,0))^2*IF(INDEX(Simulations!$I$3:$I$62,MATCH($A142,Simulations!$A$3:$A$62,0))&gt;0,SQRT(PI()/2)*INDEX(Simulations!$U$3:$U$62,MATCH($A142,Simulations!$A$3:$A$62,0)),1)),$D142/(INDEX(Simulations!$G$3:$G$62,MATCH($A142,Simulations!$A$3:$A$62,0))*INDEX(Simulations!$H$3:$H$62,MATCH($A142,Simulations!$A$3:$A$62,0))*IF(INDEX(Simulations!$I$3:$I$62,MATCH($A142,Simulations!$A$3:$A$62,0))&gt;0,INDEX(Simulations!$I$3:$I$62,MATCH($A142,Simulations!$A$3:$A$62,0)),1))*INDEX(Simulations!$J$3:$J$62,MATCH($A142,Simulations!$A$3:$A$62,0))*IF(INDEX(Simulations!$I$3:$I$62,MATCH($A142,Simulations!$A$3:$A$62,0))&gt;0,2*PI()*INDEX(Simulations!$T$3:$T$62,MATCH($A142,Simulations!$A$3:$A$62,0))^2*INDEX(Simulations!$U$3:$U$62,MATCH($A142,Simulations!$A$3:$A$62,0))/2^1.5*(2/3*LN($E142/INDEX(Simulations!$J$3:$J$62,MATCH($A142,Simulations!$A$3:$A$62,0)))^1.5+SQRT(LN($E142/INDEX(Simulations!$J$3:$J$62,MATCH($A142,Simulations!$A$3:$A$62,0))))+$E142/INDEX(Simulations!$J$3:$J$62,MATCH($A142,Simulations!$A$3:$A$62,0))*SQRT(PI())/2*ERFC(SQRT(LN($E142/INDEX(Simulations!$J$3:$J$62,MATCH($A142,Simulations!$A$3:$A$62,0)))))),PI()*INDEX(Simulations!$T$3:$T$62,MATCH($A142,Simulations!$A$3:$A$62,0))^2/2*(LN($E142/INDEX(Simulations!$J$3:$J$62,MATCH($A142,Simulations!$A$3:$A$62,0)))+1)))))</f>
        <v/>
      </c>
      <c r="R142" s="16" t="str">
        <f aca="false">IF(OR($A142="",ISNA(MATCH($A142,Simulations!$A$3:$A$62,0))),"",IF(N($F142)&lt;=0,0,IF($F142&lt;INDEX(Simulations!$J$3:$J$62,MATCH($A142,Simulations!$A$3:$A$62,0)),$D142/(INDEX(Simulations!$G$3:$G$62,MATCH($A142,Simulations!$A$3:$A$62,0))*INDEX(Simulations!$H$3:$H$62,MATCH($A142,Simulations!$A$3:$A$62,0))*IF(INDEX(Simulations!$I$3:$I$62,MATCH($A142,Simulations!$A$3:$A$62,0))&gt;0,INDEX(Simulations!$I$3:$I$62,MATCH($A142,Simulations!$A$3:$A$62,0)),1))*$F142*(PI()/2*INDEX(Simulations!$T$3:$T$62,MATCH($A142,Simulations!$A$3:$A$62,0))^2*IF(INDEX(Simulations!$I$3:$I$62,MATCH($A142,Simulations!$A$3:$A$62,0))&gt;0,SQRT(PI()/2)*INDEX(Simulations!$U$3:$U$62,MATCH($A142,Simulations!$A$3:$A$62,0)),1)),$D142/(INDEX(Simulations!$G$3:$G$62,MATCH($A142,Simulations!$A$3:$A$62,0))*INDEX(Simulations!$H$3:$H$62,MATCH($A142,Simulations!$A$3:$A$62,0))*IF(INDEX(Simulations!$I$3:$I$62,MATCH($A142,Simulations!$A$3:$A$62,0))&gt;0,INDEX(Simulations!$I$3:$I$62,MATCH($A142,Simulations!$A$3:$A$62,0)),1))*INDEX(Simulations!$J$3:$J$62,MATCH($A142,Simulations!$A$3:$A$62,0))*IF(INDEX(Simulations!$I$3:$I$62,MATCH($A142,Simulations!$A$3:$A$62,0))&gt;0,2*PI()*INDEX(Simulations!$T$3:$T$62,MATCH($A142,Simulations!$A$3:$A$62,0))^2*INDEX(Simulations!$U$3:$U$62,MATCH($A142,Simulations!$A$3:$A$62,0))/2^1.5*(2/3*LN($F142/INDEX(Simulations!$J$3:$J$62,MATCH($A142,Simulations!$A$3:$A$62,0)))^1.5+SQRT(LN($F142/INDEX(Simulations!$J$3:$J$62,MATCH($A142,Simulations!$A$3:$A$62,0))))+$F142/INDEX(Simulations!$J$3:$J$62,MATCH($A142,Simulations!$A$3:$A$62,0))*SQRT(PI())/2*ERFC(SQRT(LN($F142/INDEX(Simulations!$J$3:$J$62,MATCH($A142,Simulations!$A$3:$A$62,0)))))),PI()*INDEX(Simulations!$T$3:$T$62,MATCH($A142,Simulations!$A$3:$A$62,0))^2/2*(LN($F142/INDEX(Simulations!$J$3:$J$62,MATCH($A142,Simulations!$A$3:$A$62,0)))+1)))))</f>
        <v/>
      </c>
      <c r="S142" s="16" t="str">
        <f aca="false">IF(OR($A142="",ISNA(MATCH($A142,Simulations!$A$3:$A$62,0))),"",IF(N($G142)&lt;=0,0,IF($G142&lt;INDEX(Simulations!$J$3:$J$62,MATCH($A142,Simulations!$A$3:$A$62,0)),$D142/(INDEX(Simulations!$G$3:$G$62,MATCH($A142,Simulations!$A$3:$A$62,0))*INDEX(Simulations!$H$3:$H$62,MATCH($A142,Simulations!$A$3:$A$62,0))*IF(INDEX(Simulations!$I$3:$I$62,MATCH($A142,Simulations!$A$3:$A$62,0))&gt;0,INDEX(Simulations!$I$3:$I$62,MATCH($A142,Simulations!$A$3:$A$62,0)),1))*$G142*(PI()/2*INDEX(Simulations!$T$3:$T$62,MATCH($A142,Simulations!$A$3:$A$62,0))^2*IF(INDEX(Simulations!$I$3:$I$62,MATCH($A142,Simulations!$A$3:$A$62,0))&gt;0,SQRT(PI()/2)*INDEX(Simulations!$U$3:$U$62,MATCH($A142,Simulations!$A$3:$A$62,0)),1)),$D142/(INDEX(Simulations!$G$3:$G$62,MATCH($A142,Simulations!$A$3:$A$62,0))*INDEX(Simulations!$H$3:$H$62,MATCH($A142,Simulations!$A$3:$A$62,0))*IF(INDEX(Simulations!$I$3:$I$62,MATCH($A142,Simulations!$A$3:$A$62,0))&gt;0,INDEX(Simulations!$I$3:$I$62,MATCH($A142,Simulations!$A$3:$A$62,0)),1))*INDEX(Simulations!$J$3:$J$62,MATCH($A142,Simulations!$A$3:$A$62,0))*IF(INDEX(Simulations!$I$3:$I$62,MATCH($A142,Simulations!$A$3:$A$62,0))&gt;0,2*PI()*INDEX(Simulations!$T$3:$T$62,MATCH($A142,Simulations!$A$3:$A$62,0))^2*INDEX(Simulations!$U$3:$U$62,MATCH($A142,Simulations!$A$3:$A$62,0))/2^1.5*(2/3*LN($G142/INDEX(Simulations!$J$3:$J$62,MATCH($A142,Simulations!$A$3:$A$62,0)))^1.5+SQRT(LN($G142/INDEX(Simulations!$J$3:$J$62,MATCH($A142,Simulations!$A$3:$A$62,0))))+$G142/INDEX(Simulations!$J$3:$J$62,MATCH($A142,Simulations!$A$3:$A$62,0))*SQRT(PI())/2*ERFC(SQRT(LN($G142/INDEX(Simulations!$J$3:$J$62,MATCH($A142,Simulations!$A$3:$A$62,0)))))),PI()*INDEX(Simulations!$T$3:$T$62,MATCH($A142,Simulations!$A$3:$A$62,0))^2/2*(LN($G142/INDEX(Simulations!$J$3:$J$62,MATCH($A142,Simulations!$A$3:$A$62,0)))+1)))))</f>
        <v/>
      </c>
      <c r="T142" s="16" t="str">
        <f aca="false">IF(OR($A142="",ISNA(MATCH($A142,Simulations!$A$3:$A$62,0))),"",IF(N($H142)&lt;=0,0,IF($H142&lt;INDEX(Simulations!$J$3:$J$62,MATCH($A142,Simulations!$A$3:$A$62,0)),$D142/(INDEX(Simulations!$G$3:$G$62,MATCH($A142,Simulations!$A$3:$A$62,0))*INDEX(Simulations!$H$3:$H$62,MATCH($A142,Simulations!$A$3:$A$62,0))*IF(INDEX(Simulations!$I$3:$I$62,MATCH($A142,Simulations!$A$3:$A$62,0))&gt;0,INDEX(Simulations!$I$3:$I$62,MATCH($A142,Simulations!$A$3:$A$62,0)),1))*$H142*(PI()/2*INDEX(Simulations!$T$3:$T$62,MATCH($A142,Simulations!$A$3:$A$62,0))^2*IF(INDEX(Simulations!$I$3:$I$62,MATCH($A142,Simulations!$A$3:$A$62,0))&gt;0,SQRT(PI()/2)*INDEX(Simulations!$U$3:$U$62,MATCH($A142,Simulations!$A$3:$A$62,0)),1)),$D142/(INDEX(Simulations!$G$3:$G$62,MATCH($A142,Simulations!$A$3:$A$62,0))*INDEX(Simulations!$H$3:$H$62,MATCH($A142,Simulations!$A$3:$A$62,0))*IF(INDEX(Simulations!$I$3:$I$62,MATCH($A142,Simulations!$A$3:$A$62,0))&gt;0,INDEX(Simulations!$I$3:$I$62,MATCH($A142,Simulations!$A$3:$A$62,0)),1))*INDEX(Simulations!$J$3:$J$62,MATCH($A142,Simulations!$A$3:$A$62,0))*IF(INDEX(Simulations!$I$3:$I$62,MATCH($A142,Simulations!$A$3:$A$62,0))&gt;0,2*PI()*INDEX(Simulations!$T$3:$T$62,MATCH($A142,Simulations!$A$3:$A$62,0))^2*INDEX(Simulations!$U$3:$U$62,MATCH($A142,Simulations!$A$3:$A$62,0))/2^1.5*(2/3*LN($H142/INDEX(Simulations!$J$3:$J$62,MATCH($A142,Simulations!$A$3:$A$62,0)))^1.5+SQRT(LN($H142/INDEX(Simulations!$J$3:$J$62,MATCH($A142,Simulations!$A$3:$A$62,0))))+$H142/INDEX(Simulations!$J$3:$J$62,MATCH($A142,Simulations!$A$3:$A$62,0))*SQRT(PI())/2*ERFC(SQRT(LN($H142/INDEX(Simulations!$J$3:$J$62,MATCH($A142,Simulations!$A$3:$A$62,0)))))),PI()*INDEX(Simulations!$T$3:$T$62,MATCH($A142,Simulations!$A$3:$A$62,0))^2/2*(LN($H142/INDEX(Simulations!$J$3:$J$62,MATCH($A142,Simulations!$A$3:$A$62,0)))+1)))))</f>
        <v/>
      </c>
      <c r="U142" s="18" t="str">
        <f aca="false">IF(OR(OR($A142="",ISNA(MATCH($A142,Simulations!$A$3:$A$62,0))),N($C142)&lt;=0),"",SQRT(2*$C142*1000000/(INDEX(Simulations!$J$3:$J$62,MATCH($A142,Simulations!$A$3:$A$62,0))*1000))/INDEX(Simulations!$T$3:$T$62,MATCH($A142,Simulations!$A$3:$A$62,0)))</f>
        <v/>
      </c>
      <c r="V142" s="19" t="str">
        <f aca="false">IF($A142="","",IF(ISNA(MATCH($A142,Simulations!$A$3:$A$62,0)),"✖ Sim ID not found on the Simulations sheet",IF($P142&gt;=1,"✖ brightness &gt;= sampling frequency: completely saturated (D too small, c too large)",IF($P142&gt;0.1,"⚠ brightness &gt; 10% of the sampling frequency: focus starts to saturate",IF(N($U142)&gt;0.1,"⚠ diffusion step &gt; 10% of wr: raise the sampling frequency",IF(MAX($E142:$H142)=0,"⚠ no brightness set","✔ OK"))))))</f>
        <v/>
      </c>
    </row>
    <row r="143" customFormat="false" ht="15" hidden="false" customHeight="false" outlineLevel="0" collapsed="false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4"/>
      <c r="O143" s="18" t="str">
        <f aca="false">IF(OR($A143="",ISNA(MATCH($A143,Simulations!$A$3:$A$62,0))),"",IF(INDEX(Simulations!$I$3:$I$62,MATCH($A143,Simulations!$A$3:$A$62,0))&gt;0,$D143/(INDEX(Simulations!$G$3:$G$62,MATCH($A143,Simulations!$A$3:$A$62,0))*INDEX(Simulations!$H$3:$H$62,MATCH($A143,Simulations!$A$3:$A$62,0))*IF(INDEX(Simulations!$I$3:$I$62,MATCH($A143,Simulations!$A$3:$A$62,0))&gt;0,INDEX(Simulations!$I$3:$I$62,MATCH($A143,Simulations!$A$3:$A$62,0)),1))/1E-024/6.022E+023/0.000000001,""))</f>
        <v/>
      </c>
      <c r="P143" s="20" t="str">
        <f aca="false">IF(OR($A143="",ISNA(MATCH($A143,Simulations!$A$3:$A$62,0))),"",MAX($E143:$H143)/INDEX(Simulations!$J$3:$J$62,MATCH($A143,Simulations!$A$3:$A$62,0)))</f>
        <v/>
      </c>
      <c r="Q143" s="16" t="str">
        <f aca="false">IF(OR($A143="",ISNA(MATCH($A143,Simulations!$A$3:$A$62,0))),"",IF(N($E143)&lt;=0,0,IF($E143&lt;INDEX(Simulations!$J$3:$J$62,MATCH($A143,Simulations!$A$3:$A$62,0)),$D143/(INDEX(Simulations!$G$3:$G$62,MATCH($A143,Simulations!$A$3:$A$62,0))*INDEX(Simulations!$H$3:$H$62,MATCH($A143,Simulations!$A$3:$A$62,0))*IF(INDEX(Simulations!$I$3:$I$62,MATCH($A143,Simulations!$A$3:$A$62,0))&gt;0,INDEX(Simulations!$I$3:$I$62,MATCH($A143,Simulations!$A$3:$A$62,0)),1))*$E143*(PI()/2*INDEX(Simulations!$T$3:$T$62,MATCH($A143,Simulations!$A$3:$A$62,0))^2*IF(INDEX(Simulations!$I$3:$I$62,MATCH($A143,Simulations!$A$3:$A$62,0))&gt;0,SQRT(PI()/2)*INDEX(Simulations!$U$3:$U$62,MATCH($A143,Simulations!$A$3:$A$62,0)),1)),$D143/(INDEX(Simulations!$G$3:$G$62,MATCH($A143,Simulations!$A$3:$A$62,0))*INDEX(Simulations!$H$3:$H$62,MATCH($A143,Simulations!$A$3:$A$62,0))*IF(INDEX(Simulations!$I$3:$I$62,MATCH($A143,Simulations!$A$3:$A$62,0))&gt;0,INDEX(Simulations!$I$3:$I$62,MATCH($A143,Simulations!$A$3:$A$62,0)),1))*INDEX(Simulations!$J$3:$J$62,MATCH($A143,Simulations!$A$3:$A$62,0))*IF(INDEX(Simulations!$I$3:$I$62,MATCH($A143,Simulations!$A$3:$A$62,0))&gt;0,2*PI()*INDEX(Simulations!$T$3:$T$62,MATCH($A143,Simulations!$A$3:$A$62,0))^2*INDEX(Simulations!$U$3:$U$62,MATCH($A143,Simulations!$A$3:$A$62,0))/2^1.5*(2/3*LN($E143/INDEX(Simulations!$J$3:$J$62,MATCH($A143,Simulations!$A$3:$A$62,0)))^1.5+SQRT(LN($E143/INDEX(Simulations!$J$3:$J$62,MATCH($A143,Simulations!$A$3:$A$62,0))))+$E143/INDEX(Simulations!$J$3:$J$62,MATCH($A143,Simulations!$A$3:$A$62,0))*SQRT(PI())/2*ERFC(SQRT(LN($E143/INDEX(Simulations!$J$3:$J$62,MATCH($A143,Simulations!$A$3:$A$62,0)))))),PI()*INDEX(Simulations!$T$3:$T$62,MATCH($A143,Simulations!$A$3:$A$62,0))^2/2*(LN($E143/INDEX(Simulations!$J$3:$J$62,MATCH($A143,Simulations!$A$3:$A$62,0)))+1)))))</f>
        <v/>
      </c>
      <c r="R143" s="16" t="str">
        <f aca="false">IF(OR($A143="",ISNA(MATCH($A143,Simulations!$A$3:$A$62,0))),"",IF(N($F143)&lt;=0,0,IF($F143&lt;INDEX(Simulations!$J$3:$J$62,MATCH($A143,Simulations!$A$3:$A$62,0)),$D143/(INDEX(Simulations!$G$3:$G$62,MATCH($A143,Simulations!$A$3:$A$62,0))*INDEX(Simulations!$H$3:$H$62,MATCH($A143,Simulations!$A$3:$A$62,0))*IF(INDEX(Simulations!$I$3:$I$62,MATCH($A143,Simulations!$A$3:$A$62,0))&gt;0,INDEX(Simulations!$I$3:$I$62,MATCH($A143,Simulations!$A$3:$A$62,0)),1))*$F143*(PI()/2*INDEX(Simulations!$T$3:$T$62,MATCH($A143,Simulations!$A$3:$A$62,0))^2*IF(INDEX(Simulations!$I$3:$I$62,MATCH($A143,Simulations!$A$3:$A$62,0))&gt;0,SQRT(PI()/2)*INDEX(Simulations!$U$3:$U$62,MATCH($A143,Simulations!$A$3:$A$62,0)),1)),$D143/(INDEX(Simulations!$G$3:$G$62,MATCH($A143,Simulations!$A$3:$A$62,0))*INDEX(Simulations!$H$3:$H$62,MATCH($A143,Simulations!$A$3:$A$62,0))*IF(INDEX(Simulations!$I$3:$I$62,MATCH($A143,Simulations!$A$3:$A$62,0))&gt;0,INDEX(Simulations!$I$3:$I$62,MATCH($A143,Simulations!$A$3:$A$62,0)),1))*INDEX(Simulations!$J$3:$J$62,MATCH($A143,Simulations!$A$3:$A$62,0))*IF(INDEX(Simulations!$I$3:$I$62,MATCH($A143,Simulations!$A$3:$A$62,0))&gt;0,2*PI()*INDEX(Simulations!$T$3:$T$62,MATCH($A143,Simulations!$A$3:$A$62,0))^2*INDEX(Simulations!$U$3:$U$62,MATCH($A143,Simulations!$A$3:$A$62,0))/2^1.5*(2/3*LN($F143/INDEX(Simulations!$J$3:$J$62,MATCH($A143,Simulations!$A$3:$A$62,0)))^1.5+SQRT(LN($F143/INDEX(Simulations!$J$3:$J$62,MATCH($A143,Simulations!$A$3:$A$62,0))))+$F143/INDEX(Simulations!$J$3:$J$62,MATCH($A143,Simulations!$A$3:$A$62,0))*SQRT(PI())/2*ERFC(SQRT(LN($F143/INDEX(Simulations!$J$3:$J$62,MATCH($A143,Simulations!$A$3:$A$62,0)))))),PI()*INDEX(Simulations!$T$3:$T$62,MATCH($A143,Simulations!$A$3:$A$62,0))^2/2*(LN($F143/INDEX(Simulations!$J$3:$J$62,MATCH($A143,Simulations!$A$3:$A$62,0)))+1)))))</f>
        <v/>
      </c>
      <c r="S143" s="16" t="str">
        <f aca="false">IF(OR($A143="",ISNA(MATCH($A143,Simulations!$A$3:$A$62,0))),"",IF(N($G143)&lt;=0,0,IF($G143&lt;INDEX(Simulations!$J$3:$J$62,MATCH($A143,Simulations!$A$3:$A$62,0)),$D143/(INDEX(Simulations!$G$3:$G$62,MATCH($A143,Simulations!$A$3:$A$62,0))*INDEX(Simulations!$H$3:$H$62,MATCH($A143,Simulations!$A$3:$A$62,0))*IF(INDEX(Simulations!$I$3:$I$62,MATCH($A143,Simulations!$A$3:$A$62,0))&gt;0,INDEX(Simulations!$I$3:$I$62,MATCH($A143,Simulations!$A$3:$A$62,0)),1))*$G143*(PI()/2*INDEX(Simulations!$T$3:$T$62,MATCH($A143,Simulations!$A$3:$A$62,0))^2*IF(INDEX(Simulations!$I$3:$I$62,MATCH($A143,Simulations!$A$3:$A$62,0))&gt;0,SQRT(PI()/2)*INDEX(Simulations!$U$3:$U$62,MATCH($A143,Simulations!$A$3:$A$62,0)),1)),$D143/(INDEX(Simulations!$G$3:$G$62,MATCH($A143,Simulations!$A$3:$A$62,0))*INDEX(Simulations!$H$3:$H$62,MATCH($A143,Simulations!$A$3:$A$62,0))*IF(INDEX(Simulations!$I$3:$I$62,MATCH($A143,Simulations!$A$3:$A$62,0))&gt;0,INDEX(Simulations!$I$3:$I$62,MATCH($A143,Simulations!$A$3:$A$62,0)),1))*INDEX(Simulations!$J$3:$J$62,MATCH($A143,Simulations!$A$3:$A$62,0))*IF(INDEX(Simulations!$I$3:$I$62,MATCH($A143,Simulations!$A$3:$A$62,0))&gt;0,2*PI()*INDEX(Simulations!$T$3:$T$62,MATCH($A143,Simulations!$A$3:$A$62,0))^2*INDEX(Simulations!$U$3:$U$62,MATCH($A143,Simulations!$A$3:$A$62,0))/2^1.5*(2/3*LN($G143/INDEX(Simulations!$J$3:$J$62,MATCH($A143,Simulations!$A$3:$A$62,0)))^1.5+SQRT(LN($G143/INDEX(Simulations!$J$3:$J$62,MATCH($A143,Simulations!$A$3:$A$62,0))))+$G143/INDEX(Simulations!$J$3:$J$62,MATCH($A143,Simulations!$A$3:$A$62,0))*SQRT(PI())/2*ERFC(SQRT(LN($G143/INDEX(Simulations!$J$3:$J$62,MATCH($A143,Simulations!$A$3:$A$62,0)))))),PI()*INDEX(Simulations!$T$3:$T$62,MATCH($A143,Simulations!$A$3:$A$62,0))^2/2*(LN($G143/INDEX(Simulations!$J$3:$J$62,MATCH($A143,Simulations!$A$3:$A$62,0)))+1)))))</f>
        <v/>
      </c>
      <c r="T143" s="16" t="str">
        <f aca="false">IF(OR($A143="",ISNA(MATCH($A143,Simulations!$A$3:$A$62,0))),"",IF(N($H143)&lt;=0,0,IF($H143&lt;INDEX(Simulations!$J$3:$J$62,MATCH($A143,Simulations!$A$3:$A$62,0)),$D143/(INDEX(Simulations!$G$3:$G$62,MATCH($A143,Simulations!$A$3:$A$62,0))*INDEX(Simulations!$H$3:$H$62,MATCH($A143,Simulations!$A$3:$A$62,0))*IF(INDEX(Simulations!$I$3:$I$62,MATCH($A143,Simulations!$A$3:$A$62,0))&gt;0,INDEX(Simulations!$I$3:$I$62,MATCH($A143,Simulations!$A$3:$A$62,0)),1))*$H143*(PI()/2*INDEX(Simulations!$T$3:$T$62,MATCH($A143,Simulations!$A$3:$A$62,0))^2*IF(INDEX(Simulations!$I$3:$I$62,MATCH($A143,Simulations!$A$3:$A$62,0))&gt;0,SQRT(PI()/2)*INDEX(Simulations!$U$3:$U$62,MATCH($A143,Simulations!$A$3:$A$62,0)),1)),$D143/(INDEX(Simulations!$G$3:$G$62,MATCH($A143,Simulations!$A$3:$A$62,0))*INDEX(Simulations!$H$3:$H$62,MATCH($A143,Simulations!$A$3:$A$62,0))*IF(INDEX(Simulations!$I$3:$I$62,MATCH($A143,Simulations!$A$3:$A$62,0))&gt;0,INDEX(Simulations!$I$3:$I$62,MATCH($A143,Simulations!$A$3:$A$62,0)),1))*INDEX(Simulations!$J$3:$J$62,MATCH($A143,Simulations!$A$3:$A$62,0))*IF(INDEX(Simulations!$I$3:$I$62,MATCH($A143,Simulations!$A$3:$A$62,0))&gt;0,2*PI()*INDEX(Simulations!$T$3:$T$62,MATCH($A143,Simulations!$A$3:$A$62,0))^2*INDEX(Simulations!$U$3:$U$62,MATCH($A143,Simulations!$A$3:$A$62,0))/2^1.5*(2/3*LN($H143/INDEX(Simulations!$J$3:$J$62,MATCH($A143,Simulations!$A$3:$A$62,0)))^1.5+SQRT(LN($H143/INDEX(Simulations!$J$3:$J$62,MATCH($A143,Simulations!$A$3:$A$62,0))))+$H143/INDEX(Simulations!$J$3:$J$62,MATCH($A143,Simulations!$A$3:$A$62,0))*SQRT(PI())/2*ERFC(SQRT(LN($H143/INDEX(Simulations!$J$3:$J$62,MATCH($A143,Simulations!$A$3:$A$62,0)))))),PI()*INDEX(Simulations!$T$3:$T$62,MATCH($A143,Simulations!$A$3:$A$62,0))^2/2*(LN($H143/INDEX(Simulations!$J$3:$J$62,MATCH($A143,Simulations!$A$3:$A$62,0)))+1)))))</f>
        <v/>
      </c>
      <c r="U143" s="18" t="str">
        <f aca="false">IF(OR(OR($A143="",ISNA(MATCH($A143,Simulations!$A$3:$A$62,0))),N($C143)&lt;=0),"",SQRT(2*$C143*1000000/(INDEX(Simulations!$J$3:$J$62,MATCH($A143,Simulations!$A$3:$A$62,0))*1000))/INDEX(Simulations!$T$3:$T$62,MATCH($A143,Simulations!$A$3:$A$62,0)))</f>
        <v/>
      </c>
      <c r="V143" s="19" t="str">
        <f aca="false">IF($A143="","",IF(ISNA(MATCH($A143,Simulations!$A$3:$A$62,0)),"✖ Sim ID not found on the Simulations sheet",IF($P143&gt;=1,"✖ brightness &gt;= sampling frequency: completely saturated (D too small, c too large)",IF($P143&gt;0.1,"⚠ brightness &gt; 10% of the sampling frequency: focus starts to saturate",IF(N($U143)&gt;0.1,"⚠ diffusion step &gt; 10% of wr: raise the sampling frequency",IF(MAX($E143:$H143)=0,"⚠ no brightness set","✔ OK"))))))</f>
        <v/>
      </c>
    </row>
    <row r="144" customFormat="false" ht="15" hidden="false" customHeight="false" outlineLevel="0" collapsed="false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4"/>
      <c r="O144" s="18" t="str">
        <f aca="false">IF(OR($A144="",ISNA(MATCH($A144,Simulations!$A$3:$A$62,0))),"",IF(INDEX(Simulations!$I$3:$I$62,MATCH($A144,Simulations!$A$3:$A$62,0))&gt;0,$D144/(INDEX(Simulations!$G$3:$G$62,MATCH($A144,Simulations!$A$3:$A$62,0))*INDEX(Simulations!$H$3:$H$62,MATCH($A144,Simulations!$A$3:$A$62,0))*IF(INDEX(Simulations!$I$3:$I$62,MATCH($A144,Simulations!$A$3:$A$62,0))&gt;0,INDEX(Simulations!$I$3:$I$62,MATCH($A144,Simulations!$A$3:$A$62,0)),1))/1E-024/6.022E+023/0.000000001,""))</f>
        <v/>
      </c>
      <c r="P144" s="20" t="str">
        <f aca="false">IF(OR($A144="",ISNA(MATCH($A144,Simulations!$A$3:$A$62,0))),"",MAX($E144:$H144)/INDEX(Simulations!$J$3:$J$62,MATCH($A144,Simulations!$A$3:$A$62,0)))</f>
        <v/>
      </c>
      <c r="Q144" s="16" t="str">
        <f aca="false">IF(OR($A144="",ISNA(MATCH($A144,Simulations!$A$3:$A$62,0))),"",IF(N($E144)&lt;=0,0,IF($E144&lt;INDEX(Simulations!$J$3:$J$62,MATCH($A144,Simulations!$A$3:$A$62,0)),$D144/(INDEX(Simulations!$G$3:$G$62,MATCH($A144,Simulations!$A$3:$A$62,0))*INDEX(Simulations!$H$3:$H$62,MATCH($A144,Simulations!$A$3:$A$62,0))*IF(INDEX(Simulations!$I$3:$I$62,MATCH($A144,Simulations!$A$3:$A$62,0))&gt;0,INDEX(Simulations!$I$3:$I$62,MATCH($A144,Simulations!$A$3:$A$62,0)),1))*$E144*(PI()/2*INDEX(Simulations!$T$3:$T$62,MATCH($A144,Simulations!$A$3:$A$62,0))^2*IF(INDEX(Simulations!$I$3:$I$62,MATCH($A144,Simulations!$A$3:$A$62,0))&gt;0,SQRT(PI()/2)*INDEX(Simulations!$U$3:$U$62,MATCH($A144,Simulations!$A$3:$A$62,0)),1)),$D144/(INDEX(Simulations!$G$3:$G$62,MATCH($A144,Simulations!$A$3:$A$62,0))*INDEX(Simulations!$H$3:$H$62,MATCH($A144,Simulations!$A$3:$A$62,0))*IF(INDEX(Simulations!$I$3:$I$62,MATCH($A144,Simulations!$A$3:$A$62,0))&gt;0,INDEX(Simulations!$I$3:$I$62,MATCH($A144,Simulations!$A$3:$A$62,0)),1))*INDEX(Simulations!$J$3:$J$62,MATCH($A144,Simulations!$A$3:$A$62,0))*IF(INDEX(Simulations!$I$3:$I$62,MATCH($A144,Simulations!$A$3:$A$62,0))&gt;0,2*PI()*INDEX(Simulations!$T$3:$T$62,MATCH($A144,Simulations!$A$3:$A$62,0))^2*INDEX(Simulations!$U$3:$U$62,MATCH($A144,Simulations!$A$3:$A$62,0))/2^1.5*(2/3*LN($E144/INDEX(Simulations!$J$3:$J$62,MATCH($A144,Simulations!$A$3:$A$62,0)))^1.5+SQRT(LN($E144/INDEX(Simulations!$J$3:$J$62,MATCH($A144,Simulations!$A$3:$A$62,0))))+$E144/INDEX(Simulations!$J$3:$J$62,MATCH($A144,Simulations!$A$3:$A$62,0))*SQRT(PI())/2*ERFC(SQRT(LN($E144/INDEX(Simulations!$J$3:$J$62,MATCH($A144,Simulations!$A$3:$A$62,0)))))),PI()*INDEX(Simulations!$T$3:$T$62,MATCH($A144,Simulations!$A$3:$A$62,0))^2/2*(LN($E144/INDEX(Simulations!$J$3:$J$62,MATCH($A144,Simulations!$A$3:$A$62,0)))+1)))))</f>
        <v/>
      </c>
      <c r="R144" s="16" t="str">
        <f aca="false">IF(OR($A144="",ISNA(MATCH($A144,Simulations!$A$3:$A$62,0))),"",IF(N($F144)&lt;=0,0,IF($F144&lt;INDEX(Simulations!$J$3:$J$62,MATCH($A144,Simulations!$A$3:$A$62,0)),$D144/(INDEX(Simulations!$G$3:$G$62,MATCH($A144,Simulations!$A$3:$A$62,0))*INDEX(Simulations!$H$3:$H$62,MATCH($A144,Simulations!$A$3:$A$62,0))*IF(INDEX(Simulations!$I$3:$I$62,MATCH($A144,Simulations!$A$3:$A$62,0))&gt;0,INDEX(Simulations!$I$3:$I$62,MATCH($A144,Simulations!$A$3:$A$62,0)),1))*$F144*(PI()/2*INDEX(Simulations!$T$3:$T$62,MATCH($A144,Simulations!$A$3:$A$62,0))^2*IF(INDEX(Simulations!$I$3:$I$62,MATCH($A144,Simulations!$A$3:$A$62,0))&gt;0,SQRT(PI()/2)*INDEX(Simulations!$U$3:$U$62,MATCH($A144,Simulations!$A$3:$A$62,0)),1)),$D144/(INDEX(Simulations!$G$3:$G$62,MATCH($A144,Simulations!$A$3:$A$62,0))*INDEX(Simulations!$H$3:$H$62,MATCH($A144,Simulations!$A$3:$A$62,0))*IF(INDEX(Simulations!$I$3:$I$62,MATCH($A144,Simulations!$A$3:$A$62,0))&gt;0,INDEX(Simulations!$I$3:$I$62,MATCH($A144,Simulations!$A$3:$A$62,0)),1))*INDEX(Simulations!$J$3:$J$62,MATCH($A144,Simulations!$A$3:$A$62,0))*IF(INDEX(Simulations!$I$3:$I$62,MATCH($A144,Simulations!$A$3:$A$62,0))&gt;0,2*PI()*INDEX(Simulations!$T$3:$T$62,MATCH($A144,Simulations!$A$3:$A$62,0))^2*INDEX(Simulations!$U$3:$U$62,MATCH($A144,Simulations!$A$3:$A$62,0))/2^1.5*(2/3*LN($F144/INDEX(Simulations!$J$3:$J$62,MATCH($A144,Simulations!$A$3:$A$62,0)))^1.5+SQRT(LN($F144/INDEX(Simulations!$J$3:$J$62,MATCH($A144,Simulations!$A$3:$A$62,0))))+$F144/INDEX(Simulations!$J$3:$J$62,MATCH($A144,Simulations!$A$3:$A$62,0))*SQRT(PI())/2*ERFC(SQRT(LN($F144/INDEX(Simulations!$J$3:$J$62,MATCH($A144,Simulations!$A$3:$A$62,0)))))),PI()*INDEX(Simulations!$T$3:$T$62,MATCH($A144,Simulations!$A$3:$A$62,0))^2/2*(LN($F144/INDEX(Simulations!$J$3:$J$62,MATCH($A144,Simulations!$A$3:$A$62,0)))+1)))))</f>
        <v/>
      </c>
      <c r="S144" s="16" t="str">
        <f aca="false">IF(OR($A144="",ISNA(MATCH($A144,Simulations!$A$3:$A$62,0))),"",IF(N($G144)&lt;=0,0,IF($G144&lt;INDEX(Simulations!$J$3:$J$62,MATCH($A144,Simulations!$A$3:$A$62,0)),$D144/(INDEX(Simulations!$G$3:$G$62,MATCH($A144,Simulations!$A$3:$A$62,0))*INDEX(Simulations!$H$3:$H$62,MATCH($A144,Simulations!$A$3:$A$62,0))*IF(INDEX(Simulations!$I$3:$I$62,MATCH($A144,Simulations!$A$3:$A$62,0))&gt;0,INDEX(Simulations!$I$3:$I$62,MATCH($A144,Simulations!$A$3:$A$62,0)),1))*$G144*(PI()/2*INDEX(Simulations!$T$3:$T$62,MATCH($A144,Simulations!$A$3:$A$62,0))^2*IF(INDEX(Simulations!$I$3:$I$62,MATCH($A144,Simulations!$A$3:$A$62,0))&gt;0,SQRT(PI()/2)*INDEX(Simulations!$U$3:$U$62,MATCH($A144,Simulations!$A$3:$A$62,0)),1)),$D144/(INDEX(Simulations!$G$3:$G$62,MATCH($A144,Simulations!$A$3:$A$62,0))*INDEX(Simulations!$H$3:$H$62,MATCH($A144,Simulations!$A$3:$A$62,0))*IF(INDEX(Simulations!$I$3:$I$62,MATCH($A144,Simulations!$A$3:$A$62,0))&gt;0,INDEX(Simulations!$I$3:$I$62,MATCH($A144,Simulations!$A$3:$A$62,0)),1))*INDEX(Simulations!$J$3:$J$62,MATCH($A144,Simulations!$A$3:$A$62,0))*IF(INDEX(Simulations!$I$3:$I$62,MATCH($A144,Simulations!$A$3:$A$62,0))&gt;0,2*PI()*INDEX(Simulations!$T$3:$T$62,MATCH($A144,Simulations!$A$3:$A$62,0))^2*INDEX(Simulations!$U$3:$U$62,MATCH($A144,Simulations!$A$3:$A$62,0))/2^1.5*(2/3*LN($G144/INDEX(Simulations!$J$3:$J$62,MATCH($A144,Simulations!$A$3:$A$62,0)))^1.5+SQRT(LN($G144/INDEX(Simulations!$J$3:$J$62,MATCH($A144,Simulations!$A$3:$A$62,0))))+$G144/INDEX(Simulations!$J$3:$J$62,MATCH($A144,Simulations!$A$3:$A$62,0))*SQRT(PI())/2*ERFC(SQRT(LN($G144/INDEX(Simulations!$J$3:$J$62,MATCH($A144,Simulations!$A$3:$A$62,0)))))),PI()*INDEX(Simulations!$T$3:$T$62,MATCH($A144,Simulations!$A$3:$A$62,0))^2/2*(LN($G144/INDEX(Simulations!$J$3:$J$62,MATCH($A144,Simulations!$A$3:$A$62,0)))+1)))))</f>
        <v/>
      </c>
      <c r="T144" s="16" t="str">
        <f aca="false">IF(OR($A144="",ISNA(MATCH($A144,Simulations!$A$3:$A$62,0))),"",IF(N($H144)&lt;=0,0,IF($H144&lt;INDEX(Simulations!$J$3:$J$62,MATCH($A144,Simulations!$A$3:$A$62,0)),$D144/(INDEX(Simulations!$G$3:$G$62,MATCH($A144,Simulations!$A$3:$A$62,0))*INDEX(Simulations!$H$3:$H$62,MATCH($A144,Simulations!$A$3:$A$62,0))*IF(INDEX(Simulations!$I$3:$I$62,MATCH($A144,Simulations!$A$3:$A$62,0))&gt;0,INDEX(Simulations!$I$3:$I$62,MATCH($A144,Simulations!$A$3:$A$62,0)),1))*$H144*(PI()/2*INDEX(Simulations!$T$3:$T$62,MATCH($A144,Simulations!$A$3:$A$62,0))^2*IF(INDEX(Simulations!$I$3:$I$62,MATCH($A144,Simulations!$A$3:$A$62,0))&gt;0,SQRT(PI()/2)*INDEX(Simulations!$U$3:$U$62,MATCH($A144,Simulations!$A$3:$A$62,0)),1)),$D144/(INDEX(Simulations!$G$3:$G$62,MATCH($A144,Simulations!$A$3:$A$62,0))*INDEX(Simulations!$H$3:$H$62,MATCH($A144,Simulations!$A$3:$A$62,0))*IF(INDEX(Simulations!$I$3:$I$62,MATCH($A144,Simulations!$A$3:$A$62,0))&gt;0,INDEX(Simulations!$I$3:$I$62,MATCH($A144,Simulations!$A$3:$A$62,0)),1))*INDEX(Simulations!$J$3:$J$62,MATCH($A144,Simulations!$A$3:$A$62,0))*IF(INDEX(Simulations!$I$3:$I$62,MATCH($A144,Simulations!$A$3:$A$62,0))&gt;0,2*PI()*INDEX(Simulations!$T$3:$T$62,MATCH($A144,Simulations!$A$3:$A$62,0))^2*INDEX(Simulations!$U$3:$U$62,MATCH($A144,Simulations!$A$3:$A$62,0))/2^1.5*(2/3*LN($H144/INDEX(Simulations!$J$3:$J$62,MATCH($A144,Simulations!$A$3:$A$62,0)))^1.5+SQRT(LN($H144/INDEX(Simulations!$J$3:$J$62,MATCH($A144,Simulations!$A$3:$A$62,0))))+$H144/INDEX(Simulations!$J$3:$J$62,MATCH($A144,Simulations!$A$3:$A$62,0))*SQRT(PI())/2*ERFC(SQRT(LN($H144/INDEX(Simulations!$J$3:$J$62,MATCH($A144,Simulations!$A$3:$A$62,0)))))),PI()*INDEX(Simulations!$T$3:$T$62,MATCH($A144,Simulations!$A$3:$A$62,0))^2/2*(LN($H144/INDEX(Simulations!$J$3:$J$62,MATCH($A144,Simulations!$A$3:$A$62,0)))+1)))))</f>
        <v/>
      </c>
      <c r="U144" s="18" t="str">
        <f aca="false">IF(OR(OR($A144="",ISNA(MATCH($A144,Simulations!$A$3:$A$62,0))),N($C144)&lt;=0),"",SQRT(2*$C144*1000000/(INDEX(Simulations!$J$3:$J$62,MATCH($A144,Simulations!$A$3:$A$62,0))*1000))/INDEX(Simulations!$T$3:$T$62,MATCH($A144,Simulations!$A$3:$A$62,0)))</f>
        <v/>
      </c>
      <c r="V144" s="19" t="str">
        <f aca="false">IF($A144="","",IF(ISNA(MATCH($A144,Simulations!$A$3:$A$62,0)),"✖ Sim ID not found on the Simulations sheet",IF($P144&gt;=1,"✖ brightness &gt;= sampling frequency: completely saturated (D too small, c too large)",IF($P144&gt;0.1,"⚠ brightness &gt; 10% of the sampling frequency: focus starts to saturate",IF(N($U144)&gt;0.1,"⚠ diffusion step &gt; 10% of wr: raise the sampling frequency",IF(MAX($E144:$H144)=0,"⚠ no brightness set","✔ OK"))))))</f>
        <v/>
      </c>
    </row>
    <row r="145" customFormat="false" ht="15" hidden="false" customHeight="false" outlineLevel="0" collapsed="false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4"/>
      <c r="O145" s="18" t="str">
        <f aca="false">IF(OR($A145="",ISNA(MATCH($A145,Simulations!$A$3:$A$62,0))),"",IF(INDEX(Simulations!$I$3:$I$62,MATCH($A145,Simulations!$A$3:$A$62,0))&gt;0,$D145/(INDEX(Simulations!$G$3:$G$62,MATCH($A145,Simulations!$A$3:$A$62,0))*INDEX(Simulations!$H$3:$H$62,MATCH($A145,Simulations!$A$3:$A$62,0))*IF(INDEX(Simulations!$I$3:$I$62,MATCH($A145,Simulations!$A$3:$A$62,0))&gt;0,INDEX(Simulations!$I$3:$I$62,MATCH($A145,Simulations!$A$3:$A$62,0)),1))/1E-024/6.022E+023/0.000000001,""))</f>
        <v/>
      </c>
      <c r="P145" s="20" t="str">
        <f aca="false">IF(OR($A145="",ISNA(MATCH($A145,Simulations!$A$3:$A$62,0))),"",MAX($E145:$H145)/INDEX(Simulations!$J$3:$J$62,MATCH($A145,Simulations!$A$3:$A$62,0)))</f>
        <v/>
      </c>
      <c r="Q145" s="16" t="str">
        <f aca="false">IF(OR($A145="",ISNA(MATCH($A145,Simulations!$A$3:$A$62,0))),"",IF(N($E145)&lt;=0,0,IF($E145&lt;INDEX(Simulations!$J$3:$J$62,MATCH($A145,Simulations!$A$3:$A$62,0)),$D145/(INDEX(Simulations!$G$3:$G$62,MATCH($A145,Simulations!$A$3:$A$62,0))*INDEX(Simulations!$H$3:$H$62,MATCH($A145,Simulations!$A$3:$A$62,0))*IF(INDEX(Simulations!$I$3:$I$62,MATCH($A145,Simulations!$A$3:$A$62,0))&gt;0,INDEX(Simulations!$I$3:$I$62,MATCH($A145,Simulations!$A$3:$A$62,0)),1))*$E145*(PI()/2*INDEX(Simulations!$T$3:$T$62,MATCH($A145,Simulations!$A$3:$A$62,0))^2*IF(INDEX(Simulations!$I$3:$I$62,MATCH($A145,Simulations!$A$3:$A$62,0))&gt;0,SQRT(PI()/2)*INDEX(Simulations!$U$3:$U$62,MATCH($A145,Simulations!$A$3:$A$62,0)),1)),$D145/(INDEX(Simulations!$G$3:$G$62,MATCH($A145,Simulations!$A$3:$A$62,0))*INDEX(Simulations!$H$3:$H$62,MATCH($A145,Simulations!$A$3:$A$62,0))*IF(INDEX(Simulations!$I$3:$I$62,MATCH($A145,Simulations!$A$3:$A$62,0))&gt;0,INDEX(Simulations!$I$3:$I$62,MATCH($A145,Simulations!$A$3:$A$62,0)),1))*INDEX(Simulations!$J$3:$J$62,MATCH($A145,Simulations!$A$3:$A$62,0))*IF(INDEX(Simulations!$I$3:$I$62,MATCH($A145,Simulations!$A$3:$A$62,0))&gt;0,2*PI()*INDEX(Simulations!$T$3:$T$62,MATCH($A145,Simulations!$A$3:$A$62,0))^2*INDEX(Simulations!$U$3:$U$62,MATCH($A145,Simulations!$A$3:$A$62,0))/2^1.5*(2/3*LN($E145/INDEX(Simulations!$J$3:$J$62,MATCH($A145,Simulations!$A$3:$A$62,0)))^1.5+SQRT(LN($E145/INDEX(Simulations!$J$3:$J$62,MATCH($A145,Simulations!$A$3:$A$62,0))))+$E145/INDEX(Simulations!$J$3:$J$62,MATCH($A145,Simulations!$A$3:$A$62,0))*SQRT(PI())/2*ERFC(SQRT(LN($E145/INDEX(Simulations!$J$3:$J$62,MATCH($A145,Simulations!$A$3:$A$62,0)))))),PI()*INDEX(Simulations!$T$3:$T$62,MATCH($A145,Simulations!$A$3:$A$62,0))^2/2*(LN($E145/INDEX(Simulations!$J$3:$J$62,MATCH($A145,Simulations!$A$3:$A$62,0)))+1)))))</f>
        <v/>
      </c>
      <c r="R145" s="16" t="str">
        <f aca="false">IF(OR($A145="",ISNA(MATCH($A145,Simulations!$A$3:$A$62,0))),"",IF(N($F145)&lt;=0,0,IF($F145&lt;INDEX(Simulations!$J$3:$J$62,MATCH($A145,Simulations!$A$3:$A$62,0)),$D145/(INDEX(Simulations!$G$3:$G$62,MATCH($A145,Simulations!$A$3:$A$62,0))*INDEX(Simulations!$H$3:$H$62,MATCH($A145,Simulations!$A$3:$A$62,0))*IF(INDEX(Simulations!$I$3:$I$62,MATCH($A145,Simulations!$A$3:$A$62,0))&gt;0,INDEX(Simulations!$I$3:$I$62,MATCH($A145,Simulations!$A$3:$A$62,0)),1))*$F145*(PI()/2*INDEX(Simulations!$T$3:$T$62,MATCH($A145,Simulations!$A$3:$A$62,0))^2*IF(INDEX(Simulations!$I$3:$I$62,MATCH($A145,Simulations!$A$3:$A$62,0))&gt;0,SQRT(PI()/2)*INDEX(Simulations!$U$3:$U$62,MATCH($A145,Simulations!$A$3:$A$62,0)),1)),$D145/(INDEX(Simulations!$G$3:$G$62,MATCH($A145,Simulations!$A$3:$A$62,0))*INDEX(Simulations!$H$3:$H$62,MATCH($A145,Simulations!$A$3:$A$62,0))*IF(INDEX(Simulations!$I$3:$I$62,MATCH($A145,Simulations!$A$3:$A$62,0))&gt;0,INDEX(Simulations!$I$3:$I$62,MATCH($A145,Simulations!$A$3:$A$62,0)),1))*INDEX(Simulations!$J$3:$J$62,MATCH($A145,Simulations!$A$3:$A$62,0))*IF(INDEX(Simulations!$I$3:$I$62,MATCH($A145,Simulations!$A$3:$A$62,0))&gt;0,2*PI()*INDEX(Simulations!$T$3:$T$62,MATCH($A145,Simulations!$A$3:$A$62,0))^2*INDEX(Simulations!$U$3:$U$62,MATCH($A145,Simulations!$A$3:$A$62,0))/2^1.5*(2/3*LN($F145/INDEX(Simulations!$J$3:$J$62,MATCH($A145,Simulations!$A$3:$A$62,0)))^1.5+SQRT(LN($F145/INDEX(Simulations!$J$3:$J$62,MATCH($A145,Simulations!$A$3:$A$62,0))))+$F145/INDEX(Simulations!$J$3:$J$62,MATCH($A145,Simulations!$A$3:$A$62,0))*SQRT(PI())/2*ERFC(SQRT(LN($F145/INDEX(Simulations!$J$3:$J$62,MATCH($A145,Simulations!$A$3:$A$62,0)))))),PI()*INDEX(Simulations!$T$3:$T$62,MATCH($A145,Simulations!$A$3:$A$62,0))^2/2*(LN($F145/INDEX(Simulations!$J$3:$J$62,MATCH($A145,Simulations!$A$3:$A$62,0)))+1)))))</f>
        <v/>
      </c>
      <c r="S145" s="16" t="str">
        <f aca="false">IF(OR($A145="",ISNA(MATCH($A145,Simulations!$A$3:$A$62,0))),"",IF(N($G145)&lt;=0,0,IF($G145&lt;INDEX(Simulations!$J$3:$J$62,MATCH($A145,Simulations!$A$3:$A$62,0)),$D145/(INDEX(Simulations!$G$3:$G$62,MATCH($A145,Simulations!$A$3:$A$62,0))*INDEX(Simulations!$H$3:$H$62,MATCH($A145,Simulations!$A$3:$A$62,0))*IF(INDEX(Simulations!$I$3:$I$62,MATCH($A145,Simulations!$A$3:$A$62,0))&gt;0,INDEX(Simulations!$I$3:$I$62,MATCH($A145,Simulations!$A$3:$A$62,0)),1))*$G145*(PI()/2*INDEX(Simulations!$T$3:$T$62,MATCH($A145,Simulations!$A$3:$A$62,0))^2*IF(INDEX(Simulations!$I$3:$I$62,MATCH($A145,Simulations!$A$3:$A$62,0))&gt;0,SQRT(PI()/2)*INDEX(Simulations!$U$3:$U$62,MATCH($A145,Simulations!$A$3:$A$62,0)),1)),$D145/(INDEX(Simulations!$G$3:$G$62,MATCH($A145,Simulations!$A$3:$A$62,0))*INDEX(Simulations!$H$3:$H$62,MATCH($A145,Simulations!$A$3:$A$62,0))*IF(INDEX(Simulations!$I$3:$I$62,MATCH($A145,Simulations!$A$3:$A$62,0))&gt;0,INDEX(Simulations!$I$3:$I$62,MATCH($A145,Simulations!$A$3:$A$62,0)),1))*INDEX(Simulations!$J$3:$J$62,MATCH($A145,Simulations!$A$3:$A$62,0))*IF(INDEX(Simulations!$I$3:$I$62,MATCH($A145,Simulations!$A$3:$A$62,0))&gt;0,2*PI()*INDEX(Simulations!$T$3:$T$62,MATCH($A145,Simulations!$A$3:$A$62,0))^2*INDEX(Simulations!$U$3:$U$62,MATCH($A145,Simulations!$A$3:$A$62,0))/2^1.5*(2/3*LN($G145/INDEX(Simulations!$J$3:$J$62,MATCH($A145,Simulations!$A$3:$A$62,0)))^1.5+SQRT(LN($G145/INDEX(Simulations!$J$3:$J$62,MATCH($A145,Simulations!$A$3:$A$62,0))))+$G145/INDEX(Simulations!$J$3:$J$62,MATCH($A145,Simulations!$A$3:$A$62,0))*SQRT(PI())/2*ERFC(SQRT(LN($G145/INDEX(Simulations!$J$3:$J$62,MATCH($A145,Simulations!$A$3:$A$62,0)))))),PI()*INDEX(Simulations!$T$3:$T$62,MATCH($A145,Simulations!$A$3:$A$62,0))^2/2*(LN($G145/INDEX(Simulations!$J$3:$J$62,MATCH($A145,Simulations!$A$3:$A$62,0)))+1)))))</f>
        <v/>
      </c>
      <c r="T145" s="16" t="str">
        <f aca="false">IF(OR($A145="",ISNA(MATCH($A145,Simulations!$A$3:$A$62,0))),"",IF(N($H145)&lt;=0,0,IF($H145&lt;INDEX(Simulations!$J$3:$J$62,MATCH($A145,Simulations!$A$3:$A$62,0)),$D145/(INDEX(Simulations!$G$3:$G$62,MATCH($A145,Simulations!$A$3:$A$62,0))*INDEX(Simulations!$H$3:$H$62,MATCH($A145,Simulations!$A$3:$A$62,0))*IF(INDEX(Simulations!$I$3:$I$62,MATCH($A145,Simulations!$A$3:$A$62,0))&gt;0,INDEX(Simulations!$I$3:$I$62,MATCH($A145,Simulations!$A$3:$A$62,0)),1))*$H145*(PI()/2*INDEX(Simulations!$T$3:$T$62,MATCH($A145,Simulations!$A$3:$A$62,0))^2*IF(INDEX(Simulations!$I$3:$I$62,MATCH($A145,Simulations!$A$3:$A$62,0))&gt;0,SQRT(PI()/2)*INDEX(Simulations!$U$3:$U$62,MATCH($A145,Simulations!$A$3:$A$62,0)),1)),$D145/(INDEX(Simulations!$G$3:$G$62,MATCH($A145,Simulations!$A$3:$A$62,0))*INDEX(Simulations!$H$3:$H$62,MATCH($A145,Simulations!$A$3:$A$62,0))*IF(INDEX(Simulations!$I$3:$I$62,MATCH($A145,Simulations!$A$3:$A$62,0))&gt;0,INDEX(Simulations!$I$3:$I$62,MATCH($A145,Simulations!$A$3:$A$62,0)),1))*INDEX(Simulations!$J$3:$J$62,MATCH($A145,Simulations!$A$3:$A$62,0))*IF(INDEX(Simulations!$I$3:$I$62,MATCH($A145,Simulations!$A$3:$A$62,0))&gt;0,2*PI()*INDEX(Simulations!$T$3:$T$62,MATCH($A145,Simulations!$A$3:$A$62,0))^2*INDEX(Simulations!$U$3:$U$62,MATCH($A145,Simulations!$A$3:$A$62,0))/2^1.5*(2/3*LN($H145/INDEX(Simulations!$J$3:$J$62,MATCH($A145,Simulations!$A$3:$A$62,0)))^1.5+SQRT(LN($H145/INDEX(Simulations!$J$3:$J$62,MATCH($A145,Simulations!$A$3:$A$62,0))))+$H145/INDEX(Simulations!$J$3:$J$62,MATCH($A145,Simulations!$A$3:$A$62,0))*SQRT(PI())/2*ERFC(SQRT(LN($H145/INDEX(Simulations!$J$3:$J$62,MATCH($A145,Simulations!$A$3:$A$62,0)))))),PI()*INDEX(Simulations!$T$3:$T$62,MATCH($A145,Simulations!$A$3:$A$62,0))^2/2*(LN($H145/INDEX(Simulations!$J$3:$J$62,MATCH($A145,Simulations!$A$3:$A$62,0)))+1)))))</f>
        <v/>
      </c>
      <c r="U145" s="18" t="str">
        <f aca="false">IF(OR(OR($A145="",ISNA(MATCH($A145,Simulations!$A$3:$A$62,0))),N($C145)&lt;=0),"",SQRT(2*$C145*1000000/(INDEX(Simulations!$J$3:$J$62,MATCH($A145,Simulations!$A$3:$A$62,0))*1000))/INDEX(Simulations!$T$3:$T$62,MATCH($A145,Simulations!$A$3:$A$62,0)))</f>
        <v/>
      </c>
      <c r="V145" s="19" t="str">
        <f aca="false">IF($A145="","",IF(ISNA(MATCH($A145,Simulations!$A$3:$A$62,0)),"✖ Sim ID not found on the Simulations sheet",IF($P145&gt;=1,"✖ brightness &gt;= sampling frequency: completely saturated (D too small, c too large)",IF($P145&gt;0.1,"⚠ brightness &gt; 10% of the sampling frequency: focus starts to saturate",IF(N($U145)&gt;0.1,"⚠ diffusion step &gt; 10% of wr: raise the sampling frequency",IF(MAX($E145:$H145)=0,"⚠ no brightness set","✔ OK"))))))</f>
        <v/>
      </c>
    </row>
    <row r="146" customFormat="false" ht="15" hidden="false" customHeight="false" outlineLevel="0" collapsed="false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4"/>
      <c r="O146" s="18" t="str">
        <f aca="false">IF(OR($A146="",ISNA(MATCH($A146,Simulations!$A$3:$A$62,0))),"",IF(INDEX(Simulations!$I$3:$I$62,MATCH($A146,Simulations!$A$3:$A$62,0))&gt;0,$D146/(INDEX(Simulations!$G$3:$G$62,MATCH($A146,Simulations!$A$3:$A$62,0))*INDEX(Simulations!$H$3:$H$62,MATCH($A146,Simulations!$A$3:$A$62,0))*IF(INDEX(Simulations!$I$3:$I$62,MATCH($A146,Simulations!$A$3:$A$62,0))&gt;0,INDEX(Simulations!$I$3:$I$62,MATCH($A146,Simulations!$A$3:$A$62,0)),1))/1E-024/6.022E+023/0.000000001,""))</f>
        <v/>
      </c>
      <c r="P146" s="20" t="str">
        <f aca="false">IF(OR($A146="",ISNA(MATCH($A146,Simulations!$A$3:$A$62,0))),"",MAX($E146:$H146)/INDEX(Simulations!$J$3:$J$62,MATCH($A146,Simulations!$A$3:$A$62,0)))</f>
        <v/>
      </c>
      <c r="Q146" s="16" t="str">
        <f aca="false">IF(OR($A146="",ISNA(MATCH($A146,Simulations!$A$3:$A$62,0))),"",IF(N($E146)&lt;=0,0,IF($E146&lt;INDEX(Simulations!$J$3:$J$62,MATCH($A146,Simulations!$A$3:$A$62,0)),$D146/(INDEX(Simulations!$G$3:$G$62,MATCH($A146,Simulations!$A$3:$A$62,0))*INDEX(Simulations!$H$3:$H$62,MATCH($A146,Simulations!$A$3:$A$62,0))*IF(INDEX(Simulations!$I$3:$I$62,MATCH($A146,Simulations!$A$3:$A$62,0))&gt;0,INDEX(Simulations!$I$3:$I$62,MATCH($A146,Simulations!$A$3:$A$62,0)),1))*$E146*(PI()/2*INDEX(Simulations!$T$3:$T$62,MATCH($A146,Simulations!$A$3:$A$62,0))^2*IF(INDEX(Simulations!$I$3:$I$62,MATCH($A146,Simulations!$A$3:$A$62,0))&gt;0,SQRT(PI()/2)*INDEX(Simulations!$U$3:$U$62,MATCH($A146,Simulations!$A$3:$A$62,0)),1)),$D146/(INDEX(Simulations!$G$3:$G$62,MATCH($A146,Simulations!$A$3:$A$62,0))*INDEX(Simulations!$H$3:$H$62,MATCH($A146,Simulations!$A$3:$A$62,0))*IF(INDEX(Simulations!$I$3:$I$62,MATCH($A146,Simulations!$A$3:$A$62,0))&gt;0,INDEX(Simulations!$I$3:$I$62,MATCH($A146,Simulations!$A$3:$A$62,0)),1))*INDEX(Simulations!$J$3:$J$62,MATCH($A146,Simulations!$A$3:$A$62,0))*IF(INDEX(Simulations!$I$3:$I$62,MATCH($A146,Simulations!$A$3:$A$62,0))&gt;0,2*PI()*INDEX(Simulations!$T$3:$T$62,MATCH($A146,Simulations!$A$3:$A$62,0))^2*INDEX(Simulations!$U$3:$U$62,MATCH($A146,Simulations!$A$3:$A$62,0))/2^1.5*(2/3*LN($E146/INDEX(Simulations!$J$3:$J$62,MATCH($A146,Simulations!$A$3:$A$62,0)))^1.5+SQRT(LN($E146/INDEX(Simulations!$J$3:$J$62,MATCH($A146,Simulations!$A$3:$A$62,0))))+$E146/INDEX(Simulations!$J$3:$J$62,MATCH($A146,Simulations!$A$3:$A$62,0))*SQRT(PI())/2*ERFC(SQRT(LN($E146/INDEX(Simulations!$J$3:$J$62,MATCH($A146,Simulations!$A$3:$A$62,0)))))),PI()*INDEX(Simulations!$T$3:$T$62,MATCH($A146,Simulations!$A$3:$A$62,0))^2/2*(LN($E146/INDEX(Simulations!$J$3:$J$62,MATCH($A146,Simulations!$A$3:$A$62,0)))+1)))))</f>
        <v/>
      </c>
      <c r="R146" s="16" t="str">
        <f aca="false">IF(OR($A146="",ISNA(MATCH($A146,Simulations!$A$3:$A$62,0))),"",IF(N($F146)&lt;=0,0,IF($F146&lt;INDEX(Simulations!$J$3:$J$62,MATCH($A146,Simulations!$A$3:$A$62,0)),$D146/(INDEX(Simulations!$G$3:$G$62,MATCH($A146,Simulations!$A$3:$A$62,0))*INDEX(Simulations!$H$3:$H$62,MATCH($A146,Simulations!$A$3:$A$62,0))*IF(INDEX(Simulations!$I$3:$I$62,MATCH($A146,Simulations!$A$3:$A$62,0))&gt;0,INDEX(Simulations!$I$3:$I$62,MATCH($A146,Simulations!$A$3:$A$62,0)),1))*$F146*(PI()/2*INDEX(Simulations!$T$3:$T$62,MATCH($A146,Simulations!$A$3:$A$62,0))^2*IF(INDEX(Simulations!$I$3:$I$62,MATCH($A146,Simulations!$A$3:$A$62,0))&gt;0,SQRT(PI()/2)*INDEX(Simulations!$U$3:$U$62,MATCH($A146,Simulations!$A$3:$A$62,0)),1)),$D146/(INDEX(Simulations!$G$3:$G$62,MATCH($A146,Simulations!$A$3:$A$62,0))*INDEX(Simulations!$H$3:$H$62,MATCH($A146,Simulations!$A$3:$A$62,0))*IF(INDEX(Simulations!$I$3:$I$62,MATCH($A146,Simulations!$A$3:$A$62,0))&gt;0,INDEX(Simulations!$I$3:$I$62,MATCH($A146,Simulations!$A$3:$A$62,0)),1))*INDEX(Simulations!$J$3:$J$62,MATCH($A146,Simulations!$A$3:$A$62,0))*IF(INDEX(Simulations!$I$3:$I$62,MATCH($A146,Simulations!$A$3:$A$62,0))&gt;0,2*PI()*INDEX(Simulations!$T$3:$T$62,MATCH($A146,Simulations!$A$3:$A$62,0))^2*INDEX(Simulations!$U$3:$U$62,MATCH($A146,Simulations!$A$3:$A$62,0))/2^1.5*(2/3*LN($F146/INDEX(Simulations!$J$3:$J$62,MATCH($A146,Simulations!$A$3:$A$62,0)))^1.5+SQRT(LN($F146/INDEX(Simulations!$J$3:$J$62,MATCH($A146,Simulations!$A$3:$A$62,0))))+$F146/INDEX(Simulations!$J$3:$J$62,MATCH($A146,Simulations!$A$3:$A$62,0))*SQRT(PI())/2*ERFC(SQRT(LN($F146/INDEX(Simulations!$J$3:$J$62,MATCH($A146,Simulations!$A$3:$A$62,0)))))),PI()*INDEX(Simulations!$T$3:$T$62,MATCH($A146,Simulations!$A$3:$A$62,0))^2/2*(LN($F146/INDEX(Simulations!$J$3:$J$62,MATCH($A146,Simulations!$A$3:$A$62,0)))+1)))))</f>
        <v/>
      </c>
      <c r="S146" s="16" t="str">
        <f aca="false">IF(OR($A146="",ISNA(MATCH($A146,Simulations!$A$3:$A$62,0))),"",IF(N($G146)&lt;=0,0,IF($G146&lt;INDEX(Simulations!$J$3:$J$62,MATCH($A146,Simulations!$A$3:$A$62,0)),$D146/(INDEX(Simulations!$G$3:$G$62,MATCH($A146,Simulations!$A$3:$A$62,0))*INDEX(Simulations!$H$3:$H$62,MATCH($A146,Simulations!$A$3:$A$62,0))*IF(INDEX(Simulations!$I$3:$I$62,MATCH($A146,Simulations!$A$3:$A$62,0))&gt;0,INDEX(Simulations!$I$3:$I$62,MATCH($A146,Simulations!$A$3:$A$62,0)),1))*$G146*(PI()/2*INDEX(Simulations!$T$3:$T$62,MATCH($A146,Simulations!$A$3:$A$62,0))^2*IF(INDEX(Simulations!$I$3:$I$62,MATCH($A146,Simulations!$A$3:$A$62,0))&gt;0,SQRT(PI()/2)*INDEX(Simulations!$U$3:$U$62,MATCH($A146,Simulations!$A$3:$A$62,0)),1)),$D146/(INDEX(Simulations!$G$3:$G$62,MATCH($A146,Simulations!$A$3:$A$62,0))*INDEX(Simulations!$H$3:$H$62,MATCH($A146,Simulations!$A$3:$A$62,0))*IF(INDEX(Simulations!$I$3:$I$62,MATCH($A146,Simulations!$A$3:$A$62,0))&gt;0,INDEX(Simulations!$I$3:$I$62,MATCH($A146,Simulations!$A$3:$A$62,0)),1))*INDEX(Simulations!$J$3:$J$62,MATCH($A146,Simulations!$A$3:$A$62,0))*IF(INDEX(Simulations!$I$3:$I$62,MATCH($A146,Simulations!$A$3:$A$62,0))&gt;0,2*PI()*INDEX(Simulations!$T$3:$T$62,MATCH($A146,Simulations!$A$3:$A$62,0))^2*INDEX(Simulations!$U$3:$U$62,MATCH($A146,Simulations!$A$3:$A$62,0))/2^1.5*(2/3*LN($G146/INDEX(Simulations!$J$3:$J$62,MATCH($A146,Simulations!$A$3:$A$62,0)))^1.5+SQRT(LN($G146/INDEX(Simulations!$J$3:$J$62,MATCH($A146,Simulations!$A$3:$A$62,0))))+$G146/INDEX(Simulations!$J$3:$J$62,MATCH($A146,Simulations!$A$3:$A$62,0))*SQRT(PI())/2*ERFC(SQRT(LN($G146/INDEX(Simulations!$J$3:$J$62,MATCH($A146,Simulations!$A$3:$A$62,0)))))),PI()*INDEX(Simulations!$T$3:$T$62,MATCH($A146,Simulations!$A$3:$A$62,0))^2/2*(LN($G146/INDEX(Simulations!$J$3:$J$62,MATCH($A146,Simulations!$A$3:$A$62,0)))+1)))))</f>
        <v/>
      </c>
      <c r="T146" s="16" t="str">
        <f aca="false">IF(OR($A146="",ISNA(MATCH($A146,Simulations!$A$3:$A$62,0))),"",IF(N($H146)&lt;=0,0,IF($H146&lt;INDEX(Simulations!$J$3:$J$62,MATCH($A146,Simulations!$A$3:$A$62,0)),$D146/(INDEX(Simulations!$G$3:$G$62,MATCH($A146,Simulations!$A$3:$A$62,0))*INDEX(Simulations!$H$3:$H$62,MATCH($A146,Simulations!$A$3:$A$62,0))*IF(INDEX(Simulations!$I$3:$I$62,MATCH($A146,Simulations!$A$3:$A$62,0))&gt;0,INDEX(Simulations!$I$3:$I$62,MATCH($A146,Simulations!$A$3:$A$62,0)),1))*$H146*(PI()/2*INDEX(Simulations!$T$3:$T$62,MATCH($A146,Simulations!$A$3:$A$62,0))^2*IF(INDEX(Simulations!$I$3:$I$62,MATCH($A146,Simulations!$A$3:$A$62,0))&gt;0,SQRT(PI()/2)*INDEX(Simulations!$U$3:$U$62,MATCH($A146,Simulations!$A$3:$A$62,0)),1)),$D146/(INDEX(Simulations!$G$3:$G$62,MATCH($A146,Simulations!$A$3:$A$62,0))*INDEX(Simulations!$H$3:$H$62,MATCH($A146,Simulations!$A$3:$A$62,0))*IF(INDEX(Simulations!$I$3:$I$62,MATCH($A146,Simulations!$A$3:$A$62,0))&gt;0,INDEX(Simulations!$I$3:$I$62,MATCH($A146,Simulations!$A$3:$A$62,0)),1))*INDEX(Simulations!$J$3:$J$62,MATCH($A146,Simulations!$A$3:$A$62,0))*IF(INDEX(Simulations!$I$3:$I$62,MATCH($A146,Simulations!$A$3:$A$62,0))&gt;0,2*PI()*INDEX(Simulations!$T$3:$T$62,MATCH($A146,Simulations!$A$3:$A$62,0))^2*INDEX(Simulations!$U$3:$U$62,MATCH($A146,Simulations!$A$3:$A$62,0))/2^1.5*(2/3*LN($H146/INDEX(Simulations!$J$3:$J$62,MATCH($A146,Simulations!$A$3:$A$62,0)))^1.5+SQRT(LN($H146/INDEX(Simulations!$J$3:$J$62,MATCH($A146,Simulations!$A$3:$A$62,0))))+$H146/INDEX(Simulations!$J$3:$J$62,MATCH($A146,Simulations!$A$3:$A$62,0))*SQRT(PI())/2*ERFC(SQRT(LN($H146/INDEX(Simulations!$J$3:$J$62,MATCH($A146,Simulations!$A$3:$A$62,0)))))),PI()*INDEX(Simulations!$T$3:$T$62,MATCH($A146,Simulations!$A$3:$A$62,0))^2/2*(LN($H146/INDEX(Simulations!$J$3:$J$62,MATCH($A146,Simulations!$A$3:$A$62,0)))+1)))))</f>
        <v/>
      </c>
      <c r="U146" s="18" t="str">
        <f aca="false">IF(OR(OR($A146="",ISNA(MATCH($A146,Simulations!$A$3:$A$62,0))),N($C146)&lt;=0),"",SQRT(2*$C146*1000000/(INDEX(Simulations!$J$3:$J$62,MATCH($A146,Simulations!$A$3:$A$62,0))*1000))/INDEX(Simulations!$T$3:$T$62,MATCH($A146,Simulations!$A$3:$A$62,0)))</f>
        <v/>
      </c>
      <c r="V146" s="19" t="str">
        <f aca="false">IF($A146="","",IF(ISNA(MATCH($A146,Simulations!$A$3:$A$62,0)),"✖ Sim ID not found on the Simulations sheet",IF($P146&gt;=1,"✖ brightness &gt;= sampling frequency: completely saturated (D too small, c too large)",IF($P146&gt;0.1,"⚠ brightness &gt; 10% of the sampling frequency: focus starts to saturate",IF(N($U146)&gt;0.1,"⚠ diffusion step &gt; 10% of wr: raise the sampling frequency",IF(MAX($E146:$H146)=0,"⚠ no brightness set","✔ OK"))))))</f>
        <v/>
      </c>
    </row>
    <row r="147" customFormat="false" ht="15" hidden="false" customHeight="false" outlineLevel="0" collapsed="false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4"/>
      <c r="O147" s="18" t="str">
        <f aca="false">IF(OR($A147="",ISNA(MATCH($A147,Simulations!$A$3:$A$62,0))),"",IF(INDEX(Simulations!$I$3:$I$62,MATCH($A147,Simulations!$A$3:$A$62,0))&gt;0,$D147/(INDEX(Simulations!$G$3:$G$62,MATCH($A147,Simulations!$A$3:$A$62,0))*INDEX(Simulations!$H$3:$H$62,MATCH($A147,Simulations!$A$3:$A$62,0))*IF(INDEX(Simulations!$I$3:$I$62,MATCH($A147,Simulations!$A$3:$A$62,0))&gt;0,INDEX(Simulations!$I$3:$I$62,MATCH($A147,Simulations!$A$3:$A$62,0)),1))/1E-024/6.022E+023/0.000000001,""))</f>
        <v/>
      </c>
      <c r="P147" s="20" t="str">
        <f aca="false">IF(OR($A147="",ISNA(MATCH($A147,Simulations!$A$3:$A$62,0))),"",MAX($E147:$H147)/INDEX(Simulations!$J$3:$J$62,MATCH($A147,Simulations!$A$3:$A$62,0)))</f>
        <v/>
      </c>
      <c r="Q147" s="16" t="str">
        <f aca="false">IF(OR($A147="",ISNA(MATCH($A147,Simulations!$A$3:$A$62,0))),"",IF(N($E147)&lt;=0,0,IF($E147&lt;INDEX(Simulations!$J$3:$J$62,MATCH($A147,Simulations!$A$3:$A$62,0)),$D147/(INDEX(Simulations!$G$3:$G$62,MATCH($A147,Simulations!$A$3:$A$62,0))*INDEX(Simulations!$H$3:$H$62,MATCH($A147,Simulations!$A$3:$A$62,0))*IF(INDEX(Simulations!$I$3:$I$62,MATCH($A147,Simulations!$A$3:$A$62,0))&gt;0,INDEX(Simulations!$I$3:$I$62,MATCH($A147,Simulations!$A$3:$A$62,0)),1))*$E147*(PI()/2*INDEX(Simulations!$T$3:$T$62,MATCH($A147,Simulations!$A$3:$A$62,0))^2*IF(INDEX(Simulations!$I$3:$I$62,MATCH($A147,Simulations!$A$3:$A$62,0))&gt;0,SQRT(PI()/2)*INDEX(Simulations!$U$3:$U$62,MATCH($A147,Simulations!$A$3:$A$62,0)),1)),$D147/(INDEX(Simulations!$G$3:$G$62,MATCH($A147,Simulations!$A$3:$A$62,0))*INDEX(Simulations!$H$3:$H$62,MATCH($A147,Simulations!$A$3:$A$62,0))*IF(INDEX(Simulations!$I$3:$I$62,MATCH($A147,Simulations!$A$3:$A$62,0))&gt;0,INDEX(Simulations!$I$3:$I$62,MATCH($A147,Simulations!$A$3:$A$62,0)),1))*INDEX(Simulations!$J$3:$J$62,MATCH($A147,Simulations!$A$3:$A$62,0))*IF(INDEX(Simulations!$I$3:$I$62,MATCH($A147,Simulations!$A$3:$A$62,0))&gt;0,2*PI()*INDEX(Simulations!$T$3:$T$62,MATCH($A147,Simulations!$A$3:$A$62,0))^2*INDEX(Simulations!$U$3:$U$62,MATCH($A147,Simulations!$A$3:$A$62,0))/2^1.5*(2/3*LN($E147/INDEX(Simulations!$J$3:$J$62,MATCH($A147,Simulations!$A$3:$A$62,0)))^1.5+SQRT(LN($E147/INDEX(Simulations!$J$3:$J$62,MATCH($A147,Simulations!$A$3:$A$62,0))))+$E147/INDEX(Simulations!$J$3:$J$62,MATCH($A147,Simulations!$A$3:$A$62,0))*SQRT(PI())/2*ERFC(SQRT(LN($E147/INDEX(Simulations!$J$3:$J$62,MATCH($A147,Simulations!$A$3:$A$62,0)))))),PI()*INDEX(Simulations!$T$3:$T$62,MATCH($A147,Simulations!$A$3:$A$62,0))^2/2*(LN($E147/INDEX(Simulations!$J$3:$J$62,MATCH($A147,Simulations!$A$3:$A$62,0)))+1)))))</f>
        <v/>
      </c>
      <c r="R147" s="16" t="str">
        <f aca="false">IF(OR($A147="",ISNA(MATCH($A147,Simulations!$A$3:$A$62,0))),"",IF(N($F147)&lt;=0,0,IF($F147&lt;INDEX(Simulations!$J$3:$J$62,MATCH($A147,Simulations!$A$3:$A$62,0)),$D147/(INDEX(Simulations!$G$3:$G$62,MATCH($A147,Simulations!$A$3:$A$62,0))*INDEX(Simulations!$H$3:$H$62,MATCH($A147,Simulations!$A$3:$A$62,0))*IF(INDEX(Simulations!$I$3:$I$62,MATCH($A147,Simulations!$A$3:$A$62,0))&gt;0,INDEX(Simulations!$I$3:$I$62,MATCH($A147,Simulations!$A$3:$A$62,0)),1))*$F147*(PI()/2*INDEX(Simulations!$T$3:$T$62,MATCH($A147,Simulations!$A$3:$A$62,0))^2*IF(INDEX(Simulations!$I$3:$I$62,MATCH($A147,Simulations!$A$3:$A$62,0))&gt;0,SQRT(PI()/2)*INDEX(Simulations!$U$3:$U$62,MATCH($A147,Simulations!$A$3:$A$62,0)),1)),$D147/(INDEX(Simulations!$G$3:$G$62,MATCH($A147,Simulations!$A$3:$A$62,0))*INDEX(Simulations!$H$3:$H$62,MATCH($A147,Simulations!$A$3:$A$62,0))*IF(INDEX(Simulations!$I$3:$I$62,MATCH($A147,Simulations!$A$3:$A$62,0))&gt;0,INDEX(Simulations!$I$3:$I$62,MATCH($A147,Simulations!$A$3:$A$62,0)),1))*INDEX(Simulations!$J$3:$J$62,MATCH($A147,Simulations!$A$3:$A$62,0))*IF(INDEX(Simulations!$I$3:$I$62,MATCH($A147,Simulations!$A$3:$A$62,0))&gt;0,2*PI()*INDEX(Simulations!$T$3:$T$62,MATCH($A147,Simulations!$A$3:$A$62,0))^2*INDEX(Simulations!$U$3:$U$62,MATCH($A147,Simulations!$A$3:$A$62,0))/2^1.5*(2/3*LN($F147/INDEX(Simulations!$J$3:$J$62,MATCH($A147,Simulations!$A$3:$A$62,0)))^1.5+SQRT(LN($F147/INDEX(Simulations!$J$3:$J$62,MATCH($A147,Simulations!$A$3:$A$62,0))))+$F147/INDEX(Simulations!$J$3:$J$62,MATCH($A147,Simulations!$A$3:$A$62,0))*SQRT(PI())/2*ERFC(SQRT(LN($F147/INDEX(Simulations!$J$3:$J$62,MATCH($A147,Simulations!$A$3:$A$62,0)))))),PI()*INDEX(Simulations!$T$3:$T$62,MATCH($A147,Simulations!$A$3:$A$62,0))^2/2*(LN($F147/INDEX(Simulations!$J$3:$J$62,MATCH($A147,Simulations!$A$3:$A$62,0)))+1)))))</f>
        <v/>
      </c>
      <c r="S147" s="16" t="str">
        <f aca="false">IF(OR($A147="",ISNA(MATCH($A147,Simulations!$A$3:$A$62,0))),"",IF(N($G147)&lt;=0,0,IF($G147&lt;INDEX(Simulations!$J$3:$J$62,MATCH($A147,Simulations!$A$3:$A$62,0)),$D147/(INDEX(Simulations!$G$3:$G$62,MATCH($A147,Simulations!$A$3:$A$62,0))*INDEX(Simulations!$H$3:$H$62,MATCH($A147,Simulations!$A$3:$A$62,0))*IF(INDEX(Simulations!$I$3:$I$62,MATCH($A147,Simulations!$A$3:$A$62,0))&gt;0,INDEX(Simulations!$I$3:$I$62,MATCH($A147,Simulations!$A$3:$A$62,0)),1))*$G147*(PI()/2*INDEX(Simulations!$T$3:$T$62,MATCH($A147,Simulations!$A$3:$A$62,0))^2*IF(INDEX(Simulations!$I$3:$I$62,MATCH($A147,Simulations!$A$3:$A$62,0))&gt;0,SQRT(PI()/2)*INDEX(Simulations!$U$3:$U$62,MATCH($A147,Simulations!$A$3:$A$62,0)),1)),$D147/(INDEX(Simulations!$G$3:$G$62,MATCH($A147,Simulations!$A$3:$A$62,0))*INDEX(Simulations!$H$3:$H$62,MATCH($A147,Simulations!$A$3:$A$62,0))*IF(INDEX(Simulations!$I$3:$I$62,MATCH($A147,Simulations!$A$3:$A$62,0))&gt;0,INDEX(Simulations!$I$3:$I$62,MATCH($A147,Simulations!$A$3:$A$62,0)),1))*INDEX(Simulations!$J$3:$J$62,MATCH($A147,Simulations!$A$3:$A$62,0))*IF(INDEX(Simulations!$I$3:$I$62,MATCH($A147,Simulations!$A$3:$A$62,0))&gt;0,2*PI()*INDEX(Simulations!$T$3:$T$62,MATCH($A147,Simulations!$A$3:$A$62,0))^2*INDEX(Simulations!$U$3:$U$62,MATCH($A147,Simulations!$A$3:$A$62,0))/2^1.5*(2/3*LN($G147/INDEX(Simulations!$J$3:$J$62,MATCH($A147,Simulations!$A$3:$A$62,0)))^1.5+SQRT(LN($G147/INDEX(Simulations!$J$3:$J$62,MATCH($A147,Simulations!$A$3:$A$62,0))))+$G147/INDEX(Simulations!$J$3:$J$62,MATCH($A147,Simulations!$A$3:$A$62,0))*SQRT(PI())/2*ERFC(SQRT(LN($G147/INDEX(Simulations!$J$3:$J$62,MATCH($A147,Simulations!$A$3:$A$62,0)))))),PI()*INDEX(Simulations!$T$3:$T$62,MATCH($A147,Simulations!$A$3:$A$62,0))^2/2*(LN($G147/INDEX(Simulations!$J$3:$J$62,MATCH($A147,Simulations!$A$3:$A$62,0)))+1)))))</f>
        <v/>
      </c>
      <c r="T147" s="16" t="str">
        <f aca="false">IF(OR($A147="",ISNA(MATCH($A147,Simulations!$A$3:$A$62,0))),"",IF(N($H147)&lt;=0,0,IF($H147&lt;INDEX(Simulations!$J$3:$J$62,MATCH($A147,Simulations!$A$3:$A$62,0)),$D147/(INDEX(Simulations!$G$3:$G$62,MATCH($A147,Simulations!$A$3:$A$62,0))*INDEX(Simulations!$H$3:$H$62,MATCH($A147,Simulations!$A$3:$A$62,0))*IF(INDEX(Simulations!$I$3:$I$62,MATCH($A147,Simulations!$A$3:$A$62,0))&gt;0,INDEX(Simulations!$I$3:$I$62,MATCH($A147,Simulations!$A$3:$A$62,0)),1))*$H147*(PI()/2*INDEX(Simulations!$T$3:$T$62,MATCH($A147,Simulations!$A$3:$A$62,0))^2*IF(INDEX(Simulations!$I$3:$I$62,MATCH($A147,Simulations!$A$3:$A$62,0))&gt;0,SQRT(PI()/2)*INDEX(Simulations!$U$3:$U$62,MATCH($A147,Simulations!$A$3:$A$62,0)),1)),$D147/(INDEX(Simulations!$G$3:$G$62,MATCH($A147,Simulations!$A$3:$A$62,0))*INDEX(Simulations!$H$3:$H$62,MATCH($A147,Simulations!$A$3:$A$62,0))*IF(INDEX(Simulations!$I$3:$I$62,MATCH($A147,Simulations!$A$3:$A$62,0))&gt;0,INDEX(Simulations!$I$3:$I$62,MATCH($A147,Simulations!$A$3:$A$62,0)),1))*INDEX(Simulations!$J$3:$J$62,MATCH($A147,Simulations!$A$3:$A$62,0))*IF(INDEX(Simulations!$I$3:$I$62,MATCH($A147,Simulations!$A$3:$A$62,0))&gt;0,2*PI()*INDEX(Simulations!$T$3:$T$62,MATCH($A147,Simulations!$A$3:$A$62,0))^2*INDEX(Simulations!$U$3:$U$62,MATCH($A147,Simulations!$A$3:$A$62,0))/2^1.5*(2/3*LN($H147/INDEX(Simulations!$J$3:$J$62,MATCH($A147,Simulations!$A$3:$A$62,0)))^1.5+SQRT(LN($H147/INDEX(Simulations!$J$3:$J$62,MATCH($A147,Simulations!$A$3:$A$62,0))))+$H147/INDEX(Simulations!$J$3:$J$62,MATCH($A147,Simulations!$A$3:$A$62,0))*SQRT(PI())/2*ERFC(SQRT(LN($H147/INDEX(Simulations!$J$3:$J$62,MATCH($A147,Simulations!$A$3:$A$62,0)))))),PI()*INDEX(Simulations!$T$3:$T$62,MATCH($A147,Simulations!$A$3:$A$62,0))^2/2*(LN($H147/INDEX(Simulations!$J$3:$J$62,MATCH($A147,Simulations!$A$3:$A$62,0)))+1)))))</f>
        <v/>
      </c>
      <c r="U147" s="18" t="str">
        <f aca="false">IF(OR(OR($A147="",ISNA(MATCH($A147,Simulations!$A$3:$A$62,0))),N($C147)&lt;=0),"",SQRT(2*$C147*1000000/(INDEX(Simulations!$J$3:$J$62,MATCH($A147,Simulations!$A$3:$A$62,0))*1000))/INDEX(Simulations!$T$3:$T$62,MATCH($A147,Simulations!$A$3:$A$62,0)))</f>
        <v/>
      </c>
      <c r="V147" s="19" t="str">
        <f aca="false">IF($A147="","",IF(ISNA(MATCH($A147,Simulations!$A$3:$A$62,0)),"✖ Sim ID not found on the Simulations sheet",IF($P147&gt;=1,"✖ brightness &gt;= sampling frequency: completely saturated (D too small, c too large)",IF($P147&gt;0.1,"⚠ brightness &gt; 10% of the sampling frequency: focus starts to saturate",IF(N($U147)&gt;0.1,"⚠ diffusion step &gt; 10% of wr: raise the sampling frequency",IF(MAX($E147:$H147)=0,"⚠ no brightness set","✔ OK"))))))</f>
        <v/>
      </c>
    </row>
    <row r="148" customFormat="false" ht="15" hidden="false" customHeight="false" outlineLevel="0" collapsed="false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4"/>
      <c r="O148" s="18" t="str">
        <f aca="false">IF(OR($A148="",ISNA(MATCH($A148,Simulations!$A$3:$A$62,0))),"",IF(INDEX(Simulations!$I$3:$I$62,MATCH($A148,Simulations!$A$3:$A$62,0))&gt;0,$D148/(INDEX(Simulations!$G$3:$G$62,MATCH($A148,Simulations!$A$3:$A$62,0))*INDEX(Simulations!$H$3:$H$62,MATCH($A148,Simulations!$A$3:$A$62,0))*IF(INDEX(Simulations!$I$3:$I$62,MATCH($A148,Simulations!$A$3:$A$62,0))&gt;0,INDEX(Simulations!$I$3:$I$62,MATCH($A148,Simulations!$A$3:$A$62,0)),1))/1E-024/6.022E+023/0.000000001,""))</f>
        <v/>
      </c>
      <c r="P148" s="20" t="str">
        <f aca="false">IF(OR($A148="",ISNA(MATCH($A148,Simulations!$A$3:$A$62,0))),"",MAX($E148:$H148)/INDEX(Simulations!$J$3:$J$62,MATCH($A148,Simulations!$A$3:$A$62,0)))</f>
        <v/>
      </c>
      <c r="Q148" s="16" t="str">
        <f aca="false">IF(OR($A148="",ISNA(MATCH($A148,Simulations!$A$3:$A$62,0))),"",IF(N($E148)&lt;=0,0,IF($E148&lt;INDEX(Simulations!$J$3:$J$62,MATCH($A148,Simulations!$A$3:$A$62,0)),$D148/(INDEX(Simulations!$G$3:$G$62,MATCH($A148,Simulations!$A$3:$A$62,0))*INDEX(Simulations!$H$3:$H$62,MATCH($A148,Simulations!$A$3:$A$62,0))*IF(INDEX(Simulations!$I$3:$I$62,MATCH($A148,Simulations!$A$3:$A$62,0))&gt;0,INDEX(Simulations!$I$3:$I$62,MATCH($A148,Simulations!$A$3:$A$62,0)),1))*$E148*(PI()/2*INDEX(Simulations!$T$3:$T$62,MATCH($A148,Simulations!$A$3:$A$62,0))^2*IF(INDEX(Simulations!$I$3:$I$62,MATCH($A148,Simulations!$A$3:$A$62,0))&gt;0,SQRT(PI()/2)*INDEX(Simulations!$U$3:$U$62,MATCH($A148,Simulations!$A$3:$A$62,0)),1)),$D148/(INDEX(Simulations!$G$3:$G$62,MATCH($A148,Simulations!$A$3:$A$62,0))*INDEX(Simulations!$H$3:$H$62,MATCH($A148,Simulations!$A$3:$A$62,0))*IF(INDEX(Simulations!$I$3:$I$62,MATCH($A148,Simulations!$A$3:$A$62,0))&gt;0,INDEX(Simulations!$I$3:$I$62,MATCH($A148,Simulations!$A$3:$A$62,0)),1))*INDEX(Simulations!$J$3:$J$62,MATCH($A148,Simulations!$A$3:$A$62,0))*IF(INDEX(Simulations!$I$3:$I$62,MATCH($A148,Simulations!$A$3:$A$62,0))&gt;0,2*PI()*INDEX(Simulations!$T$3:$T$62,MATCH($A148,Simulations!$A$3:$A$62,0))^2*INDEX(Simulations!$U$3:$U$62,MATCH($A148,Simulations!$A$3:$A$62,0))/2^1.5*(2/3*LN($E148/INDEX(Simulations!$J$3:$J$62,MATCH($A148,Simulations!$A$3:$A$62,0)))^1.5+SQRT(LN($E148/INDEX(Simulations!$J$3:$J$62,MATCH($A148,Simulations!$A$3:$A$62,0))))+$E148/INDEX(Simulations!$J$3:$J$62,MATCH($A148,Simulations!$A$3:$A$62,0))*SQRT(PI())/2*ERFC(SQRT(LN($E148/INDEX(Simulations!$J$3:$J$62,MATCH($A148,Simulations!$A$3:$A$62,0)))))),PI()*INDEX(Simulations!$T$3:$T$62,MATCH($A148,Simulations!$A$3:$A$62,0))^2/2*(LN($E148/INDEX(Simulations!$J$3:$J$62,MATCH($A148,Simulations!$A$3:$A$62,0)))+1)))))</f>
        <v/>
      </c>
      <c r="R148" s="16" t="str">
        <f aca="false">IF(OR($A148="",ISNA(MATCH($A148,Simulations!$A$3:$A$62,0))),"",IF(N($F148)&lt;=0,0,IF($F148&lt;INDEX(Simulations!$J$3:$J$62,MATCH($A148,Simulations!$A$3:$A$62,0)),$D148/(INDEX(Simulations!$G$3:$G$62,MATCH($A148,Simulations!$A$3:$A$62,0))*INDEX(Simulations!$H$3:$H$62,MATCH($A148,Simulations!$A$3:$A$62,0))*IF(INDEX(Simulations!$I$3:$I$62,MATCH($A148,Simulations!$A$3:$A$62,0))&gt;0,INDEX(Simulations!$I$3:$I$62,MATCH($A148,Simulations!$A$3:$A$62,0)),1))*$F148*(PI()/2*INDEX(Simulations!$T$3:$T$62,MATCH($A148,Simulations!$A$3:$A$62,0))^2*IF(INDEX(Simulations!$I$3:$I$62,MATCH($A148,Simulations!$A$3:$A$62,0))&gt;0,SQRT(PI()/2)*INDEX(Simulations!$U$3:$U$62,MATCH($A148,Simulations!$A$3:$A$62,0)),1)),$D148/(INDEX(Simulations!$G$3:$G$62,MATCH($A148,Simulations!$A$3:$A$62,0))*INDEX(Simulations!$H$3:$H$62,MATCH($A148,Simulations!$A$3:$A$62,0))*IF(INDEX(Simulations!$I$3:$I$62,MATCH($A148,Simulations!$A$3:$A$62,0))&gt;0,INDEX(Simulations!$I$3:$I$62,MATCH($A148,Simulations!$A$3:$A$62,0)),1))*INDEX(Simulations!$J$3:$J$62,MATCH($A148,Simulations!$A$3:$A$62,0))*IF(INDEX(Simulations!$I$3:$I$62,MATCH($A148,Simulations!$A$3:$A$62,0))&gt;0,2*PI()*INDEX(Simulations!$T$3:$T$62,MATCH($A148,Simulations!$A$3:$A$62,0))^2*INDEX(Simulations!$U$3:$U$62,MATCH($A148,Simulations!$A$3:$A$62,0))/2^1.5*(2/3*LN($F148/INDEX(Simulations!$J$3:$J$62,MATCH($A148,Simulations!$A$3:$A$62,0)))^1.5+SQRT(LN($F148/INDEX(Simulations!$J$3:$J$62,MATCH($A148,Simulations!$A$3:$A$62,0))))+$F148/INDEX(Simulations!$J$3:$J$62,MATCH($A148,Simulations!$A$3:$A$62,0))*SQRT(PI())/2*ERFC(SQRT(LN($F148/INDEX(Simulations!$J$3:$J$62,MATCH($A148,Simulations!$A$3:$A$62,0)))))),PI()*INDEX(Simulations!$T$3:$T$62,MATCH($A148,Simulations!$A$3:$A$62,0))^2/2*(LN($F148/INDEX(Simulations!$J$3:$J$62,MATCH($A148,Simulations!$A$3:$A$62,0)))+1)))))</f>
        <v/>
      </c>
      <c r="S148" s="16" t="str">
        <f aca="false">IF(OR($A148="",ISNA(MATCH($A148,Simulations!$A$3:$A$62,0))),"",IF(N($G148)&lt;=0,0,IF($G148&lt;INDEX(Simulations!$J$3:$J$62,MATCH($A148,Simulations!$A$3:$A$62,0)),$D148/(INDEX(Simulations!$G$3:$G$62,MATCH($A148,Simulations!$A$3:$A$62,0))*INDEX(Simulations!$H$3:$H$62,MATCH($A148,Simulations!$A$3:$A$62,0))*IF(INDEX(Simulations!$I$3:$I$62,MATCH($A148,Simulations!$A$3:$A$62,0))&gt;0,INDEX(Simulations!$I$3:$I$62,MATCH($A148,Simulations!$A$3:$A$62,0)),1))*$G148*(PI()/2*INDEX(Simulations!$T$3:$T$62,MATCH($A148,Simulations!$A$3:$A$62,0))^2*IF(INDEX(Simulations!$I$3:$I$62,MATCH($A148,Simulations!$A$3:$A$62,0))&gt;0,SQRT(PI()/2)*INDEX(Simulations!$U$3:$U$62,MATCH($A148,Simulations!$A$3:$A$62,0)),1)),$D148/(INDEX(Simulations!$G$3:$G$62,MATCH($A148,Simulations!$A$3:$A$62,0))*INDEX(Simulations!$H$3:$H$62,MATCH($A148,Simulations!$A$3:$A$62,0))*IF(INDEX(Simulations!$I$3:$I$62,MATCH($A148,Simulations!$A$3:$A$62,0))&gt;0,INDEX(Simulations!$I$3:$I$62,MATCH($A148,Simulations!$A$3:$A$62,0)),1))*INDEX(Simulations!$J$3:$J$62,MATCH($A148,Simulations!$A$3:$A$62,0))*IF(INDEX(Simulations!$I$3:$I$62,MATCH($A148,Simulations!$A$3:$A$62,0))&gt;0,2*PI()*INDEX(Simulations!$T$3:$T$62,MATCH($A148,Simulations!$A$3:$A$62,0))^2*INDEX(Simulations!$U$3:$U$62,MATCH($A148,Simulations!$A$3:$A$62,0))/2^1.5*(2/3*LN($G148/INDEX(Simulations!$J$3:$J$62,MATCH($A148,Simulations!$A$3:$A$62,0)))^1.5+SQRT(LN($G148/INDEX(Simulations!$J$3:$J$62,MATCH($A148,Simulations!$A$3:$A$62,0))))+$G148/INDEX(Simulations!$J$3:$J$62,MATCH($A148,Simulations!$A$3:$A$62,0))*SQRT(PI())/2*ERFC(SQRT(LN($G148/INDEX(Simulations!$J$3:$J$62,MATCH($A148,Simulations!$A$3:$A$62,0)))))),PI()*INDEX(Simulations!$T$3:$T$62,MATCH($A148,Simulations!$A$3:$A$62,0))^2/2*(LN($G148/INDEX(Simulations!$J$3:$J$62,MATCH($A148,Simulations!$A$3:$A$62,0)))+1)))))</f>
        <v/>
      </c>
      <c r="T148" s="16" t="str">
        <f aca="false">IF(OR($A148="",ISNA(MATCH($A148,Simulations!$A$3:$A$62,0))),"",IF(N($H148)&lt;=0,0,IF($H148&lt;INDEX(Simulations!$J$3:$J$62,MATCH($A148,Simulations!$A$3:$A$62,0)),$D148/(INDEX(Simulations!$G$3:$G$62,MATCH($A148,Simulations!$A$3:$A$62,0))*INDEX(Simulations!$H$3:$H$62,MATCH($A148,Simulations!$A$3:$A$62,0))*IF(INDEX(Simulations!$I$3:$I$62,MATCH($A148,Simulations!$A$3:$A$62,0))&gt;0,INDEX(Simulations!$I$3:$I$62,MATCH($A148,Simulations!$A$3:$A$62,0)),1))*$H148*(PI()/2*INDEX(Simulations!$T$3:$T$62,MATCH($A148,Simulations!$A$3:$A$62,0))^2*IF(INDEX(Simulations!$I$3:$I$62,MATCH($A148,Simulations!$A$3:$A$62,0))&gt;0,SQRT(PI()/2)*INDEX(Simulations!$U$3:$U$62,MATCH($A148,Simulations!$A$3:$A$62,0)),1)),$D148/(INDEX(Simulations!$G$3:$G$62,MATCH($A148,Simulations!$A$3:$A$62,0))*INDEX(Simulations!$H$3:$H$62,MATCH($A148,Simulations!$A$3:$A$62,0))*IF(INDEX(Simulations!$I$3:$I$62,MATCH($A148,Simulations!$A$3:$A$62,0))&gt;0,INDEX(Simulations!$I$3:$I$62,MATCH($A148,Simulations!$A$3:$A$62,0)),1))*INDEX(Simulations!$J$3:$J$62,MATCH($A148,Simulations!$A$3:$A$62,0))*IF(INDEX(Simulations!$I$3:$I$62,MATCH($A148,Simulations!$A$3:$A$62,0))&gt;0,2*PI()*INDEX(Simulations!$T$3:$T$62,MATCH($A148,Simulations!$A$3:$A$62,0))^2*INDEX(Simulations!$U$3:$U$62,MATCH($A148,Simulations!$A$3:$A$62,0))/2^1.5*(2/3*LN($H148/INDEX(Simulations!$J$3:$J$62,MATCH($A148,Simulations!$A$3:$A$62,0)))^1.5+SQRT(LN($H148/INDEX(Simulations!$J$3:$J$62,MATCH($A148,Simulations!$A$3:$A$62,0))))+$H148/INDEX(Simulations!$J$3:$J$62,MATCH($A148,Simulations!$A$3:$A$62,0))*SQRT(PI())/2*ERFC(SQRT(LN($H148/INDEX(Simulations!$J$3:$J$62,MATCH($A148,Simulations!$A$3:$A$62,0)))))),PI()*INDEX(Simulations!$T$3:$T$62,MATCH($A148,Simulations!$A$3:$A$62,0))^2/2*(LN($H148/INDEX(Simulations!$J$3:$J$62,MATCH($A148,Simulations!$A$3:$A$62,0)))+1)))))</f>
        <v/>
      </c>
      <c r="U148" s="18" t="str">
        <f aca="false">IF(OR(OR($A148="",ISNA(MATCH($A148,Simulations!$A$3:$A$62,0))),N($C148)&lt;=0),"",SQRT(2*$C148*1000000/(INDEX(Simulations!$J$3:$J$62,MATCH($A148,Simulations!$A$3:$A$62,0))*1000))/INDEX(Simulations!$T$3:$T$62,MATCH($A148,Simulations!$A$3:$A$62,0)))</f>
        <v/>
      </c>
      <c r="V148" s="19" t="str">
        <f aca="false">IF($A148="","",IF(ISNA(MATCH($A148,Simulations!$A$3:$A$62,0)),"✖ Sim ID not found on the Simulations sheet",IF($P148&gt;=1,"✖ brightness &gt;= sampling frequency: completely saturated (D too small, c too large)",IF($P148&gt;0.1,"⚠ brightness &gt; 10% of the sampling frequency: focus starts to saturate",IF(N($U148)&gt;0.1,"⚠ diffusion step &gt; 10% of wr: raise the sampling frequency",IF(MAX($E148:$H148)=0,"⚠ no brightness set","✔ OK"))))))</f>
        <v/>
      </c>
    </row>
    <row r="149" customFormat="false" ht="15" hidden="false" customHeight="false" outlineLevel="0" collapsed="false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4"/>
      <c r="O149" s="18" t="str">
        <f aca="false">IF(OR($A149="",ISNA(MATCH($A149,Simulations!$A$3:$A$62,0))),"",IF(INDEX(Simulations!$I$3:$I$62,MATCH($A149,Simulations!$A$3:$A$62,0))&gt;0,$D149/(INDEX(Simulations!$G$3:$G$62,MATCH($A149,Simulations!$A$3:$A$62,0))*INDEX(Simulations!$H$3:$H$62,MATCH($A149,Simulations!$A$3:$A$62,0))*IF(INDEX(Simulations!$I$3:$I$62,MATCH($A149,Simulations!$A$3:$A$62,0))&gt;0,INDEX(Simulations!$I$3:$I$62,MATCH($A149,Simulations!$A$3:$A$62,0)),1))/1E-024/6.022E+023/0.000000001,""))</f>
        <v/>
      </c>
      <c r="P149" s="20" t="str">
        <f aca="false">IF(OR($A149="",ISNA(MATCH($A149,Simulations!$A$3:$A$62,0))),"",MAX($E149:$H149)/INDEX(Simulations!$J$3:$J$62,MATCH($A149,Simulations!$A$3:$A$62,0)))</f>
        <v/>
      </c>
      <c r="Q149" s="16" t="str">
        <f aca="false">IF(OR($A149="",ISNA(MATCH($A149,Simulations!$A$3:$A$62,0))),"",IF(N($E149)&lt;=0,0,IF($E149&lt;INDEX(Simulations!$J$3:$J$62,MATCH($A149,Simulations!$A$3:$A$62,0)),$D149/(INDEX(Simulations!$G$3:$G$62,MATCH($A149,Simulations!$A$3:$A$62,0))*INDEX(Simulations!$H$3:$H$62,MATCH($A149,Simulations!$A$3:$A$62,0))*IF(INDEX(Simulations!$I$3:$I$62,MATCH($A149,Simulations!$A$3:$A$62,0))&gt;0,INDEX(Simulations!$I$3:$I$62,MATCH($A149,Simulations!$A$3:$A$62,0)),1))*$E149*(PI()/2*INDEX(Simulations!$T$3:$T$62,MATCH($A149,Simulations!$A$3:$A$62,0))^2*IF(INDEX(Simulations!$I$3:$I$62,MATCH($A149,Simulations!$A$3:$A$62,0))&gt;0,SQRT(PI()/2)*INDEX(Simulations!$U$3:$U$62,MATCH($A149,Simulations!$A$3:$A$62,0)),1)),$D149/(INDEX(Simulations!$G$3:$G$62,MATCH($A149,Simulations!$A$3:$A$62,0))*INDEX(Simulations!$H$3:$H$62,MATCH($A149,Simulations!$A$3:$A$62,0))*IF(INDEX(Simulations!$I$3:$I$62,MATCH($A149,Simulations!$A$3:$A$62,0))&gt;0,INDEX(Simulations!$I$3:$I$62,MATCH($A149,Simulations!$A$3:$A$62,0)),1))*INDEX(Simulations!$J$3:$J$62,MATCH($A149,Simulations!$A$3:$A$62,0))*IF(INDEX(Simulations!$I$3:$I$62,MATCH($A149,Simulations!$A$3:$A$62,0))&gt;0,2*PI()*INDEX(Simulations!$T$3:$T$62,MATCH($A149,Simulations!$A$3:$A$62,0))^2*INDEX(Simulations!$U$3:$U$62,MATCH($A149,Simulations!$A$3:$A$62,0))/2^1.5*(2/3*LN($E149/INDEX(Simulations!$J$3:$J$62,MATCH($A149,Simulations!$A$3:$A$62,0)))^1.5+SQRT(LN($E149/INDEX(Simulations!$J$3:$J$62,MATCH($A149,Simulations!$A$3:$A$62,0))))+$E149/INDEX(Simulations!$J$3:$J$62,MATCH($A149,Simulations!$A$3:$A$62,0))*SQRT(PI())/2*ERFC(SQRT(LN($E149/INDEX(Simulations!$J$3:$J$62,MATCH($A149,Simulations!$A$3:$A$62,0)))))),PI()*INDEX(Simulations!$T$3:$T$62,MATCH($A149,Simulations!$A$3:$A$62,0))^2/2*(LN($E149/INDEX(Simulations!$J$3:$J$62,MATCH($A149,Simulations!$A$3:$A$62,0)))+1)))))</f>
        <v/>
      </c>
      <c r="R149" s="16" t="str">
        <f aca="false">IF(OR($A149="",ISNA(MATCH($A149,Simulations!$A$3:$A$62,0))),"",IF(N($F149)&lt;=0,0,IF($F149&lt;INDEX(Simulations!$J$3:$J$62,MATCH($A149,Simulations!$A$3:$A$62,0)),$D149/(INDEX(Simulations!$G$3:$G$62,MATCH($A149,Simulations!$A$3:$A$62,0))*INDEX(Simulations!$H$3:$H$62,MATCH($A149,Simulations!$A$3:$A$62,0))*IF(INDEX(Simulations!$I$3:$I$62,MATCH($A149,Simulations!$A$3:$A$62,0))&gt;0,INDEX(Simulations!$I$3:$I$62,MATCH($A149,Simulations!$A$3:$A$62,0)),1))*$F149*(PI()/2*INDEX(Simulations!$T$3:$T$62,MATCH($A149,Simulations!$A$3:$A$62,0))^2*IF(INDEX(Simulations!$I$3:$I$62,MATCH($A149,Simulations!$A$3:$A$62,0))&gt;0,SQRT(PI()/2)*INDEX(Simulations!$U$3:$U$62,MATCH($A149,Simulations!$A$3:$A$62,0)),1)),$D149/(INDEX(Simulations!$G$3:$G$62,MATCH($A149,Simulations!$A$3:$A$62,0))*INDEX(Simulations!$H$3:$H$62,MATCH($A149,Simulations!$A$3:$A$62,0))*IF(INDEX(Simulations!$I$3:$I$62,MATCH($A149,Simulations!$A$3:$A$62,0))&gt;0,INDEX(Simulations!$I$3:$I$62,MATCH($A149,Simulations!$A$3:$A$62,0)),1))*INDEX(Simulations!$J$3:$J$62,MATCH($A149,Simulations!$A$3:$A$62,0))*IF(INDEX(Simulations!$I$3:$I$62,MATCH($A149,Simulations!$A$3:$A$62,0))&gt;0,2*PI()*INDEX(Simulations!$T$3:$T$62,MATCH($A149,Simulations!$A$3:$A$62,0))^2*INDEX(Simulations!$U$3:$U$62,MATCH($A149,Simulations!$A$3:$A$62,0))/2^1.5*(2/3*LN($F149/INDEX(Simulations!$J$3:$J$62,MATCH($A149,Simulations!$A$3:$A$62,0)))^1.5+SQRT(LN($F149/INDEX(Simulations!$J$3:$J$62,MATCH($A149,Simulations!$A$3:$A$62,0))))+$F149/INDEX(Simulations!$J$3:$J$62,MATCH($A149,Simulations!$A$3:$A$62,0))*SQRT(PI())/2*ERFC(SQRT(LN($F149/INDEX(Simulations!$J$3:$J$62,MATCH($A149,Simulations!$A$3:$A$62,0)))))),PI()*INDEX(Simulations!$T$3:$T$62,MATCH($A149,Simulations!$A$3:$A$62,0))^2/2*(LN($F149/INDEX(Simulations!$J$3:$J$62,MATCH($A149,Simulations!$A$3:$A$62,0)))+1)))))</f>
        <v/>
      </c>
      <c r="S149" s="16" t="str">
        <f aca="false">IF(OR($A149="",ISNA(MATCH($A149,Simulations!$A$3:$A$62,0))),"",IF(N($G149)&lt;=0,0,IF($G149&lt;INDEX(Simulations!$J$3:$J$62,MATCH($A149,Simulations!$A$3:$A$62,0)),$D149/(INDEX(Simulations!$G$3:$G$62,MATCH($A149,Simulations!$A$3:$A$62,0))*INDEX(Simulations!$H$3:$H$62,MATCH($A149,Simulations!$A$3:$A$62,0))*IF(INDEX(Simulations!$I$3:$I$62,MATCH($A149,Simulations!$A$3:$A$62,0))&gt;0,INDEX(Simulations!$I$3:$I$62,MATCH($A149,Simulations!$A$3:$A$62,0)),1))*$G149*(PI()/2*INDEX(Simulations!$T$3:$T$62,MATCH($A149,Simulations!$A$3:$A$62,0))^2*IF(INDEX(Simulations!$I$3:$I$62,MATCH($A149,Simulations!$A$3:$A$62,0))&gt;0,SQRT(PI()/2)*INDEX(Simulations!$U$3:$U$62,MATCH($A149,Simulations!$A$3:$A$62,0)),1)),$D149/(INDEX(Simulations!$G$3:$G$62,MATCH($A149,Simulations!$A$3:$A$62,0))*INDEX(Simulations!$H$3:$H$62,MATCH($A149,Simulations!$A$3:$A$62,0))*IF(INDEX(Simulations!$I$3:$I$62,MATCH($A149,Simulations!$A$3:$A$62,0))&gt;0,INDEX(Simulations!$I$3:$I$62,MATCH($A149,Simulations!$A$3:$A$62,0)),1))*INDEX(Simulations!$J$3:$J$62,MATCH($A149,Simulations!$A$3:$A$62,0))*IF(INDEX(Simulations!$I$3:$I$62,MATCH($A149,Simulations!$A$3:$A$62,0))&gt;0,2*PI()*INDEX(Simulations!$T$3:$T$62,MATCH($A149,Simulations!$A$3:$A$62,0))^2*INDEX(Simulations!$U$3:$U$62,MATCH($A149,Simulations!$A$3:$A$62,0))/2^1.5*(2/3*LN($G149/INDEX(Simulations!$J$3:$J$62,MATCH($A149,Simulations!$A$3:$A$62,0)))^1.5+SQRT(LN($G149/INDEX(Simulations!$J$3:$J$62,MATCH($A149,Simulations!$A$3:$A$62,0))))+$G149/INDEX(Simulations!$J$3:$J$62,MATCH($A149,Simulations!$A$3:$A$62,0))*SQRT(PI())/2*ERFC(SQRT(LN($G149/INDEX(Simulations!$J$3:$J$62,MATCH($A149,Simulations!$A$3:$A$62,0)))))),PI()*INDEX(Simulations!$T$3:$T$62,MATCH($A149,Simulations!$A$3:$A$62,0))^2/2*(LN($G149/INDEX(Simulations!$J$3:$J$62,MATCH($A149,Simulations!$A$3:$A$62,0)))+1)))))</f>
        <v/>
      </c>
      <c r="T149" s="16" t="str">
        <f aca="false">IF(OR($A149="",ISNA(MATCH($A149,Simulations!$A$3:$A$62,0))),"",IF(N($H149)&lt;=0,0,IF($H149&lt;INDEX(Simulations!$J$3:$J$62,MATCH($A149,Simulations!$A$3:$A$62,0)),$D149/(INDEX(Simulations!$G$3:$G$62,MATCH($A149,Simulations!$A$3:$A$62,0))*INDEX(Simulations!$H$3:$H$62,MATCH($A149,Simulations!$A$3:$A$62,0))*IF(INDEX(Simulations!$I$3:$I$62,MATCH($A149,Simulations!$A$3:$A$62,0))&gt;0,INDEX(Simulations!$I$3:$I$62,MATCH($A149,Simulations!$A$3:$A$62,0)),1))*$H149*(PI()/2*INDEX(Simulations!$T$3:$T$62,MATCH($A149,Simulations!$A$3:$A$62,0))^2*IF(INDEX(Simulations!$I$3:$I$62,MATCH($A149,Simulations!$A$3:$A$62,0))&gt;0,SQRT(PI()/2)*INDEX(Simulations!$U$3:$U$62,MATCH($A149,Simulations!$A$3:$A$62,0)),1)),$D149/(INDEX(Simulations!$G$3:$G$62,MATCH($A149,Simulations!$A$3:$A$62,0))*INDEX(Simulations!$H$3:$H$62,MATCH($A149,Simulations!$A$3:$A$62,0))*IF(INDEX(Simulations!$I$3:$I$62,MATCH($A149,Simulations!$A$3:$A$62,0))&gt;0,INDEX(Simulations!$I$3:$I$62,MATCH($A149,Simulations!$A$3:$A$62,0)),1))*INDEX(Simulations!$J$3:$J$62,MATCH($A149,Simulations!$A$3:$A$62,0))*IF(INDEX(Simulations!$I$3:$I$62,MATCH($A149,Simulations!$A$3:$A$62,0))&gt;0,2*PI()*INDEX(Simulations!$T$3:$T$62,MATCH($A149,Simulations!$A$3:$A$62,0))^2*INDEX(Simulations!$U$3:$U$62,MATCH($A149,Simulations!$A$3:$A$62,0))/2^1.5*(2/3*LN($H149/INDEX(Simulations!$J$3:$J$62,MATCH($A149,Simulations!$A$3:$A$62,0)))^1.5+SQRT(LN($H149/INDEX(Simulations!$J$3:$J$62,MATCH($A149,Simulations!$A$3:$A$62,0))))+$H149/INDEX(Simulations!$J$3:$J$62,MATCH($A149,Simulations!$A$3:$A$62,0))*SQRT(PI())/2*ERFC(SQRT(LN($H149/INDEX(Simulations!$J$3:$J$62,MATCH($A149,Simulations!$A$3:$A$62,0)))))),PI()*INDEX(Simulations!$T$3:$T$62,MATCH($A149,Simulations!$A$3:$A$62,0))^2/2*(LN($H149/INDEX(Simulations!$J$3:$J$62,MATCH($A149,Simulations!$A$3:$A$62,0)))+1)))))</f>
        <v/>
      </c>
      <c r="U149" s="18" t="str">
        <f aca="false">IF(OR(OR($A149="",ISNA(MATCH($A149,Simulations!$A$3:$A$62,0))),N($C149)&lt;=0),"",SQRT(2*$C149*1000000/(INDEX(Simulations!$J$3:$J$62,MATCH($A149,Simulations!$A$3:$A$62,0))*1000))/INDEX(Simulations!$T$3:$T$62,MATCH($A149,Simulations!$A$3:$A$62,0)))</f>
        <v/>
      </c>
      <c r="V149" s="19" t="str">
        <f aca="false">IF($A149="","",IF(ISNA(MATCH($A149,Simulations!$A$3:$A$62,0)),"✖ Sim ID not found on the Simulations sheet",IF($P149&gt;=1,"✖ brightness &gt;= sampling frequency: completely saturated (D too small, c too large)",IF($P149&gt;0.1,"⚠ brightness &gt; 10% of the sampling frequency: focus starts to saturate",IF(N($U149)&gt;0.1,"⚠ diffusion step &gt; 10% of wr: raise the sampling frequency",IF(MAX($E149:$H149)=0,"⚠ no brightness set","✔ OK"))))))</f>
        <v/>
      </c>
    </row>
    <row r="150" customFormat="false" ht="15" hidden="false" customHeight="false" outlineLevel="0" collapsed="false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4"/>
      <c r="O150" s="18" t="str">
        <f aca="false">IF(OR($A150="",ISNA(MATCH($A150,Simulations!$A$3:$A$62,0))),"",IF(INDEX(Simulations!$I$3:$I$62,MATCH($A150,Simulations!$A$3:$A$62,0))&gt;0,$D150/(INDEX(Simulations!$G$3:$G$62,MATCH($A150,Simulations!$A$3:$A$62,0))*INDEX(Simulations!$H$3:$H$62,MATCH($A150,Simulations!$A$3:$A$62,0))*IF(INDEX(Simulations!$I$3:$I$62,MATCH($A150,Simulations!$A$3:$A$62,0))&gt;0,INDEX(Simulations!$I$3:$I$62,MATCH($A150,Simulations!$A$3:$A$62,0)),1))/1E-024/6.022E+023/0.000000001,""))</f>
        <v/>
      </c>
      <c r="P150" s="20" t="str">
        <f aca="false">IF(OR($A150="",ISNA(MATCH($A150,Simulations!$A$3:$A$62,0))),"",MAX($E150:$H150)/INDEX(Simulations!$J$3:$J$62,MATCH($A150,Simulations!$A$3:$A$62,0)))</f>
        <v/>
      </c>
      <c r="Q150" s="16" t="str">
        <f aca="false">IF(OR($A150="",ISNA(MATCH($A150,Simulations!$A$3:$A$62,0))),"",IF(N($E150)&lt;=0,0,IF($E150&lt;INDEX(Simulations!$J$3:$J$62,MATCH($A150,Simulations!$A$3:$A$62,0)),$D150/(INDEX(Simulations!$G$3:$G$62,MATCH($A150,Simulations!$A$3:$A$62,0))*INDEX(Simulations!$H$3:$H$62,MATCH($A150,Simulations!$A$3:$A$62,0))*IF(INDEX(Simulations!$I$3:$I$62,MATCH($A150,Simulations!$A$3:$A$62,0))&gt;0,INDEX(Simulations!$I$3:$I$62,MATCH($A150,Simulations!$A$3:$A$62,0)),1))*$E150*(PI()/2*INDEX(Simulations!$T$3:$T$62,MATCH($A150,Simulations!$A$3:$A$62,0))^2*IF(INDEX(Simulations!$I$3:$I$62,MATCH($A150,Simulations!$A$3:$A$62,0))&gt;0,SQRT(PI()/2)*INDEX(Simulations!$U$3:$U$62,MATCH($A150,Simulations!$A$3:$A$62,0)),1)),$D150/(INDEX(Simulations!$G$3:$G$62,MATCH($A150,Simulations!$A$3:$A$62,0))*INDEX(Simulations!$H$3:$H$62,MATCH($A150,Simulations!$A$3:$A$62,0))*IF(INDEX(Simulations!$I$3:$I$62,MATCH($A150,Simulations!$A$3:$A$62,0))&gt;0,INDEX(Simulations!$I$3:$I$62,MATCH($A150,Simulations!$A$3:$A$62,0)),1))*INDEX(Simulations!$J$3:$J$62,MATCH($A150,Simulations!$A$3:$A$62,0))*IF(INDEX(Simulations!$I$3:$I$62,MATCH($A150,Simulations!$A$3:$A$62,0))&gt;0,2*PI()*INDEX(Simulations!$T$3:$T$62,MATCH($A150,Simulations!$A$3:$A$62,0))^2*INDEX(Simulations!$U$3:$U$62,MATCH($A150,Simulations!$A$3:$A$62,0))/2^1.5*(2/3*LN($E150/INDEX(Simulations!$J$3:$J$62,MATCH($A150,Simulations!$A$3:$A$62,0)))^1.5+SQRT(LN($E150/INDEX(Simulations!$J$3:$J$62,MATCH($A150,Simulations!$A$3:$A$62,0))))+$E150/INDEX(Simulations!$J$3:$J$62,MATCH($A150,Simulations!$A$3:$A$62,0))*SQRT(PI())/2*ERFC(SQRT(LN($E150/INDEX(Simulations!$J$3:$J$62,MATCH($A150,Simulations!$A$3:$A$62,0)))))),PI()*INDEX(Simulations!$T$3:$T$62,MATCH($A150,Simulations!$A$3:$A$62,0))^2/2*(LN($E150/INDEX(Simulations!$J$3:$J$62,MATCH($A150,Simulations!$A$3:$A$62,0)))+1)))))</f>
        <v/>
      </c>
      <c r="R150" s="16" t="str">
        <f aca="false">IF(OR($A150="",ISNA(MATCH($A150,Simulations!$A$3:$A$62,0))),"",IF(N($F150)&lt;=0,0,IF($F150&lt;INDEX(Simulations!$J$3:$J$62,MATCH($A150,Simulations!$A$3:$A$62,0)),$D150/(INDEX(Simulations!$G$3:$G$62,MATCH($A150,Simulations!$A$3:$A$62,0))*INDEX(Simulations!$H$3:$H$62,MATCH($A150,Simulations!$A$3:$A$62,0))*IF(INDEX(Simulations!$I$3:$I$62,MATCH($A150,Simulations!$A$3:$A$62,0))&gt;0,INDEX(Simulations!$I$3:$I$62,MATCH($A150,Simulations!$A$3:$A$62,0)),1))*$F150*(PI()/2*INDEX(Simulations!$T$3:$T$62,MATCH($A150,Simulations!$A$3:$A$62,0))^2*IF(INDEX(Simulations!$I$3:$I$62,MATCH($A150,Simulations!$A$3:$A$62,0))&gt;0,SQRT(PI()/2)*INDEX(Simulations!$U$3:$U$62,MATCH($A150,Simulations!$A$3:$A$62,0)),1)),$D150/(INDEX(Simulations!$G$3:$G$62,MATCH($A150,Simulations!$A$3:$A$62,0))*INDEX(Simulations!$H$3:$H$62,MATCH($A150,Simulations!$A$3:$A$62,0))*IF(INDEX(Simulations!$I$3:$I$62,MATCH($A150,Simulations!$A$3:$A$62,0))&gt;0,INDEX(Simulations!$I$3:$I$62,MATCH($A150,Simulations!$A$3:$A$62,0)),1))*INDEX(Simulations!$J$3:$J$62,MATCH($A150,Simulations!$A$3:$A$62,0))*IF(INDEX(Simulations!$I$3:$I$62,MATCH($A150,Simulations!$A$3:$A$62,0))&gt;0,2*PI()*INDEX(Simulations!$T$3:$T$62,MATCH($A150,Simulations!$A$3:$A$62,0))^2*INDEX(Simulations!$U$3:$U$62,MATCH($A150,Simulations!$A$3:$A$62,0))/2^1.5*(2/3*LN($F150/INDEX(Simulations!$J$3:$J$62,MATCH($A150,Simulations!$A$3:$A$62,0)))^1.5+SQRT(LN($F150/INDEX(Simulations!$J$3:$J$62,MATCH($A150,Simulations!$A$3:$A$62,0))))+$F150/INDEX(Simulations!$J$3:$J$62,MATCH($A150,Simulations!$A$3:$A$62,0))*SQRT(PI())/2*ERFC(SQRT(LN($F150/INDEX(Simulations!$J$3:$J$62,MATCH($A150,Simulations!$A$3:$A$62,0)))))),PI()*INDEX(Simulations!$T$3:$T$62,MATCH($A150,Simulations!$A$3:$A$62,0))^2/2*(LN($F150/INDEX(Simulations!$J$3:$J$62,MATCH($A150,Simulations!$A$3:$A$62,0)))+1)))))</f>
        <v/>
      </c>
      <c r="S150" s="16" t="str">
        <f aca="false">IF(OR($A150="",ISNA(MATCH($A150,Simulations!$A$3:$A$62,0))),"",IF(N($G150)&lt;=0,0,IF($G150&lt;INDEX(Simulations!$J$3:$J$62,MATCH($A150,Simulations!$A$3:$A$62,0)),$D150/(INDEX(Simulations!$G$3:$G$62,MATCH($A150,Simulations!$A$3:$A$62,0))*INDEX(Simulations!$H$3:$H$62,MATCH($A150,Simulations!$A$3:$A$62,0))*IF(INDEX(Simulations!$I$3:$I$62,MATCH($A150,Simulations!$A$3:$A$62,0))&gt;0,INDEX(Simulations!$I$3:$I$62,MATCH($A150,Simulations!$A$3:$A$62,0)),1))*$G150*(PI()/2*INDEX(Simulations!$T$3:$T$62,MATCH($A150,Simulations!$A$3:$A$62,0))^2*IF(INDEX(Simulations!$I$3:$I$62,MATCH($A150,Simulations!$A$3:$A$62,0))&gt;0,SQRT(PI()/2)*INDEX(Simulations!$U$3:$U$62,MATCH($A150,Simulations!$A$3:$A$62,0)),1)),$D150/(INDEX(Simulations!$G$3:$G$62,MATCH($A150,Simulations!$A$3:$A$62,0))*INDEX(Simulations!$H$3:$H$62,MATCH($A150,Simulations!$A$3:$A$62,0))*IF(INDEX(Simulations!$I$3:$I$62,MATCH($A150,Simulations!$A$3:$A$62,0))&gt;0,INDEX(Simulations!$I$3:$I$62,MATCH($A150,Simulations!$A$3:$A$62,0)),1))*INDEX(Simulations!$J$3:$J$62,MATCH($A150,Simulations!$A$3:$A$62,0))*IF(INDEX(Simulations!$I$3:$I$62,MATCH($A150,Simulations!$A$3:$A$62,0))&gt;0,2*PI()*INDEX(Simulations!$T$3:$T$62,MATCH($A150,Simulations!$A$3:$A$62,0))^2*INDEX(Simulations!$U$3:$U$62,MATCH($A150,Simulations!$A$3:$A$62,0))/2^1.5*(2/3*LN($G150/INDEX(Simulations!$J$3:$J$62,MATCH($A150,Simulations!$A$3:$A$62,0)))^1.5+SQRT(LN($G150/INDEX(Simulations!$J$3:$J$62,MATCH($A150,Simulations!$A$3:$A$62,0))))+$G150/INDEX(Simulations!$J$3:$J$62,MATCH($A150,Simulations!$A$3:$A$62,0))*SQRT(PI())/2*ERFC(SQRT(LN($G150/INDEX(Simulations!$J$3:$J$62,MATCH($A150,Simulations!$A$3:$A$62,0)))))),PI()*INDEX(Simulations!$T$3:$T$62,MATCH($A150,Simulations!$A$3:$A$62,0))^2/2*(LN($G150/INDEX(Simulations!$J$3:$J$62,MATCH($A150,Simulations!$A$3:$A$62,0)))+1)))))</f>
        <v/>
      </c>
      <c r="T150" s="16" t="str">
        <f aca="false">IF(OR($A150="",ISNA(MATCH($A150,Simulations!$A$3:$A$62,0))),"",IF(N($H150)&lt;=0,0,IF($H150&lt;INDEX(Simulations!$J$3:$J$62,MATCH($A150,Simulations!$A$3:$A$62,0)),$D150/(INDEX(Simulations!$G$3:$G$62,MATCH($A150,Simulations!$A$3:$A$62,0))*INDEX(Simulations!$H$3:$H$62,MATCH($A150,Simulations!$A$3:$A$62,0))*IF(INDEX(Simulations!$I$3:$I$62,MATCH($A150,Simulations!$A$3:$A$62,0))&gt;0,INDEX(Simulations!$I$3:$I$62,MATCH($A150,Simulations!$A$3:$A$62,0)),1))*$H150*(PI()/2*INDEX(Simulations!$T$3:$T$62,MATCH($A150,Simulations!$A$3:$A$62,0))^2*IF(INDEX(Simulations!$I$3:$I$62,MATCH($A150,Simulations!$A$3:$A$62,0))&gt;0,SQRT(PI()/2)*INDEX(Simulations!$U$3:$U$62,MATCH($A150,Simulations!$A$3:$A$62,0)),1)),$D150/(INDEX(Simulations!$G$3:$G$62,MATCH($A150,Simulations!$A$3:$A$62,0))*INDEX(Simulations!$H$3:$H$62,MATCH($A150,Simulations!$A$3:$A$62,0))*IF(INDEX(Simulations!$I$3:$I$62,MATCH($A150,Simulations!$A$3:$A$62,0))&gt;0,INDEX(Simulations!$I$3:$I$62,MATCH($A150,Simulations!$A$3:$A$62,0)),1))*INDEX(Simulations!$J$3:$J$62,MATCH($A150,Simulations!$A$3:$A$62,0))*IF(INDEX(Simulations!$I$3:$I$62,MATCH($A150,Simulations!$A$3:$A$62,0))&gt;0,2*PI()*INDEX(Simulations!$T$3:$T$62,MATCH($A150,Simulations!$A$3:$A$62,0))^2*INDEX(Simulations!$U$3:$U$62,MATCH($A150,Simulations!$A$3:$A$62,0))/2^1.5*(2/3*LN($H150/INDEX(Simulations!$J$3:$J$62,MATCH($A150,Simulations!$A$3:$A$62,0)))^1.5+SQRT(LN($H150/INDEX(Simulations!$J$3:$J$62,MATCH($A150,Simulations!$A$3:$A$62,0))))+$H150/INDEX(Simulations!$J$3:$J$62,MATCH($A150,Simulations!$A$3:$A$62,0))*SQRT(PI())/2*ERFC(SQRT(LN($H150/INDEX(Simulations!$J$3:$J$62,MATCH($A150,Simulations!$A$3:$A$62,0)))))),PI()*INDEX(Simulations!$T$3:$T$62,MATCH($A150,Simulations!$A$3:$A$62,0))^2/2*(LN($H150/INDEX(Simulations!$J$3:$J$62,MATCH($A150,Simulations!$A$3:$A$62,0)))+1)))))</f>
        <v/>
      </c>
      <c r="U150" s="18" t="str">
        <f aca="false">IF(OR(OR($A150="",ISNA(MATCH($A150,Simulations!$A$3:$A$62,0))),N($C150)&lt;=0),"",SQRT(2*$C150*1000000/(INDEX(Simulations!$J$3:$J$62,MATCH($A150,Simulations!$A$3:$A$62,0))*1000))/INDEX(Simulations!$T$3:$T$62,MATCH($A150,Simulations!$A$3:$A$62,0)))</f>
        <v/>
      </c>
      <c r="V150" s="19" t="str">
        <f aca="false">IF($A150="","",IF(ISNA(MATCH($A150,Simulations!$A$3:$A$62,0)),"✖ Sim ID not found on the Simulations sheet",IF($P150&gt;=1,"✖ brightness &gt;= sampling frequency: completely saturated (D too small, c too large)",IF($P150&gt;0.1,"⚠ brightness &gt; 10% of the sampling frequency: focus starts to saturate",IF(N($U150)&gt;0.1,"⚠ diffusion step &gt; 10% of wr: raise the sampling frequency",IF(MAX($E150:$H150)=0,"⚠ no brightness set","✔ OK"))))))</f>
        <v/>
      </c>
    </row>
    <row r="151" customFormat="false" ht="15" hidden="false" customHeight="false" outlineLevel="0" collapsed="false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4"/>
      <c r="O151" s="18" t="str">
        <f aca="false">IF(OR($A151="",ISNA(MATCH($A151,Simulations!$A$3:$A$62,0))),"",IF(INDEX(Simulations!$I$3:$I$62,MATCH($A151,Simulations!$A$3:$A$62,0))&gt;0,$D151/(INDEX(Simulations!$G$3:$G$62,MATCH($A151,Simulations!$A$3:$A$62,0))*INDEX(Simulations!$H$3:$H$62,MATCH($A151,Simulations!$A$3:$A$62,0))*IF(INDEX(Simulations!$I$3:$I$62,MATCH($A151,Simulations!$A$3:$A$62,0))&gt;0,INDEX(Simulations!$I$3:$I$62,MATCH($A151,Simulations!$A$3:$A$62,0)),1))/1E-024/6.022E+023/0.000000001,""))</f>
        <v/>
      </c>
      <c r="P151" s="20" t="str">
        <f aca="false">IF(OR($A151="",ISNA(MATCH($A151,Simulations!$A$3:$A$62,0))),"",MAX($E151:$H151)/INDEX(Simulations!$J$3:$J$62,MATCH($A151,Simulations!$A$3:$A$62,0)))</f>
        <v/>
      </c>
      <c r="Q151" s="16" t="str">
        <f aca="false">IF(OR($A151="",ISNA(MATCH($A151,Simulations!$A$3:$A$62,0))),"",IF(N($E151)&lt;=0,0,IF($E151&lt;INDEX(Simulations!$J$3:$J$62,MATCH($A151,Simulations!$A$3:$A$62,0)),$D151/(INDEX(Simulations!$G$3:$G$62,MATCH($A151,Simulations!$A$3:$A$62,0))*INDEX(Simulations!$H$3:$H$62,MATCH($A151,Simulations!$A$3:$A$62,0))*IF(INDEX(Simulations!$I$3:$I$62,MATCH($A151,Simulations!$A$3:$A$62,0))&gt;0,INDEX(Simulations!$I$3:$I$62,MATCH($A151,Simulations!$A$3:$A$62,0)),1))*$E151*(PI()/2*INDEX(Simulations!$T$3:$T$62,MATCH($A151,Simulations!$A$3:$A$62,0))^2*IF(INDEX(Simulations!$I$3:$I$62,MATCH($A151,Simulations!$A$3:$A$62,0))&gt;0,SQRT(PI()/2)*INDEX(Simulations!$U$3:$U$62,MATCH($A151,Simulations!$A$3:$A$62,0)),1)),$D151/(INDEX(Simulations!$G$3:$G$62,MATCH($A151,Simulations!$A$3:$A$62,0))*INDEX(Simulations!$H$3:$H$62,MATCH($A151,Simulations!$A$3:$A$62,0))*IF(INDEX(Simulations!$I$3:$I$62,MATCH($A151,Simulations!$A$3:$A$62,0))&gt;0,INDEX(Simulations!$I$3:$I$62,MATCH($A151,Simulations!$A$3:$A$62,0)),1))*INDEX(Simulations!$J$3:$J$62,MATCH($A151,Simulations!$A$3:$A$62,0))*IF(INDEX(Simulations!$I$3:$I$62,MATCH($A151,Simulations!$A$3:$A$62,0))&gt;0,2*PI()*INDEX(Simulations!$T$3:$T$62,MATCH($A151,Simulations!$A$3:$A$62,0))^2*INDEX(Simulations!$U$3:$U$62,MATCH($A151,Simulations!$A$3:$A$62,0))/2^1.5*(2/3*LN($E151/INDEX(Simulations!$J$3:$J$62,MATCH($A151,Simulations!$A$3:$A$62,0)))^1.5+SQRT(LN($E151/INDEX(Simulations!$J$3:$J$62,MATCH($A151,Simulations!$A$3:$A$62,0))))+$E151/INDEX(Simulations!$J$3:$J$62,MATCH($A151,Simulations!$A$3:$A$62,0))*SQRT(PI())/2*ERFC(SQRT(LN($E151/INDEX(Simulations!$J$3:$J$62,MATCH($A151,Simulations!$A$3:$A$62,0)))))),PI()*INDEX(Simulations!$T$3:$T$62,MATCH($A151,Simulations!$A$3:$A$62,0))^2/2*(LN($E151/INDEX(Simulations!$J$3:$J$62,MATCH($A151,Simulations!$A$3:$A$62,0)))+1)))))</f>
        <v/>
      </c>
      <c r="R151" s="16" t="str">
        <f aca="false">IF(OR($A151="",ISNA(MATCH($A151,Simulations!$A$3:$A$62,0))),"",IF(N($F151)&lt;=0,0,IF($F151&lt;INDEX(Simulations!$J$3:$J$62,MATCH($A151,Simulations!$A$3:$A$62,0)),$D151/(INDEX(Simulations!$G$3:$G$62,MATCH($A151,Simulations!$A$3:$A$62,0))*INDEX(Simulations!$H$3:$H$62,MATCH($A151,Simulations!$A$3:$A$62,0))*IF(INDEX(Simulations!$I$3:$I$62,MATCH($A151,Simulations!$A$3:$A$62,0))&gt;0,INDEX(Simulations!$I$3:$I$62,MATCH($A151,Simulations!$A$3:$A$62,0)),1))*$F151*(PI()/2*INDEX(Simulations!$T$3:$T$62,MATCH($A151,Simulations!$A$3:$A$62,0))^2*IF(INDEX(Simulations!$I$3:$I$62,MATCH($A151,Simulations!$A$3:$A$62,0))&gt;0,SQRT(PI()/2)*INDEX(Simulations!$U$3:$U$62,MATCH($A151,Simulations!$A$3:$A$62,0)),1)),$D151/(INDEX(Simulations!$G$3:$G$62,MATCH($A151,Simulations!$A$3:$A$62,0))*INDEX(Simulations!$H$3:$H$62,MATCH($A151,Simulations!$A$3:$A$62,0))*IF(INDEX(Simulations!$I$3:$I$62,MATCH($A151,Simulations!$A$3:$A$62,0))&gt;0,INDEX(Simulations!$I$3:$I$62,MATCH($A151,Simulations!$A$3:$A$62,0)),1))*INDEX(Simulations!$J$3:$J$62,MATCH($A151,Simulations!$A$3:$A$62,0))*IF(INDEX(Simulations!$I$3:$I$62,MATCH($A151,Simulations!$A$3:$A$62,0))&gt;0,2*PI()*INDEX(Simulations!$T$3:$T$62,MATCH($A151,Simulations!$A$3:$A$62,0))^2*INDEX(Simulations!$U$3:$U$62,MATCH($A151,Simulations!$A$3:$A$62,0))/2^1.5*(2/3*LN($F151/INDEX(Simulations!$J$3:$J$62,MATCH($A151,Simulations!$A$3:$A$62,0)))^1.5+SQRT(LN($F151/INDEX(Simulations!$J$3:$J$62,MATCH($A151,Simulations!$A$3:$A$62,0))))+$F151/INDEX(Simulations!$J$3:$J$62,MATCH($A151,Simulations!$A$3:$A$62,0))*SQRT(PI())/2*ERFC(SQRT(LN($F151/INDEX(Simulations!$J$3:$J$62,MATCH($A151,Simulations!$A$3:$A$62,0)))))),PI()*INDEX(Simulations!$T$3:$T$62,MATCH($A151,Simulations!$A$3:$A$62,0))^2/2*(LN($F151/INDEX(Simulations!$J$3:$J$62,MATCH($A151,Simulations!$A$3:$A$62,0)))+1)))))</f>
        <v/>
      </c>
      <c r="S151" s="16" t="str">
        <f aca="false">IF(OR($A151="",ISNA(MATCH($A151,Simulations!$A$3:$A$62,0))),"",IF(N($G151)&lt;=0,0,IF($G151&lt;INDEX(Simulations!$J$3:$J$62,MATCH($A151,Simulations!$A$3:$A$62,0)),$D151/(INDEX(Simulations!$G$3:$G$62,MATCH($A151,Simulations!$A$3:$A$62,0))*INDEX(Simulations!$H$3:$H$62,MATCH($A151,Simulations!$A$3:$A$62,0))*IF(INDEX(Simulations!$I$3:$I$62,MATCH($A151,Simulations!$A$3:$A$62,0))&gt;0,INDEX(Simulations!$I$3:$I$62,MATCH($A151,Simulations!$A$3:$A$62,0)),1))*$G151*(PI()/2*INDEX(Simulations!$T$3:$T$62,MATCH($A151,Simulations!$A$3:$A$62,0))^2*IF(INDEX(Simulations!$I$3:$I$62,MATCH($A151,Simulations!$A$3:$A$62,0))&gt;0,SQRT(PI()/2)*INDEX(Simulations!$U$3:$U$62,MATCH($A151,Simulations!$A$3:$A$62,0)),1)),$D151/(INDEX(Simulations!$G$3:$G$62,MATCH($A151,Simulations!$A$3:$A$62,0))*INDEX(Simulations!$H$3:$H$62,MATCH($A151,Simulations!$A$3:$A$62,0))*IF(INDEX(Simulations!$I$3:$I$62,MATCH($A151,Simulations!$A$3:$A$62,0))&gt;0,INDEX(Simulations!$I$3:$I$62,MATCH($A151,Simulations!$A$3:$A$62,0)),1))*INDEX(Simulations!$J$3:$J$62,MATCH($A151,Simulations!$A$3:$A$62,0))*IF(INDEX(Simulations!$I$3:$I$62,MATCH($A151,Simulations!$A$3:$A$62,0))&gt;0,2*PI()*INDEX(Simulations!$T$3:$T$62,MATCH($A151,Simulations!$A$3:$A$62,0))^2*INDEX(Simulations!$U$3:$U$62,MATCH($A151,Simulations!$A$3:$A$62,0))/2^1.5*(2/3*LN($G151/INDEX(Simulations!$J$3:$J$62,MATCH($A151,Simulations!$A$3:$A$62,0)))^1.5+SQRT(LN($G151/INDEX(Simulations!$J$3:$J$62,MATCH($A151,Simulations!$A$3:$A$62,0))))+$G151/INDEX(Simulations!$J$3:$J$62,MATCH($A151,Simulations!$A$3:$A$62,0))*SQRT(PI())/2*ERFC(SQRT(LN($G151/INDEX(Simulations!$J$3:$J$62,MATCH($A151,Simulations!$A$3:$A$62,0)))))),PI()*INDEX(Simulations!$T$3:$T$62,MATCH($A151,Simulations!$A$3:$A$62,0))^2/2*(LN($G151/INDEX(Simulations!$J$3:$J$62,MATCH($A151,Simulations!$A$3:$A$62,0)))+1)))))</f>
        <v/>
      </c>
      <c r="T151" s="16" t="str">
        <f aca="false">IF(OR($A151="",ISNA(MATCH($A151,Simulations!$A$3:$A$62,0))),"",IF(N($H151)&lt;=0,0,IF($H151&lt;INDEX(Simulations!$J$3:$J$62,MATCH($A151,Simulations!$A$3:$A$62,0)),$D151/(INDEX(Simulations!$G$3:$G$62,MATCH($A151,Simulations!$A$3:$A$62,0))*INDEX(Simulations!$H$3:$H$62,MATCH($A151,Simulations!$A$3:$A$62,0))*IF(INDEX(Simulations!$I$3:$I$62,MATCH($A151,Simulations!$A$3:$A$62,0))&gt;0,INDEX(Simulations!$I$3:$I$62,MATCH($A151,Simulations!$A$3:$A$62,0)),1))*$H151*(PI()/2*INDEX(Simulations!$T$3:$T$62,MATCH($A151,Simulations!$A$3:$A$62,0))^2*IF(INDEX(Simulations!$I$3:$I$62,MATCH($A151,Simulations!$A$3:$A$62,0))&gt;0,SQRT(PI()/2)*INDEX(Simulations!$U$3:$U$62,MATCH($A151,Simulations!$A$3:$A$62,0)),1)),$D151/(INDEX(Simulations!$G$3:$G$62,MATCH($A151,Simulations!$A$3:$A$62,0))*INDEX(Simulations!$H$3:$H$62,MATCH($A151,Simulations!$A$3:$A$62,0))*IF(INDEX(Simulations!$I$3:$I$62,MATCH($A151,Simulations!$A$3:$A$62,0))&gt;0,INDEX(Simulations!$I$3:$I$62,MATCH($A151,Simulations!$A$3:$A$62,0)),1))*INDEX(Simulations!$J$3:$J$62,MATCH($A151,Simulations!$A$3:$A$62,0))*IF(INDEX(Simulations!$I$3:$I$62,MATCH($A151,Simulations!$A$3:$A$62,0))&gt;0,2*PI()*INDEX(Simulations!$T$3:$T$62,MATCH($A151,Simulations!$A$3:$A$62,0))^2*INDEX(Simulations!$U$3:$U$62,MATCH($A151,Simulations!$A$3:$A$62,0))/2^1.5*(2/3*LN($H151/INDEX(Simulations!$J$3:$J$62,MATCH($A151,Simulations!$A$3:$A$62,0)))^1.5+SQRT(LN($H151/INDEX(Simulations!$J$3:$J$62,MATCH($A151,Simulations!$A$3:$A$62,0))))+$H151/INDEX(Simulations!$J$3:$J$62,MATCH($A151,Simulations!$A$3:$A$62,0))*SQRT(PI())/2*ERFC(SQRT(LN($H151/INDEX(Simulations!$J$3:$J$62,MATCH($A151,Simulations!$A$3:$A$62,0)))))),PI()*INDEX(Simulations!$T$3:$T$62,MATCH($A151,Simulations!$A$3:$A$62,0))^2/2*(LN($H151/INDEX(Simulations!$J$3:$J$62,MATCH($A151,Simulations!$A$3:$A$62,0)))+1)))))</f>
        <v/>
      </c>
      <c r="U151" s="18" t="str">
        <f aca="false">IF(OR(OR($A151="",ISNA(MATCH($A151,Simulations!$A$3:$A$62,0))),N($C151)&lt;=0),"",SQRT(2*$C151*1000000/(INDEX(Simulations!$J$3:$J$62,MATCH($A151,Simulations!$A$3:$A$62,0))*1000))/INDEX(Simulations!$T$3:$T$62,MATCH($A151,Simulations!$A$3:$A$62,0)))</f>
        <v/>
      </c>
      <c r="V151" s="19" t="str">
        <f aca="false">IF($A151="","",IF(ISNA(MATCH($A151,Simulations!$A$3:$A$62,0)),"✖ Sim ID not found on the Simulations sheet",IF($P151&gt;=1,"✖ brightness &gt;= sampling frequency: completely saturated (D too small, c too large)",IF($P151&gt;0.1,"⚠ brightness &gt; 10% of the sampling frequency: focus starts to saturate",IF(N($U151)&gt;0.1,"⚠ diffusion step &gt; 10% of wr: raise the sampling frequency",IF(MAX($E151:$H151)=0,"⚠ no brightness set","✔ OK"))))))</f>
        <v/>
      </c>
    </row>
    <row r="152" customFormat="false" ht="15" hidden="false" customHeight="false" outlineLevel="0" collapsed="false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4"/>
      <c r="O152" s="18" t="str">
        <f aca="false">IF(OR($A152="",ISNA(MATCH($A152,Simulations!$A$3:$A$62,0))),"",IF(INDEX(Simulations!$I$3:$I$62,MATCH($A152,Simulations!$A$3:$A$62,0))&gt;0,$D152/(INDEX(Simulations!$G$3:$G$62,MATCH($A152,Simulations!$A$3:$A$62,0))*INDEX(Simulations!$H$3:$H$62,MATCH($A152,Simulations!$A$3:$A$62,0))*IF(INDEX(Simulations!$I$3:$I$62,MATCH($A152,Simulations!$A$3:$A$62,0))&gt;0,INDEX(Simulations!$I$3:$I$62,MATCH($A152,Simulations!$A$3:$A$62,0)),1))/1E-024/6.022E+023/0.000000001,""))</f>
        <v/>
      </c>
      <c r="P152" s="20" t="str">
        <f aca="false">IF(OR($A152="",ISNA(MATCH($A152,Simulations!$A$3:$A$62,0))),"",MAX($E152:$H152)/INDEX(Simulations!$J$3:$J$62,MATCH($A152,Simulations!$A$3:$A$62,0)))</f>
        <v/>
      </c>
      <c r="Q152" s="16" t="str">
        <f aca="false">IF(OR($A152="",ISNA(MATCH($A152,Simulations!$A$3:$A$62,0))),"",IF(N($E152)&lt;=0,0,IF($E152&lt;INDEX(Simulations!$J$3:$J$62,MATCH($A152,Simulations!$A$3:$A$62,0)),$D152/(INDEX(Simulations!$G$3:$G$62,MATCH($A152,Simulations!$A$3:$A$62,0))*INDEX(Simulations!$H$3:$H$62,MATCH($A152,Simulations!$A$3:$A$62,0))*IF(INDEX(Simulations!$I$3:$I$62,MATCH($A152,Simulations!$A$3:$A$62,0))&gt;0,INDEX(Simulations!$I$3:$I$62,MATCH($A152,Simulations!$A$3:$A$62,0)),1))*$E152*(PI()/2*INDEX(Simulations!$T$3:$T$62,MATCH($A152,Simulations!$A$3:$A$62,0))^2*IF(INDEX(Simulations!$I$3:$I$62,MATCH($A152,Simulations!$A$3:$A$62,0))&gt;0,SQRT(PI()/2)*INDEX(Simulations!$U$3:$U$62,MATCH($A152,Simulations!$A$3:$A$62,0)),1)),$D152/(INDEX(Simulations!$G$3:$G$62,MATCH($A152,Simulations!$A$3:$A$62,0))*INDEX(Simulations!$H$3:$H$62,MATCH($A152,Simulations!$A$3:$A$62,0))*IF(INDEX(Simulations!$I$3:$I$62,MATCH($A152,Simulations!$A$3:$A$62,0))&gt;0,INDEX(Simulations!$I$3:$I$62,MATCH($A152,Simulations!$A$3:$A$62,0)),1))*INDEX(Simulations!$J$3:$J$62,MATCH($A152,Simulations!$A$3:$A$62,0))*IF(INDEX(Simulations!$I$3:$I$62,MATCH($A152,Simulations!$A$3:$A$62,0))&gt;0,2*PI()*INDEX(Simulations!$T$3:$T$62,MATCH($A152,Simulations!$A$3:$A$62,0))^2*INDEX(Simulations!$U$3:$U$62,MATCH($A152,Simulations!$A$3:$A$62,0))/2^1.5*(2/3*LN($E152/INDEX(Simulations!$J$3:$J$62,MATCH($A152,Simulations!$A$3:$A$62,0)))^1.5+SQRT(LN($E152/INDEX(Simulations!$J$3:$J$62,MATCH($A152,Simulations!$A$3:$A$62,0))))+$E152/INDEX(Simulations!$J$3:$J$62,MATCH($A152,Simulations!$A$3:$A$62,0))*SQRT(PI())/2*ERFC(SQRT(LN($E152/INDEX(Simulations!$J$3:$J$62,MATCH($A152,Simulations!$A$3:$A$62,0)))))),PI()*INDEX(Simulations!$T$3:$T$62,MATCH($A152,Simulations!$A$3:$A$62,0))^2/2*(LN($E152/INDEX(Simulations!$J$3:$J$62,MATCH($A152,Simulations!$A$3:$A$62,0)))+1)))))</f>
        <v/>
      </c>
      <c r="R152" s="16" t="str">
        <f aca="false">IF(OR($A152="",ISNA(MATCH($A152,Simulations!$A$3:$A$62,0))),"",IF(N($F152)&lt;=0,0,IF($F152&lt;INDEX(Simulations!$J$3:$J$62,MATCH($A152,Simulations!$A$3:$A$62,0)),$D152/(INDEX(Simulations!$G$3:$G$62,MATCH($A152,Simulations!$A$3:$A$62,0))*INDEX(Simulations!$H$3:$H$62,MATCH($A152,Simulations!$A$3:$A$62,0))*IF(INDEX(Simulations!$I$3:$I$62,MATCH($A152,Simulations!$A$3:$A$62,0))&gt;0,INDEX(Simulations!$I$3:$I$62,MATCH($A152,Simulations!$A$3:$A$62,0)),1))*$F152*(PI()/2*INDEX(Simulations!$T$3:$T$62,MATCH($A152,Simulations!$A$3:$A$62,0))^2*IF(INDEX(Simulations!$I$3:$I$62,MATCH($A152,Simulations!$A$3:$A$62,0))&gt;0,SQRT(PI()/2)*INDEX(Simulations!$U$3:$U$62,MATCH($A152,Simulations!$A$3:$A$62,0)),1)),$D152/(INDEX(Simulations!$G$3:$G$62,MATCH($A152,Simulations!$A$3:$A$62,0))*INDEX(Simulations!$H$3:$H$62,MATCH($A152,Simulations!$A$3:$A$62,0))*IF(INDEX(Simulations!$I$3:$I$62,MATCH($A152,Simulations!$A$3:$A$62,0))&gt;0,INDEX(Simulations!$I$3:$I$62,MATCH($A152,Simulations!$A$3:$A$62,0)),1))*INDEX(Simulations!$J$3:$J$62,MATCH($A152,Simulations!$A$3:$A$62,0))*IF(INDEX(Simulations!$I$3:$I$62,MATCH($A152,Simulations!$A$3:$A$62,0))&gt;0,2*PI()*INDEX(Simulations!$T$3:$T$62,MATCH($A152,Simulations!$A$3:$A$62,0))^2*INDEX(Simulations!$U$3:$U$62,MATCH($A152,Simulations!$A$3:$A$62,0))/2^1.5*(2/3*LN($F152/INDEX(Simulations!$J$3:$J$62,MATCH($A152,Simulations!$A$3:$A$62,0)))^1.5+SQRT(LN($F152/INDEX(Simulations!$J$3:$J$62,MATCH($A152,Simulations!$A$3:$A$62,0))))+$F152/INDEX(Simulations!$J$3:$J$62,MATCH($A152,Simulations!$A$3:$A$62,0))*SQRT(PI())/2*ERFC(SQRT(LN($F152/INDEX(Simulations!$J$3:$J$62,MATCH($A152,Simulations!$A$3:$A$62,0)))))),PI()*INDEX(Simulations!$T$3:$T$62,MATCH($A152,Simulations!$A$3:$A$62,0))^2/2*(LN($F152/INDEX(Simulations!$J$3:$J$62,MATCH($A152,Simulations!$A$3:$A$62,0)))+1)))))</f>
        <v/>
      </c>
      <c r="S152" s="16" t="str">
        <f aca="false">IF(OR($A152="",ISNA(MATCH($A152,Simulations!$A$3:$A$62,0))),"",IF(N($G152)&lt;=0,0,IF($G152&lt;INDEX(Simulations!$J$3:$J$62,MATCH($A152,Simulations!$A$3:$A$62,0)),$D152/(INDEX(Simulations!$G$3:$G$62,MATCH($A152,Simulations!$A$3:$A$62,0))*INDEX(Simulations!$H$3:$H$62,MATCH($A152,Simulations!$A$3:$A$62,0))*IF(INDEX(Simulations!$I$3:$I$62,MATCH($A152,Simulations!$A$3:$A$62,0))&gt;0,INDEX(Simulations!$I$3:$I$62,MATCH($A152,Simulations!$A$3:$A$62,0)),1))*$G152*(PI()/2*INDEX(Simulations!$T$3:$T$62,MATCH($A152,Simulations!$A$3:$A$62,0))^2*IF(INDEX(Simulations!$I$3:$I$62,MATCH($A152,Simulations!$A$3:$A$62,0))&gt;0,SQRT(PI()/2)*INDEX(Simulations!$U$3:$U$62,MATCH($A152,Simulations!$A$3:$A$62,0)),1)),$D152/(INDEX(Simulations!$G$3:$G$62,MATCH($A152,Simulations!$A$3:$A$62,0))*INDEX(Simulations!$H$3:$H$62,MATCH($A152,Simulations!$A$3:$A$62,0))*IF(INDEX(Simulations!$I$3:$I$62,MATCH($A152,Simulations!$A$3:$A$62,0))&gt;0,INDEX(Simulations!$I$3:$I$62,MATCH($A152,Simulations!$A$3:$A$62,0)),1))*INDEX(Simulations!$J$3:$J$62,MATCH($A152,Simulations!$A$3:$A$62,0))*IF(INDEX(Simulations!$I$3:$I$62,MATCH($A152,Simulations!$A$3:$A$62,0))&gt;0,2*PI()*INDEX(Simulations!$T$3:$T$62,MATCH($A152,Simulations!$A$3:$A$62,0))^2*INDEX(Simulations!$U$3:$U$62,MATCH($A152,Simulations!$A$3:$A$62,0))/2^1.5*(2/3*LN($G152/INDEX(Simulations!$J$3:$J$62,MATCH($A152,Simulations!$A$3:$A$62,0)))^1.5+SQRT(LN($G152/INDEX(Simulations!$J$3:$J$62,MATCH($A152,Simulations!$A$3:$A$62,0))))+$G152/INDEX(Simulations!$J$3:$J$62,MATCH($A152,Simulations!$A$3:$A$62,0))*SQRT(PI())/2*ERFC(SQRT(LN($G152/INDEX(Simulations!$J$3:$J$62,MATCH($A152,Simulations!$A$3:$A$62,0)))))),PI()*INDEX(Simulations!$T$3:$T$62,MATCH($A152,Simulations!$A$3:$A$62,0))^2/2*(LN($G152/INDEX(Simulations!$J$3:$J$62,MATCH($A152,Simulations!$A$3:$A$62,0)))+1)))))</f>
        <v/>
      </c>
      <c r="T152" s="16" t="str">
        <f aca="false">IF(OR($A152="",ISNA(MATCH($A152,Simulations!$A$3:$A$62,0))),"",IF(N($H152)&lt;=0,0,IF($H152&lt;INDEX(Simulations!$J$3:$J$62,MATCH($A152,Simulations!$A$3:$A$62,0)),$D152/(INDEX(Simulations!$G$3:$G$62,MATCH($A152,Simulations!$A$3:$A$62,0))*INDEX(Simulations!$H$3:$H$62,MATCH($A152,Simulations!$A$3:$A$62,0))*IF(INDEX(Simulations!$I$3:$I$62,MATCH($A152,Simulations!$A$3:$A$62,0))&gt;0,INDEX(Simulations!$I$3:$I$62,MATCH($A152,Simulations!$A$3:$A$62,0)),1))*$H152*(PI()/2*INDEX(Simulations!$T$3:$T$62,MATCH($A152,Simulations!$A$3:$A$62,0))^2*IF(INDEX(Simulations!$I$3:$I$62,MATCH($A152,Simulations!$A$3:$A$62,0))&gt;0,SQRT(PI()/2)*INDEX(Simulations!$U$3:$U$62,MATCH($A152,Simulations!$A$3:$A$62,0)),1)),$D152/(INDEX(Simulations!$G$3:$G$62,MATCH($A152,Simulations!$A$3:$A$62,0))*INDEX(Simulations!$H$3:$H$62,MATCH($A152,Simulations!$A$3:$A$62,0))*IF(INDEX(Simulations!$I$3:$I$62,MATCH($A152,Simulations!$A$3:$A$62,0))&gt;0,INDEX(Simulations!$I$3:$I$62,MATCH($A152,Simulations!$A$3:$A$62,0)),1))*INDEX(Simulations!$J$3:$J$62,MATCH($A152,Simulations!$A$3:$A$62,0))*IF(INDEX(Simulations!$I$3:$I$62,MATCH($A152,Simulations!$A$3:$A$62,0))&gt;0,2*PI()*INDEX(Simulations!$T$3:$T$62,MATCH($A152,Simulations!$A$3:$A$62,0))^2*INDEX(Simulations!$U$3:$U$62,MATCH($A152,Simulations!$A$3:$A$62,0))/2^1.5*(2/3*LN($H152/INDEX(Simulations!$J$3:$J$62,MATCH($A152,Simulations!$A$3:$A$62,0)))^1.5+SQRT(LN($H152/INDEX(Simulations!$J$3:$J$62,MATCH($A152,Simulations!$A$3:$A$62,0))))+$H152/INDEX(Simulations!$J$3:$J$62,MATCH($A152,Simulations!$A$3:$A$62,0))*SQRT(PI())/2*ERFC(SQRT(LN($H152/INDEX(Simulations!$J$3:$J$62,MATCH($A152,Simulations!$A$3:$A$62,0)))))),PI()*INDEX(Simulations!$T$3:$T$62,MATCH($A152,Simulations!$A$3:$A$62,0))^2/2*(LN($H152/INDEX(Simulations!$J$3:$J$62,MATCH($A152,Simulations!$A$3:$A$62,0)))+1)))))</f>
        <v/>
      </c>
      <c r="U152" s="18" t="str">
        <f aca="false">IF(OR(OR($A152="",ISNA(MATCH($A152,Simulations!$A$3:$A$62,0))),N($C152)&lt;=0),"",SQRT(2*$C152*1000000/(INDEX(Simulations!$J$3:$J$62,MATCH($A152,Simulations!$A$3:$A$62,0))*1000))/INDEX(Simulations!$T$3:$T$62,MATCH($A152,Simulations!$A$3:$A$62,0)))</f>
        <v/>
      </c>
      <c r="V152" s="19" t="str">
        <f aca="false">IF($A152="","",IF(ISNA(MATCH($A152,Simulations!$A$3:$A$62,0)),"✖ Sim ID not found on the Simulations sheet",IF($P152&gt;=1,"✖ brightness &gt;= sampling frequency: completely saturated (D too small, c too large)",IF($P152&gt;0.1,"⚠ brightness &gt; 10% of the sampling frequency: focus starts to saturate",IF(N($U152)&gt;0.1,"⚠ diffusion step &gt; 10% of wr: raise the sampling frequency",IF(MAX($E152:$H152)=0,"⚠ no brightness set","✔ OK"))))))</f>
        <v/>
      </c>
    </row>
    <row r="153" customFormat="false" ht="15" hidden="false" customHeight="false" outlineLevel="0" collapsed="false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4"/>
      <c r="O153" s="18" t="str">
        <f aca="false">IF(OR($A153="",ISNA(MATCH($A153,Simulations!$A$3:$A$62,0))),"",IF(INDEX(Simulations!$I$3:$I$62,MATCH($A153,Simulations!$A$3:$A$62,0))&gt;0,$D153/(INDEX(Simulations!$G$3:$G$62,MATCH($A153,Simulations!$A$3:$A$62,0))*INDEX(Simulations!$H$3:$H$62,MATCH($A153,Simulations!$A$3:$A$62,0))*IF(INDEX(Simulations!$I$3:$I$62,MATCH($A153,Simulations!$A$3:$A$62,0))&gt;0,INDEX(Simulations!$I$3:$I$62,MATCH($A153,Simulations!$A$3:$A$62,0)),1))/1E-024/6.022E+023/0.000000001,""))</f>
        <v/>
      </c>
      <c r="P153" s="20" t="str">
        <f aca="false">IF(OR($A153="",ISNA(MATCH($A153,Simulations!$A$3:$A$62,0))),"",MAX($E153:$H153)/INDEX(Simulations!$J$3:$J$62,MATCH($A153,Simulations!$A$3:$A$62,0)))</f>
        <v/>
      </c>
      <c r="Q153" s="16" t="str">
        <f aca="false">IF(OR($A153="",ISNA(MATCH($A153,Simulations!$A$3:$A$62,0))),"",IF(N($E153)&lt;=0,0,IF($E153&lt;INDEX(Simulations!$J$3:$J$62,MATCH($A153,Simulations!$A$3:$A$62,0)),$D153/(INDEX(Simulations!$G$3:$G$62,MATCH($A153,Simulations!$A$3:$A$62,0))*INDEX(Simulations!$H$3:$H$62,MATCH($A153,Simulations!$A$3:$A$62,0))*IF(INDEX(Simulations!$I$3:$I$62,MATCH($A153,Simulations!$A$3:$A$62,0))&gt;0,INDEX(Simulations!$I$3:$I$62,MATCH($A153,Simulations!$A$3:$A$62,0)),1))*$E153*(PI()/2*INDEX(Simulations!$T$3:$T$62,MATCH($A153,Simulations!$A$3:$A$62,0))^2*IF(INDEX(Simulations!$I$3:$I$62,MATCH($A153,Simulations!$A$3:$A$62,0))&gt;0,SQRT(PI()/2)*INDEX(Simulations!$U$3:$U$62,MATCH($A153,Simulations!$A$3:$A$62,0)),1)),$D153/(INDEX(Simulations!$G$3:$G$62,MATCH($A153,Simulations!$A$3:$A$62,0))*INDEX(Simulations!$H$3:$H$62,MATCH($A153,Simulations!$A$3:$A$62,0))*IF(INDEX(Simulations!$I$3:$I$62,MATCH($A153,Simulations!$A$3:$A$62,0))&gt;0,INDEX(Simulations!$I$3:$I$62,MATCH($A153,Simulations!$A$3:$A$62,0)),1))*INDEX(Simulations!$J$3:$J$62,MATCH($A153,Simulations!$A$3:$A$62,0))*IF(INDEX(Simulations!$I$3:$I$62,MATCH($A153,Simulations!$A$3:$A$62,0))&gt;0,2*PI()*INDEX(Simulations!$T$3:$T$62,MATCH($A153,Simulations!$A$3:$A$62,0))^2*INDEX(Simulations!$U$3:$U$62,MATCH($A153,Simulations!$A$3:$A$62,0))/2^1.5*(2/3*LN($E153/INDEX(Simulations!$J$3:$J$62,MATCH($A153,Simulations!$A$3:$A$62,0)))^1.5+SQRT(LN($E153/INDEX(Simulations!$J$3:$J$62,MATCH($A153,Simulations!$A$3:$A$62,0))))+$E153/INDEX(Simulations!$J$3:$J$62,MATCH($A153,Simulations!$A$3:$A$62,0))*SQRT(PI())/2*ERFC(SQRT(LN($E153/INDEX(Simulations!$J$3:$J$62,MATCH($A153,Simulations!$A$3:$A$62,0)))))),PI()*INDEX(Simulations!$T$3:$T$62,MATCH($A153,Simulations!$A$3:$A$62,0))^2/2*(LN($E153/INDEX(Simulations!$J$3:$J$62,MATCH($A153,Simulations!$A$3:$A$62,0)))+1)))))</f>
        <v/>
      </c>
      <c r="R153" s="16" t="str">
        <f aca="false">IF(OR($A153="",ISNA(MATCH($A153,Simulations!$A$3:$A$62,0))),"",IF(N($F153)&lt;=0,0,IF($F153&lt;INDEX(Simulations!$J$3:$J$62,MATCH($A153,Simulations!$A$3:$A$62,0)),$D153/(INDEX(Simulations!$G$3:$G$62,MATCH($A153,Simulations!$A$3:$A$62,0))*INDEX(Simulations!$H$3:$H$62,MATCH($A153,Simulations!$A$3:$A$62,0))*IF(INDEX(Simulations!$I$3:$I$62,MATCH($A153,Simulations!$A$3:$A$62,0))&gt;0,INDEX(Simulations!$I$3:$I$62,MATCH($A153,Simulations!$A$3:$A$62,0)),1))*$F153*(PI()/2*INDEX(Simulations!$T$3:$T$62,MATCH($A153,Simulations!$A$3:$A$62,0))^2*IF(INDEX(Simulations!$I$3:$I$62,MATCH($A153,Simulations!$A$3:$A$62,0))&gt;0,SQRT(PI()/2)*INDEX(Simulations!$U$3:$U$62,MATCH($A153,Simulations!$A$3:$A$62,0)),1)),$D153/(INDEX(Simulations!$G$3:$G$62,MATCH($A153,Simulations!$A$3:$A$62,0))*INDEX(Simulations!$H$3:$H$62,MATCH($A153,Simulations!$A$3:$A$62,0))*IF(INDEX(Simulations!$I$3:$I$62,MATCH($A153,Simulations!$A$3:$A$62,0))&gt;0,INDEX(Simulations!$I$3:$I$62,MATCH($A153,Simulations!$A$3:$A$62,0)),1))*INDEX(Simulations!$J$3:$J$62,MATCH($A153,Simulations!$A$3:$A$62,0))*IF(INDEX(Simulations!$I$3:$I$62,MATCH($A153,Simulations!$A$3:$A$62,0))&gt;0,2*PI()*INDEX(Simulations!$T$3:$T$62,MATCH($A153,Simulations!$A$3:$A$62,0))^2*INDEX(Simulations!$U$3:$U$62,MATCH($A153,Simulations!$A$3:$A$62,0))/2^1.5*(2/3*LN($F153/INDEX(Simulations!$J$3:$J$62,MATCH($A153,Simulations!$A$3:$A$62,0)))^1.5+SQRT(LN($F153/INDEX(Simulations!$J$3:$J$62,MATCH($A153,Simulations!$A$3:$A$62,0))))+$F153/INDEX(Simulations!$J$3:$J$62,MATCH($A153,Simulations!$A$3:$A$62,0))*SQRT(PI())/2*ERFC(SQRT(LN($F153/INDEX(Simulations!$J$3:$J$62,MATCH($A153,Simulations!$A$3:$A$62,0)))))),PI()*INDEX(Simulations!$T$3:$T$62,MATCH($A153,Simulations!$A$3:$A$62,0))^2/2*(LN($F153/INDEX(Simulations!$J$3:$J$62,MATCH($A153,Simulations!$A$3:$A$62,0)))+1)))))</f>
        <v/>
      </c>
      <c r="S153" s="16" t="str">
        <f aca="false">IF(OR($A153="",ISNA(MATCH($A153,Simulations!$A$3:$A$62,0))),"",IF(N($G153)&lt;=0,0,IF($G153&lt;INDEX(Simulations!$J$3:$J$62,MATCH($A153,Simulations!$A$3:$A$62,0)),$D153/(INDEX(Simulations!$G$3:$G$62,MATCH($A153,Simulations!$A$3:$A$62,0))*INDEX(Simulations!$H$3:$H$62,MATCH($A153,Simulations!$A$3:$A$62,0))*IF(INDEX(Simulations!$I$3:$I$62,MATCH($A153,Simulations!$A$3:$A$62,0))&gt;0,INDEX(Simulations!$I$3:$I$62,MATCH($A153,Simulations!$A$3:$A$62,0)),1))*$G153*(PI()/2*INDEX(Simulations!$T$3:$T$62,MATCH($A153,Simulations!$A$3:$A$62,0))^2*IF(INDEX(Simulations!$I$3:$I$62,MATCH($A153,Simulations!$A$3:$A$62,0))&gt;0,SQRT(PI()/2)*INDEX(Simulations!$U$3:$U$62,MATCH($A153,Simulations!$A$3:$A$62,0)),1)),$D153/(INDEX(Simulations!$G$3:$G$62,MATCH($A153,Simulations!$A$3:$A$62,0))*INDEX(Simulations!$H$3:$H$62,MATCH($A153,Simulations!$A$3:$A$62,0))*IF(INDEX(Simulations!$I$3:$I$62,MATCH($A153,Simulations!$A$3:$A$62,0))&gt;0,INDEX(Simulations!$I$3:$I$62,MATCH($A153,Simulations!$A$3:$A$62,0)),1))*INDEX(Simulations!$J$3:$J$62,MATCH($A153,Simulations!$A$3:$A$62,0))*IF(INDEX(Simulations!$I$3:$I$62,MATCH($A153,Simulations!$A$3:$A$62,0))&gt;0,2*PI()*INDEX(Simulations!$T$3:$T$62,MATCH($A153,Simulations!$A$3:$A$62,0))^2*INDEX(Simulations!$U$3:$U$62,MATCH($A153,Simulations!$A$3:$A$62,0))/2^1.5*(2/3*LN($G153/INDEX(Simulations!$J$3:$J$62,MATCH($A153,Simulations!$A$3:$A$62,0)))^1.5+SQRT(LN($G153/INDEX(Simulations!$J$3:$J$62,MATCH($A153,Simulations!$A$3:$A$62,0))))+$G153/INDEX(Simulations!$J$3:$J$62,MATCH($A153,Simulations!$A$3:$A$62,0))*SQRT(PI())/2*ERFC(SQRT(LN($G153/INDEX(Simulations!$J$3:$J$62,MATCH($A153,Simulations!$A$3:$A$62,0)))))),PI()*INDEX(Simulations!$T$3:$T$62,MATCH($A153,Simulations!$A$3:$A$62,0))^2/2*(LN($G153/INDEX(Simulations!$J$3:$J$62,MATCH($A153,Simulations!$A$3:$A$62,0)))+1)))))</f>
        <v/>
      </c>
      <c r="T153" s="16" t="str">
        <f aca="false">IF(OR($A153="",ISNA(MATCH($A153,Simulations!$A$3:$A$62,0))),"",IF(N($H153)&lt;=0,0,IF($H153&lt;INDEX(Simulations!$J$3:$J$62,MATCH($A153,Simulations!$A$3:$A$62,0)),$D153/(INDEX(Simulations!$G$3:$G$62,MATCH($A153,Simulations!$A$3:$A$62,0))*INDEX(Simulations!$H$3:$H$62,MATCH($A153,Simulations!$A$3:$A$62,0))*IF(INDEX(Simulations!$I$3:$I$62,MATCH($A153,Simulations!$A$3:$A$62,0))&gt;0,INDEX(Simulations!$I$3:$I$62,MATCH($A153,Simulations!$A$3:$A$62,0)),1))*$H153*(PI()/2*INDEX(Simulations!$T$3:$T$62,MATCH($A153,Simulations!$A$3:$A$62,0))^2*IF(INDEX(Simulations!$I$3:$I$62,MATCH($A153,Simulations!$A$3:$A$62,0))&gt;0,SQRT(PI()/2)*INDEX(Simulations!$U$3:$U$62,MATCH($A153,Simulations!$A$3:$A$62,0)),1)),$D153/(INDEX(Simulations!$G$3:$G$62,MATCH($A153,Simulations!$A$3:$A$62,0))*INDEX(Simulations!$H$3:$H$62,MATCH($A153,Simulations!$A$3:$A$62,0))*IF(INDEX(Simulations!$I$3:$I$62,MATCH($A153,Simulations!$A$3:$A$62,0))&gt;0,INDEX(Simulations!$I$3:$I$62,MATCH($A153,Simulations!$A$3:$A$62,0)),1))*INDEX(Simulations!$J$3:$J$62,MATCH($A153,Simulations!$A$3:$A$62,0))*IF(INDEX(Simulations!$I$3:$I$62,MATCH($A153,Simulations!$A$3:$A$62,0))&gt;0,2*PI()*INDEX(Simulations!$T$3:$T$62,MATCH($A153,Simulations!$A$3:$A$62,0))^2*INDEX(Simulations!$U$3:$U$62,MATCH($A153,Simulations!$A$3:$A$62,0))/2^1.5*(2/3*LN($H153/INDEX(Simulations!$J$3:$J$62,MATCH($A153,Simulations!$A$3:$A$62,0)))^1.5+SQRT(LN($H153/INDEX(Simulations!$J$3:$J$62,MATCH($A153,Simulations!$A$3:$A$62,0))))+$H153/INDEX(Simulations!$J$3:$J$62,MATCH($A153,Simulations!$A$3:$A$62,0))*SQRT(PI())/2*ERFC(SQRT(LN($H153/INDEX(Simulations!$J$3:$J$62,MATCH($A153,Simulations!$A$3:$A$62,0)))))),PI()*INDEX(Simulations!$T$3:$T$62,MATCH($A153,Simulations!$A$3:$A$62,0))^2/2*(LN($H153/INDEX(Simulations!$J$3:$J$62,MATCH($A153,Simulations!$A$3:$A$62,0)))+1)))))</f>
        <v/>
      </c>
      <c r="U153" s="18" t="str">
        <f aca="false">IF(OR(OR($A153="",ISNA(MATCH($A153,Simulations!$A$3:$A$62,0))),N($C153)&lt;=0),"",SQRT(2*$C153*1000000/(INDEX(Simulations!$J$3:$J$62,MATCH($A153,Simulations!$A$3:$A$62,0))*1000))/INDEX(Simulations!$T$3:$T$62,MATCH($A153,Simulations!$A$3:$A$62,0)))</f>
        <v/>
      </c>
      <c r="V153" s="19" t="str">
        <f aca="false">IF($A153="","",IF(ISNA(MATCH($A153,Simulations!$A$3:$A$62,0)),"✖ Sim ID not found on the Simulations sheet",IF($P153&gt;=1,"✖ brightness &gt;= sampling frequency: completely saturated (D too small, c too large)",IF($P153&gt;0.1,"⚠ brightness &gt; 10% of the sampling frequency: focus starts to saturate",IF(N($U153)&gt;0.1,"⚠ diffusion step &gt; 10% of wr: raise the sampling frequency",IF(MAX($E153:$H153)=0,"⚠ no brightness set","✔ OK"))))))</f>
        <v/>
      </c>
    </row>
    <row r="154" customFormat="false" ht="15" hidden="false" customHeight="false" outlineLevel="0" collapsed="false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4"/>
      <c r="O154" s="18" t="str">
        <f aca="false">IF(OR($A154="",ISNA(MATCH($A154,Simulations!$A$3:$A$62,0))),"",IF(INDEX(Simulations!$I$3:$I$62,MATCH($A154,Simulations!$A$3:$A$62,0))&gt;0,$D154/(INDEX(Simulations!$G$3:$G$62,MATCH($A154,Simulations!$A$3:$A$62,0))*INDEX(Simulations!$H$3:$H$62,MATCH($A154,Simulations!$A$3:$A$62,0))*IF(INDEX(Simulations!$I$3:$I$62,MATCH($A154,Simulations!$A$3:$A$62,0))&gt;0,INDEX(Simulations!$I$3:$I$62,MATCH($A154,Simulations!$A$3:$A$62,0)),1))/1E-024/6.022E+023/0.000000001,""))</f>
        <v/>
      </c>
      <c r="P154" s="20" t="str">
        <f aca="false">IF(OR($A154="",ISNA(MATCH($A154,Simulations!$A$3:$A$62,0))),"",MAX($E154:$H154)/INDEX(Simulations!$J$3:$J$62,MATCH($A154,Simulations!$A$3:$A$62,0)))</f>
        <v/>
      </c>
      <c r="Q154" s="16" t="str">
        <f aca="false">IF(OR($A154="",ISNA(MATCH($A154,Simulations!$A$3:$A$62,0))),"",IF(N($E154)&lt;=0,0,IF($E154&lt;INDEX(Simulations!$J$3:$J$62,MATCH($A154,Simulations!$A$3:$A$62,0)),$D154/(INDEX(Simulations!$G$3:$G$62,MATCH($A154,Simulations!$A$3:$A$62,0))*INDEX(Simulations!$H$3:$H$62,MATCH($A154,Simulations!$A$3:$A$62,0))*IF(INDEX(Simulations!$I$3:$I$62,MATCH($A154,Simulations!$A$3:$A$62,0))&gt;0,INDEX(Simulations!$I$3:$I$62,MATCH($A154,Simulations!$A$3:$A$62,0)),1))*$E154*(PI()/2*INDEX(Simulations!$T$3:$T$62,MATCH($A154,Simulations!$A$3:$A$62,0))^2*IF(INDEX(Simulations!$I$3:$I$62,MATCH($A154,Simulations!$A$3:$A$62,0))&gt;0,SQRT(PI()/2)*INDEX(Simulations!$U$3:$U$62,MATCH($A154,Simulations!$A$3:$A$62,0)),1)),$D154/(INDEX(Simulations!$G$3:$G$62,MATCH($A154,Simulations!$A$3:$A$62,0))*INDEX(Simulations!$H$3:$H$62,MATCH($A154,Simulations!$A$3:$A$62,0))*IF(INDEX(Simulations!$I$3:$I$62,MATCH($A154,Simulations!$A$3:$A$62,0))&gt;0,INDEX(Simulations!$I$3:$I$62,MATCH($A154,Simulations!$A$3:$A$62,0)),1))*INDEX(Simulations!$J$3:$J$62,MATCH($A154,Simulations!$A$3:$A$62,0))*IF(INDEX(Simulations!$I$3:$I$62,MATCH($A154,Simulations!$A$3:$A$62,0))&gt;0,2*PI()*INDEX(Simulations!$T$3:$T$62,MATCH($A154,Simulations!$A$3:$A$62,0))^2*INDEX(Simulations!$U$3:$U$62,MATCH($A154,Simulations!$A$3:$A$62,0))/2^1.5*(2/3*LN($E154/INDEX(Simulations!$J$3:$J$62,MATCH($A154,Simulations!$A$3:$A$62,0)))^1.5+SQRT(LN($E154/INDEX(Simulations!$J$3:$J$62,MATCH($A154,Simulations!$A$3:$A$62,0))))+$E154/INDEX(Simulations!$J$3:$J$62,MATCH($A154,Simulations!$A$3:$A$62,0))*SQRT(PI())/2*ERFC(SQRT(LN($E154/INDEX(Simulations!$J$3:$J$62,MATCH($A154,Simulations!$A$3:$A$62,0)))))),PI()*INDEX(Simulations!$T$3:$T$62,MATCH($A154,Simulations!$A$3:$A$62,0))^2/2*(LN($E154/INDEX(Simulations!$J$3:$J$62,MATCH($A154,Simulations!$A$3:$A$62,0)))+1)))))</f>
        <v/>
      </c>
      <c r="R154" s="16" t="str">
        <f aca="false">IF(OR($A154="",ISNA(MATCH($A154,Simulations!$A$3:$A$62,0))),"",IF(N($F154)&lt;=0,0,IF($F154&lt;INDEX(Simulations!$J$3:$J$62,MATCH($A154,Simulations!$A$3:$A$62,0)),$D154/(INDEX(Simulations!$G$3:$G$62,MATCH($A154,Simulations!$A$3:$A$62,0))*INDEX(Simulations!$H$3:$H$62,MATCH($A154,Simulations!$A$3:$A$62,0))*IF(INDEX(Simulations!$I$3:$I$62,MATCH($A154,Simulations!$A$3:$A$62,0))&gt;0,INDEX(Simulations!$I$3:$I$62,MATCH($A154,Simulations!$A$3:$A$62,0)),1))*$F154*(PI()/2*INDEX(Simulations!$T$3:$T$62,MATCH($A154,Simulations!$A$3:$A$62,0))^2*IF(INDEX(Simulations!$I$3:$I$62,MATCH($A154,Simulations!$A$3:$A$62,0))&gt;0,SQRT(PI()/2)*INDEX(Simulations!$U$3:$U$62,MATCH($A154,Simulations!$A$3:$A$62,0)),1)),$D154/(INDEX(Simulations!$G$3:$G$62,MATCH($A154,Simulations!$A$3:$A$62,0))*INDEX(Simulations!$H$3:$H$62,MATCH($A154,Simulations!$A$3:$A$62,0))*IF(INDEX(Simulations!$I$3:$I$62,MATCH($A154,Simulations!$A$3:$A$62,0))&gt;0,INDEX(Simulations!$I$3:$I$62,MATCH($A154,Simulations!$A$3:$A$62,0)),1))*INDEX(Simulations!$J$3:$J$62,MATCH($A154,Simulations!$A$3:$A$62,0))*IF(INDEX(Simulations!$I$3:$I$62,MATCH($A154,Simulations!$A$3:$A$62,0))&gt;0,2*PI()*INDEX(Simulations!$T$3:$T$62,MATCH($A154,Simulations!$A$3:$A$62,0))^2*INDEX(Simulations!$U$3:$U$62,MATCH($A154,Simulations!$A$3:$A$62,0))/2^1.5*(2/3*LN($F154/INDEX(Simulations!$J$3:$J$62,MATCH($A154,Simulations!$A$3:$A$62,0)))^1.5+SQRT(LN($F154/INDEX(Simulations!$J$3:$J$62,MATCH($A154,Simulations!$A$3:$A$62,0))))+$F154/INDEX(Simulations!$J$3:$J$62,MATCH($A154,Simulations!$A$3:$A$62,0))*SQRT(PI())/2*ERFC(SQRT(LN($F154/INDEX(Simulations!$J$3:$J$62,MATCH($A154,Simulations!$A$3:$A$62,0)))))),PI()*INDEX(Simulations!$T$3:$T$62,MATCH($A154,Simulations!$A$3:$A$62,0))^2/2*(LN($F154/INDEX(Simulations!$J$3:$J$62,MATCH($A154,Simulations!$A$3:$A$62,0)))+1)))))</f>
        <v/>
      </c>
      <c r="S154" s="16" t="str">
        <f aca="false">IF(OR($A154="",ISNA(MATCH($A154,Simulations!$A$3:$A$62,0))),"",IF(N($G154)&lt;=0,0,IF($G154&lt;INDEX(Simulations!$J$3:$J$62,MATCH($A154,Simulations!$A$3:$A$62,0)),$D154/(INDEX(Simulations!$G$3:$G$62,MATCH($A154,Simulations!$A$3:$A$62,0))*INDEX(Simulations!$H$3:$H$62,MATCH($A154,Simulations!$A$3:$A$62,0))*IF(INDEX(Simulations!$I$3:$I$62,MATCH($A154,Simulations!$A$3:$A$62,0))&gt;0,INDEX(Simulations!$I$3:$I$62,MATCH($A154,Simulations!$A$3:$A$62,0)),1))*$G154*(PI()/2*INDEX(Simulations!$T$3:$T$62,MATCH($A154,Simulations!$A$3:$A$62,0))^2*IF(INDEX(Simulations!$I$3:$I$62,MATCH($A154,Simulations!$A$3:$A$62,0))&gt;0,SQRT(PI()/2)*INDEX(Simulations!$U$3:$U$62,MATCH($A154,Simulations!$A$3:$A$62,0)),1)),$D154/(INDEX(Simulations!$G$3:$G$62,MATCH($A154,Simulations!$A$3:$A$62,0))*INDEX(Simulations!$H$3:$H$62,MATCH($A154,Simulations!$A$3:$A$62,0))*IF(INDEX(Simulations!$I$3:$I$62,MATCH($A154,Simulations!$A$3:$A$62,0))&gt;0,INDEX(Simulations!$I$3:$I$62,MATCH($A154,Simulations!$A$3:$A$62,0)),1))*INDEX(Simulations!$J$3:$J$62,MATCH($A154,Simulations!$A$3:$A$62,0))*IF(INDEX(Simulations!$I$3:$I$62,MATCH($A154,Simulations!$A$3:$A$62,0))&gt;0,2*PI()*INDEX(Simulations!$T$3:$T$62,MATCH($A154,Simulations!$A$3:$A$62,0))^2*INDEX(Simulations!$U$3:$U$62,MATCH($A154,Simulations!$A$3:$A$62,0))/2^1.5*(2/3*LN($G154/INDEX(Simulations!$J$3:$J$62,MATCH($A154,Simulations!$A$3:$A$62,0)))^1.5+SQRT(LN($G154/INDEX(Simulations!$J$3:$J$62,MATCH($A154,Simulations!$A$3:$A$62,0))))+$G154/INDEX(Simulations!$J$3:$J$62,MATCH($A154,Simulations!$A$3:$A$62,0))*SQRT(PI())/2*ERFC(SQRT(LN($G154/INDEX(Simulations!$J$3:$J$62,MATCH($A154,Simulations!$A$3:$A$62,0)))))),PI()*INDEX(Simulations!$T$3:$T$62,MATCH($A154,Simulations!$A$3:$A$62,0))^2/2*(LN($G154/INDEX(Simulations!$J$3:$J$62,MATCH($A154,Simulations!$A$3:$A$62,0)))+1)))))</f>
        <v/>
      </c>
      <c r="T154" s="16" t="str">
        <f aca="false">IF(OR($A154="",ISNA(MATCH($A154,Simulations!$A$3:$A$62,0))),"",IF(N($H154)&lt;=0,0,IF($H154&lt;INDEX(Simulations!$J$3:$J$62,MATCH($A154,Simulations!$A$3:$A$62,0)),$D154/(INDEX(Simulations!$G$3:$G$62,MATCH($A154,Simulations!$A$3:$A$62,0))*INDEX(Simulations!$H$3:$H$62,MATCH($A154,Simulations!$A$3:$A$62,0))*IF(INDEX(Simulations!$I$3:$I$62,MATCH($A154,Simulations!$A$3:$A$62,0))&gt;0,INDEX(Simulations!$I$3:$I$62,MATCH($A154,Simulations!$A$3:$A$62,0)),1))*$H154*(PI()/2*INDEX(Simulations!$T$3:$T$62,MATCH($A154,Simulations!$A$3:$A$62,0))^2*IF(INDEX(Simulations!$I$3:$I$62,MATCH($A154,Simulations!$A$3:$A$62,0))&gt;0,SQRT(PI()/2)*INDEX(Simulations!$U$3:$U$62,MATCH($A154,Simulations!$A$3:$A$62,0)),1)),$D154/(INDEX(Simulations!$G$3:$G$62,MATCH($A154,Simulations!$A$3:$A$62,0))*INDEX(Simulations!$H$3:$H$62,MATCH($A154,Simulations!$A$3:$A$62,0))*IF(INDEX(Simulations!$I$3:$I$62,MATCH($A154,Simulations!$A$3:$A$62,0))&gt;0,INDEX(Simulations!$I$3:$I$62,MATCH($A154,Simulations!$A$3:$A$62,0)),1))*INDEX(Simulations!$J$3:$J$62,MATCH($A154,Simulations!$A$3:$A$62,0))*IF(INDEX(Simulations!$I$3:$I$62,MATCH($A154,Simulations!$A$3:$A$62,0))&gt;0,2*PI()*INDEX(Simulations!$T$3:$T$62,MATCH($A154,Simulations!$A$3:$A$62,0))^2*INDEX(Simulations!$U$3:$U$62,MATCH($A154,Simulations!$A$3:$A$62,0))/2^1.5*(2/3*LN($H154/INDEX(Simulations!$J$3:$J$62,MATCH($A154,Simulations!$A$3:$A$62,0)))^1.5+SQRT(LN($H154/INDEX(Simulations!$J$3:$J$62,MATCH($A154,Simulations!$A$3:$A$62,0))))+$H154/INDEX(Simulations!$J$3:$J$62,MATCH($A154,Simulations!$A$3:$A$62,0))*SQRT(PI())/2*ERFC(SQRT(LN($H154/INDEX(Simulations!$J$3:$J$62,MATCH($A154,Simulations!$A$3:$A$62,0)))))),PI()*INDEX(Simulations!$T$3:$T$62,MATCH($A154,Simulations!$A$3:$A$62,0))^2/2*(LN($H154/INDEX(Simulations!$J$3:$J$62,MATCH($A154,Simulations!$A$3:$A$62,0)))+1)))))</f>
        <v/>
      </c>
      <c r="U154" s="18" t="str">
        <f aca="false">IF(OR(OR($A154="",ISNA(MATCH($A154,Simulations!$A$3:$A$62,0))),N($C154)&lt;=0),"",SQRT(2*$C154*1000000/(INDEX(Simulations!$J$3:$J$62,MATCH($A154,Simulations!$A$3:$A$62,0))*1000))/INDEX(Simulations!$T$3:$T$62,MATCH($A154,Simulations!$A$3:$A$62,0)))</f>
        <v/>
      </c>
      <c r="V154" s="19" t="str">
        <f aca="false">IF($A154="","",IF(ISNA(MATCH($A154,Simulations!$A$3:$A$62,0)),"✖ Sim ID not found on the Simulations sheet",IF($P154&gt;=1,"✖ brightness &gt;= sampling frequency: completely saturated (D too small, c too large)",IF($P154&gt;0.1,"⚠ brightness &gt; 10% of the sampling frequency: focus starts to saturate",IF(N($U154)&gt;0.1,"⚠ diffusion step &gt; 10% of wr: raise the sampling frequency",IF(MAX($E154:$H154)=0,"⚠ no brightness set","✔ OK"))))))</f>
        <v/>
      </c>
    </row>
    <row r="155" customFormat="false" ht="15" hidden="false" customHeight="false" outlineLevel="0" collapsed="false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4"/>
      <c r="O155" s="18" t="str">
        <f aca="false">IF(OR($A155="",ISNA(MATCH($A155,Simulations!$A$3:$A$62,0))),"",IF(INDEX(Simulations!$I$3:$I$62,MATCH($A155,Simulations!$A$3:$A$62,0))&gt;0,$D155/(INDEX(Simulations!$G$3:$G$62,MATCH($A155,Simulations!$A$3:$A$62,0))*INDEX(Simulations!$H$3:$H$62,MATCH($A155,Simulations!$A$3:$A$62,0))*IF(INDEX(Simulations!$I$3:$I$62,MATCH($A155,Simulations!$A$3:$A$62,0))&gt;0,INDEX(Simulations!$I$3:$I$62,MATCH($A155,Simulations!$A$3:$A$62,0)),1))/1E-024/6.022E+023/0.000000001,""))</f>
        <v/>
      </c>
      <c r="P155" s="20" t="str">
        <f aca="false">IF(OR($A155="",ISNA(MATCH($A155,Simulations!$A$3:$A$62,0))),"",MAX($E155:$H155)/INDEX(Simulations!$J$3:$J$62,MATCH($A155,Simulations!$A$3:$A$62,0)))</f>
        <v/>
      </c>
      <c r="Q155" s="16" t="str">
        <f aca="false">IF(OR($A155="",ISNA(MATCH($A155,Simulations!$A$3:$A$62,0))),"",IF(N($E155)&lt;=0,0,IF($E155&lt;INDEX(Simulations!$J$3:$J$62,MATCH($A155,Simulations!$A$3:$A$62,0)),$D155/(INDEX(Simulations!$G$3:$G$62,MATCH($A155,Simulations!$A$3:$A$62,0))*INDEX(Simulations!$H$3:$H$62,MATCH($A155,Simulations!$A$3:$A$62,0))*IF(INDEX(Simulations!$I$3:$I$62,MATCH($A155,Simulations!$A$3:$A$62,0))&gt;0,INDEX(Simulations!$I$3:$I$62,MATCH($A155,Simulations!$A$3:$A$62,0)),1))*$E155*(PI()/2*INDEX(Simulations!$T$3:$T$62,MATCH($A155,Simulations!$A$3:$A$62,0))^2*IF(INDEX(Simulations!$I$3:$I$62,MATCH($A155,Simulations!$A$3:$A$62,0))&gt;0,SQRT(PI()/2)*INDEX(Simulations!$U$3:$U$62,MATCH($A155,Simulations!$A$3:$A$62,0)),1)),$D155/(INDEX(Simulations!$G$3:$G$62,MATCH($A155,Simulations!$A$3:$A$62,0))*INDEX(Simulations!$H$3:$H$62,MATCH($A155,Simulations!$A$3:$A$62,0))*IF(INDEX(Simulations!$I$3:$I$62,MATCH($A155,Simulations!$A$3:$A$62,0))&gt;0,INDEX(Simulations!$I$3:$I$62,MATCH($A155,Simulations!$A$3:$A$62,0)),1))*INDEX(Simulations!$J$3:$J$62,MATCH($A155,Simulations!$A$3:$A$62,0))*IF(INDEX(Simulations!$I$3:$I$62,MATCH($A155,Simulations!$A$3:$A$62,0))&gt;0,2*PI()*INDEX(Simulations!$T$3:$T$62,MATCH($A155,Simulations!$A$3:$A$62,0))^2*INDEX(Simulations!$U$3:$U$62,MATCH($A155,Simulations!$A$3:$A$62,0))/2^1.5*(2/3*LN($E155/INDEX(Simulations!$J$3:$J$62,MATCH($A155,Simulations!$A$3:$A$62,0)))^1.5+SQRT(LN($E155/INDEX(Simulations!$J$3:$J$62,MATCH($A155,Simulations!$A$3:$A$62,0))))+$E155/INDEX(Simulations!$J$3:$J$62,MATCH($A155,Simulations!$A$3:$A$62,0))*SQRT(PI())/2*ERFC(SQRT(LN($E155/INDEX(Simulations!$J$3:$J$62,MATCH($A155,Simulations!$A$3:$A$62,0)))))),PI()*INDEX(Simulations!$T$3:$T$62,MATCH($A155,Simulations!$A$3:$A$62,0))^2/2*(LN($E155/INDEX(Simulations!$J$3:$J$62,MATCH($A155,Simulations!$A$3:$A$62,0)))+1)))))</f>
        <v/>
      </c>
      <c r="R155" s="16" t="str">
        <f aca="false">IF(OR($A155="",ISNA(MATCH($A155,Simulations!$A$3:$A$62,0))),"",IF(N($F155)&lt;=0,0,IF($F155&lt;INDEX(Simulations!$J$3:$J$62,MATCH($A155,Simulations!$A$3:$A$62,0)),$D155/(INDEX(Simulations!$G$3:$G$62,MATCH($A155,Simulations!$A$3:$A$62,0))*INDEX(Simulations!$H$3:$H$62,MATCH($A155,Simulations!$A$3:$A$62,0))*IF(INDEX(Simulations!$I$3:$I$62,MATCH($A155,Simulations!$A$3:$A$62,0))&gt;0,INDEX(Simulations!$I$3:$I$62,MATCH($A155,Simulations!$A$3:$A$62,0)),1))*$F155*(PI()/2*INDEX(Simulations!$T$3:$T$62,MATCH($A155,Simulations!$A$3:$A$62,0))^2*IF(INDEX(Simulations!$I$3:$I$62,MATCH($A155,Simulations!$A$3:$A$62,0))&gt;0,SQRT(PI()/2)*INDEX(Simulations!$U$3:$U$62,MATCH($A155,Simulations!$A$3:$A$62,0)),1)),$D155/(INDEX(Simulations!$G$3:$G$62,MATCH($A155,Simulations!$A$3:$A$62,0))*INDEX(Simulations!$H$3:$H$62,MATCH($A155,Simulations!$A$3:$A$62,0))*IF(INDEX(Simulations!$I$3:$I$62,MATCH($A155,Simulations!$A$3:$A$62,0))&gt;0,INDEX(Simulations!$I$3:$I$62,MATCH($A155,Simulations!$A$3:$A$62,0)),1))*INDEX(Simulations!$J$3:$J$62,MATCH($A155,Simulations!$A$3:$A$62,0))*IF(INDEX(Simulations!$I$3:$I$62,MATCH($A155,Simulations!$A$3:$A$62,0))&gt;0,2*PI()*INDEX(Simulations!$T$3:$T$62,MATCH($A155,Simulations!$A$3:$A$62,0))^2*INDEX(Simulations!$U$3:$U$62,MATCH($A155,Simulations!$A$3:$A$62,0))/2^1.5*(2/3*LN($F155/INDEX(Simulations!$J$3:$J$62,MATCH($A155,Simulations!$A$3:$A$62,0)))^1.5+SQRT(LN($F155/INDEX(Simulations!$J$3:$J$62,MATCH($A155,Simulations!$A$3:$A$62,0))))+$F155/INDEX(Simulations!$J$3:$J$62,MATCH($A155,Simulations!$A$3:$A$62,0))*SQRT(PI())/2*ERFC(SQRT(LN($F155/INDEX(Simulations!$J$3:$J$62,MATCH($A155,Simulations!$A$3:$A$62,0)))))),PI()*INDEX(Simulations!$T$3:$T$62,MATCH($A155,Simulations!$A$3:$A$62,0))^2/2*(LN($F155/INDEX(Simulations!$J$3:$J$62,MATCH($A155,Simulations!$A$3:$A$62,0)))+1)))))</f>
        <v/>
      </c>
      <c r="S155" s="16" t="str">
        <f aca="false">IF(OR($A155="",ISNA(MATCH($A155,Simulations!$A$3:$A$62,0))),"",IF(N($G155)&lt;=0,0,IF($G155&lt;INDEX(Simulations!$J$3:$J$62,MATCH($A155,Simulations!$A$3:$A$62,0)),$D155/(INDEX(Simulations!$G$3:$G$62,MATCH($A155,Simulations!$A$3:$A$62,0))*INDEX(Simulations!$H$3:$H$62,MATCH($A155,Simulations!$A$3:$A$62,0))*IF(INDEX(Simulations!$I$3:$I$62,MATCH($A155,Simulations!$A$3:$A$62,0))&gt;0,INDEX(Simulations!$I$3:$I$62,MATCH($A155,Simulations!$A$3:$A$62,0)),1))*$G155*(PI()/2*INDEX(Simulations!$T$3:$T$62,MATCH($A155,Simulations!$A$3:$A$62,0))^2*IF(INDEX(Simulations!$I$3:$I$62,MATCH($A155,Simulations!$A$3:$A$62,0))&gt;0,SQRT(PI()/2)*INDEX(Simulations!$U$3:$U$62,MATCH($A155,Simulations!$A$3:$A$62,0)),1)),$D155/(INDEX(Simulations!$G$3:$G$62,MATCH($A155,Simulations!$A$3:$A$62,0))*INDEX(Simulations!$H$3:$H$62,MATCH($A155,Simulations!$A$3:$A$62,0))*IF(INDEX(Simulations!$I$3:$I$62,MATCH($A155,Simulations!$A$3:$A$62,0))&gt;0,INDEX(Simulations!$I$3:$I$62,MATCH($A155,Simulations!$A$3:$A$62,0)),1))*INDEX(Simulations!$J$3:$J$62,MATCH($A155,Simulations!$A$3:$A$62,0))*IF(INDEX(Simulations!$I$3:$I$62,MATCH($A155,Simulations!$A$3:$A$62,0))&gt;0,2*PI()*INDEX(Simulations!$T$3:$T$62,MATCH($A155,Simulations!$A$3:$A$62,0))^2*INDEX(Simulations!$U$3:$U$62,MATCH($A155,Simulations!$A$3:$A$62,0))/2^1.5*(2/3*LN($G155/INDEX(Simulations!$J$3:$J$62,MATCH($A155,Simulations!$A$3:$A$62,0)))^1.5+SQRT(LN($G155/INDEX(Simulations!$J$3:$J$62,MATCH($A155,Simulations!$A$3:$A$62,0))))+$G155/INDEX(Simulations!$J$3:$J$62,MATCH($A155,Simulations!$A$3:$A$62,0))*SQRT(PI())/2*ERFC(SQRT(LN($G155/INDEX(Simulations!$J$3:$J$62,MATCH($A155,Simulations!$A$3:$A$62,0)))))),PI()*INDEX(Simulations!$T$3:$T$62,MATCH($A155,Simulations!$A$3:$A$62,0))^2/2*(LN($G155/INDEX(Simulations!$J$3:$J$62,MATCH($A155,Simulations!$A$3:$A$62,0)))+1)))))</f>
        <v/>
      </c>
      <c r="T155" s="16" t="str">
        <f aca="false">IF(OR($A155="",ISNA(MATCH($A155,Simulations!$A$3:$A$62,0))),"",IF(N($H155)&lt;=0,0,IF($H155&lt;INDEX(Simulations!$J$3:$J$62,MATCH($A155,Simulations!$A$3:$A$62,0)),$D155/(INDEX(Simulations!$G$3:$G$62,MATCH($A155,Simulations!$A$3:$A$62,0))*INDEX(Simulations!$H$3:$H$62,MATCH($A155,Simulations!$A$3:$A$62,0))*IF(INDEX(Simulations!$I$3:$I$62,MATCH($A155,Simulations!$A$3:$A$62,0))&gt;0,INDEX(Simulations!$I$3:$I$62,MATCH($A155,Simulations!$A$3:$A$62,0)),1))*$H155*(PI()/2*INDEX(Simulations!$T$3:$T$62,MATCH($A155,Simulations!$A$3:$A$62,0))^2*IF(INDEX(Simulations!$I$3:$I$62,MATCH($A155,Simulations!$A$3:$A$62,0))&gt;0,SQRT(PI()/2)*INDEX(Simulations!$U$3:$U$62,MATCH($A155,Simulations!$A$3:$A$62,0)),1)),$D155/(INDEX(Simulations!$G$3:$G$62,MATCH($A155,Simulations!$A$3:$A$62,0))*INDEX(Simulations!$H$3:$H$62,MATCH($A155,Simulations!$A$3:$A$62,0))*IF(INDEX(Simulations!$I$3:$I$62,MATCH($A155,Simulations!$A$3:$A$62,0))&gt;0,INDEX(Simulations!$I$3:$I$62,MATCH($A155,Simulations!$A$3:$A$62,0)),1))*INDEX(Simulations!$J$3:$J$62,MATCH($A155,Simulations!$A$3:$A$62,0))*IF(INDEX(Simulations!$I$3:$I$62,MATCH($A155,Simulations!$A$3:$A$62,0))&gt;0,2*PI()*INDEX(Simulations!$T$3:$T$62,MATCH($A155,Simulations!$A$3:$A$62,0))^2*INDEX(Simulations!$U$3:$U$62,MATCH($A155,Simulations!$A$3:$A$62,0))/2^1.5*(2/3*LN($H155/INDEX(Simulations!$J$3:$J$62,MATCH($A155,Simulations!$A$3:$A$62,0)))^1.5+SQRT(LN($H155/INDEX(Simulations!$J$3:$J$62,MATCH($A155,Simulations!$A$3:$A$62,0))))+$H155/INDEX(Simulations!$J$3:$J$62,MATCH($A155,Simulations!$A$3:$A$62,0))*SQRT(PI())/2*ERFC(SQRT(LN($H155/INDEX(Simulations!$J$3:$J$62,MATCH($A155,Simulations!$A$3:$A$62,0)))))),PI()*INDEX(Simulations!$T$3:$T$62,MATCH($A155,Simulations!$A$3:$A$62,0))^2/2*(LN($H155/INDEX(Simulations!$J$3:$J$62,MATCH($A155,Simulations!$A$3:$A$62,0)))+1)))))</f>
        <v/>
      </c>
      <c r="U155" s="18" t="str">
        <f aca="false">IF(OR(OR($A155="",ISNA(MATCH($A155,Simulations!$A$3:$A$62,0))),N($C155)&lt;=0),"",SQRT(2*$C155*1000000/(INDEX(Simulations!$J$3:$J$62,MATCH($A155,Simulations!$A$3:$A$62,0))*1000))/INDEX(Simulations!$T$3:$T$62,MATCH($A155,Simulations!$A$3:$A$62,0)))</f>
        <v/>
      </c>
      <c r="V155" s="19" t="str">
        <f aca="false">IF($A155="","",IF(ISNA(MATCH($A155,Simulations!$A$3:$A$62,0)),"✖ Sim ID not found on the Simulations sheet",IF($P155&gt;=1,"✖ brightness &gt;= sampling frequency: completely saturated (D too small, c too large)",IF($P155&gt;0.1,"⚠ brightness &gt; 10% of the sampling frequency: focus starts to saturate",IF(N($U155)&gt;0.1,"⚠ diffusion step &gt; 10% of wr: raise the sampling frequency",IF(MAX($E155:$H155)=0,"⚠ no brightness set","✔ OK"))))))</f>
        <v/>
      </c>
    </row>
    <row r="156" customFormat="false" ht="15" hidden="false" customHeight="false" outlineLevel="0" collapsed="false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4"/>
      <c r="O156" s="18" t="str">
        <f aca="false">IF(OR($A156="",ISNA(MATCH($A156,Simulations!$A$3:$A$62,0))),"",IF(INDEX(Simulations!$I$3:$I$62,MATCH($A156,Simulations!$A$3:$A$62,0))&gt;0,$D156/(INDEX(Simulations!$G$3:$G$62,MATCH($A156,Simulations!$A$3:$A$62,0))*INDEX(Simulations!$H$3:$H$62,MATCH($A156,Simulations!$A$3:$A$62,0))*IF(INDEX(Simulations!$I$3:$I$62,MATCH($A156,Simulations!$A$3:$A$62,0))&gt;0,INDEX(Simulations!$I$3:$I$62,MATCH($A156,Simulations!$A$3:$A$62,0)),1))/1E-024/6.022E+023/0.000000001,""))</f>
        <v/>
      </c>
      <c r="P156" s="20" t="str">
        <f aca="false">IF(OR($A156="",ISNA(MATCH($A156,Simulations!$A$3:$A$62,0))),"",MAX($E156:$H156)/INDEX(Simulations!$J$3:$J$62,MATCH($A156,Simulations!$A$3:$A$62,0)))</f>
        <v/>
      </c>
      <c r="Q156" s="16" t="str">
        <f aca="false">IF(OR($A156="",ISNA(MATCH($A156,Simulations!$A$3:$A$62,0))),"",IF(N($E156)&lt;=0,0,IF($E156&lt;INDEX(Simulations!$J$3:$J$62,MATCH($A156,Simulations!$A$3:$A$62,0)),$D156/(INDEX(Simulations!$G$3:$G$62,MATCH($A156,Simulations!$A$3:$A$62,0))*INDEX(Simulations!$H$3:$H$62,MATCH($A156,Simulations!$A$3:$A$62,0))*IF(INDEX(Simulations!$I$3:$I$62,MATCH($A156,Simulations!$A$3:$A$62,0))&gt;0,INDEX(Simulations!$I$3:$I$62,MATCH($A156,Simulations!$A$3:$A$62,0)),1))*$E156*(PI()/2*INDEX(Simulations!$T$3:$T$62,MATCH($A156,Simulations!$A$3:$A$62,0))^2*IF(INDEX(Simulations!$I$3:$I$62,MATCH($A156,Simulations!$A$3:$A$62,0))&gt;0,SQRT(PI()/2)*INDEX(Simulations!$U$3:$U$62,MATCH($A156,Simulations!$A$3:$A$62,0)),1)),$D156/(INDEX(Simulations!$G$3:$G$62,MATCH($A156,Simulations!$A$3:$A$62,0))*INDEX(Simulations!$H$3:$H$62,MATCH($A156,Simulations!$A$3:$A$62,0))*IF(INDEX(Simulations!$I$3:$I$62,MATCH($A156,Simulations!$A$3:$A$62,0))&gt;0,INDEX(Simulations!$I$3:$I$62,MATCH($A156,Simulations!$A$3:$A$62,0)),1))*INDEX(Simulations!$J$3:$J$62,MATCH($A156,Simulations!$A$3:$A$62,0))*IF(INDEX(Simulations!$I$3:$I$62,MATCH($A156,Simulations!$A$3:$A$62,0))&gt;0,2*PI()*INDEX(Simulations!$T$3:$T$62,MATCH($A156,Simulations!$A$3:$A$62,0))^2*INDEX(Simulations!$U$3:$U$62,MATCH($A156,Simulations!$A$3:$A$62,0))/2^1.5*(2/3*LN($E156/INDEX(Simulations!$J$3:$J$62,MATCH($A156,Simulations!$A$3:$A$62,0)))^1.5+SQRT(LN($E156/INDEX(Simulations!$J$3:$J$62,MATCH($A156,Simulations!$A$3:$A$62,0))))+$E156/INDEX(Simulations!$J$3:$J$62,MATCH($A156,Simulations!$A$3:$A$62,0))*SQRT(PI())/2*ERFC(SQRT(LN($E156/INDEX(Simulations!$J$3:$J$62,MATCH($A156,Simulations!$A$3:$A$62,0)))))),PI()*INDEX(Simulations!$T$3:$T$62,MATCH($A156,Simulations!$A$3:$A$62,0))^2/2*(LN($E156/INDEX(Simulations!$J$3:$J$62,MATCH($A156,Simulations!$A$3:$A$62,0)))+1)))))</f>
        <v/>
      </c>
      <c r="R156" s="16" t="str">
        <f aca="false">IF(OR($A156="",ISNA(MATCH($A156,Simulations!$A$3:$A$62,0))),"",IF(N($F156)&lt;=0,0,IF($F156&lt;INDEX(Simulations!$J$3:$J$62,MATCH($A156,Simulations!$A$3:$A$62,0)),$D156/(INDEX(Simulations!$G$3:$G$62,MATCH($A156,Simulations!$A$3:$A$62,0))*INDEX(Simulations!$H$3:$H$62,MATCH($A156,Simulations!$A$3:$A$62,0))*IF(INDEX(Simulations!$I$3:$I$62,MATCH($A156,Simulations!$A$3:$A$62,0))&gt;0,INDEX(Simulations!$I$3:$I$62,MATCH($A156,Simulations!$A$3:$A$62,0)),1))*$F156*(PI()/2*INDEX(Simulations!$T$3:$T$62,MATCH($A156,Simulations!$A$3:$A$62,0))^2*IF(INDEX(Simulations!$I$3:$I$62,MATCH($A156,Simulations!$A$3:$A$62,0))&gt;0,SQRT(PI()/2)*INDEX(Simulations!$U$3:$U$62,MATCH($A156,Simulations!$A$3:$A$62,0)),1)),$D156/(INDEX(Simulations!$G$3:$G$62,MATCH($A156,Simulations!$A$3:$A$62,0))*INDEX(Simulations!$H$3:$H$62,MATCH($A156,Simulations!$A$3:$A$62,0))*IF(INDEX(Simulations!$I$3:$I$62,MATCH($A156,Simulations!$A$3:$A$62,0))&gt;0,INDEX(Simulations!$I$3:$I$62,MATCH($A156,Simulations!$A$3:$A$62,0)),1))*INDEX(Simulations!$J$3:$J$62,MATCH($A156,Simulations!$A$3:$A$62,0))*IF(INDEX(Simulations!$I$3:$I$62,MATCH($A156,Simulations!$A$3:$A$62,0))&gt;0,2*PI()*INDEX(Simulations!$T$3:$T$62,MATCH($A156,Simulations!$A$3:$A$62,0))^2*INDEX(Simulations!$U$3:$U$62,MATCH($A156,Simulations!$A$3:$A$62,0))/2^1.5*(2/3*LN($F156/INDEX(Simulations!$J$3:$J$62,MATCH($A156,Simulations!$A$3:$A$62,0)))^1.5+SQRT(LN($F156/INDEX(Simulations!$J$3:$J$62,MATCH($A156,Simulations!$A$3:$A$62,0))))+$F156/INDEX(Simulations!$J$3:$J$62,MATCH($A156,Simulations!$A$3:$A$62,0))*SQRT(PI())/2*ERFC(SQRT(LN($F156/INDEX(Simulations!$J$3:$J$62,MATCH($A156,Simulations!$A$3:$A$62,0)))))),PI()*INDEX(Simulations!$T$3:$T$62,MATCH($A156,Simulations!$A$3:$A$62,0))^2/2*(LN($F156/INDEX(Simulations!$J$3:$J$62,MATCH($A156,Simulations!$A$3:$A$62,0)))+1)))))</f>
        <v/>
      </c>
      <c r="S156" s="16" t="str">
        <f aca="false">IF(OR($A156="",ISNA(MATCH($A156,Simulations!$A$3:$A$62,0))),"",IF(N($G156)&lt;=0,0,IF($G156&lt;INDEX(Simulations!$J$3:$J$62,MATCH($A156,Simulations!$A$3:$A$62,0)),$D156/(INDEX(Simulations!$G$3:$G$62,MATCH($A156,Simulations!$A$3:$A$62,0))*INDEX(Simulations!$H$3:$H$62,MATCH($A156,Simulations!$A$3:$A$62,0))*IF(INDEX(Simulations!$I$3:$I$62,MATCH($A156,Simulations!$A$3:$A$62,0))&gt;0,INDEX(Simulations!$I$3:$I$62,MATCH($A156,Simulations!$A$3:$A$62,0)),1))*$G156*(PI()/2*INDEX(Simulations!$T$3:$T$62,MATCH($A156,Simulations!$A$3:$A$62,0))^2*IF(INDEX(Simulations!$I$3:$I$62,MATCH($A156,Simulations!$A$3:$A$62,0))&gt;0,SQRT(PI()/2)*INDEX(Simulations!$U$3:$U$62,MATCH($A156,Simulations!$A$3:$A$62,0)),1)),$D156/(INDEX(Simulations!$G$3:$G$62,MATCH($A156,Simulations!$A$3:$A$62,0))*INDEX(Simulations!$H$3:$H$62,MATCH($A156,Simulations!$A$3:$A$62,0))*IF(INDEX(Simulations!$I$3:$I$62,MATCH($A156,Simulations!$A$3:$A$62,0))&gt;0,INDEX(Simulations!$I$3:$I$62,MATCH($A156,Simulations!$A$3:$A$62,0)),1))*INDEX(Simulations!$J$3:$J$62,MATCH($A156,Simulations!$A$3:$A$62,0))*IF(INDEX(Simulations!$I$3:$I$62,MATCH($A156,Simulations!$A$3:$A$62,0))&gt;0,2*PI()*INDEX(Simulations!$T$3:$T$62,MATCH($A156,Simulations!$A$3:$A$62,0))^2*INDEX(Simulations!$U$3:$U$62,MATCH($A156,Simulations!$A$3:$A$62,0))/2^1.5*(2/3*LN($G156/INDEX(Simulations!$J$3:$J$62,MATCH($A156,Simulations!$A$3:$A$62,0)))^1.5+SQRT(LN($G156/INDEX(Simulations!$J$3:$J$62,MATCH($A156,Simulations!$A$3:$A$62,0))))+$G156/INDEX(Simulations!$J$3:$J$62,MATCH($A156,Simulations!$A$3:$A$62,0))*SQRT(PI())/2*ERFC(SQRT(LN($G156/INDEX(Simulations!$J$3:$J$62,MATCH($A156,Simulations!$A$3:$A$62,0)))))),PI()*INDEX(Simulations!$T$3:$T$62,MATCH($A156,Simulations!$A$3:$A$62,0))^2/2*(LN($G156/INDEX(Simulations!$J$3:$J$62,MATCH($A156,Simulations!$A$3:$A$62,0)))+1)))))</f>
        <v/>
      </c>
      <c r="T156" s="16" t="str">
        <f aca="false">IF(OR($A156="",ISNA(MATCH($A156,Simulations!$A$3:$A$62,0))),"",IF(N($H156)&lt;=0,0,IF($H156&lt;INDEX(Simulations!$J$3:$J$62,MATCH($A156,Simulations!$A$3:$A$62,0)),$D156/(INDEX(Simulations!$G$3:$G$62,MATCH($A156,Simulations!$A$3:$A$62,0))*INDEX(Simulations!$H$3:$H$62,MATCH($A156,Simulations!$A$3:$A$62,0))*IF(INDEX(Simulations!$I$3:$I$62,MATCH($A156,Simulations!$A$3:$A$62,0))&gt;0,INDEX(Simulations!$I$3:$I$62,MATCH($A156,Simulations!$A$3:$A$62,0)),1))*$H156*(PI()/2*INDEX(Simulations!$T$3:$T$62,MATCH($A156,Simulations!$A$3:$A$62,0))^2*IF(INDEX(Simulations!$I$3:$I$62,MATCH($A156,Simulations!$A$3:$A$62,0))&gt;0,SQRT(PI()/2)*INDEX(Simulations!$U$3:$U$62,MATCH($A156,Simulations!$A$3:$A$62,0)),1)),$D156/(INDEX(Simulations!$G$3:$G$62,MATCH($A156,Simulations!$A$3:$A$62,0))*INDEX(Simulations!$H$3:$H$62,MATCH($A156,Simulations!$A$3:$A$62,0))*IF(INDEX(Simulations!$I$3:$I$62,MATCH($A156,Simulations!$A$3:$A$62,0))&gt;0,INDEX(Simulations!$I$3:$I$62,MATCH($A156,Simulations!$A$3:$A$62,0)),1))*INDEX(Simulations!$J$3:$J$62,MATCH($A156,Simulations!$A$3:$A$62,0))*IF(INDEX(Simulations!$I$3:$I$62,MATCH($A156,Simulations!$A$3:$A$62,0))&gt;0,2*PI()*INDEX(Simulations!$T$3:$T$62,MATCH($A156,Simulations!$A$3:$A$62,0))^2*INDEX(Simulations!$U$3:$U$62,MATCH($A156,Simulations!$A$3:$A$62,0))/2^1.5*(2/3*LN($H156/INDEX(Simulations!$J$3:$J$62,MATCH($A156,Simulations!$A$3:$A$62,0)))^1.5+SQRT(LN($H156/INDEX(Simulations!$J$3:$J$62,MATCH($A156,Simulations!$A$3:$A$62,0))))+$H156/INDEX(Simulations!$J$3:$J$62,MATCH($A156,Simulations!$A$3:$A$62,0))*SQRT(PI())/2*ERFC(SQRT(LN($H156/INDEX(Simulations!$J$3:$J$62,MATCH($A156,Simulations!$A$3:$A$62,0)))))),PI()*INDEX(Simulations!$T$3:$T$62,MATCH($A156,Simulations!$A$3:$A$62,0))^2/2*(LN($H156/INDEX(Simulations!$J$3:$J$62,MATCH($A156,Simulations!$A$3:$A$62,0)))+1)))))</f>
        <v/>
      </c>
      <c r="U156" s="18" t="str">
        <f aca="false">IF(OR(OR($A156="",ISNA(MATCH($A156,Simulations!$A$3:$A$62,0))),N($C156)&lt;=0),"",SQRT(2*$C156*1000000/(INDEX(Simulations!$J$3:$J$62,MATCH($A156,Simulations!$A$3:$A$62,0))*1000))/INDEX(Simulations!$T$3:$T$62,MATCH($A156,Simulations!$A$3:$A$62,0)))</f>
        <v/>
      </c>
      <c r="V156" s="19" t="str">
        <f aca="false">IF($A156="","",IF(ISNA(MATCH($A156,Simulations!$A$3:$A$62,0)),"✖ Sim ID not found on the Simulations sheet",IF($P156&gt;=1,"✖ brightness &gt;= sampling frequency: completely saturated (D too small, c too large)",IF($P156&gt;0.1,"⚠ brightness &gt; 10% of the sampling frequency: focus starts to saturate",IF(N($U156)&gt;0.1,"⚠ diffusion step &gt; 10% of wr: raise the sampling frequency",IF(MAX($E156:$H156)=0,"⚠ no brightness set","✔ OK"))))))</f>
        <v/>
      </c>
    </row>
    <row r="157" customFormat="false" ht="15" hidden="false" customHeight="false" outlineLevel="0" collapsed="false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4"/>
      <c r="O157" s="18" t="str">
        <f aca="false">IF(OR($A157="",ISNA(MATCH($A157,Simulations!$A$3:$A$62,0))),"",IF(INDEX(Simulations!$I$3:$I$62,MATCH($A157,Simulations!$A$3:$A$62,0))&gt;0,$D157/(INDEX(Simulations!$G$3:$G$62,MATCH($A157,Simulations!$A$3:$A$62,0))*INDEX(Simulations!$H$3:$H$62,MATCH($A157,Simulations!$A$3:$A$62,0))*IF(INDEX(Simulations!$I$3:$I$62,MATCH($A157,Simulations!$A$3:$A$62,0))&gt;0,INDEX(Simulations!$I$3:$I$62,MATCH($A157,Simulations!$A$3:$A$62,0)),1))/1E-024/6.022E+023/0.000000001,""))</f>
        <v/>
      </c>
      <c r="P157" s="20" t="str">
        <f aca="false">IF(OR($A157="",ISNA(MATCH($A157,Simulations!$A$3:$A$62,0))),"",MAX($E157:$H157)/INDEX(Simulations!$J$3:$J$62,MATCH($A157,Simulations!$A$3:$A$62,0)))</f>
        <v/>
      </c>
      <c r="Q157" s="16" t="str">
        <f aca="false">IF(OR($A157="",ISNA(MATCH($A157,Simulations!$A$3:$A$62,0))),"",IF(N($E157)&lt;=0,0,IF($E157&lt;INDEX(Simulations!$J$3:$J$62,MATCH($A157,Simulations!$A$3:$A$62,0)),$D157/(INDEX(Simulations!$G$3:$G$62,MATCH($A157,Simulations!$A$3:$A$62,0))*INDEX(Simulations!$H$3:$H$62,MATCH($A157,Simulations!$A$3:$A$62,0))*IF(INDEX(Simulations!$I$3:$I$62,MATCH($A157,Simulations!$A$3:$A$62,0))&gt;0,INDEX(Simulations!$I$3:$I$62,MATCH($A157,Simulations!$A$3:$A$62,0)),1))*$E157*(PI()/2*INDEX(Simulations!$T$3:$T$62,MATCH($A157,Simulations!$A$3:$A$62,0))^2*IF(INDEX(Simulations!$I$3:$I$62,MATCH($A157,Simulations!$A$3:$A$62,0))&gt;0,SQRT(PI()/2)*INDEX(Simulations!$U$3:$U$62,MATCH($A157,Simulations!$A$3:$A$62,0)),1)),$D157/(INDEX(Simulations!$G$3:$G$62,MATCH($A157,Simulations!$A$3:$A$62,0))*INDEX(Simulations!$H$3:$H$62,MATCH($A157,Simulations!$A$3:$A$62,0))*IF(INDEX(Simulations!$I$3:$I$62,MATCH($A157,Simulations!$A$3:$A$62,0))&gt;0,INDEX(Simulations!$I$3:$I$62,MATCH($A157,Simulations!$A$3:$A$62,0)),1))*INDEX(Simulations!$J$3:$J$62,MATCH($A157,Simulations!$A$3:$A$62,0))*IF(INDEX(Simulations!$I$3:$I$62,MATCH($A157,Simulations!$A$3:$A$62,0))&gt;0,2*PI()*INDEX(Simulations!$T$3:$T$62,MATCH($A157,Simulations!$A$3:$A$62,0))^2*INDEX(Simulations!$U$3:$U$62,MATCH($A157,Simulations!$A$3:$A$62,0))/2^1.5*(2/3*LN($E157/INDEX(Simulations!$J$3:$J$62,MATCH($A157,Simulations!$A$3:$A$62,0)))^1.5+SQRT(LN($E157/INDEX(Simulations!$J$3:$J$62,MATCH($A157,Simulations!$A$3:$A$62,0))))+$E157/INDEX(Simulations!$J$3:$J$62,MATCH($A157,Simulations!$A$3:$A$62,0))*SQRT(PI())/2*ERFC(SQRT(LN($E157/INDEX(Simulations!$J$3:$J$62,MATCH($A157,Simulations!$A$3:$A$62,0)))))),PI()*INDEX(Simulations!$T$3:$T$62,MATCH($A157,Simulations!$A$3:$A$62,0))^2/2*(LN($E157/INDEX(Simulations!$J$3:$J$62,MATCH($A157,Simulations!$A$3:$A$62,0)))+1)))))</f>
        <v/>
      </c>
      <c r="R157" s="16" t="str">
        <f aca="false">IF(OR($A157="",ISNA(MATCH($A157,Simulations!$A$3:$A$62,0))),"",IF(N($F157)&lt;=0,0,IF($F157&lt;INDEX(Simulations!$J$3:$J$62,MATCH($A157,Simulations!$A$3:$A$62,0)),$D157/(INDEX(Simulations!$G$3:$G$62,MATCH($A157,Simulations!$A$3:$A$62,0))*INDEX(Simulations!$H$3:$H$62,MATCH($A157,Simulations!$A$3:$A$62,0))*IF(INDEX(Simulations!$I$3:$I$62,MATCH($A157,Simulations!$A$3:$A$62,0))&gt;0,INDEX(Simulations!$I$3:$I$62,MATCH($A157,Simulations!$A$3:$A$62,0)),1))*$F157*(PI()/2*INDEX(Simulations!$T$3:$T$62,MATCH($A157,Simulations!$A$3:$A$62,0))^2*IF(INDEX(Simulations!$I$3:$I$62,MATCH($A157,Simulations!$A$3:$A$62,0))&gt;0,SQRT(PI()/2)*INDEX(Simulations!$U$3:$U$62,MATCH($A157,Simulations!$A$3:$A$62,0)),1)),$D157/(INDEX(Simulations!$G$3:$G$62,MATCH($A157,Simulations!$A$3:$A$62,0))*INDEX(Simulations!$H$3:$H$62,MATCH($A157,Simulations!$A$3:$A$62,0))*IF(INDEX(Simulations!$I$3:$I$62,MATCH($A157,Simulations!$A$3:$A$62,0))&gt;0,INDEX(Simulations!$I$3:$I$62,MATCH($A157,Simulations!$A$3:$A$62,0)),1))*INDEX(Simulations!$J$3:$J$62,MATCH($A157,Simulations!$A$3:$A$62,0))*IF(INDEX(Simulations!$I$3:$I$62,MATCH($A157,Simulations!$A$3:$A$62,0))&gt;0,2*PI()*INDEX(Simulations!$T$3:$T$62,MATCH($A157,Simulations!$A$3:$A$62,0))^2*INDEX(Simulations!$U$3:$U$62,MATCH($A157,Simulations!$A$3:$A$62,0))/2^1.5*(2/3*LN($F157/INDEX(Simulations!$J$3:$J$62,MATCH($A157,Simulations!$A$3:$A$62,0)))^1.5+SQRT(LN($F157/INDEX(Simulations!$J$3:$J$62,MATCH($A157,Simulations!$A$3:$A$62,0))))+$F157/INDEX(Simulations!$J$3:$J$62,MATCH($A157,Simulations!$A$3:$A$62,0))*SQRT(PI())/2*ERFC(SQRT(LN($F157/INDEX(Simulations!$J$3:$J$62,MATCH($A157,Simulations!$A$3:$A$62,0)))))),PI()*INDEX(Simulations!$T$3:$T$62,MATCH($A157,Simulations!$A$3:$A$62,0))^2/2*(LN($F157/INDEX(Simulations!$J$3:$J$62,MATCH($A157,Simulations!$A$3:$A$62,0)))+1)))))</f>
        <v/>
      </c>
      <c r="S157" s="16" t="str">
        <f aca="false">IF(OR($A157="",ISNA(MATCH($A157,Simulations!$A$3:$A$62,0))),"",IF(N($G157)&lt;=0,0,IF($G157&lt;INDEX(Simulations!$J$3:$J$62,MATCH($A157,Simulations!$A$3:$A$62,0)),$D157/(INDEX(Simulations!$G$3:$G$62,MATCH($A157,Simulations!$A$3:$A$62,0))*INDEX(Simulations!$H$3:$H$62,MATCH($A157,Simulations!$A$3:$A$62,0))*IF(INDEX(Simulations!$I$3:$I$62,MATCH($A157,Simulations!$A$3:$A$62,0))&gt;0,INDEX(Simulations!$I$3:$I$62,MATCH($A157,Simulations!$A$3:$A$62,0)),1))*$G157*(PI()/2*INDEX(Simulations!$T$3:$T$62,MATCH($A157,Simulations!$A$3:$A$62,0))^2*IF(INDEX(Simulations!$I$3:$I$62,MATCH($A157,Simulations!$A$3:$A$62,0))&gt;0,SQRT(PI()/2)*INDEX(Simulations!$U$3:$U$62,MATCH($A157,Simulations!$A$3:$A$62,0)),1)),$D157/(INDEX(Simulations!$G$3:$G$62,MATCH($A157,Simulations!$A$3:$A$62,0))*INDEX(Simulations!$H$3:$H$62,MATCH($A157,Simulations!$A$3:$A$62,0))*IF(INDEX(Simulations!$I$3:$I$62,MATCH($A157,Simulations!$A$3:$A$62,0))&gt;0,INDEX(Simulations!$I$3:$I$62,MATCH($A157,Simulations!$A$3:$A$62,0)),1))*INDEX(Simulations!$J$3:$J$62,MATCH($A157,Simulations!$A$3:$A$62,0))*IF(INDEX(Simulations!$I$3:$I$62,MATCH($A157,Simulations!$A$3:$A$62,0))&gt;0,2*PI()*INDEX(Simulations!$T$3:$T$62,MATCH($A157,Simulations!$A$3:$A$62,0))^2*INDEX(Simulations!$U$3:$U$62,MATCH($A157,Simulations!$A$3:$A$62,0))/2^1.5*(2/3*LN($G157/INDEX(Simulations!$J$3:$J$62,MATCH($A157,Simulations!$A$3:$A$62,0)))^1.5+SQRT(LN($G157/INDEX(Simulations!$J$3:$J$62,MATCH($A157,Simulations!$A$3:$A$62,0))))+$G157/INDEX(Simulations!$J$3:$J$62,MATCH($A157,Simulations!$A$3:$A$62,0))*SQRT(PI())/2*ERFC(SQRT(LN($G157/INDEX(Simulations!$J$3:$J$62,MATCH($A157,Simulations!$A$3:$A$62,0)))))),PI()*INDEX(Simulations!$T$3:$T$62,MATCH($A157,Simulations!$A$3:$A$62,0))^2/2*(LN($G157/INDEX(Simulations!$J$3:$J$62,MATCH($A157,Simulations!$A$3:$A$62,0)))+1)))))</f>
        <v/>
      </c>
      <c r="T157" s="16" t="str">
        <f aca="false">IF(OR($A157="",ISNA(MATCH($A157,Simulations!$A$3:$A$62,0))),"",IF(N($H157)&lt;=0,0,IF($H157&lt;INDEX(Simulations!$J$3:$J$62,MATCH($A157,Simulations!$A$3:$A$62,0)),$D157/(INDEX(Simulations!$G$3:$G$62,MATCH($A157,Simulations!$A$3:$A$62,0))*INDEX(Simulations!$H$3:$H$62,MATCH($A157,Simulations!$A$3:$A$62,0))*IF(INDEX(Simulations!$I$3:$I$62,MATCH($A157,Simulations!$A$3:$A$62,0))&gt;0,INDEX(Simulations!$I$3:$I$62,MATCH($A157,Simulations!$A$3:$A$62,0)),1))*$H157*(PI()/2*INDEX(Simulations!$T$3:$T$62,MATCH($A157,Simulations!$A$3:$A$62,0))^2*IF(INDEX(Simulations!$I$3:$I$62,MATCH($A157,Simulations!$A$3:$A$62,0))&gt;0,SQRT(PI()/2)*INDEX(Simulations!$U$3:$U$62,MATCH($A157,Simulations!$A$3:$A$62,0)),1)),$D157/(INDEX(Simulations!$G$3:$G$62,MATCH($A157,Simulations!$A$3:$A$62,0))*INDEX(Simulations!$H$3:$H$62,MATCH($A157,Simulations!$A$3:$A$62,0))*IF(INDEX(Simulations!$I$3:$I$62,MATCH($A157,Simulations!$A$3:$A$62,0))&gt;0,INDEX(Simulations!$I$3:$I$62,MATCH($A157,Simulations!$A$3:$A$62,0)),1))*INDEX(Simulations!$J$3:$J$62,MATCH($A157,Simulations!$A$3:$A$62,0))*IF(INDEX(Simulations!$I$3:$I$62,MATCH($A157,Simulations!$A$3:$A$62,0))&gt;0,2*PI()*INDEX(Simulations!$T$3:$T$62,MATCH($A157,Simulations!$A$3:$A$62,0))^2*INDEX(Simulations!$U$3:$U$62,MATCH($A157,Simulations!$A$3:$A$62,0))/2^1.5*(2/3*LN($H157/INDEX(Simulations!$J$3:$J$62,MATCH($A157,Simulations!$A$3:$A$62,0)))^1.5+SQRT(LN($H157/INDEX(Simulations!$J$3:$J$62,MATCH($A157,Simulations!$A$3:$A$62,0))))+$H157/INDEX(Simulations!$J$3:$J$62,MATCH($A157,Simulations!$A$3:$A$62,0))*SQRT(PI())/2*ERFC(SQRT(LN($H157/INDEX(Simulations!$J$3:$J$62,MATCH($A157,Simulations!$A$3:$A$62,0)))))),PI()*INDEX(Simulations!$T$3:$T$62,MATCH($A157,Simulations!$A$3:$A$62,0))^2/2*(LN($H157/INDEX(Simulations!$J$3:$J$62,MATCH($A157,Simulations!$A$3:$A$62,0)))+1)))))</f>
        <v/>
      </c>
      <c r="U157" s="18" t="str">
        <f aca="false">IF(OR(OR($A157="",ISNA(MATCH($A157,Simulations!$A$3:$A$62,0))),N($C157)&lt;=0),"",SQRT(2*$C157*1000000/(INDEX(Simulations!$J$3:$J$62,MATCH($A157,Simulations!$A$3:$A$62,0))*1000))/INDEX(Simulations!$T$3:$T$62,MATCH($A157,Simulations!$A$3:$A$62,0)))</f>
        <v/>
      </c>
      <c r="V157" s="19" t="str">
        <f aca="false">IF($A157="","",IF(ISNA(MATCH($A157,Simulations!$A$3:$A$62,0)),"✖ Sim ID not found on the Simulations sheet",IF($P157&gt;=1,"✖ brightness &gt;= sampling frequency: completely saturated (D too small, c too large)",IF($P157&gt;0.1,"⚠ brightness &gt; 10% of the sampling frequency: focus starts to saturate",IF(N($U157)&gt;0.1,"⚠ diffusion step &gt; 10% of wr: raise the sampling frequency",IF(MAX($E157:$H157)=0,"⚠ no brightness set","✔ OK"))))))</f>
        <v/>
      </c>
    </row>
    <row r="158" customFormat="false" ht="15" hidden="false" customHeight="false" outlineLevel="0" collapsed="false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4"/>
      <c r="O158" s="18" t="str">
        <f aca="false">IF(OR($A158="",ISNA(MATCH($A158,Simulations!$A$3:$A$62,0))),"",IF(INDEX(Simulations!$I$3:$I$62,MATCH($A158,Simulations!$A$3:$A$62,0))&gt;0,$D158/(INDEX(Simulations!$G$3:$G$62,MATCH($A158,Simulations!$A$3:$A$62,0))*INDEX(Simulations!$H$3:$H$62,MATCH($A158,Simulations!$A$3:$A$62,0))*IF(INDEX(Simulations!$I$3:$I$62,MATCH($A158,Simulations!$A$3:$A$62,0))&gt;0,INDEX(Simulations!$I$3:$I$62,MATCH($A158,Simulations!$A$3:$A$62,0)),1))/1E-024/6.022E+023/0.000000001,""))</f>
        <v/>
      </c>
      <c r="P158" s="20" t="str">
        <f aca="false">IF(OR($A158="",ISNA(MATCH($A158,Simulations!$A$3:$A$62,0))),"",MAX($E158:$H158)/INDEX(Simulations!$J$3:$J$62,MATCH($A158,Simulations!$A$3:$A$62,0)))</f>
        <v/>
      </c>
      <c r="Q158" s="16" t="str">
        <f aca="false">IF(OR($A158="",ISNA(MATCH($A158,Simulations!$A$3:$A$62,0))),"",IF(N($E158)&lt;=0,0,IF($E158&lt;INDEX(Simulations!$J$3:$J$62,MATCH($A158,Simulations!$A$3:$A$62,0)),$D158/(INDEX(Simulations!$G$3:$G$62,MATCH($A158,Simulations!$A$3:$A$62,0))*INDEX(Simulations!$H$3:$H$62,MATCH($A158,Simulations!$A$3:$A$62,0))*IF(INDEX(Simulations!$I$3:$I$62,MATCH($A158,Simulations!$A$3:$A$62,0))&gt;0,INDEX(Simulations!$I$3:$I$62,MATCH($A158,Simulations!$A$3:$A$62,0)),1))*$E158*(PI()/2*INDEX(Simulations!$T$3:$T$62,MATCH($A158,Simulations!$A$3:$A$62,0))^2*IF(INDEX(Simulations!$I$3:$I$62,MATCH($A158,Simulations!$A$3:$A$62,0))&gt;0,SQRT(PI()/2)*INDEX(Simulations!$U$3:$U$62,MATCH($A158,Simulations!$A$3:$A$62,0)),1)),$D158/(INDEX(Simulations!$G$3:$G$62,MATCH($A158,Simulations!$A$3:$A$62,0))*INDEX(Simulations!$H$3:$H$62,MATCH($A158,Simulations!$A$3:$A$62,0))*IF(INDEX(Simulations!$I$3:$I$62,MATCH($A158,Simulations!$A$3:$A$62,0))&gt;0,INDEX(Simulations!$I$3:$I$62,MATCH($A158,Simulations!$A$3:$A$62,0)),1))*INDEX(Simulations!$J$3:$J$62,MATCH($A158,Simulations!$A$3:$A$62,0))*IF(INDEX(Simulations!$I$3:$I$62,MATCH($A158,Simulations!$A$3:$A$62,0))&gt;0,2*PI()*INDEX(Simulations!$T$3:$T$62,MATCH($A158,Simulations!$A$3:$A$62,0))^2*INDEX(Simulations!$U$3:$U$62,MATCH($A158,Simulations!$A$3:$A$62,0))/2^1.5*(2/3*LN($E158/INDEX(Simulations!$J$3:$J$62,MATCH($A158,Simulations!$A$3:$A$62,0)))^1.5+SQRT(LN($E158/INDEX(Simulations!$J$3:$J$62,MATCH($A158,Simulations!$A$3:$A$62,0))))+$E158/INDEX(Simulations!$J$3:$J$62,MATCH($A158,Simulations!$A$3:$A$62,0))*SQRT(PI())/2*ERFC(SQRT(LN($E158/INDEX(Simulations!$J$3:$J$62,MATCH($A158,Simulations!$A$3:$A$62,0)))))),PI()*INDEX(Simulations!$T$3:$T$62,MATCH($A158,Simulations!$A$3:$A$62,0))^2/2*(LN($E158/INDEX(Simulations!$J$3:$J$62,MATCH($A158,Simulations!$A$3:$A$62,0)))+1)))))</f>
        <v/>
      </c>
      <c r="R158" s="16" t="str">
        <f aca="false">IF(OR($A158="",ISNA(MATCH($A158,Simulations!$A$3:$A$62,0))),"",IF(N($F158)&lt;=0,0,IF($F158&lt;INDEX(Simulations!$J$3:$J$62,MATCH($A158,Simulations!$A$3:$A$62,0)),$D158/(INDEX(Simulations!$G$3:$G$62,MATCH($A158,Simulations!$A$3:$A$62,0))*INDEX(Simulations!$H$3:$H$62,MATCH($A158,Simulations!$A$3:$A$62,0))*IF(INDEX(Simulations!$I$3:$I$62,MATCH($A158,Simulations!$A$3:$A$62,0))&gt;0,INDEX(Simulations!$I$3:$I$62,MATCH($A158,Simulations!$A$3:$A$62,0)),1))*$F158*(PI()/2*INDEX(Simulations!$T$3:$T$62,MATCH($A158,Simulations!$A$3:$A$62,0))^2*IF(INDEX(Simulations!$I$3:$I$62,MATCH($A158,Simulations!$A$3:$A$62,0))&gt;0,SQRT(PI()/2)*INDEX(Simulations!$U$3:$U$62,MATCH($A158,Simulations!$A$3:$A$62,0)),1)),$D158/(INDEX(Simulations!$G$3:$G$62,MATCH($A158,Simulations!$A$3:$A$62,0))*INDEX(Simulations!$H$3:$H$62,MATCH($A158,Simulations!$A$3:$A$62,0))*IF(INDEX(Simulations!$I$3:$I$62,MATCH($A158,Simulations!$A$3:$A$62,0))&gt;0,INDEX(Simulations!$I$3:$I$62,MATCH($A158,Simulations!$A$3:$A$62,0)),1))*INDEX(Simulations!$J$3:$J$62,MATCH($A158,Simulations!$A$3:$A$62,0))*IF(INDEX(Simulations!$I$3:$I$62,MATCH($A158,Simulations!$A$3:$A$62,0))&gt;0,2*PI()*INDEX(Simulations!$T$3:$T$62,MATCH($A158,Simulations!$A$3:$A$62,0))^2*INDEX(Simulations!$U$3:$U$62,MATCH($A158,Simulations!$A$3:$A$62,0))/2^1.5*(2/3*LN($F158/INDEX(Simulations!$J$3:$J$62,MATCH($A158,Simulations!$A$3:$A$62,0)))^1.5+SQRT(LN($F158/INDEX(Simulations!$J$3:$J$62,MATCH($A158,Simulations!$A$3:$A$62,0))))+$F158/INDEX(Simulations!$J$3:$J$62,MATCH($A158,Simulations!$A$3:$A$62,0))*SQRT(PI())/2*ERFC(SQRT(LN($F158/INDEX(Simulations!$J$3:$J$62,MATCH($A158,Simulations!$A$3:$A$62,0)))))),PI()*INDEX(Simulations!$T$3:$T$62,MATCH($A158,Simulations!$A$3:$A$62,0))^2/2*(LN($F158/INDEX(Simulations!$J$3:$J$62,MATCH($A158,Simulations!$A$3:$A$62,0)))+1)))))</f>
        <v/>
      </c>
      <c r="S158" s="16" t="str">
        <f aca="false">IF(OR($A158="",ISNA(MATCH($A158,Simulations!$A$3:$A$62,0))),"",IF(N($G158)&lt;=0,0,IF($G158&lt;INDEX(Simulations!$J$3:$J$62,MATCH($A158,Simulations!$A$3:$A$62,0)),$D158/(INDEX(Simulations!$G$3:$G$62,MATCH($A158,Simulations!$A$3:$A$62,0))*INDEX(Simulations!$H$3:$H$62,MATCH($A158,Simulations!$A$3:$A$62,0))*IF(INDEX(Simulations!$I$3:$I$62,MATCH($A158,Simulations!$A$3:$A$62,0))&gt;0,INDEX(Simulations!$I$3:$I$62,MATCH($A158,Simulations!$A$3:$A$62,0)),1))*$G158*(PI()/2*INDEX(Simulations!$T$3:$T$62,MATCH($A158,Simulations!$A$3:$A$62,0))^2*IF(INDEX(Simulations!$I$3:$I$62,MATCH($A158,Simulations!$A$3:$A$62,0))&gt;0,SQRT(PI()/2)*INDEX(Simulations!$U$3:$U$62,MATCH($A158,Simulations!$A$3:$A$62,0)),1)),$D158/(INDEX(Simulations!$G$3:$G$62,MATCH($A158,Simulations!$A$3:$A$62,0))*INDEX(Simulations!$H$3:$H$62,MATCH($A158,Simulations!$A$3:$A$62,0))*IF(INDEX(Simulations!$I$3:$I$62,MATCH($A158,Simulations!$A$3:$A$62,0))&gt;0,INDEX(Simulations!$I$3:$I$62,MATCH($A158,Simulations!$A$3:$A$62,0)),1))*INDEX(Simulations!$J$3:$J$62,MATCH($A158,Simulations!$A$3:$A$62,0))*IF(INDEX(Simulations!$I$3:$I$62,MATCH($A158,Simulations!$A$3:$A$62,0))&gt;0,2*PI()*INDEX(Simulations!$T$3:$T$62,MATCH($A158,Simulations!$A$3:$A$62,0))^2*INDEX(Simulations!$U$3:$U$62,MATCH($A158,Simulations!$A$3:$A$62,0))/2^1.5*(2/3*LN($G158/INDEX(Simulations!$J$3:$J$62,MATCH($A158,Simulations!$A$3:$A$62,0)))^1.5+SQRT(LN($G158/INDEX(Simulations!$J$3:$J$62,MATCH($A158,Simulations!$A$3:$A$62,0))))+$G158/INDEX(Simulations!$J$3:$J$62,MATCH($A158,Simulations!$A$3:$A$62,0))*SQRT(PI())/2*ERFC(SQRT(LN($G158/INDEX(Simulations!$J$3:$J$62,MATCH($A158,Simulations!$A$3:$A$62,0)))))),PI()*INDEX(Simulations!$T$3:$T$62,MATCH($A158,Simulations!$A$3:$A$62,0))^2/2*(LN($G158/INDEX(Simulations!$J$3:$J$62,MATCH($A158,Simulations!$A$3:$A$62,0)))+1)))))</f>
        <v/>
      </c>
      <c r="T158" s="16" t="str">
        <f aca="false">IF(OR($A158="",ISNA(MATCH($A158,Simulations!$A$3:$A$62,0))),"",IF(N($H158)&lt;=0,0,IF($H158&lt;INDEX(Simulations!$J$3:$J$62,MATCH($A158,Simulations!$A$3:$A$62,0)),$D158/(INDEX(Simulations!$G$3:$G$62,MATCH($A158,Simulations!$A$3:$A$62,0))*INDEX(Simulations!$H$3:$H$62,MATCH($A158,Simulations!$A$3:$A$62,0))*IF(INDEX(Simulations!$I$3:$I$62,MATCH($A158,Simulations!$A$3:$A$62,0))&gt;0,INDEX(Simulations!$I$3:$I$62,MATCH($A158,Simulations!$A$3:$A$62,0)),1))*$H158*(PI()/2*INDEX(Simulations!$T$3:$T$62,MATCH($A158,Simulations!$A$3:$A$62,0))^2*IF(INDEX(Simulations!$I$3:$I$62,MATCH($A158,Simulations!$A$3:$A$62,0))&gt;0,SQRT(PI()/2)*INDEX(Simulations!$U$3:$U$62,MATCH($A158,Simulations!$A$3:$A$62,0)),1)),$D158/(INDEX(Simulations!$G$3:$G$62,MATCH($A158,Simulations!$A$3:$A$62,0))*INDEX(Simulations!$H$3:$H$62,MATCH($A158,Simulations!$A$3:$A$62,0))*IF(INDEX(Simulations!$I$3:$I$62,MATCH($A158,Simulations!$A$3:$A$62,0))&gt;0,INDEX(Simulations!$I$3:$I$62,MATCH($A158,Simulations!$A$3:$A$62,0)),1))*INDEX(Simulations!$J$3:$J$62,MATCH($A158,Simulations!$A$3:$A$62,0))*IF(INDEX(Simulations!$I$3:$I$62,MATCH($A158,Simulations!$A$3:$A$62,0))&gt;0,2*PI()*INDEX(Simulations!$T$3:$T$62,MATCH($A158,Simulations!$A$3:$A$62,0))^2*INDEX(Simulations!$U$3:$U$62,MATCH($A158,Simulations!$A$3:$A$62,0))/2^1.5*(2/3*LN($H158/INDEX(Simulations!$J$3:$J$62,MATCH($A158,Simulations!$A$3:$A$62,0)))^1.5+SQRT(LN($H158/INDEX(Simulations!$J$3:$J$62,MATCH($A158,Simulations!$A$3:$A$62,0))))+$H158/INDEX(Simulations!$J$3:$J$62,MATCH($A158,Simulations!$A$3:$A$62,0))*SQRT(PI())/2*ERFC(SQRT(LN($H158/INDEX(Simulations!$J$3:$J$62,MATCH($A158,Simulations!$A$3:$A$62,0)))))),PI()*INDEX(Simulations!$T$3:$T$62,MATCH($A158,Simulations!$A$3:$A$62,0))^2/2*(LN($H158/INDEX(Simulations!$J$3:$J$62,MATCH($A158,Simulations!$A$3:$A$62,0)))+1)))))</f>
        <v/>
      </c>
      <c r="U158" s="18" t="str">
        <f aca="false">IF(OR(OR($A158="",ISNA(MATCH($A158,Simulations!$A$3:$A$62,0))),N($C158)&lt;=0),"",SQRT(2*$C158*1000000/(INDEX(Simulations!$J$3:$J$62,MATCH($A158,Simulations!$A$3:$A$62,0))*1000))/INDEX(Simulations!$T$3:$T$62,MATCH($A158,Simulations!$A$3:$A$62,0)))</f>
        <v/>
      </c>
      <c r="V158" s="19" t="str">
        <f aca="false">IF($A158="","",IF(ISNA(MATCH($A158,Simulations!$A$3:$A$62,0)),"✖ Sim ID not found on the Simulations sheet",IF($P158&gt;=1,"✖ brightness &gt;= sampling frequency: completely saturated (D too small, c too large)",IF($P158&gt;0.1,"⚠ brightness &gt; 10% of the sampling frequency: focus starts to saturate",IF(N($U158)&gt;0.1,"⚠ diffusion step &gt; 10% of wr: raise the sampling frequency",IF(MAX($E158:$H158)=0,"⚠ no brightness set","✔ OK"))))))</f>
        <v/>
      </c>
    </row>
    <row r="159" customFormat="false" ht="15" hidden="false" customHeight="false" outlineLevel="0" collapsed="false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4"/>
      <c r="O159" s="18" t="str">
        <f aca="false">IF(OR($A159="",ISNA(MATCH($A159,Simulations!$A$3:$A$62,0))),"",IF(INDEX(Simulations!$I$3:$I$62,MATCH($A159,Simulations!$A$3:$A$62,0))&gt;0,$D159/(INDEX(Simulations!$G$3:$G$62,MATCH($A159,Simulations!$A$3:$A$62,0))*INDEX(Simulations!$H$3:$H$62,MATCH($A159,Simulations!$A$3:$A$62,0))*IF(INDEX(Simulations!$I$3:$I$62,MATCH($A159,Simulations!$A$3:$A$62,0))&gt;0,INDEX(Simulations!$I$3:$I$62,MATCH($A159,Simulations!$A$3:$A$62,0)),1))/1E-024/6.022E+023/0.000000001,""))</f>
        <v/>
      </c>
      <c r="P159" s="20" t="str">
        <f aca="false">IF(OR($A159="",ISNA(MATCH($A159,Simulations!$A$3:$A$62,0))),"",MAX($E159:$H159)/INDEX(Simulations!$J$3:$J$62,MATCH($A159,Simulations!$A$3:$A$62,0)))</f>
        <v/>
      </c>
      <c r="Q159" s="16" t="str">
        <f aca="false">IF(OR($A159="",ISNA(MATCH($A159,Simulations!$A$3:$A$62,0))),"",IF(N($E159)&lt;=0,0,IF($E159&lt;INDEX(Simulations!$J$3:$J$62,MATCH($A159,Simulations!$A$3:$A$62,0)),$D159/(INDEX(Simulations!$G$3:$G$62,MATCH($A159,Simulations!$A$3:$A$62,0))*INDEX(Simulations!$H$3:$H$62,MATCH($A159,Simulations!$A$3:$A$62,0))*IF(INDEX(Simulations!$I$3:$I$62,MATCH($A159,Simulations!$A$3:$A$62,0))&gt;0,INDEX(Simulations!$I$3:$I$62,MATCH($A159,Simulations!$A$3:$A$62,0)),1))*$E159*(PI()/2*INDEX(Simulations!$T$3:$T$62,MATCH($A159,Simulations!$A$3:$A$62,0))^2*IF(INDEX(Simulations!$I$3:$I$62,MATCH($A159,Simulations!$A$3:$A$62,0))&gt;0,SQRT(PI()/2)*INDEX(Simulations!$U$3:$U$62,MATCH($A159,Simulations!$A$3:$A$62,0)),1)),$D159/(INDEX(Simulations!$G$3:$G$62,MATCH($A159,Simulations!$A$3:$A$62,0))*INDEX(Simulations!$H$3:$H$62,MATCH($A159,Simulations!$A$3:$A$62,0))*IF(INDEX(Simulations!$I$3:$I$62,MATCH($A159,Simulations!$A$3:$A$62,0))&gt;0,INDEX(Simulations!$I$3:$I$62,MATCH($A159,Simulations!$A$3:$A$62,0)),1))*INDEX(Simulations!$J$3:$J$62,MATCH($A159,Simulations!$A$3:$A$62,0))*IF(INDEX(Simulations!$I$3:$I$62,MATCH($A159,Simulations!$A$3:$A$62,0))&gt;0,2*PI()*INDEX(Simulations!$T$3:$T$62,MATCH($A159,Simulations!$A$3:$A$62,0))^2*INDEX(Simulations!$U$3:$U$62,MATCH($A159,Simulations!$A$3:$A$62,0))/2^1.5*(2/3*LN($E159/INDEX(Simulations!$J$3:$J$62,MATCH($A159,Simulations!$A$3:$A$62,0)))^1.5+SQRT(LN($E159/INDEX(Simulations!$J$3:$J$62,MATCH($A159,Simulations!$A$3:$A$62,0))))+$E159/INDEX(Simulations!$J$3:$J$62,MATCH($A159,Simulations!$A$3:$A$62,0))*SQRT(PI())/2*ERFC(SQRT(LN($E159/INDEX(Simulations!$J$3:$J$62,MATCH($A159,Simulations!$A$3:$A$62,0)))))),PI()*INDEX(Simulations!$T$3:$T$62,MATCH($A159,Simulations!$A$3:$A$62,0))^2/2*(LN($E159/INDEX(Simulations!$J$3:$J$62,MATCH($A159,Simulations!$A$3:$A$62,0)))+1)))))</f>
        <v/>
      </c>
      <c r="R159" s="16" t="str">
        <f aca="false">IF(OR($A159="",ISNA(MATCH($A159,Simulations!$A$3:$A$62,0))),"",IF(N($F159)&lt;=0,0,IF($F159&lt;INDEX(Simulations!$J$3:$J$62,MATCH($A159,Simulations!$A$3:$A$62,0)),$D159/(INDEX(Simulations!$G$3:$G$62,MATCH($A159,Simulations!$A$3:$A$62,0))*INDEX(Simulations!$H$3:$H$62,MATCH($A159,Simulations!$A$3:$A$62,0))*IF(INDEX(Simulations!$I$3:$I$62,MATCH($A159,Simulations!$A$3:$A$62,0))&gt;0,INDEX(Simulations!$I$3:$I$62,MATCH($A159,Simulations!$A$3:$A$62,0)),1))*$F159*(PI()/2*INDEX(Simulations!$T$3:$T$62,MATCH($A159,Simulations!$A$3:$A$62,0))^2*IF(INDEX(Simulations!$I$3:$I$62,MATCH($A159,Simulations!$A$3:$A$62,0))&gt;0,SQRT(PI()/2)*INDEX(Simulations!$U$3:$U$62,MATCH($A159,Simulations!$A$3:$A$62,0)),1)),$D159/(INDEX(Simulations!$G$3:$G$62,MATCH($A159,Simulations!$A$3:$A$62,0))*INDEX(Simulations!$H$3:$H$62,MATCH($A159,Simulations!$A$3:$A$62,0))*IF(INDEX(Simulations!$I$3:$I$62,MATCH($A159,Simulations!$A$3:$A$62,0))&gt;0,INDEX(Simulations!$I$3:$I$62,MATCH($A159,Simulations!$A$3:$A$62,0)),1))*INDEX(Simulations!$J$3:$J$62,MATCH($A159,Simulations!$A$3:$A$62,0))*IF(INDEX(Simulations!$I$3:$I$62,MATCH($A159,Simulations!$A$3:$A$62,0))&gt;0,2*PI()*INDEX(Simulations!$T$3:$T$62,MATCH($A159,Simulations!$A$3:$A$62,0))^2*INDEX(Simulations!$U$3:$U$62,MATCH($A159,Simulations!$A$3:$A$62,0))/2^1.5*(2/3*LN($F159/INDEX(Simulations!$J$3:$J$62,MATCH($A159,Simulations!$A$3:$A$62,0)))^1.5+SQRT(LN($F159/INDEX(Simulations!$J$3:$J$62,MATCH($A159,Simulations!$A$3:$A$62,0))))+$F159/INDEX(Simulations!$J$3:$J$62,MATCH($A159,Simulations!$A$3:$A$62,0))*SQRT(PI())/2*ERFC(SQRT(LN($F159/INDEX(Simulations!$J$3:$J$62,MATCH($A159,Simulations!$A$3:$A$62,0)))))),PI()*INDEX(Simulations!$T$3:$T$62,MATCH($A159,Simulations!$A$3:$A$62,0))^2/2*(LN($F159/INDEX(Simulations!$J$3:$J$62,MATCH($A159,Simulations!$A$3:$A$62,0)))+1)))))</f>
        <v/>
      </c>
      <c r="S159" s="16" t="str">
        <f aca="false">IF(OR($A159="",ISNA(MATCH($A159,Simulations!$A$3:$A$62,0))),"",IF(N($G159)&lt;=0,0,IF($G159&lt;INDEX(Simulations!$J$3:$J$62,MATCH($A159,Simulations!$A$3:$A$62,0)),$D159/(INDEX(Simulations!$G$3:$G$62,MATCH($A159,Simulations!$A$3:$A$62,0))*INDEX(Simulations!$H$3:$H$62,MATCH($A159,Simulations!$A$3:$A$62,0))*IF(INDEX(Simulations!$I$3:$I$62,MATCH($A159,Simulations!$A$3:$A$62,0))&gt;0,INDEX(Simulations!$I$3:$I$62,MATCH($A159,Simulations!$A$3:$A$62,0)),1))*$G159*(PI()/2*INDEX(Simulations!$T$3:$T$62,MATCH($A159,Simulations!$A$3:$A$62,0))^2*IF(INDEX(Simulations!$I$3:$I$62,MATCH($A159,Simulations!$A$3:$A$62,0))&gt;0,SQRT(PI()/2)*INDEX(Simulations!$U$3:$U$62,MATCH($A159,Simulations!$A$3:$A$62,0)),1)),$D159/(INDEX(Simulations!$G$3:$G$62,MATCH($A159,Simulations!$A$3:$A$62,0))*INDEX(Simulations!$H$3:$H$62,MATCH($A159,Simulations!$A$3:$A$62,0))*IF(INDEX(Simulations!$I$3:$I$62,MATCH($A159,Simulations!$A$3:$A$62,0))&gt;0,INDEX(Simulations!$I$3:$I$62,MATCH($A159,Simulations!$A$3:$A$62,0)),1))*INDEX(Simulations!$J$3:$J$62,MATCH($A159,Simulations!$A$3:$A$62,0))*IF(INDEX(Simulations!$I$3:$I$62,MATCH($A159,Simulations!$A$3:$A$62,0))&gt;0,2*PI()*INDEX(Simulations!$T$3:$T$62,MATCH($A159,Simulations!$A$3:$A$62,0))^2*INDEX(Simulations!$U$3:$U$62,MATCH($A159,Simulations!$A$3:$A$62,0))/2^1.5*(2/3*LN($G159/INDEX(Simulations!$J$3:$J$62,MATCH($A159,Simulations!$A$3:$A$62,0)))^1.5+SQRT(LN($G159/INDEX(Simulations!$J$3:$J$62,MATCH($A159,Simulations!$A$3:$A$62,0))))+$G159/INDEX(Simulations!$J$3:$J$62,MATCH($A159,Simulations!$A$3:$A$62,0))*SQRT(PI())/2*ERFC(SQRT(LN($G159/INDEX(Simulations!$J$3:$J$62,MATCH($A159,Simulations!$A$3:$A$62,0)))))),PI()*INDEX(Simulations!$T$3:$T$62,MATCH($A159,Simulations!$A$3:$A$62,0))^2/2*(LN($G159/INDEX(Simulations!$J$3:$J$62,MATCH($A159,Simulations!$A$3:$A$62,0)))+1)))))</f>
        <v/>
      </c>
      <c r="T159" s="16" t="str">
        <f aca="false">IF(OR($A159="",ISNA(MATCH($A159,Simulations!$A$3:$A$62,0))),"",IF(N($H159)&lt;=0,0,IF($H159&lt;INDEX(Simulations!$J$3:$J$62,MATCH($A159,Simulations!$A$3:$A$62,0)),$D159/(INDEX(Simulations!$G$3:$G$62,MATCH($A159,Simulations!$A$3:$A$62,0))*INDEX(Simulations!$H$3:$H$62,MATCH($A159,Simulations!$A$3:$A$62,0))*IF(INDEX(Simulations!$I$3:$I$62,MATCH($A159,Simulations!$A$3:$A$62,0))&gt;0,INDEX(Simulations!$I$3:$I$62,MATCH($A159,Simulations!$A$3:$A$62,0)),1))*$H159*(PI()/2*INDEX(Simulations!$T$3:$T$62,MATCH($A159,Simulations!$A$3:$A$62,0))^2*IF(INDEX(Simulations!$I$3:$I$62,MATCH($A159,Simulations!$A$3:$A$62,0))&gt;0,SQRT(PI()/2)*INDEX(Simulations!$U$3:$U$62,MATCH($A159,Simulations!$A$3:$A$62,0)),1)),$D159/(INDEX(Simulations!$G$3:$G$62,MATCH($A159,Simulations!$A$3:$A$62,0))*INDEX(Simulations!$H$3:$H$62,MATCH($A159,Simulations!$A$3:$A$62,0))*IF(INDEX(Simulations!$I$3:$I$62,MATCH($A159,Simulations!$A$3:$A$62,0))&gt;0,INDEX(Simulations!$I$3:$I$62,MATCH($A159,Simulations!$A$3:$A$62,0)),1))*INDEX(Simulations!$J$3:$J$62,MATCH($A159,Simulations!$A$3:$A$62,0))*IF(INDEX(Simulations!$I$3:$I$62,MATCH($A159,Simulations!$A$3:$A$62,0))&gt;0,2*PI()*INDEX(Simulations!$T$3:$T$62,MATCH($A159,Simulations!$A$3:$A$62,0))^2*INDEX(Simulations!$U$3:$U$62,MATCH($A159,Simulations!$A$3:$A$62,0))/2^1.5*(2/3*LN($H159/INDEX(Simulations!$J$3:$J$62,MATCH($A159,Simulations!$A$3:$A$62,0)))^1.5+SQRT(LN($H159/INDEX(Simulations!$J$3:$J$62,MATCH($A159,Simulations!$A$3:$A$62,0))))+$H159/INDEX(Simulations!$J$3:$J$62,MATCH($A159,Simulations!$A$3:$A$62,0))*SQRT(PI())/2*ERFC(SQRT(LN($H159/INDEX(Simulations!$J$3:$J$62,MATCH($A159,Simulations!$A$3:$A$62,0)))))),PI()*INDEX(Simulations!$T$3:$T$62,MATCH($A159,Simulations!$A$3:$A$62,0))^2/2*(LN($H159/INDEX(Simulations!$J$3:$J$62,MATCH($A159,Simulations!$A$3:$A$62,0)))+1)))))</f>
        <v/>
      </c>
      <c r="U159" s="18" t="str">
        <f aca="false">IF(OR(OR($A159="",ISNA(MATCH($A159,Simulations!$A$3:$A$62,0))),N($C159)&lt;=0),"",SQRT(2*$C159*1000000/(INDEX(Simulations!$J$3:$J$62,MATCH($A159,Simulations!$A$3:$A$62,0))*1000))/INDEX(Simulations!$T$3:$T$62,MATCH($A159,Simulations!$A$3:$A$62,0)))</f>
        <v/>
      </c>
      <c r="V159" s="19" t="str">
        <f aca="false">IF($A159="","",IF(ISNA(MATCH($A159,Simulations!$A$3:$A$62,0)),"✖ Sim ID not found on the Simulations sheet",IF($P159&gt;=1,"✖ brightness &gt;= sampling frequency: completely saturated (D too small, c too large)",IF($P159&gt;0.1,"⚠ brightness &gt; 10% of the sampling frequency: focus starts to saturate",IF(N($U159)&gt;0.1,"⚠ diffusion step &gt; 10% of wr: raise the sampling frequency",IF(MAX($E159:$H159)=0,"⚠ no brightness set","✔ OK"))))))</f>
        <v/>
      </c>
    </row>
    <row r="160" customFormat="false" ht="15" hidden="false" customHeight="false" outlineLevel="0" collapsed="false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4"/>
      <c r="O160" s="18" t="str">
        <f aca="false">IF(OR($A160="",ISNA(MATCH($A160,Simulations!$A$3:$A$62,0))),"",IF(INDEX(Simulations!$I$3:$I$62,MATCH($A160,Simulations!$A$3:$A$62,0))&gt;0,$D160/(INDEX(Simulations!$G$3:$G$62,MATCH($A160,Simulations!$A$3:$A$62,0))*INDEX(Simulations!$H$3:$H$62,MATCH($A160,Simulations!$A$3:$A$62,0))*IF(INDEX(Simulations!$I$3:$I$62,MATCH($A160,Simulations!$A$3:$A$62,0))&gt;0,INDEX(Simulations!$I$3:$I$62,MATCH($A160,Simulations!$A$3:$A$62,0)),1))/1E-024/6.022E+023/0.000000001,""))</f>
        <v/>
      </c>
      <c r="P160" s="20" t="str">
        <f aca="false">IF(OR($A160="",ISNA(MATCH($A160,Simulations!$A$3:$A$62,0))),"",MAX($E160:$H160)/INDEX(Simulations!$J$3:$J$62,MATCH($A160,Simulations!$A$3:$A$62,0)))</f>
        <v/>
      </c>
      <c r="Q160" s="16" t="str">
        <f aca="false">IF(OR($A160="",ISNA(MATCH($A160,Simulations!$A$3:$A$62,0))),"",IF(N($E160)&lt;=0,0,IF($E160&lt;INDEX(Simulations!$J$3:$J$62,MATCH($A160,Simulations!$A$3:$A$62,0)),$D160/(INDEX(Simulations!$G$3:$G$62,MATCH($A160,Simulations!$A$3:$A$62,0))*INDEX(Simulations!$H$3:$H$62,MATCH($A160,Simulations!$A$3:$A$62,0))*IF(INDEX(Simulations!$I$3:$I$62,MATCH($A160,Simulations!$A$3:$A$62,0))&gt;0,INDEX(Simulations!$I$3:$I$62,MATCH($A160,Simulations!$A$3:$A$62,0)),1))*$E160*(PI()/2*INDEX(Simulations!$T$3:$T$62,MATCH($A160,Simulations!$A$3:$A$62,0))^2*IF(INDEX(Simulations!$I$3:$I$62,MATCH($A160,Simulations!$A$3:$A$62,0))&gt;0,SQRT(PI()/2)*INDEX(Simulations!$U$3:$U$62,MATCH($A160,Simulations!$A$3:$A$62,0)),1)),$D160/(INDEX(Simulations!$G$3:$G$62,MATCH($A160,Simulations!$A$3:$A$62,0))*INDEX(Simulations!$H$3:$H$62,MATCH($A160,Simulations!$A$3:$A$62,0))*IF(INDEX(Simulations!$I$3:$I$62,MATCH($A160,Simulations!$A$3:$A$62,0))&gt;0,INDEX(Simulations!$I$3:$I$62,MATCH($A160,Simulations!$A$3:$A$62,0)),1))*INDEX(Simulations!$J$3:$J$62,MATCH($A160,Simulations!$A$3:$A$62,0))*IF(INDEX(Simulations!$I$3:$I$62,MATCH($A160,Simulations!$A$3:$A$62,0))&gt;0,2*PI()*INDEX(Simulations!$T$3:$T$62,MATCH($A160,Simulations!$A$3:$A$62,0))^2*INDEX(Simulations!$U$3:$U$62,MATCH($A160,Simulations!$A$3:$A$62,0))/2^1.5*(2/3*LN($E160/INDEX(Simulations!$J$3:$J$62,MATCH($A160,Simulations!$A$3:$A$62,0)))^1.5+SQRT(LN($E160/INDEX(Simulations!$J$3:$J$62,MATCH($A160,Simulations!$A$3:$A$62,0))))+$E160/INDEX(Simulations!$J$3:$J$62,MATCH($A160,Simulations!$A$3:$A$62,0))*SQRT(PI())/2*ERFC(SQRT(LN($E160/INDEX(Simulations!$J$3:$J$62,MATCH($A160,Simulations!$A$3:$A$62,0)))))),PI()*INDEX(Simulations!$T$3:$T$62,MATCH($A160,Simulations!$A$3:$A$62,0))^2/2*(LN($E160/INDEX(Simulations!$J$3:$J$62,MATCH($A160,Simulations!$A$3:$A$62,0)))+1)))))</f>
        <v/>
      </c>
      <c r="R160" s="16" t="str">
        <f aca="false">IF(OR($A160="",ISNA(MATCH($A160,Simulations!$A$3:$A$62,0))),"",IF(N($F160)&lt;=0,0,IF($F160&lt;INDEX(Simulations!$J$3:$J$62,MATCH($A160,Simulations!$A$3:$A$62,0)),$D160/(INDEX(Simulations!$G$3:$G$62,MATCH($A160,Simulations!$A$3:$A$62,0))*INDEX(Simulations!$H$3:$H$62,MATCH($A160,Simulations!$A$3:$A$62,0))*IF(INDEX(Simulations!$I$3:$I$62,MATCH($A160,Simulations!$A$3:$A$62,0))&gt;0,INDEX(Simulations!$I$3:$I$62,MATCH($A160,Simulations!$A$3:$A$62,0)),1))*$F160*(PI()/2*INDEX(Simulations!$T$3:$T$62,MATCH($A160,Simulations!$A$3:$A$62,0))^2*IF(INDEX(Simulations!$I$3:$I$62,MATCH($A160,Simulations!$A$3:$A$62,0))&gt;0,SQRT(PI()/2)*INDEX(Simulations!$U$3:$U$62,MATCH($A160,Simulations!$A$3:$A$62,0)),1)),$D160/(INDEX(Simulations!$G$3:$G$62,MATCH($A160,Simulations!$A$3:$A$62,0))*INDEX(Simulations!$H$3:$H$62,MATCH($A160,Simulations!$A$3:$A$62,0))*IF(INDEX(Simulations!$I$3:$I$62,MATCH($A160,Simulations!$A$3:$A$62,0))&gt;0,INDEX(Simulations!$I$3:$I$62,MATCH($A160,Simulations!$A$3:$A$62,0)),1))*INDEX(Simulations!$J$3:$J$62,MATCH($A160,Simulations!$A$3:$A$62,0))*IF(INDEX(Simulations!$I$3:$I$62,MATCH($A160,Simulations!$A$3:$A$62,0))&gt;0,2*PI()*INDEX(Simulations!$T$3:$T$62,MATCH($A160,Simulations!$A$3:$A$62,0))^2*INDEX(Simulations!$U$3:$U$62,MATCH($A160,Simulations!$A$3:$A$62,0))/2^1.5*(2/3*LN($F160/INDEX(Simulations!$J$3:$J$62,MATCH($A160,Simulations!$A$3:$A$62,0)))^1.5+SQRT(LN($F160/INDEX(Simulations!$J$3:$J$62,MATCH($A160,Simulations!$A$3:$A$62,0))))+$F160/INDEX(Simulations!$J$3:$J$62,MATCH($A160,Simulations!$A$3:$A$62,0))*SQRT(PI())/2*ERFC(SQRT(LN($F160/INDEX(Simulations!$J$3:$J$62,MATCH($A160,Simulations!$A$3:$A$62,0)))))),PI()*INDEX(Simulations!$T$3:$T$62,MATCH($A160,Simulations!$A$3:$A$62,0))^2/2*(LN($F160/INDEX(Simulations!$J$3:$J$62,MATCH($A160,Simulations!$A$3:$A$62,0)))+1)))))</f>
        <v/>
      </c>
      <c r="S160" s="16" t="str">
        <f aca="false">IF(OR($A160="",ISNA(MATCH($A160,Simulations!$A$3:$A$62,0))),"",IF(N($G160)&lt;=0,0,IF($G160&lt;INDEX(Simulations!$J$3:$J$62,MATCH($A160,Simulations!$A$3:$A$62,0)),$D160/(INDEX(Simulations!$G$3:$G$62,MATCH($A160,Simulations!$A$3:$A$62,0))*INDEX(Simulations!$H$3:$H$62,MATCH($A160,Simulations!$A$3:$A$62,0))*IF(INDEX(Simulations!$I$3:$I$62,MATCH($A160,Simulations!$A$3:$A$62,0))&gt;0,INDEX(Simulations!$I$3:$I$62,MATCH($A160,Simulations!$A$3:$A$62,0)),1))*$G160*(PI()/2*INDEX(Simulations!$T$3:$T$62,MATCH($A160,Simulations!$A$3:$A$62,0))^2*IF(INDEX(Simulations!$I$3:$I$62,MATCH($A160,Simulations!$A$3:$A$62,0))&gt;0,SQRT(PI()/2)*INDEX(Simulations!$U$3:$U$62,MATCH($A160,Simulations!$A$3:$A$62,0)),1)),$D160/(INDEX(Simulations!$G$3:$G$62,MATCH($A160,Simulations!$A$3:$A$62,0))*INDEX(Simulations!$H$3:$H$62,MATCH($A160,Simulations!$A$3:$A$62,0))*IF(INDEX(Simulations!$I$3:$I$62,MATCH($A160,Simulations!$A$3:$A$62,0))&gt;0,INDEX(Simulations!$I$3:$I$62,MATCH($A160,Simulations!$A$3:$A$62,0)),1))*INDEX(Simulations!$J$3:$J$62,MATCH($A160,Simulations!$A$3:$A$62,0))*IF(INDEX(Simulations!$I$3:$I$62,MATCH($A160,Simulations!$A$3:$A$62,0))&gt;0,2*PI()*INDEX(Simulations!$T$3:$T$62,MATCH($A160,Simulations!$A$3:$A$62,0))^2*INDEX(Simulations!$U$3:$U$62,MATCH($A160,Simulations!$A$3:$A$62,0))/2^1.5*(2/3*LN($G160/INDEX(Simulations!$J$3:$J$62,MATCH($A160,Simulations!$A$3:$A$62,0)))^1.5+SQRT(LN($G160/INDEX(Simulations!$J$3:$J$62,MATCH($A160,Simulations!$A$3:$A$62,0))))+$G160/INDEX(Simulations!$J$3:$J$62,MATCH($A160,Simulations!$A$3:$A$62,0))*SQRT(PI())/2*ERFC(SQRT(LN($G160/INDEX(Simulations!$J$3:$J$62,MATCH($A160,Simulations!$A$3:$A$62,0)))))),PI()*INDEX(Simulations!$T$3:$T$62,MATCH($A160,Simulations!$A$3:$A$62,0))^2/2*(LN($G160/INDEX(Simulations!$J$3:$J$62,MATCH($A160,Simulations!$A$3:$A$62,0)))+1)))))</f>
        <v/>
      </c>
      <c r="T160" s="16" t="str">
        <f aca="false">IF(OR($A160="",ISNA(MATCH($A160,Simulations!$A$3:$A$62,0))),"",IF(N($H160)&lt;=0,0,IF($H160&lt;INDEX(Simulations!$J$3:$J$62,MATCH($A160,Simulations!$A$3:$A$62,0)),$D160/(INDEX(Simulations!$G$3:$G$62,MATCH($A160,Simulations!$A$3:$A$62,0))*INDEX(Simulations!$H$3:$H$62,MATCH($A160,Simulations!$A$3:$A$62,0))*IF(INDEX(Simulations!$I$3:$I$62,MATCH($A160,Simulations!$A$3:$A$62,0))&gt;0,INDEX(Simulations!$I$3:$I$62,MATCH($A160,Simulations!$A$3:$A$62,0)),1))*$H160*(PI()/2*INDEX(Simulations!$T$3:$T$62,MATCH($A160,Simulations!$A$3:$A$62,0))^2*IF(INDEX(Simulations!$I$3:$I$62,MATCH($A160,Simulations!$A$3:$A$62,0))&gt;0,SQRT(PI()/2)*INDEX(Simulations!$U$3:$U$62,MATCH($A160,Simulations!$A$3:$A$62,0)),1)),$D160/(INDEX(Simulations!$G$3:$G$62,MATCH($A160,Simulations!$A$3:$A$62,0))*INDEX(Simulations!$H$3:$H$62,MATCH($A160,Simulations!$A$3:$A$62,0))*IF(INDEX(Simulations!$I$3:$I$62,MATCH($A160,Simulations!$A$3:$A$62,0))&gt;0,INDEX(Simulations!$I$3:$I$62,MATCH($A160,Simulations!$A$3:$A$62,0)),1))*INDEX(Simulations!$J$3:$J$62,MATCH($A160,Simulations!$A$3:$A$62,0))*IF(INDEX(Simulations!$I$3:$I$62,MATCH($A160,Simulations!$A$3:$A$62,0))&gt;0,2*PI()*INDEX(Simulations!$T$3:$T$62,MATCH($A160,Simulations!$A$3:$A$62,0))^2*INDEX(Simulations!$U$3:$U$62,MATCH($A160,Simulations!$A$3:$A$62,0))/2^1.5*(2/3*LN($H160/INDEX(Simulations!$J$3:$J$62,MATCH($A160,Simulations!$A$3:$A$62,0)))^1.5+SQRT(LN($H160/INDEX(Simulations!$J$3:$J$62,MATCH($A160,Simulations!$A$3:$A$62,0))))+$H160/INDEX(Simulations!$J$3:$J$62,MATCH($A160,Simulations!$A$3:$A$62,0))*SQRT(PI())/2*ERFC(SQRT(LN($H160/INDEX(Simulations!$J$3:$J$62,MATCH($A160,Simulations!$A$3:$A$62,0)))))),PI()*INDEX(Simulations!$T$3:$T$62,MATCH($A160,Simulations!$A$3:$A$62,0))^2/2*(LN($H160/INDEX(Simulations!$J$3:$J$62,MATCH($A160,Simulations!$A$3:$A$62,0)))+1)))))</f>
        <v/>
      </c>
      <c r="U160" s="18" t="str">
        <f aca="false">IF(OR(OR($A160="",ISNA(MATCH($A160,Simulations!$A$3:$A$62,0))),N($C160)&lt;=0),"",SQRT(2*$C160*1000000/(INDEX(Simulations!$J$3:$J$62,MATCH($A160,Simulations!$A$3:$A$62,0))*1000))/INDEX(Simulations!$T$3:$T$62,MATCH($A160,Simulations!$A$3:$A$62,0)))</f>
        <v/>
      </c>
      <c r="V160" s="19" t="str">
        <f aca="false">IF($A160="","",IF(ISNA(MATCH($A160,Simulations!$A$3:$A$62,0)),"✖ Sim ID not found on the Simulations sheet",IF($P160&gt;=1,"✖ brightness &gt;= sampling frequency: completely saturated (D too small, c too large)",IF($P160&gt;0.1,"⚠ brightness &gt; 10% of the sampling frequency: focus starts to saturate",IF(N($U160)&gt;0.1,"⚠ diffusion step &gt; 10% of wr: raise the sampling frequency",IF(MAX($E160:$H160)=0,"⚠ no brightness set","✔ OK"))))))</f>
        <v/>
      </c>
    </row>
    <row r="161" customFormat="false" ht="15" hidden="false" customHeight="false" outlineLevel="0" collapsed="false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4"/>
      <c r="O161" s="18" t="str">
        <f aca="false">IF(OR($A161="",ISNA(MATCH($A161,Simulations!$A$3:$A$62,0))),"",IF(INDEX(Simulations!$I$3:$I$62,MATCH($A161,Simulations!$A$3:$A$62,0))&gt;0,$D161/(INDEX(Simulations!$G$3:$G$62,MATCH($A161,Simulations!$A$3:$A$62,0))*INDEX(Simulations!$H$3:$H$62,MATCH($A161,Simulations!$A$3:$A$62,0))*IF(INDEX(Simulations!$I$3:$I$62,MATCH($A161,Simulations!$A$3:$A$62,0))&gt;0,INDEX(Simulations!$I$3:$I$62,MATCH($A161,Simulations!$A$3:$A$62,0)),1))/1E-024/6.022E+023/0.000000001,""))</f>
        <v/>
      </c>
      <c r="P161" s="20" t="str">
        <f aca="false">IF(OR($A161="",ISNA(MATCH($A161,Simulations!$A$3:$A$62,0))),"",MAX($E161:$H161)/INDEX(Simulations!$J$3:$J$62,MATCH($A161,Simulations!$A$3:$A$62,0)))</f>
        <v/>
      </c>
      <c r="Q161" s="16" t="str">
        <f aca="false">IF(OR($A161="",ISNA(MATCH($A161,Simulations!$A$3:$A$62,0))),"",IF(N($E161)&lt;=0,0,IF($E161&lt;INDEX(Simulations!$J$3:$J$62,MATCH($A161,Simulations!$A$3:$A$62,0)),$D161/(INDEX(Simulations!$G$3:$G$62,MATCH($A161,Simulations!$A$3:$A$62,0))*INDEX(Simulations!$H$3:$H$62,MATCH($A161,Simulations!$A$3:$A$62,0))*IF(INDEX(Simulations!$I$3:$I$62,MATCH($A161,Simulations!$A$3:$A$62,0))&gt;0,INDEX(Simulations!$I$3:$I$62,MATCH($A161,Simulations!$A$3:$A$62,0)),1))*$E161*(PI()/2*INDEX(Simulations!$T$3:$T$62,MATCH($A161,Simulations!$A$3:$A$62,0))^2*IF(INDEX(Simulations!$I$3:$I$62,MATCH($A161,Simulations!$A$3:$A$62,0))&gt;0,SQRT(PI()/2)*INDEX(Simulations!$U$3:$U$62,MATCH($A161,Simulations!$A$3:$A$62,0)),1)),$D161/(INDEX(Simulations!$G$3:$G$62,MATCH($A161,Simulations!$A$3:$A$62,0))*INDEX(Simulations!$H$3:$H$62,MATCH($A161,Simulations!$A$3:$A$62,0))*IF(INDEX(Simulations!$I$3:$I$62,MATCH($A161,Simulations!$A$3:$A$62,0))&gt;0,INDEX(Simulations!$I$3:$I$62,MATCH($A161,Simulations!$A$3:$A$62,0)),1))*INDEX(Simulations!$J$3:$J$62,MATCH($A161,Simulations!$A$3:$A$62,0))*IF(INDEX(Simulations!$I$3:$I$62,MATCH($A161,Simulations!$A$3:$A$62,0))&gt;0,2*PI()*INDEX(Simulations!$T$3:$T$62,MATCH($A161,Simulations!$A$3:$A$62,0))^2*INDEX(Simulations!$U$3:$U$62,MATCH($A161,Simulations!$A$3:$A$62,0))/2^1.5*(2/3*LN($E161/INDEX(Simulations!$J$3:$J$62,MATCH($A161,Simulations!$A$3:$A$62,0)))^1.5+SQRT(LN($E161/INDEX(Simulations!$J$3:$J$62,MATCH($A161,Simulations!$A$3:$A$62,0))))+$E161/INDEX(Simulations!$J$3:$J$62,MATCH($A161,Simulations!$A$3:$A$62,0))*SQRT(PI())/2*ERFC(SQRT(LN($E161/INDEX(Simulations!$J$3:$J$62,MATCH($A161,Simulations!$A$3:$A$62,0)))))),PI()*INDEX(Simulations!$T$3:$T$62,MATCH($A161,Simulations!$A$3:$A$62,0))^2/2*(LN($E161/INDEX(Simulations!$J$3:$J$62,MATCH($A161,Simulations!$A$3:$A$62,0)))+1)))))</f>
        <v/>
      </c>
      <c r="R161" s="16" t="str">
        <f aca="false">IF(OR($A161="",ISNA(MATCH($A161,Simulations!$A$3:$A$62,0))),"",IF(N($F161)&lt;=0,0,IF($F161&lt;INDEX(Simulations!$J$3:$J$62,MATCH($A161,Simulations!$A$3:$A$62,0)),$D161/(INDEX(Simulations!$G$3:$G$62,MATCH($A161,Simulations!$A$3:$A$62,0))*INDEX(Simulations!$H$3:$H$62,MATCH($A161,Simulations!$A$3:$A$62,0))*IF(INDEX(Simulations!$I$3:$I$62,MATCH($A161,Simulations!$A$3:$A$62,0))&gt;0,INDEX(Simulations!$I$3:$I$62,MATCH($A161,Simulations!$A$3:$A$62,0)),1))*$F161*(PI()/2*INDEX(Simulations!$T$3:$T$62,MATCH($A161,Simulations!$A$3:$A$62,0))^2*IF(INDEX(Simulations!$I$3:$I$62,MATCH($A161,Simulations!$A$3:$A$62,0))&gt;0,SQRT(PI()/2)*INDEX(Simulations!$U$3:$U$62,MATCH($A161,Simulations!$A$3:$A$62,0)),1)),$D161/(INDEX(Simulations!$G$3:$G$62,MATCH($A161,Simulations!$A$3:$A$62,0))*INDEX(Simulations!$H$3:$H$62,MATCH($A161,Simulations!$A$3:$A$62,0))*IF(INDEX(Simulations!$I$3:$I$62,MATCH($A161,Simulations!$A$3:$A$62,0))&gt;0,INDEX(Simulations!$I$3:$I$62,MATCH($A161,Simulations!$A$3:$A$62,0)),1))*INDEX(Simulations!$J$3:$J$62,MATCH($A161,Simulations!$A$3:$A$62,0))*IF(INDEX(Simulations!$I$3:$I$62,MATCH($A161,Simulations!$A$3:$A$62,0))&gt;0,2*PI()*INDEX(Simulations!$T$3:$T$62,MATCH($A161,Simulations!$A$3:$A$62,0))^2*INDEX(Simulations!$U$3:$U$62,MATCH($A161,Simulations!$A$3:$A$62,0))/2^1.5*(2/3*LN($F161/INDEX(Simulations!$J$3:$J$62,MATCH($A161,Simulations!$A$3:$A$62,0)))^1.5+SQRT(LN($F161/INDEX(Simulations!$J$3:$J$62,MATCH($A161,Simulations!$A$3:$A$62,0))))+$F161/INDEX(Simulations!$J$3:$J$62,MATCH($A161,Simulations!$A$3:$A$62,0))*SQRT(PI())/2*ERFC(SQRT(LN($F161/INDEX(Simulations!$J$3:$J$62,MATCH($A161,Simulations!$A$3:$A$62,0)))))),PI()*INDEX(Simulations!$T$3:$T$62,MATCH($A161,Simulations!$A$3:$A$62,0))^2/2*(LN($F161/INDEX(Simulations!$J$3:$J$62,MATCH($A161,Simulations!$A$3:$A$62,0)))+1)))))</f>
        <v/>
      </c>
      <c r="S161" s="16" t="str">
        <f aca="false">IF(OR($A161="",ISNA(MATCH($A161,Simulations!$A$3:$A$62,0))),"",IF(N($G161)&lt;=0,0,IF($G161&lt;INDEX(Simulations!$J$3:$J$62,MATCH($A161,Simulations!$A$3:$A$62,0)),$D161/(INDEX(Simulations!$G$3:$G$62,MATCH($A161,Simulations!$A$3:$A$62,0))*INDEX(Simulations!$H$3:$H$62,MATCH($A161,Simulations!$A$3:$A$62,0))*IF(INDEX(Simulations!$I$3:$I$62,MATCH($A161,Simulations!$A$3:$A$62,0))&gt;0,INDEX(Simulations!$I$3:$I$62,MATCH($A161,Simulations!$A$3:$A$62,0)),1))*$G161*(PI()/2*INDEX(Simulations!$T$3:$T$62,MATCH($A161,Simulations!$A$3:$A$62,0))^2*IF(INDEX(Simulations!$I$3:$I$62,MATCH($A161,Simulations!$A$3:$A$62,0))&gt;0,SQRT(PI()/2)*INDEX(Simulations!$U$3:$U$62,MATCH($A161,Simulations!$A$3:$A$62,0)),1)),$D161/(INDEX(Simulations!$G$3:$G$62,MATCH($A161,Simulations!$A$3:$A$62,0))*INDEX(Simulations!$H$3:$H$62,MATCH($A161,Simulations!$A$3:$A$62,0))*IF(INDEX(Simulations!$I$3:$I$62,MATCH($A161,Simulations!$A$3:$A$62,0))&gt;0,INDEX(Simulations!$I$3:$I$62,MATCH($A161,Simulations!$A$3:$A$62,0)),1))*INDEX(Simulations!$J$3:$J$62,MATCH($A161,Simulations!$A$3:$A$62,0))*IF(INDEX(Simulations!$I$3:$I$62,MATCH($A161,Simulations!$A$3:$A$62,0))&gt;0,2*PI()*INDEX(Simulations!$T$3:$T$62,MATCH($A161,Simulations!$A$3:$A$62,0))^2*INDEX(Simulations!$U$3:$U$62,MATCH($A161,Simulations!$A$3:$A$62,0))/2^1.5*(2/3*LN($G161/INDEX(Simulations!$J$3:$J$62,MATCH($A161,Simulations!$A$3:$A$62,0)))^1.5+SQRT(LN($G161/INDEX(Simulations!$J$3:$J$62,MATCH($A161,Simulations!$A$3:$A$62,0))))+$G161/INDEX(Simulations!$J$3:$J$62,MATCH($A161,Simulations!$A$3:$A$62,0))*SQRT(PI())/2*ERFC(SQRT(LN($G161/INDEX(Simulations!$J$3:$J$62,MATCH($A161,Simulations!$A$3:$A$62,0)))))),PI()*INDEX(Simulations!$T$3:$T$62,MATCH($A161,Simulations!$A$3:$A$62,0))^2/2*(LN($G161/INDEX(Simulations!$J$3:$J$62,MATCH($A161,Simulations!$A$3:$A$62,0)))+1)))))</f>
        <v/>
      </c>
      <c r="T161" s="16" t="str">
        <f aca="false">IF(OR($A161="",ISNA(MATCH($A161,Simulations!$A$3:$A$62,0))),"",IF(N($H161)&lt;=0,0,IF($H161&lt;INDEX(Simulations!$J$3:$J$62,MATCH($A161,Simulations!$A$3:$A$62,0)),$D161/(INDEX(Simulations!$G$3:$G$62,MATCH($A161,Simulations!$A$3:$A$62,0))*INDEX(Simulations!$H$3:$H$62,MATCH($A161,Simulations!$A$3:$A$62,0))*IF(INDEX(Simulations!$I$3:$I$62,MATCH($A161,Simulations!$A$3:$A$62,0))&gt;0,INDEX(Simulations!$I$3:$I$62,MATCH($A161,Simulations!$A$3:$A$62,0)),1))*$H161*(PI()/2*INDEX(Simulations!$T$3:$T$62,MATCH($A161,Simulations!$A$3:$A$62,0))^2*IF(INDEX(Simulations!$I$3:$I$62,MATCH($A161,Simulations!$A$3:$A$62,0))&gt;0,SQRT(PI()/2)*INDEX(Simulations!$U$3:$U$62,MATCH($A161,Simulations!$A$3:$A$62,0)),1)),$D161/(INDEX(Simulations!$G$3:$G$62,MATCH($A161,Simulations!$A$3:$A$62,0))*INDEX(Simulations!$H$3:$H$62,MATCH($A161,Simulations!$A$3:$A$62,0))*IF(INDEX(Simulations!$I$3:$I$62,MATCH($A161,Simulations!$A$3:$A$62,0))&gt;0,INDEX(Simulations!$I$3:$I$62,MATCH($A161,Simulations!$A$3:$A$62,0)),1))*INDEX(Simulations!$J$3:$J$62,MATCH($A161,Simulations!$A$3:$A$62,0))*IF(INDEX(Simulations!$I$3:$I$62,MATCH($A161,Simulations!$A$3:$A$62,0))&gt;0,2*PI()*INDEX(Simulations!$T$3:$T$62,MATCH($A161,Simulations!$A$3:$A$62,0))^2*INDEX(Simulations!$U$3:$U$62,MATCH($A161,Simulations!$A$3:$A$62,0))/2^1.5*(2/3*LN($H161/INDEX(Simulations!$J$3:$J$62,MATCH($A161,Simulations!$A$3:$A$62,0)))^1.5+SQRT(LN($H161/INDEX(Simulations!$J$3:$J$62,MATCH($A161,Simulations!$A$3:$A$62,0))))+$H161/INDEX(Simulations!$J$3:$J$62,MATCH($A161,Simulations!$A$3:$A$62,0))*SQRT(PI())/2*ERFC(SQRT(LN($H161/INDEX(Simulations!$J$3:$J$62,MATCH($A161,Simulations!$A$3:$A$62,0)))))),PI()*INDEX(Simulations!$T$3:$T$62,MATCH($A161,Simulations!$A$3:$A$62,0))^2/2*(LN($H161/INDEX(Simulations!$J$3:$J$62,MATCH($A161,Simulations!$A$3:$A$62,0)))+1)))))</f>
        <v/>
      </c>
      <c r="U161" s="18" t="str">
        <f aca="false">IF(OR(OR($A161="",ISNA(MATCH($A161,Simulations!$A$3:$A$62,0))),N($C161)&lt;=0),"",SQRT(2*$C161*1000000/(INDEX(Simulations!$J$3:$J$62,MATCH($A161,Simulations!$A$3:$A$62,0))*1000))/INDEX(Simulations!$T$3:$T$62,MATCH($A161,Simulations!$A$3:$A$62,0)))</f>
        <v/>
      </c>
      <c r="V161" s="19" t="str">
        <f aca="false">IF($A161="","",IF(ISNA(MATCH($A161,Simulations!$A$3:$A$62,0)),"✖ Sim ID not found on the Simulations sheet",IF($P161&gt;=1,"✖ brightness &gt;= sampling frequency: completely saturated (D too small, c too large)",IF($P161&gt;0.1,"⚠ brightness &gt; 10% of the sampling frequency: focus starts to saturate",IF(N($U161)&gt;0.1,"⚠ diffusion step &gt; 10% of wr: raise the sampling frequency",IF(MAX($E161:$H161)=0,"⚠ no brightness set","✔ OK"))))))</f>
        <v/>
      </c>
    </row>
    <row r="162" customFormat="false" ht="15" hidden="false" customHeight="false" outlineLevel="0" collapsed="false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4"/>
      <c r="O162" s="18" t="str">
        <f aca="false">IF(OR($A162="",ISNA(MATCH($A162,Simulations!$A$3:$A$62,0))),"",IF(INDEX(Simulations!$I$3:$I$62,MATCH($A162,Simulations!$A$3:$A$62,0))&gt;0,$D162/(INDEX(Simulations!$G$3:$G$62,MATCH($A162,Simulations!$A$3:$A$62,0))*INDEX(Simulations!$H$3:$H$62,MATCH($A162,Simulations!$A$3:$A$62,0))*IF(INDEX(Simulations!$I$3:$I$62,MATCH($A162,Simulations!$A$3:$A$62,0))&gt;0,INDEX(Simulations!$I$3:$I$62,MATCH($A162,Simulations!$A$3:$A$62,0)),1))/1E-024/6.022E+023/0.000000001,""))</f>
        <v/>
      </c>
      <c r="P162" s="20" t="str">
        <f aca="false">IF(OR($A162="",ISNA(MATCH($A162,Simulations!$A$3:$A$62,0))),"",MAX($E162:$H162)/INDEX(Simulations!$J$3:$J$62,MATCH($A162,Simulations!$A$3:$A$62,0)))</f>
        <v/>
      </c>
      <c r="Q162" s="16" t="str">
        <f aca="false">IF(OR($A162="",ISNA(MATCH($A162,Simulations!$A$3:$A$62,0))),"",IF(N($E162)&lt;=0,0,IF($E162&lt;INDEX(Simulations!$J$3:$J$62,MATCH($A162,Simulations!$A$3:$A$62,0)),$D162/(INDEX(Simulations!$G$3:$G$62,MATCH($A162,Simulations!$A$3:$A$62,0))*INDEX(Simulations!$H$3:$H$62,MATCH($A162,Simulations!$A$3:$A$62,0))*IF(INDEX(Simulations!$I$3:$I$62,MATCH($A162,Simulations!$A$3:$A$62,0))&gt;0,INDEX(Simulations!$I$3:$I$62,MATCH($A162,Simulations!$A$3:$A$62,0)),1))*$E162*(PI()/2*INDEX(Simulations!$T$3:$T$62,MATCH($A162,Simulations!$A$3:$A$62,0))^2*IF(INDEX(Simulations!$I$3:$I$62,MATCH($A162,Simulations!$A$3:$A$62,0))&gt;0,SQRT(PI()/2)*INDEX(Simulations!$U$3:$U$62,MATCH($A162,Simulations!$A$3:$A$62,0)),1)),$D162/(INDEX(Simulations!$G$3:$G$62,MATCH($A162,Simulations!$A$3:$A$62,0))*INDEX(Simulations!$H$3:$H$62,MATCH($A162,Simulations!$A$3:$A$62,0))*IF(INDEX(Simulations!$I$3:$I$62,MATCH($A162,Simulations!$A$3:$A$62,0))&gt;0,INDEX(Simulations!$I$3:$I$62,MATCH($A162,Simulations!$A$3:$A$62,0)),1))*INDEX(Simulations!$J$3:$J$62,MATCH($A162,Simulations!$A$3:$A$62,0))*IF(INDEX(Simulations!$I$3:$I$62,MATCH($A162,Simulations!$A$3:$A$62,0))&gt;0,2*PI()*INDEX(Simulations!$T$3:$T$62,MATCH($A162,Simulations!$A$3:$A$62,0))^2*INDEX(Simulations!$U$3:$U$62,MATCH($A162,Simulations!$A$3:$A$62,0))/2^1.5*(2/3*LN($E162/INDEX(Simulations!$J$3:$J$62,MATCH($A162,Simulations!$A$3:$A$62,0)))^1.5+SQRT(LN($E162/INDEX(Simulations!$J$3:$J$62,MATCH($A162,Simulations!$A$3:$A$62,0))))+$E162/INDEX(Simulations!$J$3:$J$62,MATCH($A162,Simulations!$A$3:$A$62,0))*SQRT(PI())/2*ERFC(SQRT(LN($E162/INDEX(Simulations!$J$3:$J$62,MATCH($A162,Simulations!$A$3:$A$62,0)))))),PI()*INDEX(Simulations!$T$3:$T$62,MATCH($A162,Simulations!$A$3:$A$62,0))^2/2*(LN($E162/INDEX(Simulations!$J$3:$J$62,MATCH($A162,Simulations!$A$3:$A$62,0)))+1)))))</f>
        <v/>
      </c>
      <c r="R162" s="16" t="str">
        <f aca="false">IF(OR($A162="",ISNA(MATCH($A162,Simulations!$A$3:$A$62,0))),"",IF(N($F162)&lt;=0,0,IF($F162&lt;INDEX(Simulations!$J$3:$J$62,MATCH($A162,Simulations!$A$3:$A$62,0)),$D162/(INDEX(Simulations!$G$3:$G$62,MATCH($A162,Simulations!$A$3:$A$62,0))*INDEX(Simulations!$H$3:$H$62,MATCH($A162,Simulations!$A$3:$A$62,0))*IF(INDEX(Simulations!$I$3:$I$62,MATCH($A162,Simulations!$A$3:$A$62,0))&gt;0,INDEX(Simulations!$I$3:$I$62,MATCH($A162,Simulations!$A$3:$A$62,0)),1))*$F162*(PI()/2*INDEX(Simulations!$T$3:$T$62,MATCH($A162,Simulations!$A$3:$A$62,0))^2*IF(INDEX(Simulations!$I$3:$I$62,MATCH($A162,Simulations!$A$3:$A$62,0))&gt;0,SQRT(PI()/2)*INDEX(Simulations!$U$3:$U$62,MATCH($A162,Simulations!$A$3:$A$62,0)),1)),$D162/(INDEX(Simulations!$G$3:$G$62,MATCH($A162,Simulations!$A$3:$A$62,0))*INDEX(Simulations!$H$3:$H$62,MATCH($A162,Simulations!$A$3:$A$62,0))*IF(INDEX(Simulations!$I$3:$I$62,MATCH($A162,Simulations!$A$3:$A$62,0))&gt;0,INDEX(Simulations!$I$3:$I$62,MATCH($A162,Simulations!$A$3:$A$62,0)),1))*INDEX(Simulations!$J$3:$J$62,MATCH($A162,Simulations!$A$3:$A$62,0))*IF(INDEX(Simulations!$I$3:$I$62,MATCH($A162,Simulations!$A$3:$A$62,0))&gt;0,2*PI()*INDEX(Simulations!$T$3:$T$62,MATCH($A162,Simulations!$A$3:$A$62,0))^2*INDEX(Simulations!$U$3:$U$62,MATCH($A162,Simulations!$A$3:$A$62,0))/2^1.5*(2/3*LN($F162/INDEX(Simulations!$J$3:$J$62,MATCH($A162,Simulations!$A$3:$A$62,0)))^1.5+SQRT(LN($F162/INDEX(Simulations!$J$3:$J$62,MATCH($A162,Simulations!$A$3:$A$62,0))))+$F162/INDEX(Simulations!$J$3:$J$62,MATCH($A162,Simulations!$A$3:$A$62,0))*SQRT(PI())/2*ERFC(SQRT(LN($F162/INDEX(Simulations!$J$3:$J$62,MATCH($A162,Simulations!$A$3:$A$62,0)))))),PI()*INDEX(Simulations!$T$3:$T$62,MATCH($A162,Simulations!$A$3:$A$62,0))^2/2*(LN($F162/INDEX(Simulations!$J$3:$J$62,MATCH($A162,Simulations!$A$3:$A$62,0)))+1)))))</f>
        <v/>
      </c>
      <c r="S162" s="16" t="str">
        <f aca="false">IF(OR($A162="",ISNA(MATCH($A162,Simulations!$A$3:$A$62,0))),"",IF(N($G162)&lt;=0,0,IF($G162&lt;INDEX(Simulations!$J$3:$J$62,MATCH($A162,Simulations!$A$3:$A$62,0)),$D162/(INDEX(Simulations!$G$3:$G$62,MATCH($A162,Simulations!$A$3:$A$62,0))*INDEX(Simulations!$H$3:$H$62,MATCH($A162,Simulations!$A$3:$A$62,0))*IF(INDEX(Simulations!$I$3:$I$62,MATCH($A162,Simulations!$A$3:$A$62,0))&gt;0,INDEX(Simulations!$I$3:$I$62,MATCH($A162,Simulations!$A$3:$A$62,0)),1))*$G162*(PI()/2*INDEX(Simulations!$T$3:$T$62,MATCH($A162,Simulations!$A$3:$A$62,0))^2*IF(INDEX(Simulations!$I$3:$I$62,MATCH($A162,Simulations!$A$3:$A$62,0))&gt;0,SQRT(PI()/2)*INDEX(Simulations!$U$3:$U$62,MATCH($A162,Simulations!$A$3:$A$62,0)),1)),$D162/(INDEX(Simulations!$G$3:$G$62,MATCH($A162,Simulations!$A$3:$A$62,0))*INDEX(Simulations!$H$3:$H$62,MATCH($A162,Simulations!$A$3:$A$62,0))*IF(INDEX(Simulations!$I$3:$I$62,MATCH($A162,Simulations!$A$3:$A$62,0))&gt;0,INDEX(Simulations!$I$3:$I$62,MATCH($A162,Simulations!$A$3:$A$62,0)),1))*INDEX(Simulations!$J$3:$J$62,MATCH($A162,Simulations!$A$3:$A$62,0))*IF(INDEX(Simulations!$I$3:$I$62,MATCH($A162,Simulations!$A$3:$A$62,0))&gt;0,2*PI()*INDEX(Simulations!$T$3:$T$62,MATCH($A162,Simulations!$A$3:$A$62,0))^2*INDEX(Simulations!$U$3:$U$62,MATCH($A162,Simulations!$A$3:$A$62,0))/2^1.5*(2/3*LN($G162/INDEX(Simulations!$J$3:$J$62,MATCH($A162,Simulations!$A$3:$A$62,0)))^1.5+SQRT(LN($G162/INDEX(Simulations!$J$3:$J$62,MATCH($A162,Simulations!$A$3:$A$62,0))))+$G162/INDEX(Simulations!$J$3:$J$62,MATCH($A162,Simulations!$A$3:$A$62,0))*SQRT(PI())/2*ERFC(SQRT(LN($G162/INDEX(Simulations!$J$3:$J$62,MATCH($A162,Simulations!$A$3:$A$62,0)))))),PI()*INDEX(Simulations!$T$3:$T$62,MATCH($A162,Simulations!$A$3:$A$62,0))^2/2*(LN($G162/INDEX(Simulations!$J$3:$J$62,MATCH($A162,Simulations!$A$3:$A$62,0)))+1)))))</f>
        <v/>
      </c>
      <c r="T162" s="16" t="str">
        <f aca="false">IF(OR($A162="",ISNA(MATCH($A162,Simulations!$A$3:$A$62,0))),"",IF(N($H162)&lt;=0,0,IF($H162&lt;INDEX(Simulations!$J$3:$J$62,MATCH($A162,Simulations!$A$3:$A$62,0)),$D162/(INDEX(Simulations!$G$3:$G$62,MATCH($A162,Simulations!$A$3:$A$62,0))*INDEX(Simulations!$H$3:$H$62,MATCH($A162,Simulations!$A$3:$A$62,0))*IF(INDEX(Simulations!$I$3:$I$62,MATCH($A162,Simulations!$A$3:$A$62,0))&gt;0,INDEX(Simulations!$I$3:$I$62,MATCH($A162,Simulations!$A$3:$A$62,0)),1))*$H162*(PI()/2*INDEX(Simulations!$T$3:$T$62,MATCH($A162,Simulations!$A$3:$A$62,0))^2*IF(INDEX(Simulations!$I$3:$I$62,MATCH($A162,Simulations!$A$3:$A$62,0))&gt;0,SQRT(PI()/2)*INDEX(Simulations!$U$3:$U$62,MATCH($A162,Simulations!$A$3:$A$62,0)),1)),$D162/(INDEX(Simulations!$G$3:$G$62,MATCH($A162,Simulations!$A$3:$A$62,0))*INDEX(Simulations!$H$3:$H$62,MATCH($A162,Simulations!$A$3:$A$62,0))*IF(INDEX(Simulations!$I$3:$I$62,MATCH($A162,Simulations!$A$3:$A$62,0))&gt;0,INDEX(Simulations!$I$3:$I$62,MATCH($A162,Simulations!$A$3:$A$62,0)),1))*INDEX(Simulations!$J$3:$J$62,MATCH($A162,Simulations!$A$3:$A$62,0))*IF(INDEX(Simulations!$I$3:$I$62,MATCH($A162,Simulations!$A$3:$A$62,0))&gt;0,2*PI()*INDEX(Simulations!$T$3:$T$62,MATCH($A162,Simulations!$A$3:$A$62,0))^2*INDEX(Simulations!$U$3:$U$62,MATCH($A162,Simulations!$A$3:$A$62,0))/2^1.5*(2/3*LN($H162/INDEX(Simulations!$J$3:$J$62,MATCH($A162,Simulations!$A$3:$A$62,0)))^1.5+SQRT(LN($H162/INDEX(Simulations!$J$3:$J$62,MATCH($A162,Simulations!$A$3:$A$62,0))))+$H162/INDEX(Simulations!$J$3:$J$62,MATCH($A162,Simulations!$A$3:$A$62,0))*SQRT(PI())/2*ERFC(SQRT(LN($H162/INDEX(Simulations!$J$3:$J$62,MATCH($A162,Simulations!$A$3:$A$62,0)))))),PI()*INDEX(Simulations!$T$3:$T$62,MATCH($A162,Simulations!$A$3:$A$62,0))^2/2*(LN($H162/INDEX(Simulations!$J$3:$J$62,MATCH($A162,Simulations!$A$3:$A$62,0)))+1)))))</f>
        <v/>
      </c>
      <c r="U162" s="18" t="str">
        <f aca="false">IF(OR(OR($A162="",ISNA(MATCH($A162,Simulations!$A$3:$A$62,0))),N($C162)&lt;=0),"",SQRT(2*$C162*1000000/(INDEX(Simulations!$J$3:$J$62,MATCH($A162,Simulations!$A$3:$A$62,0))*1000))/INDEX(Simulations!$T$3:$T$62,MATCH($A162,Simulations!$A$3:$A$62,0)))</f>
        <v/>
      </c>
      <c r="V162" s="19" t="str">
        <f aca="false">IF($A162="","",IF(ISNA(MATCH($A162,Simulations!$A$3:$A$62,0)),"✖ Sim ID not found on the Simulations sheet",IF($P162&gt;=1,"✖ brightness &gt;= sampling frequency: completely saturated (D too small, c too large)",IF($P162&gt;0.1,"⚠ brightness &gt; 10% of the sampling frequency: focus starts to saturate",IF(N($U162)&gt;0.1,"⚠ diffusion step &gt; 10% of wr: raise the sampling frequency",IF(MAX($E162:$H162)=0,"⚠ no brightness set","✔ OK"))))))</f>
        <v/>
      </c>
    </row>
    <row r="163" customFormat="false" ht="15" hidden="false" customHeight="false" outlineLevel="0" collapsed="false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4"/>
      <c r="O163" s="18" t="str">
        <f aca="false">IF(OR($A163="",ISNA(MATCH($A163,Simulations!$A$3:$A$62,0))),"",IF(INDEX(Simulations!$I$3:$I$62,MATCH($A163,Simulations!$A$3:$A$62,0))&gt;0,$D163/(INDEX(Simulations!$G$3:$G$62,MATCH($A163,Simulations!$A$3:$A$62,0))*INDEX(Simulations!$H$3:$H$62,MATCH($A163,Simulations!$A$3:$A$62,0))*IF(INDEX(Simulations!$I$3:$I$62,MATCH($A163,Simulations!$A$3:$A$62,0))&gt;0,INDEX(Simulations!$I$3:$I$62,MATCH($A163,Simulations!$A$3:$A$62,0)),1))/1E-024/6.022E+023/0.000000001,""))</f>
        <v/>
      </c>
      <c r="P163" s="20" t="str">
        <f aca="false">IF(OR($A163="",ISNA(MATCH($A163,Simulations!$A$3:$A$62,0))),"",MAX($E163:$H163)/INDEX(Simulations!$J$3:$J$62,MATCH($A163,Simulations!$A$3:$A$62,0)))</f>
        <v/>
      </c>
      <c r="Q163" s="16" t="str">
        <f aca="false">IF(OR($A163="",ISNA(MATCH($A163,Simulations!$A$3:$A$62,0))),"",IF(N($E163)&lt;=0,0,IF($E163&lt;INDEX(Simulations!$J$3:$J$62,MATCH($A163,Simulations!$A$3:$A$62,0)),$D163/(INDEX(Simulations!$G$3:$G$62,MATCH($A163,Simulations!$A$3:$A$62,0))*INDEX(Simulations!$H$3:$H$62,MATCH($A163,Simulations!$A$3:$A$62,0))*IF(INDEX(Simulations!$I$3:$I$62,MATCH($A163,Simulations!$A$3:$A$62,0))&gt;0,INDEX(Simulations!$I$3:$I$62,MATCH($A163,Simulations!$A$3:$A$62,0)),1))*$E163*(PI()/2*INDEX(Simulations!$T$3:$T$62,MATCH($A163,Simulations!$A$3:$A$62,0))^2*IF(INDEX(Simulations!$I$3:$I$62,MATCH($A163,Simulations!$A$3:$A$62,0))&gt;0,SQRT(PI()/2)*INDEX(Simulations!$U$3:$U$62,MATCH($A163,Simulations!$A$3:$A$62,0)),1)),$D163/(INDEX(Simulations!$G$3:$G$62,MATCH($A163,Simulations!$A$3:$A$62,0))*INDEX(Simulations!$H$3:$H$62,MATCH($A163,Simulations!$A$3:$A$62,0))*IF(INDEX(Simulations!$I$3:$I$62,MATCH($A163,Simulations!$A$3:$A$62,0))&gt;0,INDEX(Simulations!$I$3:$I$62,MATCH($A163,Simulations!$A$3:$A$62,0)),1))*INDEX(Simulations!$J$3:$J$62,MATCH($A163,Simulations!$A$3:$A$62,0))*IF(INDEX(Simulations!$I$3:$I$62,MATCH($A163,Simulations!$A$3:$A$62,0))&gt;0,2*PI()*INDEX(Simulations!$T$3:$T$62,MATCH($A163,Simulations!$A$3:$A$62,0))^2*INDEX(Simulations!$U$3:$U$62,MATCH($A163,Simulations!$A$3:$A$62,0))/2^1.5*(2/3*LN($E163/INDEX(Simulations!$J$3:$J$62,MATCH($A163,Simulations!$A$3:$A$62,0)))^1.5+SQRT(LN($E163/INDEX(Simulations!$J$3:$J$62,MATCH($A163,Simulations!$A$3:$A$62,0))))+$E163/INDEX(Simulations!$J$3:$J$62,MATCH($A163,Simulations!$A$3:$A$62,0))*SQRT(PI())/2*ERFC(SQRT(LN($E163/INDEX(Simulations!$J$3:$J$62,MATCH($A163,Simulations!$A$3:$A$62,0)))))),PI()*INDEX(Simulations!$T$3:$T$62,MATCH($A163,Simulations!$A$3:$A$62,0))^2/2*(LN($E163/INDEX(Simulations!$J$3:$J$62,MATCH($A163,Simulations!$A$3:$A$62,0)))+1)))))</f>
        <v/>
      </c>
      <c r="R163" s="16" t="str">
        <f aca="false">IF(OR($A163="",ISNA(MATCH($A163,Simulations!$A$3:$A$62,0))),"",IF(N($F163)&lt;=0,0,IF($F163&lt;INDEX(Simulations!$J$3:$J$62,MATCH($A163,Simulations!$A$3:$A$62,0)),$D163/(INDEX(Simulations!$G$3:$G$62,MATCH($A163,Simulations!$A$3:$A$62,0))*INDEX(Simulations!$H$3:$H$62,MATCH($A163,Simulations!$A$3:$A$62,0))*IF(INDEX(Simulations!$I$3:$I$62,MATCH($A163,Simulations!$A$3:$A$62,0))&gt;0,INDEX(Simulations!$I$3:$I$62,MATCH($A163,Simulations!$A$3:$A$62,0)),1))*$F163*(PI()/2*INDEX(Simulations!$T$3:$T$62,MATCH($A163,Simulations!$A$3:$A$62,0))^2*IF(INDEX(Simulations!$I$3:$I$62,MATCH($A163,Simulations!$A$3:$A$62,0))&gt;0,SQRT(PI()/2)*INDEX(Simulations!$U$3:$U$62,MATCH($A163,Simulations!$A$3:$A$62,0)),1)),$D163/(INDEX(Simulations!$G$3:$G$62,MATCH($A163,Simulations!$A$3:$A$62,0))*INDEX(Simulations!$H$3:$H$62,MATCH($A163,Simulations!$A$3:$A$62,0))*IF(INDEX(Simulations!$I$3:$I$62,MATCH($A163,Simulations!$A$3:$A$62,0))&gt;0,INDEX(Simulations!$I$3:$I$62,MATCH($A163,Simulations!$A$3:$A$62,0)),1))*INDEX(Simulations!$J$3:$J$62,MATCH($A163,Simulations!$A$3:$A$62,0))*IF(INDEX(Simulations!$I$3:$I$62,MATCH($A163,Simulations!$A$3:$A$62,0))&gt;0,2*PI()*INDEX(Simulations!$T$3:$T$62,MATCH($A163,Simulations!$A$3:$A$62,0))^2*INDEX(Simulations!$U$3:$U$62,MATCH($A163,Simulations!$A$3:$A$62,0))/2^1.5*(2/3*LN($F163/INDEX(Simulations!$J$3:$J$62,MATCH($A163,Simulations!$A$3:$A$62,0)))^1.5+SQRT(LN($F163/INDEX(Simulations!$J$3:$J$62,MATCH($A163,Simulations!$A$3:$A$62,0))))+$F163/INDEX(Simulations!$J$3:$J$62,MATCH($A163,Simulations!$A$3:$A$62,0))*SQRT(PI())/2*ERFC(SQRT(LN($F163/INDEX(Simulations!$J$3:$J$62,MATCH($A163,Simulations!$A$3:$A$62,0)))))),PI()*INDEX(Simulations!$T$3:$T$62,MATCH($A163,Simulations!$A$3:$A$62,0))^2/2*(LN($F163/INDEX(Simulations!$J$3:$J$62,MATCH($A163,Simulations!$A$3:$A$62,0)))+1)))))</f>
        <v/>
      </c>
      <c r="S163" s="16" t="str">
        <f aca="false">IF(OR($A163="",ISNA(MATCH($A163,Simulations!$A$3:$A$62,0))),"",IF(N($G163)&lt;=0,0,IF($G163&lt;INDEX(Simulations!$J$3:$J$62,MATCH($A163,Simulations!$A$3:$A$62,0)),$D163/(INDEX(Simulations!$G$3:$G$62,MATCH($A163,Simulations!$A$3:$A$62,0))*INDEX(Simulations!$H$3:$H$62,MATCH($A163,Simulations!$A$3:$A$62,0))*IF(INDEX(Simulations!$I$3:$I$62,MATCH($A163,Simulations!$A$3:$A$62,0))&gt;0,INDEX(Simulations!$I$3:$I$62,MATCH($A163,Simulations!$A$3:$A$62,0)),1))*$G163*(PI()/2*INDEX(Simulations!$T$3:$T$62,MATCH($A163,Simulations!$A$3:$A$62,0))^2*IF(INDEX(Simulations!$I$3:$I$62,MATCH($A163,Simulations!$A$3:$A$62,0))&gt;0,SQRT(PI()/2)*INDEX(Simulations!$U$3:$U$62,MATCH($A163,Simulations!$A$3:$A$62,0)),1)),$D163/(INDEX(Simulations!$G$3:$G$62,MATCH($A163,Simulations!$A$3:$A$62,0))*INDEX(Simulations!$H$3:$H$62,MATCH($A163,Simulations!$A$3:$A$62,0))*IF(INDEX(Simulations!$I$3:$I$62,MATCH($A163,Simulations!$A$3:$A$62,0))&gt;0,INDEX(Simulations!$I$3:$I$62,MATCH($A163,Simulations!$A$3:$A$62,0)),1))*INDEX(Simulations!$J$3:$J$62,MATCH($A163,Simulations!$A$3:$A$62,0))*IF(INDEX(Simulations!$I$3:$I$62,MATCH($A163,Simulations!$A$3:$A$62,0))&gt;0,2*PI()*INDEX(Simulations!$T$3:$T$62,MATCH($A163,Simulations!$A$3:$A$62,0))^2*INDEX(Simulations!$U$3:$U$62,MATCH($A163,Simulations!$A$3:$A$62,0))/2^1.5*(2/3*LN($G163/INDEX(Simulations!$J$3:$J$62,MATCH($A163,Simulations!$A$3:$A$62,0)))^1.5+SQRT(LN($G163/INDEX(Simulations!$J$3:$J$62,MATCH($A163,Simulations!$A$3:$A$62,0))))+$G163/INDEX(Simulations!$J$3:$J$62,MATCH($A163,Simulations!$A$3:$A$62,0))*SQRT(PI())/2*ERFC(SQRT(LN($G163/INDEX(Simulations!$J$3:$J$62,MATCH($A163,Simulations!$A$3:$A$62,0)))))),PI()*INDEX(Simulations!$T$3:$T$62,MATCH($A163,Simulations!$A$3:$A$62,0))^2/2*(LN($G163/INDEX(Simulations!$J$3:$J$62,MATCH($A163,Simulations!$A$3:$A$62,0)))+1)))))</f>
        <v/>
      </c>
      <c r="T163" s="16" t="str">
        <f aca="false">IF(OR($A163="",ISNA(MATCH($A163,Simulations!$A$3:$A$62,0))),"",IF(N($H163)&lt;=0,0,IF($H163&lt;INDEX(Simulations!$J$3:$J$62,MATCH($A163,Simulations!$A$3:$A$62,0)),$D163/(INDEX(Simulations!$G$3:$G$62,MATCH($A163,Simulations!$A$3:$A$62,0))*INDEX(Simulations!$H$3:$H$62,MATCH($A163,Simulations!$A$3:$A$62,0))*IF(INDEX(Simulations!$I$3:$I$62,MATCH($A163,Simulations!$A$3:$A$62,0))&gt;0,INDEX(Simulations!$I$3:$I$62,MATCH($A163,Simulations!$A$3:$A$62,0)),1))*$H163*(PI()/2*INDEX(Simulations!$T$3:$T$62,MATCH($A163,Simulations!$A$3:$A$62,0))^2*IF(INDEX(Simulations!$I$3:$I$62,MATCH($A163,Simulations!$A$3:$A$62,0))&gt;0,SQRT(PI()/2)*INDEX(Simulations!$U$3:$U$62,MATCH($A163,Simulations!$A$3:$A$62,0)),1)),$D163/(INDEX(Simulations!$G$3:$G$62,MATCH($A163,Simulations!$A$3:$A$62,0))*INDEX(Simulations!$H$3:$H$62,MATCH($A163,Simulations!$A$3:$A$62,0))*IF(INDEX(Simulations!$I$3:$I$62,MATCH($A163,Simulations!$A$3:$A$62,0))&gt;0,INDEX(Simulations!$I$3:$I$62,MATCH($A163,Simulations!$A$3:$A$62,0)),1))*INDEX(Simulations!$J$3:$J$62,MATCH($A163,Simulations!$A$3:$A$62,0))*IF(INDEX(Simulations!$I$3:$I$62,MATCH($A163,Simulations!$A$3:$A$62,0))&gt;0,2*PI()*INDEX(Simulations!$T$3:$T$62,MATCH($A163,Simulations!$A$3:$A$62,0))^2*INDEX(Simulations!$U$3:$U$62,MATCH($A163,Simulations!$A$3:$A$62,0))/2^1.5*(2/3*LN($H163/INDEX(Simulations!$J$3:$J$62,MATCH($A163,Simulations!$A$3:$A$62,0)))^1.5+SQRT(LN($H163/INDEX(Simulations!$J$3:$J$62,MATCH($A163,Simulations!$A$3:$A$62,0))))+$H163/INDEX(Simulations!$J$3:$J$62,MATCH($A163,Simulations!$A$3:$A$62,0))*SQRT(PI())/2*ERFC(SQRT(LN($H163/INDEX(Simulations!$J$3:$J$62,MATCH($A163,Simulations!$A$3:$A$62,0)))))),PI()*INDEX(Simulations!$T$3:$T$62,MATCH($A163,Simulations!$A$3:$A$62,0))^2/2*(LN($H163/INDEX(Simulations!$J$3:$J$62,MATCH($A163,Simulations!$A$3:$A$62,0)))+1)))))</f>
        <v/>
      </c>
      <c r="U163" s="18" t="str">
        <f aca="false">IF(OR(OR($A163="",ISNA(MATCH($A163,Simulations!$A$3:$A$62,0))),N($C163)&lt;=0),"",SQRT(2*$C163*1000000/(INDEX(Simulations!$J$3:$J$62,MATCH($A163,Simulations!$A$3:$A$62,0))*1000))/INDEX(Simulations!$T$3:$T$62,MATCH($A163,Simulations!$A$3:$A$62,0)))</f>
        <v/>
      </c>
      <c r="V163" s="19" t="str">
        <f aca="false">IF($A163="","",IF(ISNA(MATCH($A163,Simulations!$A$3:$A$62,0)),"✖ Sim ID not found on the Simulations sheet",IF($P163&gt;=1,"✖ brightness &gt;= sampling frequency: completely saturated (D too small, c too large)",IF($P163&gt;0.1,"⚠ brightness &gt; 10% of the sampling frequency: focus starts to saturate",IF(N($U163)&gt;0.1,"⚠ diffusion step &gt; 10% of wr: raise the sampling frequency",IF(MAX($E163:$H163)=0,"⚠ no brightness set","✔ OK"))))))</f>
        <v/>
      </c>
    </row>
    <row r="164" customFormat="false" ht="15" hidden="false" customHeight="false" outlineLevel="0" collapsed="false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4"/>
      <c r="O164" s="18" t="str">
        <f aca="false">IF(OR($A164="",ISNA(MATCH($A164,Simulations!$A$3:$A$62,0))),"",IF(INDEX(Simulations!$I$3:$I$62,MATCH($A164,Simulations!$A$3:$A$62,0))&gt;0,$D164/(INDEX(Simulations!$G$3:$G$62,MATCH($A164,Simulations!$A$3:$A$62,0))*INDEX(Simulations!$H$3:$H$62,MATCH($A164,Simulations!$A$3:$A$62,0))*IF(INDEX(Simulations!$I$3:$I$62,MATCH($A164,Simulations!$A$3:$A$62,0))&gt;0,INDEX(Simulations!$I$3:$I$62,MATCH($A164,Simulations!$A$3:$A$62,0)),1))/1E-024/6.022E+023/0.000000001,""))</f>
        <v/>
      </c>
      <c r="P164" s="20" t="str">
        <f aca="false">IF(OR($A164="",ISNA(MATCH($A164,Simulations!$A$3:$A$62,0))),"",MAX($E164:$H164)/INDEX(Simulations!$J$3:$J$62,MATCH($A164,Simulations!$A$3:$A$62,0)))</f>
        <v/>
      </c>
      <c r="Q164" s="16" t="str">
        <f aca="false">IF(OR($A164="",ISNA(MATCH($A164,Simulations!$A$3:$A$62,0))),"",IF(N($E164)&lt;=0,0,IF($E164&lt;INDEX(Simulations!$J$3:$J$62,MATCH($A164,Simulations!$A$3:$A$62,0)),$D164/(INDEX(Simulations!$G$3:$G$62,MATCH($A164,Simulations!$A$3:$A$62,0))*INDEX(Simulations!$H$3:$H$62,MATCH($A164,Simulations!$A$3:$A$62,0))*IF(INDEX(Simulations!$I$3:$I$62,MATCH($A164,Simulations!$A$3:$A$62,0))&gt;0,INDEX(Simulations!$I$3:$I$62,MATCH($A164,Simulations!$A$3:$A$62,0)),1))*$E164*(PI()/2*INDEX(Simulations!$T$3:$T$62,MATCH($A164,Simulations!$A$3:$A$62,0))^2*IF(INDEX(Simulations!$I$3:$I$62,MATCH($A164,Simulations!$A$3:$A$62,0))&gt;0,SQRT(PI()/2)*INDEX(Simulations!$U$3:$U$62,MATCH($A164,Simulations!$A$3:$A$62,0)),1)),$D164/(INDEX(Simulations!$G$3:$G$62,MATCH($A164,Simulations!$A$3:$A$62,0))*INDEX(Simulations!$H$3:$H$62,MATCH($A164,Simulations!$A$3:$A$62,0))*IF(INDEX(Simulations!$I$3:$I$62,MATCH($A164,Simulations!$A$3:$A$62,0))&gt;0,INDEX(Simulations!$I$3:$I$62,MATCH($A164,Simulations!$A$3:$A$62,0)),1))*INDEX(Simulations!$J$3:$J$62,MATCH($A164,Simulations!$A$3:$A$62,0))*IF(INDEX(Simulations!$I$3:$I$62,MATCH($A164,Simulations!$A$3:$A$62,0))&gt;0,2*PI()*INDEX(Simulations!$T$3:$T$62,MATCH($A164,Simulations!$A$3:$A$62,0))^2*INDEX(Simulations!$U$3:$U$62,MATCH($A164,Simulations!$A$3:$A$62,0))/2^1.5*(2/3*LN($E164/INDEX(Simulations!$J$3:$J$62,MATCH($A164,Simulations!$A$3:$A$62,0)))^1.5+SQRT(LN($E164/INDEX(Simulations!$J$3:$J$62,MATCH($A164,Simulations!$A$3:$A$62,0))))+$E164/INDEX(Simulations!$J$3:$J$62,MATCH($A164,Simulations!$A$3:$A$62,0))*SQRT(PI())/2*ERFC(SQRT(LN($E164/INDEX(Simulations!$J$3:$J$62,MATCH($A164,Simulations!$A$3:$A$62,0)))))),PI()*INDEX(Simulations!$T$3:$T$62,MATCH($A164,Simulations!$A$3:$A$62,0))^2/2*(LN($E164/INDEX(Simulations!$J$3:$J$62,MATCH($A164,Simulations!$A$3:$A$62,0)))+1)))))</f>
        <v/>
      </c>
      <c r="R164" s="16" t="str">
        <f aca="false">IF(OR($A164="",ISNA(MATCH($A164,Simulations!$A$3:$A$62,0))),"",IF(N($F164)&lt;=0,0,IF($F164&lt;INDEX(Simulations!$J$3:$J$62,MATCH($A164,Simulations!$A$3:$A$62,0)),$D164/(INDEX(Simulations!$G$3:$G$62,MATCH($A164,Simulations!$A$3:$A$62,0))*INDEX(Simulations!$H$3:$H$62,MATCH($A164,Simulations!$A$3:$A$62,0))*IF(INDEX(Simulations!$I$3:$I$62,MATCH($A164,Simulations!$A$3:$A$62,0))&gt;0,INDEX(Simulations!$I$3:$I$62,MATCH($A164,Simulations!$A$3:$A$62,0)),1))*$F164*(PI()/2*INDEX(Simulations!$T$3:$T$62,MATCH($A164,Simulations!$A$3:$A$62,0))^2*IF(INDEX(Simulations!$I$3:$I$62,MATCH($A164,Simulations!$A$3:$A$62,0))&gt;0,SQRT(PI()/2)*INDEX(Simulations!$U$3:$U$62,MATCH($A164,Simulations!$A$3:$A$62,0)),1)),$D164/(INDEX(Simulations!$G$3:$G$62,MATCH($A164,Simulations!$A$3:$A$62,0))*INDEX(Simulations!$H$3:$H$62,MATCH($A164,Simulations!$A$3:$A$62,0))*IF(INDEX(Simulations!$I$3:$I$62,MATCH($A164,Simulations!$A$3:$A$62,0))&gt;0,INDEX(Simulations!$I$3:$I$62,MATCH($A164,Simulations!$A$3:$A$62,0)),1))*INDEX(Simulations!$J$3:$J$62,MATCH($A164,Simulations!$A$3:$A$62,0))*IF(INDEX(Simulations!$I$3:$I$62,MATCH($A164,Simulations!$A$3:$A$62,0))&gt;0,2*PI()*INDEX(Simulations!$T$3:$T$62,MATCH($A164,Simulations!$A$3:$A$62,0))^2*INDEX(Simulations!$U$3:$U$62,MATCH($A164,Simulations!$A$3:$A$62,0))/2^1.5*(2/3*LN($F164/INDEX(Simulations!$J$3:$J$62,MATCH($A164,Simulations!$A$3:$A$62,0)))^1.5+SQRT(LN($F164/INDEX(Simulations!$J$3:$J$62,MATCH($A164,Simulations!$A$3:$A$62,0))))+$F164/INDEX(Simulations!$J$3:$J$62,MATCH($A164,Simulations!$A$3:$A$62,0))*SQRT(PI())/2*ERFC(SQRT(LN($F164/INDEX(Simulations!$J$3:$J$62,MATCH($A164,Simulations!$A$3:$A$62,0)))))),PI()*INDEX(Simulations!$T$3:$T$62,MATCH($A164,Simulations!$A$3:$A$62,0))^2/2*(LN($F164/INDEX(Simulations!$J$3:$J$62,MATCH($A164,Simulations!$A$3:$A$62,0)))+1)))))</f>
        <v/>
      </c>
      <c r="S164" s="16" t="str">
        <f aca="false">IF(OR($A164="",ISNA(MATCH($A164,Simulations!$A$3:$A$62,0))),"",IF(N($G164)&lt;=0,0,IF($G164&lt;INDEX(Simulations!$J$3:$J$62,MATCH($A164,Simulations!$A$3:$A$62,0)),$D164/(INDEX(Simulations!$G$3:$G$62,MATCH($A164,Simulations!$A$3:$A$62,0))*INDEX(Simulations!$H$3:$H$62,MATCH($A164,Simulations!$A$3:$A$62,0))*IF(INDEX(Simulations!$I$3:$I$62,MATCH($A164,Simulations!$A$3:$A$62,0))&gt;0,INDEX(Simulations!$I$3:$I$62,MATCH($A164,Simulations!$A$3:$A$62,0)),1))*$G164*(PI()/2*INDEX(Simulations!$T$3:$T$62,MATCH($A164,Simulations!$A$3:$A$62,0))^2*IF(INDEX(Simulations!$I$3:$I$62,MATCH($A164,Simulations!$A$3:$A$62,0))&gt;0,SQRT(PI()/2)*INDEX(Simulations!$U$3:$U$62,MATCH($A164,Simulations!$A$3:$A$62,0)),1)),$D164/(INDEX(Simulations!$G$3:$G$62,MATCH($A164,Simulations!$A$3:$A$62,0))*INDEX(Simulations!$H$3:$H$62,MATCH($A164,Simulations!$A$3:$A$62,0))*IF(INDEX(Simulations!$I$3:$I$62,MATCH($A164,Simulations!$A$3:$A$62,0))&gt;0,INDEX(Simulations!$I$3:$I$62,MATCH($A164,Simulations!$A$3:$A$62,0)),1))*INDEX(Simulations!$J$3:$J$62,MATCH($A164,Simulations!$A$3:$A$62,0))*IF(INDEX(Simulations!$I$3:$I$62,MATCH($A164,Simulations!$A$3:$A$62,0))&gt;0,2*PI()*INDEX(Simulations!$T$3:$T$62,MATCH($A164,Simulations!$A$3:$A$62,0))^2*INDEX(Simulations!$U$3:$U$62,MATCH($A164,Simulations!$A$3:$A$62,0))/2^1.5*(2/3*LN($G164/INDEX(Simulations!$J$3:$J$62,MATCH($A164,Simulations!$A$3:$A$62,0)))^1.5+SQRT(LN($G164/INDEX(Simulations!$J$3:$J$62,MATCH($A164,Simulations!$A$3:$A$62,0))))+$G164/INDEX(Simulations!$J$3:$J$62,MATCH($A164,Simulations!$A$3:$A$62,0))*SQRT(PI())/2*ERFC(SQRT(LN($G164/INDEX(Simulations!$J$3:$J$62,MATCH($A164,Simulations!$A$3:$A$62,0)))))),PI()*INDEX(Simulations!$T$3:$T$62,MATCH($A164,Simulations!$A$3:$A$62,0))^2/2*(LN($G164/INDEX(Simulations!$J$3:$J$62,MATCH($A164,Simulations!$A$3:$A$62,0)))+1)))))</f>
        <v/>
      </c>
      <c r="T164" s="16" t="str">
        <f aca="false">IF(OR($A164="",ISNA(MATCH($A164,Simulations!$A$3:$A$62,0))),"",IF(N($H164)&lt;=0,0,IF($H164&lt;INDEX(Simulations!$J$3:$J$62,MATCH($A164,Simulations!$A$3:$A$62,0)),$D164/(INDEX(Simulations!$G$3:$G$62,MATCH($A164,Simulations!$A$3:$A$62,0))*INDEX(Simulations!$H$3:$H$62,MATCH($A164,Simulations!$A$3:$A$62,0))*IF(INDEX(Simulations!$I$3:$I$62,MATCH($A164,Simulations!$A$3:$A$62,0))&gt;0,INDEX(Simulations!$I$3:$I$62,MATCH($A164,Simulations!$A$3:$A$62,0)),1))*$H164*(PI()/2*INDEX(Simulations!$T$3:$T$62,MATCH($A164,Simulations!$A$3:$A$62,0))^2*IF(INDEX(Simulations!$I$3:$I$62,MATCH($A164,Simulations!$A$3:$A$62,0))&gt;0,SQRT(PI()/2)*INDEX(Simulations!$U$3:$U$62,MATCH($A164,Simulations!$A$3:$A$62,0)),1)),$D164/(INDEX(Simulations!$G$3:$G$62,MATCH($A164,Simulations!$A$3:$A$62,0))*INDEX(Simulations!$H$3:$H$62,MATCH($A164,Simulations!$A$3:$A$62,0))*IF(INDEX(Simulations!$I$3:$I$62,MATCH($A164,Simulations!$A$3:$A$62,0))&gt;0,INDEX(Simulations!$I$3:$I$62,MATCH($A164,Simulations!$A$3:$A$62,0)),1))*INDEX(Simulations!$J$3:$J$62,MATCH($A164,Simulations!$A$3:$A$62,0))*IF(INDEX(Simulations!$I$3:$I$62,MATCH($A164,Simulations!$A$3:$A$62,0))&gt;0,2*PI()*INDEX(Simulations!$T$3:$T$62,MATCH($A164,Simulations!$A$3:$A$62,0))^2*INDEX(Simulations!$U$3:$U$62,MATCH($A164,Simulations!$A$3:$A$62,0))/2^1.5*(2/3*LN($H164/INDEX(Simulations!$J$3:$J$62,MATCH($A164,Simulations!$A$3:$A$62,0)))^1.5+SQRT(LN($H164/INDEX(Simulations!$J$3:$J$62,MATCH($A164,Simulations!$A$3:$A$62,0))))+$H164/INDEX(Simulations!$J$3:$J$62,MATCH($A164,Simulations!$A$3:$A$62,0))*SQRT(PI())/2*ERFC(SQRT(LN($H164/INDEX(Simulations!$J$3:$J$62,MATCH($A164,Simulations!$A$3:$A$62,0)))))),PI()*INDEX(Simulations!$T$3:$T$62,MATCH($A164,Simulations!$A$3:$A$62,0))^2/2*(LN($H164/INDEX(Simulations!$J$3:$J$62,MATCH($A164,Simulations!$A$3:$A$62,0)))+1)))))</f>
        <v/>
      </c>
      <c r="U164" s="18" t="str">
        <f aca="false">IF(OR(OR($A164="",ISNA(MATCH($A164,Simulations!$A$3:$A$62,0))),N($C164)&lt;=0),"",SQRT(2*$C164*1000000/(INDEX(Simulations!$J$3:$J$62,MATCH($A164,Simulations!$A$3:$A$62,0))*1000))/INDEX(Simulations!$T$3:$T$62,MATCH($A164,Simulations!$A$3:$A$62,0)))</f>
        <v/>
      </c>
      <c r="V164" s="19" t="str">
        <f aca="false">IF($A164="","",IF(ISNA(MATCH($A164,Simulations!$A$3:$A$62,0)),"✖ Sim ID not found on the Simulations sheet",IF($P164&gt;=1,"✖ brightness &gt;= sampling frequency: completely saturated (D too small, c too large)",IF($P164&gt;0.1,"⚠ brightness &gt; 10% of the sampling frequency: focus starts to saturate",IF(N($U164)&gt;0.1,"⚠ diffusion step &gt; 10% of wr: raise the sampling frequency",IF(MAX($E164:$H164)=0,"⚠ no brightness set","✔ OK"))))))</f>
        <v/>
      </c>
    </row>
    <row r="165" customFormat="false" ht="15" hidden="false" customHeight="false" outlineLevel="0" collapsed="false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4"/>
      <c r="O165" s="18" t="str">
        <f aca="false">IF(OR($A165="",ISNA(MATCH($A165,Simulations!$A$3:$A$62,0))),"",IF(INDEX(Simulations!$I$3:$I$62,MATCH($A165,Simulations!$A$3:$A$62,0))&gt;0,$D165/(INDEX(Simulations!$G$3:$G$62,MATCH($A165,Simulations!$A$3:$A$62,0))*INDEX(Simulations!$H$3:$H$62,MATCH($A165,Simulations!$A$3:$A$62,0))*IF(INDEX(Simulations!$I$3:$I$62,MATCH($A165,Simulations!$A$3:$A$62,0))&gt;0,INDEX(Simulations!$I$3:$I$62,MATCH($A165,Simulations!$A$3:$A$62,0)),1))/1E-024/6.022E+023/0.000000001,""))</f>
        <v/>
      </c>
      <c r="P165" s="20" t="str">
        <f aca="false">IF(OR($A165="",ISNA(MATCH($A165,Simulations!$A$3:$A$62,0))),"",MAX($E165:$H165)/INDEX(Simulations!$J$3:$J$62,MATCH($A165,Simulations!$A$3:$A$62,0)))</f>
        <v/>
      </c>
      <c r="Q165" s="16" t="str">
        <f aca="false">IF(OR($A165="",ISNA(MATCH($A165,Simulations!$A$3:$A$62,0))),"",IF(N($E165)&lt;=0,0,IF($E165&lt;INDEX(Simulations!$J$3:$J$62,MATCH($A165,Simulations!$A$3:$A$62,0)),$D165/(INDEX(Simulations!$G$3:$G$62,MATCH($A165,Simulations!$A$3:$A$62,0))*INDEX(Simulations!$H$3:$H$62,MATCH($A165,Simulations!$A$3:$A$62,0))*IF(INDEX(Simulations!$I$3:$I$62,MATCH($A165,Simulations!$A$3:$A$62,0))&gt;0,INDEX(Simulations!$I$3:$I$62,MATCH($A165,Simulations!$A$3:$A$62,0)),1))*$E165*(PI()/2*INDEX(Simulations!$T$3:$T$62,MATCH($A165,Simulations!$A$3:$A$62,0))^2*IF(INDEX(Simulations!$I$3:$I$62,MATCH($A165,Simulations!$A$3:$A$62,0))&gt;0,SQRT(PI()/2)*INDEX(Simulations!$U$3:$U$62,MATCH($A165,Simulations!$A$3:$A$62,0)),1)),$D165/(INDEX(Simulations!$G$3:$G$62,MATCH($A165,Simulations!$A$3:$A$62,0))*INDEX(Simulations!$H$3:$H$62,MATCH($A165,Simulations!$A$3:$A$62,0))*IF(INDEX(Simulations!$I$3:$I$62,MATCH($A165,Simulations!$A$3:$A$62,0))&gt;0,INDEX(Simulations!$I$3:$I$62,MATCH($A165,Simulations!$A$3:$A$62,0)),1))*INDEX(Simulations!$J$3:$J$62,MATCH($A165,Simulations!$A$3:$A$62,0))*IF(INDEX(Simulations!$I$3:$I$62,MATCH($A165,Simulations!$A$3:$A$62,0))&gt;0,2*PI()*INDEX(Simulations!$T$3:$T$62,MATCH($A165,Simulations!$A$3:$A$62,0))^2*INDEX(Simulations!$U$3:$U$62,MATCH($A165,Simulations!$A$3:$A$62,0))/2^1.5*(2/3*LN($E165/INDEX(Simulations!$J$3:$J$62,MATCH($A165,Simulations!$A$3:$A$62,0)))^1.5+SQRT(LN($E165/INDEX(Simulations!$J$3:$J$62,MATCH($A165,Simulations!$A$3:$A$62,0))))+$E165/INDEX(Simulations!$J$3:$J$62,MATCH($A165,Simulations!$A$3:$A$62,0))*SQRT(PI())/2*ERFC(SQRT(LN($E165/INDEX(Simulations!$J$3:$J$62,MATCH($A165,Simulations!$A$3:$A$62,0)))))),PI()*INDEX(Simulations!$T$3:$T$62,MATCH($A165,Simulations!$A$3:$A$62,0))^2/2*(LN($E165/INDEX(Simulations!$J$3:$J$62,MATCH($A165,Simulations!$A$3:$A$62,0)))+1)))))</f>
        <v/>
      </c>
      <c r="R165" s="16" t="str">
        <f aca="false">IF(OR($A165="",ISNA(MATCH($A165,Simulations!$A$3:$A$62,0))),"",IF(N($F165)&lt;=0,0,IF($F165&lt;INDEX(Simulations!$J$3:$J$62,MATCH($A165,Simulations!$A$3:$A$62,0)),$D165/(INDEX(Simulations!$G$3:$G$62,MATCH($A165,Simulations!$A$3:$A$62,0))*INDEX(Simulations!$H$3:$H$62,MATCH($A165,Simulations!$A$3:$A$62,0))*IF(INDEX(Simulations!$I$3:$I$62,MATCH($A165,Simulations!$A$3:$A$62,0))&gt;0,INDEX(Simulations!$I$3:$I$62,MATCH($A165,Simulations!$A$3:$A$62,0)),1))*$F165*(PI()/2*INDEX(Simulations!$T$3:$T$62,MATCH($A165,Simulations!$A$3:$A$62,0))^2*IF(INDEX(Simulations!$I$3:$I$62,MATCH($A165,Simulations!$A$3:$A$62,0))&gt;0,SQRT(PI()/2)*INDEX(Simulations!$U$3:$U$62,MATCH($A165,Simulations!$A$3:$A$62,0)),1)),$D165/(INDEX(Simulations!$G$3:$G$62,MATCH($A165,Simulations!$A$3:$A$62,0))*INDEX(Simulations!$H$3:$H$62,MATCH($A165,Simulations!$A$3:$A$62,0))*IF(INDEX(Simulations!$I$3:$I$62,MATCH($A165,Simulations!$A$3:$A$62,0))&gt;0,INDEX(Simulations!$I$3:$I$62,MATCH($A165,Simulations!$A$3:$A$62,0)),1))*INDEX(Simulations!$J$3:$J$62,MATCH($A165,Simulations!$A$3:$A$62,0))*IF(INDEX(Simulations!$I$3:$I$62,MATCH($A165,Simulations!$A$3:$A$62,0))&gt;0,2*PI()*INDEX(Simulations!$T$3:$T$62,MATCH($A165,Simulations!$A$3:$A$62,0))^2*INDEX(Simulations!$U$3:$U$62,MATCH($A165,Simulations!$A$3:$A$62,0))/2^1.5*(2/3*LN($F165/INDEX(Simulations!$J$3:$J$62,MATCH($A165,Simulations!$A$3:$A$62,0)))^1.5+SQRT(LN($F165/INDEX(Simulations!$J$3:$J$62,MATCH($A165,Simulations!$A$3:$A$62,0))))+$F165/INDEX(Simulations!$J$3:$J$62,MATCH($A165,Simulations!$A$3:$A$62,0))*SQRT(PI())/2*ERFC(SQRT(LN($F165/INDEX(Simulations!$J$3:$J$62,MATCH($A165,Simulations!$A$3:$A$62,0)))))),PI()*INDEX(Simulations!$T$3:$T$62,MATCH($A165,Simulations!$A$3:$A$62,0))^2/2*(LN($F165/INDEX(Simulations!$J$3:$J$62,MATCH($A165,Simulations!$A$3:$A$62,0)))+1)))))</f>
        <v/>
      </c>
      <c r="S165" s="16" t="str">
        <f aca="false">IF(OR($A165="",ISNA(MATCH($A165,Simulations!$A$3:$A$62,0))),"",IF(N($G165)&lt;=0,0,IF($G165&lt;INDEX(Simulations!$J$3:$J$62,MATCH($A165,Simulations!$A$3:$A$62,0)),$D165/(INDEX(Simulations!$G$3:$G$62,MATCH($A165,Simulations!$A$3:$A$62,0))*INDEX(Simulations!$H$3:$H$62,MATCH($A165,Simulations!$A$3:$A$62,0))*IF(INDEX(Simulations!$I$3:$I$62,MATCH($A165,Simulations!$A$3:$A$62,0))&gt;0,INDEX(Simulations!$I$3:$I$62,MATCH($A165,Simulations!$A$3:$A$62,0)),1))*$G165*(PI()/2*INDEX(Simulations!$T$3:$T$62,MATCH($A165,Simulations!$A$3:$A$62,0))^2*IF(INDEX(Simulations!$I$3:$I$62,MATCH($A165,Simulations!$A$3:$A$62,0))&gt;0,SQRT(PI()/2)*INDEX(Simulations!$U$3:$U$62,MATCH($A165,Simulations!$A$3:$A$62,0)),1)),$D165/(INDEX(Simulations!$G$3:$G$62,MATCH($A165,Simulations!$A$3:$A$62,0))*INDEX(Simulations!$H$3:$H$62,MATCH($A165,Simulations!$A$3:$A$62,0))*IF(INDEX(Simulations!$I$3:$I$62,MATCH($A165,Simulations!$A$3:$A$62,0))&gt;0,INDEX(Simulations!$I$3:$I$62,MATCH($A165,Simulations!$A$3:$A$62,0)),1))*INDEX(Simulations!$J$3:$J$62,MATCH($A165,Simulations!$A$3:$A$62,0))*IF(INDEX(Simulations!$I$3:$I$62,MATCH($A165,Simulations!$A$3:$A$62,0))&gt;0,2*PI()*INDEX(Simulations!$T$3:$T$62,MATCH($A165,Simulations!$A$3:$A$62,0))^2*INDEX(Simulations!$U$3:$U$62,MATCH($A165,Simulations!$A$3:$A$62,0))/2^1.5*(2/3*LN($G165/INDEX(Simulations!$J$3:$J$62,MATCH($A165,Simulations!$A$3:$A$62,0)))^1.5+SQRT(LN($G165/INDEX(Simulations!$J$3:$J$62,MATCH($A165,Simulations!$A$3:$A$62,0))))+$G165/INDEX(Simulations!$J$3:$J$62,MATCH($A165,Simulations!$A$3:$A$62,0))*SQRT(PI())/2*ERFC(SQRT(LN($G165/INDEX(Simulations!$J$3:$J$62,MATCH($A165,Simulations!$A$3:$A$62,0)))))),PI()*INDEX(Simulations!$T$3:$T$62,MATCH($A165,Simulations!$A$3:$A$62,0))^2/2*(LN($G165/INDEX(Simulations!$J$3:$J$62,MATCH($A165,Simulations!$A$3:$A$62,0)))+1)))))</f>
        <v/>
      </c>
      <c r="T165" s="16" t="str">
        <f aca="false">IF(OR($A165="",ISNA(MATCH($A165,Simulations!$A$3:$A$62,0))),"",IF(N($H165)&lt;=0,0,IF($H165&lt;INDEX(Simulations!$J$3:$J$62,MATCH($A165,Simulations!$A$3:$A$62,0)),$D165/(INDEX(Simulations!$G$3:$G$62,MATCH($A165,Simulations!$A$3:$A$62,0))*INDEX(Simulations!$H$3:$H$62,MATCH($A165,Simulations!$A$3:$A$62,0))*IF(INDEX(Simulations!$I$3:$I$62,MATCH($A165,Simulations!$A$3:$A$62,0))&gt;0,INDEX(Simulations!$I$3:$I$62,MATCH($A165,Simulations!$A$3:$A$62,0)),1))*$H165*(PI()/2*INDEX(Simulations!$T$3:$T$62,MATCH($A165,Simulations!$A$3:$A$62,0))^2*IF(INDEX(Simulations!$I$3:$I$62,MATCH($A165,Simulations!$A$3:$A$62,0))&gt;0,SQRT(PI()/2)*INDEX(Simulations!$U$3:$U$62,MATCH($A165,Simulations!$A$3:$A$62,0)),1)),$D165/(INDEX(Simulations!$G$3:$G$62,MATCH($A165,Simulations!$A$3:$A$62,0))*INDEX(Simulations!$H$3:$H$62,MATCH($A165,Simulations!$A$3:$A$62,0))*IF(INDEX(Simulations!$I$3:$I$62,MATCH($A165,Simulations!$A$3:$A$62,0))&gt;0,INDEX(Simulations!$I$3:$I$62,MATCH($A165,Simulations!$A$3:$A$62,0)),1))*INDEX(Simulations!$J$3:$J$62,MATCH($A165,Simulations!$A$3:$A$62,0))*IF(INDEX(Simulations!$I$3:$I$62,MATCH($A165,Simulations!$A$3:$A$62,0))&gt;0,2*PI()*INDEX(Simulations!$T$3:$T$62,MATCH($A165,Simulations!$A$3:$A$62,0))^2*INDEX(Simulations!$U$3:$U$62,MATCH($A165,Simulations!$A$3:$A$62,0))/2^1.5*(2/3*LN($H165/INDEX(Simulations!$J$3:$J$62,MATCH($A165,Simulations!$A$3:$A$62,0)))^1.5+SQRT(LN($H165/INDEX(Simulations!$J$3:$J$62,MATCH($A165,Simulations!$A$3:$A$62,0))))+$H165/INDEX(Simulations!$J$3:$J$62,MATCH($A165,Simulations!$A$3:$A$62,0))*SQRT(PI())/2*ERFC(SQRT(LN($H165/INDEX(Simulations!$J$3:$J$62,MATCH($A165,Simulations!$A$3:$A$62,0)))))),PI()*INDEX(Simulations!$T$3:$T$62,MATCH($A165,Simulations!$A$3:$A$62,0))^2/2*(LN($H165/INDEX(Simulations!$J$3:$J$62,MATCH($A165,Simulations!$A$3:$A$62,0)))+1)))))</f>
        <v/>
      </c>
      <c r="U165" s="18" t="str">
        <f aca="false">IF(OR(OR($A165="",ISNA(MATCH($A165,Simulations!$A$3:$A$62,0))),N($C165)&lt;=0),"",SQRT(2*$C165*1000000/(INDEX(Simulations!$J$3:$J$62,MATCH($A165,Simulations!$A$3:$A$62,0))*1000))/INDEX(Simulations!$T$3:$T$62,MATCH($A165,Simulations!$A$3:$A$62,0)))</f>
        <v/>
      </c>
      <c r="V165" s="19" t="str">
        <f aca="false">IF($A165="","",IF(ISNA(MATCH($A165,Simulations!$A$3:$A$62,0)),"✖ Sim ID not found on the Simulations sheet",IF($P165&gt;=1,"✖ brightness &gt;= sampling frequency: completely saturated (D too small, c too large)",IF($P165&gt;0.1,"⚠ brightness &gt; 10% of the sampling frequency: focus starts to saturate",IF(N($U165)&gt;0.1,"⚠ diffusion step &gt; 10% of wr: raise the sampling frequency",IF(MAX($E165:$H165)=0,"⚠ no brightness set","✔ OK"))))))</f>
        <v/>
      </c>
    </row>
    <row r="166" customFormat="false" ht="15" hidden="false" customHeight="false" outlineLevel="0" collapsed="false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4"/>
      <c r="O166" s="18" t="str">
        <f aca="false">IF(OR($A166="",ISNA(MATCH($A166,Simulations!$A$3:$A$62,0))),"",IF(INDEX(Simulations!$I$3:$I$62,MATCH($A166,Simulations!$A$3:$A$62,0))&gt;0,$D166/(INDEX(Simulations!$G$3:$G$62,MATCH($A166,Simulations!$A$3:$A$62,0))*INDEX(Simulations!$H$3:$H$62,MATCH($A166,Simulations!$A$3:$A$62,0))*IF(INDEX(Simulations!$I$3:$I$62,MATCH($A166,Simulations!$A$3:$A$62,0))&gt;0,INDEX(Simulations!$I$3:$I$62,MATCH($A166,Simulations!$A$3:$A$62,0)),1))/1E-024/6.022E+023/0.000000001,""))</f>
        <v/>
      </c>
      <c r="P166" s="20" t="str">
        <f aca="false">IF(OR($A166="",ISNA(MATCH($A166,Simulations!$A$3:$A$62,0))),"",MAX($E166:$H166)/INDEX(Simulations!$J$3:$J$62,MATCH($A166,Simulations!$A$3:$A$62,0)))</f>
        <v/>
      </c>
      <c r="Q166" s="16" t="str">
        <f aca="false">IF(OR($A166="",ISNA(MATCH($A166,Simulations!$A$3:$A$62,0))),"",IF(N($E166)&lt;=0,0,IF($E166&lt;INDEX(Simulations!$J$3:$J$62,MATCH($A166,Simulations!$A$3:$A$62,0)),$D166/(INDEX(Simulations!$G$3:$G$62,MATCH($A166,Simulations!$A$3:$A$62,0))*INDEX(Simulations!$H$3:$H$62,MATCH($A166,Simulations!$A$3:$A$62,0))*IF(INDEX(Simulations!$I$3:$I$62,MATCH($A166,Simulations!$A$3:$A$62,0))&gt;0,INDEX(Simulations!$I$3:$I$62,MATCH($A166,Simulations!$A$3:$A$62,0)),1))*$E166*(PI()/2*INDEX(Simulations!$T$3:$T$62,MATCH($A166,Simulations!$A$3:$A$62,0))^2*IF(INDEX(Simulations!$I$3:$I$62,MATCH($A166,Simulations!$A$3:$A$62,0))&gt;0,SQRT(PI()/2)*INDEX(Simulations!$U$3:$U$62,MATCH($A166,Simulations!$A$3:$A$62,0)),1)),$D166/(INDEX(Simulations!$G$3:$G$62,MATCH($A166,Simulations!$A$3:$A$62,0))*INDEX(Simulations!$H$3:$H$62,MATCH($A166,Simulations!$A$3:$A$62,0))*IF(INDEX(Simulations!$I$3:$I$62,MATCH($A166,Simulations!$A$3:$A$62,0))&gt;0,INDEX(Simulations!$I$3:$I$62,MATCH($A166,Simulations!$A$3:$A$62,0)),1))*INDEX(Simulations!$J$3:$J$62,MATCH($A166,Simulations!$A$3:$A$62,0))*IF(INDEX(Simulations!$I$3:$I$62,MATCH($A166,Simulations!$A$3:$A$62,0))&gt;0,2*PI()*INDEX(Simulations!$T$3:$T$62,MATCH($A166,Simulations!$A$3:$A$62,0))^2*INDEX(Simulations!$U$3:$U$62,MATCH($A166,Simulations!$A$3:$A$62,0))/2^1.5*(2/3*LN($E166/INDEX(Simulations!$J$3:$J$62,MATCH($A166,Simulations!$A$3:$A$62,0)))^1.5+SQRT(LN($E166/INDEX(Simulations!$J$3:$J$62,MATCH($A166,Simulations!$A$3:$A$62,0))))+$E166/INDEX(Simulations!$J$3:$J$62,MATCH($A166,Simulations!$A$3:$A$62,0))*SQRT(PI())/2*ERFC(SQRT(LN($E166/INDEX(Simulations!$J$3:$J$62,MATCH($A166,Simulations!$A$3:$A$62,0)))))),PI()*INDEX(Simulations!$T$3:$T$62,MATCH($A166,Simulations!$A$3:$A$62,0))^2/2*(LN($E166/INDEX(Simulations!$J$3:$J$62,MATCH($A166,Simulations!$A$3:$A$62,0)))+1)))))</f>
        <v/>
      </c>
      <c r="R166" s="16" t="str">
        <f aca="false">IF(OR($A166="",ISNA(MATCH($A166,Simulations!$A$3:$A$62,0))),"",IF(N($F166)&lt;=0,0,IF($F166&lt;INDEX(Simulations!$J$3:$J$62,MATCH($A166,Simulations!$A$3:$A$62,0)),$D166/(INDEX(Simulations!$G$3:$G$62,MATCH($A166,Simulations!$A$3:$A$62,0))*INDEX(Simulations!$H$3:$H$62,MATCH($A166,Simulations!$A$3:$A$62,0))*IF(INDEX(Simulations!$I$3:$I$62,MATCH($A166,Simulations!$A$3:$A$62,0))&gt;0,INDEX(Simulations!$I$3:$I$62,MATCH($A166,Simulations!$A$3:$A$62,0)),1))*$F166*(PI()/2*INDEX(Simulations!$T$3:$T$62,MATCH($A166,Simulations!$A$3:$A$62,0))^2*IF(INDEX(Simulations!$I$3:$I$62,MATCH($A166,Simulations!$A$3:$A$62,0))&gt;0,SQRT(PI()/2)*INDEX(Simulations!$U$3:$U$62,MATCH($A166,Simulations!$A$3:$A$62,0)),1)),$D166/(INDEX(Simulations!$G$3:$G$62,MATCH($A166,Simulations!$A$3:$A$62,0))*INDEX(Simulations!$H$3:$H$62,MATCH($A166,Simulations!$A$3:$A$62,0))*IF(INDEX(Simulations!$I$3:$I$62,MATCH($A166,Simulations!$A$3:$A$62,0))&gt;0,INDEX(Simulations!$I$3:$I$62,MATCH($A166,Simulations!$A$3:$A$62,0)),1))*INDEX(Simulations!$J$3:$J$62,MATCH($A166,Simulations!$A$3:$A$62,0))*IF(INDEX(Simulations!$I$3:$I$62,MATCH($A166,Simulations!$A$3:$A$62,0))&gt;0,2*PI()*INDEX(Simulations!$T$3:$T$62,MATCH($A166,Simulations!$A$3:$A$62,0))^2*INDEX(Simulations!$U$3:$U$62,MATCH($A166,Simulations!$A$3:$A$62,0))/2^1.5*(2/3*LN($F166/INDEX(Simulations!$J$3:$J$62,MATCH($A166,Simulations!$A$3:$A$62,0)))^1.5+SQRT(LN($F166/INDEX(Simulations!$J$3:$J$62,MATCH($A166,Simulations!$A$3:$A$62,0))))+$F166/INDEX(Simulations!$J$3:$J$62,MATCH($A166,Simulations!$A$3:$A$62,0))*SQRT(PI())/2*ERFC(SQRT(LN($F166/INDEX(Simulations!$J$3:$J$62,MATCH($A166,Simulations!$A$3:$A$62,0)))))),PI()*INDEX(Simulations!$T$3:$T$62,MATCH($A166,Simulations!$A$3:$A$62,0))^2/2*(LN($F166/INDEX(Simulations!$J$3:$J$62,MATCH($A166,Simulations!$A$3:$A$62,0)))+1)))))</f>
        <v/>
      </c>
      <c r="S166" s="16" t="str">
        <f aca="false">IF(OR($A166="",ISNA(MATCH($A166,Simulations!$A$3:$A$62,0))),"",IF(N($G166)&lt;=0,0,IF($G166&lt;INDEX(Simulations!$J$3:$J$62,MATCH($A166,Simulations!$A$3:$A$62,0)),$D166/(INDEX(Simulations!$G$3:$G$62,MATCH($A166,Simulations!$A$3:$A$62,0))*INDEX(Simulations!$H$3:$H$62,MATCH($A166,Simulations!$A$3:$A$62,0))*IF(INDEX(Simulations!$I$3:$I$62,MATCH($A166,Simulations!$A$3:$A$62,0))&gt;0,INDEX(Simulations!$I$3:$I$62,MATCH($A166,Simulations!$A$3:$A$62,0)),1))*$G166*(PI()/2*INDEX(Simulations!$T$3:$T$62,MATCH($A166,Simulations!$A$3:$A$62,0))^2*IF(INDEX(Simulations!$I$3:$I$62,MATCH($A166,Simulations!$A$3:$A$62,0))&gt;0,SQRT(PI()/2)*INDEX(Simulations!$U$3:$U$62,MATCH($A166,Simulations!$A$3:$A$62,0)),1)),$D166/(INDEX(Simulations!$G$3:$G$62,MATCH($A166,Simulations!$A$3:$A$62,0))*INDEX(Simulations!$H$3:$H$62,MATCH($A166,Simulations!$A$3:$A$62,0))*IF(INDEX(Simulations!$I$3:$I$62,MATCH($A166,Simulations!$A$3:$A$62,0))&gt;0,INDEX(Simulations!$I$3:$I$62,MATCH($A166,Simulations!$A$3:$A$62,0)),1))*INDEX(Simulations!$J$3:$J$62,MATCH($A166,Simulations!$A$3:$A$62,0))*IF(INDEX(Simulations!$I$3:$I$62,MATCH($A166,Simulations!$A$3:$A$62,0))&gt;0,2*PI()*INDEX(Simulations!$T$3:$T$62,MATCH($A166,Simulations!$A$3:$A$62,0))^2*INDEX(Simulations!$U$3:$U$62,MATCH($A166,Simulations!$A$3:$A$62,0))/2^1.5*(2/3*LN($G166/INDEX(Simulations!$J$3:$J$62,MATCH($A166,Simulations!$A$3:$A$62,0)))^1.5+SQRT(LN($G166/INDEX(Simulations!$J$3:$J$62,MATCH($A166,Simulations!$A$3:$A$62,0))))+$G166/INDEX(Simulations!$J$3:$J$62,MATCH($A166,Simulations!$A$3:$A$62,0))*SQRT(PI())/2*ERFC(SQRT(LN($G166/INDEX(Simulations!$J$3:$J$62,MATCH($A166,Simulations!$A$3:$A$62,0)))))),PI()*INDEX(Simulations!$T$3:$T$62,MATCH($A166,Simulations!$A$3:$A$62,0))^2/2*(LN($G166/INDEX(Simulations!$J$3:$J$62,MATCH($A166,Simulations!$A$3:$A$62,0)))+1)))))</f>
        <v/>
      </c>
      <c r="T166" s="16" t="str">
        <f aca="false">IF(OR($A166="",ISNA(MATCH($A166,Simulations!$A$3:$A$62,0))),"",IF(N($H166)&lt;=0,0,IF($H166&lt;INDEX(Simulations!$J$3:$J$62,MATCH($A166,Simulations!$A$3:$A$62,0)),$D166/(INDEX(Simulations!$G$3:$G$62,MATCH($A166,Simulations!$A$3:$A$62,0))*INDEX(Simulations!$H$3:$H$62,MATCH($A166,Simulations!$A$3:$A$62,0))*IF(INDEX(Simulations!$I$3:$I$62,MATCH($A166,Simulations!$A$3:$A$62,0))&gt;0,INDEX(Simulations!$I$3:$I$62,MATCH($A166,Simulations!$A$3:$A$62,0)),1))*$H166*(PI()/2*INDEX(Simulations!$T$3:$T$62,MATCH($A166,Simulations!$A$3:$A$62,0))^2*IF(INDEX(Simulations!$I$3:$I$62,MATCH($A166,Simulations!$A$3:$A$62,0))&gt;0,SQRT(PI()/2)*INDEX(Simulations!$U$3:$U$62,MATCH($A166,Simulations!$A$3:$A$62,0)),1)),$D166/(INDEX(Simulations!$G$3:$G$62,MATCH($A166,Simulations!$A$3:$A$62,0))*INDEX(Simulations!$H$3:$H$62,MATCH($A166,Simulations!$A$3:$A$62,0))*IF(INDEX(Simulations!$I$3:$I$62,MATCH($A166,Simulations!$A$3:$A$62,0))&gt;0,INDEX(Simulations!$I$3:$I$62,MATCH($A166,Simulations!$A$3:$A$62,0)),1))*INDEX(Simulations!$J$3:$J$62,MATCH($A166,Simulations!$A$3:$A$62,0))*IF(INDEX(Simulations!$I$3:$I$62,MATCH($A166,Simulations!$A$3:$A$62,0))&gt;0,2*PI()*INDEX(Simulations!$T$3:$T$62,MATCH($A166,Simulations!$A$3:$A$62,0))^2*INDEX(Simulations!$U$3:$U$62,MATCH($A166,Simulations!$A$3:$A$62,0))/2^1.5*(2/3*LN($H166/INDEX(Simulations!$J$3:$J$62,MATCH($A166,Simulations!$A$3:$A$62,0)))^1.5+SQRT(LN($H166/INDEX(Simulations!$J$3:$J$62,MATCH($A166,Simulations!$A$3:$A$62,0))))+$H166/INDEX(Simulations!$J$3:$J$62,MATCH($A166,Simulations!$A$3:$A$62,0))*SQRT(PI())/2*ERFC(SQRT(LN($H166/INDEX(Simulations!$J$3:$J$62,MATCH($A166,Simulations!$A$3:$A$62,0)))))),PI()*INDEX(Simulations!$T$3:$T$62,MATCH($A166,Simulations!$A$3:$A$62,0))^2/2*(LN($H166/INDEX(Simulations!$J$3:$J$62,MATCH($A166,Simulations!$A$3:$A$62,0)))+1)))))</f>
        <v/>
      </c>
      <c r="U166" s="18" t="str">
        <f aca="false">IF(OR(OR($A166="",ISNA(MATCH($A166,Simulations!$A$3:$A$62,0))),N($C166)&lt;=0),"",SQRT(2*$C166*1000000/(INDEX(Simulations!$J$3:$J$62,MATCH($A166,Simulations!$A$3:$A$62,0))*1000))/INDEX(Simulations!$T$3:$T$62,MATCH($A166,Simulations!$A$3:$A$62,0)))</f>
        <v/>
      </c>
      <c r="V166" s="19" t="str">
        <f aca="false">IF($A166="","",IF(ISNA(MATCH($A166,Simulations!$A$3:$A$62,0)),"✖ Sim ID not found on the Simulations sheet",IF($P166&gt;=1,"✖ brightness &gt;= sampling frequency: completely saturated (D too small, c too large)",IF($P166&gt;0.1,"⚠ brightness &gt; 10% of the sampling frequency: focus starts to saturate",IF(N($U166)&gt;0.1,"⚠ diffusion step &gt; 10% of wr: raise the sampling frequency",IF(MAX($E166:$H166)=0,"⚠ no brightness set","✔ OK"))))))</f>
        <v/>
      </c>
    </row>
    <row r="167" customFormat="false" ht="15" hidden="false" customHeight="false" outlineLevel="0" collapsed="false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4"/>
      <c r="O167" s="18" t="str">
        <f aca="false">IF(OR($A167="",ISNA(MATCH($A167,Simulations!$A$3:$A$62,0))),"",IF(INDEX(Simulations!$I$3:$I$62,MATCH($A167,Simulations!$A$3:$A$62,0))&gt;0,$D167/(INDEX(Simulations!$G$3:$G$62,MATCH($A167,Simulations!$A$3:$A$62,0))*INDEX(Simulations!$H$3:$H$62,MATCH($A167,Simulations!$A$3:$A$62,0))*IF(INDEX(Simulations!$I$3:$I$62,MATCH($A167,Simulations!$A$3:$A$62,0))&gt;0,INDEX(Simulations!$I$3:$I$62,MATCH($A167,Simulations!$A$3:$A$62,0)),1))/1E-024/6.022E+023/0.000000001,""))</f>
        <v/>
      </c>
      <c r="P167" s="20" t="str">
        <f aca="false">IF(OR($A167="",ISNA(MATCH($A167,Simulations!$A$3:$A$62,0))),"",MAX($E167:$H167)/INDEX(Simulations!$J$3:$J$62,MATCH($A167,Simulations!$A$3:$A$62,0)))</f>
        <v/>
      </c>
      <c r="Q167" s="16" t="str">
        <f aca="false">IF(OR($A167="",ISNA(MATCH($A167,Simulations!$A$3:$A$62,0))),"",IF(N($E167)&lt;=0,0,IF($E167&lt;INDEX(Simulations!$J$3:$J$62,MATCH($A167,Simulations!$A$3:$A$62,0)),$D167/(INDEX(Simulations!$G$3:$G$62,MATCH($A167,Simulations!$A$3:$A$62,0))*INDEX(Simulations!$H$3:$H$62,MATCH($A167,Simulations!$A$3:$A$62,0))*IF(INDEX(Simulations!$I$3:$I$62,MATCH($A167,Simulations!$A$3:$A$62,0))&gt;0,INDEX(Simulations!$I$3:$I$62,MATCH($A167,Simulations!$A$3:$A$62,0)),1))*$E167*(PI()/2*INDEX(Simulations!$T$3:$T$62,MATCH($A167,Simulations!$A$3:$A$62,0))^2*IF(INDEX(Simulations!$I$3:$I$62,MATCH($A167,Simulations!$A$3:$A$62,0))&gt;0,SQRT(PI()/2)*INDEX(Simulations!$U$3:$U$62,MATCH($A167,Simulations!$A$3:$A$62,0)),1)),$D167/(INDEX(Simulations!$G$3:$G$62,MATCH($A167,Simulations!$A$3:$A$62,0))*INDEX(Simulations!$H$3:$H$62,MATCH($A167,Simulations!$A$3:$A$62,0))*IF(INDEX(Simulations!$I$3:$I$62,MATCH($A167,Simulations!$A$3:$A$62,0))&gt;0,INDEX(Simulations!$I$3:$I$62,MATCH($A167,Simulations!$A$3:$A$62,0)),1))*INDEX(Simulations!$J$3:$J$62,MATCH($A167,Simulations!$A$3:$A$62,0))*IF(INDEX(Simulations!$I$3:$I$62,MATCH($A167,Simulations!$A$3:$A$62,0))&gt;0,2*PI()*INDEX(Simulations!$T$3:$T$62,MATCH($A167,Simulations!$A$3:$A$62,0))^2*INDEX(Simulations!$U$3:$U$62,MATCH($A167,Simulations!$A$3:$A$62,0))/2^1.5*(2/3*LN($E167/INDEX(Simulations!$J$3:$J$62,MATCH($A167,Simulations!$A$3:$A$62,0)))^1.5+SQRT(LN($E167/INDEX(Simulations!$J$3:$J$62,MATCH($A167,Simulations!$A$3:$A$62,0))))+$E167/INDEX(Simulations!$J$3:$J$62,MATCH($A167,Simulations!$A$3:$A$62,0))*SQRT(PI())/2*ERFC(SQRT(LN($E167/INDEX(Simulations!$J$3:$J$62,MATCH($A167,Simulations!$A$3:$A$62,0)))))),PI()*INDEX(Simulations!$T$3:$T$62,MATCH($A167,Simulations!$A$3:$A$62,0))^2/2*(LN($E167/INDEX(Simulations!$J$3:$J$62,MATCH($A167,Simulations!$A$3:$A$62,0)))+1)))))</f>
        <v/>
      </c>
      <c r="R167" s="16" t="str">
        <f aca="false">IF(OR($A167="",ISNA(MATCH($A167,Simulations!$A$3:$A$62,0))),"",IF(N($F167)&lt;=0,0,IF($F167&lt;INDEX(Simulations!$J$3:$J$62,MATCH($A167,Simulations!$A$3:$A$62,0)),$D167/(INDEX(Simulations!$G$3:$G$62,MATCH($A167,Simulations!$A$3:$A$62,0))*INDEX(Simulations!$H$3:$H$62,MATCH($A167,Simulations!$A$3:$A$62,0))*IF(INDEX(Simulations!$I$3:$I$62,MATCH($A167,Simulations!$A$3:$A$62,0))&gt;0,INDEX(Simulations!$I$3:$I$62,MATCH($A167,Simulations!$A$3:$A$62,0)),1))*$F167*(PI()/2*INDEX(Simulations!$T$3:$T$62,MATCH($A167,Simulations!$A$3:$A$62,0))^2*IF(INDEX(Simulations!$I$3:$I$62,MATCH($A167,Simulations!$A$3:$A$62,0))&gt;0,SQRT(PI()/2)*INDEX(Simulations!$U$3:$U$62,MATCH($A167,Simulations!$A$3:$A$62,0)),1)),$D167/(INDEX(Simulations!$G$3:$G$62,MATCH($A167,Simulations!$A$3:$A$62,0))*INDEX(Simulations!$H$3:$H$62,MATCH($A167,Simulations!$A$3:$A$62,0))*IF(INDEX(Simulations!$I$3:$I$62,MATCH($A167,Simulations!$A$3:$A$62,0))&gt;0,INDEX(Simulations!$I$3:$I$62,MATCH($A167,Simulations!$A$3:$A$62,0)),1))*INDEX(Simulations!$J$3:$J$62,MATCH($A167,Simulations!$A$3:$A$62,0))*IF(INDEX(Simulations!$I$3:$I$62,MATCH($A167,Simulations!$A$3:$A$62,0))&gt;0,2*PI()*INDEX(Simulations!$T$3:$T$62,MATCH($A167,Simulations!$A$3:$A$62,0))^2*INDEX(Simulations!$U$3:$U$62,MATCH($A167,Simulations!$A$3:$A$62,0))/2^1.5*(2/3*LN($F167/INDEX(Simulations!$J$3:$J$62,MATCH($A167,Simulations!$A$3:$A$62,0)))^1.5+SQRT(LN($F167/INDEX(Simulations!$J$3:$J$62,MATCH($A167,Simulations!$A$3:$A$62,0))))+$F167/INDEX(Simulations!$J$3:$J$62,MATCH($A167,Simulations!$A$3:$A$62,0))*SQRT(PI())/2*ERFC(SQRT(LN($F167/INDEX(Simulations!$J$3:$J$62,MATCH($A167,Simulations!$A$3:$A$62,0)))))),PI()*INDEX(Simulations!$T$3:$T$62,MATCH($A167,Simulations!$A$3:$A$62,0))^2/2*(LN($F167/INDEX(Simulations!$J$3:$J$62,MATCH($A167,Simulations!$A$3:$A$62,0)))+1)))))</f>
        <v/>
      </c>
      <c r="S167" s="16" t="str">
        <f aca="false">IF(OR($A167="",ISNA(MATCH($A167,Simulations!$A$3:$A$62,0))),"",IF(N($G167)&lt;=0,0,IF($G167&lt;INDEX(Simulations!$J$3:$J$62,MATCH($A167,Simulations!$A$3:$A$62,0)),$D167/(INDEX(Simulations!$G$3:$G$62,MATCH($A167,Simulations!$A$3:$A$62,0))*INDEX(Simulations!$H$3:$H$62,MATCH($A167,Simulations!$A$3:$A$62,0))*IF(INDEX(Simulations!$I$3:$I$62,MATCH($A167,Simulations!$A$3:$A$62,0))&gt;0,INDEX(Simulations!$I$3:$I$62,MATCH($A167,Simulations!$A$3:$A$62,0)),1))*$G167*(PI()/2*INDEX(Simulations!$T$3:$T$62,MATCH($A167,Simulations!$A$3:$A$62,0))^2*IF(INDEX(Simulations!$I$3:$I$62,MATCH($A167,Simulations!$A$3:$A$62,0))&gt;0,SQRT(PI()/2)*INDEX(Simulations!$U$3:$U$62,MATCH($A167,Simulations!$A$3:$A$62,0)),1)),$D167/(INDEX(Simulations!$G$3:$G$62,MATCH($A167,Simulations!$A$3:$A$62,0))*INDEX(Simulations!$H$3:$H$62,MATCH($A167,Simulations!$A$3:$A$62,0))*IF(INDEX(Simulations!$I$3:$I$62,MATCH($A167,Simulations!$A$3:$A$62,0))&gt;0,INDEX(Simulations!$I$3:$I$62,MATCH($A167,Simulations!$A$3:$A$62,0)),1))*INDEX(Simulations!$J$3:$J$62,MATCH($A167,Simulations!$A$3:$A$62,0))*IF(INDEX(Simulations!$I$3:$I$62,MATCH($A167,Simulations!$A$3:$A$62,0))&gt;0,2*PI()*INDEX(Simulations!$T$3:$T$62,MATCH($A167,Simulations!$A$3:$A$62,0))^2*INDEX(Simulations!$U$3:$U$62,MATCH($A167,Simulations!$A$3:$A$62,0))/2^1.5*(2/3*LN($G167/INDEX(Simulations!$J$3:$J$62,MATCH($A167,Simulations!$A$3:$A$62,0)))^1.5+SQRT(LN($G167/INDEX(Simulations!$J$3:$J$62,MATCH($A167,Simulations!$A$3:$A$62,0))))+$G167/INDEX(Simulations!$J$3:$J$62,MATCH($A167,Simulations!$A$3:$A$62,0))*SQRT(PI())/2*ERFC(SQRT(LN($G167/INDEX(Simulations!$J$3:$J$62,MATCH($A167,Simulations!$A$3:$A$62,0)))))),PI()*INDEX(Simulations!$T$3:$T$62,MATCH($A167,Simulations!$A$3:$A$62,0))^2/2*(LN($G167/INDEX(Simulations!$J$3:$J$62,MATCH($A167,Simulations!$A$3:$A$62,0)))+1)))))</f>
        <v/>
      </c>
      <c r="T167" s="16" t="str">
        <f aca="false">IF(OR($A167="",ISNA(MATCH($A167,Simulations!$A$3:$A$62,0))),"",IF(N($H167)&lt;=0,0,IF($H167&lt;INDEX(Simulations!$J$3:$J$62,MATCH($A167,Simulations!$A$3:$A$62,0)),$D167/(INDEX(Simulations!$G$3:$G$62,MATCH($A167,Simulations!$A$3:$A$62,0))*INDEX(Simulations!$H$3:$H$62,MATCH($A167,Simulations!$A$3:$A$62,0))*IF(INDEX(Simulations!$I$3:$I$62,MATCH($A167,Simulations!$A$3:$A$62,0))&gt;0,INDEX(Simulations!$I$3:$I$62,MATCH($A167,Simulations!$A$3:$A$62,0)),1))*$H167*(PI()/2*INDEX(Simulations!$T$3:$T$62,MATCH($A167,Simulations!$A$3:$A$62,0))^2*IF(INDEX(Simulations!$I$3:$I$62,MATCH($A167,Simulations!$A$3:$A$62,0))&gt;0,SQRT(PI()/2)*INDEX(Simulations!$U$3:$U$62,MATCH($A167,Simulations!$A$3:$A$62,0)),1)),$D167/(INDEX(Simulations!$G$3:$G$62,MATCH($A167,Simulations!$A$3:$A$62,0))*INDEX(Simulations!$H$3:$H$62,MATCH($A167,Simulations!$A$3:$A$62,0))*IF(INDEX(Simulations!$I$3:$I$62,MATCH($A167,Simulations!$A$3:$A$62,0))&gt;0,INDEX(Simulations!$I$3:$I$62,MATCH($A167,Simulations!$A$3:$A$62,0)),1))*INDEX(Simulations!$J$3:$J$62,MATCH($A167,Simulations!$A$3:$A$62,0))*IF(INDEX(Simulations!$I$3:$I$62,MATCH($A167,Simulations!$A$3:$A$62,0))&gt;0,2*PI()*INDEX(Simulations!$T$3:$T$62,MATCH($A167,Simulations!$A$3:$A$62,0))^2*INDEX(Simulations!$U$3:$U$62,MATCH($A167,Simulations!$A$3:$A$62,0))/2^1.5*(2/3*LN($H167/INDEX(Simulations!$J$3:$J$62,MATCH($A167,Simulations!$A$3:$A$62,0)))^1.5+SQRT(LN($H167/INDEX(Simulations!$J$3:$J$62,MATCH($A167,Simulations!$A$3:$A$62,0))))+$H167/INDEX(Simulations!$J$3:$J$62,MATCH($A167,Simulations!$A$3:$A$62,0))*SQRT(PI())/2*ERFC(SQRT(LN($H167/INDEX(Simulations!$J$3:$J$62,MATCH($A167,Simulations!$A$3:$A$62,0)))))),PI()*INDEX(Simulations!$T$3:$T$62,MATCH($A167,Simulations!$A$3:$A$62,0))^2/2*(LN($H167/INDEX(Simulations!$J$3:$J$62,MATCH($A167,Simulations!$A$3:$A$62,0)))+1)))))</f>
        <v/>
      </c>
      <c r="U167" s="18" t="str">
        <f aca="false">IF(OR(OR($A167="",ISNA(MATCH($A167,Simulations!$A$3:$A$62,0))),N($C167)&lt;=0),"",SQRT(2*$C167*1000000/(INDEX(Simulations!$J$3:$J$62,MATCH($A167,Simulations!$A$3:$A$62,0))*1000))/INDEX(Simulations!$T$3:$T$62,MATCH($A167,Simulations!$A$3:$A$62,0)))</f>
        <v/>
      </c>
      <c r="V167" s="19" t="str">
        <f aca="false">IF($A167="","",IF(ISNA(MATCH($A167,Simulations!$A$3:$A$62,0)),"✖ Sim ID not found on the Simulations sheet",IF($P167&gt;=1,"✖ brightness &gt;= sampling frequency: completely saturated (D too small, c too large)",IF($P167&gt;0.1,"⚠ brightness &gt; 10% of the sampling frequency: focus starts to saturate",IF(N($U167)&gt;0.1,"⚠ diffusion step &gt; 10% of wr: raise the sampling frequency",IF(MAX($E167:$H167)=0,"⚠ no brightness set","✔ OK"))))))</f>
        <v/>
      </c>
    </row>
    <row r="168" customFormat="false" ht="15" hidden="false" customHeight="false" outlineLevel="0" collapsed="false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4"/>
      <c r="O168" s="18" t="str">
        <f aca="false">IF(OR($A168="",ISNA(MATCH($A168,Simulations!$A$3:$A$62,0))),"",IF(INDEX(Simulations!$I$3:$I$62,MATCH($A168,Simulations!$A$3:$A$62,0))&gt;0,$D168/(INDEX(Simulations!$G$3:$G$62,MATCH($A168,Simulations!$A$3:$A$62,0))*INDEX(Simulations!$H$3:$H$62,MATCH($A168,Simulations!$A$3:$A$62,0))*IF(INDEX(Simulations!$I$3:$I$62,MATCH($A168,Simulations!$A$3:$A$62,0))&gt;0,INDEX(Simulations!$I$3:$I$62,MATCH($A168,Simulations!$A$3:$A$62,0)),1))/1E-024/6.022E+023/0.000000001,""))</f>
        <v/>
      </c>
      <c r="P168" s="20" t="str">
        <f aca="false">IF(OR($A168="",ISNA(MATCH($A168,Simulations!$A$3:$A$62,0))),"",MAX($E168:$H168)/INDEX(Simulations!$J$3:$J$62,MATCH($A168,Simulations!$A$3:$A$62,0)))</f>
        <v/>
      </c>
      <c r="Q168" s="16" t="str">
        <f aca="false">IF(OR($A168="",ISNA(MATCH($A168,Simulations!$A$3:$A$62,0))),"",IF(N($E168)&lt;=0,0,IF($E168&lt;INDEX(Simulations!$J$3:$J$62,MATCH($A168,Simulations!$A$3:$A$62,0)),$D168/(INDEX(Simulations!$G$3:$G$62,MATCH($A168,Simulations!$A$3:$A$62,0))*INDEX(Simulations!$H$3:$H$62,MATCH($A168,Simulations!$A$3:$A$62,0))*IF(INDEX(Simulations!$I$3:$I$62,MATCH($A168,Simulations!$A$3:$A$62,0))&gt;0,INDEX(Simulations!$I$3:$I$62,MATCH($A168,Simulations!$A$3:$A$62,0)),1))*$E168*(PI()/2*INDEX(Simulations!$T$3:$T$62,MATCH($A168,Simulations!$A$3:$A$62,0))^2*IF(INDEX(Simulations!$I$3:$I$62,MATCH($A168,Simulations!$A$3:$A$62,0))&gt;0,SQRT(PI()/2)*INDEX(Simulations!$U$3:$U$62,MATCH($A168,Simulations!$A$3:$A$62,0)),1)),$D168/(INDEX(Simulations!$G$3:$G$62,MATCH($A168,Simulations!$A$3:$A$62,0))*INDEX(Simulations!$H$3:$H$62,MATCH($A168,Simulations!$A$3:$A$62,0))*IF(INDEX(Simulations!$I$3:$I$62,MATCH($A168,Simulations!$A$3:$A$62,0))&gt;0,INDEX(Simulations!$I$3:$I$62,MATCH($A168,Simulations!$A$3:$A$62,0)),1))*INDEX(Simulations!$J$3:$J$62,MATCH($A168,Simulations!$A$3:$A$62,0))*IF(INDEX(Simulations!$I$3:$I$62,MATCH($A168,Simulations!$A$3:$A$62,0))&gt;0,2*PI()*INDEX(Simulations!$T$3:$T$62,MATCH($A168,Simulations!$A$3:$A$62,0))^2*INDEX(Simulations!$U$3:$U$62,MATCH($A168,Simulations!$A$3:$A$62,0))/2^1.5*(2/3*LN($E168/INDEX(Simulations!$J$3:$J$62,MATCH($A168,Simulations!$A$3:$A$62,0)))^1.5+SQRT(LN($E168/INDEX(Simulations!$J$3:$J$62,MATCH($A168,Simulations!$A$3:$A$62,0))))+$E168/INDEX(Simulations!$J$3:$J$62,MATCH($A168,Simulations!$A$3:$A$62,0))*SQRT(PI())/2*ERFC(SQRT(LN($E168/INDEX(Simulations!$J$3:$J$62,MATCH($A168,Simulations!$A$3:$A$62,0)))))),PI()*INDEX(Simulations!$T$3:$T$62,MATCH($A168,Simulations!$A$3:$A$62,0))^2/2*(LN($E168/INDEX(Simulations!$J$3:$J$62,MATCH($A168,Simulations!$A$3:$A$62,0)))+1)))))</f>
        <v/>
      </c>
      <c r="R168" s="16" t="str">
        <f aca="false">IF(OR($A168="",ISNA(MATCH($A168,Simulations!$A$3:$A$62,0))),"",IF(N($F168)&lt;=0,0,IF($F168&lt;INDEX(Simulations!$J$3:$J$62,MATCH($A168,Simulations!$A$3:$A$62,0)),$D168/(INDEX(Simulations!$G$3:$G$62,MATCH($A168,Simulations!$A$3:$A$62,0))*INDEX(Simulations!$H$3:$H$62,MATCH($A168,Simulations!$A$3:$A$62,0))*IF(INDEX(Simulations!$I$3:$I$62,MATCH($A168,Simulations!$A$3:$A$62,0))&gt;0,INDEX(Simulations!$I$3:$I$62,MATCH($A168,Simulations!$A$3:$A$62,0)),1))*$F168*(PI()/2*INDEX(Simulations!$T$3:$T$62,MATCH($A168,Simulations!$A$3:$A$62,0))^2*IF(INDEX(Simulations!$I$3:$I$62,MATCH($A168,Simulations!$A$3:$A$62,0))&gt;0,SQRT(PI()/2)*INDEX(Simulations!$U$3:$U$62,MATCH($A168,Simulations!$A$3:$A$62,0)),1)),$D168/(INDEX(Simulations!$G$3:$G$62,MATCH($A168,Simulations!$A$3:$A$62,0))*INDEX(Simulations!$H$3:$H$62,MATCH($A168,Simulations!$A$3:$A$62,0))*IF(INDEX(Simulations!$I$3:$I$62,MATCH($A168,Simulations!$A$3:$A$62,0))&gt;0,INDEX(Simulations!$I$3:$I$62,MATCH($A168,Simulations!$A$3:$A$62,0)),1))*INDEX(Simulations!$J$3:$J$62,MATCH($A168,Simulations!$A$3:$A$62,0))*IF(INDEX(Simulations!$I$3:$I$62,MATCH($A168,Simulations!$A$3:$A$62,0))&gt;0,2*PI()*INDEX(Simulations!$T$3:$T$62,MATCH($A168,Simulations!$A$3:$A$62,0))^2*INDEX(Simulations!$U$3:$U$62,MATCH($A168,Simulations!$A$3:$A$62,0))/2^1.5*(2/3*LN($F168/INDEX(Simulations!$J$3:$J$62,MATCH($A168,Simulations!$A$3:$A$62,0)))^1.5+SQRT(LN($F168/INDEX(Simulations!$J$3:$J$62,MATCH($A168,Simulations!$A$3:$A$62,0))))+$F168/INDEX(Simulations!$J$3:$J$62,MATCH($A168,Simulations!$A$3:$A$62,0))*SQRT(PI())/2*ERFC(SQRT(LN($F168/INDEX(Simulations!$J$3:$J$62,MATCH($A168,Simulations!$A$3:$A$62,0)))))),PI()*INDEX(Simulations!$T$3:$T$62,MATCH($A168,Simulations!$A$3:$A$62,0))^2/2*(LN($F168/INDEX(Simulations!$J$3:$J$62,MATCH($A168,Simulations!$A$3:$A$62,0)))+1)))))</f>
        <v/>
      </c>
      <c r="S168" s="16" t="str">
        <f aca="false">IF(OR($A168="",ISNA(MATCH($A168,Simulations!$A$3:$A$62,0))),"",IF(N($G168)&lt;=0,0,IF($G168&lt;INDEX(Simulations!$J$3:$J$62,MATCH($A168,Simulations!$A$3:$A$62,0)),$D168/(INDEX(Simulations!$G$3:$G$62,MATCH($A168,Simulations!$A$3:$A$62,0))*INDEX(Simulations!$H$3:$H$62,MATCH($A168,Simulations!$A$3:$A$62,0))*IF(INDEX(Simulations!$I$3:$I$62,MATCH($A168,Simulations!$A$3:$A$62,0))&gt;0,INDEX(Simulations!$I$3:$I$62,MATCH($A168,Simulations!$A$3:$A$62,0)),1))*$G168*(PI()/2*INDEX(Simulations!$T$3:$T$62,MATCH($A168,Simulations!$A$3:$A$62,0))^2*IF(INDEX(Simulations!$I$3:$I$62,MATCH($A168,Simulations!$A$3:$A$62,0))&gt;0,SQRT(PI()/2)*INDEX(Simulations!$U$3:$U$62,MATCH($A168,Simulations!$A$3:$A$62,0)),1)),$D168/(INDEX(Simulations!$G$3:$G$62,MATCH($A168,Simulations!$A$3:$A$62,0))*INDEX(Simulations!$H$3:$H$62,MATCH($A168,Simulations!$A$3:$A$62,0))*IF(INDEX(Simulations!$I$3:$I$62,MATCH($A168,Simulations!$A$3:$A$62,0))&gt;0,INDEX(Simulations!$I$3:$I$62,MATCH($A168,Simulations!$A$3:$A$62,0)),1))*INDEX(Simulations!$J$3:$J$62,MATCH($A168,Simulations!$A$3:$A$62,0))*IF(INDEX(Simulations!$I$3:$I$62,MATCH($A168,Simulations!$A$3:$A$62,0))&gt;0,2*PI()*INDEX(Simulations!$T$3:$T$62,MATCH($A168,Simulations!$A$3:$A$62,0))^2*INDEX(Simulations!$U$3:$U$62,MATCH($A168,Simulations!$A$3:$A$62,0))/2^1.5*(2/3*LN($G168/INDEX(Simulations!$J$3:$J$62,MATCH($A168,Simulations!$A$3:$A$62,0)))^1.5+SQRT(LN($G168/INDEX(Simulations!$J$3:$J$62,MATCH($A168,Simulations!$A$3:$A$62,0))))+$G168/INDEX(Simulations!$J$3:$J$62,MATCH($A168,Simulations!$A$3:$A$62,0))*SQRT(PI())/2*ERFC(SQRT(LN($G168/INDEX(Simulations!$J$3:$J$62,MATCH($A168,Simulations!$A$3:$A$62,0)))))),PI()*INDEX(Simulations!$T$3:$T$62,MATCH($A168,Simulations!$A$3:$A$62,0))^2/2*(LN($G168/INDEX(Simulations!$J$3:$J$62,MATCH($A168,Simulations!$A$3:$A$62,0)))+1)))))</f>
        <v/>
      </c>
      <c r="T168" s="16" t="str">
        <f aca="false">IF(OR($A168="",ISNA(MATCH($A168,Simulations!$A$3:$A$62,0))),"",IF(N($H168)&lt;=0,0,IF($H168&lt;INDEX(Simulations!$J$3:$J$62,MATCH($A168,Simulations!$A$3:$A$62,0)),$D168/(INDEX(Simulations!$G$3:$G$62,MATCH($A168,Simulations!$A$3:$A$62,0))*INDEX(Simulations!$H$3:$H$62,MATCH($A168,Simulations!$A$3:$A$62,0))*IF(INDEX(Simulations!$I$3:$I$62,MATCH($A168,Simulations!$A$3:$A$62,0))&gt;0,INDEX(Simulations!$I$3:$I$62,MATCH($A168,Simulations!$A$3:$A$62,0)),1))*$H168*(PI()/2*INDEX(Simulations!$T$3:$T$62,MATCH($A168,Simulations!$A$3:$A$62,0))^2*IF(INDEX(Simulations!$I$3:$I$62,MATCH($A168,Simulations!$A$3:$A$62,0))&gt;0,SQRT(PI()/2)*INDEX(Simulations!$U$3:$U$62,MATCH($A168,Simulations!$A$3:$A$62,0)),1)),$D168/(INDEX(Simulations!$G$3:$G$62,MATCH($A168,Simulations!$A$3:$A$62,0))*INDEX(Simulations!$H$3:$H$62,MATCH($A168,Simulations!$A$3:$A$62,0))*IF(INDEX(Simulations!$I$3:$I$62,MATCH($A168,Simulations!$A$3:$A$62,0))&gt;0,INDEX(Simulations!$I$3:$I$62,MATCH($A168,Simulations!$A$3:$A$62,0)),1))*INDEX(Simulations!$J$3:$J$62,MATCH($A168,Simulations!$A$3:$A$62,0))*IF(INDEX(Simulations!$I$3:$I$62,MATCH($A168,Simulations!$A$3:$A$62,0))&gt;0,2*PI()*INDEX(Simulations!$T$3:$T$62,MATCH($A168,Simulations!$A$3:$A$62,0))^2*INDEX(Simulations!$U$3:$U$62,MATCH($A168,Simulations!$A$3:$A$62,0))/2^1.5*(2/3*LN($H168/INDEX(Simulations!$J$3:$J$62,MATCH($A168,Simulations!$A$3:$A$62,0)))^1.5+SQRT(LN($H168/INDEX(Simulations!$J$3:$J$62,MATCH($A168,Simulations!$A$3:$A$62,0))))+$H168/INDEX(Simulations!$J$3:$J$62,MATCH($A168,Simulations!$A$3:$A$62,0))*SQRT(PI())/2*ERFC(SQRT(LN($H168/INDEX(Simulations!$J$3:$J$62,MATCH($A168,Simulations!$A$3:$A$62,0)))))),PI()*INDEX(Simulations!$T$3:$T$62,MATCH($A168,Simulations!$A$3:$A$62,0))^2/2*(LN($H168/INDEX(Simulations!$J$3:$J$62,MATCH($A168,Simulations!$A$3:$A$62,0)))+1)))))</f>
        <v/>
      </c>
      <c r="U168" s="18" t="str">
        <f aca="false">IF(OR(OR($A168="",ISNA(MATCH($A168,Simulations!$A$3:$A$62,0))),N($C168)&lt;=0),"",SQRT(2*$C168*1000000/(INDEX(Simulations!$J$3:$J$62,MATCH($A168,Simulations!$A$3:$A$62,0))*1000))/INDEX(Simulations!$T$3:$T$62,MATCH($A168,Simulations!$A$3:$A$62,0)))</f>
        <v/>
      </c>
      <c r="V168" s="19" t="str">
        <f aca="false">IF($A168="","",IF(ISNA(MATCH($A168,Simulations!$A$3:$A$62,0)),"✖ Sim ID not found on the Simulations sheet",IF($P168&gt;=1,"✖ brightness &gt;= sampling frequency: completely saturated (D too small, c too large)",IF($P168&gt;0.1,"⚠ brightness &gt; 10% of the sampling frequency: focus starts to saturate",IF(N($U168)&gt;0.1,"⚠ diffusion step &gt; 10% of wr: raise the sampling frequency",IF(MAX($E168:$H168)=0,"⚠ no brightness set","✔ OK"))))))</f>
        <v/>
      </c>
    </row>
    <row r="169" customFormat="false" ht="15" hidden="false" customHeight="false" outlineLevel="0" collapsed="false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4"/>
      <c r="O169" s="18" t="str">
        <f aca="false">IF(OR($A169="",ISNA(MATCH($A169,Simulations!$A$3:$A$62,0))),"",IF(INDEX(Simulations!$I$3:$I$62,MATCH($A169,Simulations!$A$3:$A$62,0))&gt;0,$D169/(INDEX(Simulations!$G$3:$G$62,MATCH($A169,Simulations!$A$3:$A$62,0))*INDEX(Simulations!$H$3:$H$62,MATCH($A169,Simulations!$A$3:$A$62,0))*IF(INDEX(Simulations!$I$3:$I$62,MATCH($A169,Simulations!$A$3:$A$62,0))&gt;0,INDEX(Simulations!$I$3:$I$62,MATCH($A169,Simulations!$A$3:$A$62,0)),1))/1E-024/6.022E+023/0.000000001,""))</f>
        <v/>
      </c>
      <c r="P169" s="20" t="str">
        <f aca="false">IF(OR($A169="",ISNA(MATCH($A169,Simulations!$A$3:$A$62,0))),"",MAX($E169:$H169)/INDEX(Simulations!$J$3:$J$62,MATCH($A169,Simulations!$A$3:$A$62,0)))</f>
        <v/>
      </c>
      <c r="Q169" s="16" t="str">
        <f aca="false">IF(OR($A169="",ISNA(MATCH($A169,Simulations!$A$3:$A$62,0))),"",IF(N($E169)&lt;=0,0,IF($E169&lt;INDEX(Simulations!$J$3:$J$62,MATCH($A169,Simulations!$A$3:$A$62,0)),$D169/(INDEX(Simulations!$G$3:$G$62,MATCH($A169,Simulations!$A$3:$A$62,0))*INDEX(Simulations!$H$3:$H$62,MATCH($A169,Simulations!$A$3:$A$62,0))*IF(INDEX(Simulations!$I$3:$I$62,MATCH($A169,Simulations!$A$3:$A$62,0))&gt;0,INDEX(Simulations!$I$3:$I$62,MATCH($A169,Simulations!$A$3:$A$62,0)),1))*$E169*(PI()/2*INDEX(Simulations!$T$3:$T$62,MATCH($A169,Simulations!$A$3:$A$62,0))^2*IF(INDEX(Simulations!$I$3:$I$62,MATCH($A169,Simulations!$A$3:$A$62,0))&gt;0,SQRT(PI()/2)*INDEX(Simulations!$U$3:$U$62,MATCH($A169,Simulations!$A$3:$A$62,0)),1)),$D169/(INDEX(Simulations!$G$3:$G$62,MATCH($A169,Simulations!$A$3:$A$62,0))*INDEX(Simulations!$H$3:$H$62,MATCH($A169,Simulations!$A$3:$A$62,0))*IF(INDEX(Simulations!$I$3:$I$62,MATCH($A169,Simulations!$A$3:$A$62,0))&gt;0,INDEX(Simulations!$I$3:$I$62,MATCH($A169,Simulations!$A$3:$A$62,0)),1))*INDEX(Simulations!$J$3:$J$62,MATCH($A169,Simulations!$A$3:$A$62,0))*IF(INDEX(Simulations!$I$3:$I$62,MATCH($A169,Simulations!$A$3:$A$62,0))&gt;0,2*PI()*INDEX(Simulations!$T$3:$T$62,MATCH($A169,Simulations!$A$3:$A$62,0))^2*INDEX(Simulations!$U$3:$U$62,MATCH($A169,Simulations!$A$3:$A$62,0))/2^1.5*(2/3*LN($E169/INDEX(Simulations!$J$3:$J$62,MATCH($A169,Simulations!$A$3:$A$62,0)))^1.5+SQRT(LN($E169/INDEX(Simulations!$J$3:$J$62,MATCH($A169,Simulations!$A$3:$A$62,0))))+$E169/INDEX(Simulations!$J$3:$J$62,MATCH($A169,Simulations!$A$3:$A$62,0))*SQRT(PI())/2*ERFC(SQRT(LN($E169/INDEX(Simulations!$J$3:$J$62,MATCH($A169,Simulations!$A$3:$A$62,0)))))),PI()*INDEX(Simulations!$T$3:$T$62,MATCH($A169,Simulations!$A$3:$A$62,0))^2/2*(LN($E169/INDEX(Simulations!$J$3:$J$62,MATCH($A169,Simulations!$A$3:$A$62,0)))+1)))))</f>
        <v/>
      </c>
      <c r="R169" s="16" t="str">
        <f aca="false">IF(OR($A169="",ISNA(MATCH($A169,Simulations!$A$3:$A$62,0))),"",IF(N($F169)&lt;=0,0,IF($F169&lt;INDEX(Simulations!$J$3:$J$62,MATCH($A169,Simulations!$A$3:$A$62,0)),$D169/(INDEX(Simulations!$G$3:$G$62,MATCH($A169,Simulations!$A$3:$A$62,0))*INDEX(Simulations!$H$3:$H$62,MATCH($A169,Simulations!$A$3:$A$62,0))*IF(INDEX(Simulations!$I$3:$I$62,MATCH($A169,Simulations!$A$3:$A$62,0))&gt;0,INDEX(Simulations!$I$3:$I$62,MATCH($A169,Simulations!$A$3:$A$62,0)),1))*$F169*(PI()/2*INDEX(Simulations!$T$3:$T$62,MATCH($A169,Simulations!$A$3:$A$62,0))^2*IF(INDEX(Simulations!$I$3:$I$62,MATCH($A169,Simulations!$A$3:$A$62,0))&gt;0,SQRT(PI()/2)*INDEX(Simulations!$U$3:$U$62,MATCH($A169,Simulations!$A$3:$A$62,0)),1)),$D169/(INDEX(Simulations!$G$3:$G$62,MATCH($A169,Simulations!$A$3:$A$62,0))*INDEX(Simulations!$H$3:$H$62,MATCH($A169,Simulations!$A$3:$A$62,0))*IF(INDEX(Simulations!$I$3:$I$62,MATCH($A169,Simulations!$A$3:$A$62,0))&gt;0,INDEX(Simulations!$I$3:$I$62,MATCH($A169,Simulations!$A$3:$A$62,0)),1))*INDEX(Simulations!$J$3:$J$62,MATCH($A169,Simulations!$A$3:$A$62,0))*IF(INDEX(Simulations!$I$3:$I$62,MATCH($A169,Simulations!$A$3:$A$62,0))&gt;0,2*PI()*INDEX(Simulations!$T$3:$T$62,MATCH($A169,Simulations!$A$3:$A$62,0))^2*INDEX(Simulations!$U$3:$U$62,MATCH($A169,Simulations!$A$3:$A$62,0))/2^1.5*(2/3*LN($F169/INDEX(Simulations!$J$3:$J$62,MATCH($A169,Simulations!$A$3:$A$62,0)))^1.5+SQRT(LN($F169/INDEX(Simulations!$J$3:$J$62,MATCH($A169,Simulations!$A$3:$A$62,0))))+$F169/INDEX(Simulations!$J$3:$J$62,MATCH($A169,Simulations!$A$3:$A$62,0))*SQRT(PI())/2*ERFC(SQRT(LN($F169/INDEX(Simulations!$J$3:$J$62,MATCH($A169,Simulations!$A$3:$A$62,0)))))),PI()*INDEX(Simulations!$T$3:$T$62,MATCH($A169,Simulations!$A$3:$A$62,0))^2/2*(LN($F169/INDEX(Simulations!$J$3:$J$62,MATCH($A169,Simulations!$A$3:$A$62,0)))+1)))))</f>
        <v/>
      </c>
      <c r="S169" s="16" t="str">
        <f aca="false">IF(OR($A169="",ISNA(MATCH($A169,Simulations!$A$3:$A$62,0))),"",IF(N($G169)&lt;=0,0,IF($G169&lt;INDEX(Simulations!$J$3:$J$62,MATCH($A169,Simulations!$A$3:$A$62,0)),$D169/(INDEX(Simulations!$G$3:$G$62,MATCH($A169,Simulations!$A$3:$A$62,0))*INDEX(Simulations!$H$3:$H$62,MATCH($A169,Simulations!$A$3:$A$62,0))*IF(INDEX(Simulations!$I$3:$I$62,MATCH($A169,Simulations!$A$3:$A$62,0))&gt;0,INDEX(Simulations!$I$3:$I$62,MATCH($A169,Simulations!$A$3:$A$62,0)),1))*$G169*(PI()/2*INDEX(Simulations!$T$3:$T$62,MATCH($A169,Simulations!$A$3:$A$62,0))^2*IF(INDEX(Simulations!$I$3:$I$62,MATCH($A169,Simulations!$A$3:$A$62,0))&gt;0,SQRT(PI()/2)*INDEX(Simulations!$U$3:$U$62,MATCH($A169,Simulations!$A$3:$A$62,0)),1)),$D169/(INDEX(Simulations!$G$3:$G$62,MATCH($A169,Simulations!$A$3:$A$62,0))*INDEX(Simulations!$H$3:$H$62,MATCH($A169,Simulations!$A$3:$A$62,0))*IF(INDEX(Simulations!$I$3:$I$62,MATCH($A169,Simulations!$A$3:$A$62,0))&gt;0,INDEX(Simulations!$I$3:$I$62,MATCH($A169,Simulations!$A$3:$A$62,0)),1))*INDEX(Simulations!$J$3:$J$62,MATCH($A169,Simulations!$A$3:$A$62,0))*IF(INDEX(Simulations!$I$3:$I$62,MATCH($A169,Simulations!$A$3:$A$62,0))&gt;0,2*PI()*INDEX(Simulations!$T$3:$T$62,MATCH($A169,Simulations!$A$3:$A$62,0))^2*INDEX(Simulations!$U$3:$U$62,MATCH($A169,Simulations!$A$3:$A$62,0))/2^1.5*(2/3*LN($G169/INDEX(Simulations!$J$3:$J$62,MATCH($A169,Simulations!$A$3:$A$62,0)))^1.5+SQRT(LN($G169/INDEX(Simulations!$J$3:$J$62,MATCH($A169,Simulations!$A$3:$A$62,0))))+$G169/INDEX(Simulations!$J$3:$J$62,MATCH($A169,Simulations!$A$3:$A$62,0))*SQRT(PI())/2*ERFC(SQRT(LN($G169/INDEX(Simulations!$J$3:$J$62,MATCH($A169,Simulations!$A$3:$A$62,0)))))),PI()*INDEX(Simulations!$T$3:$T$62,MATCH($A169,Simulations!$A$3:$A$62,0))^2/2*(LN($G169/INDEX(Simulations!$J$3:$J$62,MATCH($A169,Simulations!$A$3:$A$62,0)))+1)))))</f>
        <v/>
      </c>
      <c r="T169" s="16" t="str">
        <f aca="false">IF(OR($A169="",ISNA(MATCH($A169,Simulations!$A$3:$A$62,0))),"",IF(N($H169)&lt;=0,0,IF($H169&lt;INDEX(Simulations!$J$3:$J$62,MATCH($A169,Simulations!$A$3:$A$62,0)),$D169/(INDEX(Simulations!$G$3:$G$62,MATCH($A169,Simulations!$A$3:$A$62,0))*INDEX(Simulations!$H$3:$H$62,MATCH($A169,Simulations!$A$3:$A$62,0))*IF(INDEX(Simulations!$I$3:$I$62,MATCH($A169,Simulations!$A$3:$A$62,0))&gt;0,INDEX(Simulations!$I$3:$I$62,MATCH($A169,Simulations!$A$3:$A$62,0)),1))*$H169*(PI()/2*INDEX(Simulations!$T$3:$T$62,MATCH($A169,Simulations!$A$3:$A$62,0))^2*IF(INDEX(Simulations!$I$3:$I$62,MATCH($A169,Simulations!$A$3:$A$62,0))&gt;0,SQRT(PI()/2)*INDEX(Simulations!$U$3:$U$62,MATCH($A169,Simulations!$A$3:$A$62,0)),1)),$D169/(INDEX(Simulations!$G$3:$G$62,MATCH($A169,Simulations!$A$3:$A$62,0))*INDEX(Simulations!$H$3:$H$62,MATCH($A169,Simulations!$A$3:$A$62,0))*IF(INDEX(Simulations!$I$3:$I$62,MATCH($A169,Simulations!$A$3:$A$62,0))&gt;0,INDEX(Simulations!$I$3:$I$62,MATCH($A169,Simulations!$A$3:$A$62,0)),1))*INDEX(Simulations!$J$3:$J$62,MATCH($A169,Simulations!$A$3:$A$62,0))*IF(INDEX(Simulations!$I$3:$I$62,MATCH($A169,Simulations!$A$3:$A$62,0))&gt;0,2*PI()*INDEX(Simulations!$T$3:$T$62,MATCH($A169,Simulations!$A$3:$A$62,0))^2*INDEX(Simulations!$U$3:$U$62,MATCH($A169,Simulations!$A$3:$A$62,0))/2^1.5*(2/3*LN($H169/INDEX(Simulations!$J$3:$J$62,MATCH($A169,Simulations!$A$3:$A$62,0)))^1.5+SQRT(LN($H169/INDEX(Simulations!$J$3:$J$62,MATCH($A169,Simulations!$A$3:$A$62,0))))+$H169/INDEX(Simulations!$J$3:$J$62,MATCH($A169,Simulations!$A$3:$A$62,0))*SQRT(PI())/2*ERFC(SQRT(LN($H169/INDEX(Simulations!$J$3:$J$62,MATCH($A169,Simulations!$A$3:$A$62,0)))))),PI()*INDEX(Simulations!$T$3:$T$62,MATCH($A169,Simulations!$A$3:$A$62,0))^2/2*(LN($H169/INDEX(Simulations!$J$3:$J$62,MATCH($A169,Simulations!$A$3:$A$62,0)))+1)))))</f>
        <v/>
      </c>
      <c r="U169" s="18" t="str">
        <f aca="false">IF(OR(OR($A169="",ISNA(MATCH($A169,Simulations!$A$3:$A$62,0))),N($C169)&lt;=0),"",SQRT(2*$C169*1000000/(INDEX(Simulations!$J$3:$J$62,MATCH($A169,Simulations!$A$3:$A$62,0))*1000))/INDEX(Simulations!$T$3:$T$62,MATCH($A169,Simulations!$A$3:$A$62,0)))</f>
        <v/>
      </c>
      <c r="V169" s="19" t="str">
        <f aca="false">IF($A169="","",IF(ISNA(MATCH($A169,Simulations!$A$3:$A$62,0)),"✖ Sim ID not found on the Simulations sheet",IF($P169&gt;=1,"✖ brightness &gt;= sampling frequency: completely saturated (D too small, c too large)",IF($P169&gt;0.1,"⚠ brightness &gt; 10% of the sampling frequency: focus starts to saturate",IF(N($U169)&gt;0.1,"⚠ diffusion step &gt; 10% of wr: raise the sampling frequency",IF(MAX($E169:$H169)=0,"⚠ no brightness set","✔ OK"))))))</f>
        <v/>
      </c>
    </row>
    <row r="170" customFormat="false" ht="15" hidden="false" customHeight="false" outlineLevel="0" collapsed="false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4"/>
      <c r="O170" s="18" t="str">
        <f aca="false">IF(OR($A170="",ISNA(MATCH($A170,Simulations!$A$3:$A$62,0))),"",IF(INDEX(Simulations!$I$3:$I$62,MATCH($A170,Simulations!$A$3:$A$62,0))&gt;0,$D170/(INDEX(Simulations!$G$3:$G$62,MATCH($A170,Simulations!$A$3:$A$62,0))*INDEX(Simulations!$H$3:$H$62,MATCH($A170,Simulations!$A$3:$A$62,0))*IF(INDEX(Simulations!$I$3:$I$62,MATCH($A170,Simulations!$A$3:$A$62,0))&gt;0,INDEX(Simulations!$I$3:$I$62,MATCH($A170,Simulations!$A$3:$A$62,0)),1))/1E-024/6.022E+023/0.000000001,""))</f>
        <v/>
      </c>
      <c r="P170" s="20" t="str">
        <f aca="false">IF(OR($A170="",ISNA(MATCH($A170,Simulations!$A$3:$A$62,0))),"",MAX($E170:$H170)/INDEX(Simulations!$J$3:$J$62,MATCH($A170,Simulations!$A$3:$A$62,0)))</f>
        <v/>
      </c>
      <c r="Q170" s="16" t="str">
        <f aca="false">IF(OR($A170="",ISNA(MATCH($A170,Simulations!$A$3:$A$62,0))),"",IF(N($E170)&lt;=0,0,IF($E170&lt;INDEX(Simulations!$J$3:$J$62,MATCH($A170,Simulations!$A$3:$A$62,0)),$D170/(INDEX(Simulations!$G$3:$G$62,MATCH($A170,Simulations!$A$3:$A$62,0))*INDEX(Simulations!$H$3:$H$62,MATCH($A170,Simulations!$A$3:$A$62,0))*IF(INDEX(Simulations!$I$3:$I$62,MATCH($A170,Simulations!$A$3:$A$62,0))&gt;0,INDEX(Simulations!$I$3:$I$62,MATCH($A170,Simulations!$A$3:$A$62,0)),1))*$E170*(PI()/2*INDEX(Simulations!$T$3:$T$62,MATCH($A170,Simulations!$A$3:$A$62,0))^2*IF(INDEX(Simulations!$I$3:$I$62,MATCH($A170,Simulations!$A$3:$A$62,0))&gt;0,SQRT(PI()/2)*INDEX(Simulations!$U$3:$U$62,MATCH($A170,Simulations!$A$3:$A$62,0)),1)),$D170/(INDEX(Simulations!$G$3:$G$62,MATCH($A170,Simulations!$A$3:$A$62,0))*INDEX(Simulations!$H$3:$H$62,MATCH($A170,Simulations!$A$3:$A$62,0))*IF(INDEX(Simulations!$I$3:$I$62,MATCH($A170,Simulations!$A$3:$A$62,0))&gt;0,INDEX(Simulations!$I$3:$I$62,MATCH($A170,Simulations!$A$3:$A$62,0)),1))*INDEX(Simulations!$J$3:$J$62,MATCH($A170,Simulations!$A$3:$A$62,0))*IF(INDEX(Simulations!$I$3:$I$62,MATCH($A170,Simulations!$A$3:$A$62,0))&gt;0,2*PI()*INDEX(Simulations!$T$3:$T$62,MATCH($A170,Simulations!$A$3:$A$62,0))^2*INDEX(Simulations!$U$3:$U$62,MATCH($A170,Simulations!$A$3:$A$62,0))/2^1.5*(2/3*LN($E170/INDEX(Simulations!$J$3:$J$62,MATCH($A170,Simulations!$A$3:$A$62,0)))^1.5+SQRT(LN($E170/INDEX(Simulations!$J$3:$J$62,MATCH($A170,Simulations!$A$3:$A$62,0))))+$E170/INDEX(Simulations!$J$3:$J$62,MATCH($A170,Simulations!$A$3:$A$62,0))*SQRT(PI())/2*ERFC(SQRT(LN($E170/INDEX(Simulations!$J$3:$J$62,MATCH($A170,Simulations!$A$3:$A$62,0)))))),PI()*INDEX(Simulations!$T$3:$T$62,MATCH($A170,Simulations!$A$3:$A$62,0))^2/2*(LN($E170/INDEX(Simulations!$J$3:$J$62,MATCH($A170,Simulations!$A$3:$A$62,0)))+1)))))</f>
        <v/>
      </c>
      <c r="R170" s="16" t="str">
        <f aca="false">IF(OR($A170="",ISNA(MATCH($A170,Simulations!$A$3:$A$62,0))),"",IF(N($F170)&lt;=0,0,IF($F170&lt;INDEX(Simulations!$J$3:$J$62,MATCH($A170,Simulations!$A$3:$A$62,0)),$D170/(INDEX(Simulations!$G$3:$G$62,MATCH($A170,Simulations!$A$3:$A$62,0))*INDEX(Simulations!$H$3:$H$62,MATCH($A170,Simulations!$A$3:$A$62,0))*IF(INDEX(Simulations!$I$3:$I$62,MATCH($A170,Simulations!$A$3:$A$62,0))&gt;0,INDEX(Simulations!$I$3:$I$62,MATCH($A170,Simulations!$A$3:$A$62,0)),1))*$F170*(PI()/2*INDEX(Simulations!$T$3:$T$62,MATCH($A170,Simulations!$A$3:$A$62,0))^2*IF(INDEX(Simulations!$I$3:$I$62,MATCH($A170,Simulations!$A$3:$A$62,0))&gt;0,SQRT(PI()/2)*INDEX(Simulations!$U$3:$U$62,MATCH($A170,Simulations!$A$3:$A$62,0)),1)),$D170/(INDEX(Simulations!$G$3:$G$62,MATCH($A170,Simulations!$A$3:$A$62,0))*INDEX(Simulations!$H$3:$H$62,MATCH($A170,Simulations!$A$3:$A$62,0))*IF(INDEX(Simulations!$I$3:$I$62,MATCH($A170,Simulations!$A$3:$A$62,0))&gt;0,INDEX(Simulations!$I$3:$I$62,MATCH($A170,Simulations!$A$3:$A$62,0)),1))*INDEX(Simulations!$J$3:$J$62,MATCH($A170,Simulations!$A$3:$A$62,0))*IF(INDEX(Simulations!$I$3:$I$62,MATCH($A170,Simulations!$A$3:$A$62,0))&gt;0,2*PI()*INDEX(Simulations!$T$3:$T$62,MATCH($A170,Simulations!$A$3:$A$62,0))^2*INDEX(Simulations!$U$3:$U$62,MATCH($A170,Simulations!$A$3:$A$62,0))/2^1.5*(2/3*LN($F170/INDEX(Simulations!$J$3:$J$62,MATCH($A170,Simulations!$A$3:$A$62,0)))^1.5+SQRT(LN($F170/INDEX(Simulations!$J$3:$J$62,MATCH($A170,Simulations!$A$3:$A$62,0))))+$F170/INDEX(Simulations!$J$3:$J$62,MATCH($A170,Simulations!$A$3:$A$62,0))*SQRT(PI())/2*ERFC(SQRT(LN($F170/INDEX(Simulations!$J$3:$J$62,MATCH($A170,Simulations!$A$3:$A$62,0)))))),PI()*INDEX(Simulations!$T$3:$T$62,MATCH($A170,Simulations!$A$3:$A$62,0))^2/2*(LN($F170/INDEX(Simulations!$J$3:$J$62,MATCH($A170,Simulations!$A$3:$A$62,0)))+1)))))</f>
        <v/>
      </c>
      <c r="S170" s="16" t="str">
        <f aca="false">IF(OR($A170="",ISNA(MATCH($A170,Simulations!$A$3:$A$62,0))),"",IF(N($G170)&lt;=0,0,IF($G170&lt;INDEX(Simulations!$J$3:$J$62,MATCH($A170,Simulations!$A$3:$A$62,0)),$D170/(INDEX(Simulations!$G$3:$G$62,MATCH($A170,Simulations!$A$3:$A$62,0))*INDEX(Simulations!$H$3:$H$62,MATCH($A170,Simulations!$A$3:$A$62,0))*IF(INDEX(Simulations!$I$3:$I$62,MATCH($A170,Simulations!$A$3:$A$62,0))&gt;0,INDEX(Simulations!$I$3:$I$62,MATCH($A170,Simulations!$A$3:$A$62,0)),1))*$G170*(PI()/2*INDEX(Simulations!$T$3:$T$62,MATCH($A170,Simulations!$A$3:$A$62,0))^2*IF(INDEX(Simulations!$I$3:$I$62,MATCH($A170,Simulations!$A$3:$A$62,0))&gt;0,SQRT(PI()/2)*INDEX(Simulations!$U$3:$U$62,MATCH($A170,Simulations!$A$3:$A$62,0)),1)),$D170/(INDEX(Simulations!$G$3:$G$62,MATCH($A170,Simulations!$A$3:$A$62,0))*INDEX(Simulations!$H$3:$H$62,MATCH($A170,Simulations!$A$3:$A$62,0))*IF(INDEX(Simulations!$I$3:$I$62,MATCH($A170,Simulations!$A$3:$A$62,0))&gt;0,INDEX(Simulations!$I$3:$I$62,MATCH($A170,Simulations!$A$3:$A$62,0)),1))*INDEX(Simulations!$J$3:$J$62,MATCH($A170,Simulations!$A$3:$A$62,0))*IF(INDEX(Simulations!$I$3:$I$62,MATCH($A170,Simulations!$A$3:$A$62,0))&gt;0,2*PI()*INDEX(Simulations!$T$3:$T$62,MATCH($A170,Simulations!$A$3:$A$62,0))^2*INDEX(Simulations!$U$3:$U$62,MATCH($A170,Simulations!$A$3:$A$62,0))/2^1.5*(2/3*LN($G170/INDEX(Simulations!$J$3:$J$62,MATCH($A170,Simulations!$A$3:$A$62,0)))^1.5+SQRT(LN($G170/INDEX(Simulations!$J$3:$J$62,MATCH($A170,Simulations!$A$3:$A$62,0))))+$G170/INDEX(Simulations!$J$3:$J$62,MATCH($A170,Simulations!$A$3:$A$62,0))*SQRT(PI())/2*ERFC(SQRT(LN($G170/INDEX(Simulations!$J$3:$J$62,MATCH($A170,Simulations!$A$3:$A$62,0)))))),PI()*INDEX(Simulations!$T$3:$T$62,MATCH($A170,Simulations!$A$3:$A$62,0))^2/2*(LN($G170/INDEX(Simulations!$J$3:$J$62,MATCH($A170,Simulations!$A$3:$A$62,0)))+1)))))</f>
        <v/>
      </c>
      <c r="T170" s="16" t="str">
        <f aca="false">IF(OR($A170="",ISNA(MATCH($A170,Simulations!$A$3:$A$62,0))),"",IF(N($H170)&lt;=0,0,IF($H170&lt;INDEX(Simulations!$J$3:$J$62,MATCH($A170,Simulations!$A$3:$A$62,0)),$D170/(INDEX(Simulations!$G$3:$G$62,MATCH($A170,Simulations!$A$3:$A$62,0))*INDEX(Simulations!$H$3:$H$62,MATCH($A170,Simulations!$A$3:$A$62,0))*IF(INDEX(Simulations!$I$3:$I$62,MATCH($A170,Simulations!$A$3:$A$62,0))&gt;0,INDEX(Simulations!$I$3:$I$62,MATCH($A170,Simulations!$A$3:$A$62,0)),1))*$H170*(PI()/2*INDEX(Simulations!$T$3:$T$62,MATCH($A170,Simulations!$A$3:$A$62,0))^2*IF(INDEX(Simulations!$I$3:$I$62,MATCH($A170,Simulations!$A$3:$A$62,0))&gt;0,SQRT(PI()/2)*INDEX(Simulations!$U$3:$U$62,MATCH($A170,Simulations!$A$3:$A$62,0)),1)),$D170/(INDEX(Simulations!$G$3:$G$62,MATCH($A170,Simulations!$A$3:$A$62,0))*INDEX(Simulations!$H$3:$H$62,MATCH($A170,Simulations!$A$3:$A$62,0))*IF(INDEX(Simulations!$I$3:$I$62,MATCH($A170,Simulations!$A$3:$A$62,0))&gt;0,INDEX(Simulations!$I$3:$I$62,MATCH($A170,Simulations!$A$3:$A$62,0)),1))*INDEX(Simulations!$J$3:$J$62,MATCH($A170,Simulations!$A$3:$A$62,0))*IF(INDEX(Simulations!$I$3:$I$62,MATCH($A170,Simulations!$A$3:$A$62,0))&gt;0,2*PI()*INDEX(Simulations!$T$3:$T$62,MATCH($A170,Simulations!$A$3:$A$62,0))^2*INDEX(Simulations!$U$3:$U$62,MATCH($A170,Simulations!$A$3:$A$62,0))/2^1.5*(2/3*LN($H170/INDEX(Simulations!$J$3:$J$62,MATCH($A170,Simulations!$A$3:$A$62,0)))^1.5+SQRT(LN($H170/INDEX(Simulations!$J$3:$J$62,MATCH($A170,Simulations!$A$3:$A$62,0))))+$H170/INDEX(Simulations!$J$3:$J$62,MATCH($A170,Simulations!$A$3:$A$62,0))*SQRT(PI())/2*ERFC(SQRT(LN($H170/INDEX(Simulations!$J$3:$J$62,MATCH($A170,Simulations!$A$3:$A$62,0)))))),PI()*INDEX(Simulations!$T$3:$T$62,MATCH($A170,Simulations!$A$3:$A$62,0))^2/2*(LN($H170/INDEX(Simulations!$J$3:$J$62,MATCH($A170,Simulations!$A$3:$A$62,0)))+1)))))</f>
        <v/>
      </c>
      <c r="U170" s="18" t="str">
        <f aca="false">IF(OR(OR($A170="",ISNA(MATCH($A170,Simulations!$A$3:$A$62,0))),N($C170)&lt;=0),"",SQRT(2*$C170*1000000/(INDEX(Simulations!$J$3:$J$62,MATCH($A170,Simulations!$A$3:$A$62,0))*1000))/INDEX(Simulations!$T$3:$T$62,MATCH($A170,Simulations!$A$3:$A$62,0)))</f>
        <v/>
      </c>
      <c r="V170" s="19" t="str">
        <f aca="false">IF($A170="","",IF(ISNA(MATCH($A170,Simulations!$A$3:$A$62,0)),"✖ Sim ID not found on the Simulations sheet",IF($P170&gt;=1,"✖ brightness &gt;= sampling frequency: completely saturated (D too small, c too large)",IF($P170&gt;0.1,"⚠ brightness &gt; 10% of the sampling frequency: focus starts to saturate",IF(N($U170)&gt;0.1,"⚠ diffusion step &gt; 10% of wr: raise the sampling frequency",IF(MAX($E170:$H170)=0,"⚠ no brightness set","✔ OK"))))))</f>
        <v/>
      </c>
    </row>
    <row r="171" customFormat="false" ht="15" hidden="false" customHeight="false" outlineLevel="0" collapsed="false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4"/>
      <c r="O171" s="18" t="str">
        <f aca="false">IF(OR($A171="",ISNA(MATCH($A171,Simulations!$A$3:$A$62,0))),"",IF(INDEX(Simulations!$I$3:$I$62,MATCH($A171,Simulations!$A$3:$A$62,0))&gt;0,$D171/(INDEX(Simulations!$G$3:$G$62,MATCH($A171,Simulations!$A$3:$A$62,0))*INDEX(Simulations!$H$3:$H$62,MATCH($A171,Simulations!$A$3:$A$62,0))*IF(INDEX(Simulations!$I$3:$I$62,MATCH($A171,Simulations!$A$3:$A$62,0))&gt;0,INDEX(Simulations!$I$3:$I$62,MATCH($A171,Simulations!$A$3:$A$62,0)),1))/1E-024/6.022E+023/0.000000001,""))</f>
        <v/>
      </c>
      <c r="P171" s="20" t="str">
        <f aca="false">IF(OR($A171="",ISNA(MATCH($A171,Simulations!$A$3:$A$62,0))),"",MAX($E171:$H171)/INDEX(Simulations!$J$3:$J$62,MATCH($A171,Simulations!$A$3:$A$62,0)))</f>
        <v/>
      </c>
      <c r="Q171" s="16" t="str">
        <f aca="false">IF(OR($A171="",ISNA(MATCH($A171,Simulations!$A$3:$A$62,0))),"",IF(N($E171)&lt;=0,0,IF($E171&lt;INDEX(Simulations!$J$3:$J$62,MATCH($A171,Simulations!$A$3:$A$62,0)),$D171/(INDEX(Simulations!$G$3:$G$62,MATCH($A171,Simulations!$A$3:$A$62,0))*INDEX(Simulations!$H$3:$H$62,MATCH($A171,Simulations!$A$3:$A$62,0))*IF(INDEX(Simulations!$I$3:$I$62,MATCH($A171,Simulations!$A$3:$A$62,0))&gt;0,INDEX(Simulations!$I$3:$I$62,MATCH($A171,Simulations!$A$3:$A$62,0)),1))*$E171*(PI()/2*INDEX(Simulations!$T$3:$T$62,MATCH($A171,Simulations!$A$3:$A$62,0))^2*IF(INDEX(Simulations!$I$3:$I$62,MATCH($A171,Simulations!$A$3:$A$62,0))&gt;0,SQRT(PI()/2)*INDEX(Simulations!$U$3:$U$62,MATCH($A171,Simulations!$A$3:$A$62,0)),1)),$D171/(INDEX(Simulations!$G$3:$G$62,MATCH($A171,Simulations!$A$3:$A$62,0))*INDEX(Simulations!$H$3:$H$62,MATCH($A171,Simulations!$A$3:$A$62,0))*IF(INDEX(Simulations!$I$3:$I$62,MATCH($A171,Simulations!$A$3:$A$62,0))&gt;0,INDEX(Simulations!$I$3:$I$62,MATCH($A171,Simulations!$A$3:$A$62,0)),1))*INDEX(Simulations!$J$3:$J$62,MATCH($A171,Simulations!$A$3:$A$62,0))*IF(INDEX(Simulations!$I$3:$I$62,MATCH($A171,Simulations!$A$3:$A$62,0))&gt;0,2*PI()*INDEX(Simulations!$T$3:$T$62,MATCH($A171,Simulations!$A$3:$A$62,0))^2*INDEX(Simulations!$U$3:$U$62,MATCH($A171,Simulations!$A$3:$A$62,0))/2^1.5*(2/3*LN($E171/INDEX(Simulations!$J$3:$J$62,MATCH($A171,Simulations!$A$3:$A$62,0)))^1.5+SQRT(LN($E171/INDEX(Simulations!$J$3:$J$62,MATCH($A171,Simulations!$A$3:$A$62,0))))+$E171/INDEX(Simulations!$J$3:$J$62,MATCH($A171,Simulations!$A$3:$A$62,0))*SQRT(PI())/2*ERFC(SQRT(LN($E171/INDEX(Simulations!$J$3:$J$62,MATCH($A171,Simulations!$A$3:$A$62,0)))))),PI()*INDEX(Simulations!$T$3:$T$62,MATCH($A171,Simulations!$A$3:$A$62,0))^2/2*(LN($E171/INDEX(Simulations!$J$3:$J$62,MATCH($A171,Simulations!$A$3:$A$62,0)))+1)))))</f>
        <v/>
      </c>
      <c r="R171" s="16" t="str">
        <f aca="false">IF(OR($A171="",ISNA(MATCH($A171,Simulations!$A$3:$A$62,0))),"",IF(N($F171)&lt;=0,0,IF($F171&lt;INDEX(Simulations!$J$3:$J$62,MATCH($A171,Simulations!$A$3:$A$62,0)),$D171/(INDEX(Simulations!$G$3:$G$62,MATCH($A171,Simulations!$A$3:$A$62,0))*INDEX(Simulations!$H$3:$H$62,MATCH($A171,Simulations!$A$3:$A$62,0))*IF(INDEX(Simulations!$I$3:$I$62,MATCH($A171,Simulations!$A$3:$A$62,0))&gt;0,INDEX(Simulations!$I$3:$I$62,MATCH($A171,Simulations!$A$3:$A$62,0)),1))*$F171*(PI()/2*INDEX(Simulations!$T$3:$T$62,MATCH($A171,Simulations!$A$3:$A$62,0))^2*IF(INDEX(Simulations!$I$3:$I$62,MATCH($A171,Simulations!$A$3:$A$62,0))&gt;0,SQRT(PI()/2)*INDEX(Simulations!$U$3:$U$62,MATCH($A171,Simulations!$A$3:$A$62,0)),1)),$D171/(INDEX(Simulations!$G$3:$G$62,MATCH($A171,Simulations!$A$3:$A$62,0))*INDEX(Simulations!$H$3:$H$62,MATCH($A171,Simulations!$A$3:$A$62,0))*IF(INDEX(Simulations!$I$3:$I$62,MATCH($A171,Simulations!$A$3:$A$62,0))&gt;0,INDEX(Simulations!$I$3:$I$62,MATCH($A171,Simulations!$A$3:$A$62,0)),1))*INDEX(Simulations!$J$3:$J$62,MATCH($A171,Simulations!$A$3:$A$62,0))*IF(INDEX(Simulations!$I$3:$I$62,MATCH($A171,Simulations!$A$3:$A$62,0))&gt;0,2*PI()*INDEX(Simulations!$T$3:$T$62,MATCH($A171,Simulations!$A$3:$A$62,0))^2*INDEX(Simulations!$U$3:$U$62,MATCH($A171,Simulations!$A$3:$A$62,0))/2^1.5*(2/3*LN($F171/INDEX(Simulations!$J$3:$J$62,MATCH($A171,Simulations!$A$3:$A$62,0)))^1.5+SQRT(LN($F171/INDEX(Simulations!$J$3:$J$62,MATCH($A171,Simulations!$A$3:$A$62,0))))+$F171/INDEX(Simulations!$J$3:$J$62,MATCH($A171,Simulations!$A$3:$A$62,0))*SQRT(PI())/2*ERFC(SQRT(LN($F171/INDEX(Simulations!$J$3:$J$62,MATCH($A171,Simulations!$A$3:$A$62,0)))))),PI()*INDEX(Simulations!$T$3:$T$62,MATCH($A171,Simulations!$A$3:$A$62,0))^2/2*(LN($F171/INDEX(Simulations!$J$3:$J$62,MATCH($A171,Simulations!$A$3:$A$62,0)))+1)))))</f>
        <v/>
      </c>
      <c r="S171" s="16" t="str">
        <f aca="false">IF(OR($A171="",ISNA(MATCH($A171,Simulations!$A$3:$A$62,0))),"",IF(N($G171)&lt;=0,0,IF($G171&lt;INDEX(Simulations!$J$3:$J$62,MATCH($A171,Simulations!$A$3:$A$62,0)),$D171/(INDEX(Simulations!$G$3:$G$62,MATCH($A171,Simulations!$A$3:$A$62,0))*INDEX(Simulations!$H$3:$H$62,MATCH($A171,Simulations!$A$3:$A$62,0))*IF(INDEX(Simulations!$I$3:$I$62,MATCH($A171,Simulations!$A$3:$A$62,0))&gt;0,INDEX(Simulations!$I$3:$I$62,MATCH($A171,Simulations!$A$3:$A$62,0)),1))*$G171*(PI()/2*INDEX(Simulations!$T$3:$T$62,MATCH($A171,Simulations!$A$3:$A$62,0))^2*IF(INDEX(Simulations!$I$3:$I$62,MATCH($A171,Simulations!$A$3:$A$62,0))&gt;0,SQRT(PI()/2)*INDEX(Simulations!$U$3:$U$62,MATCH($A171,Simulations!$A$3:$A$62,0)),1)),$D171/(INDEX(Simulations!$G$3:$G$62,MATCH($A171,Simulations!$A$3:$A$62,0))*INDEX(Simulations!$H$3:$H$62,MATCH($A171,Simulations!$A$3:$A$62,0))*IF(INDEX(Simulations!$I$3:$I$62,MATCH($A171,Simulations!$A$3:$A$62,0))&gt;0,INDEX(Simulations!$I$3:$I$62,MATCH($A171,Simulations!$A$3:$A$62,0)),1))*INDEX(Simulations!$J$3:$J$62,MATCH($A171,Simulations!$A$3:$A$62,0))*IF(INDEX(Simulations!$I$3:$I$62,MATCH($A171,Simulations!$A$3:$A$62,0))&gt;0,2*PI()*INDEX(Simulations!$T$3:$T$62,MATCH($A171,Simulations!$A$3:$A$62,0))^2*INDEX(Simulations!$U$3:$U$62,MATCH($A171,Simulations!$A$3:$A$62,0))/2^1.5*(2/3*LN($G171/INDEX(Simulations!$J$3:$J$62,MATCH($A171,Simulations!$A$3:$A$62,0)))^1.5+SQRT(LN($G171/INDEX(Simulations!$J$3:$J$62,MATCH($A171,Simulations!$A$3:$A$62,0))))+$G171/INDEX(Simulations!$J$3:$J$62,MATCH($A171,Simulations!$A$3:$A$62,0))*SQRT(PI())/2*ERFC(SQRT(LN($G171/INDEX(Simulations!$J$3:$J$62,MATCH($A171,Simulations!$A$3:$A$62,0)))))),PI()*INDEX(Simulations!$T$3:$T$62,MATCH($A171,Simulations!$A$3:$A$62,0))^2/2*(LN($G171/INDEX(Simulations!$J$3:$J$62,MATCH($A171,Simulations!$A$3:$A$62,0)))+1)))))</f>
        <v/>
      </c>
      <c r="T171" s="16" t="str">
        <f aca="false">IF(OR($A171="",ISNA(MATCH($A171,Simulations!$A$3:$A$62,0))),"",IF(N($H171)&lt;=0,0,IF($H171&lt;INDEX(Simulations!$J$3:$J$62,MATCH($A171,Simulations!$A$3:$A$62,0)),$D171/(INDEX(Simulations!$G$3:$G$62,MATCH($A171,Simulations!$A$3:$A$62,0))*INDEX(Simulations!$H$3:$H$62,MATCH($A171,Simulations!$A$3:$A$62,0))*IF(INDEX(Simulations!$I$3:$I$62,MATCH($A171,Simulations!$A$3:$A$62,0))&gt;0,INDEX(Simulations!$I$3:$I$62,MATCH($A171,Simulations!$A$3:$A$62,0)),1))*$H171*(PI()/2*INDEX(Simulations!$T$3:$T$62,MATCH($A171,Simulations!$A$3:$A$62,0))^2*IF(INDEX(Simulations!$I$3:$I$62,MATCH($A171,Simulations!$A$3:$A$62,0))&gt;0,SQRT(PI()/2)*INDEX(Simulations!$U$3:$U$62,MATCH($A171,Simulations!$A$3:$A$62,0)),1)),$D171/(INDEX(Simulations!$G$3:$G$62,MATCH($A171,Simulations!$A$3:$A$62,0))*INDEX(Simulations!$H$3:$H$62,MATCH($A171,Simulations!$A$3:$A$62,0))*IF(INDEX(Simulations!$I$3:$I$62,MATCH($A171,Simulations!$A$3:$A$62,0))&gt;0,INDEX(Simulations!$I$3:$I$62,MATCH($A171,Simulations!$A$3:$A$62,0)),1))*INDEX(Simulations!$J$3:$J$62,MATCH($A171,Simulations!$A$3:$A$62,0))*IF(INDEX(Simulations!$I$3:$I$62,MATCH($A171,Simulations!$A$3:$A$62,0))&gt;0,2*PI()*INDEX(Simulations!$T$3:$T$62,MATCH($A171,Simulations!$A$3:$A$62,0))^2*INDEX(Simulations!$U$3:$U$62,MATCH($A171,Simulations!$A$3:$A$62,0))/2^1.5*(2/3*LN($H171/INDEX(Simulations!$J$3:$J$62,MATCH($A171,Simulations!$A$3:$A$62,0)))^1.5+SQRT(LN($H171/INDEX(Simulations!$J$3:$J$62,MATCH($A171,Simulations!$A$3:$A$62,0))))+$H171/INDEX(Simulations!$J$3:$J$62,MATCH($A171,Simulations!$A$3:$A$62,0))*SQRT(PI())/2*ERFC(SQRT(LN($H171/INDEX(Simulations!$J$3:$J$62,MATCH($A171,Simulations!$A$3:$A$62,0)))))),PI()*INDEX(Simulations!$T$3:$T$62,MATCH($A171,Simulations!$A$3:$A$62,0))^2/2*(LN($H171/INDEX(Simulations!$J$3:$J$62,MATCH($A171,Simulations!$A$3:$A$62,0)))+1)))))</f>
        <v/>
      </c>
      <c r="U171" s="18" t="str">
        <f aca="false">IF(OR(OR($A171="",ISNA(MATCH($A171,Simulations!$A$3:$A$62,0))),N($C171)&lt;=0),"",SQRT(2*$C171*1000000/(INDEX(Simulations!$J$3:$J$62,MATCH($A171,Simulations!$A$3:$A$62,0))*1000))/INDEX(Simulations!$T$3:$T$62,MATCH($A171,Simulations!$A$3:$A$62,0)))</f>
        <v/>
      </c>
      <c r="V171" s="19" t="str">
        <f aca="false">IF($A171="","",IF(ISNA(MATCH($A171,Simulations!$A$3:$A$62,0)),"✖ Sim ID not found on the Simulations sheet",IF($P171&gt;=1,"✖ brightness &gt;= sampling frequency: completely saturated (D too small, c too large)",IF($P171&gt;0.1,"⚠ brightness &gt; 10% of the sampling frequency: focus starts to saturate",IF(N($U171)&gt;0.1,"⚠ diffusion step &gt; 10% of wr: raise the sampling frequency",IF(MAX($E171:$H171)=0,"⚠ no brightness set","✔ OK"))))))</f>
        <v/>
      </c>
    </row>
    <row r="172" customFormat="false" ht="15" hidden="false" customHeight="false" outlineLevel="0" collapsed="false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4"/>
      <c r="O172" s="18" t="str">
        <f aca="false">IF(OR($A172="",ISNA(MATCH($A172,Simulations!$A$3:$A$62,0))),"",IF(INDEX(Simulations!$I$3:$I$62,MATCH($A172,Simulations!$A$3:$A$62,0))&gt;0,$D172/(INDEX(Simulations!$G$3:$G$62,MATCH($A172,Simulations!$A$3:$A$62,0))*INDEX(Simulations!$H$3:$H$62,MATCH($A172,Simulations!$A$3:$A$62,0))*IF(INDEX(Simulations!$I$3:$I$62,MATCH($A172,Simulations!$A$3:$A$62,0))&gt;0,INDEX(Simulations!$I$3:$I$62,MATCH($A172,Simulations!$A$3:$A$62,0)),1))/1E-024/6.022E+023/0.000000001,""))</f>
        <v/>
      </c>
      <c r="P172" s="20" t="str">
        <f aca="false">IF(OR($A172="",ISNA(MATCH($A172,Simulations!$A$3:$A$62,0))),"",MAX($E172:$H172)/INDEX(Simulations!$J$3:$J$62,MATCH($A172,Simulations!$A$3:$A$62,0)))</f>
        <v/>
      </c>
      <c r="Q172" s="16" t="str">
        <f aca="false">IF(OR($A172="",ISNA(MATCH($A172,Simulations!$A$3:$A$62,0))),"",IF(N($E172)&lt;=0,0,IF($E172&lt;INDEX(Simulations!$J$3:$J$62,MATCH($A172,Simulations!$A$3:$A$62,0)),$D172/(INDEX(Simulations!$G$3:$G$62,MATCH($A172,Simulations!$A$3:$A$62,0))*INDEX(Simulations!$H$3:$H$62,MATCH($A172,Simulations!$A$3:$A$62,0))*IF(INDEX(Simulations!$I$3:$I$62,MATCH($A172,Simulations!$A$3:$A$62,0))&gt;0,INDEX(Simulations!$I$3:$I$62,MATCH($A172,Simulations!$A$3:$A$62,0)),1))*$E172*(PI()/2*INDEX(Simulations!$T$3:$T$62,MATCH($A172,Simulations!$A$3:$A$62,0))^2*IF(INDEX(Simulations!$I$3:$I$62,MATCH($A172,Simulations!$A$3:$A$62,0))&gt;0,SQRT(PI()/2)*INDEX(Simulations!$U$3:$U$62,MATCH($A172,Simulations!$A$3:$A$62,0)),1)),$D172/(INDEX(Simulations!$G$3:$G$62,MATCH($A172,Simulations!$A$3:$A$62,0))*INDEX(Simulations!$H$3:$H$62,MATCH($A172,Simulations!$A$3:$A$62,0))*IF(INDEX(Simulations!$I$3:$I$62,MATCH($A172,Simulations!$A$3:$A$62,0))&gt;0,INDEX(Simulations!$I$3:$I$62,MATCH($A172,Simulations!$A$3:$A$62,0)),1))*INDEX(Simulations!$J$3:$J$62,MATCH($A172,Simulations!$A$3:$A$62,0))*IF(INDEX(Simulations!$I$3:$I$62,MATCH($A172,Simulations!$A$3:$A$62,0))&gt;0,2*PI()*INDEX(Simulations!$T$3:$T$62,MATCH($A172,Simulations!$A$3:$A$62,0))^2*INDEX(Simulations!$U$3:$U$62,MATCH($A172,Simulations!$A$3:$A$62,0))/2^1.5*(2/3*LN($E172/INDEX(Simulations!$J$3:$J$62,MATCH($A172,Simulations!$A$3:$A$62,0)))^1.5+SQRT(LN($E172/INDEX(Simulations!$J$3:$J$62,MATCH($A172,Simulations!$A$3:$A$62,0))))+$E172/INDEX(Simulations!$J$3:$J$62,MATCH($A172,Simulations!$A$3:$A$62,0))*SQRT(PI())/2*ERFC(SQRT(LN($E172/INDEX(Simulations!$J$3:$J$62,MATCH($A172,Simulations!$A$3:$A$62,0)))))),PI()*INDEX(Simulations!$T$3:$T$62,MATCH($A172,Simulations!$A$3:$A$62,0))^2/2*(LN($E172/INDEX(Simulations!$J$3:$J$62,MATCH($A172,Simulations!$A$3:$A$62,0)))+1)))))</f>
        <v/>
      </c>
      <c r="R172" s="16" t="str">
        <f aca="false">IF(OR($A172="",ISNA(MATCH($A172,Simulations!$A$3:$A$62,0))),"",IF(N($F172)&lt;=0,0,IF($F172&lt;INDEX(Simulations!$J$3:$J$62,MATCH($A172,Simulations!$A$3:$A$62,0)),$D172/(INDEX(Simulations!$G$3:$G$62,MATCH($A172,Simulations!$A$3:$A$62,0))*INDEX(Simulations!$H$3:$H$62,MATCH($A172,Simulations!$A$3:$A$62,0))*IF(INDEX(Simulations!$I$3:$I$62,MATCH($A172,Simulations!$A$3:$A$62,0))&gt;0,INDEX(Simulations!$I$3:$I$62,MATCH($A172,Simulations!$A$3:$A$62,0)),1))*$F172*(PI()/2*INDEX(Simulations!$T$3:$T$62,MATCH($A172,Simulations!$A$3:$A$62,0))^2*IF(INDEX(Simulations!$I$3:$I$62,MATCH($A172,Simulations!$A$3:$A$62,0))&gt;0,SQRT(PI()/2)*INDEX(Simulations!$U$3:$U$62,MATCH($A172,Simulations!$A$3:$A$62,0)),1)),$D172/(INDEX(Simulations!$G$3:$G$62,MATCH($A172,Simulations!$A$3:$A$62,0))*INDEX(Simulations!$H$3:$H$62,MATCH($A172,Simulations!$A$3:$A$62,0))*IF(INDEX(Simulations!$I$3:$I$62,MATCH($A172,Simulations!$A$3:$A$62,0))&gt;0,INDEX(Simulations!$I$3:$I$62,MATCH($A172,Simulations!$A$3:$A$62,0)),1))*INDEX(Simulations!$J$3:$J$62,MATCH($A172,Simulations!$A$3:$A$62,0))*IF(INDEX(Simulations!$I$3:$I$62,MATCH($A172,Simulations!$A$3:$A$62,0))&gt;0,2*PI()*INDEX(Simulations!$T$3:$T$62,MATCH($A172,Simulations!$A$3:$A$62,0))^2*INDEX(Simulations!$U$3:$U$62,MATCH($A172,Simulations!$A$3:$A$62,0))/2^1.5*(2/3*LN($F172/INDEX(Simulations!$J$3:$J$62,MATCH($A172,Simulations!$A$3:$A$62,0)))^1.5+SQRT(LN($F172/INDEX(Simulations!$J$3:$J$62,MATCH($A172,Simulations!$A$3:$A$62,0))))+$F172/INDEX(Simulations!$J$3:$J$62,MATCH($A172,Simulations!$A$3:$A$62,0))*SQRT(PI())/2*ERFC(SQRT(LN($F172/INDEX(Simulations!$J$3:$J$62,MATCH($A172,Simulations!$A$3:$A$62,0)))))),PI()*INDEX(Simulations!$T$3:$T$62,MATCH($A172,Simulations!$A$3:$A$62,0))^2/2*(LN($F172/INDEX(Simulations!$J$3:$J$62,MATCH($A172,Simulations!$A$3:$A$62,0)))+1)))))</f>
        <v/>
      </c>
      <c r="S172" s="16" t="str">
        <f aca="false">IF(OR($A172="",ISNA(MATCH($A172,Simulations!$A$3:$A$62,0))),"",IF(N($G172)&lt;=0,0,IF($G172&lt;INDEX(Simulations!$J$3:$J$62,MATCH($A172,Simulations!$A$3:$A$62,0)),$D172/(INDEX(Simulations!$G$3:$G$62,MATCH($A172,Simulations!$A$3:$A$62,0))*INDEX(Simulations!$H$3:$H$62,MATCH($A172,Simulations!$A$3:$A$62,0))*IF(INDEX(Simulations!$I$3:$I$62,MATCH($A172,Simulations!$A$3:$A$62,0))&gt;0,INDEX(Simulations!$I$3:$I$62,MATCH($A172,Simulations!$A$3:$A$62,0)),1))*$G172*(PI()/2*INDEX(Simulations!$T$3:$T$62,MATCH($A172,Simulations!$A$3:$A$62,0))^2*IF(INDEX(Simulations!$I$3:$I$62,MATCH($A172,Simulations!$A$3:$A$62,0))&gt;0,SQRT(PI()/2)*INDEX(Simulations!$U$3:$U$62,MATCH($A172,Simulations!$A$3:$A$62,0)),1)),$D172/(INDEX(Simulations!$G$3:$G$62,MATCH($A172,Simulations!$A$3:$A$62,0))*INDEX(Simulations!$H$3:$H$62,MATCH($A172,Simulations!$A$3:$A$62,0))*IF(INDEX(Simulations!$I$3:$I$62,MATCH($A172,Simulations!$A$3:$A$62,0))&gt;0,INDEX(Simulations!$I$3:$I$62,MATCH($A172,Simulations!$A$3:$A$62,0)),1))*INDEX(Simulations!$J$3:$J$62,MATCH($A172,Simulations!$A$3:$A$62,0))*IF(INDEX(Simulations!$I$3:$I$62,MATCH($A172,Simulations!$A$3:$A$62,0))&gt;0,2*PI()*INDEX(Simulations!$T$3:$T$62,MATCH($A172,Simulations!$A$3:$A$62,0))^2*INDEX(Simulations!$U$3:$U$62,MATCH($A172,Simulations!$A$3:$A$62,0))/2^1.5*(2/3*LN($G172/INDEX(Simulations!$J$3:$J$62,MATCH($A172,Simulations!$A$3:$A$62,0)))^1.5+SQRT(LN($G172/INDEX(Simulations!$J$3:$J$62,MATCH($A172,Simulations!$A$3:$A$62,0))))+$G172/INDEX(Simulations!$J$3:$J$62,MATCH($A172,Simulations!$A$3:$A$62,0))*SQRT(PI())/2*ERFC(SQRT(LN($G172/INDEX(Simulations!$J$3:$J$62,MATCH($A172,Simulations!$A$3:$A$62,0)))))),PI()*INDEX(Simulations!$T$3:$T$62,MATCH($A172,Simulations!$A$3:$A$62,0))^2/2*(LN($G172/INDEX(Simulations!$J$3:$J$62,MATCH($A172,Simulations!$A$3:$A$62,0)))+1)))))</f>
        <v/>
      </c>
      <c r="T172" s="16" t="str">
        <f aca="false">IF(OR($A172="",ISNA(MATCH($A172,Simulations!$A$3:$A$62,0))),"",IF(N($H172)&lt;=0,0,IF($H172&lt;INDEX(Simulations!$J$3:$J$62,MATCH($A172,Simulations!$A$3:$A$62,0)),$D172/(INDEX(Simulations!$G$3:$G$62,MATCH($A172,Simulations!$A$3:$A$62,0))*INDEX(Simulations!$H$3:$H$62,MATCH($A172,Simulations!$A$3:$A$62,0))*IF(INDEX(Simulations!$I$3:$I$62,MATCH($A172,Simulations!$A$3:$A$62,0))&gt;0,INDEX(Simulations!$I$3:$I$62,MATCH($A172,Simulations!$A$3:$A$62,0)),1))*$H172*(PI()/2*INDEX(Simulations!$T$3:$T$62,MATCH($A172,Simulations!$A$3:$A$62,0))^2*IF(INDEX(Simulations!$I$3:$I$62,MATCH($A172,Simulations!$A$3:$A$62,0))&gt;0,SQRT(PI()/2)*INDEX(Simulations!$U$3:$U$62,MATCH($A172,Simulations!$A$3:$A$62,0)),1)),$D172/(INDEX(Simulations!$G$3:$G$62,MATCH($A172,Simulations!$A$3:$A$62,0))*INDEX(Simulations!$H$3:$H$62,MATCH($A172,Simulations!$A$3:$A$62,0))*IF(INDEX(Simulations!$I$3:$I$62,MATCH($A172,Simulations!$A$3:$A$62,0))&gt;0,INDEX(Simulations!$I$3:$I$62,MATCH($A172,Simulations!$A$3:$A$62,0)),1))*INDEX(Simulations!$J$3:$J$62,MATCH($A172,Simulations!$A$3:$A$62,0))*IF(INDEX(Simulations!$I$3:$I$62,MATCH($A172,Simulations!$A$3:$A$62,0))&gt;0,2*PI()*INDEX(Simulations!$T$3:$T$62,MATCH($A172,Simulations!$A$3:$A$62,0))^2*INDEX(Simulations!$U$3:$U$62,MATCH($A172,Simulations!$A$3:$A$62,0))/2^1.5*(2/3*LN($H172/INDEX(Simulations!$J$3:$J$62,MATCH($A172,Simulations!$A$3:$A$62,0)))^1.5+SQRT(LN($H172/INDEX(Simulations!$J$3:$J$62,MATCH($A172,Simulations!$A$3:$A$62,0))))+$H172/INDEX(Simulations!$J$3:$J$62,MATCH($A172,Simulations!$A$3:$A$62,0))*SQRT(PI())/2*ERFC(SQRT(LN($H172/INDEX(Simulations!$J$3:$J$62,MATCH($A172,Simulations!$A$3:$A$62,0)))))),PI()*INDEX(Simulations!$T$3:$T$62,MATCH($A172,Simulations!$A$3:$A$62,0))^2/2*(LN($H172/INDEX(Simulations!$J$3:$J$62,MATCH($A172,Simulations!$A$3:$A$62,0)))+1)))))</f>
        <v/>
      </c>
      <c r="U172" s="18" t="str">
        <f aca="false">IF(OR(OR($A172="",ISNA(MATCH($A172,Simulations!$A$3:$A$62,0))),N($C172)&lt;=0),"",SQRT(2*$C172*1000000/(INDEX(Simulations!$J$3:$J$62,MATCH($A172,Simulations!$A$3:$A$62,0))*1000))/INDEX(Simulations!$T$3:$T$62,MATCH($A172,Simulations!$A$3:$A$62,0)))</f>
        <v/>
      </c>
      <c r="V172" s="19" t="str">
        <f aca="false">IF($A172="","",IF(ISNA(MATCH($A172,Simulations!$A$3:$A$62,0)),"✖ Sim ID not found on the Simulations sheet",IF($P172&gt;=1,"✖ brightness &gt;= sampling frequency: completely saturated (D too small, c too large)",IF($P172&gt;0.1,"⚠ brightness &gt; 10% of the sampling frequency: focus starts to saturate",IF(N($U172)&gt;0.1,"⚠ diffusion step &gt; 10% of wr: raise the sampling frequency",IF(MAX($E172:$H172)=0,"⚠ no brightness set","✔ OK"))))))</f>
        <v/>
      </c>
    </row>
    <row r="173" customFormat="false" ht="15" hidden="false" customHeight="false" outlineLevel="0" collapsed="false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4"/>
      <c r="O173" s="18" t="str">
        <f aca="false">IF(OR($A173="",ISNA(MATCH($A173,Simulations!$A$3:$A$62,0))),"",IF(INDEX(Simulations!$I$3:$I$62,MATCH($A173,Simulations!$A$3:$A$62,0))&gt;0,$D173/(INDEX(Simulations!$G$3:$G$62,MATCH($A173,Simulations!$A$3:$A$62,0))*INDEX(Simulations!$H$3:$H$62,MATCH($A173,Simulations!$A$3:$A$62,0))*IF(INDEX(Simulations!$I$3:$I$62,MATCH($A173,Simulations!$A$3:$A$62,0))&gt;0,INDEX(Simulations!$I$3:$I$62,MATCH($A173,Simulations!$A$3:$A$62,0)),1))/1E-024/6.022E+023/0.000000001,""))</f>
        <v/>
      </c>
      <c r="P173" s="20" t="str">
        <f aca="false">IF(OR($A173="",ISNA(MATCH($A173,Simulations!$A$3:$A$62,0))),"",MAX($E173:$H173)/INDEX(Simulations!$J$3:$J$62,MATCH($A173,Simulations!$A$3:$A$62,0)))</f>
        <v/>
      </c>
      <c r="Q173" s="16" t="str">
        <f aca="false">IF(OR($A173="",ISNA(MATCH($A173,Simulations!$A$3:$A$62,0))),"",IF(N($E173)&lt;=0,0,IF($E173&lt;INDEX(Simulations!$J$3:$J$62,MATCH($A173,Simulations!$A$3:$A$62,0)),$D173/(INDEX(Simulations!$G$3:$G$62,MATCH($A173,Simulations!$A$3:$A$62,0))*INDEX(Simulations!$H$3:$H$62,MATCH($A173,Simulations!$A$3:$A$62,0))*IF(INDEX(Simulations!$I$3:$I$62,MATCH($A173,Simulations!$A$3:$A$62,0))&gt;0,INDEX(Simulations!$I$3:$I$62,MATCH($A173,Simulations!$A$3:$A$62,0)),1))*$E173*(PI()/2*INDEX(Simulations!$T$3:$T$62,MATCH($A173,Simulations!$A$3:$A$62,0))^2*IF(INDEX(Simulations!$I$3:$I$62,MATCH($A173,Simulations!$A$3:$A$62,0))&gt;0,SQRT(PI()/2)*INDEX(Simulations!$U$3:$U$62,MATCH($A173,Simulations!$A$3:$A$62,0)),1)),$D173/(INDEX(Simulations!$G$3:$G$62,MATCH($A173,Simulations!$A$3:$A$62,0))*INDEX(Simulations!$H$3:$H$62,MATCH($A173,Simulations!$A$3:$A$62,0))*IF(INDEX(Simulations!$I$3:$I$62,MATCH($A173,Simulations!$A$3:$A$62,0))&gt;0,INDEX(Simulations!$I$3:$I$62,MATCH($A173,Simulations!$A$3:$A$62,0)),1))*INDEX(Simulations!$J$3:$J$62,MATCH($A173,Simulations!$A$3:$A$62,0))*IF(INDEX(Simulations!$I$3:$I$62,MATCH($A173,Simulations!$A$3:$A$62,0))&gt;0,2*PI()*INDEX(Simulations!$T$3:$T$62,MATCH($A173,Simulations!$A$3:$A$62,0))^2*INDEX(Simulations!$U$3:$U$62,MATCH($A173,Simulations!$A$3:$A$62,0))/2^1.5*(2/3*LN($E173/INDEX(Simulations!$J$3:$J$62,MATCH($A173,Simulations!$A$3:$A$62,0)))^1.5+SQRT(LN($E173/INDEX(Simulations!$J$3:$J$62,MATCH($A173,Simulations!$A$3:$A$62,0))))+$E173/INDEX(Simulations!$J$3:$J$62,MATCH($A173,Simulations!$A$3:$A$62,0))*SQRT(PI())/2*ERFC(SQRT(LN($E173/INDEX(Simulations!$J$3:$J$62,MATCH($A173,Simulations!$A$3:$A$62,0)))))),PI()*INDEX(Simulations!$T$3:$T$62,MATCH($A173,Simulations!$A$3:$A$62,0))^2/2*(LN($E173/INDEX(Simulations!$J$3:$J$62,MATCH($A173,Simulations!$A$3:$A$62,0)))+1)))))</f>
        <v/>
      </c>
      <c r="R173" s="16" t="str">
        <f aca="false">IF(OR($A173="",ISNA(MATCH($A173,Simulations!$A$3:$A$62,0))),"",IF(N($F173)&lt;=0,0,IF($F173&lt;INDEX(Simulations!$J$3:$J$62,MATCH($A173,Simulations!$A$3:$A$62,0)),$D173/(INDEX(Simulations!$G$3:$G$62,MATCH($A173,Simulations!$A$3:$A$62,0))*INDEX(Simulations!$H$3:$H$62,MATCH($A173,Simulations!$A$3:$A$62,0))*IF(INDEX(Simulations!$I$3:$I$62,MATCH($A173,Simulations!$A$3:$A$62,0))&gt;0,INDEX(Simulations!$I$3:$I$62,MATCH($A173,Simulations!$A$3:$A$62,0)),1))*$F173*(PI()/2*INDEX(Simulations!$T$3:$T$62,MATCH($A173,Simulations!$A$3:$A$62,0))^2*IF(INDEX(Simulations!$I$3:$I$62,MATCH($A173,Simulations!$A$3:$A$62,0))&gt;0,SQRT(PI()/2)*INDEX(Simulations!$U$3:$U$62,MATCH($A173,Simulations!$A$3:$A$62,0)),1)),$D173/(INDEX(Simulations!$G$3:$G$62,MATCH($A173,Simulations!$A$3:$A$62,0))*INDEX(Simulations!$H$3:$H$62,MATCH($A173,Simulations!$A$3:$A$62,0))*IF(INDEX(Simulations!$I$3:$I$62,MATCH($A173,Simulations!$A$3:$A$62,0))&gt;0,INDEX(Simulations!$I$3:$I$62,MATCH($A173,Simulations!$A$3:$A$62,0)),1))*INDEX(Simulations!$J$3:$J$62,MATCH($A173,Simulations!$A$3:$A$62,0))*IF(INDEX(Simulations!$I$3:$I$62,MATCH($A173,Simulations!$A$3:$A$62,0))&gt;0,2*PI()*INDEX(Simulations!$T$3:$T$62,MATCH($A173,Simulations!$A$3:$A$62,0))^2*INDEX(Simulations!$U$3:$U$62,MATCH($A173,Simulations!$A$3:$A$62,0))/2^1.5*(2/3*LN($F173/INDEX(Simulations!$J$3:$J$62,MATCH($A173,Simulations!$A$3:$A$62,0)))^1.5+SQRT(LN($F173/INDEX(Simulations!$J$3:$J$62,MATCH($A173,Simulations!$A$3:$A$62,0))))+$F173/INDEX(Simulations!$J$3:$J$62,MATCH($A173,Simulations!$A$3:$A$62,0))*SQRT(PI())/2*ERFC(SQRT(LN($F173/INDEX(Simulations!$J$3:$J$62,MATCH($A173,Simulations!$A$3:$A$62,0)))))),PI()*INDEX(Simulations!$T$3:$T$62,MATCH($A173,Simulations!$A$3:$A$62,0))^2/2*(LN($F173/INDEX(Simulations!$J$3:$J$62,MATCH($A173,Simulations!$A$3:$A$62,0)))+1)))))</f>
        <v/>
      </c>
      <c r="S173" s="16" t="str">
        <f aca="false">IF(OR($A173="",ISNA(MATCH($A173,Simulations!$A$3:$A$62,0))),"",IF(N($G173)&lt;=0,0,IF($G173&lt;INDEX(Simulations!$J$3:$J$62,MATCH($A173,Simulations!$A$3:$A$62,0)),$D173/(INDEX(Simulations!$G$3:$G$62,MATCH($A173,Simulations!$A$3:$A$62,0))*INDEX(Simulations!$H$3:$H$62,MATCH($A173,Simulations!$A$3:$A$62,0))*IF(INDEX(Simulations!$I$3:$I$62,MATCH($A173,Simulations!$A$3:$A$62,0))&gt;0,INDEX(Simulations!$I$3:$I$62,MATCH($A173,Simulations!$A$3:$A$62,0)),1))*$G173*(PI()/2*INDEX(Simulations!$T$3:$T$62,MATCH($A173,Simulations!$A$3:$A$62,0))^2*IF(INDEX(Simulations!$I$3:$I$62,MATCH($A173,Simulations!$A$3:$A$62,0))&gt;0,SQRT(PI()/2)*INDEX(Simulations!$U$3:$U$62,MATCH($A173,Simulations!$A$3:$A$62,0)),1)),$D173/(INDEX(Simulations!$G$3:$G$62,MATCH($A173,Simulations!$A$3:$A$62,0))*INDEX(Simulations!$H$3:$H$62,MATCH($A173,Simulations!$A$3:$A$62,0))*IF(INDEX(Simulations!$I$3:$I$62,MATCH($A173,Simulations!$A$3:$A$62,0))&gt;0,INDEX(Simulations!$I$3:$I$62,MATCH($A173,Simulations!$A$3:$A$62,0)),1))*INDEX(Simulations!$J$3:$J$62,MATCH($A173,Simulations!$A$3:$A$62,0))*IF(INDEX(Simulations!$I$3:$I$62,MATCH($A173,Simulations!$A$3:$A$62,0))&gt;0,2*PI()*INDEX(Simulations!$T$3:$T$62,MATCH($A173,Simulations!$A$3:$A$62,0))^2*INDEX(Simulations!$U$3:$U$62,MATCH($A173,Simulations!$A$3:$A$62,0))/2^1.5*(2/3*LN($G173/INDEX(Simulations!$J$3:$J$62,MATCH($A173,Simulations!$A$3:$A$62,0)))^1.5+SQRT(LN($G173/INDEX(Simulations!$J$3:$J$62,MATCH($A173,Simulations!$A$3:$A$62,0))))+$G173/INDEX(Simulations!$J$3:$J$62,MATCH($A173,Simulations!$A$3:$A$62,0))*SQRT(PI())/2*ERFC(SQRT(LN($G173/INDEX(Simulations!$J$3:$J$62,MATCH($A173,Simulations!$A$3:$A$62,0)))))),PI()*INDEX(Simulations!$T$3:$T$62,MATCH($A173,Simulations!$A$3:$A$62,0))^2/2*(LN($G173/INDEX(Simulations!$J$3:$J$62,MATCH($A173,Simulations!$A$3:$A$62,0)))+1)))))</f>
        <v/>
      </c>
      <c r="T173" s="16" t="str">
        <f aca="false">IF(OR($A173="",ISNA(MATCH($A173,Simulations!$A$3:$A$62,0))),"",IF(N($H173)&lt;=0,0,IF($H173&lt;INDEX(Simulations!$J$3:$J$62,MATCH($A173,Simulations!$A$3:$A$62,0)),$D173/(INDEX(Simulations!$G$3:$G$62,MATCH($A173,Simulations!$A$3:$A$62,0))*INDEX(Simulations!$H$3:$H$62,MATCH($A173,Simulations!$A$3:$A$62,0))*IF(INDEX(Simulations!$I$3:$I$62,MATCH($A173,Simulations!$A$3:$A$62,0))&gt;0,INDEX(Simulations!$I$3:$I$62,MATCH($A173,Simulations!$A$3:$A$62,0)),1))*$H173*(PI()/2*INDEX(Simulations!$T$3:$T$62,MATCH($A173,Simulations!$A$3:$A$62,0))^2*IF(INDEX(Simulations!$I$3:$I$62,MATCH($A173,Simulations!$A$3:$A$62,0))&gt;0,SQRT(PI()/2)*INDEX(Simulations!$U$3:$U$62,MATCH($A173,Simulations!$A$3:$A$62,0)),1)),$D173/(INDEX(Simulations!$G$3:$G$62,MATCH($A173,Simulations!$A$3:$A$62,0))*INDEX(Simulations!$H$3:$H$62,MATCH($A173,Simulations!$A$3:$A$62,0))*IF(INDEX(Simulations!$I$3:$I$62,MATCH($A173,Simulations!$A$3:$A$62,0))&gt;0,INDEX(Simulations!$I$3:$I$62,MATCH($A173,Simulations!$A$3:$A$62,0)),1))*INDEX(Simulations!$J$3:$J$62,MATCH($A173,Simulations!$A$3:$A$62,0))*IF(INDEX(Simulations!$I$3:$I$62,MATCH($A173,Simulations!$A$3:$A$62,0))&gt;0,2*PI()*INDEX(Simulations!$T$3:$T$62,MATCH($A173,Simulations!$A$3:$A$62,0))^2*INDEX(Simulations!$U$3:$U$62,MATCH($A173,Simulations!$A$3:$A$62,0))/2^1.5*(2/3*LN($H173/INDEX(Simulations!$J$3:$J$62,MATCH($A173,Simulations!$A$3:$A$62,0)))^1.5+SQRT(LN($H173/INDEX(Simulations!$J$3:$J$62,MATCH($A173,Simulations!$A$3:$A$62,0))))+$H173/INDEX(Simulations!$J$3:$J$62,MATCH($A173,Simulations!$A$3:$A$62,0))*SQRT(PI())/2*ERFC(SQRT(LN($H173/INDEX(Simulations!$J$3:$J$62,MATCH($A173,Simulations!$A$3:$A$62,0)))))),PI()*INDEX(Simulations!$T$3:$T$62,MATCH($A173,Simulations!$A$3:$A$62,0))^2/2*(LN($H173/INDEX(Simulations!$J$3:$J$62,MATCH($A173,Simulations!$A$3:$A$62,0)))+1)))))</f>
        <v/>
      </c>
      <c r="U173" s="18" t="str">
        <f aca="false">IF(OR(OR($A173="",ISNA(MATCH($A173,Simulations!$A$3:$A$62,0))),N($C173)&lt;=0),"",SQRT(2*$C173*1000000/(INDEX(Simulations!$J$3:$J$62,MATCH($A173,Simulations!$A$3:$A$62,0))*1000))/INDEX(Simulations!$T$3:$T$62,MATCH($A173,Simulations!$A$3:$A$62,0)))</f>
        <v/>
      </c>
      <c r="V173" s="19" t="str">
        <f aca="false">IF($A173="","",IF(ISNA(MATCH($A173,Simulations!$A$3:$A$62,0)),"✖ Sim ID not found on the Simulations sheet",IF($P173&gt;=1,"✖ brightness &gt;= sampling frequency: completely saturated (D too small, c too large)",IF($P173&gt;0.1,"⚠ brightness &gt; 10% of the sampling frequency: focus starts to saturate",IF(N($U173)&gt;0.1,"⚠ diffusion step &gt; 10% of wr: raise the sampling frequency",IF(MAX($E173:$H173)=0,"⚠ no brightness set","✔ OK"))))))</f>
        <v/>
      </c>
    </row>
    <row r="174" customFormat="false" ht="15" hidden="false" customHeight="false" outlineLevel="0" collapsed="false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4"/>
      <c r="O174" s="18" t="str">
        <f aca="false">IF(OR($A174="",ISNA(MATCH($A174,Simulations!$A$3:$A$62,0))),"",IF(INDEX(Simulations!$I$3:$I$62,MATCH($A174,Simulations!$A$3:$A$62,0))&gt;0,$D174/(INDEX(Simulations!$G$3:$G$62,MATCH($A174,Simulations!$A$3:$A$62,0))*INDEX(Simulations!$H$3:$H$62,MATCH($A174,Simulations!$A$3:$A$62,0))*IF(INDEX(Simulations!$I$3:$I$62,MATCH($A174,Simulations!$A$3:$A$62,0))&gt;0,INDEX(Simulations!$I$3:$I$62,MATCH($A174,Simulations!$A$3:$A$62,0)),1))/1E-024/6.022E+023/0.000000001,""))</f>
        <v/>
      </c>
      <c r="P174" s="20" t="str">
        <f aca="false">IF(OR($A174="",ISNA(MATCH($A174,Simulations!$A$3:$A$62,0))),"",MAX($E174:$H174)/INDEX(Simulations!$J$3:$J$62,MATCH($A174,Simulations!$A$3:$A$62,0)))</f>
        <v/>
      </c>
      <c r="Q174" s="16" t="str">
        <f aca="false">IF(OR($A174="",ISNA(MATCH($A174,Simulations!$A$3:$A$62,0))),"",IF(N($E174)&lt;=0,0,IF($E174&lt;INDEX(Simulations!$J$3:$J$62,MATCH($A174,Simulations!$A$3:$A$62,0)),$D174/(INDEX(Simulations!$G$3:$G$62,MATCH($A174,Simulations!$A$3:$A$62,0))*INDEX(Simulations!$H$3:$H$62,MATCH($A174,Simulations!$A$3:$A$62,0))*IF(INDEX(Simulations!$I$3:$I$62,MATCH($A174,Simulations!$A$3:$A$62,0))&gt;0,INDEX(Simulations!$I$3:$I$62,MATCH($A174,Simulations!$A$3:$A$62,0)),1))*$E174*(PI()/2*INDEX(Simulations!$T$3:$T$62,MATCH($A174,Simulations!$A$3:$A$62,0))^2*IF(INDEX(Simulations!$I$3:$I$62,MATCH($A174,Simulations!$A$3:$A$62,0))&gt;0,SQRT(PI()/2)*INDEX(Simulations!$U$3:$U$62,MATCH($A174,Simulations!$A$3:$A$62,0)),1)),$D174/(INDEX(Simulations!$G$3:$G$62,MATCH($A174,Simulations!$A$3:$A$62,0))*INDEX(Simulations!$H$3:$H$62,MATCH($A174,Simulations!$A$3:$A$62,0))*IF(INDEX(Simulations!$I$3:$I$62,MATCH($A174,Simulations!$A$3:$A$62,0))&gt;0,INDEX(Simulations!$I$3:$I$62,MATCH($A174,Simulations!$A$3:$A$62,0)),1))*INDEX(Simulations!$J$3:$J$62,MATCH($A174,Simulations!$A$3:$A$62,0))*IF(INDEX(Simulations!$I$3:$I$62,MATCH($A174,Simulations!$A$3:$A$62,0))&gt;0,2*PI()*INDEX(Simulations!$T$3:$T$62,MATCH($A174,Simulations!$A$3:$A$62,0))^2*INDEX(Simulations!$U$3:$U$62,MATCH($A174,Simulations!$A$3:$A$62,0))/2^1.5*(2/3*LN($E174/INDEX(Simulations!$J$3:$J$62,MATCH($A174,Simulations!$A$3:$A$62,0)))^1.5+SQRT(LN($E174/INDEX(Simulations!$J$3:$J$62,MATCH($A174,Simulations!$A$3:$A$62,0))))+$E174/INDEX(Simulations!$J$3:$J$62,MATCH($A174,Simulations!$A$3:$A$62,0))*SQRT(PI())/2*ERFC(SQRT(LN($E174/INDEX(Simulations!$J$3:$J$62,MATCH($A174,Simulations!$A$3:$A$62,0)))))),PI()*INDEX(Simulations!$T$3:$T$62,MATCH($A174,Simulations!$A$3:$A$62,0))^2/2*(LN($E174/INDEX(Simulations!$J$3:$J$62,MATCH($A174,Simulations!$A$3:$A$62,0)))+1)))))</f>
        <v/>
      </c>
      <c r="R174" s="16" t="str">
        <f aca="false">IF(OR($A174="",ISNA(MATCH($A174,Simulations!$A$3:$A$62,0))),"",IF(N($F174)&lt;=0,0,IF($F174&lt;INDEX(Simulations!$J$3:$J$62,MATCH($A174,Simulations!$A$3:$A$62,0)),$D174/(INDEX(Simulations!$G$3:$G$62,MATCH($A174,Simulations!$A$3:$A$62,0))*INDEX(Simulations!$H$3:$H$62,MATCH($A174,Simulations!$A$3:$A$62,0))*IF(INDEX(Simulations!$I$3:$I$62,MATCH($A174,Simulations!$A$3:$A$62,0))&gt;0,INDEX(Simulations!$I$3:$I$62,MATCH($A174,Simulations!$A$3:$A$62,0)),1))*$F174*(PI()/2*INDEX(Simulations!$T$3:$T$62,MATCH($A174,Simulations!$A$3:$A$62,0))^2*IF(INDEX(Simulations!$I$3:$I$62,MATCH($A174,Simulations!$A$3:$A$62,0))&gt;0,SQRT(PI()/2)*INDEX(Simulations!$U$3:$U$62,MATCH($A174,Simulations!$A$3:$A$62,0)),1)),$D174/(INDEX(Simulations!$G$3:$G$62,MATCH($A174,Simulations!$A$3:$A$62,0))*INDEX(Simulations!$H$3:$H$62,MATCH($A174,Simulations!$A$3:$A$62,0))*IF(INDEX(Simulations!$I$3:$I$62,MATCH($A174,Simulations!$A$3:$A$62,0))&gt;0,INDEX(Simulations!$I$3:$I$62,MATCH($A174,Simulations!$A$3:$A$62,0)),1))*INDEX(Simulations!$J$3:$J$62,MATCH($A174,Simulations!$A$3:$A$62,0))*IF(INDEX(Simulations!$I$3:$I$62,MATCH($A174,Simulations!$A$3:$A$62,0))&gt;0,2*PI()*INDEX(Simulations!$T$3:$T$62,MATCH($A174,Simulations!$A$3:$A$62,0))^2*INDEX(Simulations!$U$3:$U$62,MATCH($A174,Simulations!$A$3:$A$62,0))/2^1.5*(2/3*LN($F174/INDEX(Simulations!$J$3:$J$62,MATCH($A174,Simulations!$A$3:$A$62,0)))^1.5+SQRT(LN($F174/INDEX(Simulations!$J$3:$J$62,MATCH($A174,Simulations!$A$3:$A$62,0))))+$F174/INDEX(Simulations!$J$3:$J$62,MATCH($A174,Simulations!$A$3:$A$62,0))*SQRT(PI())/2*ERFC(SQRT(LN($F174/INDEX(Simulations!$J$3:$J$62,MATCH($A174,Simulations!$A$3:$A$62,0)))))),PI()*INDEX(Simulations!$T$3:$T$62,MATCH($A174,Simulations!$A$3:$A$62,0))^2/2*(LN($F174/INDEX(Simulations!$J$3:$J$62,MATCH($A174,Simulations!$A$3:$A$62,0)))+1)))))</f>
        <v/>
      </c>
      <c r="S174" s="16" t="str">
        <f aca="false">IF(OR($A174="",ISNA(MATCH($A174,Simulations!$A$3:$A$62,0))),"",IF(N($G174)&lt;=0,0,IF($G174&lt;INDEX(Simulations!$J$3:$J$62,MATCH($A174,Simulations!$A$3:$A$62,0)),$D174/(INDEX(Simulations!$G$3:$G$62,MATCH($A174,Simulations!$A$3:$A$62,0))*INDEX(Simulations!$H$3:$H$62,MATCH($A174,Simulations!$A$3:$A$62,0))*IF(INDEX(Simulations!$I$3:$I$62,MATCH($A174,Simulations!$A$3:$A$62,0))&gt;0,INDEX(Simulations!$I$3:$I$62,MATCH($A174,Simulations!$A$3:$A$62,0)),1))*$G174*(PI()/2*INDEX(Simulations!$T$3:$T$62,MATCH($A174,Simulations!$A$3:$A$62,0))^2*IF(INDEX(Simulations!$I$3:$I$62,MATCH($A174,Simulations!$A$3:$A$62,0))&gt;0,SQRT(PI()/2)*INDEX(Simulations!$U$3:$U$62,MATCH($A174,Simulations!$A$3:$A$62,0)),1)),$D174/(INDEX(Simulations!$G$3:$G$62,MATCH($A174,Simulations!$A$3:$A$62,0))*INDEX(Simulations!$H$3:$H$62,MATCH($A174,Simulations!$A$3:$A$62,0))*IF(INDEX(Simulations!$I$3:$I$62,MATCH($A174,Simulations!$A$3:$A$62,0))&gt;0,INDEX(Simulations!$I$3:$I$62,MATCH($A174,Simulations!$A$3:$A$62,0)),1))*INDEX(Simulations!$J$3:$J$62,MATCH($A174,Simulations!$A$3:$A$62,0))*IF(INDEX(Simulations!$I$3:$I$62,MATCH($A174,Simulations!$A$3:$A$62,0))&gt;0,2*PI()*INDEX(Simulations!$T$3:$T$62,MATCH($A174,Simulations!$A$3:$A$62,0))^2*INDEX(Simulations!$U$3:$U$62,MATCH($A174,Simulations!$A$3:$A$62,0))/2^1.5*(2/3*LN($G174/INDEX(Simulations!$J$3:$J$62,MATCH($A174,Simulations!$A$3:$A$62,0)))^1.5+SQRT(LN($G174/INDEX(Simulations!$J$3:$J$62,MATCH($A174,Simulations!$A$3:$A$62,0))))+$G174/INDEX(Simulations!$J$3:$J$62,MATCH($A174,Simulations!$A$3:$A$62,0))*SQRT(PI())/2*ERFC(SQRT(LN($G174/INDEX(Simulations!$J$3:$J$62,MATCH($A174,Simulations!$A$3:$A$62,0)))))),PI()*INDEX(Simulations!$T$3:$T$62,MATCH($A174,Simulations!$A$3:$A$62,0))^2/2*(LN($G174/INDEX(Simulations!$J$3:$J$62,MATCH($A174,Simulations!$A$3:$A$62,0)))+1)))))</f>
        <v/>
      </c>
      <c r="T174" s="16" t="str">
        <f aca="false">IF(OR($A174="",ISNA(MATCH($A174,Simulations!$A$3:$A$62,0))),"",IF(N($H174)&lt;=0,0,IF($H174&lt;INDEX(Simulations!$J$3:$J$62,MATCH($A174,Simulations!$A$3:$A$62,0)),$D174/(INDEX(Simulations!$G$3:$G$62,MATCH($A174,Simulations!$A$3:$A$62,0))*INDEX(Simulations!$H$3:$H$62,MATCH($A174,Simulations!$A$3:$A$62,0))*IF(INDEX(Simulations!$I$3:$I$62,MATCH($A174,Simulations!$A$3:$A$62,0))&gt;0,INDEX(Simulations!$I$3:$I$62,MATCH($A174,Simulations!$A$3:$A$62,0)),1))*$H174*(PI()/2*INDEX(Simulations!$T$3:$T$62,MATCH($A174,Simulations!$A$3:$A$62,0))^2*IF(INDEX(Simulations!$I$3:$I$62,MATCH($A174,Simulations!$A$3:$A$62,0))&gt;0,SQRT(PI()/2)*INDEX(Simulations!$U$3:$U$62,MATCH($A174,Simulations!$A$3:$A$62,0)),1)),$D174/(INDEX(Simulations!$G$3:$G$62,MATCH($A174,Simulations!$A$3:$A$62,0))*INDEX(Simulations!$H$3:$H$62,MATCH($A174,Simulations!$A$3:$A$62,0))*IF(INDEX(Simulations!$I$3:$I$62,MATCH($A174,Simulations!$A$3:$A$62,0))&gt;0,INDEX(Simulations!$I$3:$I$62,MATCH($A174,Simulations!$A$3:$A$62,0)),1))*INDEX(Simulations!$J$3:$J$62,MATCH($A174,Simulations!$A$3:$A$62,0))*IF(INDEX(Simulations!$I$3:$I$62,MATCH($A174,Simulations!$A$3:$A$62,0))&gt;0,2*PI()*INDEX(Simulations!$T$3:$T$62,MATCH($A174,Simulations!$A$3:$A$62,0))^2*INDEX(Simulations!$U$3:$U$62,MATCH($A174,Simulations!$A$3:$A$62,0))/2^1.5*(2/3*LN($H174/INDEX(Simulations!$J$3:$J$62,MATCH($A174,Simulations!$A$3:$A$62,0)))^1.5+SQRT(LN($H174/INDEX(Simulations!$J$3:$J$62,MATCH($A174,Simulations!$A$3:$A$62,0))))+$H174/INDEX(Simulations!$J$3:$J$62,MATCH($A174,Simulations!$A$3:$A$62,0))*SQRT(PI())/2*ERFC(SQRT(LN($H174/INDEX(Simulations!$J$3:$J$62,MATCH($A174,Simulations!$A$3:$A$62,0)))))),PI()*INDEX(Simulations!$T$3:$T$62,MATCH($A174,Simulations!$A$3:$A$62,0))^2/2*(LN($H174/INDEX(Simulations!$J$3:$J$62,MATCH($A174,Simulations!$A$3:$A$62,0)))+1)))))</f>
        <v/>
      </c>
      <c r="U174" s="18" t="str">
        <f aca="false">IF(OR(OR($A174="",ISNA(MATCH($A174,Simulations!$A$3:$A$62,0))),N($C174)&lt;=0),"",SQRT(2*$C174*1000000/(INDEX(Simulations!$J$3:$J$62,MATCH($A174,Simulations!$A$3:$A$62,0))*1000))/INDEX(Simulations!$T$3:$T$62,MATCH($A174,Simulations!$A$3:$A$62,0)))</f>
        <v/>
      </c>
      <c r="V174" s="19" t="str">
        <f aca="false">IF($A174="","",IF(ISNA(MATCH($A174,Simulations!$A$3:$A$62,0)),"✖ Sim ID not found on the Simulations sheet",IF($P174&gt;=1,"✖ brightness &gt;= sampling frequency: completely saturated (D too small, c too large)",IF($P174&gt;0.1,"⚠ brightness &gt; 10% of the sampling frequency: focus starts to saturate",IF(N($U174)&gt;0.1,"⚠ diffusion step &gt; 10% of wr: raise the sampling frequency",IF(MAX($E174:$H174)=0,"⚠ no brightness set","✔ OK"))))))</f>
        <v/>
      </c>
    </row>
    <row r="175" customFormat="false" ht="15" hidden="false" customHeight="false" outlineLevel="0" collapsed="false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4"/>
      <c r="O175" s="18" t="str">
        <f aca="false">IF(OR($A175="",ISNA(MATCH($A175,Simulations!$A$3:$A$62,0))),"",IF(INDEX(Simulations!$I$3:$I$62,MATCH($A175,Simulations!$A$3:$A$62,0))&gt;0,$D175/(INDEX(Simulations!$G$3:$G$62,MATCH($A175,Simulations!$A$3:$A$62,0))*INDEX(Simulations!$H$3:$H$62,MATCH($A175,Simulations!$A$3:$A$62,0))*IF(INDEX(Simulations!$I$3:$I$62,MATCH($A175,Simulations!$A$3:$A$62,0))&gt;0,INDEX(Simulations!$I$3:$I$62,MATCH($A175,Simulations!$A$3:$A$62,0)),1))/1E-024/6.022E+023/0.000000001,""))</f>
        <v/>
      </c>
      <c r="P175" s="20" t="str">
        <f aca="false">IF(OR($A175="",ISNA(MATCH($A175,Simulations!$A$3:$A$62,0))),"",MAX($E175:$H175)/INDEX(Simulations!$J$3:$J$62,MATCH($A175,Simulations!$A$3:$A$62,0)))</f>
        <v/>
      </c>
      <c r="Q175" s="16" t="str">
        <f aca="false">IF(OR($A175="",ISNA(MATCH($A175,Simulations!$A$3:$A$62,0))),"",IF(N($E175)&lt;=0,0,IF($E175&lt;INDEX(Simulations!$J$3:$J$62,MATCH($A175,Simulations!$A$3:$A$62,0)),$D175/(INDEX(Simulations!$G$3:$G$62,MATCH($A175,Simulations!$A$3:$A$62,0))*INDEX(Simulations!$H$3:$H$62,MATCH($A175,Simulations!$A$3:$A$62,0))*IF(INDEX(Simulations!$I$3:$I$62,MATCH($A175,Simulations!$A$3:$A$62,0))&gt;0,INDEX(Simulations!$I$3:$I$62,MATCH($A175,Simulations!$A$3:$A$62,0)),1))*$E175*(PI()/2*INDEX(Simulations!$T$3:$T$62,MATCH($A175,Simulations!$A$3:$A$62,0))^2*IF(INDEX(Simulations!$I$3:$I$62,MATCH($A175,Simulations!$A$3:$A$62,0))&gt;0,SQRT(PI()/2)*INDEX(Simulations!$U$3:$U$62,MATCH($A175,Simulations!$A$3:$A$62,0)),1)),$D175/(INDEX(Simulations!$G$3:$G$62,MATCH($A175,Simulations!$A$3:$A$62,0))*INDEX(Simulations!$H$3:$H$62,MATCH($A175,Simulations!$A$3:$A$62,0))*IF(INDEX(Simulations!$I$3:$I$62,MATCH($A175,Simulations!$A$3:$A$62,0))&gt;0,INDEX(Simulations!$I$3:$I$62,MATCH($A175,Simulations!$A$3:$A$62,0)),1))*INDEX(Simulations!$J$3:$J$62,MATCH($A175,Simulations!$A$3:$A$62,0))*IF(INDEX(Simulations!$I$3:$I$62,MATCH($A175,Simulations!$A$3:$A$62,0))&gt;0,2*PI()*INDEX(Simulations!$T$3:$T$62,MATCH($A175,Simulations!$A$3:$A$62,0))^2*INDEX(Simulations!$U$3:$U$62,MATCH($A175,Simulations!$A$3:$A$62,0))/2^1.5*(2/3*LN($E175/INDEX(Simulations!$J$3:$J$62,MATCH($A175,Simulations!$A$3:$A$62,0)))^1.5+SQRT(LN($E175/INDEX(Simulations!$J$3:$J$62,MATCH($A175,Simulations!$A$3:$A$62,0))))+$E175/INDEX(Simulations!$J$3:$J$62,MATCH($A175,Simulations!$A$3:$A$62,0))*SQRT(PI())/2*ERFC(SQRT(LN($E175/INDEX(Simulations!$J$3:$J$62,MATCH($A175,Simulations!$A$3:$A$62,0)))))),PI()*INDEX(Simulations!$T$3:$T$62,MATCH($A175,Simulations!$A$3:$A$62,0))^2/2*(LN($E175/INDEX(Simulations!$J$3:$J$62,MATCH($A175,Simulations!$A$3:$A$62,0)))+1)))))</f>
        <v/>
      </c>
      <c r="R175" s="16" t="str">
        <f aca="false">IF(OR($A175="",ISNA(MATCH($A175,Simulations!$A$3:$A$62,0))),"",IF(N($F175)&lt;=0,0,IF($F175&lt;INDEX(Simulations!$J$3:$J$62,MATCH($A175,Simulations!$A$3:$A$62,0)),$D175/(INDEX(Simulations!$G$3:$G$62,MATCH($A175,Simulations!$A$3:$A$62,0))*INDEX(Simulations!$H$3:$H$62,MATCH($A175,Simulations!$A$3:$A$62,0))*IF(INDEX(Simulations!$I$3:$I$62,MATCH($A175,Simulations!$A$3:$A$62,0))&gt;0,INDEX(Simulations!$I$3:$I$62,MATCH($A175,Simulations!$A$3:$A$62,0)),1))*$F175*(PI()/2*INDEX(Simulations!$T$3:$T$62,MATCH($A175,Simulations!$A$3:$A$62,0))^2*IF(INDEX(Simulations!$I$3:$I$62,MATCH($A175,Simulations!$A$3:$A$62,0))&gt;0,SQRT(PI()/2)*INDEX(Simulations!$U$3:$U$62,MATCH($A175,Simulations!$A$3:$A$62,0)),1)),$D175/(INDEX(Simulations!$G$3:$G$62,MATCH($A175,Simulations!$A$3:$A$62,0))*INDEX(Simulations!$H$3:$H$62,MATCH($A175,Simulations!$A$3:$A$62,0))*IF(INDEX(Simulations!$I$3:$I$62,MATCH($A175,Simulations!$A$3:$A$62,0))&gt;0,INDEX(Simulations!$I$3:$I$62,MATCH($A175,Simulations!$A$3:$A$62,0)),1))*INDEX(Simulations!$J$3:$J$62,MATCH($A175,Simulations!$A$3:$A$62,0))*IF(INDEX(Simulations!$I$3:$I$62,MATCH($A175,Simulations!$A$3:$A$62,0))&gt;0,2*PI()*INDEX(Simulations!$T$3:$T$62,MATCH($A175,Simulations!$A$3:$A$62,0))^2*INDEX(Simulations!$U$3:$U$62,MATCH($A175,Simulations!$A$3:$A$62,0))/2^1.5*(2/3*LN($F175/INDEX(Simulations!$J$3:$J$62,MATCH($A175,Simulations!$A$3:$A$62,0)))^1.5+SQRT(LN($F175/INDEX(Simulations!$J$3:$J$62,MATCH($A175,Simulations!$A$3:$A$62,0))))+$F175/INDEX(Simulations!$J$3:$J$62,MATCH($A175,Simulations!$A$3:$A$62,0))*SQRT(PI())/2*ERFC(SQRT(LN($F175/INDEX(Simulations!$J$3:$J$62,MATCH($A175,Simulations!$A$3:$A$62,0)))))),PI()*INDEX(Simulations!$T$3:$T$62,MATCH($A175,Simulations!$A$3:$A$62,0))^2/2*(LN($F175/INDEX(Simulations!$J$3:$J$62,MATCH($A175,Simulations!$A$3:$A$62,0)))+1)))))</f>
        <v/>
      </c>
      <c r="S175" s="16" t="str">
        <f aca="false">IF(OR($A175="",ISNA(MATCH($A175,Simulations!$A$3:$A$62,0))),"",IF(N($G175)&lt;=0,0,IF($G175&lt;INDEX(Simulations!$J$3:$J$62,MATCH($A175,Simulations!$A$3:$A$62,0)),$D175/(INDEX(Simulations!$G$3:$G$62,MATCH($A175,Simulations!$A$3:$A$62,0))*INDEX(Simulations!$H$3:$H$62,MATCH($A175,Simulations!$A$3:$A$62,0))*IF(INDEX(Simulations!$I$3:$I$62,MATCH($A175,Simulations!$A$3:$A$62,0))&gt;0,INDEX(Simulations!$I$3:$I$62,MATCH($A175,Simulations!$A$3:$A$62,0)),1))*$G175*(PI()/2*INDEX(Simulations!$T$3:$T$62,MATCH($A175,Simulations!$A$3:$A$62,0))^2*IF(INDEX(Simulations!$I$3:$I$62,MATCH($A175,Simulations!$A$3:$A$62,0))&gt;0,SQRT(PI()/2)*INDEX(Simulations!$U$3:$U$62,MATCH($A175,Simulations!$A$3:$A$62,0)),1)),$D175/(INDEX(Simulations!$G$3:$G$62,MATCH($A175,Simulations!$A$3:$A$62,0))*INDEX(Simulations!$H$3:$H$62,MATCH($A175,Simulations!$A$3:$A$62,0))*IF(INDEX(Simulations!$I$3:$I$62,MATCH($A175,Simulations!$A$3:$A$62,0))&gt;0,INDEX(Simulations!$I$3:$I$62,MATCH($A175,Simulations!$A$3:$A$62,0)),1))*INDEX(Simulations!$J$3:$J$62,MATCH($A175,Simulations!$A$3:$A$62,0))*IF(INDEX(Simulations!$I$3:$I$62,MATCH($A175,Simulations!$A$3:$A$62,0))&gt;0,2*PI()*INDEX(Simulations!$T$3:$T$62,MATCH($A175,Simulations!$A$3:$A$62,0))^2*INDEX(Simulations!$U$3:$U$62,MATCH($A175,Simulations!$A$3:$A$62,0))/2^1.5*(2/3*LN($G175/INDEX(Simulations!$J$3:$J$62,MATCH($A175,Simulations!$A$3:$A$62,0)))^1.5+SQRT(LN($G175/INDEX(Simulations!$J$3:$J$62,MATCH($A175,Simulations!$A$3:$A$62,0))))+$G175/INDEX(Simulations!$J$3:$J$62,MATCH($A175,Simulations!$A$3:$A$62,0))*SQRT(PI())/2*ERFC(SQRT(LN($G175/INDEX(Simulations!$J$3:$J$62,MATCH($A175,Simulations!$A$3:$A$62,0)))))),PI()*INDEX(Simulations!$T$3:$T$62,MATCH($A175,Simulations!$A$3:$A$62,0))^2/2*(LN($G175/INDEX(Simulations!$J$3:$J$62,MATCH($A175,Simulations!$A$3:$A$62,0)))+1)))))</f>
        <v/>
      </c>
      <c r="T175" s="16" t="str">
        <f aca="false">IF(OR($A175="",ISNA(MATCH($A175,Simulations!$A$3:$A$62,0))),"",IF(N($H175)&lt;=0,0,IF($H175&lt;INDEX(Simulations!$J$3:$J$62,MATCH($A175,Simulations!$A$3:$A$62,0)),$D175/(INDEX(Simulations!$G$3:$G$62,MATCH($A175,Simulations!$A$3:$A$62,0))*INDEX(Simulations!$H$3:$H$62,MATCH($A175,Simulations!$A$3:$A$62,0))*IF(INDEX(Simulations!$I$3:$I$62,MATCH($A175,Simulations!$A$3:$A$62,0))&gt;0,INDEX(Simulations!$I$3:$I$62,MATCH($A175,Simulations!$A$3:$A$62,0)),1))*$H175*(PI()/2*INDEX(Simulations!$T$3:$T$62,MATCH($A175,Simulations!$A$3:$A$62,0))^2*IF(INDEX(Simulations!$I$3:$I$62,MATCH($A175,Simulations!$A$3:$A$62,0))&gt;0,SQRT(PI()/2)*INDEX(Simulations!$U$3:$U$62,MATCH($A175,Simulations!$A$3:$A$62,0)),1)),$D175/(INDEX(Simulations!$G$3:$G$62,MATCH($A175,Simulations!$A$3:$A$62,0))*INDEX(Simulations!$H$3:$H$62,MATCH($A175,Simulations!$A$3:$A$62,0))*IF(INDEX(Simulations!$I$3:$I$62,MATCH($A175,Simulations!$A$3:$A$62,0))&gt;0,INDEX(Simulations!$I$3:$I$62,MATCH($A175,Simulations!$A$3:$A$62,0)),1))*INDEX(Simulations!$J$3:$J$62,MATCH($A175,Simulations!$A$3:$A$62,0))*IF(INDEX(Simulations!$I$3:$I$62,MATCH($A175,Simulations!$A$3:$A$62,0))&gt;0,2*PI()*INDEX(Simulations!$T$3:$T$62,MATCH($A175,Simulations!$A$3:$A$62,0))^2*INDEX(Simulations!$U$3:$U$62,MATCH($A175,Simulations!$A$3:$A$62,0))/2^1.5*(2/3*LN($H175/INDEX(Simulations!$J$3:$J$62,MATCH($A175,Simulations!$A$3:$A$62,0)))^1.5+SQRT(LN($H175/INDEX(Simulations!$J$3:$J$62,MATCH($A175,Simulations!$A$3:$A$62,0))))+$H175/INDEX(Simulations!$J$3:$J$62,MATCH($A175,Simulations!$A$3:$A$62,0))*SQRT(PI())/2*ERFC(SQRT(LN($H175/INDEX(Simulations!$J$3:$J$62,MATCH($A175,Simulations!$A$3:$A$62,0)))))),PI()*INDEX(Simulations!$T$3:$T$62,MATCH($A175,Simulations!$A$3:$A$62,0))^2/2*(LN($H175/INDEX(Simulations!$J$3:$J$62,MATCH($A175,Simulations!$A$3:$A$62,0)))+1)))))</f>
        <v/>
      </c>
      <c r="U175" s="18" t="str">
        <f aca="false">IF(OR(OR($A175="",ISNA(MATCH($A175,Simulations!$A$3:$A$62,0))),N($C175)&lt;=0),"",SQRT(2*$C175*1000000/(INDEX(Simulations!$J$3:$J$62,MATCH($A175,Simulations!$A$3:$A$62,0))*1000))/INDEX(Simulations!$T$3:$T$62,MATCH($A175,Simulations!$A$3:$A$62,0)))</f>
        <v/>
      </c>
      <c r="V175" s="19" t="str">
        <f aca="false">IF($A175="","",IF(ISNA(MATCH($A175,Simulations!$A$3:$A$62,0)),"✖ Sim ID not found on the Simulations sheet",IF($P175&gt;=1,"✖ brightness &gt;= sampling frequency: completely saturated (D too small, c too large)",IF($P175&gt;0.1,"⚠ brightness &gt; 10% of the sampling frequency: focus starts to saturate",IF(N($U175)&gt;0.1,"⚠ diffusion step &gt; 10% of wr: raise the sampling frequency",IF(MAX($E175:$H175)=0,"⚠ no brightness set","✔ OK"))))))</f>
        <v/>
      </c>
    </row>
    <row r="176" customFormat="false" ht="15" hidden="false" customHeight="false" outlineLevel="0" collapsed="false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4"/>
      <c r="O176" s="18" t="str">
        <f aca="false">IF(OR($A176="",ISNA(MATCH($A176,Simulations!$A$3:$A$62,0))),"",IF(INDEX(Simulations!$I$3:$I$62,MATCH($A176,Simulations!$A$3:$A$62,0))&gt;0,$D176/(INDEX(Simulations!$G$3:$G$62,MATCH($A176,Simulations!$A$3:$A$62,0))*INDEX(Simulations!$H$3:$H$62,MATCH($A176,Simulations!$A$3:$A$62,0))*IF(INDEX(Simulations!$I$3:$I$62,MATCH($A176,Simulations!$A$3:$A$62,0))&gt;0,INDEX(Simulations!$I$3:$I$62,MATCH($A176,Simulations!$A$3:$A$62,0)),1))/1E-024/6.022E+023/0.000000001,""))</f>
        <v/>
      </c>
      <c r="P176" s="20" t="str">
        <f aca="false">IF(OR($A176="",ISNA(MATCH($A176,Simulations!$A$3:$A$62,0))),"",MAX($E176:$H176)/INDEX(Simulations!$J$3:$J$62,MATCH($A176,Simulations!$A$3:$A$62,0)))</f>
        <v/>
      </c>
      <c r="Q176" s="16" t="str">
        <f aca="false">IF(OR($A176="",ISNA(MATCH($A176,Simulations!$A$3:$A$62,0))),"",IF(N($E176)&lt;=0,0,IF($E176&lt;INDEX(Simulations!$J$3:$J$62,MATCH($A176,Simulations!$A$3:$A$62,0)),$D176/(INDEX(Simulations!$G$3:$G$62,MATCH($A176,Simulations!$A$3:$A$62,0))*INDEX(Simulations!$H$3:$H$62,MATCH($A176,Simulations!$A$3:$A$62,0))*IF(INDEX(Simulations!$I$3:$I$62,MATCH($A176,Simulations!$A$3:$A$62,0))&gt;0,INDEX(Simulations!$I$3:$I$62,MATCH($A176,Simulations!$A$3:$A$62,0)),1))*$E176*(PI()/2*INDEX(Simulations!$T$3:$T$62,MATCH($A176,Simulations!$A$3:$A$62,0))^2*IF(INDEX(Simulations!$I$3:$I$62,MATCH($A176,Simulations!$A$3:$A$62,0))&gt;0,SQRT(PI()/2)*INDEX(Simulations!$U$3:$U$62,MATCH($A176,Simulations!$A$3:$A$62,0)),1)),$D176/(INDEX(Simulations!$G$3:$G$62,MATCH($A176,Simulations!$A$3:$A$62,0))*INDEX(Simulations!$H$3:$H$62,MATCH($A176,Simulations!$A$3:$A$62,0))*IF(INDEX(Simulations!$I$3:$I$62,MATCH($A176,Simulations!$A$3:$A$62,0))&gt;0,INDEX(Simulations!$I$3:$I$62,MATCH($A176,Simulations!$A$3:$A$62,0)),1))*INDEX(Simulations!$J$3:$J$62,MATCH($A176,Simulations!$A$3:$A$62,0))*IF(INDEX(Simulations!$I$3:$I$62,MATCH($A176,Simulations!$A$3:$A$62,0))&gt;0,2*PI()*INDEX(Simulations!$T$3:$T$62,MATCH($A176,Simulations!$A$3:$A$62,0))^2*INDEX(Simulations!$U$3:$U$62,MATCH($A176,Simulations!$A$3:$A$62,0))/2^1.5*(2/3*LN($E176/INDEX(Simulations!$J$3:$J$62,MATCH($A176,Simulations!$A$3:$A$62,0)))^1.5+SQRT(LN($E176/INDEX(Simulations!$J$3:$J$62,MATCH($A176,Simulations!$A$3:$A$62,0))))+$E176/INDEX(Simulations!$J$3:$J$62,MATCH($A176,Simulations!$A$3:$A$62,0))*SQRT(PI())/2*ERFC(SQRT(LN($E176/INDEX(Simulations!$J$3:$J$62,MATCH($A176,Simulations!$A$3:$A$62,0)))))),PI()*INDEX(Simulations!$T$3:$T$62,MATCH($A176,Simulations!$A$3:$A$62,0))^2/2*(LN($E176/INDEX(Simulations!$J$3:$J$62,MATCH($A176,Simulations!$A$3:$A$62,0)))+1)))))</f>
        <v/>
      </c>
      <c r="R176" s="16" t="str">
        <f aca="false">IF(OR($A176="",ISNA(MATCH($A176,Simulations!$A$3:$A$62,0))),"",IF(N($F176)&lt;=0,0,IF($F176&lt;INDEX(Simulations!$J$3:$J$62,MATCH($A176,Simulations!$A$3:$A$62,0)),$D176/(INDEX(Simulations!$G$3:$G$62,MATCH($A176,Simulations!$A$3:$A$62,0))*INDEX(Simulations!$H$3:$H$62,MATCH($A176,Simulations!$A$3:$A$62,0))*IF(INDEX(Simulations!$I$3:$I$62,MATCH($A176,Simulations!$A$3:$A$62,0))&gt;0,INDEX(Simulations!$I$3:$I$62,MATCH($A176,Simulations!$A$3:$A$62,0)),1))*$F176*(PI()/2*INDEX(Simulations!$T$3:$T$62,MATCH($A176,Simulations!$A$3:$A$62,0))^2*IF(INDEX(Simulations!$I$3:$I$62,MATCH($A176,Simulations!$A$3:$A$62,0))&gt;0,SQRT(PI()/2)*INDEX(Simulations!$U$3:$U$62,MATCH($A176,Simulations!$A$3:$A$62,0)),1)),$D176/(INDEX(Simulations!$G$3:$G$62,MATCH($A176,Simulations!$A$3:$A$62,0))*INDEX(Simulations!$H$3:$H$62,MATCH($A176,Simulations!$A$3:$A$62,0))*IF(INDEX(Simulations!$I$3:$I$62,MATCH($A176,Simulations!$A$3:$A$62,0))&gt;0,INDEX(Simulations!$I$3:$I$62,MATCH($A176,Simulations!$A$3:$A$62,0)),1))*INDEX(Simulations!$J$3:$J$62,MATCH($A176,Simulations!$A$3:$A$62,0))*IF(INDEX(Simulations!$I$3:$I$62,MATCH($A176,Simulations!$A$3:$A$62,0))&gt;0,2*PI()*INDEX(Simulations!$T$3:$T$62,MATCH($A176,Simulations!$A$3:$A$62,0))^2*INDEX(Simulations!$U$3:$U$62,MATCH($A176,Simulations!$A$3:$A$62,0))/2^1.5*(2/3*LN($F176/INDEX(Simulations!$J$3:$J$62,MATCH($A176,Simulations!$A$3:$A$62,0)))^1.5+SQRT(LN($F176/INDEX(Simulations!$J$3:$J$62,MATCH($A176,Simulations!$A$3:$A$62,0))))+$F176/INDEX(Simulations!$J$3:$J$62,MATCH($A176,Simulations!$A$3:$A$62,0))*SQRT(PI())/2*ERFC(SQRT(LN($F176/INDEX(Simulations!$J$3:$J$62,MATCH($A176,Simulations!$A$3:$A$62,0)))))),PI()*INDEX(Simulations!$T$3:$T$62,MATCH($A176,Simulations!$A$3:$A$62,0))^2/2*(LN($F176/INDEX(Simulations!$J$3:$J$62,MATCH($A176,Simulations!$A$3:$A$62,0)))+1)))))</f>
        <v/>
      </c>
      <c r="S176" s="16" t="str">
        <f aca="false">IF(OR($A176="",ISNA(MATCH($A176,Simulations!$A$3:$A$62,0))),"",IF(N($G176)&lt;=0,0,IF($G176&lt;INDEX(Simulations!$J$3:$J$62,MATCH($A176,Simulations!$A$3:$A$62,0)),$D176/(INDEX(Simulations!$G$3:$G$62,MATCH($A176,Simulations!$A$3:$A$62,0))*INDEX(Simulations!$H$3:$H$62,MATCH($A176,Simulations!$A$3:$A$62,0))*IF(INDEX(Simulations!$I$3:$I$62,MATCH($A176,Simulations!$A$3:$A$62,0))&gt;0,INDEX(Simulations!$I$3:$I$62,MATCH($A176,Simulations!$A$3:$A$62,0)),1))*$G176*(PI()/2*INDEX(Simulations!$T$3:$T$62,MATCH($A176,Simulations!$A$3:$A$62,0))^2*IF(INDEX(Simulations!$I$3:$I$62,MATCH($A176,Simulations!$A$3:$A$62,0))&gt;0,SQRT(PI()/2)*INDEX(Simulations!$U$3:$U$62,MATCH($A176,Simulations!$A$3:$A$62,0)),1)),$D176/(INDEX(Simulations!$G$3:$G$62,MATCH($A176,Simulations!$A$3:$A$62,0))*INDEX(Simulations!$H$3:$H$62,MATCH($A176,Simulations!$A$3:$A$62,0))*IF(INDEX(Simulations!$I$3:$I$62,MATCH($A176,Simulations!$A$3:$A$62,0))&gt;0,INDEX(Simulations!$I$3:$I$62,MATCH($A176,Simulations!$A$3:$A$62,0)),1))*INDEX(Simulations!$J$3:$J$62,MATCH($A176,Simulations!$A$3:$A$62,0))*IF(INDEX(Simulations!$I$3:$I$62,MATCH($A176,Simulations!$A$3:$A$62,0))&gt;0,2*PI()*INDEX(Simulations!$T$3:$T$62,MATCH($A176,Simulations!$A$3:$A$62,0))^2*INDEX(Simulations!$U$3:$U$62,MATCH($A176,Simulations!$A$3:$A$62,0))/2^1.5*(2/3*LN($G176/INDEX(Simulations!$J$3:$J$62,MATCH($A176,Simulations!$A$3:$A$62,0)))^1.5+SQRT(LN($G176/INDEX(Simulations!$J$3:$J$62,MATCH($A176,Simulations!$A$3:$A$62,0))))+$G176/INDEX(Simulations!$J$3:$J$62,MATCH($A176,Simulations!$A$3:$A$62,0))*SQRT(PI())/2*ERFC(SQRT(LN($G176/INDEX(Simulations!$J$3:$J$62,MATCH($A176,Simulations!$A$3:$A$62,0)))))),PI()*INDEX(Simulations!$T$3:$T$62,MATCH($A176,Simulations!$A$3:$A$62,0))^2/2*(LN($G176/INDEX(Simulations!$J$3:$J$62,MATCH($A176,Simulations!$A$3:$A$62,0)))+1)))))</f>
        <v/>
      </c>
      <c r="T176" s="16" t="str">
        <f aca="false">IF(OR($A176="",ISNA(MATCH($A176,Simulations!$A$3:$A$62,0))),"",IF(N($H176)&lt;=0,0,IF($H176&lt;INDEX(Simulations!$J$3:$J$62,MATCH($A176,Simulations!$A$3:$A$62,0)),$D176/(INDEX(Simulations!$G$3:$G$62,MATCH($A176,Simulations!$A$3:$A$62,0))*INDEX(Simulations!$H$3:$H$62,MATCH($A176,Simulations!$A$3:$A$62,0))*IF(INDEX(Simulations!$I$3:$I$62,MATCH($A176,Simulations!$A$3:$A$62,0))&gt;0,INDEX(Simulations!$I$3:$I$62,MATCH($A176,Simulations!$A$3:$A$62,0)),1))*$H176*(PI()/2*INDEX(Simulations!$T$3:$T$62,MATCH($A176,Simulations!$A$3:$A$62,0))^2*IF(INDEX(Simulations!$I$3:$I$62,MATCH($A176,Simulations!$A$3:$A$62,0))&gt;0,SQRT(PI()/2)*INDEX(Simulations!$U$3:$U$62,MATCH($A176,Simulations!$A$3:$A$62,0)),1)),$D176/(INDEX(Simulations!$G$3:$G$62,MATCH($A176,Simulations!$A$3:$A$62,0))*INDEX(Simulations!$H$3:$H$62,MATCH($A176,Simulations!$A$3:$A$62,0))*IF(INDEX(Simulations!$I$3:$I$62,MATCH($A176,Simulations!$A$3:$A$62,0))&gt;0,INDEX(Simulations!$I$3:$I$62,MATCH($A176,Simulations!$A$3:$A$62,0)),1))*INDEX(Simulations!$J$3:$J$62,MATCH($A176,Simulations!$A$3:$A$62,0))*IF(INDEX(Simulations!$I$3:$I$62,MATCH($A176,Simulations!$A$3:$A$62,0))&gt;0,2*PI()*INDEX(Simulations!$T$3:$T$62,MATCH($A176,Simulations!$A$3:$A$62,0))^2*INDEX(Simulations!$U$3:$U$62,MATCH($A176,Simulations!$A$3:$A$62,0))/2^1.5*(2/3*LN($H176/INDEX(Simulations!$J$3:$J$62,MATCH($A176,Simulations!$A$3:$A$62,0)))^1.5+SQRT(LN($H176/INDEX(Simulations!$J$3:$J$62,MATCH($A176,Simulations!$A$3:$A$62,0))))+$H176/INDEX(Simulations!$J$3:$J$62,MATCH($A176,Simulations!$A$3:$A$62,0))*SQRT(PI())/2*ERFC(SQRT(LN($H176/INDEX(Simulations!$J$3:$J$62,MATCH($A176,Simulations!$A$3:$A$62,0)))))),PI()*INDEX(Simulations!$T$3:$T$62,MATCH($A176,Simulations!$A$3:$A$62,0))^2/2*(LN($H176/INDEX(Simulations!$J$3:$J$62,MATCH($A176,Simulations!$A$3:$A$62,0)))+1)))))</f>
        <v/>
      </c>
      <c r="U176" s="18" t="str">
        <f aca="false">IF(OR(OR($A176="",ISNA(MATCH($A176,Simulations!$A$3:$A$62,0))),N($C176)&lt;=0),"",SQRT(2*$C176*1000000/(INDEX(Simulations!$J$3:$J$62,MATCH($A176,Simulations!$A$3:$A$62,0))*1000))/INDEX(Simulations!$T$3:$T$62,MATCH($A176,Simulations!$A$3:$A$62,0)))</f>
        <v/>
      </c>
      <c r="V176" s="19" t="str">
        <f aca="false">IF($A176="","",IF(ISNA(MATCH($A176,Simulations!$A$3:$A$62,0)),"✖ Sim ID not found on the Simulations sheet",IF($P176&gt;=1,"✖ brightness &gt;= sampling frequency: completely saturated (D too small, c too large)",IF($P176&gt;0.1,"⚠ brightness &gt; 10% of the sampling frequency: focus starts to saturate",IF(N($U176)&gt;0.1,"⚠ diffusion step &gt; 10% of wr: raise the sampling frequency",IF(MAX($E176:$H176)=0,"⚠ no brightness set","✔ OK"))))))</f>
        <v/>
      </c>
    </row>
    <row r="177" customFormat="false" ht="15" hidden="false" customHeight="false" outlineLevel="0" collapsed="false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4"/>
      <c r="O177" s="18" t="str">
        <f aca="false">IF(OR($A177="",ISNA(MATCH($A177,Simulations!$A$3:$A$62,0))),"",IF(INDEX(Simulations!$I$3:$I$62,MATCH($A177,Simulations!$A$3:$A$62,0))&gt;0,$D177/(INDEX(Simulations!$G$3:$G$62,MATCH($A177,Simulations!$A$3:$A$62,0))*INDEX(Simulations!$H$3:$H$62,MATCH($A177,Simulations!$A$3:$A$62,0))*IF(INDEX(Simulations!$I$3:$I$62,MATCH($A177,Simulations!$A$3:$A$62,0))&gt;0,INDEX(Simulations!$I$3:$I$62,MATCH($A177,Simulations!$A$3:$A$62,0)),1))/1E-024/6.022E+023/0.000000001,""))</f>
        <v/>
      </c>
      <c r="P177" s="20" t="str">
        <f aca="false">IF(OR($A177="",ISNA(MATCH($A177,Simulations!$A$3:$A$62,0))),"",MAX($E177:$H177)/INDEX(Simulations!$J$3:$J$62,MATCH($A177,Simulations!$A$3:$A$62,0)))</f>
        <v/>
      </c>
      <c r="Q177" s="16" t="str">
        <f aca="false">IF(OR($A177="",ISNA(MATCH($A177,Simulations!$A$3:$A$62,0))),"",IF(N($E177)&lt;=0,0,IF($E177&lt;INDEX(Simulations!$J$3:$J$62,MATCH($A177,Simulations!$A$3:$A$62,0)),$D177/(INDEX(Simulations!$G$3:$G$62,MATCH($A177,Simulations!$A$3:$A$62,0))*INDEX(Simulations!$H$3:$H$62,MATCH($A177,Simulations!$A$3:$A$62,0))*IF(INDEX(Simulations!$I$3:$I$62,MATCH($A177,Simulations!$A$3:$A$62,0))&gt;0,INDEX(Simulations!$I$3:$I$62,MATCH($A177,Simulations!$A$3:$A$62,0)),1))*$E177*(PI()/2*INDEX(Simulations!$T$3:$T$62,MATCH($A177,Simulations!$A$3:$A$62,0))^2*IF(INDEX(Simulations!$I$3:$I$62,MATCH($A177,Simulations!$A$3:$A$62,0))&gt;0,SQRT(PI()/2)*INDEX(Simulations!$U$3:$U$62,MATCH($A177,Simulations!$A$3:$A$62,0)),1)),$D177/(INDEX(Simulations!$G$3:$G$62,MATCH($A177,Simulations!$A$3:$A$62,0))*INDEX(Simulations!$H$3:$H$62,MATCH($A177,Simulations!$A$3:$A$62,0))*IF(INDEX(Simulations!$I$3:$I$62,MATCH($A177,Simulations!$A$3:$A$62,0))&gt;0,INDEX(Simulations!$I$3:$I$62,MATCH($A177,Simulations!$A$3:$A$62,0)),1))*INDEX(Simulations!$J$3:$J$62,MATCH($A177,Simulations!$A$3:$A$62,0))*IF(INDEX(Simulations!$I$3:$I$62,MATCH($A177,Simulations!$A$3:$A$62,0))&gt;0,2*PI()*INDEX(Simulations!$T$3:$T$62,MATCH($A177,Simulations!$A$3:$A$62,0))^2*INDEX(Simulations!$U$3:$U$62,MATCH($A177,Simulations!$A$3:$A$62,0))/2^1.5*(2/3*LN($E177/INDEX(Simulations!$J$3:$J$62,MATCH($A177,Simulations!$A$3:$A$62,0)))^1.5+SQRT(LN($E177/INDEX(Simulations!$J$3:$J$62,MATCH($A177,Simulations!$A$3:$A$62,0))))+$E177/INDEX(Simulations!$J$3:$J$62,MATCH($A177,Simulations!$A$3:$A$62,0))*SQRT(PI())/2*ERFC(SQRT(LN($E177/INDEX(Simulations!$J$3:$J$62,MATCH($A177,Simulations!$A$3:$A$62,0)))))),PI()*INDEX(Simulations!$T$3:$T$62,MATCH($A177,Simulations!$A$3:$A$62,0))^2/2*(LN($E177/INDEX(Simulations!$J$3:$J$62,MATCH($A177,Simulations!$A$3:$A$62,0)))+1)))))</f>
        <v/>
      </c>
      <c r="R177" s="16" t="str">
        <f aca="false">IF(OR($A177="",ISNA(MATCH($A177,Simulations!$A$3:$A$62,0))),"",IF(N($F177)&lt;=0,0,IF($F177&lt;INDEX(Simulations!$J$3:$J$62,MATCH($A177,Simulations!$A$3:$A$62,0)),$D177/(INDEX(Simulations!$G$3:$G$62,MATCH($A177,Simulations!$A$3:$A$62,0))*INDEX(Simulations!$H$3:$H$62,MATCH($A177,Simulations!$A$3:$A$62,0))*IF(INDEX(Simulations!$I$3:$I$62,MATCH($A177,Simulations!$A$3:$A$62,0))&gt;0,INDEX(Simulations!$I$3:$I$62,MATCH($A177,Simulations!$A$3:$A$62,0)),1))*$F177*(PI()/2*INDEX(Simulations!$T$3:$T$62,MATCH($A177,Simulations!$A$3:$A$62,0))^2*IF(INDEX(Simulations!$I$3:$I$62,MATCH($A177,Simulations!$A$3:$A$62,0))&gt;0,SQRT(PI()/2)*INDEX(Simulations!$U$3:$U$62,MATCH($A177,Simulations!$A$3:$A$62,0)),1)),$D177/(INDEX(Simulations!$G$3:$G$62,MATCH($A177,Simulations!$A$3:$A$62,0))*INDEX(Simulations!$H$3:$H$62,MATCH($A177,Simulations!$A$3:$A$62,0))*IF(INDEX(Simulations!$I$3:$I$62,MATCH($A177,Simulations!$A$3:$A$62,0))&gt;0,INDEX(Simulations!$I$3:$I$62,MATCH($A177,Simulations!$A$3:$A$62,0)),1))*INDEX(Simulations!$J$3:$J$62,MATCH($A177,Simulations!$A$3:$A$62,0))*IF(INDEX(Simulations!$I$3:$I$62,MATCH($A177,Simulations!$A$3:$A$62,0))&gt;0,2*PI()*INDEX(Simulations!$T$3:$T$62,MATCH($A177,Simulations!$A$3:$A$62,0))^2*INDEX(Simulations!$U$3:$U$62,MATCH($A177,Simulations!$A$3:$A$62,0))/2^1.5*(2/3*LN($F177/INDEX(Simulations!$J$3:$J$62,MATCH($A177,Simulations!$A$3:$A$62,0)))^1.5+SQRT(LN($F177/INDEX(Simulations!$J$3:$J$62,MATCH($A177,Simulations!$A$3:$A$62,0))))+$F177/INDEX(Simulations!$J$3:$J$62,MATCH($A177,Simulations!$A$3:$A$62,0))*SQRT(PI())/2*ERFC(SQRT(LN($F177/INDEX(Simulations!$J$3:$J$62,MATCH($A177,Simulations!$A$3:$A$62,0)))))),PI()*INDEX(Simulations!$T$3:$T$62,MATCH($A177,Simulations!$A$3:$A$62,0))^2/2*(LN($F177/INDEX(Simulations!$J$3:$J$62,MATCH($A177,Simulations!$A$3:$A$62,0)))+1)))))</f>
        <v/>
      </c>
      <c r="S177" s="16" t="str">
        <f aca="false">IF(OR($A177="",ISNA(MATCH($A177,Simulations!$A$3:$A$62,0))),"",IF(N($G177)&lt;=0,0,IF($G177&lt;INDEX(Simulations!$J$3:$J$62,MATCH($A177,Simulations!$A$3:$A$62,0)),$D177/(INDEX(Simulations!$G$3:$G$62,MATCH($A177,Simulations!$A$3:$A$62,0))*INDEX(Simulations!$H$3:$H$62,MATCH($A177,Simulations!$A$3:$A$62,0))*IF(INDEX(Simulations!$I$3:$I$62,MATCH($A177,Simulations!$A$3:$A$62,0))&gt;0,INDEX(Simulations!$I$3:$I$62,MATCH($A177,Simulations!$A$3:$A$62,0)),1))*$G177*(PI()/2*INDEX(Simulations!$T$3:$T$62,MATCH($A177,Simulations!$A$3:$A$62,0))^2*IF(INDEX(Simulations!$I$3:$I$62,MATCH($A177,Simulations!$A$3:$A$62,0))&gt;0,SQRT(PI()/2)*INDEX(Simulations!$U$3:$U$62,MATCH($A177,Simulations!$A$3:$A$62,0)),1)),$D177/(INDEX(Simulations!$G$3:$G$62,MATCH($A177,Simulations!$A$3:$A$62,0))*INDEX(Simulations!$H$3:$H$62,MATCH($A177,Simulations!$A$3:$A$62,0))*IF(INDEX(Simulations!$I$3:$I$62,MATCH($A177,Simulations!$A$3:$A$62,0))&gt;0,INDEX(Simulations!$I$3:$I$62,MATCH($A177,Simulations!$A$3:$A$62,0)),1))*INDEX(Simulations!$J$3:$J$62,MATCH($A177,Simulations!$A$3:$A$62,0))*IF(INDEX(Simulations!$I$3:$I$62,MATCH($A177,Simulations!$A$3:$A$62,0))&gt;0,2*PI()*INDEX(Simulations!$T$3:$T$62,MATCH($A177,Simulations!$A$3:$A$62,0))^2*INDEX(Simulations!$U$3:$U$62,MATCH($A177,Simulations!$A$3:$A$62,0))/2^1.5*(2/3*LN($G177/INDEX(Simulations!$J$3:$J$62,MATCH($A177,Simulations!$A$3:$A$62,0)))^1.5+SQRT(LN($G177/INDEX(Simulations!$J$3:$J$62,MATCH($A177,Simulations!$A$3:$A$62,0))))+$G177/INDEX(Simulations!$J$3:$J$62,MATCH($A177,Simulations!$A$3:$A$62,0))*SQRT(PI())/2*ERFC(SQRT(LN($G177/INDEX(Simulations!$J$3:$J$62,MATCH($A177,Simulations!$A$3:$A$62,0)))))),PI()*INDEX(Simulations!$T$3:$T$62,MATCH($A177,Simulations!$A$3:$A$62,0))^2/2*(LN($G177/INDEX(Simulations!$J$3:$J$62,MATCH($A177,Simulations!$A$3:$A$62,0)))+1)))))</f>
        <v/>
      </c>
      <c r="T177" s="16" t="str">
        <f aca="false">IF(OR($A177="",ISNA(MATCH($A177,Simulations!$A$3:$A$62,0))),"",IF(N($H177)&lt;=0,0,IF($H177&lt;INDEX(Simulations!$J$3:$J$62,MATCH($A177,Simulations!$A$3:$A$62,0)),$D177/(INDEX(Simulations!$G$3:$G$62,MATCH($A177,Simulations!$A$3:$A$62,0))*INDEX(Simulations!$H$3:$H$62,MATCH($A177,Simulations!$A$3:$A$62,0))*IF(INDEX(Simulations!$I$3:$I$62,MATCH($A177,Simulations!$A$3:$A$62,0))&gt;0,INDEX(Simulations!$I$3:$I$62,MATCH($A177,Simulations!$A$3:$A$62,0)),1))*$H177*(PI()/2*INDEX(Simulations!$T$3:$T$62,MATCH($A177,Simulations!$A$3:$A$62,0))^2*IF(INDEX(Simulations!$I$3:$I$62,MATCH($A177,Simulations!$A$3:$A$62,0))&gt;0,SQRT(PI()/2)*INDEX(Simulations!$U$3:$U$62,MATCH($A177,Simulations!$A$3:$A$62,0)),1)),$D177/(INDEX(Simulations!$G$3:$G$62,MATCH($A177,Simulations!$A$3:$A$62,0))*INDEX(Simulations!$H$3:$H$62,MATCH($A177,Simulations!$A$3:$A$62,0))*IF(INDEX(Simulations!$I$3:$I$62,MATCH($A177,Simulations!$A$3:$A$62,0))&gt;0,INDEX(Simulations!$I$3:$I$62,MATCH($A177,Simulations!$A$3:$A$62,0)),1))*INDEX(Simulations!$J$3:$J$62,MATCH($A177,Simulations!$A$3:$A$62,0))*IF(INDEX(Simulations!$I$3:$I$62,MATCH($A177,Simulations!$A$3:$A$62,0))&gt;0,2*PI()*INDEX(Simulations!$T$3:$T$62,MATCH($A177,Simulations!$A$3:$A$62,0))^2*INDEX(Simulations!$U$3:$U$62,MATCH($A177,Simulations!$A$3:$A$62,0))/2^1.5*(2/3*LN($H177/INDEX(Simulations!$J$3:$J$62,MATCH($A177,Simulations!$A$3:$A$62,0)))^1.5+SQRT(LN($H177/INDEX(Simulations!$J$3:$J$62,MATCH($A177,Simulations!$A$3:$A$62,0))))+$H177/INDEX(Simulations!$J$3:$J$62,MATCH($A177,Simulations!$A$3:$A$62,0))*SQRT(PI())/2*ERFC(SQRT(LN($H177/INDEX(Simulations!$J$3:$J$62,MATCH($A177,Simulations!$A$3:$A$62,0)))))),PI()*INDEX(Simulations!$T$3:$T$62,MATCH($A177,Simulations!$A$3:$A$62,0))^2/2*(LN($H177/INDEX(Simulations!$J$3:$J$62,MATCH($A177,Simulations!$A$3:$A$62,0)))+1)))))</f>
        <v/>
      </c>
      <c r="U177" s="18" t="str">
        <f aca="false">IF(OR(OR($A177="",ISNA(MATCH($A177,Simulations!$A$3:$A$62,0))),N($C177)&lt;=0),"",SQRT(2*$C177*1000000/(INDEX(Simulations!$J$3:$J$62,MATCH($A177,Simulations!$A$3:$A$62,0))*1000))/INDEX(Simulations!$T$3:$T$62,MATCH($A177,Simulations!$A$3:$A$62,0)))</f>
        <v/>
      </c>
      <c r="V177" s="19" t="str">
        <f aca="false">IF($A177="","",IF(ISNA(MATCH($A177,Simulations!$A$3:$A$62,0)),"✖ Sim ID not found on the Simulations sheet",IF($P177&gt;=1,"✖ brightness &gt;= sampling frequency: completely saturated (D too small, c too large)",IF($P177&gt;0.1,"⚠ brightness &gt; 10% of the sampling frequency: focus starts to saturate",IF(N($U177)&gt;0.1,"⚠ diffusion step &gt; 10% of wr: raise the sampling frequency",IF(MAX($E177:$H177)=0,"⚠ no brightness set","✔ OK"))))))</f>
        <v/>
      </c>
    </row>
    <row r="178" customFormat="false" ht="15" hidden="false" customHeight="false" outlineLevel="0" collapsed="false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4"/>
      <c r="O178" s="18" t="str">
        <f aca="false">IF(OR($A178="",ISNA(MATCH($A178,Simulations!$A$3:$A$62,0))),"",IF(INDEX(Simulations!$I$3:$I$62,MATCH($A178,Simulations!$A$3:$A$62,0))&gt;0,$D178/(INDEX(Simulations!$G$3:$G$62,MATCH($A178,Simulations!$A$3:$A$62,0))*INDEX(Simulations!$H$3:$H$62,MATCH($A178,Simulations!$A$3:$A$62,0))*IF(INDEX(Simulations!$I$3:$I$62,MATCH($A178,Simulations!$A$3:$A$62,0))&gt;0,INDEX(Simulations!$I$3:$I$62,MATCH($A178,Simulations!$A$3:$A$62,0)),1))/1E-024/6.022E+023/0.000000001,""))</f>
        <v/>
      </c>
      <c r="P178" s="20" t="str">
        <f aca="false">IF(OR($A178="",ISNA(MATCH($A178,Simulations!$A$3:$A$62,0))),"",MAX($E178:$H178)/INDEX(Simulations!$J$3:$J$62,MATCH($A178,Simulations!$A$3:$A$62,0)))</f>
        <v/>
      </c>
      <c r="Q178" s="16" t="str">
        <f aca="false">IF(OR($A178="",ISNA(MATCH($A178,Simulations!$A$3:$A$62,0))),"",IF(N($E178)&lt;=0,0,IF($E178&lt;INDEX(Simulations!$J$3:$J$62,MATCH($A178,Simulations!$A$3:$A$62,0)),$D178/(INDEX(Simulations!$G$3:$G$62,MATCH($A178,Simulations!$A$3:$A$62,0))*INDEX(Simulations!$H$3:$H$62,MATCH($A178,Simulations!$A$3:$A$62,0))*IF(INDEX(Simulations!$I$3:$I$62,MATCH($A178,Simulations!$A$3:$A$62,0))&gt;0,INDEX(Simulations!$I$3:$I$62,MATCH($A178,Simulations!$A$3:$A$62,0)),1))*$E178*(PI()/2*INDEX(Simulations!$T$3:$T$62,MATCH($A178,Simulations!$A$3:$A$62,0))^2*IF(INDEX(Simulations!$I$3:$I$62,MATCH($A178,Simulations!$A$3:$A$62,0))&gt;0,SQRT(PI()/2)*INDEX(Simulations!$U$3:$U$62,MATCH($A178,Simulations!$A$3:$A$62,0)),1)),$D178/(INDEX(Simulations!$G$3:$G$62,MATCH($A178,Simulations!$A$3:$A$62,0))*INDEX(Simulations!$H$3:$H$62,MATCH($A178,Simulations!$A$3:$A$62,0))*IF(INDEX(Simulations!$I$3:$I$62,MATCH($A178,Simulations!$A$3:$A$62,0))&gt;0,INDEX(Simulations!$I$3:$I$62,MATCH($A178,Simulations!$A$3:$A$62,0)),1))*INDEX(Simulations!$J$3:$J$62,MATCH($A178,Simulations!$A$3:$A$62,0))*IF(INDEX(Simulations!$I$3:$I$62,MATCH($A178,Simulations!$A$3:$A$62,0))&gt;0,2*PI()*INDEX(Simulations!$T$3:$T$62,MATCH($A178,Simulations!$A$3:$A$62,0))^2*INDEX(Simulations!$U$3:$U$62,MATCH($A178,Simulations!$A$3:$A$62,0))/2^1.5*(2/3*LN($E178/INDEX(Simulations!$J$3:$J$62,MATCH($A178,Simulations!$A$3:$A$62,0)))^1.5+SQRT(LN($E178/INDEX(Simulations!$J$3:$J$62,MATCH($A178,Simulations!$A$3:$A$62,0))))+$E178/INDEX(Simulations!$J$3:$J$62,MATCH($A178,Simulations!$A$3:$A$62,0))*SQRT(PI())/2*ERFC(SQRT(LN($E178/INDEX(Simulations!$J$3:$J$62,MATCH($A178,Simulations!$A$3:$A$62,0)))))),PI()*INDEX(Simulations!$T$3:$T$62,MATCH($A178,Simulations!$A$3:$A$62,0))^2/2*(LN($E178/INDEX(Simulations!$J$3:$J$62,MATCH($A178,Simulations!$A$3:$A$62,0)))+1)))))</f>
        <v/>
      </c>
      <c r="R178" s="16" t="str">
        <f aca="false">IF(OR($A178="",ISNA(MATCH($A178,Simulations!$A$3:$A$62,0))),"",IF(N($F178)&lt;=0,0,IF($F178&lt;INDEX(Simulations!$J$3:$J$62,MATCH($A178,Simulations!$A$3:$A$62,0)),$D178/(INDEX(Simulations!$G$3:$G$62,MATCH($A178,Simulations!$A$3:$A$62,0))*INDEX(Simulations!$H$3:$H$62,MATCH($A178,Simulations!$A$3:$A$62,0))*IF(INDEX(Simulations!$I$3:$I$62,MATCH($A178,Simulations!$A$3:$A$62,0))&gt;0,INDEX(Simulations!$I$3:$I$62,MATCH($A178,Simulations!$A$3:$A$62,0)),1))*$F178*(PI()/2*INDEX(Simulations!$T$3:$T$62,MATCH($A178,Simulations!$A$3:$A$62,0))^2*IF(INDEX(Simulations!$I$3:$I$62,MATCH($A178,Simulations!$A$3:$A$62,0))&gt;0,SQRT(PI()/2)*INDEX(Simulations!$U$3:$U$62,MATCH($A178,Simulations!$A$3:$A$62,0)),1)),$D178/(INDEX(Simulations!$G$3:$G$62,MATCH($A178,Simulations!$A$3:$A$62,0))*INDEX(Simulations!$H$3:$H$62,MATCH($A178,Simulations!$A$3:$A$62,0))*IF(INDEX(Simulations!$I$3:$I$62,MATCH($A178,Simulations!$A$3:$A$62,0))&gt;0,INDEX(Simulations!$I$3:$I$62,MATCH($A178,Simulations!$A$3:$A$62,0)),1))*INDEX(Simulations!$J$3:$J$62,MATCH($A178,Simulations!$A$3:$A$62,0))*IF(INDEX(Simulations!$I$3:$I$62,MATCH($A178,Simulations!$A$3:$A$62,0))&gt;0,2*PI()*INDEX(Simulations!$T$3:$T$62,MATCH($A178,Simulations!$A$3:$A$62,0))^2*INDEX(Simulations!$U$3:$U$62,MATCH($A178,Simulations!$A$3:$A$62,0))/2^1.5*(2/3*LN($F178/INDEX(Simulations!$J$3:$J$62,MATCH($A178,Simulations!$A$3:$A$62,0)))^1.5+SQRT(LN($F178/INDEX(Simulations!$J$3:$J$62,MATCH($A178,Simulations!$A$3:$A$62,0))))+$F178/INDEX(Simulations!$J$3:$J$62,MATCH($A178,Simulations!$A$3:$A$62,0))*SQRT(PI())/2*ERFC(SQRT(LN($F178/INDEX(Simulations!$J$3:$J$62,MATCH($A178,Simulations!$A$3:$A$62,0)))))),PI()*INDEX(Simulations!$T$3:$T$62,MATCH($A178,Simulations!$A$3:$A$62,0))^2/2*(LN($F178/INDEX(Simulations!$J$3:$J$62,MATCH($A178,Simulations!$A$3:$A$62,0)))+1)))))</f>
        <v/>
      </c>
      <c r="S178" s="16" t="str">
        <f aca="false">IF(OR($A178="",ISNA(MATCH($A178,Simulations!$A$3:$A$62,0))),"",IF(N($G178)&lt;=0,0,IF($G178&lt;INDEX(Simulations!$J$3:$J$62,MATCH($A178,Simulations!$A$3:$A$62,0)),$D178/(INDEX(Simulations!$G$3:$G$62,MATCH($A178,Simulations!$A$3:$A$62,0))*INDEX(Simulations!$H$3:$H$62,MATCH($A178,Simulations!$A$3:$A$62,0))*IF(INDEX(Simulations!$I$3:$I$62,MATCH($A178,Simulations!$A$3:$A$62,0))&gt;0,INDEX(Simulations!$I$3:$I$62,MATCH($A178,Simulations!$A$3:$A$62,0)),1))*$G178*(PI()/2*INDEX(Simulations!$T$3:$T$62,MATCH($A178,Simulations!$A$3:$A$62,0))^2*IF(INDEX(Simulations!$I$3:$I$62,MATCH($A178,Simulations!$A$3:$A$62,0))&gt;0,SQRT(PI()/2)*INDEX(Simulations!$U$3:$U$62,MATCH($A178,Simulations!$A$3:$A$62,0)),1)),$D178/(INDEX(Simulations!$G$3:$G$62,MATCH($A178,Simulations!$A$3:$A$62,0))*INDEX(Simulations!$H$3:$H$62,MATCH($A178,Simulations!$A$3:$A$62,0))*IF(INDEX(Simulations!$I$3:$I$62,MATCH($A178,Simulations!$A$3:$A$62,0))&gt;0,INDEX(Simulations!$I$3:$I$62,MATCH($A178,Simulations!$A$3:$A$62,0)),1))*INDEX(Simulations!$J$3:$J$62,MATCH($A178,Simulations!$A$3:$A$62,0))*IF(INDEX(Simulations!$I$3:$I$62,MATCH($A178,Simulations!$A$3:$A$62,0))&gt;0,2*PI()*INDEX(Simulations!$T$3:$T$62,MATCH($A178,Simulations!$A$3:$A$62,0))^2*INDEX(Simulations!$U$3:$U$62,MATCH($A178,Simulations!$A$3:$A$62,0))/2^1.5*(2/3*LN($G178/INDEX(Simulations!$J$3:$J$62,MATCH($A178,Simulations!$A$3:$A$62,0)))^1.5+SQRT(LN($G178/INDEX(Simulations!$J$3:$J$62,MATCH($A178,Simulations!$A$3:$A$62,0))))+$G178/INDEX(Simulations!$J$3:$J$62,MATCH($A178,Simulations!$A$3:$A$62,0))*SQRT(PI())/2*ERFC(SQRT(LN($G178/INDEX(Simulations!$J$3:$J$62,MATCH($A178,Simulations!$A$3:$A$62,0)))))),PI()*INDEX(Simulations!$T$3:$T$62,MATCH($A178,Simulations!$A$3:$A$62,0))^2/2*(LN($G178/INDEX(Simulations!$J$3:$J$62,MATCH($A178,Simulations!$A$3:$A$62,0)))+1)))))</f>
        <v/>
      </c>
      <c r="T178" s="16" t="str">
        <f aca="false">IF(OR($A178="",ISNA(MATCH($A178,Simulations!$A$3:$A$62,0))),"",IF(N($H178)&lt;=0,0,IF($H178&lt;INDEX(Simulations!$J$3:$J$62,MATCH($A178,Simulations!$A$3:$A$62,0)),$D178/(INDEX(Simulations!$G$3:$G$62,MATCH($A178,Simulations!$A$3:$A$62,0))*INDEX(Simulations!$H$3:$H$62,MATCH($A178,Simulations!$A$3:$A$62,0))*IF(INDEX(Simulations!$I$3:$I$62,MATCH($A178,Simulations!$A$3:$A$62,0))&gt;0,INDEX(Simulations!$I$3:$I$62,MATCH($A178,Simulations!$A$3:$A$62,0)),1))*$H178*(PI()/2*INDEX(Simulations!$T$3:$T$62,MATCH($A178,Simulations!$A$3:$A$62,0))^2*IF(INDEX(Simulations!$I$3:$I$62,MATCH($A178,Simulations!$A$3:$A$62,0))&gt;0,SQRT(PI()/2)*INDEX(Simulations!$U$3:$U$62,MATCH($A178,Simulations!$A$3:$A$62,0)),1)),$D178/(INDEX(Simulations!$G$3:$G$62,MATCH($A178,Simulations!$A$3:$A$62,0))*INDEX(Simulations!$H$3:$H$62,MATCH($A178,Simulations!$A$3:$A$62,0))*IF(INDEX(Simulations!$I$3:$I$62,MATCH($A178,Simulations!$A$3:$A$62,0))&gt;0,INDEX(Simulations!$I$3:$I$62,MATCH($A178,Simulations!$A$3:$A$62,0)),1))*INDEX(Simulations!$J$3:$J$62,MATCH($A178,Simulations!$A$3:$A$62,0))*IF(INDEX(Simulations!$I$3:$I$62,MATCH($A178,Simulations!$A$3:$A$62,0))&gt;0,2*PI()*INDEX(Simulations!$T$3:$T$62,MATCH($A178,Simulations!$A$3:$A$62,0))^2*INDEX(Simulations!$U$3:$U$62,MATCH($A178,Simulations!$A$3:$A$62,0))/2^1.5*(2/3*LN($H178/INDEX(Simulations!$J$3:$J$62,MATCH($A178,Simulations!$A$3:$A$62,0)))^1.5+SQRT(LN($H178/INDEX(Simulations!$J$3:$J$62,MATCH($A178,Simulations!$A$3:$A$62,0))))+$H178/INDEX(Simulations!$J$3:$J$62,MATCH($A178,Simulations!$A$3:$A$62,0))*SQRT(PI())/2*ERFC(SQRT(LN($H178/INDEX(Simulations!$J$3:$J$62,MATCH($A178,Simulations!$A$3:$A$62,0)))))),PI()*INDEX(Simulations!$T$3:$T$62,MATCH($A178,Simulations!$A$3:$A$62,0))^2/2*(LN($H178/INDEX(Simulations!$J$3:$J$62,MATCH($A178,Simulations!$A$3:$A$62,0)))+1)))))</f>
        <v/>
      </c>
      <c r="U178" s="18" t="str">
        <f aca="false">IF(OR(OR($A178="",ISNA(MATCH($A178,Simulations!$A$3:$A$62,0))),N($C178)&lt;=0),"",SQRT(2*$C178*1000000/(INDEX(Simulations!$J$3:$J$62,MATCH($A178,Simulations!$A$3:$A$62,0))*1000))/INDEX(Simulations!$T$3:$T$62,MATCH($A178,Simulations!$A$3:$A$62,0)))</f>
        <v/>
      </c>
      <c r="V178" s="19" t="str">
        <f aca="false">IF($A178="","",IF(ISNA(MATCH($A178,Simulations!$A$3:$A$62,0)),"✖ Sim ID not found on the Simulations sheet",IF($P178&gt;=1,"✖ brightness &gt;= sampling frequency: completely saturated (D too small, c too large)",IF($P178&gt;0.1,"⚠ brightness &gt; 10% of the sampling frequency: focus starts to saturate",IF(N($U178)&gt;0.1,"⚠ diffusion step &gt; 10% of wr: raise the sampling frequency",IF(MAX($E178:$H178)=0,"⚠ no brightness set","✔ OK"))))))</f>
        <v/>
      </c>
    </row>
    <row r="179" customFormat="false" ht="15" hidden="false" customHeight="false" outlineLevel="0" collapsed="false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4"/>
      <c r="O179" s="18" t="str">
        <f aca="false">IF(OR($A179="",ISNA(MATCH($A179,Simulations!$A$3:$A$62,0))),"",IF(INDEX(Simulations!$I$3:$I$62,MATCH($A179,Simulations!$A$3:$A$62,0))&gt;0,$D179/(INDEX(Simulations!$G$3:$G$62,MATCH($A179,Simulations!$A$3:$A$62,0))*INDEX(Simulations!$H$3:$H$62,MATCH($A179,Simulations!$A$3:$A$62,0))*IF(INDEX(Simulations!$I$3:$I$62,MATCH($A179,Simulations!$A$3:$A$62,0))&gt;0,INDEX(Simulations!$I$3:$I$62,MATCH($A179,Simulations!$A$3:$A$62,0)),1))/1E-024/6.022E+023/0.000000001,""))</f>
        <v/>
      </c>
      <c r="P179" s="20" t="str">
        <f aca="false">IF(OR($A179="",ISNA(MATCH($A179,Simulations!$A$3:$A$62,0))),"",MAX($E179:$H179)/INDEX(Simulations!$J$3:$J$62,MATCH($A179,Simulations!$A$3:$A$62,0)))</f>
        <v/>
      </c>
      <c r="Q179" s="16" t="str">
        <f aca="false">IF(OR($A179="",ISNA(MATCH($A179,Simulations!$A$3:$A$62,0))),"",IF(N($E179)&lt;=0,0,IF($E179&lt;INDEX(Simulations!$J$3:$J$62,MATCH($A179,Simulations!$A$3:$A$62,0)),$D179/(INDEX(Simulations!$G$3:$G$62,MATCH($A179,Simulations!$A$3:$A$62,0))*INDEX(Simulations!$H$3:$H$62,MATCH($A179,Simulations!$A$3:$A$62,0))*IF(INDEX(Simulations!$I$3:$I$62,MATCH($A179,Simulations!$A$3:$A$62,0))&gt;0,INDEX(Simulations!$I$3:$I$62,MATCH($A179,Simulations!$A$3:$A$62,0)),1))*$E179*(PI()/2*INDEX(Simulations!$T$3:$T$62,MATCH($A179,Simulations!$A$3:$A$62,0))^2*IF(INDEX(Simulations!$I$3:$I$62,MATCH($A179,Simulations!$A$3:$A$62,0))&gt;0,SQRT(PI()/2)*INDEX(Simulations!$U$3:$U$62,MATCH($A179,Simulations!$A$3:$A$62,0)),1)),$D179/(INDEX(Simulations!$G$3:$G$62,MATCH($A179,Simulations!$A$3:$A$62,0))*INDEX(Simulations!$H$3:$H$62,MATCH($A179,Simulations!$A$3:$A$62,0))*IF(INDEX(Simulations!$I$3:$I$62,MATCH($A179,Simulations!$A$3:$A$62,0))&gt;0,INDEX(Simulations!$I$3:$I$62,MATCH($A179,Simulations!$A$3:$A$62,0)),1))*INDEX(Simulations!$J$3:$J$62,MATCH($A179,Simulations!$A$3:$A$62,0))*IF(INDEX(Simulations!$I$3:$I$62,MATCH($A179,Simulations!$A$3:$A$62,0))&gt;0,2*PI()*INDEX(Simulations!$T$3:$T$62,MATCH($A179,Simulations!$A$3:$A$62,0))^2*INDEX(Simulations!$U$3:$U$62,MATCH($A179,Simulations!$A$3:$A$62,0))/2^1.5*(2/3*LN($E179/INDEX(Simulations!$J$3:$J$62,MATCH($A179,Simulations!$A$3:$A$62,0)))^1.5+SQRT(LN($E179/INDEX(Simulations!$J$3:$J$62,MATCH($A179,Simulations!$A$3:$A$62,0))))+$E179/INDEX(Simulations!$J$3:$J$62,MATCH($A179,Simulations!$A$3:$A$62,0))*SQRT(PI())/2*ERFC(SQRT(LN($E179/INDEX(Simulations!$J$3:$J$62,MATCH($A179,Simulations!$A$3:$A$62,0)))))),PI()*INDEX(Simulations!$T$3:$T$62,MATCH($A179,Simulations!$A$3:$A$62,0))^2/2*(LN($E179/INDEX(Simulations!$J$3:$J$62,MATCH($A179,Simulations!$A$3:$A$62,0)))+1)))))</f>
        <v/>
      </c>
      <c r="R179" s="16" t="str">
        <f aca="false">IF(OR($A179="",ISNA(MATCH($A179,Simulations!$A$3:$A$62,0))),"",IF(N($F179)&lt;=0,0,IF($F179&lt;INDEX(Simulations!$J$3:$J$62,MATCH($A179,Simulations!$A$3:$A$62,0)),$D179/(INDEX(Simulations!$G$3:$G$62,MATCH($A179,Simulations!$A$3:$A$62,0))*INDEX(Simulations!$H$3:$H$62,MATCH($A179,Simulations!$A$3:$A$62,0))*IF(INDEX(Simulations!$I$3:$I$62,MATCH($A179,Simulations!$A$3:$A$62,0))&gt;0,INDEX(Simulations!$I$3:$I$62,MATCH($A179,Simulations!$A$3:$A$62,0)),1))*$F179*(PI()/2*INDEX(Simulations!$T$3:$T$62,MATCH($A179,Simulations!$A$3:$A$62,0))^2*IF(INDEX(Simulations!$I$3:$I$62,MATCH($A179,Simulations!$A$3:$A$62,0))&gt;0,SQRT(PI()/2)*INDEX(Simulations!$U$3:$U$62,MATCH($A179,Simulations!$A$3:$A$62,0)),1)),$D179/(INDEX(Simulations!$G$3:$G$62,MATCH($A179,Simulations!$A$3:$A$62,0))*INDEX(Simulations!$H$3:$H$62,MATCH($A179,Simulations!$A$3:$A$62,0))*IF(INDEX(Simulations!$I$3:$I$62,MATCH($A179,Simulations!$A$3:$A$62,0))&gt;0,INDEX(Simulations!$I$3:$I$62,MATCH($A179,Simulations!$A$3:$A$62,0)),1))*INDEX(Simulations!$J$3:$J$62,MATCH($A179,Simulations!$A$3:$A$62,0))*IF(INDEX(Simulations!$I$3:$I$62,MATCH($A179,Simulations!$A$3:$A$62,0))&gt;0,2*PI()*INDEX(Simulations!$T$3:$T$62,MATCH($A179,Simulations!$A$3:$A$62,0))^2*INDEX(Simulations!$U$3:$U$62,MATCH($A179,Simulations!$A$3:$A$62,0))/2^1.5*(2/3*LN($F179/INDEX(Simulations!$J$3:$J$62,MATCH($A179,Simulations!$A$3:$A$62,0)))^1.5+SQRT(LN($F179/INDEX(Simulations!$J$3:$J$62,MATCH($A179,Simulations!$A$3:$A$62,0))))+$F179/INDEX(Simulations!$J$3:$J$62,MATCH($A179,Simulations!$A$3:$A$62,0))*SQRT(PI())/2*ERFC(SQRT(LN($F179/INDEX(Simulations!$J$3:$J$62,MATCH($A179,Simulations!$A$3:$A$62,0)))))),PI()*INDEX(Simulations!$T$3:$T$62,MATCH($A179,Simulations!$A$3:$A$62,0))^2/2*(LN($F179/INDEX(Simulations!$J$3:$J$62,MATCH($A179,Simulations!$A$3:$A$62,0)))+1)))))</f>
        <v/>
      </c>
      <c r="S179" s="16" t="str">
        <f aca="false">IF(OR($A179="",ISNA(MATCH($A179,Simulations!$A$3:$A$62,0))),"",IF(N($G179)&lt;=0,0,IF($G179&lt;INDEX(Simulations!$J$3:$J$62,MATCH($A179,Simulations!$A$3:$A$62,0)),$D179/(INDEX(Simulations!$G$3:$G$62,MATCH($A179,Simulations!$A$3:$A$62,0))*INDEX(Simulations!$H$3:$H$62,MATCH($A179,Simulations!$A$3:$A$62,0))*IF(INDEX(Simulations!$I$3:$I$62,MATCH($A179,Simulations!$A$3:$A$62,0))&gt;0,INDEX(Simulations!$I$3:$I$62,MATCH($A179,Simulations!$A$3:$A$62,0)),1))*$G179*(PI()/2*INDEX(Simulations!$T$3:$T$62,MATCH($A179,Simulations!$A$3:$A$62,0))^2*IF(INDEX(Simulations!$I$3:$I$62,MATCH($A179,Simulations!$A$3:$A$62,0))&gt;0,SQRT(PI()/2)*INDEX(Simulations!$U$3:$U$62,MATCH($A179,Simulations!$A$3:$A$62,0)),1)),$D179/(INDEX(Simulations!$G$3:$G$62,MATCH($A179,Simulations!$A$3:$A$62,0))*INDEX(Simulations!$H$3:$H$62,MATCH($A179,Simulations!$A$3:$A$62,0))*IF(INDEX(Simulations!$I$3:$I$62,MATCH($A179,Simulations!$A$3:$A$62,0))&gt;0,INDEX(Simulations!$I$3:$I$62,MATCH($A179,Simulations!$A$3:$A$62,0)),1))*INDEX(Simulations!$J$3:$J$62,MATCH($A179,Simulations!$A$3:$A$62,0))*IF(INDEX(Simulations!$I$3:$I$62,MATCH($A179,Simulations!$A$3:$A$62,0))&gt;0,2*PI()*INDEX(Simulations!$T$3:$T$62,MATCH($A179,Simulations!$A$3:$A$62,0))^2*INDEX(Simulations!$U$3:$U$62,MATCH($A179,Simulations!$A$3:$A$62,0))/2^1.5*(2/3*LN($G179/INDEX(Simulations!$J$3:$J$62,MATCH($A179,Simulations!$A$3:$A$62,0)))^1.5+SQRT(LN($G179/INDEX(Simulations!$J$3:$J$62,MATCH($A179,Simulations!$A$3:$A$62,0))))+$G179/INDEX(Simulations!$J$3:$J$62,MATCH($A179,Simulations!$A$3:$A$62,0))*SQRT(PI())/2*ERFC(SQRT(LN($G179/INDEX(Simulations!$J$3:$J$62,MATCH($A179,Simulations!$A$3:$A$62,0)))))),PI()*INDEX(Simulations!$T$3:$T$62,MATCH($A179,Simulations!$A$3:$A$62,0))^2/2*(LN($G179/INDEX(Simulations!$J$3:$J$62,MATCH($A179,Simulations!$A$3:$A$62,0)))+1)))))</f>
        <v/>
      </c>
      <c r="T179" s="16" t="str">
        <f aca="false">IF(OR($A179="",ISNA(MATCH($A179,Simulations!$A$3:$A$62,0))),"",IF(N($H179)&lt;=0,0,IF($H179&lt;INDEX(Simulations!$J$3:$J$62,MATCH($A179,Simulations!$A$3:$A$62,0)),$D179/(INDEX(Simulations!$G$3:$G$62,MATCH($A179,Simulations!$A$3:$A$62,0))*INDEX(Simulations!$H$3:$H$62,MATCH($A179,Simulations!$A$3:$A$62,0))*IF(INDEX(Simulations!$I$3:$I$62,MATCH($A179,Simulations!$A$3:$A$62,0))&gt;0,INDEX(Simulations!$I$3:$I$62,MATCH($A179,Simulations!$A$3:$A$62,0)),1))*$H179*(PI()/2*INDEX(Simulations!$T$3:$T$62,MATCH($A179,Simulations!$A$3:$A$62,0))^2*IF(INDEX(Simulations!$I$3:$I$62,MATCH($A179,Simulations!$A$3:$A$62,0))&gt;0,SQRT(PI()/2)*INDEX(Simulations!$U$3:$U$62,MATCH($A179,Simulations!$A$3:$A$62,0)),1)),$D179/(INDEX(Simulations!$G$3:$G$62,MATCH($A179,Simulations!$A$3:$A$62,0))*INDEX(Simulations!$H$3:$H$62,MATCH($A179,Simulations!$A$3:$A$62,0))*IF(INDEX(Simulations!$I$3:$I$62,MATCH($A179,Simulations!$A$3:$A$62,0))&gt;0,INDEX(Simulations!$I$3:$I$62,MATCH($A179,Simulations!$A$3:$A$62,0)),1))*INDEX(Simulations!$J$3:$J$62,MATCH($A179,Simulations!$A$3:$A$62,0))*IF(INDEX(Simulations!$I$3:$I$62,MATCH($A179,Simulations!$A$3:$A$62,0))&gt;0,2*PI()*INDEX(Simulations!$T$3:$T$62,MATCH($A179,Simulations!$A$3:$A$62,0))^2*INDEX(Simulations!$U$3:$U$62,MATCH($A179,Simulations!$A$3:$A$62,0))/2^1.5*(2/3*LN($H179/INDEX(Simulations!$J$3:$J$62,MATCH($A179,Simulations!$A$3:$A$62,0)))^1.5+SQRT(LN($H179/INDEX(Simulations!$J$3:$J$62,MATCH($A179,Simulations!$A$3:$A$62,0))))+$H179/INDEX(Simulations!$J$3:$J$62,MATCH($A179,Simulations!$A$3:$A$62,0))*SQRT(PI())/2*ERFC(SQRT(LN($H179/INDEX(Simulations!$J$3:$J$62,MATCH($A179,Simulations!$A$3:$A$62,0)))))),PI()*INDEX(Simulations!$T$3:$T$62,MATCH($A179,Simulations!$A$3:$A$62,0))^2/2*(LN($H179/INDEX(Simulations!$J$3:$J$62,MATCH($A179,Simulations!$A$3:$A$62,0)))+1)))))</f>
        <v/>
      </c>
      <c r="U179" s="18" t="str">
        <f aca="false">IF(OR(OR($A179="",ISNA(MATCH($A179,Simulations!$A$3:$A$62,0))),N($C179)&lt;=0),"",SQRT(2*$C179*1000000/(INDEX(Simulations!$J$3:$J$62,MATCH($A179,Simulations!$A$3:$A$62,0))*1000))/INDEX(Simulations!$T$3:$T$62,MATCH($A179,Simulations!$A$3:$A$62,0)))</f>
        <v/>
      </c>
      <c r="V179" s="19" t="str">
        <f aca="false">IF($A179="","",IF(ISNA(MATCH($A179,Simulations!$A$3:$A$62,0)),"✖ Sim ID not found on the Simulations sheet",IF($P179&gt;=1,"✖ brightness &gt;= sampling frequency: completely saturated (D too small, c too large)",IF($P179&gt;0.1,"⚠ brightness &gt; 10% of the sampling frequency: focus starts to saturate",IF(N($U179)&gt;0.1,"⚠ diffusion step &gt; 10% of wr: raise the sampling frequency",IF(MAX($E179:$H179)=0,"⚠ no brightness set","✔ OK"))))))</f>
        <v/>
      </c>
    </row>
    <row r="180" customFormat="false" ht="15" hidden="false" customHeight="false" outlineLevel="0" collapsed="false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4"/>
      <c r="O180" s="18" t="str">
        <f aca="false">IF(OR($A180="",ISNA(MATCH($A180,Simulations!$A$3:$A$62,0))),"",IF(INDEX(Simulations!$I$3:$I$62,MATCH($A180,Simulations!$A$3:$A$62,0))&gt;0,$D180/(INDEX(Simulations!$G$3:$G$62,MATCH($A180,Simulations!$A$3:$A$62,0))*INDEX(Simulations!$H$3:$H$62,MATCH($A180,Simulations!$A$3:$A$62,0))*IF(INDEX(Simulations!$I$3:$I$62,MATCH($A180,Simulations!$A$3:$A$62,0))&gt;0,INDEX(Simulations!$I$3:$I$62,MATCH($A180,Simulations!$A$3:$A$62,0)),1))/1E-024/6.022E+023/0.000000001,""))</f>
        <v/>
      </c>
      <c r="P180" s="20" t="str">
        <f aca="false">IF(OR($A180="",ISNA(MATCH($A180,Simulations!$A$3:$A$62,0))),"",MAX($E180:$H180)/INDEX(Simulations!$J$3:$J$62,MATCH($A180,Simulations!$A$3:$A$62,0)))</f>
        <v/>
      </c>
      <c r="Q180" s="16" t="str">
        <f aca="false">IF(OR($A180="",ISNA(MATCH($A180,Simulations!$A$3:$A$62,0))),"",IF(N($E180)&lt;=0,0,IF($E180&lt;INDEX(Simulations!$J$3:$J$62,MATCH($A180,Simulations!$A$3:$A$62,0)),$D180/(INDEX(Simulations!$G$3:$G$62,MATCH($A180,Simulations!$A$3:$A$62,0))*INDEX(Simulations!$H$3:$H$62,MATCH($A180,Simulations!$A$3:$A$62,0))*IF(INDEX(Simulations!$I$3:$I$62,MATCH($A180,Simulations!$A$3:$A$62,0))&gt;0,INDEX(Simulations!$I$3:$I$62,MATCH($A180,Simulations!$A$3:$A$62,0)),1))*$E180*(PI()/2*INDEX(Simulations!$T$3:$T$62,MATCH($A180,Simulations!$A$3:$A$62,0))^2*IF(INDEX(Simulations!$I$3:$I$62,MATCH($A180,Simulations!$A$3:$A$62,0))&gt;0,SQRT(PI()/2)*INDEX(Simulations!$U$3:$U$62,MATCH($A180,Simulations!$A$3:$A$62,0)),1)),$D180/(INDEX(Simulations!$G$3:$G$62,MATCH($A180,Simulations!$A$3:$A$62,0))*INDEX(Simulations!$H$3:$H$62,MATCH($A180,Simulations!$A$3:$A$62,0))*IF(INDEX(Simulations!$I$3:$I$62,MATCH($A180,Simulations!$A$3:$A$62,0))&gt;0,INDEX(Simulations!$I$3:$I$62,MATCH($A180,Simulations!$A$3:$A$62,0)),1))*INDEX(Simulations!$J$3:$J$62,MATCH($A180,Simulations!$A$3:$A$62,0))*IF(INDEX(Simulations!$I$3:$I$62,MATCH($A180,Simulations!$A$3:$A$62,0))&gt;0,2*PI()*INDEX(Simulations!$T$3:$T$62,MATCH($A180,Simulations!$A$3:$A$62,0))^2*INDEX(Simulations!$U$3:$U$62,MATCH($A180,Simulations!$A$3:$A$62,0))/2^1.5*(2/3*LN($E180/INDEX(Simulations!$J$3:$J$62,MATCH($A180,Simulations!$A$3:$A$62,0)))^1.5+SQRT(LN($E180/INDEX(Simulations!$J$3:$J$62,MATCH($A180,Simulations!$A$3:$A$62,0))))+$E180/INDEX(Simulations!$J$3:$J$62,MATCH($A180,Simulations!$A$3:$A$62,0))*SQRT(PI())/2*ERFC(SQRT(LN($E180/INDEX(Simulations!$J$3:$J$62,MATCH($A180,Simulations!$A$3:$A$62,0)))))),PI()*INDEX(Simulations!$T$3:$T$62,MATCH($A180,Simulations!$A$3:$A$62,0))^2/2*(LN($E180/INDEX(Simulations!$J$3:$J$62,MATCH($A180,Simulations!$A$3:$A$62,0)))+1)))))</f>
        <v/>
      </c>
      <c r="R180" s="16" t="str">
        <f aca="false">IF(OR($A180="",ISNA(MATCH($A180,Simulations!$A$3:$A$62,0))),"",IF(N($F180)&lt;=0,0,IF($F180&lt;INDEX(Simulations!$J$3:$J$62,MATCH($A180,Simulations!$A$3:$A$62,0)),$D180/(INDEX(Simulations!$G$3:$G$62,MATCH($A180,Simulations!$A$3:$A$62,0))*INDEX(Simulations!$H$3:$H$62,MATCH($A180,Simulations!$A$3:$A$62,0))*IF(INDEX(Simulations!$I$3:$I$62,MATCH($A180,Simulations!$A$3:$A$62,0))&gt;0,INDEX(Simulations!$I$3:$I$62,MATCH($A180,Simulations!$A$3:$A$62,0)),1))*$F180*(PI()/2*INDEX(Simulations!$T$3:$T$62,MATCH($A180,Simulations!$A$3:$A$62,0))^2*IF(INDEX(Simulations!$I$3:$I$62,MATCH($A180,Simulations!$A$3:$A$62,0))&gt;0,SQRT(PI()/2)*INDEX(Simulations!$U$3:$U$62,MATCH($A180,Simulations!$A$3:$A$62,0)),1)),$D180/(INDEX(Simulations!$G$3:$G$62,MATCH($A180,Simulations!$A$3:$A$62,0))*INDEX(Simulations!$H$3:$H$62,MATCH($A180,Simulations!$A$3:$A$62,0))*IF(INDEX(Simulations!$I$3:$I$62,MATCH($A180,Simulations!$A$3:$A$62,0))&gt;0,INDEX(Simulations!$I$3:$I$62,MATCH($A180,Simulations!$A$3:$A$62,0)),1))*INDEX(Simulations!$J$3:$J$62,MATCH($A180,Simulations!$A$3:$A$62,0))*IF(INDEX(Simulations!$I$3:$I$62,MATCH($A180,Simulations!$A$3:$A$62,0))&gt;0,2*PI()*INDEX(Simulations!$T$3:$T$62,MATCH($A180,Simulations!$A$3:$A$62,0))^2*INDEX(Simulations!$U$3:$U$62,MATCH($A180,Simulations!$A$3:$A$62,0))/2^1.5*(2/3*LN($F180/INDEX(Simulations!$J$3:$J$62,MATCH($A180,Simulations!$A$3:$A$62,0)))^1.5+SQRT(LN($F180/INDEX(Simulations!$J$3:$J$62,MATCH($A180,Simulations!$A$3:$A$62,0))))+$F180/INDEX(Simulations!$J$3:$J$62,MATCH($A180,Simulations!$A$3:$A$62,0))*SQRT(PI())/2*ERFC(SQRT(LN($F180/INDEX(Simulations!$J$3:$J$62,MATCH($A180,Simulations!$A$3:$A$62,0)))))),PI()*INDEX(Simulations!$T$3:$T$62,MATCH($A180,Simulations!$A$3:$A$62,0))^2/2*(LN($F180/INDEX(Simulations!$J$3:$J$62,MATCH($A180,Simulations!$A$3:$A$62,0)))+1)))))</f>
        <v/>
      </c>
      <c r="S180" s="16" t="str">
        <f aca="false">IF(OR($A180="",ISNA(MATCH($A180,Simulations!$A$3:$A$62,0))),"",IF(N($G180)&lt;=0,0,IF($G180&lt;INDEX(Simulations!$J$3:$J$62,MATCH($A180,Simulations!$A$3:$A$62,0)),$D180/(INDEX(Simulations!$G$3:$G$62,MATCH($A180,Simulations!$A$3:$A$62,0))*INDEX(Simulations!$H$3:$H$62,MATCH($A180,Simulations!$A$3:$A$62,0))*IF(INDEX(Simulations!$I$3:$I$62,MATCH($A180,Simulations!$A$3:$A$62,0))&gt;0,INDEX(Simulations!$I$3:$I$62,MATCH($A180,Simulations!$A$3:$A$62,0)),1))*$G180*(PI()/2*INDEX(Simulations!$T$3:$T$62,MATCH($A180,Simulations!$A$3:$A$62,0))^2*IF(INDEX(Simulations!$I$3:$I$62,MATCH($A180,Simulations!$A$3:$A$62,0))&gt;0,SQRT(PI()/2)*INDEX(Simulations!$U$3:$U$62,MATCH($A180,Simulations!$A$3:$A$62,0)),1)),$D180/(INDEX(Simulations!$G$3:$G$62,MATCH($A180,Simulations!$A$3:$A$62,0))*INDEX(Simulations!$H$3:$H$62,MATCH($A180,Simulations!$A$3:$A$62,0))*IF(INDEX(Simulations!$I$3:$I$62,MATCH($A180,Simulations!$A$3:$A$62,0))&gt;0,INDEX(Simulations!$I$3:$I$62,MATCH($A180,Simulations!$A$3:$A$62,0)),1))*INDEX(Simulations!$J$3:$J$62,MATCH($A180,Simulations!$A$3:$A$62,0))*IF(INDEX(Simulations!$I$3:$I$62,MATCH($A180,Simulations!$A$3:$A$62,0))&gt;0,2*PI()*INDEX(Simulations!$T$3:$T$62,MATCH($A180,Simulations!$A$3:$A$62,0))^2*INDEX(Simulations!$U$3:$U$62,MATCH($A180,Simulations!$A$3:$A$62,0))/2^1.5*(2/3*LN($G180/INDEX(Simulations!$J$3:$J$62,MATCH($A180,Simulations!$A$3:$A$62,0)))^1.5+SQRT(LN($G180/INDEX(Simulations!$J$3:$J$62,MATCH($A180,Simulations!$A$3:$A$62,0))))+$G180/INDEX(Simulations!$J$3:$J$62,MATCH($A180,Simulations!$A$3:$A$62,0))*SQRT(PI())/2*ERFC(SQRT(LN($G180/INDEX(Simulations!$J$3:$J$62,MATCH($A180,Simulations!$A$3:$A$62,0)))))),PI()*INDEX(Simulations!$T$3:$T$62,MATCH($A180,Simulations!$A$3:$A$62,0))^2/2*(LN($G180/INDEX(Simulations!$J$3:$J$62,MATCH($A180,Simulations!$A$3:$A$62,0)))+1)))))</f>
        <v/>
      </c>
      <c r="T180" s="16" t="str">
        <f aca="false">IF(OR($A180="",ISNA(MATCH($A180,Simulations!$A$3:$A$62,0))),"",IF(N($H180)&lt;=0,0,IF($H180&lt;INDEX(Simulations!$J$3:$J$62,MATCH($A180,Simulations!$A$3:$A$62,0)),$D180/(INDEX(Simulations!$G$3:$G$62,MATCH($A180,Simulations!$A$3:$A$62,0))*INDEX(Simulations!$H$3:$H$62,MATCH($A180,Simulations!$A$3:$A$62,0))*IF(INDEX(Simulations!$I$3:$I$62,MATCH($A180,Simulations!$A$3:$A$62,0))&gt;0,INDEX(Simulations!$I$3:$I$62,MATCH($A180,Simulations!$A$3:$A$62,0)),1))*$H180*(PI()/2*INDEX(Simulations!$T$3:$T$62,MATCH($A180,Simulations!$A$3:$A$62,0))^2*IF(INDEX(Simulations!$I$3:$I$62,MATCH($A180,Simulations!$A$3:$A$62,0))&gt;0,SQRT(PI()/2)*INDEX(Simulations!$U$3:$U$62,MATCH($A180,Simulations!$A$3:$A$62,0)),1)),$D180/(INDEX(Simulations!$G$3:$G$62,MATCH($A180,Simulations!$A$3:$A$62,0))*INDEX(Simulations!$H$3:$H$62,MATCH($A180,Simulations!$A$3:$A$62,0))*IF(INDEX(Simulations!$I$3:$I$62,MATCH($A180,Simulations!$A$3:$A$62,0))&gt;0,INDEX(Simulations!$I$3:$I$62,MATCH($A180,Simulations!$A$3:$A$62,0)),1))*INDEX(Simulations!$J$3:$J$62,MATCH($A180,Simulations!$A$3:$A$62,0))*IF(INDEX(Simulations!$I$3:$I$62,MATCH($A180,Simulations!$A$3:$A$62,0))&gt;0,2*PI()*INDEX(Simulations!$T$3:$T$62,MATCH($A180,Simulations!$A$3:$A$62,0))^2*INDEX(Simulations!$U$3:$U$62,MATCH($A180,Simulations!$A$3:$A$62,0))/2^1.5*(2/3*LN($H180/INDEX(Simulations!$J$3:$J$62,MATCH($A180,Simulations!$A$3:$A$62,0)))^1.5+SQRT(LN($H180/INDEX(Simulations!$J$3:$J$62,MATCH($A180,Simulations!$A$3:$A$62,0))))+$H180/INDEX(Simulations!$J$3:$J$62,MATCH($A180,Simulations!$A$3:$A$62,0))*SQRT(PI())/2*ERFC(SQRT(LN($H180/INDEX(Simulations!$J$3:$J$62,MATCH($A180,Simulations!$A$3:$A$62,0)))))),PI()*INDEX(Simulations!$T$3:$T$62,MATCH($A180,Simulations!$A$3:$A$62,0))^2/2*(LN($H180/INDEX(Simulations!$J$3:$J$62,MATCH($A180,Simulations!$A$3:$A$62,0)))+1)))))</f>
        <v/>
      </c>
      <c r="U180" s="18" t="str">
        <f aca="false">IF(OR(OR($A180="",ISNA(MATCH($A180,Simulations!$A$3:$A$62,0))),N($C180)&lt;=0),"",SQRT(2*$C180*1000000/(INDEX(Simulations!$J$3:$J$62,MATCH($A180,Simulations!$A$3:$A$62,0))*1000))/INDEX(Simulations!$T$3:$T$62,MATCH($A180,Simulations!$A$3:$A$62,0)))</f>
        <v/>
      </c>
      <c r="V180" s="19" t="str">
        <f aca="false">IF($A180="","",IF(ISNA(MATCH($A180,Simulations!$A$3:$A$62,0)),"✖ Sim ID not found on the Simulations sheet",IF($P180&gt;=1,"✖ brightness &gt;= sampling frequency: completely saturated (D too small, c too large)",IF($P180&gt;0.1,"⚠ brightness &gt; 10% of the sampling frequency: focus starts to saturate",IF(N($U180)&gt;0.1,"⚠ diffusion step &gt; 10% of wr: raise the sampling frequency",IF(MAX($E180:$H180)=0,"⚠ no brightness set","✔ OK"))))))</f>
        <v/>
      </c>
    </row>
    <row r="181" customFormat="false" ht="15" hidden="false" customHeight="false" outlineLevel="0" collapsed="false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4"/>
      <c r="O181" s="18" t="str">
        <f aca="false">IF(OR($A181="",ISNA(MATCH($A181,Simulations!$A$3:$A$62,0))),"",IF(INDEX(Simulations!$I$3:$I$62,MATCH($A181,Simulations!$A$3:$A$62,0))&gt;0,$D181/(INDEX(Simulations!$G$3:$G$62,MATCH($A181,Simulations!$A$3:$A$62,0))*INDEX(Simulations!$H$3:$H$62,MATCH($A181,Simulations!$A$3:$A$62,0))*IF(INDEX(Simulations!$I$3:$I$62,MATCH($A181,Simulations!$A$3:$A$62,0))&gt;0,INDEX(Simulations!$I$3:$I$62,MATCH($A181,Simulations!$A$3:$A$62,0)),1))/1E-024/6.022E+023/0.000000001,""))</f>
        <v/>
      </c>
      <c r="P181" s="20" t="str">
        <f aca="false">IF(OR($A181="",ISNA(MATCH($A181,Simulations!$A$3:$A$62,0))),"",MAX($E181:$H181)/INDEX(Simulations!$J$3:$J$62,MATCH($A181,Simulations!$A$3:$A$62,0)))</f>
        <v/>
      </c>
      <c r="Q181" s="16" t="str">
        <f aca="false">IF(OR($A181="",ISNA(MATCH($A181,Simulations!$A$3:$A$62,0))),"",IF(N($E181)&lt;=0,0,IF($E181&lt;INDEX(Simulations!$J$3:$J$62,MATCH($A181,Simulations!$A$3:$A$62,0)),$D181/(INDEX(Simulations!$G$3:$G$62,MATCH($A181,Simulations!$A$3:$A$62,0))*INDEX(Simulations!$H$3:$H$62,MATCH($A181,Simulations!$A$3:$A$62,0))*IF(INDEX(Simulations!$I$3:$I$62,MATCH($A181,Simulations!$A$3:$A$62,0))&gt;0,INDEX(Simulations!$I$3:$I$62,MATCH($A181,Simulations!$A$3:$A$62,0)),1))*$E181*(PI()/2*INDEX(Simulations!$T$3:$T$62,MATCH($A181,Simulations!$A$3:$A$62,0))^2*IF(INDEX(Simulations!$I$3:$I$62,MATCH($A181,Simulations!$A$3:$A$62,0))&gt;0,SQRT(PI()/2)*INDEX(Simulations!$U$3:$U$62,MATCH($A181,Simulations!$A$3:$A$62,0)),1)),$D181/(INDEX(Simulations!$G$3:$G$62,MATCH($A181,Simulations!$A$3:$A$62,0))*INDEX(Simulations!$H$3:$H$62,MATCH($A181,Simulations!$A$3:$A$62,0))*IF(INDEX(Simulations!$I$3:$I$62,MATCH($A181,Simulations!$A$3:$A$62,0))&gt;0,INDEX(Simulations!$I$3:$I$62,MATCH($A181,Simulations!$A$3:$A$62,0)),1))*INDEX(Simulations!$J$3:$J$62,MATCH($A181,Simulations!$A$3:$A$62,0))*IF(INDEX(Simulations!$I$3:$I$62,MATCH($A181,Simulations!$A$3:$A$62,0))&gt;0,2*PI()*INDEX(Simulations!$T$3:$T$62,MATCH($A181,Simulations!$A$3:$A$62,0))^2*INDEX(Simulations!$U$3:$U$62,MATCH($A181,Simulations!$A$3:$A$62,0))/2^1.5*(2/3*LN($E181/INDEX(Simulations!$J$3:$J$62,MATCH($A181,Simulations!$A$3:$A$62,0)))^1.5+SQRT(LN($E181/INDEX(Simulations!$J$3:$J$62,MATCH($A181,Simulations!$A$3:$A$62,0))))+$E181/INDEX(Simulations!$J$3:$J$62,MATCH($A181,Simulations!$A$3:$A$62,0))*SQRT(PI())/2*ERFC(SQRT(LN($E181/INDEX(Simulations!$J$3:$J$62,MATCH($A181,Simulations!$A$3:$A$62,0)))))),PI()*INDEX(Simulations!$T$3:$T$62,MATCH($A181,Simulations!$A$3:$A$62,0))^2/2*(LN($E181/INDEX(Simulations!$J$3:$J$62,MATCH($A181,Simulations!$A$3:$A$62,0)))+1)))))</f>
        <v/>
      </c>
      <c r="R181" s="16" t="str">
        <f aca="false">IF(OR($A181="",ISNA(MATCH($A181,Simulations!$A$3:$A$62,0))),"",IF(N($F181)&lt;=0,0,IF($F181&lt;INDEX(Simulations!$J$3:$J$62,MATCH($A181,Simulations!$A$3:$A$62,0)),$D181/(INDEX(Simulations!$G$3:$G$62,MATCH($A181,Simulations!$A$3:$A$62,0))*INDEX(Simulations!$H$3:$H$62,MATCH($A181,Simulations!$A$3:$A$62,0))*IF(INDEX(Simulations!$I$3:$I$62,MATCH($A181,Simulations!$A$3:$A$62,0))&gt;0,INDEX(Simulations!$I$3:$I$62,MATCH($A181,Simulations!$A$3:$A$62,0)),1))*$F181*(PI()/2*INDEX(Simulations!$T$3:$T$62,MATCH($A181,Simulations!$A$3:$A$62,0))^2*IF(INDEX(Simulations!$I$3:$I$62,MATCH($A181,Simulations!$A$3:$A$62,0))&gt;0,SQRT(PI()/2)*INDEX(Simulations!$U$3:$U$62,MATCH($A181,Simulations!$A$3:$A$62,0)),1)),$D181/(INDEX(Simulations!$G$3:$G$62,MATCH($A181,Simulations!$A$3:$A$62,0))*INDEX(Simulations!$H$3:$H$62,MATCH($A181,Simulations!$A$3:$A$62,0))*IF(INDEX(Simulations!$I$3:$I$62,MATCH($A181,Simulations!$A$3:$A$62,0))&gt;0,INDEX(Simulations!$I$3:$I$62,MATCH($A181,Simulations!$A$3:$A$62,0)),1))*INDEX(Simulations!$J$3:$J$62,MATCH($A181,Simulations!$A$3:$A$62,0))*IF(INDEX(Simulations!$I$3:$I$62,MATCH($A181,Simulations!$A$3:$A$62,0))&gt;0,2*PI()*INDEX(Simulations!$T$3:$T$62,MATCH($A181,Simulations!$A$3:$A$62,0))^2*INDEX(Simulations!$U$3:$U$62,MATCH($A181,Simulations!$A$3:$A$62,0))/2^1.5*(2/3*LN($F181/INDEX(Simulations!$J$3:$J$62,MATCH($A181,Simulations!$A$3:$A$62,0)))^1.5+SQRT(LN($F181/INDEX(Simulations!$J$3:$J$62,MATCH($A181,Simulations!$A$3:$A$62,0))))+$F181/INDEX(Simulations!$J$3:$J$62,MATCH($A181,Simulations!$A$3:$A$62,0))*SQRT(PI())/2*ERFC(SQRT(LN($F181/INDEX(Simulations!$J$3:$J$62,MATCH($A181,Simulations!$A$3:$A$62,0)))))),PI()*INDEX(Simulations!$T$3:$T$62,MATCH($A181,Simulations!$A$3:$A$62,0))^2/2*(LN($F181/INDEX(Simulations!$J$3:$J$62,MATCH($A181,Simulations!$A$3:$A$62,0)))+1)))))</f>
        <v/>
      </c>
      <c r="S181" s="16" t="str">
        <f aca="false">IF(OR($A181="",ISNA(MATCH($A181,Simulations!$A$3:$A$62,0))),"",IF(N($G181)&lt;=0,0,IF($G181&lt;INDEX(Simulations!$J$3:$J$62,MATCH($A181,Simulations!$A$3:$A$62,0)),$D181/(INDEX(Simulations!$G$3:$G$62,MATCH($A181,Simulations!$A$3:$A$62,0))*INDEX(Simulations!$H$3:$H$62,MATCH($A181,Simulations!$A$3:$A$62,0))*IF(INDEX(Simulations!$I$3:$I$62,MATCH($A181,Simulations!$A$3:$A$62,0))&gt;0,INDEX(Simulations!$I$3:$I$62,MATCH($A181,Simulations!$A$3:$A$62,0)),1))*$G181*(PI()/2*INDEX(Simulations!$T$3:$T$62,MATCH($A181,Simulations!$A$3:$A$62,0))^2*IF(INDEX(Simulations!$I$3:$I$62,MATCH($A181,Simulations!$A$3:$A$62,0))&gt;0,SQRT(PI()/2)*INDEX(Simulations!$U$3:$U$62,MATCH($A181,Simulations!$A$3:$A$62,0)),1)),$D181/(INDEX(Simulations!$G$3:$G$62,MATCH($A181,Simulations!$A$3:$A$62,0))*INDEX(Simulations!$H$3:$H$62,MATCH($A181,Simulations!$A$3:$A$62,0))*IF(INDEX(Simulations!$I$3:$I$62,MATCH($A181,Simulations!$A$3:$A$62,0))&gt;0,INDEX(Simulations!$I$3:$I$62,MATCH($A181,Simulations!$A$3:$A$62,0)),1))*INDEX(Simulations!$J$3:$J$62,MATCH($A181,Simulations!$A$3:$A$62,0))*IF(INDEX(Simulations!$I$3:$I$62,MATCH($A181,Simulations!$A$3:$A$62,0))&gt;0,2*PI()*INDEX(Simulations!$T$3:$T$62,MATCH($A181,Simulations!$A$3:$A$62,0))^2*INDEX(Simulations!$U$3:$U$62,MATCH($A181,Simulations!$A$3:$A$62,0))/2^1.5*(2/3*LN($G181/INDEX(Simulations!$J$3:$J$62,MATCH($A181,Simulations!$A$3:$A$62,0)))^1.5+SQRT(LN($G181/INDEX(Simulations!$J$3:$J$62,MATCH($A181,Simulations!$A$3:$A$62,0))))+$G181/INDEX(Simulations!$J$3:$J$62,MATCH($A181,Simulations!$A$3:$A$62,0))*SQRT(PI())/2*ERFC(SQRT(LN($G181/INDEX(Simulations!$J$3:$J$62,MATCH($A181,Simulations!$A$3:$A$62,0)))))),PI()*INDEX(Simulations!$T$3:$T$62,MATCH($A181,Simulations!$A$3:$A$62,0))^2/2*(LN($G181/INDEX(Simulations!$J$3:$J$62,MATCH($A181,Simulations!$A$3:$A$62,0)))+1)))))</f>
        <v/>
      </c>
      <c r="T181" s="16" t="str">
        <f aca="false">IF(OR($A181="",ISNA(MATCH($A181,Simulations!$A$3:$A$62,0))),"",IF(N($H181)&lt;=0,0,IF($H181&lt;INDEX(Simulations!$J$3:$J$62,MATCH($A181,Simulations!$A$3:$A$62,0)),$D181/(INDEX(Simulations!$G$3:$G$62,MATCH($A181,Simulations!$A$3:$A$62,0))*INDEX(Simulations!$H$3:$H$62,MATCH($A181,Simulations!$A$3:$A$62,0))*IF(INDEX(Simulations!$I$3:$I$62,MATCH($A181,Simulations!$A$3:$A$62,0))&gt;0,INDEX(Simulations!$I$3:$I$62,MATCH($A181,Simulations!$A$3:$A$62,0)),1))*$H181*(PI()/2*INDEX(Simulations!$T$3:$T$62,MATCH($A181,Simulations!$A$3:$A$62,0))^2*IF(INDEX(Simulations!$I$3:$I$62,MATCH($A181,Simulations!$A$3:$A$62,0))&gt;0,SQRT(PI()/2)*INDEX(Simulations!$U$3:$U$62,MATCH($A181,Simulations!$A$3:$A$62,0)),1)),$D181/(INDEX(Simulations!$G$3:$G$62,MATCH($A181,Simulations!$A$3:$A$62,0))*INDEX(Simulations!$H$3:$H$62,MATCH($A181,Simulations!$A$3:$A$62,0))*IF(INDEX(Simulations!$I$3:$I$62,MATCH($A181,Simulations!$A$3:$A$62,0))&gt;0,INDEX(Simulations!$I$3:$I$62,MATCH($A181,Simulations!$A$3:$A$62,0)),1))*INDEX(Simulations!$J$3:$J$62,MATCH($A181,Simulations!$A$3:$A$62,0))*IF(INDEX(Simulations!$I$3:$I$62,MATCH($A181,Simulations!$A$3:$A$62,0))&gt;0,2*PI()*INDEX(Simulations!$T$3:$T$62,MATCH($A181,Simulations!$A$3:$A$62,0))^2*INDEX(Simulations!$U$3:$U$62,MATCH($A181,Simulations!$A$3:$A$62,0))/2^1.5*(2/3*LN($H181/INDEX(Simulations!$J$3:$J$62,MATCH($A181,Simulations!$A$3:$A$62,0)))^1.5+SQRT(LN($H181/INDEX(Simulations!$J$3:$J$62,MATCH($A181,Simulations!$A$3:$A$62,0))))+$H181/INDEX(Simulations!$J$3:$J$62,MATCH($A181,Simulations!$A$3:$A$62,0))*SQRT(PI())/2*ERFC(SQRT(LN($H181/INDEX(Simulations!$J$3:$J$62,MATCH($A181,Simulations!$A$3:$A$62,0)))))),PI()*INDEX(Simulations!$T$3:$T$62,MATCH($A181,Simulations!$A$3:$A$62,0))^2/2*(LN($H181/INDEX(Simulations!$J$3:$J$62,MATCH($A181,Simulations!$A$3:$A$62,0)))+1)))))</f>
        <v/>
      </c>
      <c r="U181" s="18" t="str">
        <f aca="false">IF(OR(OR($A181="",ISNA(MATCH($A181,Simulations!$A$3:$A$62,0))),N($C181)&lt;=0),"",SQRT(2*$C181*1000000/(INDEX(Simulations!$J$3:$J$62,MATCH($A181,Simulations!$A$3:$A$62,0))*1000))/INDEX(Simulations!$T$3:$T$62,MATCH($A181,Simulations!$A$3:$A$62,0)))</f>
        <v/>
      </c>
      <c r="V181" s="19" t="str">
        <f aca="false">IF($A181="","",IF(ISNA(MATCH($A181,Simulations!$A$3:$A$62,0)),"✖ Sim ID not found on the Simulations sheet",IF($P181&gt;=1,"✖ brightness &gt;= sampling frequency: completely saturated (D too small, c too large)",IF($P181&gt;0.1,"⚠ brightness &gt; 10% of the sampling frequency: focus starts to saturate",IF(N($U181)&gt;0.1,"⚠ diffusion step &gt; 10% of wr: raise the sampling frequency",IF(MAX($E181:$H181)=0,"⚠ no brightness set","✔ OK"))))))</f>
        <v/>
      </c>
    </row>
    <row r="182" customFormat="false" ht="15" hidden="false" customHeight="false" outlineLevel="0" collapsed="false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4"/>
      <c r="O182" s="18" t="str">
        <f aca="false">IF(OR($A182="",ISNA(MATCH($A182,Simulations!$A$3:$A$62,0))),"",IF(INDEX(Simulations!$I$3:$I$62,MATCH($A182,Simulations!$A$3:$A$62,0))&gt;0,$D182/(INDEX(Simulations!$G$3:$G$62,MATCH($A182,Simulations!$A$3:$A$62,0))*INDEX(Simulations!$H$3:$H$62,MATCH($A182,Simulations!$A$3:$A$62,0))*IF(INDEX(Simulations!$I$3:$I$62,MATCH($A182,Simulations!$A$3:$A$62,0))&gt;0,INDEX(Simulations!$I$3:$I$62,MATCH($A182,Simulations!$A$3:$A$62,0)),1))/1E-024/6.022E+023/0.000000001,""))</f>
        <v/>
      </c>
      <c r="P182" s="20" t="str">
        <f aca="false">IF(OR($A182="",ISNA(MATCH($A182,Simulations!$A$3:$A$62,0))),"",MAX($E182:$H182)/INDEX(Simulations!$J$3:$J$62,MATCH($A182,Simulations!$A$3:$A$62,0)))</f>
        <v/>
      </c>
      <c r="Q182" s="16" t="str">
        <f aca="false">IF(OR($A182="",ISNA(MATCH($A182,Simulations!$A$3:$A$62,0))),"",IF(N($E182)&lt;=0,0,IF($E182&lt;INDEX(Simulations!$J$3:$J$62,MATCH($A182,Simulations!$A$3:$A$62,0)),$D182/(INDEX(Simulations!$G$3:$G$62,MATCH($A182,Simulations!$A$3:$A$62,0))*INDEX(Simulations!$H$3:$H$62,MATCH($A182,Simulations!$A$3:$A$62,0))*IF(INDEX(Simulations!$I$3:$I$62,MATCH($A182,Simulations!$A$3:$A$62,0))&gt;0,INDEX(Simulations!$I$3:$I$62,MATCH($A182,Simulations!$A$3:$A$62,0)),1))*$E182*(PI()/2*INDEX(Simulations!$T$3:$T$62,MATCH($A182,Simulations!$A$3:$A$62,0))^2*IF(INDEX(Simulations!$I$3:$I$62,MATCH($A182,Simulations!$A$3:$A$62,0))&gt;0,SQRT(PI()/2)*INDEX(Simulations!$U$3:$U$62,MATCH($A182,Simulations!$A$3:$A$62,0)),1)),$D182/(INDEX(Simulations!$G$3:$G$62,MATCH($A182,Simulations!$A$3:$A$62,0))*INDEX(Simulations!$H$3:$H$62,MATCH($A182,Simulations!$A$3:$A$62,0))*IF(INDEX(Simulations!$I$3:$I$62,MATCH($A182,Simulations!$A$3:$A$62,0))&gt;0,INDEX(Simulations!$I$3:$I$62,MATCH($A182,Simulations!$A$3:$A$62,0)),1))*INDEX(Simulations!$J$3:$J$62,MATCH($A182,Simulations!$A$3:$A$62,0))*IF(INDEX(Simulations!$I$3:$I$62,MATCH($A182,Simulations!$A$3:$A$62,0))&gt;0,2*PI()*INDEX(Simulations!$T$3:$T$62,MATCH($A182,Simulations!$A$3:$A$62,0))^2*INDEX(Simulations!$U$3:$U$62,MATCH($A182,Simulations!$A$3:$A$62,0))/2^1.5*(2/3*LN($E182/INDEX(Simulations!$J$3:$J$62,MATCH($A182,Simulations!$A$3:$A$62,0)))^1.5+SQRT(LN($E182/INDEX(Simulations!$J$3:$J$62,MATCH($A182,Simulations!$A$3:$A$62,0))))+$E182/INDEX(Simulations!$J$3:$J$62,MATCH($A182,Simulations!$A$3:$A$62,0))*SQRT(PI())/2*ERFC(SQRT(LN($E182/INDEX(Simulations!$J$3:$J$62,MATCH($A182,Simulations!$A$3:$A$62,0)))))),PI()*INDEX(Simulations!$T$3:$T$62,MATCH($A182,Simulations!$A$3:$A$62,0))^2/2*(LN($E182/INDEX(Simulations!$J$3:$J$62,MATCH($A182,Simulations!$A$3:$A$62,0)))+1)))))</f>
        <v/>
      </c>
      <c r="R182" s="16" t="str">
        <f aca="false">IF(OR($A182="",ISNA(MATCH($A182,Simulations!$A$3:$A$62,0))),"",IF(N($F182)&lt;=0,0,IF($F182&lt;INDEX(Simulations!$J$3:$J$62,MATCH($A182,Simulations!$A$3:$A$62,0)),$D182/(INDEX(Simulations!$G$3:$G$62,MATCH($A182,Simulations!$A$3:$A$62,0))*INDEX(Simulations!$H$3:$H$62,MATCH($A182,Simulations!$A$3:$A$62,0))*IF(INDEX(Simulations!$I$3:$I$62,MATCH($A182,Simulations!$A$3:$A$62,0))&gt;0,INDEX(Simulations!$I$3:$I$62,MATCH($A182,Simulations!$A$3:$A$62,0)),1))*$F182*(PI()/2*INDEX(Simulations!$T$3:$T$62,MATCH($A182,Simulations!$A$3:$A$62,0))^2*IF(INDEX(Simulations!$I$3:$I$62,MATCH($A182,Simulations!$A$3:$A$62,0))&gt;0,SQRT(PI()/2)*INDEX(Simulations!$U$3:$U$62,MATCH($A182,Simulations!$A$3:$A$62,0)),1)),$D182/(INDEX(Simulations!$G$3:$G$62,MATCH($A182,Simulations!$A$3:$A$62,0))*INDEX(Simulations!$H$3:$H$62,MATCH($A182,Simulations!$A$3:$A$62,0))*IF(INDEX(Simulations!$I$3:$I$62,MATCH($A182,Simulations!$A$3:$A$62,0))&gt;0,INDEX(Simulations!$I$3:$I$62,MATCH($A182,Simulations!$A$3:$A$62,0)),1))*INDEX(Simulations!$J$3:$J$62,MATCH($A182,Simulations!$A$3:$A$62,0))*IF(INDEX(Simulations!$I$3:$I$62,MATCH($A182,Simulations!$A$3:$A$62,0))&gt;0,2*PI()*INDEX(Simulations!$T$3:$T$62,MATCH($A182,Simulations!$A$3:$A$62,0))^2*INDEX(Simulations!$U$3:$U$62,MATCH($A182,Simulations!$A$3:$A$62,0))/2^1.5*(2/3*LN($F182/INDEX(Simulations!$J$3:$J$62,MATCH($A182,Simulations!$A$3:$A$62,0)))^1.5+SQRT(LN($F182/INDEX(Simulations!$J$3:$J$62,MATCH($A182,Simulations!$A$3:$A$62,0))))+$F182/INDEX(Simulations!$J$3:$J$62,MATCH($A182,Simulations!$A$3:$A$62,0))*SQRT(PI())/2*ERFC(SQRT(LN($F182/INDEX(Simulations!$J$3:$J$62,MATCH($A182,Simulations!$A$3:$A$62,0)))))),PI()*INDEX(Simulations!$T$3:$T$62,MATCH($A182,Simulations!$A$3:$A$62,0))^2/2*(LN($F182/INDEX(Simulations!$J$3:$J$62,MATCH($A182,Simulations!$A$3:$A$62,0)))+1)))))</f>
        <v/>
      </c>
      <c r="S182" s="16" t="str">
        <f aca="false">IF(OR($A182="",ISNA(MATCH($A182,Simulations!$A$3:$A$62,0))),"",IF(N($G182)&lt;=0,0,IF($G182&lt;INDEX(Simulations!$J$3:$J$62,MATCH($A182,Simulations!$A$3:$A$62,0)),$D182/(INDEX(Simulations!$G$3:$G$62,MATCH($A182,Simulations!$A$3:$A$62,0))*INDEX(Simulations!$H$3:$H$62,MATCH($A182,Simulations!$A$3:$A$62,0))*IF(INDEX(Simulations!$I$3:$I$62,MATCH($A182,Simulations!$A$3:$A$62,0))&gt;0,INDEX(Simulations!$I$3:$I$62,MATCH($A182,Simulations!$A$3:$A$62,0)),1))*$G182*(PI()/2*INDEX(Simulations!$T$3:$T$62,MATCH($A182,Simulations!$A$3:$A$62,0))^2*IF(INDEX(Simulations!$I$3:$I$62,MATCH($A182,Simulations!$A$3:$A$62,0))&gt;0,SQRT(PI()/2)*INDEX(Simulations!$U$3:$U$62,MATCH($A182,Simulations!$A$3:$A$62,0)),1)),$D182/(INDEX(Simulations!$G$3:$G$62,MATCH($A182,Simulations!$A$3:$A$62,0))*INDEX(Simulations!$H$3:$H$62,MATCH($A182,Simulations!$A$3:$A$62,0))*IF(INDEX(Simulations!$I$3:$I$62,MATCH($A182,Simulations!$A$3:$A$62,0))&gt;0,INDEX(Simulations!$I$3:$I$62,MATCH($A182,Simulations!$A$3:$A$62,0)),1))*INDEX(Simulations!$J$3:$J$62,MATCH($A182,Simulations!$A$3:$A$62,0))*IF(INDEX(Simulations!$I$3:$I$62,MATCH($A182,Simulations!$A$3:$A$62,0))&gt;0,2*PI()*INDEX(Simulations!$T$3:$T$62,MATCH($A182,Simulations!$A$3:$A$62,0))^2*INDEX(Simulations!$U$3:$U$62,MATCH($A182,Simulations!$A$3:$A$62,0))/2^1.5*(2/3*LN($G182/INDEX(Simulations!$J$3:$J$62,MATCH($A182,Simulations!$A$3:$A$62,0)))^1.5+SQRT(LN($G182/INDEX(Simulations!$J$3:$J$62,MATCH($A182,Simulations!$A$3:$A$62,0))))+$G182/INDEX(Simulations!$J$3:$J$62,MATCH($A182,Simulations!$A$3:$A$62,0))*SQRT(PI())/2*ERFC(SQRT(LN($G182/INDEX(Simulations!$J$3:$J$62,MATCH($A182,Simulations!$A$3:$A$62,0)))))),PI()*INDEX(Simulations!$T$3:$T$62,MATCH($A182,Simulations!$A$3:$A$62,0))^2/2*(LN($G182/INDEX(Simulations!$J$3:$J$62,MATCH($A182,Simulations!$A$3:$A$62,0)))+1)))))</f>
        <v/>
      </c>
      <c r="T182" s="16" t="str">
        <f aca="false">IF(OR($A182="",ISNA(MATCH($A182,Simulations!$A$3:$A$62,0))),"",IF(N($H182)&lt;=0,0,IF($H182&lt;INDEX(Simulations!$J$3:$J$62,MATCH($A182,Simulations!$A$3:$A$62,0)),$D182/(INDEX(Simulations!$G$3:$G$62,MATCH($A182,Simulations!$A$3:$A$62,0))*INDEX(Simulations!$H$3:$H$62,MATCH($A182,Simulations!$A$3:$A$62,0))*IF(INDEX(Simulations!$I$3:$I$62,MATCH($A182,Simulations!$A$3:$A$62,0))&gt;0,INDEX(Simulations!$I$3:$I$62,MATCH($A182,Simulations!$A$3:$A$62,0)),1))*$H182*(PI()/2*INDEX(Simulations!$T$3:$T$62,MATCH($A182,Simulations!$A$3:$A$62,0))^2*IF(INDEX(Simulations!$I$3:$I$62,MATCH($A182,Simulations!$A$3:$A$62,0))&gt;0,SQRT(PI()/2)*INDEX(Simulations!$U$3:$U$62,MATCH($A182,Simulations!$A$3:$A$62,0)),1)),$D182/(INDEX(Simulations!$G$3:$G$62,MATCH($A182,Simulations!$A$3:$A$62,0))*INDEX(Simulations!$H$3:$H$62,MATCH($A182,Simulations!$A$3:$A$62,0))*IF(INDEX(Simulations!$I$3:$I$62,MATCH($A182,Simulations!$A$3:$A$62,0))&gt;0,INDEX(Simulations!$I$3:$I$62,MATCH($A182,Simulations!$A$3:$A$62,0)),1))*INDEX(Simulations!$J$3:$J$62,MATCH($A182,Simulations!$A$3:$A$62,0))*IF(INDEX(Simulations!$I$3:$I$62,MATCH($A182,Simulations!$A$3:$A$62,0))&gt;0,2*PI()*INDEX(Simulations!$T$3:$T$62,MATCH($A182,Simulations!$A$3:$A$62,0))^2*INDEX(Simulations!$U$3:$U$62,MATCH($A182,Simulations!$A$3:$A$62,0))/2^1.5*(2/3*LN($H182/INDEX(Simulations!$J$3:$J$62,MATCH($A182,Simulations!$A$3:$A$62,0)))^1.5+SQRT(LN($H182/INDEX(Simulations!$J$3:$J$62,MATCH($A182,Simulations!$A$3:$A$62,0))))+$H182/INDEX(Simulations!$J$3:$J$62,MATCH($A182,Simulations!$A$3:$A$62,0))*SQRT(PI())/2*ERFC(SQRT(LN($H182/INDEX(Simulations!$J$3:$J$62,MATCH($A182,Simulations!$A$3:$A$62,0)))))),PI()*INDEX(Simulations!$T$3:$T$62,MATCH($A182,Simulations!$A$3:$A$62,0))^2/2*(LN($H182/INDEX(Simulations!$J$3:$J$62,MATCH($A182,Simulations!$A$3:$A$62,0)))+1)))))</f>
        <v/>
      </c>
      <c r="U182" s="18" t="str">
        <f aca="false">IF(OR(OR($A182="",ISNA(MATCH($A182,Simulations!$A$3:$A$62,0))),N($C182)&lt;=0),"",SQRT(2*$C182*1000000/(INDEX(Simulations!$J$3:$J$62,MATCH($A182,Simulations!$A$3:$A$62,0))*1000))/INDEX(Simulations!$T$3:$T$62,MATCH($A182,Simulations!$A$3:$A$62,0)))</f>
        <v/>
      </c>
      <c r="V182" s="19" t="str">
        <f aca="false">IF($A182="","",IF(ISNA(MATCH($A182,Simulations!$A$3:$A$62,0)),"✖ Sim ID not found on the Simulations sheet",IF($P182&gt;=1,"✖ brightness &gt;= sampling frequency: completely saturated (D too small, c too large)",IF($P182&gt;0.1,"⚠ brightness &gt; 10% of the sampling frequency: focus starts to saturate",IF(N($U182)&gt;0.1,"⚠ diffusion step &gt; 10% of wr: raise the sampling frequency",IF(MAX($E182:$H182)=0,"⚠ no brightness set","✔ OK"))))))</f>
        <v/>
      </c>
    </row>
    <row r="183" customFormat="false" ht="15" hidden="false" customHeight="false" outlineLevel="0" collapsed="false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4"/>
      <c r="O183" s="18" t="str">
        <f aca="false">IF(OR($A183="",ISNA(MATCH($A183,Simulations!$A$3:$A$62,0))),"",IF(INDEX(Simulations!$I$3:$I$62,MATCH($A183,Simulations!$A$3:$A$62,0))&gt;0,$D183/(INDEX(Simulations!$G$3:$G$62,MATCH($A183,Simulations!$A$3:$A$62,0))*INDEX(Simulations!$H$3:$H$62,MATCH($A183,Simulations!$A$3:$A$62,0))*IF(INDEX(Simulations!$I$3:$I$62,MATCH($A183,Simulations!$A$3:$A$62,0))&gt;0,INDEX(Simulations!$I$3:$I$62,MATCH($A183,Simulations!$A$3:$A$62,0)),1))/1E-024/6.022E+023/0.000000001,""))</f>
        <v/>
      </c>
      <c r="P183" s="20" t="str">
        <f aca="false">IF(OR($A183="",ISNA(MATCH($A183,Simulations!$A$3:$A$62,0))),"",MAX($E183:$H183)/INDEX(Simulations!$J$3:$J$62,MATCH($A183,Simulations!$A$3:$A$62,0)))</f>
        <v/>
      </c>
      <c r="Q183" s="16" t="str">
        <f aca="false">IF(OR($A183="",ISNA(MATCH($A183,Simulations!$A$3:$A$62,0))),"",IF(N($E183)&lt;=0,0,IF($E183&lt;INDEX(Simulations!$J$3:$J$62,MATCH($A183,Simulations!$A$3:$A$62,0)),$D183/(INDEX(Simulations!$G$3:$G$62,MATCH($A183,Simulations!$A$3:$A$62,0))*INDEX(Simulations!$H$3:$H$62,MATCH($A183,Simulations!$A$3:$A$62,0))*IF(INDEX(Simulations!$I$3:$I$62,MATCH($A183,Simulations!$A$3:$A$62,0))&gt;0,INDEX(Simulations!$I$3:$I$62,MATCH($A183,Simulations!$A$3:$A$62,0)),1))*$E183*(PI()/2*INDEX(Simulations!$T$3:$T$62,MATCH($A183,Simulations!$A$3:$A$62,0))^2*IF(INDEX(Simulations!$I$3:$I$62,MATCH($A183,Simulations!$A$3:$A$62,0))&gt;0,SQRT(PI()/2)*INDEX(Simulations!$U$3:$U$62,MATCH($A183,Simulations!$A$3:$A$62,0)),1)),$D183/(INDEX(Simulations!$G$3:$G$62,MATCH($A183,Simulations!$A$3:$A$62,0))*INDEX(Simulations!$H$3:$H$62,MATCH($A183,Simulations!$A$3:$A$62,0))*IF(INDEX(Simulations!$I$3:$I$62,MATCH($A183,Simulations!$A$3:$A$62,0))&gt;0,INDEX(Simulations!$I$3:$I$62,MATCH($A183,Simulations!$A$3:$A$62,0)),1))*INDEX(Simulations!$J$3:$J$62,MATCH($A183,Simulations!$A$3:$A$62,0))*IF(INDEX(Simulations!$I$3:$I$62,MATCH($A183,Simulations!$A$3:$A$62,0))&gt;0,2*PI()*INDEX(Simulations!$T$3:$T$62,MATCH($A183,Simulations!$A$3:$A$62,0))^2*INDEX(Simulations!$U$3:$U$62,MATCH($A183,Simulations!$A$3:$A$62,0))/2^1.5*(2/3*LN($E183/INDEX(Simulations!$J$3:$J$62,MATCH($A183,Simulations!$A$3:$A$62,0)))^1.5+SQRT(LN($E183/INDEX(Simulations!$J$3:$J$62,MATCH($A183,Simulations!$A$3:$A$62,0))))+$E183/INDEX(Simulations!$J$3:$J$62,MATCH($A183,Simulations!$A$3:$A$62,0))*SQRT(PI())/2*ERFC(SQRT(LN($E183/INDEX(Simulations!$J$3:$J$62,MATCH($A183,Simulations!$A$3:$A$62,0)))))),PI()*INDEX(Simulations!$T$3:$T$62,MATCH($A183,Simulations!$A$3:$A$62,0))^2/2*(LN($E183/INDEX(Simulations!$J$3:$J$62,MATCH($A183,Simulations!$A$3:$A$62,0)))+1)))))</f>
        <v/>
      </c>
      <c r="R183" s="16" t="str">
        <f aca="false">IF(OR($A183="",ISNA(MATCH($A183,Simulations!$A$3:$A$62,0))),"",IF(N($F183)&lt;=0,0,IF($F183&lt;INDEX(Simulations!$J$3:$J$62,MATCH($A183,Simulations!$A$3:$A$62,0)),$D183/(INDEX(Simulations!$G$3:$G$62,MATCH($A183,Simulations!$A$3:$A$62,0))*INDEX(Simulations!$H$3:$H$62,MATCH($A183,Simulations!$A$3:$A$62,0))*IF(INDEX(Simulations!$I$3:$I$62,MATCH($A183,Simulations!$A$3:$A$62,0))&gt;0,INDEX(Simulations!$I$3:$I$62,MATCH($A183,Simulations!$A$3:$A$62,0)),1))*$F183*(PI()/2*INDEX(Simulations!$T$3:$T$62,MATCH($A183,Simulations!$A$3:$A$62,0))^2*IF(INDEX(Simulations!$I$3:$I$62,MATCH($A183,Simulations!$A$3:$A$62,0))&gt;0,SQRT(PI()/2)*INDEX(Simulations!$U$3:$U$62,MATCH($A183,Simulations!$A$3:$A$62,0)),1)),$D183/(INDEX(Simulations!$G$3:$G$62,MATCH($A183,Simulations!$A$3:$A$62,0))*INDEX(Simulations!$H$3:$H$62,MATCH($A183,Simulations!$A$3:$A$62,0))*IF(INDEX(Simulations!$I$3:$I$62,MATCH($A183,Simulations!$A$3:$A$62,0))&gt;0,INDEX(Simulations!$I$3:$I$62,MATCH($A183,Simulations!$A$3:$A$62,0)),1))*INDEX(Simulations!$J$3:$J$62,MATCH($A183,Simulations!$A$3:$A$62,0))*IF(INDEX(Simulations!$I$3:$I$62,MATCH($A183,Simulations!$A$3:$A$62,0))&gt;0,2*PI()*INDEX(Simulations!$T$3:$T$62,MATCH($A183,Simulations!$A$3:$A$62,0))^2*INDEX(Simulations!$U$3:$U$62,MATCH($A183,Simulations!$A$3:$A$62,0))/2^1.5*(2/3*LN($F183/INDEX(Simulations!$J$3:$J$62,MATCH($A183,Simulations!$A$3:$A$62,0)))^1.5+SQRT(LN($F183/INDEX(Simulations!$J$3:$J$62,MATCH($A183,Simulations!$A$3:$A$62,0))))+$F183/INDEX(Simulations!$J$3:$J$62,MATCH($A183,Simulations!$A$3:$A$62,0))*SQRT(PI())/2*ERFC(SQRT(LN($F183/INDEX(Simulations!$J$3:$J$62,MATCH($A183,Simulations!$A$3:$A$62,0)))))),PI()*INDEX(Simulations!$T$3:$T$62,MATCH($A183,Simulations!$A$3:$A$62,0))^2/2*(LN($F183/INDEX(Simulations!$J$3:$J$62,MATCH($A183,Simulations!$A$3:$A$62,0)))+1)))))</f>
        <v/>
      </c>
      <c r="S183" s="16" t="str">
        <f aca="false">IF(OR($A183="",ISNA(MATCH($A183,Simulations!$A$3:$A$62,0))),"",IF(N($G183)&lt;=0,0,IF($G183&lt;INDEX(Simulations!$J$3:$J$62,MATCH($A183,Simulations!$A$3:$A$62,0)),$D183/(INDEX(Simulations!$G$3:$G$62,MATCH($A183,Simulations!$A$3:$A$62,0))*INDEX(Simulations!$H$3:$H$62,MATCH($A183,Simulations!$A$3:$A$62,0))*IF(INDEX(Simulations!$I$3:$I$62,MATCH($A183,Simulations!$A$3:$A$62,0))&gt;0,INDEX(Simulations!$I$3:$I$62,MATCH($A183,Simulations!$A$3:$A$62,0)),1))*$G183*(PI()/2*INDEX(Simulations!$T$3:$T$62,MATCH($A183,Simulations!$A$3:$A$62,0))^2*IF(INDEX(Simulations!$I$3:$I$62,MATCH($A183,Simulations!$A$3:$A$62,0))&gt;0,SQRT(PI()/2)*INDEX(Simulations!$U$3:$U$62,MATCH($A183,Simulations!$A$3:$A$62,0)),1)),$D183/(INDEX(Simulations!$G$3:$G$62,MATCH($A183,Simulations!$A$3:$A$62,0))*INDEX(Simulations!$H$3:$H$62,MATCH($A183,Simulations!$A$3:$A$62,0))*IF(INDEX(Simulations!$I$3:$I$62,MATCH($A183,Simulations!$A$3:$A$62,0))&gt;0,INDEX(Simulations!$I$3:$I$62,MATCH($A183,Simulations!$A$3:$A$62,0)),1))*INDEX(Simulations!$J$3:$J$62,MATCH($A183,Simulations!$A$3:$A$62,0))*IF(INDEX(Simulations!$I$3:$I$62,MATCH($A183,Simulations!$A$3:$A$62,0))&gt;0,2*PI()*INDEX(Simulations!$T$3:$T$62,MATCH($A183,Simulations!$A$3:$A$62,0))^2*INDEX(Simulations!$U$3:$U$62,MATCH($A183,Simulations!$A$3:$A$62,0))/2^1.5*(2/3*LN($G183/INDEX(Simulations!$J$3:$J$62,MATCH($A183,Simulations!$A$3:$A$62,0)))^1.5+SQRT(LN($G183/INDEX(Simulations!$J$3:$J$62,MATCH($A183,Simulations!$A$3:$A$62,0))))+$G183/INDEX(Simulations!$J$3:$J$62,MATCH($A183,Simulations!$A$3:$A$62,0))*SQRT(PI())/2*ERFC(SQRT(LN($G183/INDEX(Simulations!$J$3:$J$62,MATCH($A183,Simulations!$A$3:$A$62,0)))))),PI()*INDEX(Simulations!$T$3:$T$62,MATCH($A183,Simulations!$A$3:$A$62,0))^2/2*(LN($G183/INDEX(Simulations!$J$3:$J$62,MATCH($A183,Simulations!$A$3:$A$62,0)))+1)))))</f>
        <v/>
      </c>
      <c r="T183" s="16" t="str">
        <f aca="false">IF(OR($A183="",ISNA(MATCH($A183,Simulations!$A$3:$A$62,0))),"",IF(N($H183)&lt;=0,0,IF($H183&lt;INDEX(Simulations!$J$3:$J$62,MATCH($A183,Simulations!$A$3:$A$62,0)),$D183/(INDEX(Simulations!$G$3:$G$62,MATCH($A183,Simulations!$A$3:$A$62,0))*INDEX(Simulations!$H$3:$H$62,MATCH($A183,Simulations!$A$3:$A$62,0))*IF(INDEX(Simulations!$I$3:$I$62,MATCH($A183,Simulations!$A$3:$A$62,0))&gt;0,INDEX(Simulations!$I$3:$I$62,MATCH($A183,Simulations!$A$3:$A$62,0)),1))*$H183*(PI()/2*INDEX(Simulations!$T$3:$T$62,MATCH($A183,Simulations!$A$3:$A$62,0))^2*IF(INDEX(Simulations!$I$3:$I$62,MATCH($A183,Simulations!$A$3:$A$62,0))&gt;0,SQRT(PI()/2)*INDEX(Simulations!$U$3:$U$62,MATCH($A183,Simulations!$A$3:$A$62,0)),1)),$D183/(INDEX(Simulations!$G$3:$G$62,MATCH($A183,Simulations!$A$3:$A$62,0))*INDEX(Simulations!$H$3:$H$62,MATCH($A183,Simulations!$A$3:$A$62,0))*IF(INDEX(Simulations!$I$3:$I$62,MATCH($A183,Simulations!$A$3:$A$62,0))&gt;0,INDEX(Simulations!$I$3:$I$62,MATCH($A183,Simulations!$A$3:$A$62,0)),1))*INDEX(Simulations!$J$3:$J$62,MATCH($A183,Simulations!$A$3:$A$62,0))*IF(INDEX(Simulations!$I$3:$I$62,MATCH($A183,Simulations!$A$3:$A$62,0))&gt;0,2*PI()*INDEX(Simulations!$T$3:$T$62,MATCH($A183,Simulations!$A$3:$A$62,0))^2*INDEX(Simulations!$U$3:$U$62,MATCH($A183,Simulations!$A$3:$A$62,0))/2^1.5*(2/3*LN($H183/INDEX(Simulations!$J$3:$J$62,MATCH($A183,Simulations!$A$3:$A$62,0)))^1.5+SQRT(LN($H183/INDEX(Simulations!$J$3:$J$62,MATCH($A183,Simulations!$A$3:$A$62,0))))+$H183/INDEX(Simulations!$J$3:$J$62,MATCH($A183,Simulations!$A$3:$A$62,0))*SQRT(PI())/2*ERFC(SQRT(LN($H183/INDEX(Simulations!$J$3:$J$62,MATCH($A183,Simulations!$A$3:$A$62,0)))))),PI()*INDEX(Simulations!$T$3:$T$62,MATCH($A183,Simulations!$A$3:$A$62,0))^2/2*(LN($H183/INDEX(Simulations!$J$3:$J$62,MATCH($A183,Simulations!$A$3:$A$62,0)))+1)))))</f>
        <v/>
      </c>
      <c r="U183" s="18" t="str">
        <f aca="false">IF(OR(OR($A183="",ISNA(MATCH($A183,Simulations!$A$3:$A$62,0))),N($C183)&lt;=0),"",SQRT(2*$C183*1000000/(INDEX(Simulations!$J$3:$J$62,MATCH($A183,Simulations!$A$3:$A$62,0))*1000))/INDEX(Simulations!$T$3:$T$62,MATCH($A183,Simulations!$A$3:$A$62,0)))</f>
        <v/>
      </c>
      <c r="V183" s="19" t="str">
        <f aca="false">IF($A183="","",IF(ISNA(MATCH($A183,Simulations!$A$3:$A$62,0)),"✖ Sim ID not found on the Simulations sheet",IF($P183&gt;=1,"✖ brightness &gt;= sampling frequency: completely saturated (D too small, c too large)",IF($P183&gt;0.1,"⚠ brightness &gt; 10% of the sampling frequency: focus starts to saturate",IF(N($U183)&gt;0.1,"⚠ diffusion step &gt; 10% of wr: raise the sampling frequency",IF(MAX($E183:$H183)=0,"⚠ no brightness set","✔ OK"))))))</f>
        <v/>
      </c>
    </row>
    <row r="184" customFormat="false" ht="15" hidden="false" customHeight="false" outlineLevel="0" collapsed="false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4"/>
      <c r="O184" s="18" t="str">
        <f aca="false">IF(OR($A184="",ISNA(MATCH($A184,Simulations!$A$3:$A$62,0))),"",IF(INDEX(Simulations!$I$3:$I$62,MATCH($A184,Simulations!$A$3:$A$62,0))&gt;0,$D184/(INDEX(Simulations!$G$3:$G$62,MATCH($A184,Simulations!$A$3:$A$62,0))*INDEX(Simulations!$H$3:$H$62,MATCH($A184,Simulations!$A$3:$A$62,0))*IF(INDEX(Simulations!$I$3:$I$62,MATCH($A184,Simulations!$A$3:$A$62,0))&gt;0,INDEX(Simulations!$I$3:$I$62,MATCH($A184,Simulations!$A$3:$A$62,0)),1))/1E-024/6.022E+023/0.000000001,""))</f>
        <v/>
      </c>
      <c r="P184" s="20" t="str">
        <f aca="false">IF(OR($A184="",ISNA(MATCH($A184,Simulations!$A$3:$A$62,0))),"",MAX($E184:$H184)/INDEX(Simulations!$J$3:$J$62,MATCH($A184,Simulations!$A$3:$A$62,0)))</f>
        <v/>
      </c>
      <c r="Q184" s="16" t="str">
        <f aca="false">IF(OR($A184="",ISNA(MATCH($A184,Simulations!$A$3:$A$62,0))),"",IF(N($E184)&lt;=0,0,IF($E184&lt;INDEX(Simulations!$J$3:$J$62,MATCH($A184,Simulations!$A$3:$A$62,0)),$D184/(INDEX(Simulations!$G$3:$G$62,MATCH($A184,Simulations!$A$3:$A$62,0))*INDEX(Simulations!$H$3:$H$62,MATCH($A184,Simulations!$A$3:$A$62,0))*IF(INDEX(Simulations!$I$3:$I$62,MATCH($A184,Simulations!$A$3:$A$62,0))&gt;0,INDEX(Simulations!$I$3:$I$62,MATCH($A184,Simulations!$A$3:$A$62,0)),1))*$E184*(PI()/2*INDEX(Simulations!$T$3:$T$62,MATCH($A184,Simulations!$A$3:$A$62,0))^2*IF(INDEX(Simulations!$I$3:$I$62,MATCH($A184,Simulations!$A$3:$A$62,0))&gt;0,SQRT(PI()/2)*INDEX(Simulations!$U$3:$U$62,MATCH($A184,Simulations!$A$3:$A$62,0)),1)),$D184/(INDEX(Simulations!$G$3:$G$62,MATCH($A184,Simulations!$A$3:$A$62,0))*INDEX(Simulations!$H$3:$H$62,MATCH($A184,Simulations!$A$3:$A$62,0))*IF(INDEX(Simulations!$I$3:$I$62,MATCH($A184,Simulations!$A$3:$A$62,0))&gt;0,INDEX(Simulations!$I$3:$I$62,MATCH($A184,Simulations!$A$3:$A$62,0)),1))*INDEX(Simulations!$J$3:$J$62,MATCH($A184,Simulations!$A$3:$A$62,0))*IF(INDEX(Simulations!$I$3:$I$62,MATCH($A184,Simulations!$A$3:$A$62,0))&gt;0,2*PI()*INDEX(Simulations!$T$3:$T$62,MATCH($A184,Simulations!$A$3:$A$62,0))^2*INDEX(Simulations!$U$3:$U$62,MATCH($A184,Simulations!$A$3:$A$62,0))/2^1.5*(2/3*LN($E184/INDEX(Simulations!$J$3:$J$62,MATCH($A184,Simulations!$A$3:$A$62,0)))^1.5+SQRT(LN($E184/INDEX(Simulations!$J$3:$J$62,MATCH($A184,Simulations!$A$3:$A$62,0))))+$E184/INDEX(Simulations!$J$3:$J$62,MATCH($A184,Simulations!$A$3:$A$62,0))*SQRT(PI())/2*ERFC(SQRT(LN($E184/INDEX(Simulations!$J$3:$J$62,MATCH($A184,Simulations!$A$3:$A$62,0)))))),PI()*INDEX(Simulations!$T$3:$T$62,MATCH($A184,Simulations!$A$3:$A$62,0))^2/2*(LN($E184/INDEX(Simulations!$J$3:$J$62,MATCH($A184,Simulations!$A$3:$A$62,0)))+1)))))</f>
        <v/>
      </c>
      <c r="R184" s="16" t="str">
        <f aca="false">IF(OR($A184="",ISNA(MATCH($A184,Simulations!$A$3:$A$62,0))),"",IF(N($F184)&lt;=0,0,IF($F184&lt;INDEX(Simulations!$J$3:$J$62,MATCH($A184,Simulations!$A$3:$A$62,0)),$D184/(INDEX(Simulations!$G$3:$G$62,MATCH($A184,Simulations!$A$3:$A$62,0))*INDEX(Simulations!$H$3:$H$62,MATCH($A184,Simulations!$A$3:$A$62,0))*IF(INDEX(Simulations!$I$3:$I$62,MATCH($A184,Simulations!$A$3:$A$62,0))&gt;0,INDEX(Simulations!$I$3:$I$62,MATCH($A184,Simulations!$A$3:$A$62,0)),1))*$F184*(PI()/2*INDEX(Simulations!$T$3:$T$62,MATCH($A184,Simulations!$A$3:$A$62,0))^2*IF(INDEX(Simulations!$I$3:$I$62,MATCH($A184,Simulations!$A$3:$A$62,0))&gt;0,SQRT(PI()/2)*INDEX(Simulations!$U$3:$U$62,MATCH($A184,Simulations!$A$3:$A$62,0)),1)),$D184/(INDEX(Simulations!$G$3:$G$62,MATCH($A184,Simulations!$A$3:$A$62,0))*INDEX(Simulations!$H$3:$H$62,MATCH($A184,Simulations!$A$3:$A$62,0))*IF(INDEX(Simulations!$I$3:$I$62,MATCH($A184,Simulations!$A$3:$A$62,0))&gt;0,INDEX(Simulations!$I$3:$I$62,MATCH($A184,Simulations!$A$3:$A$62,0)),1))*INDEX(Simulations!$J$3:$J$62,MATCH($A184,Simulations!$A$3:$A$62,0))*IF(INDEX(Simulations!$I$3:$I$62,MATCH($A184,Simulations!$A$3:$A$62,0))&gt;0,2*PI()*INDEX(Simulations!$T$3:$T$62,MATCH($A184,Simulations!$A$3:$A$62,0))^2*INDEX(Simulations!$U$3:$U$62,MATCH($A184,Simulations!$A$3:$A$62,0))/2^1.5*(2/3*LN($F184/INDEX(Simulations!$J$3:$J$62,MATCH($A184,Simulations!$A$3:$A$62,0)))^1.5+SQRT(LN($F184/INDEX(Simulations!$J$3:$J$62,MATCH($A184,Simulations!$A$3:$A$62,0))))+$F184/INDEX(Simulations!$J$3:$J$62,MATCH($A184,Simulations!$A$3:$A$62,0))*SQRT(PI())/2*ERFC(SQRT(LN($F184/INDEX(Simulations!$J$3:$J$62,MATCH($A184,Simulations!$A$3:$A$62,0)))))),PI()*INDEX(Simulations!$T$3:$T$62,MATCH($A184,Simulations!$A$3:$A$62,0))^2/2*(LN($F184/INDEX(Simulations!$J$3:$J$62,MATCH($A184,Simulations!$A$3:$A$62,0)))+1)))))</f>
        <v/>
      </c>
      <c r="S184" s="16" t="str">
        <f aca="false">IF(OR($A184="",ISNA(MATCH($A184,Simulations!$A$3:$A$62,0))),"",IF(N($G184)&lt;=0,0,IF($G184&lt;INDEX(Simulations!$J$3:$J$62,MATCH($A184,Simulations!$A$3:$A$62,0)),$D184/(INDEX(Simulations!$G$3:$G$62,MATCH($A184,Simulations!$A$3:$A$62,0))*INDEX(Simulations!$H$3:$H$62,MATCH($A184,Simulations!$A$3:$A$62,0))*IF(INDEX(Simulations!$I$3:$I$62,MATCH($A184,Simulations!$A$3:$A$62,0))&gt;0,INDEX(Simulations!$I$3:$I$62,MATCH($A184,Simulations!$A$3:$A$62,0)),1))*$G184*(PI()/2*INDEX(Simulations!$T$3:$T$62,MATCH($A184,Simulations!$A$3:$A$62,0))^2*IF(INDEX(Simulations!$I$3:$I$62,MATCH($A184,Simulations!$A$3:$A$62,0))&gt;0,SQRT(PI()/2)*INDEX(Simulations!$U$3:$U$62,MATCH($A184,Simulations!$A$3:$A$62,0)),1)),$D184/(INDEX(Simulations!$G$3:$G$62,MATCH($A184,Simulations!$A$3:$A$62,0))*INDEX(Simulations!$H$3:$H$62,MATCH($A184,Simulations!$A$3:$A$62,0))*IF(INDEX(Simulations!$I$3:$I$62,MATCH($A184,Simulations!$A$3:$A$62,0))&gt;0,INDEX(Simulations!$I$3:$I$62,MATCH($A184,Simulations!$A$3:$A$62,0)),1))*INDEX(Simulations!$J$3:$J$62,MATCH($A184,Simulations!$A$3:$A$62,0))*IF(INDEX(Simulations!$I$3:$I$62,MATCH($A184,Simulations!$A$3:$A$62,0))&gt;0,2*PI()*INDEX(Simulations!$T$3:$T$62,MATCH($A184,Simulations!$A$3:$A$62,0))^2*INDEX(Simulations!$U$3:$U$62,MATCH($A184,Simulations!$A$3:$A$62,0))/2^1.5*(2/3*LN($G184/INDEX(Simulations!$J$3:$J$62,MATCH($A184,Simulations!$A$3:$A$62,0)))^1.5+SQRT(LN($G184/INDEX(Simulations!$J$3:$J$62,MATCH($A184,Simulations!$A$3:$A$62,0))))+$G184/INDEX(Simulations!$J$3:$J$62,MATCH($A184,Simulations!$A$3:$A$62,0))*SQRT(PI())/2*ERFC(SQRT(LN($G184/INDEX(Simulations!$J$3:$J$62,MATCH($A184,Simulations!$A$3:$A$62,0)))))),PI()*INDEX(Simulations!$T$3:$T$62,MATCH($A184,Simulations!$A$3:$A$62,0))^2/2*(LN($G184/INDEX(Simulations!$J$3:$J$62,MATCH($A184,Simulations!$A$3:$A$62,0)))+1)))))</f>
        <v/>
      </c>
      <c r="T184" s="16" t="str">
        <f aca="false">IF(OR($A184="",ISNA(MATCH($A184,Simulations!$A$3:$A$62,0))),"",IF(N($H184)&lt;=0,0,IF($H184&lt;INDEX(Simulations!$J$3:$J$62,MATCH($A184,Simulations!$A$3:$A$62,0)),$D184/(INDEX(Simulations!$G$3:$G$62,MATCH($A184,Simulations!$A$3:$A$62,0))*INDEX(Simulations!$H$3:$H$62,MATCH($A184,Simulations!$A$3:$A$62,0))*IF(INDEX(Simulations!$I$3:$I$62,MATCH($A184,Simulations!$A$3:$A$62,0))&gt;0,INDEX(Simulations!$I$3:$I$62,MATCH($A184,Simulations!$A$3:$A$62,0)),1))*$H184*(PI()/2*INDEX(Simulations!$T$3:$T$62,MATCH($A184,Simulations!$A$3:$A$62,0))^2*IF(INDEX(Simulations!$I$3:$I$62,MATCH($A184,Simulations!$A$3:$A$62,0))&gt;0,SQRT(PI()/2)*INDEX(Simulations!$U$3:$U$62,MATCH($A184,Simulations!$A$3:$A$62,0)),1)),$D184/(INDEX(Simulations!$G$3:$G$62,MATCH($A184,Simulations!$A$3:$A$62,0))*INDEX(Simulations!$H$3:$H$62,MATCH($A184,Simulations!$A$3:$A$62,0))*IF(INDEX(Simulations!$I$3:$I$62,MATCH($A184,Simulations!$A$3:$A$62,0))&gt;0,INDEX(Simulations!$I$3:$I$62,MATCH($A184,Simulations!$A$3:$A$62,0)),1))*INDEX(Simulations!$J$3:$J$62,MATCH($A184,Simulations!$A$3:$A$62,0))*IF(INDEX(Simulations!$I$3:$I$62,MATCH($A184,Simulations!$A$3:$A$62,0))&gt;0,2*PI()*INDEX(Simulations!$T$3:$T$62,MATCH($A184,Simulations!$A$3:$A$62,0))^2*INDEX(Simulations!$U$3:$U$62,MATCH($A184,Simulations!$A$3:$A$62,0))/2^1.5*(2/3*LN($H184/INDEX(Simulations!$J$3:$J$62,MATCH($A184,Simulations!$A$3:$A$62,0)))^1.5+SQRT(LN($H184/INDEX(Simulations!$J$3:$J$62,MATCH($A184,Simulations!$A$3:$A$62,0))))+$H184/INDEX(Simulations!$J$3:$J$62,MATCH($A184,Simulations!$A$3:$A$62,0))*SQRT(PI())/2*ERFC(SQRT(LN($H184/INDEX(Simulations!$J$3:$J$62,MATCH($A184,Simulations!$A$3:$A$62,0)))))),PI()*INDEX(Simulations!$T$3:$T$62,MATCH($A184,Simulations!$A$3:$A$62,0))^2/2*(LN($H184/INDEX(Simulations!$J$3:$J$62,MATCH($A184,Simulations!$A$3:$A$62,0)))+1)))))</f>
        <v/>
      </c>
      <c r="U184" s="18" t="str">
        <f aca="false">IF(OR(OR($A184="",ISNA(MATCH($A184,Simulations!$A$3:$A$62,0))),N($C184)&lt;=0),"",SQRT(2*$C184*1000000/(INDEX(Simulations!$J$3:$J$62,MATCH($A184,Simulations!$A$3:$A$62,0))*1000))/INDEX(Simulations!$T$3:$T$62,MATCH($A184,Simulations!$A$3:$A$62,0)))</f>
        <v/>
      </c>
      <c r="V184" s="19" t="str">
        <f aca="false">IF($A184="","",IF(ISNA(MATCH($A184,Simulations!$A$3:$A$62,0)),"✖ Sim ID not found on the Simulations sheet",IF($P184&gt;=1,"✖ brightness &gt;= sampling frequency: completely saturated (D too small, c too large)",IF($P184&gt;0.1,"⚠ brightness &gt; 10% of the sampling frequency: focus starts to saturate",IF(N($U184)&gt;0.1,"⚠ diffusion step &gt; 10% of wr: raise the sampling frequency",IF(MAX($E184:$H184)=0,"⚠ no brightness set","✔ OK"))))))</f>
        <v/>
      </c>
    </row>
    <row r="185" customFormat="false" ht="15" hidden="false" customHeight="false" outlineLevel="0" collapsed="false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4"/>
      <c r="O185" s="18" t="str">
        <f aca="false">IF(OR($A185="",ISNA(MATCH($A185,Simulations!$A$3:$A$62,0))),"",IF(INDEX(Simulations!$I$3:$I$62,MATCH($A185,Simulations!$A$3:$A$62,0))&gt;0,$D185/(INDEX(Simulations!$G$3:$G$62,MATCH($A185,Simulations!$A$3:$A$62,0))*INDEX(Simulations!$H$3:$H$62,MATCH($A185,Simulations!$A$3:$A$62,0))*IF(INDEX(Simulations!$I$3:$I$62,MATCH($A185,Simulations!$A$3:$A$62,0))&gt;0,INDEX(Simulations!$I$3:$I$62,MATCH($A185,Simulations!$A$3:$A$62,0)),1))/1E-024/6.022E+023/0.000000001,""))</f>
        <v/>
      </c>
      <c r="P185" s="20" t="str">
        <f aca="false">IF(OR($A185="",ISNA(MATCH($A185,Simulations!$A$3:$A$62,0))),"",MAX($E185:$H185)/INDEX(Simulations!$J$3:$J$62,MATCH($A185,Simulations!$A$3:$A$62,0)))</f>
        <v/>
      </c>
      <c r="Q185" s="16" t="str">
        <f aca="false">IF(OR($A185="",ISNA(MATCH($A185,Simulations!$A$3:$A$62,0))),"",IF(N($E185)&lt;=0,0,IF($E185&lt;INDEX(Simulations!$J$3:$J$62,MATCH($A185,Simulations!$A$3:$A$62,0)),$D185/(INDEX(Simulations!$G$3:$G$62,MATCH($A185,Simulations!$A$3:$A$62,0))*INDEX(Simulations!$H$3:$H$62,MATCH($A185,Simulations!$A$3:$A$62,0))*IF(INDEX(Simulations!$I$3:$I$62,MATCH($A185,Simulations!$A$3:$A$62,0))&gt;0,INDEX(Simulations!$I$3:$I$62,MATCH($A185,Simulations!$A$3:$A$62,0)),1))*$E185*(PI()/2*INDEX(Simulations!$T$3:$T$62,MATCH($A185,Simulations!$A$3:$A$62,0))^2*IF(INDEX(Simulations!$I$3:$I$62,MATCH($A185,Simulations!$A$3:$A$62,0))&gt;0,SQRT(PI()/2)*INDEX(Simulations!$U$3:$U$62,MATCH($A185,Simulations!$A$3:$A$62,0)),1)),$D185/(INDEX(Simulations!$G$3:$G$62,MATCH($A185,Simulations!$A$3:$A$62,0))*INDEX(Simulations!$H$3:$H$62,MATCH($A185,Simulations!$A$3:$A$62,0))*IF(INDEX(Simulations!$I$3:$I$62,MATCH($A185,Simulations!$A$3:$A$62,0))&gt;0,INDEX(Simulations!$I$3:$I$62,MATCH($A185,Simulations!$A$3:$A$62,0)),1))*INDEX(Simulations!$J$3:$J$62,MATCH($A185,Simulations!$A$3:$A$62,0))*IF(INDEX(Simulations!$I$3:$I$62,MATCH($A185,Simulations!$A$3:$A$62,0))&gt;0,2*PI()*INDEX(Simulations!$T$3:$T$62,MATCH($A185,Simulations!$A$3:$A$62,0))^2*INDEX(Simulations!$U$3:$U$62,MATCH($A185,Simulations!$A$3:$A$62,0))/2^1.5*(2/3*LN($E185/INDEX(Simulations!$J$3:$J$62,MATCH($A185,Simulations!$A$3:$A$62,0)))^1.5+SQRT(LN($E185/INDEX(Simulations!$J$3:$J$62,MATCH($A185,Simulations!$A$3:$A$62,0))))+$E185/INDEX(Simulations!$J$3:$J$62,MATCH($A185,Simulations!$A$3:$A$62,0))*SQRT(PI())/2*ERFC(SQRT(LN($E185/INDEX(Simulations!$J$3:$J$62,MATCH($A185,Simulations!$A$3:$A$62,0)))))),PI()*INDEX(Simulations!$T$3:$T$62,MATCH($A185,Simulations!$A$3:$A$62,0))^2/2*(LN($E185/INDEX(Simulations!$J$3:$J$62,MATCH($A185,Simulations!$A$3:$A$62,0)))+1)))))</f>
        <v/>
      </c>
      <c r="R185" s="16" t="str">
        <f aca="false">IF(OR($A185="",ISNA(MATCH($A185,Simulations!$A$3:$A$62,0))),"",IF(N($F185)&lt;=0,0,IF($F185&lt;INDEX(Simulations!$J$3:$J$62,MATCH($A185,Simulations!$A$3:$A$62,0)),$D185/(INDEX(Simulations!$G$3:$G$62,MATCH($A185,Simulations!$A$3:$A$62,0))*INDEX(Simulations!$H$3:$H$62,MATCH($A185,Simulations!$A$3:$A$62,0))*IF(INDEX(Simulations!$I$3:$I$62,MATCH($A185,Simulations!$A$3:$A$62,0))&gt;0,INDEX(Simulations!$I$3:$I$62,MATCH($A185,Simulations!$A$3:$A$62,0)),1))*$F185*(PI()/2*INDEX(Simulations!$T$3:$T$62,MATCH($A185,Simulations!$A$3:$A$62,0))^2*IF(INDEX(Simulations!$I$3:$I$62,MATCH($A185,Simulations!$A$3:$A$62,0))&gt;0,SQRT(PI()/2)*INDEX(Simulations!$U$3:$U$62,MATCH($A185,Simulations!$A$3:$A$62,0)),1)),$D185/(INDEX(Simulations!$G$3:$G$62,MATCH($A185,Simulations!$A$3:$A$62,0))*INDEX(Simulations!$H$3:$H$62,MATCH($A185,Simulations!$A$3:$A$62,0))*IF(INDEX(Simulations!$I$3:$I$62,MATCH($A185,Simulations!$A$3:$A$62,0))&gt;0,INDEX(Simulations!$I$3:$I$62,MATCH($A185,Simulations!$A$3:$A$62,0)),1))*INDEX(Simulations!$J$3:$J$62,MATCH($A185,Simulations!$A$3:$A$62,0))*IF(INDEX(Simulations!$I$3:$I$62,MATCH($A185,Simulations!$A$3:$A$62,0))&gt;0,2*PI()*INDEX(Simulations!$T$3:$T$62,MATCH($A185,Simulations!$A$3:$A$62,0))^2*INDEX(Simulations!$U$3:$U$62,MATCH($A185,Simulations!$A$3:$A$62,0))/2^1.5*(2/3*LN($F185/INDEX(Simulations!$J$3:$J$62,MATCH($A185,Simulations!$A$3:$A$62,0)))^1.5+SQRT(LN($F185/INDEX(Simulations!$J$3:$J$62,MATCH($A185,Simulations!$A$3:$A$62,0))))+$F185/INDEX(Simulations!$J$3:$J$62,MATCH($A185,Simulations!$A$3:$A$62,0))*SQRT(PI())/2*ERFC(SQRT(LN($F185/INDEX(Simulations!$J$3:$J$62,MATCH($A185,Simulations!$A$3:$A$62,0)))))),PI()*INDEX(Simulations!$T$3:$T$62,MATCH($A185,Simulations!$A$3:$A$62,0))^2/2*(LN($F185/INDEX(Simulations!$J$3:$J$62,MATCH($A185,Simulations!$A$3:$A$62,0)))+1)))))</f>
        <v/>
      </c>
      <c r="S185" s="16" t="str">
        <f aca="false">IF(OR($A185="",ISNA(MATCH($A185,Simulations!$A$3:$A$62,0))),"",IF(N($G185)&lt;=0,0,IF($G185&lt;INDEX(Simulations!$J$3:$J$62,MATCH($A185,Simulations!$A$3:$A$62,0)),$D185/(INDEX(Simulations!$G$3:$G$62,MATCH($A185,Simulations!$A$3:$A$62,0))*INDEX(Simulations!$H$3:$H$62,MATCH($A185,Simulations!$A$3:$A$62,0))*IF(INDEX(Simulations!$I$3:$I$62,MATCH($A185,Simulations!$A$3:$A$62,0))&gt;0,INDEX(Simulations!$I$3:$I$62,MATCH($A185,Simulations!$A$3:$A$62,0)),1))*$G185*(PI()/2*INDEX(Simulations!$T$3:$T$62,MATCH($A185,Simulations!$A$3:$A$62,0))^2*IF(INDEX(Simulations!$I$3:$I$62,MATCH($A185,Simulations!$A$3:$A$62,0))&gt;0,SQRT(PI()/2)*INDEX(Simulations!$U$3:$U$62,MATCH($A185,Simulations!$A$3:$A$62,0)),1)),$D185/(INDEX(Simulations!$G$3:$G$62,MATCH($A185,Simulations!$A$3:$A$62,0))*INDEX(Simulations!$H$3:$H$62,MATCH($A185,Simulations!$A$3:$A$62,0))*IF(INDEX(Simulations!$I$3:$I$62,MATCH($A185,Simulations!$A$3:$A$62,0))&gt;0,INDEX(Simulations!$I$3:$I$62,MATCH($A185,Simulations!$A$3:$A$62,0)),1))*INDEX(Simulations!$J$3:$J$62,MATCH($A185,Simulations!$A$3:$A$62,0))*IF(INDEX(Simulations!$I$3:$I$62,MATCH($A185,Simulations!$A$3:$A$62,0))&gt;0,2*PI()*INDEX(Simulations!$T$3:$T$62,MATCH($A185,Simulations!$A$3:$A$62,0))^2*INDEX(Simulations!$U$3:$U$62,MATCH($A185,Simulations!$A$3:$A$62,0))/2^1.5*(2/3*LN($G185/INDEX(Simulations!$J$3:$J$62,MATCH($A185,Simulations!$A$3:$A$62,0)))^1.5+SQRT(LN($G185/INDEX(Simulations!$J$3:$J$62,MATCH($A185,Simulations!$A$3:$A$62,0))))+$G185/INDEX(Simulations!$J$3:$J$62,MATCH($A185,Simulations!$A$3:$A$62,0))*SQRT(PI())/2*ERFC(SQRT(LN($G185/INDEX(Simulations!$J$3:$J$62,MATCH($A185,Simulations!$A$3:$A$62,0)))))),PI()*INDEX(Simulations!$T$3:$T$62,MATCH($A185,Simulations!$A$3:$A$62,0))^2/2*(LN($G185/INDEX(Simulations!$J$3:$J$62,MATCH($A185,Simulations!$A$3:$A$62,0)))+1)))))</f>
        <v/>
      </c>
      <c r="T185" s="16" t="str">
        <f aca="false">IF(OR($A185="",ISNA(MATCH($A185,Simulations!$A$3:$A$62,0))),"",IF(N($H185)&lt;=0,0,IF($H185&lt;INDEX(Simulations!$J$3:$J$62,MATCH($A185,Simulations!$A$3:$A$62,0)),$D185/(INDEX(Simulations!$G$3:$G$62,MATCH($A185,Simulations!$A$3:$A$62,0))*INDEX(Simulations!$H$3:$H$62,MATCH($A185,Simulations!$A$3:$A$62,0))*IF(INDEX(Simulations!$I$3:$I$62,MATCH($A185,Simulations!$A$3:$A$62,0))&gt;0,INDEX(Simulations!$I$3:$I$62,MATCH($A185,Simulations!$A$3:$A$62,0)),1))*$H185*(PI()/2*INDEX(Simulations!$T$3:$T$62,MATCH($A185,Simulations!$A$3:$A$62,0))^2*IF(INDEX(Simulations!$I$3:$I$62,MATCH($A185,Simulations!$A$3:$A$62,0))&gt;0,SQRT(PI()/2)*INDEX(Simulations!$U$3:$U$62,MATCH($A185,Simulations!$A$3:$A$62,0)),1)),$D185/(INDEX(Simulations!$G$3:$G$62,MATCH($A185,Simulations!$A$3:$A$62,0))*INDEX(Simulations!$H$3:$H$62,MATCH($A185,Simulations!$A$3:$A$62,0))*IF(INDEX(Simulations!$I$3:$I$62,MATCH($A185,Simulations!$A$3:$A$62,0))&gt;0,INDEX(Simulations!$I$3:$I$62,MATCH($A185,Simulations!$A$3:$A$62,0)),1))*INDEX(Simulations!$J$3:$J$62,MATCH($A185,Simulations!$A$3:$A$62,0))*IF(INDEX(Simulations!$I$3:$I$62,MATCH($A185,Simulations!$A$3:$A$62,0))&gt;0,2*PI()*INDEX(Simulations!$T$3:$T$62,MATCH($A185,Simulations!$A$3:$A$62,0))^2*INDEX(Simulations!$U$3:$U$62,MATCH($A185,Simulations!$A$3:$A$62,0))/2^1.5*(2/3*LN($H185/INDEX(Simulations!$J$3:$J$62,MATCH($A185,Simulations!$A$3:$A$62,0)))^1.5+SQRT(LN($H185/INDEX(Simulations!$J$3:$J$62,MATCH($A185,Simulations!$A$3:$A$62,0))))+$H185/INDEX(Simulations!$J$3:$J$62,MATCH($A185,Simulations!$A$3:$A$62,0))*SQRT(PI())/2*ERFC(SQRT(LN($H185/INDEX(Simulations!$J$3:$J$62,MATCH($A185,Simulations!$A$3:$A$62,0)))))),PI()*INDEX(Simulations!$T$3:$T$62,MATCH($A185,Simulations!$A$3:$A$62,0))^2/2*(LN($H185/INDEX(Simulations!$J$3:$J$62,MATCH($A185,Simulations!$A$3:$A$62,0)))+1)))))</f>
        <v/>
      </c>
      <c r="U185" s="18" t="str">
        <f aca="false">IF(OR(OR($A185="",ISNA(MATCH($A185,Simulations!$A$3:$A$62,0))),N($C185)&lt;=0),"",SQRT(2*$C185*1000000/(INDEX(Simulations!$J$3:$J$62,MATCH($A185,Simulations!$A$3:$A$62,0))*1000))/INDEX(Simulations!$T$3:$T$62,MATCH($A185,Simulations!$A$3:$A$62,0)))</f>
        <v/>
      </c>
      <c r="V185" s="19" t="str">
        <f aca="false">IF($A185="","",IF(ISNA(MATCH($A185,Simulations!$A$3:$A$62,0)),"✖ Sim ID not found on the Simulations sheet",IF($P185&gt;=1,"✖ brightness &gt;= sampling frequency: completely saturated (D too small, c too large)",IF($P185&gt;0.1,"⚠ brightness &gt; 10% of the sampling frequency: focus starts to saturate",IF(N($U185)&gt;0.1,"⚠ diffusion step &gt; 10% of wr: raise the sampling frequency",IF(MAX($E185:$H185)=0,"⚠ no brightness set","✔ OK"))))))</f>
        <v/>
      </c>
    </row>
    <row r="186" customFormat="false" ht="15" hidden="false" customHeight="false" outlineLevel="0" collapsed="false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4"/>
      <c r="O186" s="18" t="str">
        <f aca="false">IF(OR($A186="",ISNA(MATCH($A186,Simulations!$A$3:$A$62,0))),"",IF(INDEX(Simulations!$I$3:$I$62,MATCH($A186,Simulations!$A$3:$A$62,0))&gt;0,$D186/(INDEX(Simulations!$G$3:$G$62,MATCH($A186,Simulations!$A$3:$A$62,0))*INDEX(Simulations!$H$3:$H$62,MATCH($A186,Simulations!$A$3:$A$62,0))*IF(INDEX(Simulations!$I$3:$I$62,MATCH($A186,Simulations!$A$3:$A$62,0))&gt;0,INDEX(Simulations!$I$3:$I$62,MATCH($A186,Simulations!$A$3:$A$62,0)),1))/1E-024/6.022E+023/0.000000001,""))</f>
        <v/>
      </c>
      <c r="P186" s="20" t="str">
        <f aca="false">IF(OR($A186="",ISNA(MATCH($A186,Simulations!$A$3:$A$62,0))),"",MAX($E186:$H186)/INDEX(Simulations!$J$3:$J$62,MATCH($A186,Simulations!$A$3:$A$62,0)))</f>
        <v/>
      </c>
      <c r="Q186" s="16" t="str">
        <f aca="false">IF(OR($A186="",ISNA(MATCH($A186,Simulations!$A$3:$A$62,0))),"",IF(N($E186)&lt;=0,0,IF($E186&lt;INDEX(Simulations!$J$3:$J$62,MATCH($A186,Simulations!$A$3:$A$62,0)),$D186/(INDEX(Simulations!$G$3:$G$62,MATCH($A186,Simulations!$A$3:$A$62,0))*INDEX(Simulations!$H$3:$H$62,MATCH($A186,Simulations!$A$3:$A$62,0))*IF(INDEX(Simulations!$I$3:$I$62,MATCH($A186,Simulations!$A$3:$A$62,0))&gt;0,INDEX(Simulations!$I$3:$I$62,MATCH($A186,Simulations!$A$3:$A$62,0)),1))*$E186*(PI()/2*INDEX(Simulations!$T$3:$T$62,MATCH($A186,Simulations!$A$3:$A$62,0))^2*IF(INDEX(Simulations!$I$3:$I$62,MATCH($A186,Simulations!$A$3:$A$62,0))&gt;0,SQRT(PI()/2)*INDEX(Simulations!$U$3:$U$62,MATCH($A186,Simulations!$A$3:$A$62,0)),1)),$D186/(INDEX(Simulations!$G$3:$G$62,MATCH($A186,Simulations!$A$3:$A$62,0))*INDEX(Simulations!$H$3:$H$62,MATCH($A186,Simulations!$A$3:$A$62,0))*IF(INDEX(Simulations!$I$3:$I$62,MATCH($A186,Simulations!$A$3:$A$62,0))&gt;0,INDEX(Simulations!$I$3:$I$62,MATCH($A186,Simulations!$A$3:$A$62,0)),1))*INDEX(Simulations!$J$3:$J$62,MATCH($A186,Simulations!$A$3:$A$62,0))*IF(INDEX(Simulations!$I$3:$I$62,MATCH($A186,Simulations!$A$3:$A$62,0))&gt;0,2*PI()*INDEX(Simulations!$T$3:$T$62,MATCH($A186,Simulations!$A$3:$A$62,0))^2*INDEX(Simulations!$U$3:$U$62,MATCH($A186,Simulations!$A$3:$A$62,0))/2^1.5*(2/3*LN($E186/INDEX(Simulations!$J$3:$J$62,MATCH($A186,Simulations!$A$3:$A$62,0)))^1.5+SQRT(LN($E186/INDEX(Simulations!$J$3:$J$62,MATCH($A186,Simulations!$A$3:$A$62,0))))+$E186/INDEX(Simulations!$J$3:$J$62,MATCH($A186,Simulations!$A$3:$A$62,0))*SQRT(PI())/2*ERFC(SQRT(LN($E186/INDEX(Simulations!$J$3:$J$62,MATCH($A186,Simulations!$A$3:$A$62,0)))))),PI()*INDEX(Simulations!$T$3:$T$62,MATCH($A186,Simulations!$A$3:$A$62,0))^2/2*(LN($E186/INDEX(Simulations!$J$3:$J$62,MATCH($A186,Simulations!$A$3:$A$62,0)))+1)))))</f>
        <v/>
      </c>
      <c r="R186" s="16" t="str">
        <f aca="false">IF(OR($A186="",ISNA(MATCH($A186,Simulations!$A$3:$A$62,0))),"",IF(N($F186)&lt;=0,0,IF($F186&lt;INDEX(Simulations!$J$3:$J$62,MATCH($A186,Simulations!$A$3:$A$62,0)),$D186/(INDEX(Simulations!$G$3:$G$62,MATCH($A186,Simulations!$A$3:$A$62,0))*INDEX(Simulations!$H$3:$H$62,MATCH($A186,Simulations!$A$3:$A$62,0))*IF(INDEX(Simulations!$I$3:$I$62,MATCH($A186,Simulations!$A$3:$A$62,0))&gt;0,INDEX(Simulations!$I$3:$I$62,MATCH($A186,Simulations!$A$3:$A$62,0)),1))*$F186*(PI()/2*INDEX(Simulations!$T$3:$T$62,MATCH($A186,Simulations!$A$3:$A$62,0))^2*IF(INDEX(Simulations!$I$3:$I$62,MATCH($A186,Simulations!$A$3:$A$62,0))&gt;0,SQRT(PI()/2)*INDEX(Simulations!$U$3:$U$62,MATCH($A186,Simulations!$A$3:$A$62,0)),1)),$D186/(INDEX(Simulations!$G$3:$G$62,MATCH($A186,Simulations!$A$3:$A$62,0))*INDEX(Simulations!$H$3:$H$62,MATCH($A186,Simulations!$A$3:$A$62,0))*IF(INDEX(Simulations!$I$3:$I$62,MATCH($A186,Simulations!$A$3:$A$62,0))&gt;0,INDEX(Simulations!$I$3:$I$62,MATCH($A186,Simulations!$A$3:$A$62,0)),1))*INDEX(Simulations!$J$3:$J$62,MATCH($A186,Simulations!$A$3:$A$62,0))*IF(INDEX(Simulations!$I$3:$I$62,MATCH($A186,Simulations!$A$3:$A$62,0))&gt;0,2*PI()*INDEX(Simulations!$T$3:$T$62,MATCH($A186,Simulations!$A$3:$A$62,0))^2*INDEX(Simulations!$U$3:$U$62,MATCH($A186,Simulations!$A$3:$A$62,0))/2^1.5*(2/3*LN($F186/INDEX(Simulations!$J$3:$J$62,MATCH($A186,Simulations!$A$3:$A$62,0)))^1.5+SQRT(LN($F186/INDEX(Simulations!$J$3:$J$62,MATCH($A186,Simulations!$A$3:$A$62,0))))+$F186/INDEX(Simulations!$J$3:$J$62,MATCH($A186,Simulations!$A$3:$A$62,0))*SQRT(PI())/2*ERFC(SQRT(LN($F186/INDEX(Simulations!$J$3:$J$62,MATCH($A186,Simulations!$A$3:$A$62,0)))))),PI()*INDEX(Simulations!$T$3:$T$62,MATCH($A186,Simulations!$A$3:$A$62,0))^2/2*(LN($F186/INDEX(Simulations!$J$3:$J$62,MATCH($A186,Simulations!$A$3:$A$62,0)))+1)))))</f>
        <v/>
      </c>
      <c r="S186" s="16" t="str">
        <f aca="false">IF(OR($A186="",ISNA(MATCH($A186,Simulations!$A$3:$A$62,0))),"",IF(N($G186)&lt;=0,0,IF($G186&lt;INDEX(Simulations!$J$3:$J$62,MATCH($A186,Simulations!$A$3:$A$62,0)),$D186/(INDEX(Simulations!$G$3:$G$62,MATCH($A186,Simulations!$A$3:$A$62,0))*INDEX(Simulations!$H$3:$H$62,MATCH($A186,Simulations!$A$3:$A$62,0))*IF(INDEX(Simulations!$I$3:$I$62,MATCH($A186,Simulations!$A$3:$A$62,0))&gt;0,INDEX(Simulations!$I$3:$I$62,MATCH($A186,Simulations!$A$3:$A$62,0)),1))*$G186*(PI()/2*INDEX(Simulations!$T$3:$T$62,MATCH($A186,Simulations!$A$3:$A$62,0))^2*IF(INDEX(Simulations!$I$3:$I$62,MATCH($A186,Simulations!$A$3:$A$62,0))&gt;0,SQRT(PI()/2)*INDEX(Simulations!$U$3:$U$62,MATCH($A186,Simulations!$A$3:$A$62,0)),1)),$D186/(INDEX(Simulations!$G$3:$G$62,MATCH($A186,Simulations!$A$3:$A$62,0))*INDEX(Simulations!$H$3:$H$62,MATCH($A186,Simulations!$A$3:$A$62,0))*IF(INDEX(Simulations!$I$3:$I$62,MATCH($A186,Simulations!$A$3:$A$62,0))&gt;0,INDEX(Simulations!$I$3:$I$62,MATCH($A186,Simulations!$A$3:$A$62,0)),1))*INDEX(Simulations!$J$3:$J$62,MATCH($A186,Simulations!$A$3:$A$62,0))*IF(INDEX(Simulations!$I$3:$I$62,MATCH($A186,Simulations!$A$3:$A$62,0))&gt;0,2*PI()*INDEX(Simulations!$T$3:$T$62,MATCH($A186,Simulations!$A$3:$A$62,0))^2*INDEX(Simulations!$U$3:$U$62,MATCH($A186,Simulations!$A$3:$A$62,0))/2^1.5*(2/3*LN($G186/INDEX(Simulations!$J$3:$J$62,MATCH($A186,Simulations!$A$3:$A$62,0)))^1.5+SQRT(LN($G186/INDEX(Simulations!$J$3:$J$62,MATCH($A186,Simulations!$A$3:$A$62,0))))+$G186/INDEX(Simulations!$J$3:$J$62,MATCH($A186,Simulations!$A$3:$A$62,0))*SQRT(PI())/2*ERFC(SQRT(LN($G186/INDEX(Simulations!$J$3:$J$62,MATCH($A186,Simulations!$A$3:$A$62,0)))))),PI()*INDEX(Simulations!$T$3:$T$62,MATCH($A186,Simulations!$A$3:$A$62,0))^2/2*(LN($G186/INDEX(Simulations!$J$3:$J$62,MATCH($A186,Simulations!$A$3:$A$62,0)))+1)))))</f>
        <v/>
      </c>
      <c r="T186" s="16" t="str">
        <f aca="false">IF(OR($A186="",ISNA(MATCH($A186,Simulations!$A$3:$A$62,0))),"",IF(N($H186)&lt;=0,0,IF($H186&lt;INDEX(Simulations!$J$3:$J$62,MATCH($A186,Simulations!$A$3:$A$62,0)),$D186/(INDEX(Simulations!$G$3:$G$62,MATCH($A186,Simulations!$A$3:$A$62,0))*INDEX(Simulations!$H$3:$H$62,MATCH($A186,Simulations!$A$3:$A$62,0))*IF(INDEX(Simulations!$I$3:$I$62,MATCH($A186,Simulations!$A$3:$A$62,0))&gt;0,INDEX(Simulations!$I$3:$I$62,MATCH($A186,Simulations!$A$3:$A$62,0)),1))*$H186*(PI()/2*INDEX(Simulations!$T$3:$T$62,MATCH($A186,Simulations!$A$3:$A$62,0))^2*IF(INDEX(Simulations!$I$3:$I$62,MATCH($A186,Simulations!$A$3:$A$62,0))&gt;0,SQRT(PI()/2)*INDEX(Simulations!$U$3:$U$62,MATCH($A186,Simulations!$A$3:$A$62,0)),1)),$D186/(INDEX(Simulations!$G$3:$G$62,MATCH($A186,Simulations!$A$3:$A$62,0))*INDEX(Simulations!$H$3:$H$62,MATCH($A186,Simulations!$A$3:$A$62,0))*IF(INDEX(Simulations!$I$3:$I$62,MATCH($A186,Simulations!$A$3:$A$62,0))&gt;0,INDEX(Simulations!$I$3:$I$62,MATCH($A186,Simulations!$A$3:$A$62,0)),1))*INDEX(Simulations!$J$3:$J$62,MATCH($A186,Simulations!$A$3:$A$62,0))*IF(INDEX(Simulations!$I$3:$I$62,MATCH($A186,Simulations!$A$3:$A$62,0))&gt;0,2*PI()*INDEX(Simulations!$T$3:$T$62,MATCH($A186,Simulations!$A$3:$A$62,0))^2*INDEX(Simulations!$U$3:$U$62,MATCH($A186,Simulations!$A$3:$A$62,0))/2^1.5*(2/3*LN($H186/INDEX(Simulations!$J$3:$J$62,MATCH($A186,Simulations!$A$3:$A$62,0)))^1.5+SQRT(LN($H186/INDEX(Simulations!$J$3:$J$62,MATCH($A186,Simulations!$A$3:$A$62,0))))+$H186/INDEX(Simulations!$J$3:$J$62,MATCH($A186,Simulations!$A$3:$A$62,0))*SQRT(PI())/2*ERFC(SQRT(LN($H186/INDEX(Simulations!$J$3:$J$62,MATCH($A186,Simulations!$A$3:$A$62,0)))))),PI()*INDEX(Simulations!$T$3:$T$62,MATCH($A186,Simulations!$A$3:$A$62,0))^2/2*(LN($H186/INDEX(Simulations!$J$3:$J$62,MATCH($A186,Simulations!$A$3:$A$62,0)))+1)))))</f>
        <v/>
      </c>
      <c r="U186" s="18" t="str">
        <f aca="false">IF(OR(OR($A186="",ISNA(MATCH($A186,Simulations!$A$3:$A$62,0))),N($C186)&lt;=0),"",SQRT(2*$C186*1000000/(INDEX(Simulations!$J$3:$J$62,MATCH($A186,Simulations!$A$3:$A$62,0))*1000))/INDEX(Simulations!$T$3:$T$62,MATCH($A186,Simulations!$A$3:$A$62,0)))</f>
        <v/>
      </c>
      <c r="V186" s="19" t="str">
        <f aca="false">IF($A186="","",IF(ISNA(MATCH($A186,Simulations!$A$3:$A$62,0)),"✖ Sim ID not found on the Simulations sheet",IF($P186&gt;=1,"✖ brightness &gt;= sampling frequency: completely saturated (D too small, c too large)",IF($P186&gt;0.1,"⚠ brightness &gt; 10% of the sampling frequency: focus starts to saturate",IF(N($U186)&gt;0.1,"⚠ diffusion step &gt; 10% of wr: raise the sampling frequency",IF(MAX($E186:$H186)=0,"⚠ no brightness set","✔ OK"))))))</f>
        <v/>
      </c>
    </row>
    <row r="187" customFormat="false" ht="15" hidden="false" customHeight="false" outlineLevel="0" collapsed="false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4"/>
      <c r="O187" s="18" t="str">
        <f aca="false">IF(OR($A187="",ISNA(MATCH($A187,Simulations!$A$3:$A$62,0))),"",IF(INDEX(Simulations!$I$3:$I$62,MATCH($A187,Simulations!$A$3:$A$62,0))&gt;0,$D187/(INDEX(Simulations!$G$3:$G$62,MATCH($A187,Simulations!$A$3:$A$62,0))*INDEX(Simulations!$H$3:$H$62,MATCH($A187,Simulations!$A$3:$A$62,0))*IF(INDEX(Simulations!$I$3:$I$62,MATCH($A187,Simulations!$A$3:$A$62,0))&gt;0,INDEX(Simulations!$I$3:$I$62,MATCH($A187,Simulations!$A$3:$A$62,0)),1))/1E-024/6.022E+023/0.000000001,""))</f>
        <v/>
      </c>
      <c r="P187" s="20" t="str">
        <f aca="false">IF(OR($A187="",ISNA(MATCH($A187,Simulations!$A$3:$A$62,0))),"",MAX($E187:$H187)/INDEX(Simulations!$J$3:$J$62,MATCH($A187,Simulations!$A$3:$A$62,0)))</f>
        <v/>
      </c>
      <c r="Q187" s="16" t="str">
        <f aca="false">IF(OR($A187="",ISNA(MATCH($A187,Simulations!$A$3:$A$62,0))),"",IF(N($E187)&lt;=0,0,IF($E187&lt;INDEX(Simulations!$J$3:$J$62,MATCH($A187,Simulations!$A$3:$A$62,0)),$D187/(INDEX(Simulations!$G$3:$G$62,MATCH($A187,Simulations!$A$3:$A$62,0))*INDEX(Simulations!$H$3:$H$62,MATCH($A187,Simulations!$A$3:$A$62,0))*IF(INDEX(Simulations!$I$3:$I$62,MATCH($A187,Simulations!$A$3:$A$62,0))&gt;0,INDEX(Simulations!$I$3:$I$62,MATCH($A187,Simulations!$A$3:$A$62,0)),1))*$E187*(PI()/2*INDEX(Simulations!$T$3:$T$62,MATCH($A187,Simulations!$A$3:$A$62,0))^2*IF(INDEX(Simulations!$I$3:$I$62,MATCH($A187,Simulations!$A$3:$A$62,0))&gt;0,SQRT(PI()/2)*INDEX(Simulations!$U$3:$U$62,MATCH($A187,Simulations!$A$3:$A$62,0)),1)),$D187/(INDEX(Simulations!$G$3:$G$62,MATCH($A187,Simulations!$A$3:$A$62,0))*INDEX(Simulations!$H$3:$H$62,MATCH($A187,Simulations!$A$3:$A$62,0))*IF(INDEX(Simulations!$I$3:$I$62,MATCH($A187,Simulations!$A$3:$A$62,0))&gt;0,INDEX(Simulations!$I$3:$I$62,MATCH($A187,Simulations!$A$3:$A$62,0)),1))*INDEX(Simulations!$J$3:$J$62,MATCH($A187,Simulations!$A$3:$A$62,0))*IF(INDEX(Simulations!$I$3:$I$62,MATCH($A187,Simulations!$A$3:$A$62,0))&gt;0,2*PI()*INDEX(Simulations!$T$3:$T$62,MATCH($A187,Simulations!$A$3:$A$62,0))^2*INDEX(Simulations!$U$3:$U$62,MATCH($A187,Simulations!$A$3:$A$62,0))/2^1.5*(2/3*LN($E187/INDEX(Simulations!$J$3:$J$62,MATCH($A187,Simulations!$A$3:$A$62,0)))^1.5+SQRT(LN($E187/INDEX(Simulations!$J$3:$J$62,MATCH($A187,Simulations!$A$3:$A$62,0))))+$E187/INDEX(Simulations!$J$3:$J$62,MATCH($A187,Simulations!$A$3:$A$62,0))*SQRT(PI())/2*ERFC(SQRT(LN($E187/INDEX(Simulations!$J$3:$J$62,MATCH($A187,Simulations!$A$3:$A$62,0)))))),PI()*INDEX(Simulations!$T$3:$T$62,MATCH($A187,Simulations!$A$3:$A$62,0))^2/2*(LN($E187/INDEX(Simulations!$J$3:$J$62,MATCH($A187,Simulations!$A$3:$A$62,0)))+1)))))</f>
        <v/>
      </c>
      <c r="R187" s="16" t="str">
        <f aca="false">IF(OR($A187="",ISNA(MATCH($A187,Simulations!$A$3:$A$62,0))),"",IF(N($F187)&lt;=0,0,IF($F187&lt;INDEX(Simulations!$J$3:$J$62,MATCH($A187,Simulations!$A$3:$A$62,0)),$D187/(INDEX(Simulations!$G$3:$G$62,MATCH($A187,Simulations!$A$3:$A$62,0))*INDEX(Simulations!$H$3:$H$62,MATCH($A187,Simulations!$A$3:$A$62,0))*IF(INDEX(Simulations!$I$3:$I$62,MATCH($A187,Simulations!$A$3:$A$62,0))&gt;0,INDEX(Simulations!$I$3:$I$62,MATCH($A187,Simulations!$A$3:$A$62,0)),1))*$F187*(PI()/2*INDEX(Simulations!$T$3:$T$62,MATCH($A187,Simulations!$A$3:$A$62,0))^2*IF(INDEX(Simulations!$I$3:$I$62,MATCH($A187,Simulations!$A$3:$A$62,0))&gt;0,SQRT(PI()/2)*INDEX(Simulations!$U$3:$U$62,MATCH($A187,Simulations!$A$3:$A$62,0)),1)),$D187/(INDEX(Simulations!$G$3:$G$62,MATCH($A187,Simulations!$A$3:$A$62,0))*INDEX(Simulations!$H$3:$H$62,MATCH($A187,Simulations!$A$3:$A$62,0))*IF(INDEX(Simulations!$I$3:$I$62,MATCH($A187,Simulations!$A$3:$A$62,0))&gt;0,INDEX(Simulations!$I$3:$I$62,MATCH($A187,Simulations!$A$3:$A$62,0)),1))*INDEX(Simulations!$J$3:$J$62,MATCH($A187,Simulations!$A$3:$A$62,0))*IF(INDEX(Simulations!$I$3:$I$62,MATCH($A187,Simulations!$A$3:$A$62,0))&gt;0,2*PI()*INDEX(Simulations!$T$3:$T$62,MATCH($A187,Simulations!$A$3:$A$62,0))^2*INDEX(Simulations!$U$3:$U$62,MATCH($A187,Simulations!$A$3:$A$62,0))/2^1.5*(2/3*LN($F187/INDEX(Simulations!$J$3:$J$62,MATCH($A187,Simulations!$A$3:$A$62,0)))^1.5+SQRT(LN($F187/INDEX(Simulations!$J$3:$J$62,MATCH($A187,Simulations!$A$3:$A$62,0))))+$F187/INDEX(Simulations!$J$3:$J$62,MATCH($A187,Simulations!$A$3:$A$62,0))*SQRT(PI())/2*ERFC(SQRT(LN($F187/INDEX(Simulations!$J$3:$J$62,MATCH($A187,Simulations!$A$3:$A$62,0)))))),PI()*INDEX(Simulations!$T$3:$T$62,MATCH($A187,Simulations!$A$3:$A$62,0))^2/2*(LN($F187/INDEX(Simulations!$J$3:$J$62,MATCH($A187,Simulations!$A$3:$A$62,0)))+1)))))</f>
        <v/>
      </c>
      <c r="S187" s="16" t="str">
        <f aca="false">IF(OR($A187="",ISNA(MATCH($A187,Simulations!$A$3:$A$62,0))),"",IF(N($G187)&lt;=0,0,IF($G187&lt;INDEX(Simulations!$J$3:$J$62,MATCH($A187,Simulations!$A$3:$A$62,0)),$D187/(INDEX(Simulations!$G$3:$G$62,MATCH($A187,Simulations!$A$3:$A$62,0))*INDEX(Simulations!$H$3:$H$62,MATCH($A187,Simulations!$A$3:$A$62,0))*IF(INDEX(Simulations!$I$3:$I$62,MATCH($A187,Simulations!$A$3:$A$62,0))&gt;0,INDEX(Simulations!$I$3:$I$62,MATCH($A187,Simulations!$A$3:$A$62,0)),1))*$G187*(PI()/2*INDEX(Simulations!$T$3:$T$62,MATCH($A187,Simulations!$A$3:$A$62,0))^2*IF(INDEX(Simulations!$I$3:$I$62,MATCH($A187,Simulations!$A$3:$A$62,0))&gt;0,SQRT(PI()/2)*INDEX(Simulations!$U$3:$U$62,MATCH($A187,Simulations!$A$3:$A$62,0)),1)),$D187/(INDEX(Simulations!$G$3:$G$62,MATCH($A187,Simulations!$A$3:$A$62,0))*INDEX(Simulations!$H$3:$H$62,MATCH($A187,Simulations!$A$3:$A$62,0))*IF(INDEX(Simulations!$I$3:$I$62,MATCH($A187,Simulations!$A$3:$A$62,0))&gt;0,INDEX(Simulations!$I$3:$I$62,MATCH($A187,Simulations!$A$3:$A$62,0)),1))*INDEX(Simulations!$J$3:$J$62,MATCH($A187,Simulations!$A$3:$A$62,0))*IF(INDEX(Simulations!$I$3:$I$62,MATCH($A187,Simulations!$A$3:$A$62,0))&gt;0,2*PI()*INDEX(Simulations!$T$3:$T$62,MATCH($A187,Simulations!$A$3:$A$62,0))^2*INDEX(Simulations!$U$3:$U$62,MATCH($A187,Simulations!$A$3:$A$62,0))/2^1.5*(2/3*LN($G187/INDEX(Simulations!$J$3:$J$62,MATCH($A187,Simulations!$A$3:$A$62,0)))^1.5+SQRT(LN($G187/INDEX(Simulations!$J$3:$J$62,MATCH($A187,Simulations!$A$3:$A$62,0))))+$G187/INDEX(Simulations!$J$3:$J$62,MATCH($A187,Simulations!$A$3:$A$62,0))*SQRT(PI())/2*ERFC(SQRT(LN($G187/INDEX(Simulations!$J$3:$J$62,MATCH($A187,Simulations!$A$3:$A$62,0)))))),PI()*INDEX(Simulations!$T$3:$T$62,MATCH($A187,Simulations!$A$3:$A$62,0))^2/2*(LN($G187/INDEX(Simulations!$J$3:$J$62,MATCH($A187,Simulations!$A$3:$A$62,0)))+1)))))</f>
        <v/>
      </c>
      <c r="T187" s="16" t="str">
        <f aca="false">IF(OR($A187="",ISNA(MATCH($A187,Simulations!$A$3:$A$62,0))),"",IF(N($H187)&lt;=0,0,IF($H187&lt;INDEX(Simulations!$J$3:$J$62,MATCH($A187,Simulations!$A$3:$A$62,0)),$D187/(INDEX(Simulations!$G$3:$G$62,MATCH($A187,Simulations!$A$3:$A$62,0))*INDEX(Simulations!$H$3:$H$62,MATCH($A187,Simulations!$A$3:$A$62,0))*IF(INDEX(Simulations!$I$3:$I$62,MATCH($A187,Simulations!$A$3:$A$62,0))&gt;0,INDEX(Simulations!$I$3:$I$62,MATCH($A187,Simulations!$A$3:$A$62,0)),1))*$H187*(PI()/2*INDEX(Simulations!$T$3:$T$62,MATCH($A187,Simulations!$A$3:$A$62,0))^2*IF(INDEX(Simulations!$I$3:$I$62,MATCH($A187,Simulations!$A$3:$A$62,0))&gt;0,SQRT(PI()/2)*INDEX(Simulations!$U$3:$U$62,MATCH($A187,Simulations!$A$3:$A$62,0)),1)),$D187/(INDEX(Simulations!$G$3:$G$62,MATCH($A187,Simulations!$A$3:$A$62,0))*INDEX(Simulations!$H$3:$H$62,MATCH($A187,Simulations!$A$3:$A$62,0))*IF(INDEX(Simulations!$I$3:$I$62,MATCH($A187,Simulations!$A$3:$A$62,0))&gt;0,INDEX(Simulations!$I$3:$I$62,MATCH($A187,Simulations!$A$3:$A$62,0)),1))*INDEX(Simulations!$J$3:$J$62,MATCH($A187,Simulations!$A$3:$A$62,0))*IF(INDEX(Simulations!$I$3:$I$62,MATCH($A187,Simulations!$A$3:$A$62,0))&gt;0,2*PI()*INDEX(Simulations!$T$3:$T$62,MATCH($A187,Simulations!$A$3:$A$62,0))^2*INDEX(Simulations!$U$3:$U$62,MATCH($A187,Simulations!$A$3:$A$62,0))/2^1.5*(2/3*LN($H187/INDEX(Simulations!$J$3:$J$62,MATCH($A187,Simulations!$A$3:$A$62,0)))^1.5+SQRT(LN($H187/INDEX(Simulations!$J$3:$J$62,MATCH($A187,Simulations!$A$3:$A$62,0))))+$H187/INDEX(Simulations!$J$3:$J$62,MATCH($A187,Simulations!$A$3:$A$62,0))*SQRT(PI())/2*ERFC(SQRT(LN($H187/INDEX(Simulations!$J$3:$J$62,MATCH($A187,Simulations!$A$3:$A$62,0)))))),PI()*INDEX(Simulations!$T$3:$T$62,MATCH($A187,Simulations!$A$3:$A$62,0))^2/2*(LN($H187/INDEX(Simulations!$J$3:$J$62,MATCH($A187,Simulations!$A$3:$A$62,0)))+1)))))</f>
        <v/>
      </c>
      <c r="U187" s="18" t="str">
        <f aca="false">IF(OR(OR($A187="",ISNA(MATCH($A187,Simulations!$A$3:$A$62,0))),N($C187)&lt;=0),"",SQRT(2*$C187*1000000/(INDEX(Simulations!$J$3:$J$62,MATCH($A187,Simulations!$A$3:$A$62,0))*1000))/INDEX(Simulations!$T$3:$T$62,MATCH($A187,Simulations!$A$3:$A$62,0)))</f>
        <v/>
      </c>
      <c r="V187" s="19" t="str">
        <f aca="false">IF($A187="","",IF(ISNA(MATCH($A187,Simulations!$A$3:$A$62,0)),"✖ Sim ID not found on the Simulations sheet",IF($P187&gt;=1,"✖ brightness &gt;= sampling frequency: completely saturated (D too small, c too large)",IF($P187&gt;0.1,"⚠ brightness &gt; 10% of the sampling frequency: focus starts to saturate",IF(N($U187)&gt;0.1,"⚠ diffusion step &gt; 10% of wr: raise the sampling frequency",IF(MAX($E187:$H187)=0,"⚠ no brightness set","✔ OK"))))))</f>
        <v/>
      </c>
    </row>
    <row r="188" customFormat="false" ht="15" hidden="false" customHeight="false" outlineLevel="0" collapsed="false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4"/>
      <c r="O188" s="18" t="str">
        <f aca="false">IF(OR($A188="",ISNA(MATCH($A188,Simulations!$A$3:$A$62,0))),"",IF(INDEX(Simulations!$I$3:$I$62,MATCH($A188,Simulations!$A$3:$A$62,0))&gt;0,$D188/(INDEX(Simulations!$G$3:$G$62,MATCH($A188,Simulations!$A$3:$A$62,0))*INDEX(Simulations!$H$3:$H$62,MATCH($A188,Simulations!$A$3:$A$62,0))*IF(INDEX(Simulations!$I$3:$I$62,MATCH($A188,Simulations!$A$3:$A$62,0))&gt;0,INDEX(Simulations!$I$3:$I$62,MATCH($A188,Simulations!$A$3:$A$62,0)),1))/1E-024/6.022E+023/0.000000001,""))</f>
        <v/>
      </c>
      <c r="P188" s="20" t="str">
        <f aca="false">IF(OR($A188="",ISNA(MATCH($A188,Simulations!$A$3:$A$62,0))),"",MAX($E188:$H188)/INDEX(Simulations!$J$3:$J$62,MATCH($A188,Simulations!$A$3:$A$62,0)))</f>
        <v/>
      </c>
      <c r="Q188" s="16" t="str">
        <f aca="false">IF(OR($A188="",ISNA(MATCH($A188,Simulations!$A$3:$A$62,0))),"",IF(N($E188)&lt;=0,0,IF($E188&lt;INDEX(Simulations!$J$3:$J$62,MATCH($A188,Simulations!$A$3:$A$62,0)),$D188/(INDEX(Simulations!$G$3:$G$62,MATCH($A188,Simulations!$A$3:$A$62,0))*INDEX(Simulations!$H$3:$H$62,MATCH($A188,Simulations!$A$3:$A$62,0))*IF(INDEX(Simulations!$I$3:$I$62,MATCH($A188,Simulations!$A$3:$A$62,0))&gt;0,INDEX(Simulations!$I$3:$I$62,MATCH($A188,Simulations!$A$3:$A$62,0)),1))*$E188*(PI()/2*INDEX(Simulations!$T$3:$T$62,MATCH($A188,Simulations!$A$3:$A$62,0))^2*IF(INDEX(Simulations!$I$3:$I$62,MATCH($A188,Simulations!$A$3:$A$62,0))&gt;0,SQRT(PI()/2)*INDEX(Simulations!$U$3:$U$62,MATCH($A188,Simulations!$A$3:$A$62,0)),1)),$D188/(INDEX(Simulations!$G$3:$G$62,MATCH($A188,Simulations!$A$3:$A$62,0))*INDEX(Simulations!$H$3:$H$62,MATCH($A188,Simulations!$A$3:$A$62,0))*IF(INDEX(Simulations!$I$3:$I$62,MATCH($A188,Simulations!$A$3:$A$62,0))&gt;0,INDEX(Simulations!$I$3:$I$62,MATCH($A188,Simulations!$A$3:$A$62,0)),1))*INDEX(Simulations!$J$3:$J$62,MATCH($A188,Simulations!$A$3:$A$62,0))*IF(INDEX(Simulations!$I$3:$I$62,MATCH($A188,Simulations!$A$3:$A$62,0))&gt;0,2*PI()*INDEX(Simulations!$T$3:$T$62,MATCH($A188,Simulations!$A$3:$A$62,0))^2*INDEX(Simulations!$U$3:$U$62,MATCH($A188,Simulations!$A$3:$A$62,0))/2^1.5*(2/3*LN($E188/INDEX(Simulations!$J$3:$J$62,MATCH($A188,Simulations!$A$3:$A$62,0)))^1.5+SQRT(LN($E188/INDEX(Simulations!$J$3:$J$62,MATCH($A188,Simulations!$A$3:$A$62,0))))+$E188/INDEX(Simulations!$J$3:$J$62,MATCH($A188,Simulations!$A$3:$A$62,0))*SQRT(PI())/2*ERFC(SQRT(LN($E188/INDEX(Simulations!$J$3:$J$62,MATCH($A188,Simulations!$A$3:$A$62,0)))))),PI()*INDEX(Simulations!$T$3:$T$62,MATCH($A188,Simulations!$A$3:$A$62,0))^2/2*(LN($E188/INDEX(Simulations!$J$3:$J$62,MATCH($A188,Simulations!$A$3:$A$62,0)))+1)))))</f>
        <v/>
      </c>
      <c r="R188" s="16" t="str">
        <f aca="false">IF(OR($A188="",ISNA(MATCH($A188,Simulations!$A$3:$A$62,0))),"",IF(N($F188)&lt;=0,0,IF($F188&lt;INDEX(Simulations!$J$3:$J$62,MATCH($A188,Simulations!$A$3:$A$62,0)),$D188/(INDEX(Simulations!$G$3:$G$62,MATCH($A188,Simulations!$A$3:$A$62,0))*INDEX(Simulations!$H$3:$H$62,MATCH($A188,Simulations!$A$3:$A$62,0))*IF(INDEX(Simulations!$I$3:$I$62,MATCH($A188,Simulations!$A$3:$A$62,0))&gt;0,INDEX(Simulations!$I$3:$I$62,MATCH($A188,Simulations!$A$3:$A$62,0)),1))*$F188*(PI()/2*INDEX(Simulations!$T$3:$T$62,MATCH($A188,Simulations!$A$3:$A$62,0))^2*IF(INDEX(Simulations!$I$3:$I$62,MATCH($A188,Simulations!$A$3:$A$62,0))&gt;0,SQRT(PI()/2)*INDEX(Simulations!$U$3:$U$62,MATCH($A188,Simulations!$A$3:$A$62,0)),1)),$D188/(INDEX(Simulations!$G$3:$G$62,MATCH($A188,Simulations!$A$3:$A$62,0))*INDEX(Simulations!$H$3:$H$62,MATCH($A188,Simulations!$A$3:$A$62,0))*IF(INDEX(Simulations!$I$3:$I$62,MATCH($A188,Simulations!$A$3:$A$62,0))&gt;0,INDEX(Simulations!$I$3:$I$62,MATCH($A188,Simulations!$A$3:$A$62,0)),1))*INDEX(Simulations!$J$3:$J$62,MATCH($A188,Simulations!$A$3:$A$62,0))*IF(INDEX(Simulations!$I$3:$I$62,MATCH($A188,Simulations!$A$3:$A$62,0))&gt;0,2*PI()*INDEX(Simulations!$T$3:$T$62,MATCH($A188,Simulations!$A$3:$A$62,0))^2*INDEX(Simulations!$U$3:$U$62,MATCH($A188,Simulations!$A$3:$A$62,0))/2^1.5*(2/3*LN($F188/INDEX(Simulations!$J$3:$J$62,MATCH($A188,Simulations!$A$3:$A$62,0)))^1.5+SQRT(LN($F188/INDEX(Simulations!$J$3:$J$62,MATCH($A188,Simulations!$A$3:$A$62,0))))+$F188/INDEX(Simulations!$J$3:$J$62,MATCH($A188,Simulations!$A$3:$A$62,0))*SQRT(PI())/2*ERFC(SQRT(LN($F188/INDEX(Simulations!$J$3:$J$62,MATCH($A188,Simulations!$A$3:$A$62,0)))))),PI()*INDEX(Simulations!$T$3:$T$62,MATCH($A188,Simulations!$A$3:$A$62,0))^2/2*(LN($F188/INDEX(Simulations!$J$3:$J$62,MATCH($A188,Simulations!$A$3:$A$62,0)))+1)))))</f>
        <v/>
      </c>
      <c r="S188" s="16" t="str">
        <f aca="false">IF(OR($A188="",ISNA(MATCH($A188,Simulations!$A$3:$A$62,0))),"",IF(N($G188)&lt;=0,0,IF($G188&lt;INDEX(Simulations!$J$3:$J$62,MATCH($A188,Simulations!$A$3:$A$62,0)),$D188/(INDEX(Simulations!$G$3:$G$62,MATCH($A188,Simulations!$A$3:$A$62,0))*INDEX(Simulations!$H$3:$H$62,MATCH($A188,Simulations!$A$3:$A$62,0))*IF(INDEX(Simulations!$I$3:$I$62,MATCH($A188,Simulations!$A$3:$A$62,0))&gt;0,INDEX(Simulations!$I$3:$I$62,MATCH($A188,Simulations!$A$3:$A$62,0)),1))*$G188*(PI()/2*INDEX(Simulations!$T$3:$T$62,MATCH($A188,Simulations!$A$3:$A$62,0))^2*IF(INDEX(Simulations!$I$3:$I$62,MATCH($A188,Simulations!$A$3:$A$62,0))&gt;0,SQRT(PI()/2)*INDEX(Simulations!$U$3:$U$62,MATCH($A188,Simulations!$A$3:$A$62,0)),1)),$D188/(INDEX(Simulations!$G$3:$G$62,MATCH($A188,Simulations!$A$3:$A$62,0))*INDEX(Simulations!$H$3:$H$62,MATCH($A188,Simulations!$A$3:$A$62,0))*IF(INDEX(Simulations!$I$3:$I$62,MATCH($A188,Simulations!$A$3:$A$62,0))&gt;0,INDEX(Simulations!$I$3:$I$62,MATCH($A188,Simulations!$A$3:$A$62,0)),1))*INDEX(Simulations!$J$3:$J$62,MATCH($A188,Simulations!$A$3:$A$62,0))*IF(INDEX(Simulations!$I$3:$I$62,MATCH($A188,Simulations!$A$3:$A$62,0))&gt;0,2*PI()*INDEX(Simulations!$T$3:$T$62,MATCH($A188,Simulations!$A$3:$A$62,0))^2*INDEX(Simulations!$U$3:$U$62,MATCH($A188,Simulations!$A$3:$A$62,0))/2^1.5*(2/3*LN($G188/INDEX(Simulations!$J$3:$J$62,MATCH($A188,Simulations!$A$3:$A$62,0)))^1.5+SQRT(LN($G188/INDEX(Simulations!$J$3:$J$62,MATCH($A188,Simulations!$A$3:$A$62,0))))+$G188/INDEX(Simulations!$J$3:$J$62,MATCH($A188,Simulations!$A$3:$A$62,0))*SQRT(PI())/2*ERFC(SQRT(LN($G188/INDEX(Simulations!$J$3:$J$62,MATCH($A188,Simulations!$A$3:$A$62,0)))))),PI()*INDEX(Simulations!$T$3:$T$62,MATCH($A188,Simulations!$A$3:$A$62,0))^2/2*(LN($G188/INDEX(Simulations!$J$3:$J$62,MATCH($A188,Simulations!$A$3:$A$62,0)))+1)))))</f>
        <v/>
      </c>
      <c r="T188" s="16" t="str">
        <f aca="false">IF(OR($A188="",ISNA(MATCH($A188,Simulations!$A$3:$A$62,0))),"",IF(N($H188)&lt;=0,0,IF($H188&lt;INDEX(Simulations!$J$3:$J$62,MATCH($A188,Simulations!$A$3:$A$62,0)),$D188/(INDEX(Simulations!$G$3:$G$62,MATCH($A188,Simulations!$A$3:$A$62,0))*INDEX(Simulations!$H$3:$H$62,MATCH($A188,Simulations!$A$3:$A$62,0))*IF(INDEX(Simulations!$I$3:$I$62,MATCH($A188,Simulations!$A$3:$A$62,0))&gt;0,INDEX(Simulations!$I$3:$I$62,MATCH($A188,Simulations!$A$3:$A$62,0)),1))*$H188*(PI()/2*INDEX(Simulations!$T$3:$T$62,MATCH($A188,Simulations!$A$3:$A$62,0))^2*IF(INDEX(Simulations!$I$3:$I$62,MATCH($A188,Simulations!$A$3:$A$62,0))&gt;0,SQRT(PI()/2)*INDEX(Simulations!$U$3:$U$62,MATCH($A188,Simulations!$A$3:$A$62,0)),1)),$D188/(INDEX(Simulations!$G$3:$G$62,MATCH($A188,Simulations!$A$3:$A$62,0))*INDEX(Simulations!$H$3:$H$62,MATCH($A188,Simulations!$A$3:$A$62,0))*IF(INDEX(Simulations!$I$3:$I$62,MATCH($A188,Simulations!$A$3:$A$62,0))&gt;0,INDEX(Simulations!$I$3:$I$62,MATCH($A188,Simulations!$A$3:$A$62,0)),1))*INDEX(Simulations!$J$3:$J$62,MATCH($A188,Simulations!$A$3:$A$62,0))*IF(INDEX(Simulations!$I$3:$I$62,MATCH($A188,Simulations!$A$3:$A$62,0))&gt;0,2*PI()*INDEX(Simulations!$T$3:$T$62,MATCH($A188,Simulations!$A$3:$A$62,0))^2*INDEX(Simulations!$U$3:$U$62,MATCH($A188,Simulations!$A$3:$A$62,0))/2^1.5*(2/3*LN($H188/INDEX(Simulations!$J$3:$J$62,MATCH($A188,Simulations!$A$3:$A$62,0)))^1.5+SQRT(LN($H188/INDEX(Simulations!$J$3:$J$62,MATCH($A188,Simulations!$A$3:$A$62,0))))+$H188/INDEX(Simulations!$J$3:$J$62,MATCH($A188,Simulations!$A$3:$A$62,0))*SQRT(PI())/2*ERFC(SQRT(LN($H188/INDEX(Simulations!$J$3:$J$62,MATCH($A188,Simulations!$A$3:$A$62,0)))))),PI()*INDEX(Simulations!$T$3:$T$62,MATCH($A188,Simulations!$A$3:$A$62,0))^2/2*(LN($H188/INDEX(Simulations!$J$3:$J$62,MATCH($A188,Simulations!$A$3:$A$62,0)))+1)))))</f>
        <v/>
      </c>
      <c r="U188" s="18" t="str">
        <f aca="false">IF(OR(OR($A188="",ISNA(MATCH($A188,Simulations!$A$3:$A$62,0))),N($C188)&lt;=0),"",SQRT(2*$C188*1000000/(INDEX(Simulations!$J$3:$J$62,MATCH($A188,Simulations!$A$3:$A$62,0))*1000))/INDEX(Simulations!$T$3:$T$62,MATCH($A188,Simulations!$A$3:$A$62,0)))</f>
        <v/>
      </c>
      <c r="V188" s="19" t="str">
        <f aca="false">IF($A188="","",IF(ISNA(MATCH($A188,Simulations!$A$3:$A$62,0)),"✖ Sim ID not found on the Simulations sheet",IF($P188&gt;=1,"✖ brightness &gt;= sampling frequency: completely saturated (D too small, c too large)",IF($P188&gt;0.1,"⚠ brightness &gt; 10% of the sampling frequency: focus starts to saturate",IF(N($U188)&gt;0.1,"⚠ diffusion step &gt; 10% of wr: raise the sampling frequency",IF(MAX($E188:$H188)=0,"⚠ no brightness set","✔ OK"))))))</f>
        <v/>
      </c>
    </row>
    <row r="189" customFormat="false" ht="15" hidden="false" customHeight="false" outlineLevel="0" collapsed="false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4"/>
      <c r="O189" s="18" t="str">
        <f aca="false">IF(OR($A189="",ISNA(MATCH($A189,Simulations!$A$3:$A$62,0))),"",IF(INDEX(Simulations!$I$3:$I$62,MATCH($A189,Simulations!$A$3:$A$62,0))&gt;0,$D189/(INDEX(Simulations!$G$3:$G$62,MATCH($A189,Simulations!$A$3:$A$62,0))*INDEX(Simulations!$H$3:$H$62,MATCH($A189,Simulations!$A$3:$A$62,0))*IF(INDEX(Simulations!$I$3:$I$62,MATCH($A189,Simulations!$A$3:$A$62,0))&gt;0,INDEX(Simulations!$I$3:$I$62,MATCH($A189,Simulations!$A$3:$A$62,0)),1))/1E-024/6.022E+023/0.000000001,""))</f>
        <v/>
      </c>
      <c r="P189" s="20" t="str">
        <f aca="false">IF(OR($A189="",ISNA(MATCH($A189,Simulations!$A$3:$A$62,0))),"",MAX($E189:$H189)/INDEX(Simulations!$J$3:$J$62,MATCH($A189,Simulations!$A$3:$A$62,0)))</f>
        <v/>
      </c>
      <c r="Q189" s="16" t="str">
        <f aca="false">IF(OR($A189="",ISNA(MATCH($A189,Simulations!$A$3:$A$62,0))),"",IF(N($E189)&lt;=0,0,IF($E189&lt;INDEX(Simulations!$J$3:$J$62,MATCH($A189,Simulations!$A$3:$A$62,0)),$D189/(INDEX(Simulations!$G$3:$G$62,MATCH($A189,Simulations!$A$3:$A$62,0))*INDEX(Simulations!$H$3:$H$62,MATCH($A189,Simulations!$A$3:$A$62,0))*IF(INDEX(Simulations!$I$3:$I$62,MATCH($A189,Simulations!$A$3:$A$62,0))&gt;0,INDEX(Simulations!$I$3:$I$62,MATCH($A189,Simulations!$A$3:$A$62,0)),1))*$E189*(PI()/2*INDEX(Simulations!$T$3:$T$62,MATCH($A189,Simulations!$A$3:$A$62,0))^2*IF(INDEX(Simulations!$I$3:$I$62,MATCH($A189,Simulations!$A$3:$A$62,0))&gt;0,SQRT(PI()/2)*INDEX(Simulations!$U$3:$U$62,MATCH($A189,Simulations!$A$3:$A$62,0)),1)),$D189/(INDEX(Simulations!$G$3:$G$62,MATCH($A189,Simulations!$A$3:$A$62,0))*INDEX(Simulations!$H$3:$H$62,MATCH($A189,Simulations!$A$3:$A$62,0))*IF(INDEX(Simulations!$I$3:$I$62,MATCH($A189,Simulations!$A$3:$A$62,0))&gt;0,INDEX(Simulations!$I$3:$I$62,MATCH($A189,Simulations!$A$3:$A$62,0)),1))*INDEX(Simulations!$J$3:$J$62,MATCH($A189,Simulations!$A$3:$A$62,0))*IF(INDEX(Simulations!$I$3:$I$62,MATCH($A189,Simulations!$A$3:$A$62,0))&gt;0,2*PI()*INDEX(Simulations!$T$3:$T$62,MATCH($A189,Simulations!$A$3:$A$62,0))^2*INDEX(Simulations!$U$3:$U$62,MATCH($A189,Simulations!$A$3:$A$62,0))/2^1.5*(2/3*LN($E189/INDEX(Simulations!$J$3:$J$62,MATCH($A189,Simulations!$A$3:$A$62,0)))^1.5+SQRT(LN($E189/INDEX(Simulations!$J$3:$J$62,MATCH($A189,Simulations!$A$3:$A$62,0))))+$E189/INDEX(Simulations!$J$3:$J$62,MATCH($A189,Simulations!$A$3:$A$62,0))*SQRT(PI())/2*ERFC(SQRT(LN($E189/INDEX(Simulations!$J$3:$J$62,MATCH($A189,Simulations!$A$3:$A$62,0)))))),PI()*INDEX(Simulations!$T$3:$T$62,MATCH($A189,Simulations!$A$3:$A$62,0))^2/2*(LN($E189/INDEX(Simulations!$J$3:$J$62,MATCH($A189,Simulations!$A$3:$A$62,0)))+1)))))</f>
        <v/>
      </c>
      <c r="R189" s="16" t="str">
        <f aca="false">IF(OR($A189="",ISNA(MATCH($A189,Simulations!$A$3:$A$62,0))),"",IF(N($F189)&lt;=0,0,IF($F189&lt;INDEX(Simulations!$J$3:$J$62,MATCH($A189,Simulations!$A$3:$A$62,0)),$D189/(INDEX(Simulations!$G$3:$G$62,MATCH($A189,Simulations!$A$3:$A$62,0))*INDEX(Simulations!$H$3:$H$62,MATCH($A189,Simulations!$A$3:$A$62,0))*IF(INDEX(Simulations!$I$3:$I$62,MATCH($A189,Simulations!$A$3:$A$62,0))&gt;0,INDEX(Simulations!$I$3:$I$62,MATCH($A189,Simulations!$A$3:$A$62,0)),1))*$F189*(PI()/2*INDEX(Simulations!$T$3:$T$62,MATCH($A189,Simulations!$A$3:$A$62,0))^2*IF(INDEX(Simulations!$I$3:$I$62,MATCH($A189,Simulations!$A$3:$A$62,0))&gt;0,SQRT(PI()/2)*INDEX(Simulations!$U$3:$U$62,MATCH($A189,Simulations!$A$3:$A$62,0)),1)),$D189/(INDEX(Simulations!$G$3:$G$62,MATCH($A189,Simulations!$A$3:$A$62,0))*INDEX(Simulations!$H$3:$H$62,MATCH($A189,Simulations!$A$3:$A$62,0))*IF(INDEX(Simulations!$I$3:$I$62,MATCH($A189,Simulations!$A$3:$A$62,0))&gt;0,INDEX(Simulations!$I$3:$I$62,MATCH($A189,Simulations!$A$3:$A$62,0)),1))*INDEX(Simulations!$J$3:$J$62,MATCH($A189,Simulations!$A$3:$A$62,0))*IF(INDEX(Simulations!$I$3:$I$62,MATCH($A189,Simulations!$A$3:$A$62,0))&gt;0,2*PI()*INDEX(Simulations!$T$3:$T$62,MATCH($A189,Simulations!$A$3:$A$62,0))^2*INDEX(Simulations!$U$3:$U$62,MATCH($A189,Simulations!$A$3:$A$62,0))/2^1.5*(2/3*LN($F189/INDEX(Simulations!$J$3:$J$62,MATCH($A189,Simulations!$A$3:$A$62,0)))^1.5+SQRT(LN($F189/INDEX(Simulations!$J$3:$J$62,MATCH($A189,Simulations!$A$3:$A$62,0))))+$F189/INDEX(Simulations!$J$3:$J$62,MATCH($A189,Simulations!$A$3:$A$62,0))*SQRT(PI())/2*ERFC(SQRT(LN($F189/INDEX(Simulations!$J$3:$J$62,MATCH($A189,Simulations!$A$3:$A$62,0)))))),PI()*INDEX(Simulations!$T$3:$T$62,MATCH($A189,Simulations!$A$3:$A$62,0))^2/2*(LN($F189/INDEX(Simulations!$J$3:$J$62,MATCH($A189,Simulations!$A$3:$A$62,0)))+1)))))</f>
        <v/>
      </c>
      <c r="S189" s="16" t="str">
        <f aca="false">IF(OR($A189="",ISNA(MATCH($A189,Simulations!$A$3:$A$62,0))),"",IF(N($G189)&lt;=0,0,IF($G189&lt;INDEX(Simulations!$J$3:$J$62,MATCH($A189,Simulations!$A$3:$A$62,0)),$D189/(INDEX(Simulations!$G$3:$G$62,MATCH($A189,Simulations!$A$3:$A$62,0))*INDEX(Simulations!$H$3:$H$62,MATCH($A189,Simulations!$A$3:$A$62,0))*IF(INDEX(Simulations!$I$3:$I$62,MATCH($A189,Simulations!$A$3:$A$62,0))&gt;0,INDEX(Simulations!$I$3:$I$62,MATCH($A189,Simulations!$A$3:$A$62,0)),1))*$G189*(PI()/2*INDEX(Simulations!$T$3:$T$62,MATCH($A189,Simulations!$A$3:$A$62,0))^2*IF(INDEX(Simulations!$I$3:$I$62,MATCH($A189,Simulations!$A$3:$A$62,0))&gt;0,SQRT(PI()/2)*INDEX(Simulations!$U$3:$U$62,MATCH($A189,Simulations!$A$3:$A$62,0)),1)),$D189/(INDEX(Simulations!$G$3:$G$62,MATCH($A189,Simulations!$A$3:$A$62,0))*INDEX(Simulations!$H$3:$H$62,MATCH($A189,Simulations!$A$3:$A$62,0))*IF(INDEX(Simulations!$I$3:$I$62,MATCH($A189,Simulations!$A$3:$A$62,0))&gt;0,INDEX(Simulations!$I$3:$I$62,MATCH($A189,Simulations!$A$3:$A$62,0)),1))*INDEX(Simulations!$J$3:$J$62,MATCH($A189,Simulations!$A$3:$A$62,0))*IF(INDEX(Simulations!$I$3:$I$62,MATCH($A189,Simulations!$A$3:$A$62,0))&gt;0,2*PI()*INDEX(Simulations!$T$3:$T$62,MATCH($A189,Simulations!$A$3:$A$62,0))^2*INDEX(Simulations!$U$3:$U$62,MATCH($A189,Simulations!$A$3:$A$62,0))/2^1.5*(2/3*LN($G189/INDEX(Simulations!$J$3:$J$62,MATCH($A189,Simulations!$A$3:$A$62,0)))^1.5+SQRT(LN($G189/INDEX(Simulations!$J$3:$J$62,MATCH($A189,Simulations!$A$3:$A$62,0))))+$G189/INDEX(Simulations!$J$3:$J$62,MATCH($A189,Simulations!$A$3:$A$62,0))*SQRT(PI())/2*ERFC(SQRT(LN($G189/INDEX(Simulations!$J$3:$J$62,MATCH($A189,Simulations!$A$3:$A$62,0)))))),PI()*INDEX(Simulations!$T$3:$T$62,MATCH($A189,Simulations!$A$3:$A$62,0))^2/2*(LN($G189/INDEX(Simulations!$J$3:$J$62,MATCH($A189,Simulations!$A$3:$A$62,0)))+1)))))</f>
        <v/>
      </c>
      <c r="T189" s="16" t="str">
        <f aca="false">IF(OR($A189="",ISNA(MATCH($A189,Simulations!$A$3:$A$62,0))),"",IF(N($H189)&lt;=0,0,IF($H189&lt;INDEX(Simulations!$J$3:$J$62,MATCH($A189,Simulations!$A$3:$A$62,0)),$D189/(INDEX(Simulations!$G$3:$G$62,MATCH($A189,Simulations!$A$3:$A$62,0))*INDEX(Simulations!$H$3:$H$62,MATCH($A189,Simulations!$A$3:$A$62,0))*IF(INDEX(Simulations!$I$3:$I$62,MATCH($A189,Simulations!$A$3:$A$62,0))&gt;0,INDEX(Simulations!$I$3:$I$62,MATCH($A189,Simulations!$A$3:$A$62,0)),1))*$H189*(PI()/2*INDEX(Simulations!$T$3:$T$62,MATCH($A189,Simulations!$A$3:$A$62,0))^2*IF(INDEX(Simulations!$I$3:$I$62,MATCH($A189,Simulations!$A$3:$A$62,0))&gt;0,SQRT(PI()/2)*INDEX(Simulations!$U$3:$U$62,MATCH($A189,Simulations!$A$3:$A$62,0)),1)),$D189/(INDEX(Simulations!$G$3:$G$62,MATCH($A189,Simulations!$A$3:$A$62,0))*INDEX(Simulations!$H$3:$H$62,MATCH($A189,Simulations!$A$3:$A$62,0))*IF(INDEX(Simulations!$I$3:$I$62,MATCH($A189,Simulations!$A$3:$A$62,0))&gt;0,INDEX(Simulations!$I$3:$I$62,MATCH($A189,Simulations!$A$3:$A$62,0)),1))*INDEX(Simulations!$J$3:$J$62,MATCH($A189,Simulations!$A$3:$A$62,0))*IF(INDEX(Simulations!$I$3:$I$62,MATCH($A189,Simulations!$A$3:$A$62,0))&gt;0,2*PI()*INDEX(Simulations!$T$3:$T$62,MATCH($A189,Simulations!$A$3:$A$62,0))^2*INDEX(Simulations!$U$3:$U$62,MATCH($A189,Simulations!$A$3:$A$62,0))/2^1.5*(2/3*LN($H189/INDEX(Simulations!$J$3:$J$62,MATCH($A189,Simulations!$A$3:$A$62,0)))^1.5+SQRT(LN($H189/INDEX(Simulations!$J$3:$J$62,MATCH($A189,Simulations!$A$3:$A$62,0))))+$H189/INDEX(Simulations!$J$3:$J$62,MATCH($A189,Simulations!$A$3:$A$62,0))*SQRT(PI())/2*ERFC(SQRT(LN($H189/INDEX(Simulations!$J$3:$J$62,MATCH($A189,Simulations!$A$3:$A$62,0)))))),PI()*INDEX(Simulations!$T$3:$T$62,MATCH($A189,Simulations!$A$3:$A$62,0))^2/2*(LN($H189/INDEX(Simulations!$J$3:$J$62,MATCH($A189,Simulations!$A$3:$A$62,0)))+1)))))</f>
        <v/>
      </c>
      <c r="U189" s="18" t="str">
        <f aca="false">IF(OR(OR($A189="",ISNA(MATCH($A189,Simulations!$A$3:$A$62,0))),N($C189)&lt;=0),"",SQRT(2*$C189*1000000/(INDEX(Simulations!$J$3:$J$62,MATCH($A189,Simulations!$A$3:$A$62,0))*1000))/INDEX(Simulations!$T$3:$T$62,MATCH($A189,Simulations!$A$3:$A$62,0)))</f>
        <v/>
      </c>
      <c r="V189" s="19" t="str">
        <f aca="false">IF($A189="","",IF(ISNA(MATCH($A189,Simulations!$A$3:$A$62,0)),"✖ Sim ID not found on the Simulations sheet",IF($P189&gt;=1,"✖ brightness &gt;= sampling frequency: completely saturated (D too small, c too large)",IF($P189&gt;0.1,"⚠ brightness &gt; 10% of the sampling frequency: focus starts to saturate",IF(N($U189)&gt;0.1,"⚠ diffusion step &gt; 10% of wr: raise the sampling frequency",IF(MAX($E189:$H189)=0,"⚠ no brightness set","✔ OK"))))))</f>
        <v/>
      </c>
    </row>
    <row r="190" customFormat="false" ht="15" hidden="false" customHeight="false" outlineLevel="0" collapsed="false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4"/>
      <c r="O190" s="18" t="str">
        <f aca="false">IF(OR($A190="",ISNA(MATCH($A190,Simulations!$A$3:$A$62,0))),"",IF(INDEX(Simulations!$I$3:$I$62,MATCH($A190,Simulations!$A$3:$A$62,0))&gt;0,$D190/(INDEX(Simulations!$G$3:$G$62,MATCH($A190,Simulations!$A$3:$A$62,0))*INDEX(Simulations!$H$3:$H$62,MATCH($A190,Simulations!$A$3:$A$62,0))*IF(INDEX(Simulations!$I$3:$I$62,MATCH($A190,Simulations!$A$3:$A$62,0))&gt;0,INDEX(Simulations!$I$3:$I$62,MATCH($A190,Simulations!$A$3:$A$62,0)),1))/1E-024/6.022E+023/0.000000001,""))</f>
        <v/>
      </c>
      <c r="P190" s="20" t="str">
        <f aca="false">IF(OR($A190="",ISNA(MATCH($A190,Simulations!$A$3:$A$62,0))),"",MAX($E190:$H190)/INDEX(Simulations!$J$3:$J$62,MATCH($A190,Simulations!$A$3:$A$62,0)))</f>
        <v/>
      </c>
      <c r="Q190" s="16" t="str">
        <f aca="false">IF(OR($A190="",ISNA(MATCH($A190,Simulations!$A$3:$A$62,0))),"",IF(N($E190)&lt;=0,0,IF($E190&lt;INDEX(Simulations!$J$3:$J$62,MATCH($A190,Simulations!$A$3:$A$62,0)),$D190/(INDEX(Simulations!$G$3:$G$62,MATCH($A190,Simulations!$A$3:$A$62,0))*INDEX(Simulations!$H$3:$H$62,MATCH($A190,Simulations!$A$3:$A$62,0))*IF(INDEX(Simulations!$I$3:$I$62,MATCH($A190,Simulations!$A$3:$A$62,0))&gt;0,INDEX(Simulations!$I$3:$I$62,MATCH($A190,Simulations!$A$3:$A$62,0)),1))*$E190*(PI()/2*INDEX(Simulations!$T$3:$T$62,MATCH($A190,Simulations!$A$3:$A$62,0))^2*IF(INDEX(Simulations!$I$3:$I$62,MATCH($A190,Simulations!$A$3:$A$62,0))&gt;0,SQRT(PI()/2)*INDEX(Simulations!$U$3:$U$62,MATCH($A190,Simulations!$A$3:$A$62,0)),1)),$D190/(INDEX(Simulations!$G$3:$G$62,MATCH($A190,Simulations!$A$3:$A$62,0))*INDEX(Simulations!$H$3:$H$62,MATCH($A190,Simulations!$A$3:$A$62,0))*IF(INDEX(Simulations!$I$3:$I$62,MATCH($A190,Simulations!$A$3:$A$62,0))&gt;0,INDEX(Simulations!$I$3:$I$62,MATCH($A190,Simulations!$A$3:$A$62,0)),1))*INDEX(Simulations!$J$3:$J$62,MATCH($A190,Simulations!$A$3:$A$62,0))*IF(INDEX(Simulations!$I$3:$I$62,MATCH($A190,Simulations!$A$3:$A$62,0))&gt;0,2*PI()*INDEX(Simulations!$T$3:$T$62,MATCH($A190,Simulations!$A$3:$A$62,0))^2*INDEX(Simulations!$U$3:$U$62,MATCH($A190,Simulations!$A$3:$A$62,0))/2^1.5*(2/3*LN($E190/INDEX(Simulations!$J$3:$J$62,MATCH($A190,Simulations!$A$3:$A$62,0)))^1.5+SQRT(LN($E190/INDEX(Simulations!$J$3:$J$62,MATCH($A190,Simulations!$A$3:$A$62,0))))+$E190/INDEX(Simulations!$J$3:$J$62,MATCH($A190,Simulations!$A$3:$A$62,0))*SQRT(PI())/2*ERFC(SQRT(LN($E190/INDEX(Simulations!$J$3:$J$62,MATCH($A190,Simulations!$A$3:$A$62,0)))))),PI()*INDEX(Simulations!$T$3:$T$62,MATCH($A190,Simulations!$A$3:$A$62,0))^2/2*(LN($E190/INDEX(Simulations!$J$3:$J$62,MATCH($A190,Simulations!$A$3:$A$62,0)))+1)))))</f>
        <v/>
      </c>
      <c r="R190" s="16" t="str">
        <f aca="false">IF(OR($A190="",ISNA(MATCH($A190,Simulations!$A$3:$A$62,0))),"",IF(N($F190)&lt;=0,0,IF($F190&lt;INDEX(Simulations!$J$3:$J$62,MATCH($A190,Simulations!$A$3:$A$62,0)),$D190/(INDEX(Simulations!$G$3:$G$62,MATCH($A190,Simulations!$A$3:$A$62,0))*INDEX(Simulations!$H$3:$H$62,MATCH($A190,Simulations!$A$3:$A$62,0))*IF(INDEX(Simulations!$I$3:$I$62,MATCH($A190,Simulations!$A$3:$A$62,0))&gt;0,INDEX(Simulations!$I$3:$I$62,MATCH($A190,Simulations!$A$3:$A$62,0)),1))*$F190*(PI()/2*INDEX(Simulations!$T$3:$T$62,MATCH($A190,Simulations!$A$3:$A$62,0))^2*IF(INDEX(Simulations!$I$3:$I$62,MATCH($A190,Simulations!$A$3:$A$62,0))&gt;0,SQRT(PI()/2)*INDEX(Simulations!$U$3:$U$62,MATCH($A190,Simulations!$A$3:$A$62,0)),1)),$D190/(INDEX(Simulations!$G$3:$G$62,MATCH($A190,Simulations!$A$3:$A$62,0))*INDEX(Simulations!$H$3:$H$62,MATCH($A190,Simulations!$A$3:$A$62,0))*IF(INDEX(Simulations!$I$3:$I$62,MATCH($A190,Simulations!$A$3:$A$62,0))&gt;0,INDEX(Simulations!$I$3:$I$62,MATCH($A190,Simulations!$A$3:$A$62,0)),1))*INDEX(Simulations!$J$3:$J$62,MATCH($A190,Simulations!$A$3:$A$62,0))*IF(INDEX(Simulations!$I$3:$I$62,MATCH($A190,Simulations!$A$3:$A$62,0))&gt;0,2*PI()*INDEX(Simulations!$T$3:$T$62,MATCH($A190,Simulations!$A$3:$A$62,0))^2*INDEX(Simulations!$U$3:$U$62,MATCH($A190,Simulations!$A$3:$A$62,0))/2^1.5*(2/3*LN($F190/INDEX(Simulations!$J$3:$J$62,MATCH($A190,Simulations!$A$3:$A$62,0)))^1.5+SQRT(LN($F190/INDEX(Simulations!$J$3:$J$62,MATCH($A190,Simulations!$A$3:$A$62,0))))+$F190/INDEX(Simulations!$J$3:$J$62,MATCH($A190,Simulations!$A$3:$A$62,0))*SQRT(PI())/2*ERFC(SQRT(LN($F190/INDEX(Simulations!$J$3:$J$62,MATCH($A190,Simulations!$A$3:$A$62,0)))))),PI()*INDEX(Simulations!$T$3:$T$62,MATCH($A190,Simulations!$A$3:$A$62,0))^2/2*(LN($F190/INDEX(Simulations!$J$3:$J$62,MATCH($A190,Simulations!$A$3:$A$62,0)))+1)))))</f>
        <v/>
      </c>
      <c r="S190" s="16" t="str">
        <f aca="false">IF(OR($A190="",ISNA(MATCH($A190,Simulations!$A$3:$A$62,0))),"",IF(N($G190)&lt;=0,0,IF($G190&lt;INDEX(Simulations!$J$3:$J$62,MATCH($A190,Simulations!$A$3:$A$62,0)),$D190/(INDEX(Simulations!$G$3:$G$62,MATCH($A190,Simulations!$A$3:$A$62,0))*INDEX(Simulations!$H$3:$H$62,MATCH($A190,Simulations!$A$3:$A$62,0))*IF(INDEX(Simulations!$I$3:$I$62,MATCH($A190,Simulations!$A$3:$A$62,0))&gt;0,INDEX(Simulations!$I$3:$I$62,MATCH($A190,Simulations!$A$3:$A$62,0)),1))*$G190*(PI()/2*INDEX(Simulations!$T$3:$T$62,MATCH($A190,Simulations!$A$3:$A$62,0))^2*IF(INDEX(Simulations!$I$3:$I$62,MATCH($A190,Simulations!$A$3:$A$62,0))&gt;0,SQRT(PI()/2)*INDEX(Simulations!$U$3:$U$62,MATCH($A190,Simulations!$A$3:$A$62,0)),1)),$D190/(INDEX(Simulations!$G$3:$G$62,MATCH($A190,Simulations!$A$3:$A$62,0))*INDEX(Simulations!$H$3:$H$62,MATCH($A190,Simulations!$A$3:$A$62,0))*IF(INDEX(Simulations!$I$3:$I$62,MATCH($A190,Simulations!$A$3:$A$62,0))&gt;0,INDEX(Simulations!$I$3:$I$62,MATCH($A190,Simulations!$A$3:$A$62,0)),1))*INDEX(Simulations!$J$3:$J$62,MATCH($A190,Simulations!$A$3:$A$62,0))*IF(INDEX(Simulations!$I$3:$I$62,MATCH($A190,Simulations!$A$3:$A$62,0))&gt;0,2*PI()*INDEX(Simulations!$T$3:$T$62,MATCH($A190,Simulations!$A$3:$A$62,0))^2*INDEX(Simulations!$U$3:$U$62,MATCH($A190,Simulations!$A$3:$A$62,0))/2^1.5*(2/3*LN($G190/INDEX(Simulations!$J$3:$J$62,MATCH($A190,Simulations!$A$3:$A$62,0)))^1.5+SQRT(LN($G190/INDEX(Simulations!$J$3:$J$62,MATCH($A190,Simulations!$A$3:$A$62,0))))+$G190/INDEX(Simulations!$J$3:$J$62,MATCH($A190,Simulations!$A$3:$A$62,0))*SQRT(PI())/2*ERFC(SQRT(LN($G190/INDEX(Simulations!$J$3:$J$62,MATCH($A190,Simulations!$A$3:$A$62,0)))))),PI()*INDEX(Simulations!$T$3:$T$62,MATCH($A190,Simulations!$A$3:$A$62,0))^2/2*(LN($G190/INDEX(Simulations!$J$3:$J$62,MATCH($A190,Simulations!$A$3:$A$62,0)))+1)))))</f>
        <v/>
      </c>
      <c r="T190" s="16" t="str">
        <f aca="false">IF(OR($A190="",ISNA(MATCH($A190,Simulations!$A$3:$A$62,0))),"",IF(N($H190)&lt;=0,0,IF($H190&lt;INDEX(Simulations!$J$3:$J$62,MATCH($A190,Simulations!$A$3:$A$62,0)),$D190/(INDEX(Simulations!$G$3:$G$62,MATCH($A190,Simulations!$A$3:$A$62,0))*INDEX(Simulations!$H$3:$H$62,MATCH($A190,Simulations!$A$3:$A$62,0))*IF(INDEX(Simulations!$I$3:$I$62,MATCH($A190,Simulations!$A$3:$A$62,0))&gt;0,INDEX(Simulations!$I$3:$I$62,MATCH($A190,Simulations!$A$3:$A$62,0)),1))*$H190*(PI()/2*INDEX(Simulations!$T$3:$T$62,MATCH($A190,Simulations!$A$3:$A$62,0))^2*IF(INDEX(Simulations!$I$3:$I$62,MATCH($A190,Simulations!$A$3:$A$62,0))&gt;0,SQRT(PI()/2)*INDEX(Simulations!$U$3:$U$62,MATCH($A190,Simulations!$A$3:$A$62,0)),1)),$D190/(INDEX(Simulations!$G$3:$G$62,MATCH($A190,Simulations!$A$3:$A$62,0))*INDEX(Simulations!$H$3:$H$62,MATCH($A190,Simulations!$A$3:$A$62,0))*IF(INDEX(Simulations!$I$3:$I$62,MATCH($A190,Simulations!$A$3:$A$62,0))&gt;0,INDEX(Simulations!$I$3:$I$62,MATCH($A190,Simulations!$A$3:$A$62,0)),1))*INDEX(Simulations!$J$3:$J$62,MATCH($A190,Simulations!$A$3:$A$62,0))*IF(INDEX(Simulations!$I$3:$I$62,MATCH($A190,Simulations!$A$3:$A$62,0))&gt;0,2*PI()*INDEX(Simulations!$T$3:$T$62,MATCH($A190,Simulations!$A$3:$A$62,0))^2*INDEX(Simulations!$U$3:$U$62,MATCH($A190,Simulations!$A$3:$A$62,0))/2^1.5*(2/3*LN($H190/INDEX(Simulations!$J$3:$J$62,MATCH($A190,Simulations!$A$3:$A$62,0)))^1.5+SQRT(LN($H190/INDEX(Simulations!$J$3:$J$62,MATCH($A190,Simulations!$A$3:$A$62,0))))+$H190/INDEX(Simulations!$J$3:$J$62,MATCH($A190,Simulations!$A$3:$A$62,0))*SQRT(PI())/2*ERFC(SQRT(LN($H190/INDEX(Simulations!$J$3:$J$62,MATCH($A190,Simulations!$A$3:$A$62,0)))))),PI()*INDEX(Simulations!$T$3:$T$62,MATCH($A190,Simulations!$A$3:$A$62,0))^2/2*(LN($H190/INDEX(Simulations!$J$3:$J$62,MATCH($A190,Simulations!$A$3:$A$62,0)))+1)))))</f>
        <v/>
      </c>
      <c r="U190" s="18" t="str">
        <f aca="false">IF(OR(OR($A190="",ISNA(MATCH($A190,Simulations!$A$3:$A$62,0))),N($C190)&lt;=0),"",SQRT(2*$C190*1000000/(INDEX(Simulations!$J$3:$J$62,MATCH($A190,Simulations!$A$3:$A$62,0))*1000))/INDEX(Simulations!$T$3:$T$62,MATCH($A190,Simulations!$A$3:$A$62,0)))</f>
        <v/>
      </c>
      <c r="V190" s="19" t="str">
        <f aca="false">IF($A190="","",IF(ISNA(MATCH($A190,Simulations!$A$3:$A$62,0)),"✖ Sim ID not found on the Simulations sheet",IF($P190&gt;=1,"✖ brightness &gt;= sampling frequency: completely saturated (D too small, c too large)",IF($P190&gt;0.1,"⚠ brightness &gt; 10% of the sampling frequency: focus starts to saturate",IF(N($U190)&gt;0.1,"⚠ diffusion step &gt; 10% of wr: raise the sampling frequency",IF(MAX($E190:$H190)=0,"⚠ no brightness set","✔ OK"))))))</f>
        <v/>
      </c>
    </row>
    <row r="191" customFormat="false" ht="15" hidden="false" customHeight="false" outlineLevel="0" collapsed="false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4"/>
      <c r="O191" s="18" t="str">
        <f aca="false">IF(OR($A191="",ISNA(MATCH($A191,Simulations!$A$3:$A$62,0))),"",IF(INDEX(Simulations!$I$3:$I$62,MATCH($A191,Simulations!$A$3:$A$62,0))&gt;0,$D191/(INDEX(Simulations!$G$3:$G$62,MATCH($A191,Simulations!$A$3:$A$62,0))*INDEX(Simulations!$H$3:$H$62,MATCH($A191,Simulations!$A$3:$A$62,0))*IF(INDEX(Simulations!$I$3:$I$62,MATCH($A191,Simulations!$A$3:$A$62,0))&gt;0,INDEX(Simulations!$I$3:$I$62,MATCH($A191,Simulations!$A$3:$A$62,0)),1))/1E-024/6.022E+023/0.000000001,""))</f>
        <v/>
      </c>
      <c r="P191" s="20" t="str">
        <f aca="false">IF(OR($A191="",ISNA(MATCH($A191,Simulations!$A$3:$A$62,0))),"",MAX($E191:$H191)/INDEX(Simulations!$J$3:$J$62,MATCH($A191,Simulations!$A$3:$A$62,0)))</f>
        <v/>
      </c>
      <c r="Q191" s="16" t="str">
        <f aca="false">IF(OR($A191="",ISNA(MATCH($A191,Simulations!$A$3:$A$62,0))),"",IF(N($E191)&lt;=0,0,IF($E191&lt;INDEX(Simulations!$J$3:$J$62,MATCH($A191,Simulations!$A$3:$A$62,0)),$D191/(INDEX(Simulations!$G$3:$G$62,MATCH($A191,Simulations!$A$3:$A$62,0))*INDEX(Simulations!$H$3:$H$62,MATCH($A191,Simulations!$A$3:$A$62,0))*IF(INDEX(Simulations!$I$3:$I$62,MATCH($A191,Simulations!$A$3:$A$62,0))&gt;0,INDEX(Simulations!$I$3:$I$62,MATCH($A191,Simulations!$A$3:$A$62,0)),1))*$E191*(PI()/2*INDEX(Simulations!$T$3:$T$62,MATCH($A191,Simulations!$A$3:$A$62,0))^2*IF(INDEX(Simulations!$I$3:$I$62,MATCH($A191,Simulations!$A$3:$A$62,0))&gt;0,SQRT(PI()/2)*INDEX(Simulations!$U$3:$U$62,MATCH($A191,Simulations!$A$3:$A$62,0)),1)),$D191/(INDEX(Simulations!$G$3:$G$62,MATCH($A191,Simulations!$A$3:$A$62,0))*INDEX(Simulations!$H$3:$H$62,MATCH($A191,Simulations!$A$3:$A$62,0))*IF(INDEX(Simulations!$I$3:$I$62,MATCH($A191,Simulations!$A$3:$A$62,0))&gt;0,INDEX(Simulations!$I$3:$I$62,MATCH($A191,Simulations!$A$3:$A$62,0)),1))*INDEX(Simulations!$J$3:$J$62,MATCH($A191,Simulations!$A$3:$A$62,0))*IF(INDEX(Simulations!$I$3:$I$62,MATCH($A191,Simulations!$A$3:$A$62,0))&gt;0,2*PI()*INDEX(Simulations!$T$3:$T$62,MATCH($A191,Simulations!$A$3:$A$62,0))^2*INDEX(Simulations!$U$3:$U$62,MATCH($A191,Simulations!$A$3:$A$62,0))/2^1.5*(2/3*LN($E191/INDEX(Simulations!$J$3:$J$62,MATCH($A191,Simulations!$A$3:$A$62,0)))^1.5+SQRT(LN($E191/INDEX(Simulations!$J$3:$J$62,MATCH($A191,Simulations!$A$3:$A$62,0))))+$E191/INDEX(Simulations!$J$3:$J$62,MATCH($A191,Simulations!$A$3:$A$62,0))*SQRT(PI())/2*ERFC(SQRT(LN($E191/INDEX(Simulations!$J$3:$J$62,MATCH($A191,Simulations!$A$3:$A$62,0)))))),PI()*INDEX(Simulations!$T$3:$T$62,MATCH($A191,Simulations!$A$3:$A$62,0))^2/2*(LN($E191/INDEX(Simulations!$J$3:$J$62,MATCH($A191,Simulations!$A$3:$A$62,0)))+1)))))</f>
        <v/>
      </c>
      <c r="R191" s="16" t="str">
        <f aca="false">IF(OR($A191="",ISNA(MATCH($A191,Simulations!$A$3:$A$62,0))),"",IF(N($F191)&lt;=0,0,IF($F191&lt;INDEX(Simulations!$J$3:$J$62,MATCH($A191,Simulations!$A$3:$A$62,0)),$D191/(INDEX(Simulations!$G$3:$G$62,MATCH($A191,Simulations!$A$3:$A$62,0))*INDEX(Simulations!$H$3:$H$62,MATCH($A191,Simulations!$A$3:$A$62,0))*IF(INDEX(Simulations!$I$3:$I$62,MATCH($A191,Simulations!$A$3:$A$62,0))&gt;0,INDEX(Simulations!$I$3:$I$62,MATCH($A191,Simulations!$A$3:$A$62,0)),1))*$F191*(PI()/2*INDEX(Simulations!$T$3:$T$62,MATCH($A191,Simulations!$A$3:$A$62,0))^2*IF(INDEX(Simulations!$I$3:$I$62,MATCH($A191,Simulations!$A$3:$A$62,0))&gt;0,SQRT(PI()/2)*INDEX(Simulations!$U$3:$U$62,MATCH($A191,Simulations!$A$3:$A$62,0)),1)),$D191/(INDEX(Simulations!$G$3:$G$62,MATCH($A191,Simulations!$A$3:$A$62,0))*INDEX(Simulations!$H$3:$H$62,MATCH($A191,Simulations!$A$3:$A$62,0))*IF(INDEX(Simulations!$I$3:$I$62,MATCH($A191,Simulations!$A$3:$A$62,0))&gt;0,INDEX(Simulations!$I$3:$I$62,MATCH($A191,Simulations!$A$3:$A$62,0)),1))*INDEX(Simulations!$J$3:$J$62,MATCH($A191,Simulations!$A$3:$A$62,0))*IF(INDEX(Simulations!$I$3:$I$62,MATCH($A191,Simulations!$A$3:$A$62,0))&gt;0,2*PI()*INDEX(Simulations!$T$3:$T$62,MATCH($A191,Simulations!$A$3:$A$62,0))^2*INDEX(Simulations!$U$3:$U$62,MATCH($A191,Simulations!$A$3:$A$62,0))/2^1.5*(2/3*LN($F191/INDEX(Simulations!$J$3:$J$62,MATCH($A191,Simulations!$A$3:$A$62,0)))^1.5+SQRT(LN($F191/INDEX(Simulations!$J$3:$J$62,MATCH($A191,Simulations!$A$3:$A$62,0))))+$F191/INDEX(Simulations!$J$3:$J$62,MATCH($A191,Simulations!$A$3:$A$62,0))*SQRT(PI())/2*ERFC(SQRT(LN($F191/INDEX(Simulations!$J$3:$J$62,MATCH($A191,Simulations!$A$3:$A$62,0)))))),PI()*INDEX(Simulations!$T$3:$T$62,MATCH($A191,Simulations!$A$3:$A$62,0))^2/2*(LN($F191/INDEX(Simulations!$J$3:$J$62,MATCH($A191,Simulations!$A$3:$A$62,0)))+1)))))</f>
        <v/>
      </c>
      <c r="S191" s="16" t="str">
        <f aca="false">IF(OR($A191="",ISNA(MATCH($A191,Simulations!$A$3:$A$62,0))),"",IF(N($G191)&lt;=0,0,IF($G191&lt;INDEX(Simulations!$J$3:$J$62,MATCH($A191,Simulations!$A$3:$A$62,0)),$D191/(INDEX(Simulations!$G$3:$G$62,MATCH($A191,Simulations!$A$3:$A$62,0))*INDEX(Simulations!$H$3:$H$62,MATCH($A191,Simulations!$A$3:$A$62,0))*IF(INDEX(Simulations!$I$3:$I$62,MATCH($A191,Simulations!$A$3:$A$62,0))&gt;0,INDEX(Simulations!$I$3:$I$62,MATCH($A191,Simulations!$A$3:$A$62,0)),1))*$G191*(PI()/2*INDEX(Simulations!$T$3:$T$62,MATCH($A191,Simulations!$A$3:$A$62,0))^2*IF(INDEX(Simulations!$I$3:$I$62,MATCH($A191,Simulations!$A$3:$A$62,0))&gt;0,SQRT(PI()/2)*INDEX(Simulations!$U$3:$U$62,MATCH($A191,Simulations!$A$3:$A$62,0)),1)),$D191/(INDEX(Simulations!$G$3:$G$62,MATCH($A191,Simulations!$A$3:$A$62,0))*INDEX(Simulations!$H$3:$H$62,MATCH($A191,Simulations!$A$3:$A$62,0))*IF(INDEX(Simulations!$I$3:$I$62,MATCH($A191,Simulations!$A$3:$A$62,0))&gt;0,INDEX(Simulations!$I$3:$I$62,MATCH($A191,Simulations!$A$3:$A$62,0)),1))*INDEX(Simulations!$J$3:$J$62,MATCH($A191,Simulations!$A$3:$A$62,0))*IF(INDEX(Simulations!$I$3:$I$62,MATCH($A191,Simulations!$A$3:$A$62,0))&gt;0,2*PI()*INDEX(Simulations!$T$3:$T$62,MATCH($A191,Simulations!$A$3:$A$62,0))^2*INDEX(Simulations!$U$3:$U$62,MATCH($A191,Simulations!$A$3:$A$62,0))/2^1.5*(2/3*LN($G191/INDEX(Simulations!$J$3:$J$62,MATCH($A191,Simulations!$A$3:$A$62,0)))^1.5+SQRT(LN($G191/INDEX(Simulations!$J$3:$J$62,MATCH($A191,Simulations!$A$3:$A$62,0))))+$G191/INDEX(Simulations!$J$3:$J$62,MATCH($A191,Simulations!$A$3:$A$62,0))*SQRT(PI())/2*ERFC(SQRT(LN($G191/INDEX(Simulations!$J$3:$J$62,MATCH($A191,Simulations!$A$3:$A$62,0)))))),PI()*INDEX(Simulations!$T$3:$T$62,MATCH($A191,Simulations!$A$3:$A$62,0))^2/2*(LN($G191/INDEX(Simulations!$J$3:$J$62,MATCH($A191,Simulations!$A$3:$A$62,0)))+1)))))</f>
        <v/>
      </c>
      <c r="T191" s="16" t="str">
        <f aca="false">IF(OR($A191="",ISNA(MATCH($A191,Simulations!$A$3:$A$62,0))),"",IF(N($H191)&lt;=0,0,IF($H191&lt;INDEX(Simulations!$J$3:$J$62,MATCH($A191,Simulations!$A$3:$A$62,0)),$D191/(INDEX(Simulations!$G$3:$G$62,MATCH($A191,Simulations!$A$3:$A$62,0))*INDEX(Simulations!$H$3:$H$62,MATCH($A191,Simulations!$A$3:$A$62,0))*IF(INDEX(Simulations!$I$3:$I$62,MATCH($A191,Simulations!$A$3:$A$62,0))&gt;0,INDEX(Simulations!$I$3:$I$62,MATCH($A191,Simulations!$A$3:$A$62,0)),1))*$H191*(PI()/2*INDEX(Simulations!$T$3:$T$62,MATCH($A191,Simulations!$A$3:$A$62,0))^2*IF(INDEX(Simulations!$I$3:$I$62,MATCH($A191,Simulations!$A$3:$A$62,0))&gt;0,SQRT(PI()/2)*INDEX(Simulations!$U$3:$U$62,MATCH($A191,Simulations!$A$3:$A$62,0)),1)),$D191/(INDEX(Simulations!$G$3:$G$62,MATCH($A191,Simulations!$A$3:$A$62,0))*INDEX(Simulations!$H$3:$H$62,MATCH($A191,Simulations!$A$3:$A$62,0))*IF(INDEX(Simulations!$I$3:$I$62,MATCH($A191,Simulations!$A$3:$A$62,0))&gt;0,INDEX(Simulations!$I$3:$I$62,MATCH($A191,Simulations!$A$3:$A$62,0)),1))*INDEX(Simulations!$J$3:$J$62,MATCH($A191,Simulations!$A$3:$A$62,0))*IF(INDEX(Simulations!$I$3:$I$62,MATCH($A191,Simulations!$A$3:$A$62,0))&gt;0,2*PI()*INDEX(Simulations!$T$3:$T$62,MATCH($A191,Simulations!$A$3:$A$62,0))^2*INDEX(Simulations!$U$3:$U$62,MATCH($A191,Simulations!$A$3:$A$62,0))/2^1.5*(2/3*LN($H191/INDEX(Simulations!$J$3:$J$62,MATCH($A191,Simulations!$A$3:$A$62,0)))^1.5+SQRT(LN($H191/INDEX(Simulations!$J$3:$J$62,MATCH($A191,Simulations!$A$3:$A$62,0))))+$H191/INDEX(Simulations!$J$3:$J$62,MATCH($A191,Simulations!$A$3:$A$62,0))*SQRT(PI())/2*ERFC(SQRT(LN($H191/INDEX(Simulations!$J$3:$J$62,MATCH($A191,Simulations!$A$3:$A$62,0)))))),PI()*INDEX(Simulations!$T$3:$T$62,MATCH($A191,Simulations!$A$3:$A$62,0))^2/2*(LN($H191/INDEX(Simulations!$J$3:$J$62,MATCH($A191,Simulations!$A$3:$A$62,0)))+1)))))</f>
        <v/>
      </c>
      <c r="U191" s="18" t="str">
        <f aca="false">IF(OR(OR($A191="",ISNA(MATCH($A191,Simulations!$A$3:$A$62,0))),N($C191)&lt;=0),"",SQRT(2*$C191*1000000/(INDEX(Simulations!$J$3:$J$62,MATCH($A191,Simulations!$A$3:$A$62,0))*1000))/INDEX(Simulations!$T$3:$T$62,MATCH($A191,Simulations!$A$3:$A$62,0)))</f>
        <v/>
      </c>
      <c r="V191" s="19" t="str">
        <f aca="false">IF($A191="","",IF(ISNA(MATCH($A191,Simulations!$A$3:$A$62,0)),"✖ Sim ID not found on the Simulations sheet",IF($P191&gt;=1,"✖ brightness &gt;= sampling frequency: completely saturated (D too small, c too large)",IF($P191&gt;0.1,"⚠ brightness &gt; 10% of the sampling frequency: focus starts to saturate",IF(N($U191)&gt;0.1,"⚠ diffusion step &gt; 10% of wr: raise the sampling frequency",IF(MAX($E191:$H191)=0,"⚠ no brightness set","✔ OK"))))))</f>
        <v/>
      </c>
    </row>
    <row r="192" customFormat="false" ht="15" hidden="false" customHeight="false" outlineLevel="0" collapsed="false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4"/>
      <c r="O192" s="18" t="str">
        <f aca="false">IF(OR($A192="",ISNA(MATCH($A192,Simulations!$A$3:$A$62,0))),"",IF(INDEX(Simulations!$I$3:$I$62,MATCH($A192,Simulations!$A$3:$A$62,0))&gt;0,$D192/(INDEX(Simulations!$G$3:$G$62,MATCH($A192,Simulations!$A$3:$A$62,0))*INDEX(Simulations!$H$3:$H$62,MATCH($A192,Simulations!$A$3:$A$62,0))*IF(INDEX(Simulations!$I$3:$I$62,MATCH($A192,Simulations!$A$3:$A$62,0))&gt;0,INDEX(Simulations!$I$3:$I$62,MATCH($A192,Simulations!$A$3:$A$62,0)),1))/1E-024/6.022E+023/0.000000001,""))</f>
        <v/>
      </c>
      <c r="P192" s="20" t="str">
        <f aca="false">IF(OR($A192="",ISNA(MATCH($A192,Simulations!$A$3:$A$62,0))),"",MAX($E192:$H192)/INDEX(Simulations!$J$3:$J$62,MATCH($A192,Simulations!$A$3:$A$62,0)))</f>
        <v/>
      </c>
      <c r="Q192" s="16" t="str">
        <f aca="false">IF(OR($A192="",ISNA(MATCH($A192,Simulations!$A$3:$A$62,0))),"",IF(N($E192)&lt;=0,0,IF($E192&lt;INDEX(Simulations!$J$3:$J$62,MATCH($A192,Simulations!$A$3:$A$62,0)),$D192/(INDEX(Simulations!$G$3:$G$62,MATCH($A192,Simulations!$A$3:$A$62,0))*INDEX(Simulations!$H$3:$H$62,MATCH($A192,Simulations!$A$3:$A$62,0))*IF(INDEX(Simulations!$I$3:$I$62,MATCH($A192,Simulations!$A$3:$A$62,0))&gt;0,INDEX(Simulations!$I$3:$I$62,MATCH($A192,Simulations!$A$3:$A$62,0)),1))*$E192*(PI()/2*INDEX(Simulations!$T$3:$T$62,MATCH($A192,Simulations!$A$3:$A$62,0))^2*IF(INDEX(Simulations!$I$3:$I$62,MATCH($A192,Simulations!$A$3:$A$62,0))&gt;0,SQRT(PI()/2)*INDEX(Simulations!$U$3:$U$62,MATCH($A192,Simulations!$A$3:$A$62,0)),1)),$D192/(INDEX(Simulations!$G$3:$G$62,MATCH($A192,Simulations!$A$3:$A$62,0))*INDEX(Simulations!$H$3:$H$62,MATCH($A192,Simulations!$A$3:$A$62,0))*IF(INDEX(Simulations!$I$3:$I$62,MATCH($A192,Simulations!$A$3:$A$62,0))&gt;0,INDEX(Simulations!$I$3:$I$62,MATCH($A192,Simulations!$A$3:$A$62,0)),1))*INDEX(Simulations!$J$3:$J$62,MATCH($A192,Simulations!$A$3:$A$62,0))*IF(INDEX(Simulations!$I$3:$I$62,MATCH($A192,Simulations!$A$3:$A$62,0))&gt;0,2*PI()*INDEX(Simulations!$T$3:$T$62,MATCH($A192,Simulations!$A$3:$A$62,0))^2*INDEX(Simulations!$U$3:$U$62,MATCH($A192,Simulations!$A$3:$A$62,0))/2^1.5*(2/3*LN($E192/INDEX(Simulations!$J$3:$J$62,MATCH($A192,Simulations!$A$3:$A$62,0)))^1.5+SQRT(LN($E192/INDEX(Simulations!$J$3:$J$62,MATCH($A192,Simulations!$A$3:$A$62,0))))+$E192/INDEX(Simulations!$J$3:$J$62,MATCH($A192,Simulations!$A$3:$A$62,0))*SQRT(PI())/2*ERFC(SQRT(LN($E192/INDEX(Simulations!$J$3:$J$62,MATCH($A192,Simulations!$A$3:$A$62,0)))))),PI()*INDEX(Simulations!$T$3:$T$62,MATCH($A192,Simulations!$A$3:$A$62,0))^2/2*(LN($E192/INDEX(Simulations!$J$3:$J$62,MATCH($A192,Simulations!$A$3:$A$62,0)))+1)))))</f>
        <v/>
      </c>
      <c r="R192" s="16" t="str">
        <f aca="false">IF(OR($A192="",ISNA(MATCH($A192,Simulations!$A$3:$A$62,0))),"",IF(N($F192)&lt;=0,0,IF($F192&lt;INDEX(Simulations!$J$3:$J$62,MATCH($A192,Simulations!$A$3:$A$62,0)),$D192/(INDEX(Simulations!$G$3:$G$62,MATCH($A192,Simulations!$A$3:$A$62,0))*INDEX(Simulations!$H$3:$H$62,MATCH($A192,Simulations!$A$3:$A$62,0))*IF(INDEX(Simulations!$I$3:$I$62,MATCH($A192,Simulations!$A$3:$A$62,0))&gt;0,INDEX(Simulations!$I$3:$I$62,MATCH($A192,Simulations!$A$3:$A$62,0)),1))*$F192*(PI()/2*INDEX(Simulations!$T$3:$T$62,MATCH($A192,Simulations!$A$3:$A$62,0))^2*IF(INDEX(Simulations!$I$3:$I$62,MATCH($A192,Simulations!$A$3:$A$62,0))&gt;0,SQRT(PI()/2)*INDEX(Simulations!$U$3:$U$62,MATCH($A192,Simulations!$A$3:$A$62,0)),1)),$D192/(INDEX(Simulations!$G$3:$G$62,MATCH($A192,Simulations!$A$3:$A$62,0))*INDEX(Simulations!$H$3:$H$62,MATCH($A192,Simulations!$A$3:$A$62,0))*IF(INDEX(Simulations!$I$3:$I$62,MATCH($A192,Simulations!$A$3:$A$62,0))&gt;0,INDEX(Simulations!$I$3:$I$62,MATCH($A192,Simulations!$A$3:$A$62,0)),1))*INDEX(Simulations!$J$3:$J$62,MATCH($A192,Simulations!$A$3:$A$62,0))*IF(INDEX(Simulations!$I$3:$I$62,MATCH($A192,Simulations!$A$3:$A$62,0))&gt;0,2*PI()*INDEX(Simulations!$T$3:$T$62,MATCH($A192,Simulations!$A$3:$A$62,0))^2*INDEX(Simulations!$U$3:$U$62,MATCH($A192,Simulations!$A$3:$A$62,0))/2^1.5*(2/3*LN($F192/INDEX(Simulations!$J$3:$J$62,MATCH($A192,Simulations!$A$3:$A$62,0)))^1.5+SQRT(LN($F192/INDEX(Simulations!$J$3:$J$62,MATCH($A192,Simulations!$A$3:$A$62,0))))+$F192/INDEX(Simulations!$J$3:$J$62,MATCH($A192,Simulations!$A$3:$A$62,0))*SQRT(PI())/2*ERFC(SQRT(LN($F192/INDEX(Simulations!$J$3:$J$62,MATCH($A192,Simulations!$A$3:$A$62,0)))))),PI()*INDEX(Simulations!$T$3:$T$62,MATCH($A192,Simulations!$A$3:$A$62,0))^2/2*(LN($F192/INDEX(Simulations!$J$3:$J$62,MATCH($A192,Simulations!$A$3:$A$62,0)))+1)))))</f>
        <v/>
      </c>
      <c r="S192" s="16" t="str">
        <f aca="false">IF(OR($A192="",ISNA(MATCH($A192,Simulations!$A$3:$A$62,0))),"",IF(N($G192)&lt;=0,0,IF($G192&lt;INDEX(Simulations!$J$3:$J$62,MATCH($A192,Simulations!$A$3:$A$62,0)),$D192/(INDEX(Simulations!$G$3:$G$62,MATCH($A192,Simulations!$A$3:$A$62,0))*INDEX(Simulations!$H$3:$H$62,MATCH($A192,Simulations!$A$3:$A$62,0))*IF(INDEX(Simulations!$I$3:$I$62,MATCH($A192,Simulations!$A$3:$A$62,0))&gt;0,INDEX(Simulations!$I$3:$I$62,MATCH($A192,Simulations!$A$3:$A$62,0)),1))*$G192*(PI()/2*INDEX(Simulations!$T$3:$T$62,MATCH($A192,Simulations!$A$3:$A$62,0))^2*IF(INDEX(Simulations!$I$3:$I$62,MATCH($A192,Simulations!$A$3:$A$62,0))&gt;0,SQRT(PI()/2)*INDEX(Simulations!$U$3:$U$62,MATCH($A192,Simulations!$A$3:$A$62,0)),1)),$D192/(INDEX(Simulations!$G$3:$G$62,MATCH($A192,Simulations!$A$3:$A$62,0))*INDEX(Simulations!$H$3:$H$62,MATCH($A192,Simulations!$A$3:$A$62,0))*IF(INDEX(Simulations!$I$3:$I$62,MATCH($A192,Simulations!$A$3:$A$62,0))&gt;0,INDEX(Simulations!$I$3:$I$62,MATCH($A192,Simulations!$A$3:$A$62,0)),1))*INDEX(Simulations!$J$3:$J$62,MATCH($A192,Simulations!$A$3:$A$62,0))*IF(INDEX(Simulations!$I$3:$I$62,MATCH($A192,Simulations!$A$3:$A$62,0))&gt;0,2*PI()*INDEX(Simulations!$T$3:$T$62,MATCH($A192,Simulations!$A$3:$A$62,0))^2*INDEX(Simulations!$U$3:$U$62,MATCH($A192,Simulations!$A$3:$A$62,0))/2^1.5*(2/3*LN($G192/INDEX(Simulations!$J$3:$J$62,MATCH($A192,Simulations!$A$3:$A$62,0)))^1.5+SQRT(LN($G192/INDEX(Simulations!$J$3:$J$62,MATCH($A192,Simulations!$A$3:$A$62,0))))+$G192/INDEX(Simulations!$J$3:$J$62,MATCH($A192,Simulations!$A$3:$A$62,0))*SQRT(PI())/2*ERFC(SQRT(LN($G192/INDEX(Simulations!$J$3:$J$62,MATCH($A192,Simulations!$A$3:$A$62,0)))))),PI()*INDEX(Simulations!$T$3:$T$62,MATCH($A192,Simulations!$A$3:$A$62,0))^2/2*(LN($G192/INDEX(Simulations!$J$3:$J$62,MATCH($A192,Simulations!$A$3:$A$62,0)))+1)))))</f>
        <v/>
      </c>
      <c r="T192" s="16" t="str">
        <f aca="false">IF(OR($A192="",ISNA(MATCH($A192,Simulations!$A$3:$A$62,0))),"",IF(N($H192)&lt;=0,0,IF($H192&lt;INDEX(Simulations!$J$3:$J$62,MATCH($A192,Simulations!$A$3:$A$62,0)),$D192/(INDEX(Simulations!$G$3:$G$62,MATCH($A192,Simulations!$A$3:$A$62,0))*INDEX(Simulations!$H$3:$H$62,MATCH($A192,Simulations!$A$3:$A$62,0))*IF(INDEX(Simulations!$I$3:$I$62,MATCH($A192,Simulations!$A$3:$A$62,0))&gt;0,INDEX(Simulations!$I$3:$I$62,MATCH($A192,Simulations!$A$3:$A$62,0)),1))*$H192*(PI()/2*INDEX(Simulations!$T$3:$T$62,MATCH($A192,Simulations!$A$3:$A$62,0))^2*IF(INDEX(Simulations!$I$3:$I$62,MATCH($A192,Simulations!$A$3:$A$62,0))&gt;0,SQRT(PI()/2)*INDEX(Simulations!$U$3:$U$62,MATCH($A192,Simulations!$A$3:$A$62,0)),1)),$D192/(INDEX(Simulations!$G$3:$G$62,MATCH($A192,Simulations!$A$3:$A$62,0))*INDEX(Simulations!$H$3:$H$62,MATCH($A192,Simulations!$A$3:$A$62,0))*IF(INDEX(Simulations!$I$3:$I$62,MATCH($A192,Simulations!$A$3:$A$62,0))&gt;0,INDEX(Simulations!$I$3:$I$62,MATCH($A192,Simulations!$A$3:$A$62,0)),1))*INDEX(Simulations!$J$3:$J$62,MATCH($A192,Simulations!$A$3:$A$62,0))*IF(INDEX(Simulations!$I$3:$I$62,MATCH($A192,Simulations!$A$3:$A$62,0))&gt;0,2*PI()*INDEX(Simulations!$T$3:$T$62,MATCH($A192,Simulations!$A$3:$A$62,0))^2*INDEX(Simulations!$U$3:$U$62,MATCH($A192,Simulations!$A$3:$A$62,0))/2^1.5*(2/3*LN($H192/INDEX(Simulations!$J$3:$J$62,MATCH($A192,Simulations!$A$3:$A$62,0)))^1.5+SQRT(LN($H192/INDEX(Simulations!$J$3:$J$62,MATCH($A192,Simulations!$A$3:$A$62,0))))+$H192/INDEX(Simulations!$J$3:$J$62,MATCH($A192,Simulations!$A$3:$A$62,0))*SQRT(PI())/2*ERFC(SQRT(LN($H192/INDEX(Simulations!$J$3:$J$62,MATCH($A192,Simulations!$A$3:$A$62,0)))))),PI()*INDEX(Simulations!$T$3:$T$62,MATCH($A192,Simulations!$A$3:$A$62,0))^2/2*(LN($H192/INDEX(Simulations!$J$3:$J$62,MATCH($A192,Simulations!$A$3:$A$62,0)))+1)))))</f>
        <v/>
      </c>
      <c r="U192" s="18" t="str">
        <f aca="false">IF(OR(OR($A192="",ISNA(MATCH($A192,Simulations!$A$3:$A$62,0))),N($C192)&lt;=0),"",SQRT(2*$C192*1000000/(INDEX(Simulations!$J$3:$J$62,MATCH($A192,Simulations!$A$3:$A$62,0))*1000))/INDEX(Simulations!$T$3:$T$62,MATCH($A192,Simulations!$A$3:$A$62,0)))</f>
        <v/>
      </c>
      <c r="V192" s="19" t="str">
        <f aca="false">IF($A192="","",IF(ISNA(MATCH($A192,Simulations!$A$3:$A$62,0)),"✖ Sim ID not found on the Simulations sheet",IF($P192&gt;=1,"✖ brightness &gt;= sampling frequency: completely saturated (D too small, c too large)",IF($P192&gt;0.1,"⚠ brightness &gt; 10% of the sampling frequency: focus starts to saturate",IF(N($U192)&gt;0.1,"⚠ diffusion step &gt; 10% of wr: raise the sampling frequency",IF(MAX($E192:$H192)=0,"⚠ no brightness set","✔ OK"))))))</f>
        <v/>
      </c>
    </row>
    <row r="193" customFormat="false" ht="15" hidden="false" customHeight="false" outlineLevel="0" collapsed="false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4"/>
      <c r="O193" s="18" t="str">
        <f aca="false">IF(OR($A193="",ISNA(MATCH($A193,Simulations!$A$3:$A$62,0))),"",IF(INDEX(Simulations!$I$3:$I$62,MATCH($A193,Simulations!$A$3:$A$62,0))&gt;0,$D193/(INDEX(Simulations!$G$3:$G$62,MATCH($A193,Simulations!$A$3:$A$62,0))*INDEX(Simulations!$H$3:$H$62,MATCH($A193,Simulations!$A$3:$A$62,0))*IF(INDEX(Simulations!$I$3:$I$62,MATCH($A193,Simulations!$A$3:$A$62,0))&gt;0,INDEX(Simulations!$I$3:$I$62,MATCH($A193,Simulations!$A$3:$A$62,0)),1))/1E-024/6.022E+023/0.000000001,""))</f>
        <v/>
      </c>
      <c r="P193" s="20" t="str">
        <f aca="false">IF(OR($A193="",ISNA(MATCH($A193,Simulations!$A$3:$A$62,0))),"",MAX($E193:$H193)/INDEX(Simulations!$J$3:$J$62,MATCH($A193,Simulations!$A$3:$A$62,0)))</f>
        <v/>
      </c>
      <c r="Q193" s="16" t="str">
        <f aca="false">IF(OR($A193="",ISNA(MATCH($A193,Simulations!$A$3:$A$62,0))),"",IF(N($E193)&lt;=0,0,IF($E193&lt;INDEX(Simulations!$J$3:$J$62,MATCH($A193,Simulations!$A$3:$A$62,0)),$D193/(INDEX(Simulations!$G$3:$G$62,MATCH($A193,Simulations!$A$3:$A$62,0))*INDEX(Simulations!$H$3:$H$62,MATCH($A193,Simulations!$A$3:$A$62,0))*IF(INDEX(Simulations!$I$3:$I$62,MATCH($A193,Simulations!$A$3:$A$62,0))&gt;0,INDEX(Simulations!$I$3:$I$62,MATCH($A193,Simulations!$A$3:$A$62,0)),1))*$E193*(PI()/2*INDEX(Simulations!$T$3:$T$62,MATCH($A193,Simulations!$A$3:$A$62,0))^2*IF(INDEX(Simulations!$I$3:$I$62,MATCH($A193,Simulations!$A$3:$A$62,0))&gt;0,SQRT(PI()/2)*INDEX(Simulations!$U$3:$U$62,MATCH($A193,Simulations!$A$3:$A$62,0)),1)),$D193/(INDEX(Simulations!$G$3:$G$62,MATCH($A193,Simulations!$A$3:$A$62,0))*INDEX(Simulations!$H$3:$H$62,MATCH($A193,Simulations!$A$3:$A$62,0))*IF(INDEX(Simulations!$I$3:$I$62,MATCH($A193,Simulations!$A$3:$A$62,0))&gt;0,INDEX(Simulations!$I$3:$I$62,MATCH($A193,Simulations!$A$3:$A$62,0)),1))*INDEX(Simulations!$J$3:$J$62,MATCH($A193,Simulations!$A$3:$A$62,0))*IF(INDEX(Simulations!$I$3:$I$62,MATCH($A193,Simulations!$A$3:$A$62,0))&gt;0,2*PI()*INDEX(Simulations!$T$3:$T$62,MATCH($A193,Simulations!$A$3:$A$62,0))^2*INDEX(Simulations!$U$3:$U$62,MATCH($A193,Simulations!$A$3:$A$62,0))/2^1.5*(2/3*LN($E193/INDEX(Simulations!$J$3:$J$62,MATCH($A193,Simulations!$A$3:$A$62,0)))^1.5+SQRT(LN($E193/INDEX(Simulations!$J$3:$J$62,MATCH($A193,Simulations!$A$3:$A$62,0))))+$E193/INDEX(Simulations!$J$3:$J$62,MATCH($A193,Simulations!$A$3:$A$62,0))*SQRT(PI())/2*ERFC(SQRT(LN($E193/INDEX(Simulations!$J$3:$J$62,MATCH($A193,Simulations!$A$3:$A$62,0)))))),PI()*INDEX(Simulations!$T$3:$T$62,MATCH($A193,Simulations!$A$3:$A$62,0))^2/2*(LN($E193/INDEX(Simulations!$J$3:$J$62,MATCH($A193,Simulations!$A$3:$A$62,0)))+1)))))</f>
        <v/>
      </c>
      <c r="R193" s="16" t="str">
        <f aca="false">IF(OR($A193="",ISNA(MATCH($A193,Simulations!$A$3:$A$62,0))),"",IF(N($F193)&lt;=0,0,IF($F193&lt;INDEX(Simulations!$J$3:$J$62,MATCH($A193,Simulations!$A$3:$A$62,0)),$D193/(INDEX(Simulations!$G$3:$G$62,MATCH($A193,Simulations!$A$3:$A$62,0))*INDEX(Simulations!$H$3:$H$62,MATCH($A193,Simulations!$A$3:$A$62,0))*IF(INDEX(Simulations!$I$3:$I$62,MATCH($A193,Simulations!$A$3:$A$62,0))&gt;0,INDEX(Simulations!$I$3:$I$62,MATCH($A193,Simulations!$A$3:$A$62,0)),1))*$F193*(PI()/2*INDEX(Simulations!$T$3:$T$62,MATCH($A193,Simulations!$A$3:$A$62,0))^2*IF(INDEX(Simulations!$I$3:$I$62,MATCH($A193,Simulations!$A$3:$A$62,0))&gt;0,SQRT(PI()/2)*INDEX(Simulations!$U$3:$U$62,MATCH($A193,Simulations!$A$3:$A$62,0)),1)),$D193/(INDEX(Simulations!$G$3:$G$62,MATCH($A193,Simulations!$A$3:$A$62,0))*INDEX(Simulations!$H$3:$H$62,MATCH($A193,Simulations!$A$3:$A$62,0))*IF(INDEX(Simulations!$I$3:$I$62,MATCH($A193,Simulations!$A$3:$A$62,0))&gt;0,INDEX(Simulations!$I$3:$I$62,MATCH($A193,Simulations!$A$3:$A$62,0)),1))*INDEX(Simulations!$J$3:$J$62,MATCH($A193,Simulations!$A$3:$A$62,0))*IF(INDEX(Simulations!$I$3:$I$62,MATCH($A193,Simulations!$A$3:$A$62,0))&gt;0,2*PI()*INDEX(Simulations!$T$3:$T$62,MATCH($A193,Simulations!$A$3:$A$62,0))^2*INDEX(Simulations!$U$3:$U$62,MATCH($A193,Simulations!$A$3:$A$62,0))/2^1.5*(2/3*LN($F193/INDEX(Simulations!$J$3:$J$62,MATCH($A193,Simulations!$A$3:$A$62,0)))^1.5+SQRT(LN($F193/INDEX(Simulations!$J$3:$J$62,MATCH($A193,Simulations!$A$3:$A$62,0))))+$F193/INDEX(Simulations!$J$3:$J$62,MATCH($A193,Simulations!$A$3:$A$62,0))*SQRT(PI())/2*ERFC(SQRT(LN($F193/INDEX(Simulations!$J$3:$J$62,MATCH($A193,Simulations!$A$3:$A$62,0)))))),PI()*INDEX(Simulations!$T$3:$T$62,MATCH($A193,Simulations!$A$3:$A$62,0))^2/2*(LN($F193/INDEX(Simulations!$J$3:$J$62,MATCH($A193,Simulations!$A$3:$A$62,0)))+1)))))</f>
        <v/>
      </c>
      <c r="S193" s="16" t="str">
        <f aca="false">IF(OR($A193="",ISNA(MATCH($A193,Simulations!$A$3:$A$62,0))),"",IF(N($G193)&lt;=0,0,IF($G193&lt;INDEX(Simulations!$J$3:$J$62,MATCH($A193,Simulations!$A$3:$A$62,0)),$D193/(INDEX(Simulations!$G$3:$G$62,MATCH($A193,Simulations!$A$3:$A$62,0))*INDEX(Simulations!$H$3:$H$62,MATCH($A193,Simulations!$A$3:$A$62,0))*IF(INDEX(Simulations!$I$3:$I$62,MATCH($A193,Simulations!$A$3:$A$62,0))&gt;0,INDEX(Simulations!$I$3:$I$62,MATCH($A193,Simulations!$A$3:$A$62,0)),1))*$G193*(PI()/2*INDEX(Simulations!$T$3:$T$62,MATCH($A193,Simulations!$A$3:$A$62,0))^2*IF(INDEX(Simulations!$I$3:$I$62,MATCH($A193,Simulations!$A$3:$A$62,0))&gt;0,SQRT(PI()/2)*INDEX(Simulations!$U$3:$U$62,MATCH($A193,Simulations!$A$3:$A$62,0)),1)),$D193/(INDEX(Simulations!$G$3:$G$62,MATCH($A193,Simulations!$A$3:$A$62,0))*INDEX(Simulations!$H$3:$H$62,MATCH($A193,Simulations!$A$3:$A$62,0))*IF(INDEX(Simulations!$I$3:$I$62,MATCH($A193,Simulations!$A$3:$A$62,0))&gt;0,INDEX(Simulations!$I$3:$I$62,MATCH($A193,Simulations!$A$3:$A$62,0)),1))*INDEX(Simulations!$J$3:$J$62,MATCH($A193,Simulations!$A$3:$A$62,0))*IF(INDEX(Simulations!$I$3:$I$62,MATCH($A193,Simulations!$A$3:$A$62,0))&gt;0,2*PI()*INDEX(Simulations!$T$3:$T$62,MATCH($A193,Simulations!$A$3:$A$62,0))^2*INDEX(Simulations!$U$3:$U$62,MATCH($A193,Simulations!$A$3:$A$62,0))/2^1.5*(2/3*LN($G193/INDEX(Simulations!$J$3:$J$62,MATCH($A193,Simulations!$A$3:$A$62,0)))^1.5+SQRT(LN($G193/INDEX(Simulations!$J$3:$J$62,MATCH($A193,Simulations!$A$3:$A$62,0))))+$G193/INDEX(Simulations!$J$3:$J$62,MATCH($A193,Simulations!$A$3:$A$62,0))*SQRT(PI())/2*ERFC(SQRT(LN($G193/INDEX(Simulations!$J$3:$J$62,MATCH($A193,Simulations!$A$3:$A$62,0)))))),PI()*INDEX(Simulations!$T$3:$T$62,MATCH($A193,Simulations!$A$3:$A$62,0))^2/2*(LN($G193/INDEX(Simulations!$J$3:$J$62,MATCH($A193,Simulations!$A$3:$A$62,0)))+1)))))</f>
        <v/>
      </c>
      <c r="T193" s="16" t="str">
        <f aca="false">IF(OR($A193="",ISNA(MATCH($A193,Simulations!$A$3:$A$62,0))),"",IF(N($H193)&lt;=0,0,IF($H193&lt;INDEX(Simulations!$J$3:$J$62,MATCH($A193,Simulations!$A$3:$A$62,0)),$D193/(INDEX(Simulations!$G$3:$G$62,MATCH($A193,Simulations!$A$3:$A$62,0))*INDEX(Simulations!$H$3:$H$62,MATCH($A193,Simulations!$A$3:$A$62,0))*IF(INDEX(Simulations!$I$3:$I$62,MATCH($A193,Simulations!$A$3:$A$62,0))&gt;0,INDEX(Simulations!$I$3:$I$62,MATCH($A193,Simulations!$A$3:$A$62,0)),1))*$H193*(PI()/2*INDEX(Simulations!$T$3:$T$62,MATCH($A193,Simulations!$A$3:$A$62,0))^2*IF(INDEX(Simulations!$I$3:$I$62,MATCH($A193,Simulations!$A$3:$A$62,0))&gt;0,SQRT(PI()/2)*INDEX(Simulations!$U$3:$U$62,MATCH($A193,Simulations!$A$3:$A$62,0)),1)),$D193/(INDEX(Simulations!$G$3:$G$62,MATCH($A193,Simulations!$A$3:$A$62,0))*INDEX(Simulations!$H$3:$H$62,MATCH($A193,Simulations!$A$3:$A$62,0))*IF(INDEX(Simulations!$I$3:$I$62,MATCH($A193,Simulations!$A$3:$A$62,0))&gt;0,INDEX(Simulations!$I$3:$I$62,MATCH($A193,Simulations!$A$3:$A$62,0)),1))*INDEX(Simulations!$J$3:$J$62,MATCH($A193,Simulations!$A$3:$A$62,0))*IF(INDEX(Simulations!$I$3:$I$62,MATCH($A193,Simulations!$A$3:$A$62,0))&gt;0,2*PI()*INDEX(Simulations!$T$3:$T$62,MATCH($A193,Simulations!$A$3:$A$62,0))^2*INDEX(Simulations!$U$3:$U$62,MATCH($A193,Simulations!$A$3:$A$62,0))/2^1.5*(2/3*LN($H193/INDEX(Simulations!$J$3:$J$62,MATCH($A193,Simulations!$A$3:$A$62,0)))^1.5+SQRT(LN($H193/INDEX(Simulations!$J$3:$J$62,MATCH($A193,Simulations!$A$3:$A$62,0))))+$H193/INDEX(Simulations!$J$3:$J$62,MATCH($A193,Simulations!$A$3:$A$62,0))*SQRT(PI())/2*ERFC(SQRT(LN($H193/INDEX(Simulations!$J$3:$J$62,MATCH($A193,Simulations!$A$3:$A$62,0)))))),PI()*INDEX(Simulations!$T$3:$T$62,MATCH($A193,Simulations!$A$3:$A$62,0))^2/2*(LN($H193/INDEX(Simulations!$J$3:$J$62,MATCH($A193,Simulations!$A$3:$A$62,0)))+1)))))</f>
        <v/>
      </c>
      <c r="U193" s="18" t="str">
        <f aca="false">IF(OR(OR($A193="",ISNA(MATCH($A193,Simulations!$A$3:$A$62,0))),N($C193)&lt;=0),"",SQRT(2*$C193*1000000/(INDEX(Simulations!$J$3:$J$62,MATCH($A193,Simulations!$A$3:$A$62,0))*1000))/INDEX(Simulations!$T$3:$T$62,MATCH($A193,Simulations!$A$3:$A$62,0)))</f>
        <v/>
      </c>
      <c r="V193" s="19" t="str">
        <f aca="false">IF($A193="","",IF(ISNA(MATCH($A193,Simulations!$A$3:$A$62,0)),"✖ Sim ID not found on the Simulations sheet",IF($P193&gt;=1,"✖ brightness &gt;= sampling frequency: completely saturated (D too small, c too large)",IF($P193&gt;0.1,"⚠ brightness &gt; 10% of the sampling frequency: focus starts to saturate",IF(N($U193)&gt;0.1,"⚠ diffusion step &gt; 10% of wr: raise the sampling frequency",IF(MAX($E193:$H193)=0,"⚠ no brightness set","✔ OK"))))))</f>
        <v/>
      </c>
    </row>
    <row r="194" customFormat="false" ht="15" hidden="false" customHeight="false" outlineLevel="0" collapsed="false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4"/>
      <c r="O194" s="18" t="str">
        <f aca="false">IF(OR($A194="",ISNA(MATCH($A194,Simulations!$A$3:$A$62,0))),"",IF(INDEX(Simulations!$I$3:$I$62,MATCH($A194,Simulations!$A$3:$A$62,0))&gt;0,$D194/(INDEX(Simulations!$G$3:$G$62,MATCH($A194,Simulations!$A$3:$A$62,0))*INDEX(Simulations!$H$3:$H$62,MATCH($A194,Simulations!$A$3:$A$62,0))*IF(INDEX(Simulations!$I$3:$I$62,MATCH($A194,Simulations!$A$3:$A$62,0))&gt;0,INDEX(Simulations!$I$3:$I$62,MATCH($A194,Simulations!$A$3:$A$62,0)),1))/1E-024/6.022E+023/0.000000001,""))</f>
        <v/>
      </c>
      <c r="P194" s="20" t="str">
        <f aca="false">IF(OR($A194="",ISNA(MATCH($A194,Simulations!$A$3:$A$62,0))),"",MAX($E194:$H194)/INDEX(Simulations!$J$3:$J$62,MATCH($A194,Simulations!$A$3:$A$62,0)))</f>
        <v/>
      </c>
      <c r="Q194" s="16" t="str">
        <f aca="false">IF(OR($A194="",ISNA(MATCH($A194,Simulations!$A$3:$A$62,0))),"",IF(N($E194)&lt;=0,0,IF($E194&lt;INDEX(Simulations!$J$3:$J$62,MATCH($A194,Simulations!$A$3:$A$62,0)),$D194/(INDEX(Simulations!$G$3:$G$62,MATCH($A194,Simulations!$A$3:$A$62,0))*INDEX(Simulations!$H$3:$H$62,MATCH($A194,Simulations!$A$3:$A$62,0))*IF(INDEX(Simulations!$I$3:$I$62,MATCH($A194,Simulations!$A$3:$A$62,0))&gt;0,INDEX(Simulations!$I$3:$I$62,MATCH($A194,Simulations!$A$3:$A$62,0)),1))*$E194*(PI()/2*INDEX(Simulations!$T$3:$T$62,MATCH($A194,Simulations!$A$3:$A$62,0))^2*IF(INDEX(Simulations!$I$3:$I$62,MATCH($A194,Simulations!$A$3:$A$62,0))&gt;0,SQRT(PI()/2)*INDEX(Simulations!$U$3:$U$62,MATCH($A194,Simulations!$A$3:$A$62,0)),1)),$D194/(INDEX(Simulations!$G$3:$G$62,MATCH($A194,Simulations!$A$3:$A$62,0))*INDEX(Simulations!$H$3:$H$62,MATCH($A194,Simulations!$A$3:$A$62,0))*IF(INDEX(Simulations!$I$3:$I$62,MATCH($A194,Simulations!$A$3:$A$62,0))&gt;0,INDEX(Simulations!$I$3:$I$62,MATCH($A194,Simulations!$A$3:$A$62,0)),1))*INDEX(Simulations!$J$3:$J$62,MATCH($A194,Simulations!$A$3:$A$62,0))*IF(INDEX(Simulations!$I$3:$I$62,MATCH($A194,Simulations!$A$3:$A$62,0))&gt;0,2*PI()*INDEX(Simulations!$T$3:$T$62,MATCH($A194,Simulations!$A$3:$A$62,0))^2*INDEX(Simulations!$U$3:$U$62,MATCH($A194,Simulations!$A$3:$A$62,0))/2^1.5*(2/3*LN($E194/INDEX(Simulations!$J$3:$J$62,MATCH($A194,Simulations!$A$3:$A$62,0)))^1.5+SQRT(LN($E194/INDEX(Simulations!$J$3:$J$62,MATCH($A194,Simulations!$A$3:$A$62,0))))+$E194/INDEX(Simulations!$J$3:$J$62,MATCH($A194,Simulations!$A$3:$A$62,0))*SQRT(PI())/2*ERFC(SQRT(LN($E194/INDEX(Simulations!$J$3:$J$62,MATCH($A194,Simulations!$A$3:$A$62,0)))))),PI()*INDEX(Simulations!$T$3:$T$62,MATCH($A194,Simulations!$A$3:$A$62,0))^2/2*(LN($E194/INDEX(Simulations!$J$3:$J$62,MATCH($A194,Simulations!$A$3:$A$62,0)))+1)))))</f>
        <v/>
      </c>
      <c r="R194" s="16" t="str">
        <f aca="false">IF(OR($A194="",ISNA(MATCH($A194,Simulations!$A$3:$A$62,0))),"",IF(N($F194)&lt;=0,0,IF($F194&lt;INDEX(Simulations!$J$3:$J$62,MATCH($A194,Simulations!$A$3:$A$62,0)),$D194/(INDEX(Simulations!$G$3:$G$62,MATCH($A194,Simulations!$A$3:$A$62,0))*INDEX(Simulations!$H$3:$H$62,MATCH($A194,Simulations!$A$3:$A$62,0))*IF(INDEX(Simulations!$I$3:$I$62,MATCH($A194,Simulations!$A$3:$A$62,0))&gt;0,INDEX(Simulations!$I$3:$I$62,MATCH($A194,Simulations!$A$3:$A$62,0)),1))*$F194*(PI()/2*INDEX(Simulations!$T$3:$T$62,MATCH($A194,Simulations!$A$3:$A$62,0))^2*IF(INDEX(Simulations!$I$3:$I$62,MATCH($A194,Simulations!$A$3:$A$62,0))&gt;0,SQRT(PI()/2)*INDEX(Simulations!$U$3:$U$62,MATCH($A194,Simulations!$A$3:$A$62,0)),1)),$D194/(INDEX(Simulations!$G$3:$G$62,MATCH($A194,Simulations!$A$3:$A$62,0))*INDEX(Simulations!$H$3:$H$62,MATCH($A194,Simulations!$A$3:$A$62,0))*IF(INDEX(Simulations!$I$3:$I$62,MATCH($A194,Simulations!$A$3:$A$62,0))&gt;0,INDEX(Simulations!$I$3:$I$62,MATCH($A194,Simulations!$A$3:$A$62,0)),1))*INDEX(Simulations!$J$3:$J$62,MATCH($A194,Simulations!$A$3:$A$62,0))*IF(INDEX(Simulations!$I$3:$I$62,MATCH($A194,Simulations!$A$3:$A$62,0))&gt;0,2*PI()*INDEX(Simulations!$T$3:$T$62,MATCH($A194,Simulations!$A$3:$A$62,0))^2*INDEX(Simulations!$U$3:$U$62,MATCH($A194,Simulations!$A$3:$A$62,0))/2^1.5*(2/3*LN($F194/INDEX(Simulations!$J$3:$J$62,MATCH($A194,Simulations!$A$3:$A$62,0)))^1.5+SQRT(LN($F194/INDEX(Simulations!$J$3:$J$62,MATCH($A194,Simulations!$A$3:$A$62,0))))+$F194/INDEX(Simulations!$J$3:$J$62,MATCH($A194,Simulations!$A$3:$A$62,0))*SQRT(PI())/2*ERFC(SQRT(LN($F194/INDEX(Simulations!$J$3:$J$62,MATCH($A194,Simulations!$A$3:$A$62,0)))))),PI()*INDEX(Simulations!$T$3:$T$62,MATCH($A194,Simulations!$A$3:$A$62,0))^2/2*(LN($F194/INDEX(Simulations!$J$3:$J$62,MATCH($A194,Simulations!$A$3:$A$62,0)))+1)))))</f>
        <v/>
      </c>
      <c r="S194" s="16" t="str">
        <f aca="false">IF(OR($A194="",ISNA(MATCH($A194,Simulations!$A$3:$A$62,0))),"",IF(N($G194)&lt;=0,0,IF($G194&lt;INDEX(Simulations!$J$3:$J$62,MATCH($A194,Simulations!$A$3:$A$62,0)),$D194/(INDEX(Simulations!$G$3:$G$62,MATCH($A194,Simulations!$A$3:$A$62,0))*INDEX(Simulations!$H$3:$H$62,MATCH($A194,Simulations!$A$3:$A$62,0))*IF(INDEX(Simulations!$I$3:$I$62,MATCH($A194,Simulations!$A$3:$A$62,0))&gt;0,INDEX(Simulations!$I$3:$I$62,MATCH($A194,Simulations!$A$3:$A$62,0)),1))*$G194*(PI()/2*INDEX(Simulations!$T$3:$T$62,MATCH($A194,Simulations!$A$3:$A$62,0))^2*IF(INDEX(Simulations!$I$3:$I$62,MATCH($A194,Simulations!$A$3:$A$62,0))&gt;0,SQRT(PI()/2)*INDEX(Simulations!$U$3:$U$62,MATCH($A194,Simulations!$A$3:$A$62,0)),1)),$D194/(INDEX(Simulations!$G$3:$G$62,MATCH($A194,Simulations!$A$3:$A$62,0))*INDEX(Simulations!$H$3:$H$62,MATCH($A194,Simulations!$A$3:$A$62,0))*IF(INDEX(Simulations!$I$3:$I$62,MATCH($A194,Simulations!$A$3:$A$62,0))&gt;0,INDEX(Simulations!$I$3:$I$62,MATCH($A194,Simulations!$A$3:$A$62,0)),1))*INDEX(Simulations!$J$3:$J$62,MATCH($A194,Simulations!$A$3:$A$62,0))*IF(INDEX(Simulations!$I$3:$I$62,MATCH($A194,Simulations!$A$3:$A$62,0))&gt;0,2*PI()*INDEX(Simulations!$T$3:$T$62,MATCH($A194,Simulations!$A$3:$A$62,0))^2*INDEX(Simulations!$U$3:$U$62,MATCH($A194,Simulations!$A$3:$A$62,0))/2^1.5*(2/3*LN($G194/INDEX(Simulations!$J$3:$J$62,MATCH($A194,Simulations!$A$3:$A$62,0)))^1.5+SQRT(LN($G194/INDEX(Simulations!$J$3:$J$62,MATCH($A194,Simulations!$A$3:$A$62,0))))+$G194/INDEX(Simulations!$J$3:$J$62,MATCH($A194,Simulations!$A$3:$A$62,0))*SQRT(PI())/2*ERFC(SQRT(LN($G194/INDEX(Simulations!$J$3:$J$62,MATCH($A194,Simulations!$A$3:$A$62,0)))))),PI()*INDEX(Simulations!$T$3:$T$62,MATCH($A194,Simulations!$A$3:$A$62,0))^2/2*(LN($G194/INDEX(Simulations!$J$3:$J$62,MATCH($A194,Simulations!$A$3:$A$62,0)))+1)))))</f>
        <v/>
      </c>
      <c r="T194" s="16" t="str">
        <f aca="false">IF(OR($A194="",ISNA(MATCH($A194,Simulations!$A$3:$A$62,0))),"",IF(N($H194)&lt;=0,0,IF($H194&lt;INDEX(Simulations!$J$3:$J$62,MATCH($A194,Simulations!$A$3:$A$62,0)),$D194/(INDEX(Simulations!$G$3:$G$62,MATCH($A194,Simulations!$A$3:$A$62,0))*INDEX(Simulations!$H$3:$H$62,MATCH($A194,Simulations!$A$3:$A$62,0))*IF(INDEX(Simulations!$I$3:$I$62,MATCH($A194,Simulations!$A$3:$A$62,0))&gt;0,INDEX(Simulations!$I$3:$I$62,MATCH($A194,Simulations!$A$3:$A$62,0)),1))*$H194*(PI()/2*INDEX(Simulations!$T$3:$T$62,MATCH($A194,Simulations!$A$3:$A$62,0))^2*IF(INDEX(Simulations!$I$3:$I$62,MATCH($A194,Simulations!$A$3:$A$62,0))&gt;0,SQRT(PI()/2)*INDEX(Simulations!$U$3:$U$62,MATCH($A194,Simulations!$A$3:$A$62,0)),1)),$D194/(INDEX(Simulations!$G$3:$G$62,MATCH($A194,Simulations!$A$3:$A$62,0))*INDEX(Simulations!$H$3:$H$62,MATCH($A194,Simulations!$A$3:$A$62,0))*IF(INDEX(Simulations!$I$3:$I$62,MATCH($A194,Simulations!$A$3:$A$62,0))&gt;0,INDEX(Simulations!$I$3:$I$62,MATCH($A194,Simulations!$A$3:$A$62,0)),1))*INDEX(Simulations!$J$3:$J$62,MATCH($A194,Simulations!$A$3:$A$62,0))*IF(INDEX(Simulations!$I$3:$I$62,MATCH($A194,Simulations!$A$3:$A$62,0))&gt;0,2*PI()*INDEX(Simulations!$T$3:$T$62,MATCH($A194,Simulations!$A$3:$A$62,0))^2*INDEX(Simulations!$U$3:$U$62,MATCH($A194,Simulations!$A$3:$A$62,0))/2^1.5*(2/3*LN($H194/INDEX(Simulations!$J$3:$J$62,MATCH($A194,Simulations!$A$3:$A$62,0)))^1.5+SQRT(LN($H194/INDEX(Simulations!$J$3:$J$62,MATCH($A194,Simulations!$A$3:$A$62,0))))+$H194/INDEX(Simulations!$J$3:$J$62,MATCH($A194,Simulations!$A$3:$A$62,0))*SQRT(PI())/2*ERFC(SQRT(LN($H194/INDEX(Simulations!$J$3:$J$62,MATCH($A194,Simulations!$A$3:$A$62,0)))))),PI()*INDEX(Simulations!$T$3:$T$62,MATCH($A194,Simulations!$A$3:$A$62,0))^2/2*(LN($H194/INDEX(Simulations!$J$3:$J$62,MATCH($A194,Simulations!$A$3:$A$62,0)))+1)))))</f>
        <v/>
      </c>
      <c r="U194" s="18" t="str">
        <f aca="false">IF(OR(OR($A194="",ISNA(MATCH($A194,Simulations!$A$3:$A$62,0))),N($C194)&lt;=0),"",SQRT(2*$C194*1000000/(INDEX(Simulations!$J$3:$J$62,MATCH($A194,Simulations!$A$3:$A$62,0))*1000))/INDEX(Simulations!$T$3:$T$62,MATCH($A194,Simulations!$A$3:$A$62,0)))</f>
        <v/>
      </c>
      <c r="V194" s="19" t="str">
        <f aca="false">IF($A194="","",IF(ISNA(MATCH($A194,Simulations!$A$3:$A$62,0)),"✖ Sim ID not found on the Simulations sheet",IF($P194&gt;=1,"✖ brightness &gt;= sampling frequency: completely saturated (D too small, c too large)",IF($P194&gt;0.1,"⚠ brightness &gt; 10% of the sampling frequency: focus starts to saturate",IF(N($U194)&gt;0.1,"⚠ diffusion step &gt; 10% of wr: raise the sampling frequency",IF(MAX($E194:$H194)=0,"⚠ no brightness set","✔ OK"))))))</f>
        <v/>
      </c>
    </row>
    <row r="195" customFormat="false" ht="15" hidden="false" customHeight="false" outlineLevel="0" collapsed="false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4"/>
      <c r="O195" s="18" t="str">
        <f aca="false">IF(OR($A195="",ISNA(MATCH($A195,Simulations!$A$3:$A$62,0))),"",IF(INDEX(Simulations!$I$3:$I$62,MATCH($A195,Simulations!$A$3:$A$62,0))&gt;0,$D195/(INDEX(Simulations!$G$3:$G$62,MATCH($A195,Simulations!$A$3:$A$62,0))*INDEX(Simulations!$H$3:$H$62,MATCH($A195,Simulations!$A$3:$A$62,0))*IF(INDEX(Simulations!$I$3:$I$62,MATCH($A195,Simulations!$A$3:$A$62,0))&gt;0,INDEX(Simulations!$I$3:$I$62,MATCH($A195,Simulations!$A$3:$A$62,0)),1))/1E-024/6.022E+023/0.000000001,""))</f>
        <v/>
      </c>
      <c r="P195" s="20" t="str">
        <f aca="false">IF(OR($A195="",ISNA(MATCH($A195,Simulations!$A$3:$A$62,0))),"",MAX($E195:$H195)/INDEX(Simulations!$J$3:$J$62,MATCH($A195,Simulations!$A$3:$A$62,0)))</f>
        <v/>
      </c>
      <c r="Q195" s="16" t="str">
        <f aca="false">IF(OR($A195="",ISNA(MATCH($A195,Simulations!$A$3:$A$62,0))),"",IF(N($E195)&lt;=0,0,IF($E195&lt;INDEX(Simulations!$J$3:$J$62,MATCH($A195,Simulations!$A$3:$A$62,0)),$D195/(INDEX(Simulations!$G$3:$G$62,MATCH($A195,Simulations!$A$3:$A$62,0))*INDEX(Simulations!$H$3:$H$62,MATCH($A195,Simulations!$A$3:$A$62,0))*IF(INDEX(Simulations!$I$3:$I$62,MATCH($A195,Simulations!$A$3:$A$62,0))&gt;0,INDEX(Simulations!$I$3:$I$62,MATCH($A195,Simulations!$A$3:$A$62,0)),1))*$E195*(PI()/2*INDEX(Simulations!$T$3:$T$62,MATCH($A195,Simulations!$A$3:$A$62,0))^2*IF(INDEX(Simulations!$I$3:$I$62,MATCH($A195,Simulations!$A$3:$A$62,0))&gt;0,SQRT(PI()/2)*INDEX(Simulations!$U$3:$U$62,MATCH($A195,Simulations!$A$3:$A$62,0)),1)),$D195/(INDEX(Simulations!$G$3:$G$62,MATCH($A195,Simulations!$A$3:$A$62,0))*INDEX(Simulations!$H$3:$H$62,MATCH($A195,Simulations!$A$3:$A$62,0))*IF(INDEX(Simulations!$I$3:$I$62,MATCH($A195,Simulations!$A$3:$A$62,0))&gt;0,INDEX(Simulations!$I$3:$I$62,MATCH($A195,Simulations!$A$3:$A$62,0)),1))*INDEX(Simulations!$J$3:$J$62,MATCH($A195,Simulations!$A$3:$A$62,0))*IF(INDEX(Simulations!$I$3:$I$62,MATCH($A195,Simulations!$A$3:$A$62,0))&gt;0,2*PI()*INDEX(Simulations!$T$3:$T$62,MATCH($A195,Simulations!$A$3:$A$62,0))^2*INDEX(Simulations!$U$3:$U$62,MATCH($A195,Simulations!$A$3:$A$62,0))/2^1.5*(2/3*LN($E195/INDEX(Simulations!$J$3:$J$62,MATCH($A195,Simulations!$A$3:$A$62,0)))^1.5+SQRT(LN($E195/INDEX(Simulations!$J$3:$J$62,MATCH($A195,Simulations!$A$3:$A$62,0))))+$E195/INDEX(Simulations!$J$3:$J$62,MATCH($A195,Simulations!$A$3:$A$62,0))*SQRT(PI())/2*ERFC(SQRT(LN($E195/INDEX(Simulations!$J$3:$J$62,MATCH($A195,Simulations!$A$3:$A$62,0)))))),PI()*INDEX(Simulations!$T$3:$T$62,MATCH($A195,Simulations!$A$3:$A$62,0))^2/2*(LN($E195/INDEX(Simulations!$J$3:$J$62,MATCH($A195,Simulations!$A$3:$A$62,0)))+1)))))</f>
        <v/>
      </c>
      <c r="R195" s="16" t="str">
        <f aca="false">IF(OR($A195="",ISNA(MATCH($A195,Simulations!$A$3:$A$62,0))),"",IF(N($F195)&lt;=0,0,IF($F195&lt;INDEX(Simulations!$J$3:$J$62,MATCH($A195,Simulations!$A$3:$A$62,0)),$D195/(INDEX(Simulations!$G$3:$G$62,MATCH($A195,Simulations!$A$3:$A$62,0))*INDEX(Simulations!$H$3:$H$62,MATCH($A195,Simulations!$A$3:$A$62,0))*IF(INDEX(Simulations!$I$3:$I$62,MATCH($A195,Simulations!$A$3:$A$62,0))&gt;0,INDEX(Simulations!$I$3:$I$62,MATCH($A195,Simulations!$A$3:$A$62,0)),1))*$F195*(PI()/2*INDEX(Simulations!$T$3:$T$62,MATCH($A195,Simulations!$A$3:$A$62,0))^2*IF(INDEX(Simulations!$I$3:$I$62,MATCH($A195,Simulations!$A$3:$A$62,0))&gt;0,SQRT(PI()/2)*INDEX(Simulations!$U$3:$U$62,MATCH($A195,Simulations!$A$3:$A$62,0)),1)),$D195/(INDEX(Simulations!$G$3:$G$62,MATCH($A195,Simulations!$A$3:$A$62,0))*INDEX(Simulations!$H$3:$H$62,MATCH($A195,Simulations!$A$3:$A$62,0))*IF(INDEX(Simulations!$I$3:$I$62,MATCH($A195,Simulations!$A$3:$A$62,0))&gt;0,INDEX(Simulations!$I$3:$I$62,MATCH($A195,Simulations!$A$3:$A$62,0)),1))*INDEX(Simulations!$J$3:$J$62,MATCH($A195,Simulations!$A$3:$A$62,0))*IF(INDEX(Simulations!$I$3:$I$62,MATCH($A195,Simulations!$A$3:$A$62,0))&gt;0,2*PI()*INDEX(Simulations!$T$3:$T$62,MATCH($A195,Simulations!$A$3:$A$62,0))^2*INDEX(Simulations!$U$3:$U$62,MATCH($A195,Simulations!$A$3:$A$62,0))/2^1.5*(2/3*LN($F195/INDEX(Simulations!$J$3:$J$62,MATCH($A195,Simulations!$A$3:$A$62,0)))^1.5+SQRT(LN($F195/INDEX(Simulations!$J$3:$J$62,MATCH($A195,Simulations!$A$3:$A$62,0))))+$F195/INDEX(Simulations!$J$3:$J$62,MATCH($A195,Simulations!$A$3:$A$62,0))*SQRT(PI())/2*ERFC(SQRT(LN($F195/INDEX(Simulations!$J$3:$J$62,MATCH($A195,Simulations!$A$3:$A$62,0)))))),PI()*INDEX(Simulations!$T$3:$T$62,MATCH($A195,Simulations!$A$3:$A$62,0))^2/2*(LN($F195/INDEX(Simulations!$J$3:$J$62,MATCH($A195,Simulations!$A$3:$A$62,0)))+1)))))</f>
        <v/>
      </c>
      <c r="S195" s="16" t="str">
        <f aca="false">IF(OR($A195="",ISNA(MATCH($A195,Simulations!$A$3:$A$62,0))),"",IF(N($G195)&lt;=0,0,IF($G195&lt;INDEX(Simulations!$J$3:$J$62,MATCH($A195,Simulations!$A$3:$A$62,0)),$D195/(INDEX(Simulations!$G$3:$G$62,MATCH($A195,Simulations!$A$3:$A$62,0))*INDEX(Simulations!$H$3:$H$62,MATCH($A195,Simulations!$A$3:$A$62,0))*IF(INDEX(Simulations!$I$3:$I$62,MATCH($A195,Simulations!$A$3:$A$62,0))&gt;0,INDEX(Simulations!$I$3:$I$62,MATCH($A195,Simulations!$A$3:$A$62,0)),1))*$G195*(PI()/2*INDEX(Simulations!$T$3:$T$62,MATCH($A195,Simulations!$A$3:$A$62,0))^2*IF(INDEX(Simulations!$I$3:$I$62,MATCH($A195,Simulations!$A$3:$A$62,0))&gt;0,SQRT(PI()/2)*INDEX(Simulations!$U$3:$U$62,MATCH($A195,Simulations!$A$3:$A$62,0)),1)),$D195/(INDEX(Simulations!$G$3:$G$62,MATCH($A195,Simulations!$A$3:$A$62,0))*INDEX(Simulations!$H$3:$H$62,MATCH($A195,Simulations!$A$3:$A$62,0))*IF(INDEX(Simulations!$I$3:$I$62,MATCH($A195,Simulations!$A$3:$A$62,0))&gt;0,INDEX(Simulations!$I$3:$I$62,MATCH($A195,Simulations!$A$3:$A$62,0)),1))*INDEX(Simulations!$J$3:$J$62,MATCH($A195,Simulations!$A$3:$A$62,0))*IF(INDEX(Simulations!$I$3:$I$62,MATCH($A195,Simulations!$A$3:$A$62,0))&gt;0,2*PI()*INDEX(Simulations!$T$3:$T$62,MATCH($A195,Simulations!$A$3:$A$62,0))^2*INDEX(Simulations!$U$3:$U$62,MATCH($A195,Simulations!$A$3:$A$62,0))/2^1.5*(2/3*LN($G195/INDEX(Simulations!$J$3:$J$62,MATCH($A195,Simulations!$A$3:$A$62,0)))^1.5+SQRT(LN($G195/INDEX(Simulations!$J$3:$J$62,MATCH($A195,Simulations!$A$3:$A$62,0))))+$G195/INDEX(Simulations!$J$3:$J$62,MATCH($A195,Simulations!$A$3:$A$62,0))*SQRT(PI())/2*ERFC(SQRT(LN($G195/INDEX(Simulations!$J$3:$J$62,MATCH($A195,Simulations!$A$3:$A$62,0)))))),PI()*INDEX(Simulations!$T$3:$T$62,MATCH($A195,Simulations!$A$3:$A$62,0))^2/2*(LN($G195/INDEX(Simulations!$J$3:$J$62,MATCH($A195,Simulations!$A$3:$A$62,0)))+1)))))</f>
        <v/>
      </c>
      <c r="T195" s="16" t="str">
        <f aca="false">IF(OR($A195="",ISNA(MATCH($A195,Simulations!$A$3:$A$62,0))),"",IF(N($H195)&lt;=0,0,IF($H195&lt;INDEX(Simulations!$J$3:$J$62,MATCH($A195,Simulations!$A$3:$A$62,0)),$D195/(INDEX(Simulations!$G$3:$G$62,MATCH($A195,Simulations!$A$3:$A$62,0))*INDEX(Simulations!$H$3:$H$62,MATCH($A195,Simulations!$A$3:$A$62,0))*IF(INDEX(Simulations!$I$3:$I$62,MATCH($A195,Simulations!$A$3:$A$62,0))&gt;0,INDEX(Simulations!$I$3:$I$62,MATCH($A195,Simulations!$A$3:$A$62,0)),1))*$H195*(PI()/2*INDEX(Simulations!$T$3:$T$62,MATCH($A195,Simulations!$A$3:$A$62,0))^2*IF(INDEX(Simulations!$I$3:$I$62,MATCH($A195,Simulations!$A$3:$A$62,0))&gt;0,SQRT(PI()/2)*INDEX(Simulations!$U$3:$U$62,MATCH($A195,Simulations!$A$3:$A$62,0)),1)),$D195/(INDEX(Simulations!$G$3:$G$62,MATCH($A195,Simulations!$A$3:$A$62,0))*INDEX(Simulations!$H$3:$H$62,MATCH($A195,Simulations!$A$3:$A$62,0))*IF(INDEX(Simulations!$I$3:$I$62,MATCH($A195,Simulations!$A$3:$A$62,0))&gt;0,INDEX(Simulations!$I$3:$I$62,MATCH($A195,Simulations!$A$3:$A$62,0)),1))*INDEX(Simulations!$J$3:$J$62,MATCH($A195,Simulations!$A$3:$A$62,0))*IF(INDEX(Simulations!$I$3:$I$62,MATCH($A195,Simulations!$A$3:$A$62,0))&gt;0,2*PI()*INDEX(Simulations!$T$3:$T$62,MATCH($A195,Simulations!$A$3:$A$62,0))^2*INDEX(Simulations!$U$3:$U$62,MATCH($A195,Simulations!$A$3:$A$62,0))/2^1.5*(2/3*LN($H195/INDEX(Simulations!$J$3:$J$62,MATCH($A195,Simulations!$A$3:$A$62,0)))^1.5+SQRT(LN($H195/INDEX(Simulations!$J$3:$J$62,MATCH($A195,Simulations!$A$3:$A$62,0))))+$H195/INDEX(Simulations!$J$3:$J$62,MATCH($A195,Simulations!$A$3:$A$62,0))*SQRT(PI())/2*ERFC(SQRT(LN($H195/INDEX(Simulations!$J$3:$J$62,MATCH($A195,Simulations!$A$3:$A$62,0)))))),PI()*INDEX(Simulations!$T$3:$T$62,MATCH($A195,Simulations!$A$3:$A$62,0))^2/2*(LN($H195/INDEX(Simulations!$J$3:$J$62,MATCH($A195,Simulations!$A$3:$A$62,0)))+1)))))</f>
        <v/>
      </c>
      <c r="U195" s="18" t="str">
        <f aca="false">IF(OR(OR($A195="",ISNA(MATCH($A195,Simulations!$A$3:$A$62,0))),N($C195)&lt;=0),"",SQRT(2*$C195*1000000/(INDEX(Simulations!$J$3:$J$62,MATCH($A195,Simulations!$A$3:$A$62,0))*1000))/INDEX(Simulations!$T$3:$T$62,MATCH($A195,Simulations!$A$3:$A$62,0)))</f>
        <v/>
      </c>
      <c r="V195" s="19" t="str">
        <f aca="false">IF($A195="","",IF(ISNA(MATCH($A195,Simulations!$A$3:$A$62,0)),"✖ Sim ID not found on the Simulations sheet",IF($P195&gt;=1,"✖ brightness &gt;= sampling frequency: completely saturated (D too small, c too large)",IF($P195&gt;0.1,"⚠ brightness &gt; 10% of the sampling frequency: focus starts to saturate",IF(N($U195)&gt;0.1,"⚠ diffusion step &gt; 10% of wr: raise the sampling frequency",IF(MAX($E195:$H195)=0,"⚠ no brightness set","✔ OK"))))))</f>
        <v/>
      </c>
    </row>
    <row r="196" customFormat="false" ht="15" hidden="false" customHeight="false" outlineLevel="0" collapsed="false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4"/>
      <c r="O196" s="18" t="str">
        <f aca="false">IF(OR($A196="",ISNA(MATCH($A196,Simulations!$A$3:$A$62,0))),"",IF(INDEX(Simulations!$I$3:$I$62,MATCH($A196,Simulations!$A$3:$A$62,0))&gt;0,$D196/(INDEX(Simulations!$G$3:$G$62,MATCH($A196,Simulations!$A$3:$A$62,0))*INDEX(Simulations!$H$3:$H$62,MATCH($A196,Simulations!$A$3:$A$62,0))*IF(INDEX(Simulations!$I$3:$I$62,MATCH($A196,Simulations!$A$3:$A$62,0))&gt;0,INDEX(Simulations!$I$3:$I$62,MATCH($A196,Simulations!$A$3:$A$62,0)),1))/1E-024/6.022E+023/0.000000001,""))</f>
        <v/>
      </c>
      <c r="P196" s="20" t="str">
        <f aca="false">IF(OR($A196="",ISNA(MATCH($A196,Simulations!$A$3:$A$62,0))),"",MAX($E196:$H196)/INDEX(Simulations!$J$3:$J$62,MATCH($A196,Simulations!$A$3:$A$62,0)))</f>
        <v/>
      </c>
      <c r="Q196" s="16" t="str">
        <f aca="false">IF(OR($A196="",ISNA(MATCH($A196,Simulations!$A$3:$A$62,0))),"",IF(N($E196)&lt;=0,0,IF($E196&lt;INDEX(Simulations!$J$3:$J$62,MATCH($A196,Simulations!$A$3:$A$62,0)),$D196/(INDEX(Simulations!$G$3:$G$62,MATCH($A196,Simulations!$A$3:$A$62,0))*INDEX(Simulations!$H$3:$H$62,MATCH($A196,Simulations!$A$3:$A$62,0))*IF(INDEX(Simulations!$I$3:$I$62,MATCH($A196,Simulations!$A$3:$A$62,0))&gt;0,INDEX(Simulations!$I$3:$I$62,MATCH($A196,Simulations!$A$3:$A$62,0)),1))*$E196*(PI()/2*INDEX(Simulations!$T$3:$T$62,MATCH($A196,Simulations!$A$3:$A$62,0))^2*IF(INDEX(Simulations!$I$3:$I$62,MATCH($A196,Simulations!$A$3:$A$62,0))&gt;0,SQRT(PI()/2)*INDEX(Simulations!$U$3:$U$62,MATCH($A196,Simulations!$A$3:$A$62,0)),1)),$D196/(INDEX(Simulations!$G$3:$G$62,MATCH($A196,Simulations!$A$3:$A$62,0))*INDEX(Simulations!$H$3:$H$62,MATCH($A196,Simulations!$A$3:$A$62,0))*IF(INDEX(Simulations!$I$3:$I$62,MATCH($A196,Simulations!$A$3:$A$62,0))&gt;0,INDEX(Simulations!$I$3:$I$62,MATCH($A196,Simulations!$A$3:$A$62,0)),1))*INDEX(Simulations!$J$3:$J$62,MATCH($A196,Simulations!$A$3:$A$62,0))*IF(INDEX(Simulations!$I$3:$I$62,MATCH($A196,Simulations!$A$3:$A$62,0))&gt;0,2*PI()*INDEX(Simulations!$T$3:$T$62,MATCH($A196,Simulations!$A$3:$A$62,0))^2*INDEX(Simulations!$U$3:$U$62,MATCH($A196,Simulations!$A$3:$A$62,0))/2^1.5*(2/3*LN($E196/INDEX(Simulations!$J$3:$J$62,MATCH($A196,Simulations!$A$3:$A$62,0)))^1.5+SQRT(LN($E196/INDEX(Simulations!$J$3:$J$62,MATCH($A196,Simulations!$A$3:$A$62,0))))+$E196/INDEX(Simulations!$J$3:$J$62,MATCH($A196,Simulations!$A$3:$A$62,0))*SQRT(PI())/2*ERFC(SQRT(LN($E196/INDEX(Simulations!$J$3:$J$62,MATCH($A196,Simulations!$A$3:$A$62,0)))))),PI()*INDEX(Simulations!$T$3:$T$62,MATCH($A196,Simulations!$A$3:$A$62,0))^2/2*(LN($E196/INDEX(Simulations!$J$3:$J$62,MATCH($A196,Simulations!$A$3:$A$62,0)))+1)))))</f>
        <v/>
      </c>
      <c r="R196" s="16" t="str">
        <f aca="false">IF(OR($A196="",ISNA(MATCH($A196,Simulations!$A$3:$A$62,0))),"",IF(N($F196)&lt;=0,0,IF($F196&lt;INDEX(Simulations!$J$3:$J$62,MATCH($A196,Simulations!$A$3:$A$62,0)),$D196/(INDEX(Simulations!$G$3:$G$62,MATCH($A196,Simulations!$A$3:$A$62,0))*INDEX(Simulations!$H$3:$H$62,MATCH($A196,Simulations!$A$3:$A$62,0))*IF(INDEX(Simulations!$I$3:$I$62,MATCH($A196,Simulations!$A$3:$A$62,0))&gt;0,INDEX(Simulations!$I$3:$I$62,MATCH($A196,Simulations!$A$3:$A$62,0)),1))*$F196*(PI()/2*INDEX(Simulations!$T$3:$T$62,MATCH($A196,Simulations!$A$3:$A$62,0))^2*IF(INDEX(Simulations!$I$3:$I$62,MATCH($A196,Simulations!$A$3:$A$62,0))&gt;0,SQRT(PI()/2)*INDEX(Simulations!$U$3:$U$62,MATCH($A196,Simulations!$A$3:$A$62,0)),1)),$D196/(INDEX(Simulations!$G$3:$G$62,MATCH($A196,Simulations!$A$3:$A$62,0))*INDEX(Simulations!$H$3:$H$62,MATCH($A196,Simulations!$A$3:$A$62,0))*IF(INDEX(Simulations!$I$3:$I$62,MATCH($A196,Simulations!$A$3:$A$62,0))&gt;0,INDEX(Simulations!$I$3:$I$62,MATCH($A196,Simulations!$A$3:$A$62,0)),1))*INDEX(Simulations!$J$3:$J$62,MATCH($A196,Simulations!$A$3:$A$62,0))*IF(INDEX(Simulations!$I$3:$I$62,MATCH($A196,Simulations!$A$3:$A$62,0))&gt;0,2*PI()*INDEX(Simulations!$T$3:$T$62,MATCH($A196,Simulations!$A$3:$A$62,0))^2*INDEX(Simulations!$U$3:$U$62,MATCH($A196,Simulations!$A$3:$A$62,0))/2^1.5*(2/3*LN($F196/INDEX(Simulations!$J$3:$J$62,MATCH($A196,Simulations!$A$3:$A$62,0)))^1.5+SQRT(LN($F196/INDEX(Simulations!$J$3:$J$62,MATCH($A196,Simulations!$A$3:$A$62,0))))+$F196/INDEX(Simulations!$J$3:$J$62,MATCH($A196,Simulations!$A$3:$A$62,0))*SQRT(PI())/2*ERFC(SQRT(LN($F196/INDEX(Simulations!$J$3:$J$62,MATCH($A196,Simulations!$A$3:$A$62,0)))))),PI()*INDEX(Simulations!$T$3:$T$62,MATCH($A196,Simulations!$A$3:$A$62,0))^2/2*(LN($F196/INDEX(Simulations!$J$3:$J$62,MATCH($A196,Simulations!$A$3:$A$62,0)))+1)))))</f>
        <v/>
      </c>
      <c r="S196" s="16" t="str">
        <f aca="false">IF(OR($A196="",ISNA(MATCH($A196,Simulations!$A$3:$A$62,0))),"",IF(N($G196)&lt;=0,0,IF($G196&lt;INDEX(Simulations!$J$3:$J$62,MATCH($A196,Simulations!$A$3:$A$62,0)),$D196/(INDEX(Simulations!$G$3:$G$62,MATCH($A196,Simulations!$A$3:$A$62,0))*INDEX(Simulations!$H$3:$H$62,MATCH($A196,Simulations!$A$3:$A$62,0))*IF(INDEX(Simulations!$I$3:$I$62,MATCH($A196,Simulations!$A$3:$A$62,0))&gt;0,INDEX(Simulations!$I$3:$I$62,MATCH($A196,Simulations!$A$3:$A$62,0)),1))*$G196*(PI()/2*INDEX(Simulations!$T$3:$T$62,MATCH($A196,Simulations!$A$3:$A$62,0))^2*IF(INDEX(Simulations!$I$3:$I$62,MATCH($A196,Simulations!$A$3:$A$62,0))&gt;0,SQRT(PI()/2)*INDEX(Simulations!$U$3:$U$62,MATCH($A196,Simulations!$A$3:$A$62,0)),1)),$D196/(INDEX(Simulations!$G$3:$G$62,MATCH($A196,Simulations!$A$3:$A$62,0))*INDEX(Simulations!$H$3:$H$62,MATCH($A196,Simulations!$A$3:$A$62,0))*IF(INDEX(Simulations!$I$3:$I$62,MATCH($A196,Simulations!$A$3:$A$62,0))&gt;0,INDEX(Simulations!$I$3:$I$62,MATCH($A196,Simulations!$A$3:$A$62,0)),1))*INDEX(Simulations!$J$3:$J$62,MATCH($A196,Simulations!$A$3:$A$62,0))*IF(INDEX(Simulations!$I$3:$I$62,MATCH($A196,Simulations!$A$3:$A$62,0))&gt;0,2*PI()*INDEX(Simulations!$T$3:$T$62,MATCH($A196,Simulations!$A$3:$A$62,0))^2*INDEX(Simulations!$U$3:$U$62,MATCH($A196,Simulations!$A$3:$A$62,0))/2^1.5*(2/3*LN($G196/INDEX(Simulations!$J$3:$J$62,MATCH($A196,Simulations!$A$3:$A$62,0)))^1.5+SQRT(LN($G196/INDEX(Simulations!$J$3:$J$62,MATCH($A196,Simulations!$A$3:$A$62,0))))+$G196/INDEX(Simulations!$J$3:$J$62,MATCH($A196,Simulations!$A$3:$A$62,0))*SQRT(PI())/2*ERFC(SQRT(LN($G196/INDEX(Simulations!$J$3:$J$62,MATCH($A196,Simulations!$A$3:$A$62,0)))))),PI()*INDEX(Simulations!$T$3:$T$62,MATCH($A196,Simulations!$A$3:$A$62,0))^2/2*(LN($G196/INDEX(Simulations!$J$3:$J$62,MATCH($A196,Simulations!$A$3:$A$62,0)))+1)))))</f>
        <v/>
      </c>
      <c r="T196" s="16" t="str">
        <f aca="false">IF(OR($A196="",ISNA(MATCH($A196,Simulations!$A$3:$A$62,0))),"",IF(N($H196)&lt;=0,0,IF($H196&lt;INDEX(Simulations!$J$3:$J$62,MATCH($A196,Simulations!$A$3:$A$62,0)),$D196/(INDEX(Simulations!$G$3:$G$62,MATCH($A196,Simulations!$A$3:$A$62,0))*INDEX(Simulations!$H$3:$H$62,MATCH($A196,Simulations!$A$3:$A$62,0))*IF(INDEX(Simulations!$I$3:$I$62,MATCH($A196,Simulations!$A$3:$A$62,0))&gt;0,INDEX(Simulations!$I$3:$I$62,MATCH($A196,Simulations!$A$3:$A$62,0)),1))*$H196*(PI()/2*INDEX(Simulations!$T$3:$T$62,MATCH($A196,Simulations!$A$3:$A$62,0))^2*IF(INDEX(Simulations!$I$3:$I$62,MATCH($A196,Simulations!$A$3:$A$62,0))&gt;0,SQRT(PI()/2)*INDEX(Simulations!$U$3:$U$62,MATCH($A196,Simulations!$A$3:$A$62,0)),1)),$D196/(INDEX(Simulations!$G$3:$G$62,MATCH($A196,Simulations!$A$3:$A$62,0))*INDEX(Simulations!$H$3:$H$62,MATCH($A196,Simulations!$A$3:$A$62,0))*IF(INDEX(Simulations!$I$3:$I$62,MATCH($A196,Simulations!$A$3:$A$62,0))&gt;0,INDEX(Simulations!$I$3:$I$62,MATCH($A196,Simulations!$A$3:$A$62,0)),1))*INDEX(Simulations!$J$3:$J$62,MATCH($A196,Simulations!$A$3:$A$62,0))*IF(INDEX(Simulations!$I$3:$I$62,MATCH($A196,Simulations!$A$3:$A$62,0))&gt;0,2*PI()*INDEX(Simulations!$T$3:$T$62,MATCH($A196,Simulations!$A$3:$A$62,0))^2*INDEX(Simulations!$U$3:$U$62,MATCH($A196,Simulations!$A$3:$A$62,0))/2^1.5*(2/3*LN($H196/INDEX(Simulations!$J$3:$J$62,MATCH($A196,Simulations!$A$3:$A$62,0)))^1.5+SQRT(LN($H196/INDEX(Simulations!$J$3:$J$62,MATCH($A196,Simulations!$A$3:$A$62,0))))+$H196/INDEX(Simulations!$J$3:$J$62,MATCH($A196,Simulations!$A$3:$A$62,0))*SQRT(PI())/2*ERFC(SQRT(LN($H196/INDEX(Simulations!$J$3:$J$62,MATCH($A196,Simulations!$A$3:$A$62,0)))))),PI()*INDEX(Simulations!$T$3:$T$62,MATCH($A196,Simulations!$A$3:$A$62,0))^2/2*(LN($H196/INDEX(Simulations!$J$3:$J$62,MATCH($A196,Simulations!$A$3:$A$62,0)))+1)))))</f>
        <v/>
      </c>
      <c r="U196" s="18" t="str">
        <f aca="false">IF(OR(OR($A196="",ISNA(MATCH($A196,Simulations!$A$3:$A$62,0))),N($C196)&lt;=0),"",SQRT(2*$C196*1000000/(INDEX(Simulations!$J$3:$J$62,MATCH($A196,Simulations!$A$3:$A$62,0))*1000))/INDEX(Simulations!$T$3:$T$62,MATCH($A196,Simulations!$A$3:$A$62,0)))</f>
        <v/>
      </c>
      <c r="V196" s="19" t="str">
        <f aca="false">IF($A196="","",IF(ISNA(MATCH($A196,Simulations!$A$3:$A$62,0)),"✖ Sim ID not found on the Simulations sheet",IF($P196&gt;=1,"✖ brightness &gt;= sampling frequency: completely saturated (D too small, c too large)",IF($P196&gt;0.1,"⚠ brightness &gt; 10% of the sampling frequency: focus starts to saturate",IF(N($U196)&gt;0.1,"⚠ diffusion step &gt; 10% of wr: raise the sampling frequency",IF(MAX($E196:$H196)=0,"⚠ no brightness set","✔ OK"))))))</f>
        <v/>
      </c>
    </row>
    <row r="197" customFormat="false" ht="15" hidden="false" customHeight="false" outlineLevel="0" collapsed="false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4"/>
      <c r="O197" s="18" t="str">
        <f aca="false">IF(OR($A197="",ISNA(MATCH($A197,Simulations!$A$3:$A$62,0))),"",IF(INDEX(Simulations!$I$3:$I$62,MATCH($A197,Simulations!$A$3:$A$62,0))&gt;0,$D197/(INDEX(Simulations!$G$3:$G$62,MATCH($A197,Simulations!$A$3:$A$62,0))*INDEX(Simulations!$H$3:$H$62,MATCH($A197,Simulations!$A$3:$A$62,0))*IF(INDEX(Simulations!$I$3:$I$62,MATCH($A197,Simulations!$A$3:$A$62,0))&gt;0,INDEX(Simulations!$I$3:$I$62,MATCH($A197,Simulations!$A$3:$A$62,0)),1))/1E-024/6.022E+023/0.000000001,""))</f>
        <v/>
      </c>
      <c r="P197" s="20" t="str">
        <f aca="false">IF(OR($A197="",ISNA(MATCH($A197,Simulations!$A$3:$A$62,0))),"",MAX($E197:$H197)/INDEX(Simulations!$J$3:$J$62,MATCH($A197,Simulations!$A$3:$A$62,0)))</f>
        <v/>
      </c>
      <c r="Q197" s="16" t="str">
        <f aca="false">IF(OR($A197="",ISNA(MATCH($A197,Simulations!$A$3:$A$62,0))),"",IF(N($E197)&lt;=0,0,IF($E197&lt;INDEX(Simulations!$J$3:$J$62,MATCH($A197,Simulations!$A$3:$A$62,0)),$D197/(INDEX(Simulations!$G$3:$G$62,MATCH($A197,Simulations!$A$3:$A$62,0))*INDEX(Simulations!$H$3:$H$62,MATCH($A197,Simulations!$A$3:$A$62,0))*IF(INDEX(Simulations!$I$3:$I$62,MATCH($A197,Simulations!$A$3:$A$62,0))&gt;0,INDEX(Simulations!$I$3:$I$62,MATCH($A197,Simulations!$A$3:$A$62,0)),1))*$E197*(PI()/2*INDEX(Simulations!$T$3:$T$62,MATCH($A197,Simulations!$A$3:$A$62,0))^2*IF(INDEX(Simulations!$I$3:$I$62,MATCH($A197,Simulations!$A$3:$A$62,0))&gt;0,SQRT(PI()/2)*INDEX(Simulations!$U$3:$U$62,MATCH($A197,Simulations!$A$3:$A$62,0)),1)),$D197/(INDEX(Simulations!$G$3:$G$62,MATCH($A197,Simulations!$A$3:$A$62,0))*INDEX(Simulations!$H$3:$H$62,MATCH($A197,Simulations!$A$3:$A$62,0))*IF(INDEX(Simulations!$I$3:$I$62,MATCH($A197,Simulations!$A$3:$A$62,0))&gt;0,INDEX(Simulations!$I$3:$I$62,MATCH($A197,Simulations!$A$3:$A$62,0)),1))*INDEX(Simulations!$J$3:$J$62,MATCH($A197,Simulations!$A$3:$A$62,0))*IF(INDEX(Simulations!$I$3:$I$62,MATCH($A197,Simulations!$A$3:$A$62,0))&gt;0,2*PI()*INDEX(Simulations!$T$3:$T$62,MATCH($A197,Simulations!$A$3:$A$62,0))^2*INDEX(Simulations!$U$3:$U$62,MATCH($A197,Simulations!$A$3:$A$62,0))/2^1.5*(2/3*LN($E197/INDEX(Simulations!$J$3:$J$62,MATCH($A197,Simulations!$A$3:$A$62,0)))^1.5+SQRT(LN($E197/INDEX(Simulations!$J$3:$J$62,MATCH($A197,Simulations!$A$3:$A$62,0))))+$E197/INDEX(Simulations!$J$3:$J$62,MATCH($A197,Simulations!$A$3:$A$62,0))*SQRT(PI())/2*ERFC(SQRT(LN($E197/INDEX(Simulations!$J$3:$J$62,MATCH($A197,Simulations!$A$3:$A$62,0)))))),PI()*INDEX(Simulations!$T$3:$T$62,MATCH($A197,Simulations!$A$3:$A$62,0))^2/2*(LN($E197/INDEX(Simulations!$J$3:$J$62,MATCH($A197,Simulations!$A$3:$A$62,0)))+1)))))</f>
        <v/>
      </c>
      <c r="R197" s="16" t="str">
        <f aca="false">IF(OR($A197="",ISNA(MATCH($A197,Simulations!$A$3:$A$62,0))),"",IF(N($F197)&lt;=0,0,IF($F197&lt;INDEX(Simulations!$J$3:$J$62,MATCH($A197,Simulations!$A$3:$A$62,0)),$D197/(INDEX(Simulations!$G$3:$G$62,MATCH($A197,Simulations!$A$3:$A$62,0))*INDEX(Simulations!$H$3:$H$62,MATCH($A197,Simulations!$A$3:$A$62,0))*IF(INDEX(Simulations!$I$3:$I$62,MATCH($A197,Simulations!$A$3:$A$62,0))&gt;0,INDEX(Simulations!$I$3:$I$62,MATCH($A197,Simulations!$A$3:$A$62,0)),1))*$F197*(PI()/2*INDEX(Simulations!$T$3:$T$62,MATCH($A197,Simulations!$A$3:$A$62,0))^2*IF(INDEX(Simulations!$I$3:$I$62,MATCH($A197,Simulations!$A$3:$A$62,0))&gt;0,SQRT(PI()/2)*INDEX(Simulations!$U$3:$U$62,MATCH($A197,Simulations!$A$3:$A$62,0)),1)),$D197/(INDEX(Simulations!$G$3:$G$62,MATCH($A197,Simulations!$A$3:$A$62,0))*INDEX(Simulations!$H$3:$H$62,MATCH($A197,Simulations!$A$3:$A$62,0))*IF(INDEX(Simulations!$I$3:$I$62,MATCH($A197,Simulations!$A$3:$A$62,0))&gt;0,INDEX(Simulations!$I$3:$I$62,MATCH($A197,Simulations!$A$3:$A$62,0)),1))*INDEX(Simulations!$J$3:$J$62,MATCH($A197,Simulations!$A$3:$A$62,0))*IF(INDEX(Simulations!$I$3:$I$62,MATCH($A197,Simulations!$A$3:$A$62,0))&gt;0,2*PI()*INDEX(Simulations!$T$3:$T$62,MATCH($A197,Simulations!$A$3:$A$62,0))^2*INDEX(Simulations!$U$3:$U$62,MATCH($A197,Simulations!$A$3:$A$62,0))/2^1.5*(2/3*LN($F197/INDEX(Simulations!$J$3:$J$62,MATCH($A197,Simulations!$A$3:$A$62,0)))^1.5+SQRT(LN($F197/INDEX(Simulations!$J$3:$J$62,MATCH($A197,Simulations!$A$3:$A$62,0))))+$F197/INDEX(Simulations!$J$3:$J$62,MATCH($A197,Simulations!$A$3:$A$62,0))*SQRT(PI())/2*ERFC(SQRT(LN($F197/INDEX(Simulations!$J$3:$J$62,MATCH($A197,Simulations!$A$3:$A$62,0)))))),PI()*INDEX(Simulations!$T$3:$T$62,MATCH($A197,Simulations!$A$3:$A$62,0))^2/2*(LN($F197/INDEX(Simulations!$J$3:$J$62,MATCH($A197,Simulations!$A$3:$A$62,0)))+1)))))</f>
        <v/>
      </c>
      <c r="S197" s="16" t="str">
        <f aca="false">IF(OR($A197="",ISNA(MATCH($A197,Simulations!$A$3:$A$62,0))),"",IF(N($G197)&lt;=0,0,IF($G197&lt;INDEX(Simulations!$J$3:$J$62,MATCH($A197,Simulations!$A$3:$A$62,0)),$D197/(INDEX(Simulations!$G$3:$G$62,MATCH($A197,Simulations!$A$3:$A$62,0))*INDEX(Simulations!$H$3:$H$62,MATCH($A197,Simulations!$A$3:$A$62,0))*IF(INDEX(Simulations!$I$3:$I$62,MATCH($A197,Simulations!$A$3:$A$62,0))&gt;0,INDEX(Simulations!$I$3:$I$62,MATCH($A197,Simulations!$A$3:$A$62,0)),1))*$G197*(PI()/2*INDEX(Simulations!$T$3:$T$62,MATCH($A197,Simulations!$A$3:$A$62,0))^2*IF(INDEX(Simulations!$I$3:$I$62,MATCH($A197,Simulations!$A$3:$A$62,0))&gt;0,SQRT(PI()/2)*INDEX(Simulations!$U$3:$U$62,MATCH($A197,Simulations!$A$3:$A$62,0)),1)),$D197/(INDEX(Simulations!$G$3:$G$62,MATCH($A197,Simulations!$A$3:$A$62,0))*INDEX(Simulations!$H$3:$H$62,MATCH($A197,Simulations!$A$3:$A$62,0))*IF(INDEX(Simulations!$I$3:$I$62,MATCH($A197,Simulations!$A$3:$A$62,0))&gt;0,INDEX(Simulations!$I$3:$I$62,MATCH($A197,Simulations!$A$3:$A$62,0)),1))*INDEX(Simulations!$J$3:$J$62,MATCH($A197,Simulations!$A$3:$A$62,0))*IF(INDEX(Simulations!$I$3:$I$62,MATCH($A197,Simulations!$A$3:$A$62,0))&gt;0,2*PI()*INDEX(Simulations!$T$3:$T$62,MATCH($A197,Simulations!$A$3:$A$62,0))^2*INDEX(Simulations!$U$3:$U$62,MATCH($A197,Simulations!$A$3:$A$62,0))/2^1.5*(2/3*LN($G197/INDEX(Simulations!$J$3:$J$62,MATCH($A197,Simulations!$A$3:$A$62,0)))^1.5+SQRT(LN($G197/INDEX(Simulations!$J$3:$J$62,MATCH($A197,Simulations!$A$3:$A$62,0))))+$G197/INDEX(Simulations!$J$3:$J$62,MATCH($A197,Simulations!$A$3:$A$62,0))*SQRT(PI())/2*ERFC(SQRT(LN($G197/INDEX(Simulations!$J$3:$J$62,MATCH($A197,Simulations!$A$3:$A$62,0)))))),PI()*INDEX(Simulations!$T$3:$T$62,MATCH($A197,Simulations!$A$3:$A$62,0))^2/2*(LN($G197/INDEX(Simulations!$J$3:$J$62,MATCH($A197,Simulations!$A$3:$A$62,0)))+1)))))</f>
        <v/>
      </c>
      <c r="T197" s="16" t="str">
        <f aca="false">IF(OR($A197="",ISNA(MATCH($A197,Simulations!$A$3:$A$62,0))),"",IF(N($H197)&lt;=0,0,IF($H197&lt;INDEX(Simulations!$J$3:$J$62,MATCH($A197,Simulations!$A$3:$A$62,0)),$D197/(INDEX(Simulations!$G$3:$G$62,MATCH($A197,Simulations!$A$3:$A$62,0))*INDEX(Simulations!$H$3:$H$62,MATCH($A197,Simulations!$A$3:$A$62,0))*IF(INDEX(Simulations!$I$3:$I$62,MATCH($A197,Simulations!$A$3:$A$62,0))&gt;0,INDEX(Simulations!$I$3:$I$62,MATCH($A197,Simulations!$A$3:$A$62,0)),1))*$H197*(PI()/2*INDEX(Simulations!$T$3:$T$62,MATCH($A197,Simulations!$A$3:$A$62,0))^2*IF(INDEX(Simulations!$I$3:$I$62,MATCH($A197,Simulations!$A$3:$A$62,0))&gt;0,SQRT(PI()/2)*INDEX(Simulations!$U$3:$U$62,MATCH($A197,Simulations!$A$3:$A$62,0)),1)),$D197/(INDEX(Simulations!$G$3:$G$62,MATCH($A197,Simulations!$A$3:$A$62,0))*INDEX(Simulations!$H$3:$H$62,MATCH($A197,Simulations!$A$3:$A$62,0))*IF(INDEX(Simulations!$I$3:$I$62,MATCH($A197,Simulations!$A$3:$A$62,0))&gt;0,INDEX(Simulations!$I$3:$I$62,MATCH($A197,Simulations!$A$3:$A$62,0)),1))*INDEX(Simulations!$J$3:$J$62,MATCH($A197,Simulations!$A$3:$A$62,0))*IF(INDEX(Simulations!$I$3:$I$62,MATCH($A197,Simulations!$A$3:$A$62,0))&gt;0,2*PI()*INDEX(Simulations!$T$3:$T$62,MATCH($A197,Simulations!$A$3:$A$62,0))^2*INDEX(Simulations!$U$3:$U$62,MATCH($A197,Simulations!$A$3:$A$62,0))/2^1.5*(2/3*LN($H197/INDEX(Simulations!$J$3:$J$62,MATCH($A197,Simulations!$A$3:$A$62,0)))^1.5+SQRT(LN($H197/INDEX(Simulations!$J$3:$J$62,MATCH($A197,Simulations!$A$3:$A$62,0))))+$H197/INDEX(Simulations!$J$3:$J$62,MATCH($A197,Simulations!$A$3:$A$62,0))*SQRT(PI())/2*ERFC(SQRT(LN($H197/INDEX(Simulations!$J$3:$J$62,MATCH($A197,Simulations!$A$3:$A$62,0)))))),PI()*INDEX(Simulations!$T$3:$T$62,MATCH($A197,Simulations!$A$3:$A$62,0))^2/2*(LN($H197/INDEX(Simulations!$J$3:$J$62,MATCH($A197,Simulations!$A$3:$A$62,0)))+1)))))</f>
        <v/>
      </c>
      <c r="U197" s="18" t="str">
        <f aca="false">IF(OR(OR($A197="",ISNA(MATCH($A197,Simulations!$A$3:$A$62,0))),N($C197)&lt;=0),"",SQRT(2*$C197*1000000/(INDEX(Simulations!$J$3:$J$62,MATCH($A197,Simulations!$A$3:$A$62,0))*1000))/INDEX(Simulations!$T$3:$T$62,MATCH($A197,Simulations!$A$3:$A$62,0)))</f>
        <v/>
      </c>
      <c r="V197" s="19" t="str">
        <f aca="false">IF($A197="","",IF(ISNA(MATCH($A197,Simulations!$A$3:$A$62,0)),"✖ Sim ID not found on the Simulations sheet",IF($P197&gt;=1,"✖ brightness &gt;= sampling frequency: completely saturated (D too small, c too large)",IF($P197&gt;0.1,"⚠ brightness &gt; 10% of the sampling frequency: focus starts to saturate",IF(N($U197)&gt;0.1,"⚠ diffusion step &gt; 10% of wr: raise the sampling frequency",IF(MAX($E197:$H197)=0,"⚠ no brightness set","✔ OK"))))))</f>
        <v/>
      </c>
    </row>
    <row r="198" customFormat="false" ht="15" hidden="false" customHeight="false" outlineLevel="0" collapsed="false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4"/>
      <c r="O198" s="18" t="str">
        <f aca="false">IF(OR($A198="",ISNA(MATCH($A198,Simulations!$A$3:$A$62,0))),"",IF(INDEX(Simulations!$I$3:$I$62,MATCH($A198,Simulations!$A$3:$A$62,0))&gt;0,$D198/(INDEX(Simulations!$G$3:$G$62,MATCH($A198,Simulations!$A$3:$A$62,0))*INDEX(Simulations!$H$3:$H$62,MATCH($A198,Simulations!$A$3:$A$62,0))*IF(INDEX(Simulations!$I$3:$I$62,MATCH($A198,Simulations!$A$3:$A$62,0))&gt;0,INDEX(Simulations!$I$3:$I$62,MATCH($A198,Simulations!$A$3:$A$62,0)),1))/1E-024/6.022E+023/0.000000001,""))</f>
        <v/>
      </c>
      <c r="P198" s="20" t="str">
        <f aca="false">IF(OR($A198="",ISNA(MATCH($A198,Simulations!$A$3:$A$62,0))),"",MAX($E198:$H198)/INDEX(Simulations!$J$3:$J$62,MATCH($A198,Simulations!$A$3:$A$62,0)))</f>
        <v/>
      </c>
      <c r="Q198" s="16" t="str">
        <f aca="false">IF(OR($A198="",ISNA(MATCH($A198,Simulations!$A$3:$A$62,0))),"",IF(N($E198)&lt;=0,0,IF($E198&lt;INDEX(Simulations!$J$3:$J$62,MATCH($A198,Simulations!$A$3:$A$62,0)),$D198/(INDEX(Simulations!$G$3:$G$62,MATCH($A198,Simulations!$A$3:$A$62,0))*INDEX(Simulations!$H$3:$H$62,MATCH($A198,Simulations!$A$3:$A$62,0))*IF(INDEX(Simulations!$I$3:$I$62,MATCH($A198,Simulations!$A$3:$A$62,0))&gt;0,INDEX(Simulations!$I$3:$I$62,MATCH($A198,Simulations!$A$3:$A$62,0)),1))*$E198*(PI()/2*INDEX(Simulations!$T$3:$T$62,MATCH($A198,Simulations!$A$3:$A$62,0))^2*IF(INDEX(Simulations!$I$3:$I$62,MATCH($A198,Simulations!$A$3:$A$62,0))&gt;0,SQRT(PI()/2)*INDEX(Simulations!$U$3:$U$62,MATCH($A198,Simulations!$A$3:$A$62,0)),1)),$D198/(INDEX(Simulations!$G$3:$G$62,MATCH($A198,Simulations!$A$3:$A$62,0))*INDEX(Simulations!$H$3:$H$62,MATCH($A198,Simulations!$A$3:$A$62,0))*IF(INDEX(Simulations!$I$3:$I$62,MATCH($A198,Simulations!$A$3:$A$62,0))&gt;0,INDEX(Simulations!$I$3:$I$62,MATCH($A198,Simulations!$A$3:$A$62,0)),1))*INDEX(Simulations!$J$3:$J$62,MATCH($A198,Simulations!$A$3:$A$62,0))*IF(INDEX(Simulations!$I$3:$I$62,MATCH($A198,Simulations!$A$3:$A$62,0))&gt;0,2*PI()*INDEX(Simulations!$T$3:$T$62,MATCH($A198,Simulations!$A$3:$A$62,0))^2*INDEX(Simulations!$U$3:$U$62,MATCH($A198,Simulations!$A$3:$A$62,0))/2^1.5*(2/3*LN($E198/INDEX(Simulations!$J$3:$J$62,MATCH($A198,Simulations!$A$3:$A$62,0)))^1.5+SQRT(LN($E198/INDEX(Simulations!$J$3:$J$62,MATCH($A198,Simulations!$A$3:$A$62,0))))+$E198/INDEX(Simulations!$J$3:$J$62,MATCH($A198,Simulations!$A$3:$A$62,0))*SQRT(PI())/2*ERFC(SQRT(LN($E198/INDEX(Simulations!$J$3:$J$62,MATCH($A198,Simulations!$A$3:$A$62,0)))))),PI()*INDEX(Simulations!$T$3:$T$62,MATCH($A198,Simulations!$A$3:$A$62,0))^2/2*(LN($E198/INDEX(Simulations!$J$3:$J$62,MATCH($A198,Simulations!$A$3:$A$62,0)))+1)))))</f>
        <v/>
      </c>
      <c r="R198" s="16" t="str">
        <f aca="false">IF(OR($A198="",ISNA(MATCH($A198,Simulations!$A$3:$A$62,0))),"",IF(N($F198)&lt;=0,0,IF($F198&lt;INDEX(Simulations!$J$3:$J$62,MATCH($A198,Simulations!$A$3:$A$62,0)),$D198/(INDEX(Simulations!$G$3:$G$62,MATCH($A198,Simulations!$A$3:$A$62,0))*INDEX(Simulations!$H$3:$H$62,MATCH($A198,Simulations!$A$3:$A$62,0))*IF(INDEX(Simulations!$I$3:$I$62,MATCH($A198,Simulations!$A$3:$A$62,0))&gt;0,INDEX(Simulations!$I$3:$I$62,MATCH($A198,Simulations!$A$3:$A$62,0)),1))*$F198*(PI()/2*INDEX(Simulations!$T$3:$T$62,MATCH($A198,Simulations!$A$3:$A$62,0))^2*IF(INDEX(Simulations!$I$3:$I$62,MATCH($A198,Simulations!$A$3:$A$62,0))&gt;0,SQRT(PI()/2)*INDEX(Simulations!$U$3:$U$62,MATCH($A198,Simulations!$A$3:$A$62,0)),1)),$D198/(INDEX(Simulations!$G$3:$G$62,MATCH($A198,Simulations!$A$3:$A$62,0))*INDEX(Simulations!$H$3:$H$62,MATCH($A198,Simulations!$A$3:$A$62,0))*IF(INDEX(Simulations!$I$3:$I$62,MATCH($A198,Simulations!$A$3:$A$62,0))&gt;0,INDEX(Simulations!$I$3:$I$62,MATCH($A198,Simulations!$A$3:$A$62,0)),1))*INDEX(Simulations!$J$3:$J$62,MATCH($A198,Simulations!$A$3:$A$62,0))*IF(INDEX(Simulations!$I$3:$I$62,MATCH($A198,Simulations!$A$3:$A$62,0))&gt;0,2*PI()*INDEX(Simulations!$T$3:$T$62,MATCH($A198,Simulations!$A$3:$A$62,0))^2*INDEX(Simulations!$U$3:$U$62,MATCH($A198,Simulations!$A$3:$A$62,0))/2^1.5*(2/3*LN($F198/INDEX(Simulations!$J$3:$J$62,MATCH($A198,Simulations!$A$3:$A$62,0)))^1.5+SQRT(LN($F198/INDEX(Simulations!$J$3:$J$62,MATCH($A198,Simulations!$A$3:$A$62,0))))+$F198/INDEX(Simulations!$J$3:$J$62,MATCH($A198,Simulations!$A$3:$A$62,0))*SQRT(PI())/2*ERFC(SQRT(LN($F198/INDEX(Simulations!$J$3:$J$62,MATCH($A198,Simulations!$A$3:$A$62,0)))))),PI()*INDEX(Simulations!$T$3:$T$62,MATCH($A198,Simulations!$A$3:$A$62,0))^2/2*(LN($F198/INDEX(Simulations!$J$3:$J$62,MATCH($A198,Simulations!$A$3:$A$62,0)))+1)))))</f>
        <v/>
      </c>
      <c r="S198" s="16" t="str">
        <f aca="false">IF(OR($A198="",ISNA(MATCH($A198,Simulations!$A$3:$A$62,0))),"",IF(N($G198)&lt;=0,0,IF($G198&lt;INDEX(Simulations!$J$3:$J$62,MATCH($A198,Simulations!$A$3:$A$62,0)),$D198/(INDEX(Simulations!$G$3:$G$62,MATCH($A198,Simulations!$A$3:$A$62,0))*INDEX(Simulations!$H$3:$H$62,MATCH($A198,Simulations!$A$3:$A$62,0))*IF(INDEX(Simulations!$I$3:$I$62,MATCH($A198,Simulations!$A$3:$A$62,0))&gt;0,INDEX(Simulations!$I$3:$I$62,MATCH($A198,Simulations!$A$3:$A$62,0)),1))*$G198*(PI()/2*INDEX(Simulations!$T$3:$T$62,MATCH($A198,Simulations!$A$3:$A$62,0))^2*IF(INDEX(Simulations!$I$3:$I$62,MATCH($A198,Simulations!$A$3:$A$62,0))&gt;0,SQRT(PI()/2)*INDEX(Simulations!$U$3:$U$62,MATCH($A198,Simulations!$A$3:$A$62,0)),1)),$D198/(INDEX(Simulations!$G$3:$G$62,MATCH($A198,Simulations!$A$3:$A$62,0))*INDEX(Simulations!$H$3:$H$62,MATCH($A198,Simulations!$A$3:$A$62,0))*IF(INDEX(Simulations!$I$3:$I$62,MATCH($A198,Simulations!$A$3:$A$62,0))&gt;0,INDEX(Simulations!$I$3:$I$62,MATCH($A198,Simulations!$A$3:$A$62,0)),1))*INDEX(Simulations!$J$3:$J$62,MATCH($A198,Simulations!$A$3:$A$62,0))*IF(INDEX(Simulations!$I$3:$I$62,MATCH($A198,Simulations!$A$3:$A$62,0))&gt;0,2*PI()*INDEX(Simulations!$T$3:$T$62,MATCH($A198,Simulations!$A$3:$A$62,0))^2*INDEX(Simulations!$U$3:$U$62,MATCH($A198,Simulations!$A$3:$A$62,0))/2^1.5*(2/3*LN($G198/INDEX(Simulations!$J$3:$J$62,MATCH($A198,Simulations!$A$3:$A$62,0)))^1.5+SQRT(LN($G198/INDEX(Simulations!$J$3:$J$62,MATCH($A198,Simulations!$A$3:$A$62,0))))+$G198/INDEX(Simulations!$J$3:$J$62,MATCH($A198,Simulations!$A$3:$A$62,0))*SQRT(PI())/2*ERFC(SQRT(LN($G198/INDEX(Simulations!$J$3:$J$62,MATCH($A198,Simulations!$A$3:$A$62,0)))))),PI()*INDEX(Simulations!$T$3:$T$62,MATCH($A198,Simulations!$A$3:$A$62,0))^2/2*(LN($G198/INDEX(Simulations!$J$3:$J$62,MATCH($A198,Simulations!$A$3:$A$62,0)))+1)))))</f>
        <v/>
      </c>
      <c r="T198" s="16" t="str">
        <f aca="false">IF(OR($A198="",ISNA(MATCH($A198,Simulations!$A$3:$A$62,0))),"",IF(N($H198)&lt;=0,0,IF($H198&lt;INDEX(Simulations!$J$3:$J$62,MATCH($A198,Simulations!$A$3:$A$62,0)),$D198/(INDEX(Simulations!$G$3:$G$62,MATCH($A198,Simulations!$A$3:$A$62,0))*INDEX(Simulations!$H$3:$H$62,MATCH($A198,Simulations!$A$3:$A$62,0))*IF(INDEX(Simulations!$I$3:$I$62,MATCH($A198,Simulations!$A$3:$A$62,0))&gt;0,INDEX(Simulations!$I$3:$I$62,MATCH($A198,Simulations!$A$3:$A$62,0)),1))*$H198*(PI()/2*INDEX(Simulations!$T$3:$T$62,MATCH($A198,Simulations!$A$3:$A$62,0))^2*IF(INDEX(Simulations!$I$3:$I$62,MATCH($A198,Simulations!$A$3:$A$62,0))&gt;0,SQRT(PI()/2)*INDEX(Simulations!$U$3:$U$62,MATCH($A198,Simulations!$A$3:$A$62,0)),1)),$D198/(INDEX(Simulations!$G$3:$G$62,MATCH($A198,Simulations!$A$3:$A$62,0))*INDEX(Simulations!$H$3:$H$62,MATCH($A198,Simulations!$A$3:$A$62,0))*IF(INDEX(Simulations!$I$3:$I$62,MATCH($A198,Simulations!$A$3:$A$62,0))&gt;0,INDEX(Simulations!$I$3:$I$62,MATCH($A198,Simulations!$A$3:$A$62,0)),1))*INDEX(Simulations!$J$3:$J$62,MATCH($A198,Simulations!$A$3:$A$62,0))*IF(INDEX(Simulations!$I$3:$I$62,MATCH($A198,Simulations!$A$3:$A$62,0))&gt;0,2*PI()*INDEX(Simulations!$T$3:$T$62,MATCH($A198,Simulations!$A$3:$A$62,0))^2*INDEX(Simulations!$U$3:$U$62,MATCH($A198,Simulations!$A$3:$A$62,0))/2^1.5*(2/3*LN($H198/INDEX(Simulations!$J$3:$J$62,MATCH($A198,Simulations!$A$3:$A$62,0)))^1.5+SQRT(LN($H198/INDEX(Simulations!$J$3:$J$62,MATCH($A198,Simulations!$A$3:$A$62,0))))+$H198/INDEX(Simulations!$J$3:$J$62,MATCH($A198,Simulations!$A$3:$A$62,0))*SQRT(PI())/2*ERFC(SQRT(LN($H198/INDEX(Simulations!$J$3:$J$62,MATCH($A198,Simulations!$A$3:$A$62,0)))))),PI()*INDEX(Simulations!$T$3:$T$62,MATCH($A198,Simulations!$A$3:$A$62,0))^2/2*(LN($H198/INDEX(Simulations!$J$3:$J$62,MATCH($A198,Simulations!$A$3:$A$62,0)))+1)))))</f>
        <v/>
      </c>
      <c r="U198" s="18" t="str">
        <f aca="false">IF(OR(OR($A198="",ISNA(MATCH($A198,Simulations!$A$3:$A$62,0))),N($C198)&lt;=0),"",SQRT(2*$C198*1000000/(INDEX(Simulations!$J$3:$J$62,MATCH($A198,Simulations!$A$3:$A$62,0))*1000))/INDEX(Simulations!$T$3:$T$62,MATCH($A198,Simulations!$A$3:$A$62,0)))</f>
        <v/>
      </c>
      <c r="V198" s="19" t="str">
        <f aca="false">IF($A198="","",IF(ISNA(MATCH($A198,Simulations!$A$3:$A$62,0)),"✖ Sim ID not found on the Simulations sheet",IF($P198&gt;=1,"✖ brightness &gt;= sampling frequency: completely saturated (D too small, c too large)",IF($P198&gt;0.1,"⚠ brightness &gt; 10% of the sampling frequency: focus starts to saturate",IF(N($U198)&gt;0.1,"⚠ diffusion step &gt; 10% of wr: raise the sampling frequency",IF(MAX($E198:$H198)=0,"⚠ no brightness set","✔ OK"))))))</f>
        <v/>
      </c>
    </row>
    <row r="199" customFormat="false" ht="15" hidden="false" customHeight="false" outlineLevel="0" collapsed="false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4"/>
      <c r="O199" s="18" t="str">
        <f aca="false">IF(OR($A199="",ISNA(MATCH($A199,Simulations!$A$3:$A$62,0))),"",IF(INDEX(Simulations!$I$3:$I$62,MATCH($A199,Simulations!$A$3:$A$62,0))&gt;0,$D199/(INDEX(Simulations!$G$3:$G$62,MATCH($A199,Simulations!$A$3:$A$62,0))*INDEX(Simulations!$H$3:$H$62,MATCH($A199,Simulations!$A$3:$A$62,0))*IF(INDEX(Simulations!$I$3:$I$62,MATCH($A199,Simulations!$A$3:$A$62,0))&gt;0,INDEX(Simulations!$I$3:$I$62,MATCH($A199,Simulations!$A$3:$A$62,0)),1))/1E-024/6.022E+023/0.000000001,""))</f>
        <v/>
      </c>
      <c r="P199" s="20" t="str">
        <f aca="false">IF(OR($A199="",ISNA(MATCH($A199,Simulations!$A$3:$A$62,0))),"",MAX($E199:$H199)/INDEX(Simulations!$J$3:$J$62,MATCH($A199,Simulations!$A$3:$A$62,0)))</f>
        <v/>
      </c>
      <c r="Q199" s="16" t="str">
        <f aca="false">IF(OR($A199="",ISNA(MATCH($A199,Simulations!$A$3:$A$62,0))),"",IF(N($E199)&lt;=0,0,IF($E199&lt;INDEX(Simulations!$J$3:$J$62,MATCH($A199,Simulations!$A$3:$A$62,0)),$D199/(INDEX(Simulations!$G$3:$G$62,MATCH($A199,Simulations!$A$3:$A$62,0))*INDEX(Simulations!$H$3:$H$62,MATCH($A199,Simulations!$A$3:$A$62,0))*IF(INDEX(Simulations!$I$3:$I$62,MATCH($A199,Simulations!$A$3:$A$62,0))&gt;0,INDEX(Simulations!$I$3:$I$62,MATCH($A199,Simulations!$A$3:$A$62,0)),1))*$E199*(PI()/2*INDEX(Simulations!$T$3:$T$62,MATCH($A199,Simulations!$A$3:$A$62,0))^2*IF(INDEX(Simulations!$I$3:$I$62,MATCH($A199,Simulations!$A$3:$A$62,0))&gt;0,SQRT(PI()/2)*INDEX(Simulations!$U$3:$U$62,MATCH($A199,Simulations!$A$3:$A$62,0)),1)),$D199/(INDEX(Simulations!$G$3:$G$62,MATCH($A199,Simulations!$A$3:$A$62,0))*INDEX(Simulations!$H$3:$H$62,MATCH($A199,Simulations!$A$3:$A$62,0))*IF(INDEX(Simulations!$I$3:$I$62,MATCH($A199,Simulations!$A$3:$A$62,0))&gt;0,INDEX(Simulations!$I$3:$I$62,MATCH($A199,Simulations!$A$3:$A$62,0)),1))*INDEX(Simulations!$J$3:$J$62,MATCH($A199,Simulations!$A$3:$A$62,0))*IF(INDEX(Simulations!$I$3:$I$62,MATCH($A199,Simulations!$A$3:$A$62,0))&gt;0,2*PI()*INDEX(Simulations!$T$3:$T$62,MATCH($A199,Simulations!$A$3:$A$62,0))^2*INDEX(Simulations!$U$3:$U$62,MATCH($A199,Simulations!$A$3:$A$62,0))/2^1.5*(2/3*LN($E199/INDEX(Simulations!$J$3:$J$62,MATCH($A199,Simulations!$A$3:$A$62,0)))^1.5+SQRT(LN($E199/INDEX(Simulations!$J$3:$J$62,MATCH($A199,Simulations!$A$3:$A$62,0))))+$E199/INDEX(Simulations!$J$3:$J$62,MATCH($A199,Simulations!$A$3:$A$62,0))*SQRT(PI())/2*ERFC(SQRT(LN($E199/INDEX(Simulations!$J$3:$J$62,MATCH($A199,Simulations!$A$3:$A$62,0)))))),PI()*INDEX(Simulations!$T$3:$T$62,MATCH($A199,Simulations!$A$3:$A$62,0))^2/2*(LN($E199/INDEX(Simulations!$J$3:$J$62,MATCH($A199,Simulations!$A$3:$A$62,0)))+1)))))</f>
        <v/>
      </c>
      <c r="R199" s="16" t="str">
        <f aca="false">IF(OR($A199="",ISNA(MATCH($A199,Simulations!$A$3:$A$62,0))),"",IF(N($F199)&lt;=0,0,IF($F199&lt;INDEX(Simulations!$J$3:$J$62,MATCH($A199,Simulations!$A$3:$A$62,0)),$D199/(INDEX(Simulations!$G$3:$G$62,MATCH($A199,Simulations!$A$3:$A$62,0))*INDEX(Simulations!$H$3:$H$62,MATCH($A199,Simulations!$A$3:$A$62,0))*IF(INDEX(Simulations!$I$3:$I$62,MATCH($A199,Simulations!$A$3:$A$62,0))&gt;0,INDEX(Simulations!$I$3:$I$62,MATCH($A199,Simulations!$A$3:$A$62,0)),1))*$F199*(PI()/2*INDEX(Simulations!$T$3:$T$62,MATCH($A199,Simulations!$A$3:$A$62,0))^2*IF(INDEX(Simulations!$I$3:$I$62,MATCH($A199,Simulations!$A$3:$A$62,0))&gt;0,SQRT(PI()/2)*INDEX(Simulations!$U$3:$U$62,MATCH($A199,Simulations!$A$3:$A$62,0)),1)),$D199/(INDEX(Simulations!$G$3:$G$62,MATCH($A199,Simulations!$A$3:$A$62,0))*INDEX(Simulations!$H$3:$H$62,MATCH($A199,Simulations!$A$3:$A$62,0))*IF(INDEX(Simulations!$I$3:$I$62,MATCH($A199,Simulations!$A$3:$A$62,0))&gt;0,INDEX(Simulations!$I$3:$I$62,MATCH($A199,Simulations!$A$3:$A$62,0)),1))*INDEX(Simulations!$J$3:$J$62,MATCH($A199,Simulations!$A$3:$A$62,0))*IF(INDEX(Simulations!$I$3:$I$62,MATCH($A199,Simulations!$A$3:$A$62,0))&gt;0,2*PI()*INDEX(Simulations!$T$3:$T$62,MATCH($A199,Simulations!$A$3:$A$62,0))^2*INDEX(Simulations!$U$3:$U$62,MATCH($A199,Simulations!$A$3:$A$62,0))/2^1.5*(2/3*LN($F199/INDEX(Simulations!$J$3:$J$62,MATCH($A199,Simulations!$A$3:$A$62,0)))^1.5+SQRT(LN($F199/INDEX(Simulations!$J$3:$J$62,MATCH($A199,Simulations!$A$3:$A$62,0))))+$F199/INDEX(Simulations!$J$3:$J$62,MATCH($A199,Simulations!$A$3:$A$62,0))*SQRT(PI())/2*ERFC(SQRT(LN($F199/INDEX(Simulations!$J$3:$J$62,MATCH($A199,Simulations!$A$3:$A$62,0)))))),PI()*INDEX(Simulations!$T$3:$T$62,MATCH($A199,Simulations!$A$3:$A$62,0))^2/2*(LN($F199/INDEX(Simulations!$J$3:$J$62,MATCH($A199,Simulations!$A$3:$A$62,0)))+1)))))</f>
        <v/>
      </c>
      <c r="S199" s="16" t="str">
        <f aca="false">IF(OR($A199="",ISNA(MATCH($A199,Simulations!$A$3:$A$62,0))),"",IF(N($G199)&lt;=0,0,IF($G199&lt;INDEX(Simulations!$J$3:$J$62,MATCH($A199,Simulations!$A$3:$A$62,0)),$D199/(INDEX(Simulations!$G$3:$G$62,MATCH($A199,Simulations!$A$3:$A$62,0))*INDEX(Simulations!$H$3:$H$62,MATCH($A199,Simulations!$A$3:$A$62,0))*IF(INDEX(Simulations!$I$3:$I$62,MATCH($A199,Simulations!$A$3:$A$62,0))&gt;0,INDEX(Simulations!$I$3:$I$62,MATCH($A199,Simulations!$A$3:$A$62,0)),1))*$G199*(PI()/2*INDEX(Simulations!$T$3:$T$62,MATCH($A199,Simulations!$A$3:$A$62,0))^2*IF(INDEX(Simulations!$I$3:$I$62,MATCH($A199,Simulations!$A$3:$A$62,0))&gt;0,SQRT(PI()/2)*INDEX(Simulations!$U$3:$U$62,MATCH($A199,Simulations!$A$3:$A$62,0)),1)),$D199/(INDEX(Simulations!$G$3:$G$62,MATCH($A199,Simulations!$A$3:$A$62,0))*INDEX(Simulations!$H$3:$H$62,MATCH($A199,Simulations!$A$3:$A$62,0))*IF(INDEX(Simulations!$I$3:$I$62,MATCH($A199,Simulations!$A$3:$A$62,0))&gt;0,INDEX(Simulations!$I$3:$I$62,MATCH($A199,Simulations!$A$3:$A$62,0)),1))*INDEX(Simulations!$J$3:$J$62,MATCH($A199,Simulations!$A$3:$A$62,0))*IF(INDEX(Simulations!$I$3:$I$62,MATCH($A199,Simulations!$A$3:$A$62,0))&gt;0,2*PI()*INDEX(Simulations!$T$3:$T$62,MATCH($A199,Simulations!$A$3:$A$62,0))^2*INDEX(Simulations!$U$3:$U$62,MATCH($A199,Simulations!$A$3:$A$62,0))/2^1.5*(2/3*LN($G199/INDEX(Simulations!$J$3:$J$62,MATCH($A199,Simulations!$A$3:$A$62,0)))^1.5+SQRT(LN($G199/INDEX(Simulations!$J$3:$J$62,MATCH($A199,Simulations!$A$3:$A$62,0))))+$G199/INDEX(Simulations!$J$3:$J$62,MATCH($A199,Simulations!$A$3:$A$62,0))*SQRT(PI())/2*ERFC(SQRT(LN($G199/INDEX(Simulations!$J$3:$J$62,MATCH($A199,Simulations!$A$3:$A$62,0)))))),PI()*INDEX(Simulations!$T$3:$T$62,MATCH($A199,Simulations!$A$3:$A$62,0))^2/2*(LN($G199/INDEX(Simulations!$J$3:$J$62,MATCH($A199,Simulations!$A$3:$A$62,0)))+1)))))</f>
        <v/>
      </c>
      <c r="T199" s="16" t="str">
        <f aca="false">IF(OR($A199="",ISNA(MATCH($A199,Simulations!$A$3:$A$62,0))),"",IF(N($H199)&lt;=0,0,IF($H199&lt;INDEX(Simulations!$J$3:$J$62,MATCH($A199,Simulations!$A$3:$A$62,0)),$D199/(INDEX(Simulations!$G$3:$G$62,MATCH($A199,Simulations!$A$3:$A$62,0))*INDEX(Simulations!$H$3:$H$62,MATCH($A199,Simulations!$A$3:$A$62,0))*IF(INDEX(Simulations!$I$3:$I$62,MATCH($A199,Simulations!$A$3:$A$62,0))&gt;0,INDEX(Simulations!$I$3:$I$62,MATCH($A199,Simulations!$A$3:$A$62,0)),1))*$H199*(PI()/2*INDEX(Simulations!$T$3:$T$62,MATCH($A199,Simulations!$A$3:$A$62,0))^2*IF(INDEX(Simulations!$I$3:$I$62,MATCH($A199,Simulations!$A$3:$A$62,0))&gt;0,SQRT(PI()/2)*INDEX(Simulations!$U$3:$U$62,MATCH($A199,Simulations!$A$3:$A$62,0)),1)),$D199/(INDEX(Simulations!$G$3:$G$62,MATCH($A199,Simulations!$A$3:$A$62,0))*INDEX(Simulations!$H$3:$H$62,MATCH($A199,Simulations!$A$3:$A$62,0))*IF(INDEX(Simulations!$I$3:$I$62,MATCH($A199,Simulations!$A$3:$A$62,0))&gt;0,INDEX(Simulations!$I$3:$I$62,MATCH($A199,Simulations!$A$3:$A$62,0)),1))*INDEX(Simulations!$J$3:$J$62,MATCH($A199,Simulations!$A$3:$A$62,0))*IF(INDEX(Simulations!$I$3:$I$62,MATCH($A199,Simulations!$A$3:$A$62,0))&gt;0,2*PI()*INDEX(Simulations!$T$3:$T$62,MATCH($A199,Simulations!$A$3:$A$62,0))^2*INDEX(Simulations!$U$3:$U$62,MATCH($A199,Simulations!$A$3:$A$62,0))/2^1.5*(2/3*LN($H199/INDEX(Simulations!$J$3:$J$62,MATCH($A199,Simulations!$A$3:$A$62,0)))^1.5+SQRT(LN($H199/INDEX(Simulations!$J$3:$J$62,MATCH($A199,Simulations!$A$3:$A$62,0))))+$H199/INDEX(Simulations!$J$3:$J$62,MATCH($A199,Simulations!$A$3:$A$62,0))*SQRT(PI())/2*ERFC(SQRT(LN($H199/INDEX(Simulations!$J$3:$J$62,MATCH($A199,Simulations!$A$3:$A$62,0)))))),PI()*INDEX(Simulations!$T$3:$T$62,MATCH($A199,Simulations!$A$3:$A$62,0))^2/2*(LN($H199/INDEX(Simulations!$J$3:$J$62,MATCH($A199,Simulations!$A$3:$A$62,0)))+1)))))</f>
        <v/>
      </c>
      <c r="U199" s="18" t="str">
        <f aca="false">IF(OR(OR($A199="",ISNA(MATCH($A199,Simulations!$A$3:$A$62,0))),N($C199)&lt;=0),"",SQRT(2*$C199*1000000/(INDEX(Simulations!$J$3:$J$62,MATCH($A199,Simulations!$A$3:$A$62,0))*1000))/INDEX(Simulations!$T$3:$T$62,MATCH($A199,Simulations!$A$3:$A$62,0)))</f>
        <v/>
      </c>
      <c r="V199" s="19" t="str">
        <f aca="false">IF($A199="","",IF(ISNA(MATCH($A199,Simulations!$A$3:$A$62,0)),"✖ Sim ID not found on the Simulations sheet",IF($P199&gt;=1,"✖ brightness &gt;= sampling frequency: completely saturated (D too small, c too large)",IF($P199&gt;0.1,"⚠ brightness &gt; 10% of the sampling frequency: focus starts to saturate",IF(N($U199)&gt;0.1,"⚠ diffusion step &gt; 10% of wr: raise the sampling frequency",IF(MAX($E199:$H199)=0,"⚠ no brightness set","✔ OK"))))))</f>
        <v/>
      </c>
    </row>
    <row r="200" customFormat="false" ht="15" hidden="false" customHeight="false" outlineLevel="0" collapsed="false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4"/>
      <c r="O200" s="18" t="str">
        <f aca="false">IF(OR($A200="",ISNA(MATCH($A200,Simulations!$A$3:$A$62,0))),"",IF(INDEX(Simulations!$I$3:$I$62,MATCH($A200,Simulations!$A$3:$A$62,0))&gt;0,$D200/(INDEX(Simulations!$G$3:$G$62,MATCH($A200,Simulations!$A$3:$A$62,0))*INDEX(Simulations!$H$3:$H$62,MATCH($A200,Simulations!$A$3:$A$62,0))*IF(INDEX(Simulations!$I$3:$I$62,MATCH($A200,Simulations!$A$3:$A$62,0))&gt;0,INDEX(Simulations!$I$3:$I$62,MATCH($A200,Simulations!$A$3:$A$62,0)),1))/1E-024/6.022E+023/0.000000001,""))</f>
        <v/>
      </c>
      <c r="P200" s="20" t="str">
        <f aca="false">IF(OR($A200="",ISNA(MATCH($A200,Simulations!$A$3:$A$62,0))),"",MAX($E200:$H200)/INDEX(Simulations!$J$3:$J$62,MATCH($A200,Simulations!$A$3:$A$62,0)))</f>
        <v/>
      </c>
      <c r="Q200" s="16" t="str">
        <f aca="false">IF(OR($A200="",ISNA(MATCH($A200,Simulations!$A$3:$A$62,0))),"",IF(N($E200)&lt;=0,0,IF($E200&lt;INDEX(Simulations!$J$3:$J$62,MATCH($A200,Simulations!$A$3:$A$62,0)),$D200/(INDEX(Simulations!$G$3:$G$62,MATCH($A200,Simulations!$A$3:$A$62,0))*INDEX(Simulations!$H$3:$H$62,MATCH($A200,Simulations!$A$3:$A$62,0))*IF(INDEX(Simulations!$I$3:$I$62,MATCH($A200,Simulations!$A$3:$A$62,0))&gt;0,INDEX(Simulations!$I$3:$I$62,MATCH($A200,Simulations!$A$3:$A$62,0)),1))*$E200*(PI()/2*INDEX(Simulations!$T$3:$T$62,MATCH($A200,Simulations!$A$3:$A$62,0))^2*IF(INDEX(Simulations!$I$3:$I$62,MATCH($A200,Simulations!$A$3:$A$62,0))&gt;0,SQRT(PI()/2)*INDEX(Simulations!$U$3:$U$62,MATCH($A200,Simulations!$A$3:$A$62,0)),1)),$D200/(INDEX(Simulations!$G$3:$G$62,MATCH($A200,Simulations!$A$3:$A$62,0))*INDEX(Simulations!$H$3:$H$62,MATCH($A200,Simulations!$A$3:$A$62,0))*IF(INDEX(Simulations!$I$3:$I$62,MATCH($A200,Simulations!$A$3:$A$62,0))&gt;0,INDEX(Simulations!$I$3:$I$62,MATCH($A200,Simulations!$A$3:$A$62,0)),1))*INDEX(Simulations!$J$3:$J$62,MATCH($A200,Simulations!$A$3:$A$62,0))*IF(INDEX(Simulations!$I$3:$I$62,MATCH($A200,Simulations!$A$3:$A$62,0))&gt;0,2*PI()*INDEX(Simulations!$T$3:$T$62,MATCH($A200,Simulations!$A$3:$A$62,0))^2*INDEX(Simulations!$U$3:$U$62,MATCH($A200,Simulations!$A$3:$A$62,0))/2^1.5*(2/3*LN($E200/INDEX(Simulations!$J$3:$J$62,MATCH($A200,Simulations!$A$3:$A$62,0)))^1.5+SQRT(LN($E200/INDEX(Simulations!$J$3:$J$62,MATCH($A200,Simulations!$A$3:$A$62,0))))+$E200/INDEX(Simulations!$J$3:$J$62,MATCH($A200,Simulations!$A$3:$A$62,0))*SQRT(PI())/2*ERFC(SQRT(LN($E200/INDEX(Simulations!$J$3:$J$62,MATCH($A200,Simulations!$A$3:$A$62,0)))))),PI()*INDEX(Simulations!$T$3:$T$62,MATCH($A200,Simulations!$A$3:$A$62,0))^2/2*(LN($E200/INDEX(Simulations!$J$3:$J$62,MATCH($A200,Simulations!$A$3:$A$62,0)))+1)))))</f>
        <v/>
      </c>
      <c r="R200" s="16" t="str">
        <f aca="false">IF(OR($A200="",ISNA(MATCH($A200,Simulations!$A$3:$A$62,0))),"",IF(N($F200)&lt;=0,0,IF($F200&lt;INDEX(Simulations!$J$3:$J$62,MATCH($A200,Simulations!$A$3:$A$62,0)),$D200/(INDEX(Simulations!$G$3:$G$62,MATCH($A200,Simulations!$A$3:$A$62,0))*INDEX(Simulations!$H$3:$H$62,MATCH($A200,Simulations!$A$3:$A$62,0))*IF(INDEX(Simulations!$I$3:$I$62,MATCH($A200,Simulations!$A$3:$A$62,0))&gt;0,INDEX(Simulations!$I$3:$I$62,MATCH($A200,Simulations!$A$3:$A$62,0)),1))*$F200*(PI()/2*INDEX(Simulations!$T$3:$T$62,MATCH($A200,Simulations!$A$3:$A$62,0))^2*IF(INDEX(Simulations!$I$3:$I$62,MATCH($A200,Simulations!$A$3:$A$62,0))&gt;0,SQRT(PI()/2)*INDEX(Simulations!$U$3:$U$62,MATCH($A200,Simulations!$A$3:$A$62,0)),1)),$D200/(INDEX(Simulations!$G$3:$G$62,MATCH($A200,Simulations!$A$3:$A$62,0))*INDEX(Simulations!$H$3:$H$62,MATCH($A200,Simulations!$A$3:$A$62,0))*IF(INDEX(Simulations!$I$3:$I$62,MATCH($A200,Simulations!$A$3:$A$62,0))&gt;0,INDEX(Simulations!$I$3:$I$62,MATCH($A200,Simulations!$A$3:$A$62,0)),1))*INDEX(Simulations!$J$3:$J$62,MATCH($A200,Simulations!$A$3:$A$62,0))*IF(INDEX(Simulations!$I$3:$I$62,MATCH($A200,Simulations!$A$3:$A$62,0))&gt;0,2*PI()*INDEX(Simulations!$T$3:$T$62,MATCH($A200,Simulations!$A$3:$A$62,0))^2*INDEX(Simulations!$U$3:$U$62,MATCH($A200,Simulations!$A$3:$A$62,0))/2^1.5*(2/3*LN($F200/INDEX(Simulations!$J$3:$J$62,MATCH($A200,Simulations!$A$3:$A$62,0)))^1.5+SQRT(LN($F200/INDEX(Simulations!$J$3:$J$62,MATCH($A200,Simulations!$A$3:$A$62,0))))+$F200/INDEX(Simulations!$J$3:$J$62,MATCH($A200,Simulations!$A$3:$A$62,0))*SQRT(PI())/2*ERFC(SQRT(LN($F200/INDEX(Simulations!$J$3:$J$62,MATCH($A200,Simulations!$A$3:$A$62,0)))))),PI()*INDEX(Simulations!$T$3:$T$62,MATCH($A200,Simulations!$A$3:$A$62,0))^2/2*(LN($F200/INDEX(Simulations!$J$3:$J$62,MATCH($A200,Simulations!$A$3:$A$62,0)))+1)))))</f>
        <v/>
      </c>
      <c r="S200" s="16" t="str">
        <f aca="false">IF(OR($A200="",ISNA(MATCH($A200,Simulations!$A$3:$A$62,0))),"",IF(N($G200)&lt;=0,0,IF($G200&lt;INDEX(Simulations!$J$3:$J$62,MATCH($A200,Simulations!$A$3:$A$62,0)),$D200/(INDEX(Simulations!$G$3:$G$62,MATCH($A200,Simulations!$A$3:$A$62,0))*INDEX(Simulations!$H$3:$H$62,MATCH($A200,Simulations!$A$3:$A$62,0))*IF(INDEX(Simulations!$I$3:$I$62,MATCH($A200,Simulations!$A$3:$A$62,0))&gt;0,INDEX(Simulations!$I$3:$I$62,MATCH($A200,Simulations!$A$3:$A$62,0)),1))*$G200*(PI()/2*INDEX(Simulations!$T$3:$T$62,MATCH($A200,Simulations!$A$3:$A$62,0))^2*IF(INDEX(Simulations!$I$3:$I$62,MATCH($A200,Simulations!$A$3:$A$62,0))&gt;0,SQRT(PI()/2)*INDEX(Simulations!$U$3:$U$62,MATCH($A200,Simulations!$A$3:$A$62,0)),1)),$D200/(INDEX(Simulations!$G$3:$G$62,MATCH($A200,Simulations!$A$3:$A$62,0))*INDEX(Simulations!$H$3:$H$62,MATCH($A200,Simulations!$A$3:$A$62,0))*IF(INDEX(Simulations!$I$3:$I$62,MATCH($A200,Simulations!$A$3:$A$62,0))&gt;0,INDEX(Simulations!$I$3:$I$62,MATCH($A200,Simulations!$A$3:$A$62,0)),1))*INDEX(Simulations!$J$3:$J$62,MATCH($A200,Simulations!$A$3:$A$62,0))*IF(INDEX(Simulations!$I$3:$I$62,MATCH($A200,Simulations!$A$3:$A$62,0))&gt;0,2*PI()*INDEX(Simulations!$T$3:$T$62,MATCH($A200,Simulations!$A$3:$A$62,0))^2*INDEX(Simulations!$U$3:$U$62,MATCH($A200,Simulations!$A$3:$A$62,0))/2^1.5*(2/3*LN($G200/INDEX(Simulations!$J$3:$J$62,MATCH($A200,Simulations!$A$3:$A$62,0)))^1.5+SQRT(LN($G200/INDEX(Simulations!$J$3:$J$62,MATCH($A200,Simulations!$A$3:$A$62,0))))+$G200/INDEX(Simulations!$J$3:$J$62,MATCH($A200,Simulations!$A$3:$A$62,0))*SQRT(PI())/2*ERFC(SQRT(LN($G200/INDEX(Simulations!$J$3:$J$62,MATCH($A200,Simulations!$A$3:$A$62,0)))))),PI()*INDEX(Simulations!$T$3:$T$62,MATCH($A200,Simulations!$A$3:$A$62,0))^2/2*(LN($G200/INDEX(Simulations!$J$3:$J$62,MATCH($A200,Simulations!$A$3:$A$62,0)))+1)))))</f>
        <v/>
      </c>
      <c r="T200" s="16" t="str">
        <f aca="false">IF(OR($A200="",ISNA(MATCH($A200,Simulations!$A$3:$A$62,0))),"",IF(N($H200)&lt;=0,0,IF($H200&lt;INDEX(Simulations!$J$3:$J$62,MATCH($A200,Simulations!$A$3:$A$62,0)),$D200/(INDEX(Simulations!$G$3:$G$62,MATCH($A200,Simulations!$A$3:$A$62,0))*INDEX(Simulations!$H$3:$H$62,MATCH($A200,Simulations!$A$3:$A$62,0))*IF(INDEX(Simulations!$I$3:$I$62,MATCH($A200,Simulations!$A$3:$A$62,0))&gt;0,INDEX(Simulations!$I$3:$I$62,MATCH($A200,Simulations!$A$3:$A$62,0)),1))*$H200*(PI()/2*INDEX(Simulations!$T$3:$T$62,MATCH($A200,Simulations!$A$3:$A$62,0))^2*IF(INDEX(Simulations!$I$3:$I$62,MATCH($A200,Simulations!$A$3:$A$62,0))&gt;0,SQRT(PI()/2)*INDEX(Simulations!$U$3:$U$62,MATCH($A200,Simulations!$A$3:$A$62,0)),1)),$D200/(INDEX(Simulations!$G$3:$G$62,MATCH($A200,Simulations!$A$3:$A$62,0))*INDEX(Simulations!$H$3:$H$62,MATCH($A200,Simulations!$A$3:$A$62,0))*IF(INDEX(Simulations!$I$3:$I$62,MATCH($A200,Simulations!$A$3:$A$62,0))&gt;0,INDEX(Simulations!$I$3:$I$62,MATCH($A200,Simulations!$A$3:$A$62,0)),1))*INDEX(Simulations!$J$3:$J$62,MATCH($A200,Simulations!$A$3:$A$62,0))*IF(INDEX(Simulations!$I$3:$I$62,MATCH($A200,Simulations!$A$3:$A$62,0))&gt;0,2*PI()*INDEX(Simulations!$T$3:$T$62,MATCH($A200,Simulations!$A$3:$A$62,0))^2*INDEX(Simulations!$U$3:$U$62,MATCH($A200,Simulations!$A$3:$A$62,0))/2^1.5*(2/3*LN($H200/INDEX(Simulations!$J$3:$J$62,MATCH($A200,Simulations!$A$3:$A$62,0)))^1.5+SQRT(LN($H200/INDEX(Simulations!$J$3:$J$62,MATCH($A200,Simulations!$A$3:$A$62,0))))+$H200/INDEX(Simulations!$J$3:$J$62,MATCH($A200,Simulations!$A$3:$A$62,0))*SQRT(PI())/2*ERFC(SQRT(LN($H200/INDEX(Simulations!$J$3:$J$62,MATCH($A200,Simulations!$A$3:$A$62,0)))))),PI()*INDEX(Simulations!$T$3:$T$62,MATCH($A200,Simulations!$A$3:$A$62,0))^2/2*(LN($H200/INDEX(Simulations!$J$3:$J$62,MATCH($A200,Simulations!$A$3:$A$62,0)))+1)))))</f>
        <v/>
      </c>
      <c r="U200" s="18" t="str">
        <f aca="false">IF(OR(OR($A200="",ISNA(MATCH($A200,Simulations!$A$3:$A$62,0))),N($C200)&lt;=0),"",SQRT(2*$C200*1000000/(INDEX(Simulations!$J$3:$J$62,MATCH($A200,Simulations!$A$3:$A$62,0))*1000))/INDEX(Simulations!$T$3:$T$62,MATCH($A200,Simulations!$A$3:$A$62,0)))</f>
        <v/>
      </c>
      <c r="V200" s="19" t="str">
        <f aca="false">IF($A200="","",IF(ISNA(MATCH($A200,Simulations!$A$3:$A$62,0)),"✖ Sim ID not found on the Simulations sheet",IF($P200&gt;=1,"✖ brightness &gt;= sampling frequency: completely saturated (D too small, c too large)",IF($P200&gt;0.1,"⚠ brightness &gt; 10% of the sampling frequency: focus starts to saturate",IF(N($U200)&gt;0.1,"⚠ diffusion step &gt; 10% of wr: raise the sampling frequency",IF(MAX($E200:$H200)=0,"⚠ no brightness set","✔ OK"))))))</f>
        <v/>
      </c>
    </row>
    <row r="201" customFormat="false" ht="15" hidden="false" customHeight="false" outlineLevel="0" collapsed="false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4"/>
      <c r="O201" s="18" t="str">
        <f aca="false">IF(OR($A201="",ISNA(MATCH($A201,Simulations!$A$3:$A$62,0))),"",IF(INDEX(Simulations!$I$3:$I$62,MATCH($A201,Simulations!$A$3:$A$62,0))&gt;0,$D201/(INDEX(Simulations!$G$3:$G$62,MATCH($A201,Simulations!$A$3:$A$62,0))*INDEX(Simulations!$H$3:$H$62,MATCH($A201,Simulations!$A$3:$A$62,0))*IF(INDEX(Simulations!$I$3:$I$62,MATCH($A201,Simulations!$A$3:$A$62,0))&gt;0,INDEX(Simulations!$I$3:$I$62,MATCH($A201,Simulations!$A$3:$A$62,0)),1))/1E-024/6.022E+023/0.000000001,""))</f>
        <v/>
      </c>
      <c r="P201" s="20" t="str">
        <f aca="false">IF(OR($A201="",ISNA(MATCH($A201,Simulations!$A$3:$A$62,0))),"",MAX($E201:$H201)/INDEX(Simulations!$J$3:$J$62,MATCH($A201,Simulations!$A$3:$A$62,0)))</f>
        <v/>
      </c>
      <c r="Q201" s="16" t="str">
        <f aca="false">IF(OR($A201="",ISNA(MATCH($A201,Simulations!$A$3:$A$62,0))),"",IF(N($E201)&lt;=0,0,IF($E201&lt;INDEX(Simulations!$J$3:$J$62,MATCH($A201,Simulations!$A$3:$A$62,0)),$D201/(INDEX(Simulations!$G$3:$G$62,MATCH($A201,Simulations!$A$3:$A$62,0))*INDEX(Simulations!$H$3:$H$62,MATCH($A201,Simulations!$A$3:$A$62,0))*IF(INDEX(Simulations!$I$3:$I$62,MATCH($A201,Simulations!$A$3:$A$62,0))&gt;0,INDEX(Simulations!$I$3:$I$62,MATCH($A201,Simulations!$A$3:$A$62,0)),1))*$E201*(PI()/2*INDEX(Simulations!$T$3:$T$62,MATCH($A201,Simulations!$A$3:$A$62,0))^2*IF(INDEX(Simulations!$I$3:$I$62,MATCH($A201,Simulations!$A$3:$A$62,0))&gt;0,SQRT(PI()/2)*INDEX(Simulations!$U$3:$U$62,MATCH($A201,Simulations!$A$3:$A$62,0)),1)),$D201/(INDEX(Simulations!$G$3:$G$62,MATCH($A201,Simulations!$A$3:$A$62,0))*INDEX(Simulations!$H$3:$H$62,MATCH($A201,Simulations!$A$3:$A$62,0))*IF(INDEX(Simulations!$I$3:$I$62,MATCH($A201,Simulations!$A$3:$A$62,0))&gt;0,INDEX(Simulations!$I$3:$I$62,MATCH($A201,Simulations!$A$3:$A$62,0)),1))*INDEX(Simulations!$J$3:$J$62,MATCH($A201,Simulations!$A$3:$A$62,0))*IF(INDEX(Simulations!$I$3:$I$62,MATCH($A201,Simulations!$A$3:$A$62,0))&gt;0,2*PI()*INDEX(Simulations!$T$3:$T$62,MATCH($A201,Simulations!$A$3:$A$62,0))^2*INDEX(Simulations!$U$3:$U$62,MATCH($A201,Simulations!$A$3:$A$62,0))/2^1.5*(2/3*LN($E201/INDEX(Simulations!$J$3:$J$62,MATCH($A201,Simulations!$A$3:$A$62,0)))^1.5+SQRT(LN($E201/INDEX(Simulations!$J$3:$J$62,MATCH($A201,Simulations!$A$3:$A$62,0))))+$E201/INDEX(Simulations!$J$3:$J$62,MATCH($A201,Simulations!$A$3:$A$62,0))*SQRT(PI())/2*ERFC(SQRT(LN($E201/INDEX(Simulations!$J$3:$J$62,MATCH($A201,Simulations!$A$3:$A$62,0)))))),PI()*INDEX(Simulations!$T$3:$T$62,MATCH($A201,Simulations!$A$3:$A$62,0))^2/2*(LN($E201/INDEX(Simulations!$J$3:$J$62,MATCH($A201,Simulations!$A$3:$A$62,0)))+1)))))</f>
        <v/>
      </c>
      <c r="R201" s="16" t="str">
        <f aca="false">IF(OR($A201="",ISNA(MATCH($A201,Simulations!$A$3:$A$62,0))),"",IF(N($F201)&lt;=0,0,IF($F201&lt;INDEX(Simulations!$J$3:$J$62,MATCH($A201,Simulations!$A$3:$A$62,0)),$D201/(INDEX(Simulations!$G$3:$G$62,MATCH($A201,Simulations!$A$3:$A$62,0))*INDEX(Simulations!$H$3:$H$62,MATCH($A201,Simulations!$A$3:$A$62,0))*IF(INDEX(Simulations!$I$3:$I$62,MATCH($A201,Simulations!$A$3:$A$62,0))&gt;0,INDEX(Simulations!$I$3:$I$62,MATCH($A201,Simulations!$A$3:$A$62,0)),1))*$F201*(PI()/2*INDEX(Simulations!$T$3:$T$62,MATCH($A201,Simulations!$A$3:$A$62,0))^2*IF(INDEX(Simulations!$I$3:$I$62,MATCH($A201,Simulations!$A$3:$A$62,0))&gt;0,SQRT(PI()/2)*INDEX(Simulations!$U$3:$U$62,MATCH($A201,Simulations!$A$3:$A$62,0)),1)),$D201/(INDEX(Simulations!$G$3:$G$62,MATCH($A201,Simulations!$A$3:$A$62,0))*INDEX(Simulations!$H$3:$H$62,MATCH($A201,Simulations!$A$3:$A$62,0))*IF(INDEX(Simulations!$I$3:$I$62,MATCH($A201,Simulations!$A$3:$A$62,0))&gt;0,INDEX(Simulations!$I$3:$I$62,MATCH($A201,Simulations!$A$3:$A$62,0)),1))*INDEX(Simulations!$J$3:$J$62,MATCH($A201,Simulations!$A$3:$A$62,0))*IF(INDEX(Simulations!$I$3:$I$62,MATCH($A201,Simulations!$A$3:$A$62,0))&gt;0,2*PI()*INDEX(Simulations!$T$3:$T$62,MATCH($A201,Simulations!$A$3:$A$62,0))^2*INDEX(Simulations!$U$3:$U$62,MATCH($A201,Simulations!$A$3:$A$62,0))/2^1.5*(2/3*LN($F201/INDEX(Simulations!$J$3:$J$62,MATCH($A201,Simulations!$A$3:$A$62,0)))^1.5+SQRT(LN($F201/INDEX(Simulations!$J$3:$J$62,MATCH($A201,Simulations!$A$3:$A$62,0))))+$F201/INDEX(Simulations!$J$3:$J$62,MATCH($A201,Simulations!$A$3:$A$62,0))*SQRT(PI())/2*ERFC(SQRT(LN($F201/INDEX(Simulations!$J$3:$J$62,MATCH($A201,Simulations!$A$3:$A$62,0)))))),PI()*INDEX(Simulations!$T$3:$T$62,MATCH($A201,Simulations!$A$3:$A$62,0))^2/2*(LN($F201/INDEX(Simulations!$J$3:$J$62,MATCH($A201,Simulations!$A$3:$A$62,0)))+1)))))</f>
        <v/>
      </c>
      <c r="S201" s="16" t="str">
        <f aca="false">IF(OR($A201="",ISNA(MATCH($A201,Simulations!$A$3:$A$62,0))),"",IF(N($G201)&lt;=0,0,IF($G201&lt;INDEX(Simulations!$J$3:$J$62,MATCH($A201,Simulations!$A$3:$A$62,0)),$D201/(INDEX(Simulations!$G$3:$G$62,MATCH($A201,Simulations!$A$3:$A$62,0))*INDEX(Simulations!$H$3:$H$62,MATCH($A201,Simulations!$A$3:$A$62,0))*IF(INDEX(Simulations!$I$3:$I$62,MATCH($A201,Simulations!$A$3:$A$62,0))&gt;0,INDEX(Simulations!$I$3:$I$62,MATCH($A201,Simulations!$A$3:$A$62,0)),1))*$G201*(PI()/2*INDEX(Simulations!$T$3:$T$62,MATCH($A201,Simulations!$A$3:$A$62,0))^2*IF(INDEX(Simulations!$I$3:$I$62,MATCH($A201,Simulations!$A$3:$A$62,0))&gt;0,SQRT(PI()/2)*INDEX(Simulations!$U$3:$U$62,MATCH($A201,Simulations!$A$3:$A$62,0)),1)),$D201/(INDEX(Simulations!$G$3:$G$62,MATCH($A201,Simulations!$A$3:$A$62,0))*INDEX(Simulations!$H$3:$H$62,MATCH($A201,Simulations!$A$3:$A$62,0))*IF(INDEX(Simulations!$I$3:$I$62,MATCH($A201,Simulations!$A$3:$A$62,0))&gt;0,INDEX(Simulations!$I$3:$I$62,MATCH($A201,Simulations!$A$3:$A$62,0)),1))*INDEX(Simulations!$J$3:$J$62,MATCH($A201,Simulations!$A$3:$A$62,0))*IF(INDEX(Simulations!$I$3:$I$62,MATCH($A201,Simulations!$A$3:$A$62,0))&gt;0,2*PI()*INDEX(Simulations!$T$3:$T$62,MATCH($A201,Simulations!$A$3:$A$62,0))^2*INDEX(Simulations!$U$3:$U$62,MATCH($A201,Simulations!$A$3:$A$62,0))/2^1.5*(2/3*LN($G201/INDEX(Simulations!$J$3:$J$62,MATCH($A201,Simulations!$A$3:$A$62,0)))^1.5+SQRT(LN($G201/INDEX(Simulations!$J$3:$J$62,MATCH($A201,Simulations!$A$3:$A$62,0))))+$G201/INDEX(Simulations!$J$3:$J$62,MATCH($A201,Simulations!$A$3:$A$62,0))*SQRT(PI())/2*ERFC(SQRT(LN($G201/INDEX(Simulations!$J$3:$J$62,MATCH($A201,Simulations!$A$3:$A$62,0)))))),PI()*INDEX(Simulations!$T$3:$T$62,MATCH($A201,Simulations!$A$3:$A$62,0))^2/2*(LN($G201/INDEX(Simulations!$J$3:$J$62,MATCH($A201,Simulations!$A$3:$A$62,0)))+1)))))</f>
        <v/>
      </c>
      <c r="T201" s="16" t="str">
        <f aca="false">IF(OR($A201="",ISNA(MATCH($A201,Simulations!$A$3:$A$62,0))),"",IF(N($H201)&lt;=0,0,IF($H201&lt;INDEX(Simulations!$J$3:$J$62,MATCH($A201,Simulations!$A$3:$A$62,0)),$D201/(INDEX(Simulations!$G$3:$G$62,MATCH($A201,Simulations!$A$3:$A$62,0))*INDEX(Simulations!$H$3:$H$62,MATCH($A201,Simulations!$A$3:$A$62,0))*IF(INDEX(Simulations!$I$3:$I$62,MATCH($A201,Simulations!$A$3:$A$62,0))&gt;0,INDEX(Simulations!$I$3:$I$62,MATCH($A201,Simulations!$A$3:$A$62,0)),1))*$H201*(PI()/2*INDEX(Simulations!$T$3:$T$62,MATCH($A201,Simulations!$A$3:$A$62,0))^2*IF(INDEX(Simulations!$I$3:$I$62,MATCH($A201,Simulations!$A$3:$A$62,0))&gt;0,SQRT(PI()/2)*INDEX(Simulations!$U$3:$U$62,MATCH($A201,Simulations!$A$3:$A$62,0)),1)),$D201/(INDEX(Simulations!$G$3:$G$62,MATCH($A201,Simulations!$A$3:$A$62,0))*INDEX(Simulations!$H$3:$H$62,MATCH($A201,Simulations!$A$3:$A$62,0))*IF(INDEX(Simulations!$I$3:$I$62,MATCH($A201,Simulations!$A$3:$A$62,0))&gt;0,INDEX(Simulations!$I$3:$I$62,MATCH($A201,Simulations!$A$3:$A$62,0)),1))*INDEX(Simulations!$J$3:$J$62,MATCH($A201,Simulations!$A$3:$A$62,0))*IF(INDEX(Simulations!$I$3:$I$62,MATCH($A201,Simulations!$A$3:$A$62,0))&gt;0,2*PI()*INDEX(Simulations!$T$3:$T$62,MATCH($A201,Simulations!$A$3:$A$62,0))^2*INDEX(Simulations!$U$3:$U$62,MATCH($A201,Simulations!$A$3:$A$62,0))/2^1.5*(2/3*LN($H201/INDEX(Simulations!$J$3:$J$62,MATCH($A201,Simulations!$A$3:$A$62,0)))^1.5+SQRT(LN($H201/INDEX(Simulations!$J$3:$J$62,MATCH($A201,Simulations!$A$3:$A$62,0))))+$H201/INDEX(Simulations!$J$3:$J$62,MATCH($A201,Simulations!$A$3:$A$62,0))*SQRT(PI())/2*ERFC(SQRT(LN($H201/INDEX(Simulations!$J$3:$J$62,MATCH($A201,Simulations!$A$3:$A$62,0)))))),PI()*INDEX(Simulations!$T$3:$T$62,MATCH($A201,Simulations!$A$3:$A$62,0))^2/2*(LN($H201/INDEX(Simulations!$J$3:$J$62,MATCH($A201,Simulations!$A$3:$A$62,0)))+1)))))</f>
        <v/>
      </c>
      <c r="U201" s="18" t="str">
        <f aca="false">IF(OR(OR($A201="",ISNA(MATCH($A201,Simulations!$A$3:$A$62,0))),N($C201)&lt;=0),"",SQRT(2*$C201*1000000/(INDEX(Simulations!$J$3:$J$62,MATCH($A201,Simulations!$A$3:$A$62,0))*1000))/INDEX(Simulations!$T$3:$T$62,MATCH($A201,Simulations!$A$3:$A$62,0)))</f>
        <v/>
      </c>
      <c r="V201" s="19" t="str">
        <f aca="false">IF($A201="","",IF(ISNA(MATCH($A201,Simulations!$A$3:$A$62,0)),"✖ Sim ID not found on the Simulations sheet",IF($P201&gt;=1,"✖ brightness &gt;= sampling frequency: completely saturated (D too small, c too large)",IF($P201&gt;0.1,"⚠ brightness &gt; 10% of the sampling frequency: focus starts to saturate",IF(N($U201)&gt;0.1,"⚠ diffusion step &gt; 10% of wr: raise the sampling frequency",IF(MAX($E201:$H201)=0,"⚠ no brightness set","✔ OK"))))))</f>
        <v/>
      </c>
    </row>
    <row r="202" customFormat="false" ht="15" hidden="false" customHeight="false" outlineLevel="0" collapsed="false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4"/>
      <c r="O202" s="18" t="str">
        <f aca="false">IF(OR($A202="",ISNA(MATCH($A202,Simulations!$A$3:$A$62,0))),"",IF(INDEX(Simulations!$I$3:$I$62,MATCH($A202,Simulations!$A$3:$A$62,0))&gt;0,$D202/(INDEX(Simulations!$G$3:$G$62,MATCH($A202,Simulations!$A$3:$A$62,0))*INDEX(Simulations!$H$3:$H$62,MATCH($A202,Simulations!$A$3:$A$62,0))*IF(INDEX(Simulations!$I$3:$I$62,MATCH($A202,Simulations!$A$3:$A$62,0))&gt;0,INDEX(Simulations!$I$3:$I$62,MATCH($A202,Simulations!$A$3:$A$62,0)),1))/1E-024/6.022E+023/0.000000001,""))</f>
        <v/>
      </c>
      <c r="P202" s="20" t="str">
        <f aca="false">IF(OR($A202="",ISNA(MATCH($A202,Simulations!$A$3:$A$62,0))),"",MAX($E202:$H202)/INDEX(Simulations!$J$3:$J$62,MATCH($A202,Simulations!$A$3:$A$62,0)))</f>
        <v/>
      </c>
      <c r="Q202" s="16" t="str">
        <f aca="false">IF(OR($A202="",ISNA(MATCH($A202,Simulations!$A$3:$A$62,0))),"",IF(N($E202)&lt;=0,0,IF($E202&lt;INDEX(Simulations!$J$3:$J$62,MATCH($A202,Simulations!$A$3:$A$62,0)),$D202/(INDEX(Simulations!$G$3:$G$62,MATCH($A202,Simulations!$A$3:$A$62,0))*INDEX(Simulations!$H$3:$H$62,MATCH($A202,Simulations!$A$3:$A$62,0))*IF(INDEX(Simulations!$I$3:$I$62,MATCH($A202,Simulations!$A$3:$A$62,0))&gt;0,INDEX(Simulations!$I$3:$I$62,MATCH($A202,Simulations!$A$3:$A$62,0)),1))*$E202*(PI()/2*INDEX(Simulations!$T$3:$T$62,MATCH($A202,Simulations!$A$3:$A$62,0))^2*IF(INDEX(Simulations!$I$3:$I$62,MATCH($A202,Simulations!$A$3:$A$62,0))&gt;0,SQRT(PI()/2)*INDEX(Simulations!$U$3:$U$62,MATCH($A202,Simulations!$A$3:$A$62,0)),1)),$D202/(INDEX(Simulations!$G$3:$G$62,MATCH($A202,Simulations!$A$3:$A$62,0))*INDEX(Simulations!$H$3:$H$62,MATCH($A202,Simulations!$A$3:$A$62,0))*IF(INDEX(Simulations!$I$3:$I$62,MATCH($A202,Simulations!$A$3:$A$62,0))&gt;0,INDEX(Simulations!$I$3:$I$62,MATCH($A202,Simulations!$A$3:$A$62,0)),1))*INDEX(Simulations!$J$3:$J$62,MATCH($A202,Simulations!$A$3:$A$62,0))*IF(INDEX(Simulations!$I$3:$I$62,MATCH($A202,Simulations!$A$3:$A$62,0))&gt;0,2*PI()*INDEX(Simulations!$T$3:$T$62,MATCH($A202,Simulations!$A$3:$A$62,0))^2*INDEX(Simulations!$U$3:$U$62,MATCH($A202,Simulations!$A$3:$A$62,0))/2^1.5*(2/3*LN($E202/INDEX(Simulations!$J$3:$J$62,MATCH($A202,Simulations!$A$3:$A$62,0)))^1.5+SQRT(LN($E202/INDEX(Simulations!$J$3:$J$62,MATCH($A202,Simulations!$A$3:$A$62,0))))+$E202/INDEX(Simulations!$J$3:$J$62,MATCH($A202,Simulations!$A$3:$A$62,0))*SQRT(PI())/2*ERFC(SQRT(LN($E202/INDEX(Simulations!$J$3:$J$62,MATCH($A202,Simulations!$A$3:$A$62,0)))))),PI()*INDEX(Simulations!$T$3:$T$62,MATCH($A202,Simulations!$A$3:$A$62,0))^2/2*(LN($E202/INDEX(Simulations!$J$3:$J$62,MATCH($A202,Simulations!$A$3:$A$62,0)))+1)))))</f>
        <v/>
      </c>
      <c r="R202" s="16" t="str">
        <f aca="false">IF(OR($A202="",ISNA(MATCH($A202,Simulations!$A$3:$A$62,0))),"",IF(N($F202)&lt;=0,0,IF($F202&lt;INDEX(Simulations!$J$3:$J$62,MATCH($A202,Simulations!$A$3:$A$62,0)),$D202/(INDEX(Simulations!$G$3:$G$62,MATCH($A202,Simulations!$A$3:$A$62,0))*INDEX(Simulations!$H$3:$H$62,MATCH($A202,Simulations!$A$3:$A$62,0))*IF(INDEX(Simulations!$I$3:$I$62,MATCH($A202,Simulations!$A$3:$A$62,0))&gt;0,INDEX(Simulations!$I$3:$I$62,MATCH($A202,Simulations!$A$3:$A$62,0)),1))*$F202*(PI()/2*INDEX(Simulations!$T$3:$T$62,MATCH($A202,Simulations!$A$3:$A$62,0))^2*IF(INDEX(Simulations!$I$3:$I$62,MATCH($A202,Simulations!$A$3:$A$62,0))&gt;0,SQRT(PI()/2)*INDEX(Simulations!$U$3:$U$62,MATCH($A202,Simulations!$A$3:$A$62,0)),1)),$D202/(INDEX(Simulations!$G$3:$G$62,MATCH($A202,Simulations!$A$3:$A$62,0))*INDEX(Simulations!$H$3:$H$62,MATCH($A202,Simulations!$A$3:$A$62,0))*IF(INDEX(Simulations!$I$3:$I$62,MATCH($A202,Simulations!$A$3:$A$62,0))&gt;0,INDEX(Simulations!$I$3:$I$62,MATCH($A202,Simulations!$A$3:$A$62,0)),1))*INDEX(Simulations!$J$3:$J$62,MATCH($A202,Simulations!$A$3:$A$62,0))*IF(INDEX(Simulations!$I$3:$I$62,MATCH($A202,Simulations!$A$3:$A$62,0))&gt;0,2*PI()*INDEX(Simulations!$T$3:$T$62,MATCH($A202,Simulations!$A$3:$A$62,0))^2*INDEX(Simulations!$U$3:$U$62,MATCH($A202,Simulations!$A$3:$A$62,0))/2^1.5*(2/3*LN($F202/INDEX(Simulations!$J$3:$J$62,MATCH($A202,Simulations!$A$3:$A$62,0)))^1.5+SQRT(LN($F202/INDEX(Simulations!$J$3:$J$62,MATCH($A202,Simulations!$A$3:$A$62,0))))+$F202/INDEX(Simulations!$J$3:$J$62,MATCH($A202,Simulations!$A$3:$A$62,0))*SQRT(PI())/2*ERFC(SQRT(LN($F202/INDEX(Simulations!$J$3:$J$62,MATCH($A202,Simulations!$A$3:$A$62,0)))))),PI()*INDEX(Simulations!$T$3:$T$62,MATCH($A202,Simulations!$A$3:$A$62,0))^2/2*(LN($F202/INDEX(Simulations!$J$3:$J$62,MATCH($A202,Simulations!$A$3:$A$62,0)))+1)))))</f>
        <v/>
      </c>
      <c r="S202" s="16" t="str">
        <f aca="false">IF(OR($A202="",ISNA(MATCH($A202,Simulations!$A$3:$A$62,0))),"",IF(N($G202)&lt;=0,0,IF($G202&lt;INDEX(Simulations!$J$3:$J$62,MATCH($A202,Simulations!$A$3:$A$62,0)),$D202/(INDEX(Simulations!$G$3:$G$62,MATCH($A202,Simulations!$A$3:$A$62,0))*INDEX(Simulations!$H$3:$H$62,MATCH($A202,Simulations!$A$3:$A$62,0))*IF(INDEX(Simulations!$I$3:$I$62,MATCH($A202,Simulations!$A$3:$A$62,0))&gt;0,INDEX(Simulations!$I$3:$I$62,MATCH($A202,Simulations!$A$3:$A$62,0)),1))*$G202*(PI()/2*INDEX(Simulations!$T$3:$T$62,MATCH($A202,Simulations!$A$3:$A$62,0))^2*IF(INDEX(Simulations!$I$3:$I$62,MATCH($A202,Simulations!$A$3:$A$62,0))&gt;0,SQRT(PI()/2)*INDEX(Simulations!$U$3:$U$62,MATCH($A202,Simulations!$A$3:$A$62,0)),1)),$D202/(INDEX(Simulations!$G$3:$G$62,MATCH($A202,Simulations!$A$3:$A$62,0))*INDEX(Simulations!$H$3:$H$62,MATCH($A202,Simulations!$A$3:$A$62,0))*IF(INDEX(Simulations!$I$3:$I$62,MATCH($A202,Simulations!$A$3:$A$62,0))&gt;0,INDEX(Simulations!$I$3:$I$62,MATCH($A202,Simulations!$A$3:$A$62,0)),1))*INDEX(Simulations!$J$3:$J$62,MATCH($A202,Simulations!$A$3:$A$62,0))*IF(INDEX(Simulations!$I$3:$I$62,MATCH($A202,Simulations!$A$3:$A$62,0))&gt;0,2*PI()*INDEX(Simulations!$T$3:$T$62,MATCH($A202,Simulations!$A$3:$A$62,0))^2*INDEX(Simulations!$U$3:$U$62,MATCH($A202,Simulations!$A$3:$A$62,0))/2^1.5*(2/3*LN($G202/INDEX(Simulations!$J$3:$J$62,MATCH($A202,Simulations!$A$3:$A$62,0)))^1.5+SQRT(LN($G202/INDEX(Simulations!$J$3:$J$62,MATCH($A202,Simulations!$A$3:$A$62,0))))+$G202/INDEX(Simulations!$J$3:$J$62,MATCH($A202,Simulations!$A$3:$A$62,0))*SQRT(PI())/2*ERFC(SQRT(LN($G202/INDEX(Simulations!$J$3:$J$62,MATCH($A202,Simulations!$A$3:$A$62,0)))))),PI()*INDEX(Simulations!$T$3:$T$62,MATCH($A202,Simulations!$A$3:$A$62,0))^2/2*(LN($G202/INDEX(Simulations!$J$3:$J$62,MATCH($A202,Simulations!$A$3:$A$62,0)))+1)))))</f>
        <v/>
      </c>
      <c r="T202" s="16" t="str">
        <f aca="false">IF(OR($A202="",ISNA(MATCH($A202,Simulations!$A$3:$A$62,0))),"",IF(N($H202)&lt;=0,0,IF($H202&lt;INDEX(Simulations!$J$3:$J$62,MATCH($A202,Simulations!$A$3:$A$62,0)),$D202/(INDEX(Simulations!$G$3:$G$62,MATCH($A202,Simulations!$A$3:$A$62,0))*INDEX(Simulations!$H$3:$H$62,MATCH($A202,Simulations!$A$3:$A$62,0))*IF(INDEX(Simulations!$I$3:$I$62,MATCH($A202,Simulations!$A$3:$A$62,0))&gt;0,INDEX(Simulations!$I$3:$I$62,MATCH($A202,Simulations!$A$3:$A$62,0)),1))*$H202*(PI()/2*INDEX(Simulations!$T$3:$T$62,MATCH($A202,Simulations!$A$3:$A$62,0))^2*IF(INDEX(Simulations!$I$3:$I$62,MATCH($A202,Simulations!$A$3:$A$62,0))&gt;0,SQRT(PI()/2)*INDEX(Simulations!$U$3:$U$62,MATCH($A202,Simulations!$A$3:$A$62,0)),1)),$D202/(INDEX(Simulations!$G$3:$G$62,MATCH($A202,Simulations!$A$3:$A$62,0))*INDEX(Simulations!$H$3:$H$62,MATCH($A202,Simulations!$A$3:$A$62,0))*IF(INDEX(Simulations!$I$3:$I$62,MATCH($A202,Simulations!$A$3:$A$62,0))&gt;0,INDEX(Simulations!$I$3:$I$62,MATCH($A202,Simulations!$A$3:$A$62,0)),1))*INDEX(Simulations!$J$3:$J$62,MATCH($A202,Simulations!$A$3:$A$62,0))*IF(INDEX(Simulations!$I$3:$I$62,MATCH($A202,Simulations!$A$3:$A$62,0))&gt;0,2*PI()*INDEX(Simulations!$T$3:$T$62,MATCH($A202,Simulations!$A$3:$A$62,0))^2*INDEX(Simulations!$U$3:$U$62,MATCH($A202,Simulations!$A$3:$A$62,0))/2^1.5*(2/3*LN($H202/INDEX(Simulations!$J$3:$J$62,MATCH($A202,Simulations!$A$3:$A$62,0)))^1.5+SQRT(LN($H202/INDEX(Simulations!$J$3:$J$62,MATCH($A202,Simulations!$A$3:$A$62,0))))+$H202/INDEX(Simulations!$J$3:$J$62,MATCH($A202,Simulations!$A$3:$A$62,0))*SQRT(PI())/2*ERFC(SQRT(LN($H202/INDEX(Simulations!$J$3:$J$62,MATCH($A202,Simulations!$A$3:$A$62,0)))))),PI()*INDEX(Simulations!$T$3:$T$62,MATCH($A202,Simulations!$A$3:$A$62,0))^2/2*(LN($H202/INDEX(Simulations!$J$3:$J$62,MATCH($A202,Simulations!$A$3:$A$62,0)))+1)))))</f>
        <v/>
      </c>
      <c r="U202" s="18" t="str">
        <f aca="false">IF(OR(OR($A202="",ISNA(MATCH($A202,Simulations!$A$3:$A$62,0))),N($C202)&lt;=0),"",SQRT(2*$C202*1000000/(INDEX(Simulations!$J$3:$J$62,MATCH($A202,Simulations!$A$3:$A$62,0))*1000))/INDEX(Simulations!$T$3:$T$62,MATCH($A202,Simulations!$A$3:$A$62,0)))</f>
        <v/>
      </c>
      <c r="V202" s="19" t="str">
        <f aca="false">IF($A202="","",IF(ISNA(MATCH($A202,Simulations!$A$3:$A$62,0)),"✖ Sim ID not found on the Simulations sheet",IF($P202&gt;=1,"✖ brightness &gt;= sampling frequency: completely saturated (D too small, c too large)",IF($P202&gt;0.1,"⚠ brightness &gt; 10% of the sampling frequency: focus starts to saturate",IF(N($U202)&gt;0.1,"⚠ diffusion step &gt; 10% of wr: raise the sampling frequency",IF(MAX($E202:$H202)=0,"⚠ no brightness set","✔ OK"))))))</f>
        <v/>
      </c>
    </row>
    <row r="203" customFormat="false" ht="15" hidden="false" customHeight="false" outlineLevel="0" collapsed="false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4"/>
      <c r="O203" s="18" t="str">
        <f aca="false">IF(OR($A203="",ISNA(MATCH($A203,Simulations!$A$3:$A$62,0))),"",IF(INDEX(Simulations!$I$3:$I$62,MATCH($A203,Simulations!$A$3:$A$62,0))&gt;0,$D203/(INDEX(Simulations!$G$3:$G$62,MATCH($A203,Simulations!$A$3:$A$62,0))*INDEX(Simulations!$H$3:$H$62,MATCH($A203,Simulations!$A$3:$A$62,0))*IF(INDEX(Simulations!$I$3:$I$62,MATCH($A203,Simulations!$A$3:$A$62,0))&gt;0,INDEX(Simulations!$I$3:$I$62,MATCH($A203,Simulations!$A$3:$A$62,0)),1))/1E-024/6.022E+023/0.000000001,""))</f>
        <v/>
      </c>
      <c r="P203" s="20" t="str">
        <f aca="false">IF(OR($A203="",ISNA(MATCH($A203,Simulations!$A$3:$A$62,0))),"",MAX($E203:$H203)/INDEX(Simulations!$J$3:$J$62,MATCH($A203,Simulations!$A$3:$A$62,0)))</f>
        <v/>
      </c>
      <c r="Q203" s="16" t="str">
        <f aca="false">IF(OR($A203="",ISNA(MATCH($A203,Simulations!$A$3:$A$62,0))),"",IF(N($E203)&lt;=0,0,IF($E203&lt;INDEX(Simulations!$J$3:$J$62,MATCH($A203,Simulations!$A$3:$A$62,0)),$D203/(INDEX(Simulations!$G$3:$G$62,MATCH($A203,Simulations!$A$3:$A$62,0))*INDEX(Simulations!$H$3:$H$62,MATCH($A203,Simulations!$A$3:$A$62,0))*IF(INDEX(Simulations!$I$3:$I$62,MATCH($A203,Simulations!$A$3:$A$62,0))&gt;0,INDEX(Simulations!$I$3:$I$62,MATCH($A203,Simulations!$A$3:$A$62,0)),1))*$E203*(PI()/2*INDEX(Simulations!$T$3:$T$62,MATCH($A203,Simulations!$A$3:$A$62,0))^2*IF(INDEX(Simulations!$I$3:$I$62,MATCH($A203,Simulations!$A$3:$A$62,0))&gt;0,SQRT(PI()/2)*INDEX(Simulations!$U$3:$U$62,MATCH($A203,Simulations!$A$3:$A$62,0)),1)),$D203/(INDEX(Simulations!$G$3:$G$62,MATCH($A203,Simulations!$A$3:$A$62,0))*INDEX(Simulations!$H$3:$H$62,MATCH($A203,Simulations!$A$3:$A$62,0))*IF(INDEX(Simulations!$I$3:$I$62,MATCH($A203,Simulations!$A$3:$A$62,0))&gt;0,INDEX(Simulations!$I$3:$I$62,MATCH($A203,Simulations!$A$3:$A$62,0)),1))*INDEX(Simulations!$J$3:$J$62,MATCH($A203,Simulations!$A$3:$A$62,0))*IF(INDEX(Simulations!$I$3:$I$62,MATCH($A203,Simulations!$A$3:$A$62,0))&gt;0,2*PI()*INDEX(Simulations!$T$3:$T$62,MATCH($A203,Simulations!$A$3:$A$62,0))^2*INDEX(Simulations!$U$3:$U$62,MATCH($A203,Simulations!$A$3:$A$62,0))/2^1.5*(2/3*LN($E203/INDEX(Simulations!$J$3:$J$62,MATCH($A203,Simulations!$A$3:$A$62,0)))^1.5+SQRT(LN($E203/INDEX(Simulations!$J$3:$J$62,MATCH($A203,Simulations!$A$3:$A$62,0))))+$E203/INDEX(Simulations!$J$3:$J$62,MATCH($A203,Simulations!$A$3:$A$62,0))*SQRT(PI())/2*ERFC(SQRT(LN($E203/INDEX(Simulations!$J$3:$J$62,MATCH($A203,Simulations!$A$3:$A$62,0)))))),PI()*INDEX(Simulations!$T$3:$T$62,MATCH($A203,Simulations!$A$3:$A$62,0))^2/2*(LN($E203/INDEX(Simulations!$J$3:$J$62,MATCH($A203,Simulations!$A$3:$A$62,0)))+1)))))</f>
        <v/>
      </c>
      <c r="R203" s="16" t="str">
        <f aca="false">IF(OR($A203="",ISNA(MATCH($A203,Simulations!$A$3:$A$62,0))),"",IF(N($F203)&lt;=0,0,IF($F203&lt;INDEX(Simulations!$J$3:$J$62,MATCH($A203,Simulations!$A$3:$A$62,0)),$D203/(INDEX(Simulations!$G$3:$G$62,MATCH($A203,Simulations!$A$3:$A$62,0))*INDEX(Simulations!$H$3:$H$62,MATCH($A203,Simulations!$A$3:$A$62,0))*IF(INDEX(Simulations!$I$3:$I$62,MATCH($A203,Simulations!$A$3:$A$62,0))&gt;0,INDEX(Simulations!$I$3:$I$62,MATCH($A203,Simulations!$A$3:$A$62,0)),1))*$F203*(PI()/2*INDEX(Simulations!$T$3:$T$62,MATCH($A203,Simulations!$A$3:$A$62,0))^2*IF(INDEX(Simulations!$I$3:$I$62,MATCH($A203,Simulations!$A$3:$A$62,0))&gt;0,SQRT(PI()/2)*INDEX(Simulations!$U$3:$U$62,MATCH($A203,Simulations!$A$3:$A$62,0)),1)),$D203/(INDEX(Simulations!$G$3:$G$62,MATCH($A203,Simulations!$A$3:$A$62,0))*INDEX(Simulations!$H$3:$H$62,MATCH($A203,Simulations!$A$3:$A$62,0))*IF(INDEX(Simulations!$I$3:$I$62,MATCH($A203,Simulations!$A$3:$A$62,0))&gt;0,INDEX(Simulations!$I$3:$I$62,MATCH($A203,Simulations!$A$3:$A$62,0)),1))*INDEX(Simulations!$J$3:$J$62,MATCH($A203,Simulations!$A$3:$A$62,0))*IF(INDEX(Simulations!$I$3:$I$62,MATCH($A203,Simulations!$A$3:$A$62,0))&gt;0,2*PI()*INDEX(Simulations!$T$3:$T$62,MATCH($A203,Simulations!$A$3:$A$62,0))^2*INDEX(Simulations!$U$3:$U$62,MATCH($A203,Simulations!$A$3:$A$62,0))/2^1.5*(2/3*LN($F203/INDEX(Simulations!$J$3:$J$62,MATCH($A203,Simulations!$A$3:$A$62,0)))^1.5+SQRT(LN($F203/INDEX(Simulations!$J$3:$J$62,MATCH($A203,Simulations!$A$3:$A$62,0))))+$F203/INDEX(Simulations!$J$3:$J$62,MATCH($A203,Simulations!$A$3:$A$62,0))*SQRT(PI())/2*ERFC(SQRT(LN($F203/INDEX(Simulations!$J$3:$J$62,MATCH($A203,Simulations!$A$3:$A$62,0)))))),PI()*INDEX(Simulations!$T$3:$T$62,MATCH($A203,Simulations!$A$3:$A$62,0))^2/2*(LN($F203/INDEX(Simulations!$J$3:$J$62,MATCH($A203,Simulations!$A$3:$A$62,0)))+1)))))</f>
        <v/>
      </c>
      <c r="S203" s="16" t="str">
        <f aca="false">IF(OR($A203="",ISNA(MATCH($A203,Simulations!$A$3:$A$62,0))),"",IF(N($G203)&lt;=0,0,IF($G203&lt;INDEX(Simulations!$J$3:$J$62,MATCH($A203,Simulations!$A$3:$A$62,0)),$D203/(INDEX(Simulations!$G$3:$G$62,MATCH($A203,Simulations!$A$3:$A$62,0))*INDEX(Simulations!$H$3:$H$62,MATCH($A203,Simulations!$A$3:$A$62,0))*IF(INDEX(Simulations!$I$3:$I$62,MATCH($A203,Simulations!$A$3:$A$62,0))&gt;0,INDEX(Simulations!$I$3:$I$62,MATCH($A203,Simulations!$A$3:$A$62,0)),1))*$G203*(PI()/2*INDEX(Simulations!$T$3:$T$62,MATCH($A203,Simulations!$A$3:$A$62,0))^2*IF(INDEX(Simulations!$I$3:$I$62,MATCH($A203,Simulations!$A$3:$A$62,0))&gt;0,SQRT(PI()/2)*INDEX(Simulations!$U$3:$U$62,MATCH($A203,Simulations!$A$3:$A$62,0)),1)),$D203/(INDEX(Simulations!$G$3:$G$62,MATCH($A203,Simulations!$A$3:$A$62,0))*INDEX(Simulations!$H$3:$H$62,MATCH($A203,Simulations!$A$3:$A$62,0))*IF(INDEX(Simulations!$I$3:$I$62,MATCH($A203,Simulations!$A$3:$A$62,0))&gt;0,INDEX(Simulations!$I$3:$I$62,MATCH($A203,Simulations!$A$3:$A$62,0)),1))*INDEX(Simulations!$J$3:$J$62,MATCH($A203,Simulations!$A$3:$A$62,0))*IF(INDEX(Simulations!$I$3:$I$62,MATCH($A203,Simulations!$A$3:$A$62,0))&gt;0,2*PI()*INDEX(Simulations!$T$3:$T$62,MATCH($A203,Simulations!$A$3:$A$62,0))^2*INDEX(Simulations!$U$3:$U$62,MATCH($A203,Simulations!$A$3:$A$62,0))/2^1.5*(2/3*LN($G203/INDEX(Simulations!$J$3:$J$62,MATCH($A203,Simulations!$A$3:$A$62,0)))^1.5+SQRT(LN($G203/INDEX(Simulations!$J$3:$J$62,MATCH($A203,Simulations!$A$3:$A$62,0))))+$G203/INDEX(Simulations!$J$3:$J$62,MATCH($A203,Simulations!$A$3:$A$62,0))*SQRT(PI())/2*ERFC(SQRT(LN($G203/INDEX(Simulations!$J$3:$J$62,MATCH($A203,Simulations!$A$3:$A$62,0)))))),PI()*INDEX(Simulations!$T$3:$T$62,MATCH($A203,Simulations!$A$3:$A$62,0))^2/2*(LN($G203/INDEX(Simulations!$J$3:$J$62,MATCH($A203,Simulations!$A$3:$A$62,0)))+1)))))</f>
        <v/>
      </c>
      <c r="T203" s="16" t="str">
        <f aca="false">IF(OR($A203="",ISNA(MATCH($A203,Simulations!$A$3:$A$62,0))),"",IF(N($H203)&lt;=0,0,IF($H203&lt;INDEX(Simulations!$J$3:$J$62,MATCH($A203,Simulations!$A$3:$A$62,0)),$D203/(INDEX(Simulations!$G$3:$G$62,MATCH($A203,Simulations!$A$3:$A$62,0))*INDEX(Simulations!$H$3:$H$62,MATCH($A203,Simulations!$A$3:$A$62,0))*IF(INDEX(Simulations!$I$3:$I$62,MATCH($A203,Simulations!$A$3:$A$62,0))&gt;0,INDEX(Simulations!$I$3:$I$62,MATCH($A203,Simulations!$A$3:$A$62,0)),1))*$H203*(PI()/2*INDEX(Simulations!$T$3:$T$62,MATCH($A203,Simulations!$A$3:$A$62,0))^2*IF(INDEX(Simulations!$I$3:$I$62,MATCH($A203,Simulations!$A$3:$A$62,0))&gt;0,SQRT(PI()/2)*INDEX(Simulations!$U$3:$U$62,MATCH($A203,Simulations!$A$3:$A$62,0)),1)),$D203/(INDEX(Simulations!$G$3:$G$62,MATCH($A203,Simulations!$A$3:$A$62,0))*INDEX(Simulations!$H$3:$H$62,MATCH($A203,Simulations!$A$3:$A$62,0))*IF(INDEX(Simulations!$I$3:$I$62,MATCH($A203,Simulations!$A$3:$A$62,0))&gt;0,INDEX(Simulations!$I$3:$I$62,MATCH($A203,Simulations!$A$3:$A$62,0)),1))*INDEX(Simulations!$J$3:$J$62,MATCH($A203,Simulations!$A$3:$A$62,0))*IF(INDEX(Simulations!$I$3:$I$62,MATCH($A203,Simulations!$A$3:$A$62,0))&gt;0,2*PI()*INDEX(Simulations!$T$3:$T$62,MATCH($A203,Simulations!$A$3:$A$62,0))^2*INDEX(Simulations!$U$3:$U$62,MATCH($A203,Simulations!$A$3:$A$62,0))/2^1.5*(2/3*LN($H203/INDEX(Simulations!$J$3:$J$62,MATCH($A203,Simulations!$A$3:$A$62,0)))^1.5+SQRT(LN($H203/INDEX(Simulations!$J$3:$J$62,MATCH($A203,Simulations!$A$3:$A$62,0))))+$H203/INDEX(Simulations!$J$3:$J$62,MATCH($A203,Simulations!$A$3:$A$62,0))*SQRT(PI())/2*ERFC(SQRT(LN($H203/INDEX(Simulations!$J$3:$J$62,MATCH($A203,Simulations!$A$3:$A$62,0)))))),PI()*INDEX(Simulations!$T$3:$T$62,MATCH($A203,Simulations!$A$3:$A$62,0))^2/2*(LN($H203/INDEX(Simulations!$J$3:$J$62,MATCH($A203,Simulations!$A$3:$A$62,0)))+1)))))</f>
        <v/>
      </c>
      <c r="U203" s="18" t="str">
        <f aca="false">IF(OR(OR($A203="",ISNA(MATCH($A203,Simulations!$A$3:$A$62,0))),N($C203)&lt;=0),"",SQRT(2*$C203*1000000/(INDEX(Simulations!$J$3:$J$62,MATCH($A203,Simulations!$A$3:$A$62,0))*1000))/INDEX(Simulations!$T$3:$T$62,MATCH($A203,Simulations!$A$3:$A$62,0)))</f>
        <v/>
      </c>
      <c r="V203" s="19" t="str">
        <f aca="false">IF($A203="","",IF(ISNA(MATCH($A203,Simulations!$A$3:$A$62,0)),"✖ Sim ID not found on the Simulations sheet",IF($P203&gt;=1,"✖ brightness &gt;= sampling frequency: completely saturated (D too small, c too large)",IF($P203&gt;0.1,"⚠ brightness &gt; 10% of the sampling frequency: focus starts to saturate",IF(N($U203)&gt;0.1,"⚠ diffusion step &gt; 10% of wr: raise the sampling frequency",IF(MAX($E203:$H203)=0,"⚠ no brightness set","✔ OK"))))))</f>
        <v/>
      </c>
    </row>
    <row r="204" customFormat="false" ht="15" hidden="false" customHeight="false" outlineLevel="0" collapsed="false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4"/>
      <c r="O204" s="18" t="str">
        <f aca="false">IF(OR($A204="",ISNA(MATCH($A204,Simulations!$A$3:$A$62,0))),"",IF(INDEX(Simulations!$I$3:$I$62,MATCH($A204,Simulations!$A$3:$A$62,0))&gt;0,$D204/(INDEX(Simulations!$G$3:$G$62,MATCH($A204,Simulations!$A$3:$A$62,0))*INDEX(Simulations!$H$3:$H$62,MATCH($A204,Simulations!$A$3:$A$62,0))*IF(INDEX(Simulations!$I$3:$I$62,MATCH($A204,Simulations!$A$3:$A$62,0))&gt;0,INDEX(Simulations!$I$3:$I$62,MATCH($A204,Simulations!$A$3:$A$62,0)),1))/1E-024/6.022E+023/0.000000001,""))</f>
        <v/>
      </c>
      <c r="P204" s="20" t="str">
        <f aca="false">IF(OR($A204="",ISNA(MATCH($A204,Simulations!$A$3:$A$62,0))),"",MAX($E204:$H204)/INDEX(Simulations!$J$3:$J$62,MATCH($A204,Simulations!$A$3:$A$62,0)))</f>
        <v/>
      </c>
      <c r="Q204" s="16" t="str">
        <f aca="false">IF(OR($A204="",ISNA(MATCH($A204,Simulations!$A$3:$A$62,0))),"",IF(N($E204)&lt;=0,0,IF($E204&lt;INDEX(Simulations!$J$3:$J$62,MATCH($A204,Simulations!$A$3:$A$62,0)),$D204/(INDEX(Simulations!$G$3:$G$62,MATCH($A204,Simulations!$A$3:$A$62,0))*INDEX(Simulations!$H$3:$H$62,MATCH($A204,Simulations!$A$3:$A$62,0))*IF(INDEX(Simulations!$I$3:$I$62,MATCH($A204,Simulations!$A$3:$A$62,0))&gt;0,INDEX(Simulations!$I$3:$I$62,MATCH($A204,Simulations!$A$3:$A$62,0)),1))*$E204*(PI()/2*INDEX(Simulations!$T$3:$T$62,MATCH($A204,Simulations!$A$3:$A$62,0))^2*IF(INDEX(Simulations!$I$3:$I$62,MATCH($A204,Simulations!$A$3:$A$62,0))&gt;0,SQRT(PI()/2)*INDEX(Simulations!$U$3:$U$62,MATCH($A204,Simulations!$A$3:$A$62,0)),1)),$D204/(INDEX(Simulations!$G$3:$G$62,MATCH($A204,Simulations!$A$3:$A$62,0))*INDEX(Simulations!$H$3:$H$62,MATCH($A204,Simulations!$A$3:$A$62,0))*IF(INDEX(Simulations!$I$3:$I$62,MATCH($A204,Simulations!$A$3:$A$62,0))&gt;0,INDEX(Simulations!$I$3:$I$62,MATCH($A204,Simulations!$A$3:$A$62,0)),1))*INDEX(Simulations!$J$3:$J$62,MATCH($A204,Simulations!$A$3:$A$62,0))*IF(INDEX(Simulations!$I$3:$I$62,MATCH($A204,Simulations!$A$3:$A$62,0))&gt;0,2*PI()*INDEX(Simulations!$T$3:$T$62,MATCH($A204,Simulations!$A$3:$A$62,0))^2*INDEX(Simulations!$U$3:$U$62,MATCH($A204,Simulations!$A$3:$A$62,0))/2^1.5*(2/3*LN($E204/INDEX(Simulations!$J$3:$J$62,MATCH($A204,Simulations!$A$3:$A$62,0)))^1.5+SQRT(LN($E204/INDEX(Simulations!$J$3:$J$62,MATCH($A204,Simulations!$A$3:$A$62,0))))+$E204/INDEX(Simulations!$J$3:$J$62,MATCH($A204,Simulations!$A$3:$A$62,0))*SQRT(PI())/2*ERFC(SQRT(LN($E204/INDEX(Simulations!$J$3:$J$62,MATCH($A204,Simulations!$A$3:$A$62,0)))))),PI()*INDEX(Simulations!$T$3:$T$62,MATCH($A204,Simulations!$A$3:$A$62,0))^2/2*(LN($E204/INDEX(Simulations!$J$3:$J$62,MATCH($A204,Simulations!$A$3:$A$62,0)))+1)))))</f>
        <v/>
      </c>
      <c r="R204" s="16" t="str">
        <f aca="false">IF(OR($A204="",ISNA(MATCH($A204,Simulations!$A$3:$A$62,0))),"",IF(N($F204)&lt;=0,0,IF($F204&lt;INDEX(Simulations!$J$3:$J$62,MATCH($A204,Simulations!$A$3:$A$62,0)),$D204/(INDEX(Simulations!$G$3:$G$62,MATCH($A204,Simulations!$A$3:$A$62,0))*INDEX(Simulations!$H$3:$H$62,MATCH($A204,Simulations!$A$3:$A$62,0))*IF(INDEX(Simulations!$I$3:$I$62,MATCH($A204,Simulations!$A$3:$A$62,0))&gt;0,INDEX(Simulations!$I$3:$I$62,MATCH($A204,Simulations!$A$3:$A$62,0)),1))*$F204*(PI()/2*INDEX(Simulations!$T$3:$T$62,MATCH($A204,Simulations!$A$3:$A$62,0))^2*IF(INDEX(Simulations!$I$3:$I$62,MATCH($A204,Simulations!$A$3:$A$62,0))&gt;0,SQRT(PI()/2)*INDEX(Simulations!$U$3:$U$62,MATCH($A204,Simulations!$A$3:$A$62,0)),1)),$D204/(INDEX(Simulations!$G$3:$G$62,MATCH($A204,Simulations!$A$3:$A$62,0))*INDEX(Simulations!$H$3:$H$62,MATCH($A204,Simulations!$A$3:$A$62,0))*IF(INDEX(Simulations!$I$3:$I$62,MATCH($A204,Simulations!$A$3:$A$62,0))&gt;0,INDEX(Simulations!$I$3:$I$62,MATCH($A204,Simulations!$A$3:$A$62,0)),1))*INDEX(Simulations!$J$3:$J$62,MATCH($A204,Simulations!$A$3:$A$62,0))*IF(INDEX(Simulations!$I$3:$I$62,MATCH($A204,Simulations!$A$3:$A$62,0))&gt;0,2*PI()*INDEX(Simulations!$T$3:$T$62,MATCH($A204,Simulations!$A$3:$A$62,0))^2*INDEX(Simulations!$U$3:$U$62,MATCH($A204,Simulations!$A$3:$A$62,0))/2^1.5*(2/3*LN($F204/INDEX(Simulations!$J$3:$J$62,MATCH($A204,Simulations!$A$3:$A$62,0)))^1.5+SQRT(LN($F204/INDEX(Simulations!$J$3:$J$62,MATCH($A204,Simulations!$A$3:$A$62,0))))+$F204/INDEX(Simulations!$J$3:$J$62,MATCH($A204,Simulations!$A$3:$A$62,0))*SQRT(PI())/2*ERFC(SQRT(LN($F204/INDEX(Simulations!$J$3:$J$62,MATCH($A204,Simulations!$A$3:$A$62,0)))))),PI()*INDEX(Simulations!$T$3:$T$62,MATCH($A204,Simulations!$A$3:$A$62,0))^2/2*(LN($F204/INDEX(Simulations!$J$3:$J$62,MATCH($A204,Simulations!$A$3:$A$62,0)))+1)))))</f>
        <v/>
      </c>
      <c r="S204" s="16" t="str">
        <f aca="false">IF(OR($A204="",ISNA(MATCH($A204,Simulations!$A$3:$A$62,0))),"",IF(N($G204)&lt;=0,0,IF($G204&lt;INDEX(Simulations!$J$3:$J$62,MATCH($A204,Simulations!$A$3:$A$62,0)),$D204/(INDEX(Simulations!$G$3:$G$62,MATCH($A204,Simulations!$A$3:$A$62,0))*INDEX(Simulations!$H$3:$H$62,MATCH($A204,Simulations!$A$3:$A$62,0))*IF(INDEX(Simulations!$I$3:$I$62,MATCH($A204,Simulations!$A$3:$A$62,0))&gt;0,INDEX(Simulations!$I$3:$I$62,MATCH($A204,Simulations!$A$3:$A$62,0)),1))*$G204*(PI()/2*INDEX(Simulations!$T$3:$T$62,MATCH($A204,Simulations!$A$3:$A$62,0))^2*IF(INDEX(Simulations!$I$3:$I$62,MATCH($A204,Simulations!$A$3:$A$62,0))&gt;0,SQRT(PI()/2)*INDEX(Simulations!$U$3:$U$62,MATCH($A204,Simulations!$A$3:$A$62,0)),1)),$D204/(INDEX(Simulations!$G$3:$G$62,MATCH($A204,Simulations!$A$3:$A$62,0))*INDEX(Simulations!$H$3:$H$62,MATCH($A204,Simulations!$A$3:$A$62,0))*IF(INDEX(Simulations!$I$3:$I$62,MATCH($A204,Simulations!$A$3:$A$62,0))&gt;0,INDEX(Simulations!$I$3:$I$62,MATCH($A204,Simulations!$A$3:$A$62,0)),1))*INDEX(Simulations!$J$3:$J$62,MATCH($A204,Simulations!$A$3:$A$62,0))*IF(INDEX(Simulations!$I$3:$I$62,MATCH($A204,Simulations!$A$3:$A$62,0))&gt;0,2*PI()*INDEX(Simulations!$T$3:$T$62,MATCH($A204,Simulations!$A$3:$A$62,0))^2*INDEX(Simulations!$U$3:$U$62,MATCH($A204,Simulations!$A$3:$A$62,0))/2^1.5*(2/3*LN($G204/INDEX(Simulations!$J$3:$J$62,MATCH($A204,Simulations!$A$3:$A$62,0)))^1.5+SQRT(LN($G204/INDEX(Simulations!$J$3:$J$62,MATCH($A204,Simulations!$A$3:$A$62,0))))+$G204/INDEX(Simulations!$J$3:$J$62,MATCH($A204,Simulations!$A$3:$A$62,0))*SQRT(PI())/2*ERFC(SQRT(LN($G204/INDEX(Simulations!$J$3:$J$62,MATCH($A204,Simulations!$A$3:$A$62,0)))))),PI()*INDEX(Simulations!$T$3:$T$62,MATCH($A204,Simulations!$A$3:$A$62,0))^2/2*(LN($G204/INDEX(Simulations!$J$3:$J$62,MATCH($A204,Simulations!$A$3:$A$62,0)))+1)))))</f>
        <v/>
      </c>
      <c r="T204" s="16" t="str">
        <f aca="false">IF(OR($A204="",ISNA(MATCH($A204,Simulations!$A$3:$A$62,0))),"",IF(N($H204)&lt;=0,0,IF($H204&lt;INDEX(Simulations!$J$3:$J$62,MATCH($A204,Simulations!$A$3:$A$62,0)),$D204/(INDEX(Simulations!$G$3:$G$62,MATCH($A204,Simulations!$A$3:$A$62,0))*INDEX(Simulations!$H$3:$H$62,MATCH($A204,Simulations!$A$3:$A$62,0))*IF(INDEX(Simulations!$I$3:$I$62,MATCH($A204,Simulations!$A$3:$A$62,0))&gt;0,INDEX(Simulations!$I$3:$I$62,MATCH($A204,Simulations!$A$3:$A$62,0)),1))*$H204*(PI()/2*INDEX(Simulations!$T$3:$T$62,MATCH($A204,Simulations!$A$3:$A$62,0))^2*IF(INDEX(Simulations!$I$3:$I$62,MATCH($A204,Simulations!$A$3:$A$62,0))&gt;0,SQRT(PI()/2)*INDEX(Simulations!$U$3:$U$62,MATCH($A204,Simulations!$A$3:$A$62,0)),1)),$D204/(INDEX(Simulations!$G$3:$G$62,MATCH($A204,Simulations!$A$3:$A$62,0))*INDEX(Simulations!$H$3:$H$62,MATCH($A204,Simulations!$A$3:$A$62,0))*IF(INDEX(Simulations!$I$3:$I$62,MATCH($A204,Simulations!$A$3:$A$62,0))&gt;0,INDEX(Simulations!$I$3:$I$62,MATCH($A204,Simulations!$A$3:$A$62,0)),1))*INDEX(Simulations!$J$3:$J$62,MATCH($A204,Simulations!$A$3:$A$62,0))*IF(INDEX(Simulations!$I$3:$I$62,MATCH($A204,Simulations!$A$3:$A$62,0))&gt;0,2*PI()*INDEX(Simulations!$T$3:$T$62,MATCH($A204,Simulations!$A$3:$A$62,0))^2*INDEX(Simulations!$U$3:$U$62,MATCH($A204,Simulations!$A$3:$A$62,0))/2^1.5*(2/3*LN($H204/INDEX(Simulations!$J$3:$J$62,MATCH($A204,Simulations!$A$3:$A$62,0)))^1.5+SQRT(LN($H204/INDEX(Simulations!$J$3:$J$62,MATCH($A204,Simulations!$A$3:$A$62,0))))+$H204/INDEX(Simulations!$J$3:$J$62,MATCH($A204,Simulations!$A$3:$A$62,0))*SQRT(PI())/2*ERFC(SQRT(LN($H204/INDEX(Simulations!$J$3:$J$62,MATCH($A204,Simulations!$A$3:$A$62,0)))))),PI()*INDEX(Simulations!$T$3:$T$62,MATCH($A204,Simulations!$A$3:$A$62,0))^2/2*(LN($H204/INDEX(Simulations!$J$3:$J$62,MATCH($A204,Simulations!$A$3:$A$62,0)))+1)))))</f>
        <v/>
      </c>
      <c r="U204" s="18" t="str">
        <f aca="false">IF(OR(OR($A204="",ISNA(MATCH($A204,Simulations!$A$3:$A$62,0))),N($C204)&lt;=0),"",SQRT(2*$C204*1000000/(INDEX(Simulations!$J$3:$J$62,MATCH($A204,Simulations!$A$3:$A$62,0))*1000))/INDEX(Simulations!$T$3:$T$62,MATCH($A204,Simulations!$A$3:$A$62,0)))</f>
        <v/>
      </c>
      <c r="V204" s="19" t="str">
        <f aca="false">IF($A204="","",IF(ISNA(MATCH($A204,Simulations!$A$3:$A$62,0)),"✖ Sim ID not found on the Simulations sheet",IF($P204&gt;=1,"✖ brightness &gt;= sampling frequency: completely saturated (D too small, c too large)",IF($P204&gt;0.1,"⚠ brightness &gt; 10% of the sampling frequency: focus starts to saturate",IF(N($U204)&gt;0.1,"⚠ diffusion step &gt; 10% of wr: raise the sampling frequency",IF(MAX($E204:$H204)=0,"⚠ no brightness set","✔ OK"))))))</f>
        <v/>
      </c>
    </row>
    <row r="205" customFormat="false" ht="15" hidden="false" customHeight="false" outlineLevel="0" collapsed="false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4"/>
      <c r="O205" s="18" t="str">
        <f aca="false">IF(OR($A205="",ISNA(MATCH($A205,Simulations!$A$3:$A$62,0))),"",IF(INDEX(Simulations!$I$3:$I$62,MATCH($A205,Simulations!$A$3:$A$62,0))&gt;0,$D205/(INDEX(Simulations!$G$3:$G$62,MATCH($A205,Simulations!$A$3:$A$62,0))*INDEX(Simulations!$H$3:$H$62,MATCH($A205,Simulations!$A$3:$A$62,0))*IF(INDEX(Simulations!$I$3:$I$62,MATCH($A205,Simulations!$A$3:$A$62,0))&gt;0,INDEX(Simulations!$I$3:$I$62,MATCH($A205,Simulations!$A$3:$A$62,0)),1))/1E-024/6.022E+023/0.000000001,""))</f>
        <v/>
      </c>
      <c r="P205" s="20" t="str">
        <f aca="false">IF(OR($A205="",ISNA(MATCH($A205,Simulations!$A$3:$A$62,0))),"",MAX($E205:$H205)/INDEX(Simulations!$J$3:$J$62,MATCH($A205,Simulations!$A$3:$A$62,0)))</f>
        <v/>
      </c>
      <c r="Q205" s="16" t="str">
        <f aca="false">IF(OR($A205="",ISNA(MATCH($A205,Simulations!$A$3:$A$62,0))),"",IF(N($E205)&lt;=0,0,IF($E205&lt;INDEX(Simulations!$J$3:$J$62,MATCH($A205,Simulations!$A$3:$A$62,0)),$D205/(INDEX(Simulations!$G$3:$G$62,MATCH($A205,Simulations!$A$3:$A$62,0))*INDEX(Simulations!$H$3:$H$62,MATCH($A205,Simulations!$A$3:$A$62,0))*IF(INDEX(Simulations!$I$3:$I$62,MATCH($A205,Simulations!$A$3:$A$62,0))&gt;0,INDEX(Simulations!$I$3:$I$62,MATCH($A205,Simulations!$A$3:$A$62,0)),1))*$E205*(PI()/2*INDEX(Simulations!$T$3:$T$62,MATCH($A205,Simulations!$A$3:$A$62,0))^2*IF(INDEX(Simulations!$I$3:$I$62,MATCH($A205,Simulations!$A$3:$A$62,0))&gt;0,SQRT(PI()/2)*INDEX(Simulations!$U$3:$U$62,MATCH($A205,Simulations!$A$3:$A$62,0)),1)),$D205/(INDEX(Simulations!$G$3:$G$62,MATCH($A205,Simulations!$A$3:$A$62,0))*INDEX(Simulations!$H$3:$H$62,MATCH($A205,Simulations!$A$3:$A$62,0))*IF(INDEX(Simulations!$I$3:$I$62,MATCH($A205,Simulations!$A$3:$A$62,0))&gt;0,INDEX(Simulations!$I$3:$I$62,MATCH($A205,Simulations!$A$3:$A$62,0)),1))*INDEX(Simulations!$J$3:$J$62,MATCH($A205,Simulations!$A$3:$A$62,0))*IF(INDEX(Simulations!$I$3:$I$62,MATCH($A205,Simulations!$A$3:$A$62,0))&gt;0,2*PI()*INDEX(Simulations!$T$3:$T$62,MATCH($A205,Simulations!$A$3:$A$62,0))^2*INDEX(Simulations!$U$3:$U$62,MATCH($A205,Simulations!$A$3:$A$62,0))/2^1.5*(2/3*LN($E205/INDEX(Simulations!$J$3:$J$62,MATCH($A205,Simulations!$A$3:$A$62,0)))^1.5+SQRT(LN($E205/INDEX(Simulations!$J$3:$J$62,MATCH($A205,Simulations!$A$3:$A$62,0))))+$E205/INDEX(Simulations!$J$3:$J$62,MATCH($A205,Simulations!$A$3:$A$62,0))*SQRT(PI())/2*ERFC(SQRT(LN($E205/INDEX(Simulations!$J$3:$J$62,MATCH($A205,Simulations!$A$3:$A$62,0)))))),PI()*INDEX(Simulations!$T$3:$T$62,MATCH($A205,Simulations!$A$3:$A$62,0))^2/2*(LN($E205/INDEX(Simulations!$J$3:$J$62,MATCH($A205,Simulations!$A$3:$A$62,0)))+1)))))</f>
        <v/>
      </c>
      <c r="R205" s="16" t="str">
        <f aca="false">IF(OR($A205="",ISNA(MATCH($A205,Simulations!$A$3:$A$62,0))),"",IF(N($F205)&lt;=0,0,IF($F205&lt;INDEX(Simulations!$J$3:$J$62,MATCH($A205,Simulations!$A$3:$A$62,0)),$D205/(INDEX(Simulations!$G$3:$G$62,MATCH($A205,Simulations!$A$3:$A$62,0))*INDEX(Simulations!$H$3:$H$62,MATCH($A205,Simulations!$A$3:$A$62,0))*IF(INDEX(Simulations!$I$3:$I$62,MATCH($A205,Simulations!$A$3:$A$62,0))&gt;0,INDEX(Simulations!$I$3:$I$62,MATCH($A205,Simulations!$A$3:$A$62,0)),1))*$F205*(PI()/2*INDEX(Simulations!$T$3:$T$62,MATCH($A205,Simulations!$A$3:$A$62,0))^2*IF(INDEX(Simulations!$I$3:$I$62,MATCH($A205,Simulations!$A$3:$A$62,0))&gt;0,SQRT(PI()/2)*INDEX(Simulations!$U$3:$U$62,MATCH($A205,Simulations!$A$3:$A$62,0)),1)),$D205/(INDEX(Simulations!$G$3:$G$62,MATCH($A205,Simulations!$A$3:$A$62,0))*INDEX(Simulations!$H$3:$H$62,MATCH($A205,Simulations!$A$3:$A$62,0))*IF(INDEX(Simulations!$I$3:$I$62,MATCH($A205,Simulations!$A$3:$A$62,0))&gt;0,INDEX(Simulations!$I$3:$I$62,MATCH($A205,Simulations!$A$3:$A$62,0)),1))*INDEX(Simulations!$J$3:$J$62,MATCH($A205,Simulations!$A$3:$A$62,0))*IF(INDEX(Simulations!$I$3:$I$62,MATCH($A205,Simulations!$A$3:$A$62,0))&gt;0,2*PI()*INDEX(Simulations!$T$3:$T$62,MATCH($A205,Simulations!$A$3:$A$62,0))^2*INDEX(Simulations!$U$3:$U$62,MATCH($A205,Simulations!$A$3:$A$62,0))/2^1.5*(2/3*LN($F205/INDEX(Simulations!$J$3:$J$62,MATCH($A205,Simulations!$A$3:$A$62,0)))^1.5+SQRT(LN($F205/INDEX(Simulations!$J$3:$J$62,MATCH($A205,Simulations!$A$3:$A$62,0))))+$F205/INDEX(Simulations!$J$3:$J$62,MATCH($A205,Simulations!$A$3:$A$62,0))*SQRT(PI())/2*ERFC(SQRT(LN($F205/INDEX(Simulations!$J$3:$J$62,MATCH($A205,Simulations!$A$3:$A$62,0)))))),PI()*INDEX(Simulations!$T$3:$T$62,MATCH($A205,Simulations!$A$3:$A$62,0))^2/2*(LN($F205/INDEX(Simulations!$J$3:$J$62,MATCH($A205,Simulations!$A$3:$A$62,0)))+1)))))</f>
        <v/>
      </c>
      <c r="S205" s="16" t="str">
        <f aca="false">IF(OR($A205="",ISNA(MATCH($A205,Simulations!$A$3:$A$62,0))),"",IF(N($G205)&lt;=0,0,IF($G205&lt;INDEX(Simulations!$J$3:$J$62,MATCH($A205,Simulations!$A$3:$A$62,0)),$D205/(INDEX(Simulations!$G$3:$G$62,MATCH($A205,Simulations!$A$3:$A$62,0))*INDEX(Simulations!$H$3:$H$62,MATCH($A205,Simulations!$A$3:$A$62,0))*IF(INDEX(Simulations!$I$3:$I$62,MATCH($A205,Simulations!$A$3:$A$62,0))&gt;0,INDEX(Simulations!$I$3:$I$62,MATCH($A205,Simulations!$A$3:$A$62,0)),1))*$G205*(PI()/2*INDEX(Simulations!$T$3:$T$62,MATCH($A205,Simulations!$A$3:$A$62,0))^2*IF(INDEX(Simulations!$I$3:$I$62,MATCH($A205,Simulations!$A$3:$A$62,0))&gt;0,SQRT(PI()/2)*INDEX(Simulations!$U$3:$U$62,MATCH($A205,Simulations!$A$3:$A$62,0)),1)),$D205/(INDEX(Simulations!$G$3:$G$62,MATCH($A205,Simulations!$A$3:$A$62,0))*INDEX(Simulations!$H$3:$H$62,MATCH($A205,Simulations!$A$3:$A$62,0))*IF(INDEX(Simulations!$I$3:$I$62,MATCH($A205,Simulations!$A$3:$A$62,0))&gt;0,INDEX(Simulations!$I$3:$I$62,MATCH($A205,Simulations!$A$3:$A$62,0)),1))*INDEX(Simulations!$J$3:$J$62,MATCH($A205,Simulations!$A$3:$A$62,0))*IF(INDEX(Simulations!$I$3:$I$62,MATCH($A205,Simulations!$A$3:$A$62,0))&gt;0,2*PI()*INDEX(Simulations!$T$3:$T$62,MATCH($A205,Simulations!$A$3:$A$62,0))^2*INDEX(Simulations!$U$3:$U$62,MATCH($A205,Simulations!$A$3:$A$62,0))/2^1.5*(2/3*LN($G205/INDEX(Simulations!$J$3:$J$62,MATCH($A205,Simulations!$A$3:$A$62,0)))^1.5+SQRT(LN($G205/INDEX(Simulations!$J$3:$J$62,MATCH($A205,Simulations!$A$3:$A$62,0))))+$G205/INDEX(Simulations!$J$3:$J$62,MATCH($A205,Simulations!$A$3:$A$62,0))*SQRT(PI())/2*ERFC(SQRT(LN($G205/INDEX(Simulations!$J$3:$J$62,MATCH($A205,Simulations!$A$3:$A$62,0)))))),PI()*INDEX(Simulations!$T$3:$T$62,MATCH($A205,Simulations!$A$3:$A$62,0))^2/2*(LN($G205/INDEX(Simulations!$J$3:$J$62,MATCH($A205,Simulations!$A$3:$A$62,0)))+1)))))</f>
        <v/>
      </c>
      <c r="T205" s="16" t="str">
        <f aca="false">IF(OR($A205="",ISNA(MATCH($A205,Simulations!$A$3:$A$62,0))),"",IF(N($H205)&lt;=0,0,IF($H205&lt;INDEX(Simulations!$J$3:$J$62,MATCH($A205,Simulations!$A$3:$A$62,0)),$D205/(INDEX(Simulations!$G$3:$G$62,MATCH($A205,Simulations!$A$3:$A$62,0))*INDEX(Simulations!$H$3:$H$62,MATCH($A205,Simulations!$A$3:$A$62,0))*IF(INDEX(Simulations!$I$3:$I$62,MATCH($A205,Simulations!$A$3:$A$62,0))&gt;0,INDEX(Simulations!$I$3:$I$62,MATCH($A205,Simulations!$A$3:$A$62,0)),1))*$H205*(PI()/2*INDEX(Simulations!$T$3:$T$62,MATCH($A205,Simulations!$A$3:$A$62,0))^2*IF(INDEX(Simulations!$I$3:$I$62,MATCH($A205,Simulations!$A$3:$A$62,0))&gt;0,SQRT(PI()/2)*INDEX(Simulations!$U$3:$U$62,MATCH($A205,Simulations!$A$3:$A$62,0)),1)),$D205/(INDEX(Simulations!$G$3:$G$62,MATCH($A205,Simulations!$A$3:$A$62,0))*INDEX(Simulations!$H$3:$H$62,MATCH($A205,Simulations!$A$3:$A$62,0))*IF(INDEX(Simulations!$I$3:$I$62,MATCH($A205,Simulations!$A$3:$A$62,0))&gt;0,INDEX(Simulations!$I$3:$I$62,MATCH($A205,Simulations!$A$3:$A$62,0)),1))*INDEX(Simulations!$J$3:$J$62,MATCH($A205,Simulations!$A$3:$A$62,0))*IF(INDEX(Simulations!$I$3:$I$62,MATCH($A205,Simulations!$A$3:$A$62,0))&gt;0,2*PI()*INDEX(Simulations!$T$3:$T$62,MATCH($A205,Simulations!$A$3:$A$62,0))^2*INDEX(Simulations!$U$3:$U$62,MATCH($A205,Simulations!$A$3:$A$62,0))/2^1.5*(2/3*LN($H205/INDEX(Simulations!$J$3:$J$62,MATCH($A205,Simulations!$A$3:$A$62,0)))^1.5+SQRT(LN($H205/INDEX(Simulations!$J$3:$J$62,MATCH($A205,Simulations!$A$3:$A$62,0))))+$H205/INDEX(Simulations!$J$3:$J$62,MATCH($A205,Simulations!$A$3:$A$62,0))*SQRT(PI())/2*ERFC(SQRT(LN($H205/INDEX(Simulations!$J$3:$J$62,MATCH($A205,Simulations!$A$3:$A$62,0)))))),PI()*INDEX(Simulations!$T$3:$T$62,MATCH($A205,Simulations!$A$3:$A$62,0))^2/2*(LN($H205/INDEX(Simulations!$J$3:$J$62,MATCH($A205,Simulations!$A$3:$A$62,0)))+1)))))</f>
        <v/>
      </c>
      <c r="U205" s="18" t="str">
        <f aca="false">IF(OR(OR($A205="",ISNA(MATCH($A205,Simulations!$A$3:$A$62,0))),N($C205)&lt;=0),"",SQRT(2*$C205*1000000/(INDEX(Simulations!$J$3:$J$62,MATCH($A205,Simulations!$A$3:$A$62,0))*1000))/INDEX(Simulations!$T$3:$T$62,MATCH($A205,Simulations!$A$3:$A$62,0)))</f>
        <v/>
      </c>
      <c r="V205" s="19" t="str">
        <f aca="false">IF($A205="","",IF(ISNA(MATCH($A205,Simulations!$A$3:$A$62,0)),"✖ Sim ID not found on the Simulations sheet",IF($P205&gt;=1,"✖ brightness &gt;= sampling frequency: completely saturated (D too small, c too large)",IF($P205&gt;0.1,"⚠ brightness &gt; 10% of the sampling frequency: focus starts to saturate",IF(N($U205)&gt;0.1,"⚠ diffusion step &gt; 10% of wr: raise the sampling frequency",IF(MAX($E205:$H205)=0,"⚠ no brightness set","✔ OK"))))))</f>
        <v/>
      </c>
    </row>
    <row r="206" customFormat="false" ht="15" hidden="false" customHeight="false" outlineLevel="0" collapsed="false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4"/>
      <c r="O206" s="18" t="str">
        <f aca="false">IF(OR($A206="",ISNA(MATCH($A206,Simulations!$A$3:$A$62,0))),"",IF(INDEX(Simulations!$I$3:$I$62,MATCH($A206,Simulations!$A$3:$A$62,0))&gt;0,$D206/(INDEX(Simulations!$G$3:$G$62,MATCH($A206,Simulations!$A$3:$A$62,0))*INDEX(Simulations!$H$3:$H$62,MATCH($A206,Simulations!$A$3:$A$62,0))*IF(INDEX(Simulations!$I$3:$I$62,MATCH($A206,Simulations!$A$3:$A$62,0))&gt;0,INDEX(Simulations!$I$3:$I$62,MATCH($A206,Simulations!$A$3:$A$62,0)),1))/1E-024/6.022E+023/0.000000001,""))</f>
        <v/>
      </c>
      <c r="P206" s="20" t="str">
        <f aca="false">IF(OR($A206="",ISNA(MATCH($A206,Simulations!$A$3:$A$62,0))),"",MAX($E206:$H206)/INDEX(Simulations!$J$3:$J$62,MATCH($A206,Simulations!$A$3:$A$62,0)))</f>
        <v/>
      </c>
      <c r="Q206" s="16" t="str">
        <f aca="false">IF(OR($A206="",ISNA(MATCH($A206,Simulations!$A$3:$A$62,0))),"",IF(N($E206)&lt;=0,0,IF($E206&lt;INDEX(Simulations!$J$3:$J$62,MATCH($A206,Simulations!$A$3:$A$62,0)),$D206/(INDEX(Simulations!$G$3:$G$62,MATCH($A206,Simulations!$A$3:$A$62,0))*INDEX(Simulations!$H$3:$H$62,MATCH($A206,Simulations!$A$3:$A$62,0))*IF(INDEX(Simulations!$I$3:$I$62,MATCH($A206,Simulations!$A$3:$A$62,0))&gt;0,INDEX(Simulations!$I$3:$I$62,MATCH($A206,Simulations!$A$3:$A$62,0)),1))*$E206*(PI()/2*INDEX(Simulations!$T$3:$T$62,MATCH($A206,Simulations!$A$3:$A$62,0))^2*IF(INDEX(Simulations!$I$3:$I$62,MATCH($A206,Simulations!$A$3:$A$62,0))&gt;0,SQRT(PI()/2)*INDEX(Simulations!$U$3:$U$62,MATCH($A206,Simulations!$A$3:$A$62,0)),1)),$D206/(INDEX(Simulations!$G$3:$G$62,MATCH($A206,Simulations!$A$3:$A$62,0))*INDEX(Simulations!$H$3:$H$62,MATCH($A206,Simulations!$A$3:$A$62,0))*IF(INDEX(Simulations!$I$3:$I$62,MATCH($A206,Simulations!$A$3:$A$62,0))&gt;0,INDEX(Simulations!$I$3:$I$62,MATCH($A206,Simulations!$A$3:$A$62,0)),1))*INDEX(Simulations!$J$3:$J$62,MATCH($A206,Simulations!$A$3:$A$62,0))*IF(INDEX(Simulations!$I$3:$I$62,MATCH($A206,Simulations!$A$3:$A$62,0))&gt;0,2*PI()*INDEX(Simulations!$T$3:$T$62,MATCH($A206,Simulations!$A$3:$A$62,0))^2*INDEX(Simulations!$U$3:$U$62,MATCH($A206,Simulations!$A$3:$A$62,0))/2^1.5*(2/3*LN($E206/INDEX(Simulations!$J$3:$J$62,MATCH($A206,Simulations!$A$3:$A$62,0)))^1.5+SQRT(LN($E206/INDEX(Simulations!$J$3:$J$62,MATCH($A206,Simulations!$A$3:$A$62,0))))+$E206/INDEX(Simulations!$J$3:$J$62,MATCH($A206,Simulations!$A$3:$A$62,0))*SQRT(PI())/2*ERFC(SQRT(LN($E206/INDEX(Simulations!$J$3:$J$62,MATCH($A206,Simulations!$A$3:$A$62,0)))))),PI()*INDEX(Simulations!$T$3:$T$62,MATCH($A206,Simulations!$A$3:$A$62,0))^2/2*(LN($E206/INDEX(Simulations!$J$3:$J$62,MATCH($A206,Simulations!$A$3:$A$62,0)))+1)))))</f>
        <v/>
      </c>
      <c r="R206" s="16" t="str">
        <f aca="false">IF(OR($A206="",ISNA(MATCH($A206,Simulations!$A$3:$A$62,0))),"",IF(N($F206)&lt;=0,0,IF($F206&lt;INDEX(Simulations!$J$3:$J$62,MATCH($A206,Simulations!$A$3:$A$62,0)),$D206/(INDEX(Simulations!$G$3:$G$62,MATCH($A206,Simulations!$A$3:$A$62,0))*INDEX(Simulations!$H$3:$H$62,MATCH($A206,Simulations!$A$3:$A$62,0))*IF(INDEX(Simulations!$I$3:$I$62,MATCH($A206,Simulations!$A$3:$A$62,0))&gt;0,INDEX(Simulations!$I$3:$I$62,MATCH($A206,Simulations!$A$3:$A$62,0)),1))*$F206*(PI()/2*INDEX(Simulations!$T$3:$T$62,MATCH($A206,Simulations!$A$3:$A$62,0))^2*IF(INDEX(Simulations!$I$3:$I$62,MATCH($A206,Simulations!$A$3:$A$62,0))&gt;0,SQRT(PI()/2)*INDEX(Simulations!$U$3:$U$62,MATCH($A206,Simulations!$A$3:$A$62,0)),1)),$D206/(INDEX(Simulations!$G$3:$G$62,MATCH($A206,Simulations!$A$3:$A$62,0))*INDEX(Simulations!$H$3:$H$62,MATCH($A206,Simulations!$A$3:$A$62,0))*IF(INDEX(Simulations!$I$3:$I$62,MATCH($A206,Simulations!$A$3:$A$62,0))&gt;0,INDEX(Simulations!$I$3:$I$62,MATCH($A206,Simulations!$A$3:$A$62,0)),1))*INDEX(Simulations!$J$3:$J$62,MATCH($A206,Simulations!$A$3:$A$62,0))*IF(INDEX(Simulations!$I$3:$I$62,MATCH($A206,Simulations!$A$3:$A$62,0))&gt;0,2*PI()*INDEX(Simulations!$T$3:$T$62,MATCH($A206,Simulations!$A$3:$A$62,0))^2*INDEX(Simulations!$U$3:$U$62,MATCH($A206,Simulations!$A$3:$A$62,0))/2^1.5*(2/3*LN($F206/INDEX(Simulations!$J$3:$J$62,MATCH($A206,Simulations!$A$3:$A$62,0)))^1.5+SQRT(LN($F206/INDEX(Simulations!$J$3:$J$62,MATCH($A206,Simulations!$A$3:$A$62,0))))+$F206/INDEX(Simulations!$J$3:$J$62,MATCH($A206,Simulations!$A$3:$A$62,0))*SQRT(PI())/2*ERFC(SQRT(LN($F206/INDEX(Simulations!$J$3:$J$62,MATCH($A206,Simulations!$A$3:$A$62,0)))))),PI()*INDEX(Simulations!$T$3:$T$62,MATCH($A206,Simulations!$A$3:$A$62,0))^2/2*(LN($F206/INDEX(Simulations!$J$3:$J$62,MATCH($A206,Simulations!$A$3:$A$62,0)))+1)))))</f>
        <v/>
      </c>
      <c r="S206" s="16" t="str">
        <f aca="false">IF(OR($A206="",ISNA(MATCH($A206,Simulations!$A$3:$A$62,0))),"",IF(N($G206)&lt;=0,0,IF($G206&lt;INDEX(Simulations!$J$3:$J$62,MATCH($A206,Simulations!$A$3:$A$62,0)),$D206/(INDEX(Simulations!$G$3:$G$62,MATCH($A206,Simulations!$A$3:$A$62,0))*INDEX(Simulations!$H$3:$H$62,MATCH($A206,Simulations!$A$3:$A$62,0))*IF(INDEX(Simulations!$I$3:$I$62,MATCH($A206,Simulations!$A$3:$A$62,0))&gt;0,INDEX(Simulations!$I$3:$I$62,MATCH($A206,Simulations!$A$3:$A$62,0)),1))*$G206*(PI()/2*INDEX(Simulations!$T$3:$T$62,MATCH($A206,Simulations!$A$3:$A$62,0))^2*IF(INDEX(Simulations!$I$3:$I$62,MATCH($A206,Simulations!$A$3:$A$62,0))&gt;0,SQRT(PI()/2)*INDEX(Simulations!$U$3:$U$62,MATCH($A206,Simulations!$A$3:$A$62,0)),1)),$D206/(INDEX(Simulations!$G$3:$G$62,MATCH($A206,Simulations!$A$3:$A$62,0))*INDEX(Simulations!$H$3:$H$62,MATCH($A206,Simulations!$A$3:$A$62,0))*IF(INDEX(Simulations!$I$3:$I$62,MATCH($A206,Simulations!$A$3:$A$62,0))&gt;0,INDEX(Simulations!$I$3:$I$62,MATCH($A206,Simulations!$A$3:$A$62,0)),1))*INDEX(Simulations!$J$3:$J$62,MATCH($A206,Simulations!$A$3:$A$62,0))*IF(INDEX(Simulations!$I$3:$I$62,MATCH($A206,Simulations!$A$3:$A$62,0))&gt;0,2*PI()*INDEX(Simulations!$T$3:$T$62,MATCH($A206,Simulations!$A$3:$A$62,0))^2*INDEX(Simulations!$U$3:$U$62,MATCH($A206,Simulations!$A$3:$A$62,0))/2^1.5*(2/3*LN($G206/INDEX(Simulations!$J$3:$J$62,MATCH($A206,Simulations!$A$3:$A$62,0)))^1.5+SQRT(LN($G206/INDEX(Simulations!$J$3:$J$62,MATCH($A206,Simulations!$A$3:$A$62,0))))+$G206/INDEX(Simulations!$J$3:$J$62,MATCH($A206,Simulations!$A$3:$A$62,0))*SQRT(PI())/2*ERFC(SQRT(LN($G206/INDEX(Simulations!$J$3:$J$62,MATCH($A206,Simulations!$A$3:$A$62,0)))))),PI()*INDEX(Simulations!$T$3:$T$62,MATCH($A206,Simulations!$A$3:$A$62,0))^2/2*(LN($G206/INDEX(Simulations!$J$3:$J$62,MATCH($A206,Simulations!$A$3:$A$62,0)))+1)))))</f>
        <v/>
      </c>
      <c r="T206" s="16" t="str">
        <f aca="false">IF(OR($A206="",ISNA(MATCH($A206,Simulations!$A$3:$A$62,0))),"",IF(N($H206)&lt;=0,0,IF($H206&lt;INDEX(Simulations!$J$3:$J$62,MATCH($A206,Simulations!$A$3:$A$62,0)),$D206/(INDEX(Simulations!$G$3:$G$62,MATCH($A206,Simulations!$A$3:$A$62,0))*INDEX(Simulations!$H$3:$H$62,MATCH($A206,Simulations!$A$3:$A$62,0))*IF(INDEX(Simulations!$I$3:$I$62,MATCH($A206,Simulations!$A$3:$A$62,0))&gt;0,INDEX(Simulations!$I$3:$I$62,MATCH($A206,Simulations!$A$3:$A$62,0)),1))*$H206*(PI()/2*INDEX(Simulations!$T$3:$T$62,MATCH($A206,Simulations!$A$3:$A$62,0))^2*IF(INDEX(Simulations!$I$3:$I$62,MATCH($A206,Simulations!$A$3:$A$62,0))&gt;0,SQRT(PI()/2)*INDEX(Simulations!$U$3:$U$62,MATCH($A206,Simulations!$A$3:$A$62,0)),1)),$D206/(INDEX(Simulations!$G$3:$G$62,MATCH($A206,Simulations!$A$3:$A$62,0))*INDEX(Simulations!$H$3:$H$62,MATCH($A206,Simulations!$A$3:$A$62,0))*IF(INDEX(Simulations!$I$3:$I$62,MATCH($A206,Simulations!$A$3:$A$62,0))&gt;0,INDEX(Simulations!$I$3:$I$62,MATCH($A206,Simulations!$A$3:$A$62,0)),1))*INDEX(Simulations!$J$3:$J$62,MATCH($A206,Simulations!$A$3:$A$62,0))*IF(INDEX(Simulations!$I$3:$I$62,MATCH($A206,Simulations!$A$3:$A$62,0))&gt;0,2*PI()*INDEX(Simulations!$T$3:$T$62,MATCH($A206,Simulations!$A$3:$A$62,0))^2*INDEX(Simulations!$U$3:$U$62,MATCH($A206,Simulations!$A$3:$A$62,0))/2^1.5*(2/3*LN($H206/INDEX(Simulations!$J$3:$J$62,MATCH($A206,Simulations!$A$3:$A$62,0)))^1.5+SQRT(LN($H206/INDEX(Simulations!$J$3:$J$62,MATCH($A206,Simulations!$A$3:$A$62,0))))+$H206/INDEX(Simulations!$J$3:$J$62,MATCH($A206,Simulations!$A$3:$A$62,0))*SQRT(PI())/2*ERFC(SQRT(LN($H206/INDEX(Simulations!$J$3:$J$62,MATCH($A206,Simulations!$A$3:$A$62,0)))))),PI()*INDEX(Simulations!$T$3:$T$62,MATCH($A206,Simulations!$A$3:$A$62,0))^2/2*(LN($H206/INDEX(Simulations!$J$3:$J$62,MATCH($A206,Simulations!$A$3:$A$62,0)))+1)))))</f>
        <v/>
      </c>
      <c r="U206" s="18" t="str">
        <f aca="false">IF(OR(OR($A206="",ISNA(MATCH($A206,Simulations!$A$3:$A$62,0))),N($C206)&lt;=0),"",SQRT(2*$C206*1000000/(INDEX(Simulations!$J$3:$J$62,MATCH($A206,Simulations!$A$3:$A$62,0))*1000))/INDEX(Simulations!$T$3:$T$62,MATCH($A206,Simulations!$A$3:$A$62,0)))</f>
        <v/>
      </c>
      <c r="V206" s="19" t="str">
        <f aca="false">IF($A206="","",IF(ISNA(MATCH($A206,Simulations!$A$3:$A$62,0)),"✖ Sim ID not found on the Simulations sheet",IF($P206&gt;=1,"✖ brightness &gt;= sampling frequency: completely saturated (D too small, c too large)",IF($P206&gt;0.1,"⚠ brightness &gt; 10% of the sampling frequency: focus starts to saturate",IF(N($U206)&gt;0.1,"⚠ diffusion step &gt; 10% of wr: raise the sampling frequency",IF(MAX($E206:$H206)=0,"⚠ no brightness set","✔ OK"))))))</f>
        <v/>
      </c>
    </row>
    <row r="207" customFormat="false" ht="15" hidden="false" customHeight="false" outlineLevel="0" collapsed="false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4"/>
      <c r="O207" s="18" t="str">
        <f aca="false">IF(OR($A207="",ISNA(MATCH($A207,Simulations!$A$3:$A$62,0))),"",IF(INDEX(Simulations!$I$3:$I$62,MATCH($A207,Simulations!$A$3:$A$62,0))&gt;0,$D207/(INDEX(Simulations!$G$3:$G$62,MATCH($A207,Simulations!$A$3:$A$62,0))*INDEX(Simulations!$H$3:$H$62,MATCH($A207,Simulations!$A$3:$A$62,0))*IF(INDEX(Simulations!$I$3:$I$62,MATCH($A207,Simulations!$A$3:$A$62,0))&gt;0,INDEX(Simulations!$I$3:$I$62,MATCH($A207,Simulations!$A$3:$A$62,0)),1))/1E-024/6.022E+023/0.000000001,""))</f>
        <v/>
      </c>
      <c r="P207" s="20" t="str">
        <f aca="false">IF(OR($A207="",ISNA(MATCH($A207,Simulations!$A$3:$A$62,0))),"",MAX($E207:$H207)/INDEX(Simulations!$J$3:$J$62,MATCH($A207,Simulations!$A$3:$A$62,0)))</f>
        <v/>
      </c>
      <c r="Q207" s="16" t="str">
        <f aca="false">IF(OR($A207="",ISNA(MATCH($A207,Simulations!$A$3:$A$62,0))),"",IF(N($E207)&lt;=0,0,IF($E207&lt;INDEX(Simulations!$J$3:$J$62,MATCH($A207,Simulations!$A$3:$A$62,0)),$D207/(INDEX(Simulations!$G$3:$G$62,MATCH($A207,Simulations!$A$3:$A$62,0))*INDEX(Simulations!$H$3:$H$62,MATCH($A207,Simulations!$A$3:$A$62,0))*IF(INDEX(Simulations!$I$3:$I$62,MATCH($A207,Simulations!$A$3:$A$62,0))&gt;0,INDEX(Simulations!$I$3:$I$62,MATCH($A207,Simulations!$A$3:$A$62,0)),1))*$E207*(PI()/2*INDEX(Simulations!$T$3:$T$62,MATCH($A207,Simulations!$A$3:$A$62,0))^2*IF(INDEX(Simulations!$I$3:$I$62,MATCH($A207,Simulations!$A$3:$A$62,0))&gt;0,SQRT(PI()/2)*INDEX(Simulations!$U$3:$U$62,MATCH($A207,Simulations!$A$3:$A$62,0)),1)),$D207/(INDEX(Simulations!$G$3:$G$62,MATCH($A207,Simulations!$A$3:$A$62,0))*INDEX(Simulations!$H$3:$H$62,MATCH($A207,Simulations!$A$3:$A$62,0))*IF(INDEX(Simulations!$I$3:$I$62,MATCH($A207,Simulations!$A$3:$A$62,0))&gt;0,INDEX(Simulations!$I$3:$I$62,MATCH($A207,Simulations!$A$3:$A$62,0)),1))*INDEX(Simulations!$J$3:$J$62,MATCH($A207,Simulations!$A$3:$A$62,0))*IF(INDEX(Simulations!$I$3:$I$62,MATCH($A207,Simulations!$A$3:$A$62,0))&gt;0,2*PI()*INDEX(Simulations!$T$3:$T$62,MATCH($A207,Simulations!$A$3:$A$62,0))^2*INDEX(Simulations!$U$3:$U$62,MATCH($A207,Simulations!$A$3:$A$62,0))/2^1.5*(2/3*LN($E207/INDEX(Simulations!$J$3:$J$62,MATCH($A207,Simulations!$A$3:$A$62,0)))^1.5+SQRT(LN($E207/INDEX(Simulations!$J$3:$J$62,MATCH($A207,Simulations!$A$3:$A$62,0))))+$E207/INDEX(Simulations!$J$3:$J$62,MATCH($A207,Simulations!$A$3:$A$62,0))*SQRT(PI())/2*ERFC(SQRT(LN($E207/INDEX(Simulations!$J$3:$J$62,MATCH($A207,Simulations!$A$3:$A$62,0)))))),PI()*INDEX(Simulations!$T$3:$T$62,MATCH($A207,Simulations!$A$3:$A$62,0))^2/2*(LN($E207/INDEX(Simulations!$J$3:$J$62,MATCH($A207,Simulations!$A$3:$A$62,0)))+1)))))</f>
        <v/>
      </c>
      <c r="R207" s="16" t="str">
        <f aca="false">IF(OR($A207="",ISNA(MATCH($A207,Simulations!$A$3:$A$62,0))),"",IF(N($F207)&lt;=0,0,IF($F207&lt;INDEX(Simulations!$J$3:$J$62,MATCH($A207,Simulations!$A$3:$A$62,0)),$D207/(INDEX(Simulations!$G$3:$G$62,MATCH($A207,Simulations!$A$3:$A$62,0))*INDEX(Simulations!$H$3:$H$62,MATCH($A207,Simulations!$A$3:$A$62,0))*IF(INDEX(Simulations!$I$3:$I$62,MATCH($A207,Simulations!$A$3:$A$62,0))&gt;0,INDEX(Simulations!$I$3:$I$62,MATCH($A207,Simulations!$A$3:$A$62,0)),1))*$F207*(PI()/2*INDEX(Simulations!$T$3:$T$62,MATCH($A207,Simulations!$A$3:$A$62,0))^2*IF(INDEX(Simulations!$I$3:$I$62,MATCH($A207,Simulations!$A$3:$A$62,0))&gt;0,SQRT(PI()/2)*INDEX(Simulations!$U$3:$U$62,MATCH($A207,Simulations!$A$3:$A$62,0)),1)),$D207/(INDEX(Simulations!$G$3:$G$62,MATCH($A207,Simulations!$A$3:$A$62,0))*INDEX(Simulations!$H$3:$H$62,MATCH($A207,Simulations!$A$3:$A$62,0))*IF(INDEX(Simulations!$I$3:$I$62,MATCH($A207,Simulations!$A$3:$A$62,0))&gt;0,INDEX(Simulations!$I$3:$I$62,MATCH($A207,Simulations!$A$3:$A$62,0)),1))*INDEX(Simulations!$J$3:$J$62,MATCH($A207,Simulations!$A$3:$A$62,0))*IF(INDEX(Simulations!$I$3:$I$62,MATCH($A207,Simulations!$A$3:$A$62,0))&gt;0,2*PI()*INDEX(Simulations!$T$3:$T$62,MATCH($A207,Simulations!$A$3:$A$62,0))^2*INDEX(Simulations!$U$3:$U$62,MATCH($A207,Simulations!$A$3:$A$62,0))/2^1.5*(2/3*LN($F207/INDEX(Simulations!$J$3:$J$62,MATCH($A207,Simulations!$A$3:$A$62,0)))^1.5+SQRT(LN($F207/INDEX(Simulations!$J$3:$J$62,MATCH($A207,Simulations!$A$3:$A$62,0))))+$F207/INDEX(Simulations!$J$3:$J$62,MATCH($A207,Simulations!$A$3:$A$62,0))*SQRT(PI())/2*ERFC(SQRT(LN($F207/INDEX(Simulations!$J$3:$J$62,MATCH($A207,Simulations!$A$3:$A$62,0)))))),PI()*INDEX(Simulations!$T$3:$T$62,MATCH($A207,Simulations!$A$3:$A$62,0))^2/2*(LN($F207/INDEX(Simulations!$J$3:$J$62,MATCH($A207,Simulations!$A$3:$A$62,0)))+1)))))</f>
        <v/>
      </c>
      <c r="S207" s="16" t="str">
        <f aca="false">IF(OR($A207="",ISNA(MATCH($A207,Simulations!$A$3:$A$62,0))),"",IF(N($G207)&lt;=0,0,IF($G207&lt;INDEX(Simulations!$J$3:$J$62,MATCH($A207,Simulations!$A$3:$A$62,0)),$D207/(INDEX(Simulations!$G$3:$G$62,MATCH($A207,Simulations!$A$3:$A$62,0))*INDEX(Simulations!$H$3:$H$62,MATCH($A207,Simulations!$A$3:$A$62,0))*IF(INDEX(Simulations!$I$3:$I$62,MATCH($A207,Simulations!$A$3:$A$62,0))&gt;0,INDEX(Simulations!$I$3:$I$62,MATCH($A207,Simulations!$A$3:$A$62,0)),1))*$G207*(PI()/2*INDEX(Simulations!$T$3:$T$62,MATCH($A207,Simulations!$A$3:$A$62,0))^2*IF(INDEX(Simulations!$I$3:$I$62,MATCH($A207,Simulations!$A$3:$A$62,0))&gt;0,SQRT(PI()/2)*INDEX(Simulations!$U$3:$U$62,MATCH($A207,Simulations!$A$3:$A$62,0)),1)),$D207/(INDEX(Simulations!$G$3:$G$62,MATCH($A207,Simulations!$A$3:$A$62,0))*INDEX(Simulations!$H$3:$H$62,MATCH($A207,Simulations!$A$3:$A$62,0))*IF(INDEX(Simulations!$I$3:$I$62,MATCH($A207,Simulations!$A$3:$A$62,0))&gt;0,INDEX(Simulations!$I$3:$I$62,MATCH($A207,Simulations!$A$3:$A$62,0)),1))*INDEX(Simulations!$J$3:$J$62,MATCH($A207,Simulations!$A$3:$A$62,0))*IF(INDEX(Simulations!$I$3:$I$62,MATCH($A207,Simulations!$A$3:$A$62,0))&gt;0,2*PI()*INDEX(Simulations!$T$3:$T$62,MATCH($A207,Simulations!$A$3:$A$62,0))^2*INDEX(Simulations!$U$3:$U$62,MATCH($A207,Simulations!$A$3:$A$62,0))/2^1.5*(2/3*LN($G207/INDEX(Simulations!$J$3:$J$62,MATCH($A207,Simulations!$A$3:$A$62,0)))^1.5+SQRT(LN($G207/INDEX(Simulations!$J$3:$J$62,MATCH($A207,Simulations!$A$3:$A$62,0))))+$G207/INDEX(Simulations!$J$3:$J$62,MATCH($A207,Simulations!$A$3:$A$62,0))*SQRT(PI())/2*ERFC(SQRT(LN($G207/INDEX(Simulations!$J$3:$J$62,MATCH($A207,Simulations!$A$3:$A$62,0)))))),PI()*INDEX(Simulations!$T$3:$T$62,MATCH($A207,Simulations!$A$3:$A$62,0))^2/2*(LN($G207/INDEX(Simulations!$J$3:$J$62,MATCH($A207,Simulations!$A$3:$A$62,0)))+1)))))</f>
        <v/>
      </c>
      <c r="T207" s="16" t="str">
        <f aca="false">IF(OR($A207="",ISNA(MATCH($A207,Simulations!$A$3:$A$62,0))),"",IF(N($H207)&lt;=0,0,IF($H207&lt;INDEX(Simulations!$J$3:$J$62,MATCH($A207,Simulations!$A$3:$A$62,0)),$D207/(INDEX(Simulations!$G$3:$G$62,MATCH($A207,Simulations!$A$3:$A$62,0))*INDEX(Simulations!$H$3:$H$62,MATCH($A207,Simulations!$A$3:$A$62,0))*IF(INDEX(Simulations!$I$3:$I$62,MATCH($A207,Simulations!$A$3:$A$62,0))&gt;0,INDEX(Simulations!$I$3:$I$62,MATCH($A207,Simulations!$A$3:$A$62,0)),1))*$H207*(PI()/2*INDEX(Simulations!$T$3:$T$62,MATCH($A207,Simulations!$A$3:$A$62,0))^2*IF(INDEX(Simulations!$I$3:$I$62,MATCH($A207,Simulations!$A$3:$A$62,0))&gt;0,SQRT(PI()/2)*INDEX(Simulations!$U$3:$U$62,MATCH($A207,Simulations!$A$3:$A$62,0)),1)),$D207/(INDEX(Simulations!$G$3:$G$62,MATCH($A207,Simulations!$A$3:$A$62,0))*INDEX(Simulations!$H$3:$H$62,MATCH($A207,Simulations!$A$3:$A$62,0))*IF(INDEX(Simulations!$I$3:$I$62,MATCH($A207,Simulations!$A$3:$A$62,0))&gt;0,INDEX(Simulations!$I$3:$I$62,MATCH($A207,Simulations!$A$3:$A$62,0)),1))*INDEX(Simulations!$J$3:$J$62,MATCH($A207,Simulations!$A$3:$A$62,0))*IF(INDEX(Simulations!$I$3:$I$62,MATCH($A207,Simulations!$A$3:$A$62,0))&gt;0,2*PI()*INDEX(Simulations!$T$3:$T$62,MATCH($A207,Simulations!$A$3:$A$62,0))^2*INDEX(Simulations!$U$3:$U$62,MATCH($A207,Simulations!$A$3:$A$62,0))/2^1.5*(2/3*LN($H207/INDEX(Simulations!$J$3:$J$62,MATCH($A207,Simulations!$A$3:$A$62,0)))^1.5+SQRT(LN($H207/INDEX(Simulations!$J$3:$J$62,MATCH($A207,Simulations!$A$3:$A$62,0))))+$H207/INDEX(Simulations!$J$3:$J$62,MATCH($A207,Simulations!$A$3:$A$62,0))*SQRT(PI())/2*ERFC(SQRT(LN($H207/INDEX(Simulations!$J$3:$J$62,MATCH($A207,Simulations!$A$3:$A$62,0)))))),PI()*INDEX(Simulations!$T$3:$T$62,MATCH($A207,Simulations!$A$3:$A$62,0))^2/2*(LN($H207/INDEX(Simulations!$J$3:$J$62,MATCH($A207,Simulations!$A$3:$A$62,0)))+1)))))</f>
        <v/>
      </c>
      <c r="U207" s="18" t="str">
        <f aca="false">IF(OR(OR($A207="",ISNA(MATCH($A207,Simulations!$A$3:$A$62,0))),N($C207)&lt;=0),"",SQRT(2*$C207*1000000/(INDEX(Simulations!$J$3:$J$62,MATCH($A207,Simulations!$A$3:$A$62,0))*1000))/INDEX(Simulations!$T$3:$T$62,MATCH($A207,Simulations!$A$3:$A$62,0)))</f>
        <v/>
      </c>
      <c r="V207" s="19" t="str">
        <f aca="false">IF($A207="","",IF(ISNA(MATCH($A207,Simulations!$A$3:$A$62,0)),"✖ Sim ID not found on the Simulations sheet",IF($P207&gt;=1,"✖ brightness &gt;= sampling frequency: completely saturated (D too small, c too large)",IF($P207&gt;0.1,"⚠ brightness &gt; 10% of the sampling frequency: focus starts to saturate",IF(N($U207)&gt;0.1,"⚠ diffusion step &gt; 10% of wr: raise the sampling frequency",IF(MAX($E207:$H207)=0,"⚠ no brightness set","✔ OK"))))))</f>
        <v/>
      </c>
    </row>
    <row r="208" customFormat="false" ht="15" hidden="false" customHeight="false" outlineLevel="0" collapsed="false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4"/>
      <c r="O208" s="18" t="str">
        <f aca="false">IF(OR($A208="",ISNA(MATCH($A208,Simulations!$A$3:$A$62,0))),"",IF(INDEX(Simulations!$I$3:$I$62,MATCH($A208,Simulations!$A$3:$A$62,0))&gt;0,$D208/(INDEX(Simulations!$G$3:$G$62,MATCH($A208,Simulations!$A$3:$A$62,0))*INDEX(Simulations!$H$3:$H$62,MATCH($A208,Simulations!$A$3:$A$62,0))*IF(INDEX(Simulations!$I$3:$I$62,MATCH($A208,Simulations!$A$3:$A$62,0))&gt;0,INDEX(Simulations!$I$3:$I$62,MATCH($A208,Simulations!$A$3:$A$62,0)),1))/1E-024/6.022E+023/0.000000001,""))</f>
        <v/>
      </c>
      <c r="P208" s="20" t="str">
        <f aca="false">IF(OR($A208="",ISNA(MATCH($A208,Simulations!$A$3:$A$62,0))),"",MAX($E208:$H208)/INDEX(Simulations!$J$3:$J$62,MATCH($A208,Simulations!$A$3:$A$62,0)))</f>
        <v/>
      </c>
      <c r="Q208" s="16" t="str">
        <f aca="false">IF(OR($A208="",ISNA(MATCH($A208,Simulations!$A$3:$A$62,0))),"",IF(N($E208)&lt;=0,0,IF($E208&lt;INDEX(Simulations!$J$3:$J$62,MATCH($A208,Simulations!$A$3:$A$62,0)),$D208/(INDEX(Simulations!$G$3:$G$62,MATCH($A208,Simulations!$A$3:$A$62,0))*INDEX(Simulations!$H$3:$H$62,MATCH($A208,Simulations!$A$3:$A$62,0))*IF(INDEX(Simulations!$I$3:$I$62,MATCH($A208,Simulations!$A$3:$A$62,0))&gt;0,INDEX(Simulations!$I$3:$I$62,MATCH($A208,Simulations!$A$3:$A$62,0)),1))*$E208*(PI()/2*INDEX(Simulations!$T$3:$T$62,MATCH($A208,Simulations!$A$3:$A$62,0))^2*IF(INDEX(Simulations!$I$3:$I$62,MATCH($A208,Simulations!$A$3:$A$62,0))&gt;0,SQRT(PI()/2)*INDEX(Simulations!$U$3:$U$62,MATCH($A208,Simulations!$A$3:$A$62,0)),1)),$D208/(INDEX(Simulations!$G$3:$G$62,MATCH($A208,Simulations!$A$3:$A$62,0))*INDEX(Simulations!$H$3:$H$62,MATCH($A208,Simulations!$A$3:$A$62,0))*IF(INDEX(Simulations!$I$3:$I$62,MATCH($A208,Simulations!$A$3:$A$62,0))&gt;0,INDEX(Simulations!$I$3:$I$62,MATCH($A208,Simulations!$A$3:$A$62,0)),1))*INDEX(Simulations!$J$3:$J$62,MATCH($A208,Simulations!$A$3:$A$62,0))*IF(INDEX(Simulations!$I$3:$I$62,MATCH($A208,Simulations!$A$3:$A$62,0))&gt;0,2*PI()*INDEX(Simulations!$T$3:$T$62,MATCH($A208,Simulations!$A$3:$A$62,0))^2*INDEX(Simulations!$U$3:$U$62,MATCH($A208,Simulations!$A$3:$A$62,0))/2^1.5*(2/3*LN($E208/INDEX(Simulations!$J$3:$J$62,MATCH($A208,Simulations!$A$3:$A$62,0)))^1.5+SQRT(LN($E208/INDEX(Simulations!$J$3:$J$62,MATCH($A208,Simulations!$A$3:$A$62,0))))+$E208/INDEX(Simulations!$J$3:$J$62,MATCH($A208,Simulations!$A$3:$A$62,0))*SQRT(PI())/2*ERFC(SQRT(LN($E208/INDEX(Simulations!$J$3:$J$62,MATCH($A208,Simulations!$A$3:$A$62,0)))))),PI()*INDEX(Simulations!$T$3:$T$62,MATCH($A208,Simulations!$A$3:$A$62,0))^2/2*(LN($E208/INDEX(Simulations!$J$3:$J$62,MATCH($A208,Simulations!$A$3:$A$62,0)))+1)))))</f>
        <v/>
      </c>
      <c r="R208" s="16" t="str">
        <f aca="false">IF(OR($A208="",ISNA(MATCH($A208,Simulations!$A$3:$A$62,0))),"",IF(N($F208)&lt;=0,0,IF($F208&lt;INDEX(Simulations!$J$3:$J$62,MATCH($A208,Simulations!$A$3:$A$62,0)),$D208/(INDEX(Simulations!$G$3:$G$62,MATCH($A208,Simulations!$A$3:$A$62,0))*INDEX(Simulations!$H$3:$H$62,MATCH($A208,Simulations!$A$3:$A$62,0))*IF(INDEX(Simulations!$I$3:$I$62,MATCH($A208,Simulations!$A$3:$A$62,0))&gt;0,INDEX(Simulations!$I$3:$I$62,MATCH($A208,Simulations!$A$3:$A$62,0)),1))*$F208*(PI()/2*INDEX(Simulations!$T$3:$T$62,MATCH($A208,Simulations!$A$3:$A$62,0))^2*IF(INDEX(Simulations!$I$3:$I$62,MATCH($A208,Simulations!$A$3:$A$62,0))&gt;0,SQRT(PI()/2)*INDEX(Simulations!$U$3:$U$62,MATCH($A208,Simulations!$A$3:$A$62,0)),1)),$D208/(INDEX(Simulations!$G$3:$G$62,MATCH($A208,Simulations!$A$3:$A$62,0))*INDEX(Simulations!$H$3:$H$62,MATCH($A208,Simulations!$A$3:$A$62,0))*IF(INDEX(Simulations!$I$3:$I$62,MATCH($A208,Simulations!$A$3:$A$62,0))&gt;0,INDEX(Simulations!$I$3:$I$62,MATCH($A208,Simulations!$A$3:$A$62,0)),1))*INDEX(Simulations!$J$3:$J$62,MATCH($A208,Simulations!$A$3:$A$62,0))*IF(INDEX(Simulations!$I$3:$I$62,MATCH($A208,Simulations!$A$3:$A$62,0))&gt;0,2*PI()*INDEX(Simulations!$T$3:$T$62,MATCH($A208,Simulations!$A$3:$A$62,0))^2*INDEX(Simulations!$U$3:$U$62,MATCH($A208,Simulations!$A$3:$A$62,0))/2^1.5*(2/3*LN($F208/INDEX(Simulations!$J$3:$J$62,MATCH($A208,Simulations!$A$3:$A$62,0)))^1.5+SQRT(LN($F208/INDEX(Simulations!$J$3:$J$62,MATCH($A208,Simulations!$A$3:$A$62,0))))+$F208/INDEX(Simulations!$J$3:$J$62,MATCH($A208,Simulations!$A$3:$A$62,0))*SQRT(PI())/2*ERFC(SQRT(LN($F208/INDEX(Simulations!$J$3:$J$62,MATCH($A208,Simulations!$A$3:$A$62,0)))))),PI()*INDEX(Simulations!$T$3:$T$62,MATCH($A208,Simulations!$A$3:$A$62,0))^2/2*(LN($F208/INDEX(Simulations!$J$3:$J$62,MATCH($A208,Simulations!$A$3:$A$62,0)))+1)))))</f>
        <v/>
      </c>
      <c r="S208" s="16" t="str">
        <f aca="false">IF(OR($A208="",ISNA(MATCH($A208,Simulations!$A$3:$A$62,0))),"",IF(N($G208)&lt;=0,0,IF($G208&lt;INDEX(Simulations!$J$3:$J$62,MATCH($A208,Simulations!$A$3:$A$62,0)),$D208/(INDEX(Simulations!$G$3:$G$62,MATCH($A208,Simulations!$A$3:$A$62,0))*INDEX(Simulations!$H$3:$H$62,MATCH($A208,Simulations!$A$3:$A$62,0))*IF(INDEX(Simulations!$I$3:$I$62,MATCH($A208,Simulations!$A$3:$A$62,0))&gt;0,INDEX(Simulations!$I$3:$I$62,MATCH($A208,Simulations!$A$3:$A$62,0)),1))*$G208*(PI()/2*INDEX(Simulations!$T$3:$T$62,MATCH($A208,Simulations!$A$3:$A$62,0))^2*IF(INDEX(Simulations!$I$3:$I$62,MATCH($A208,Simulations!$A$3:$A$62,0))&gt;0,SQRT(PI()/2)*INDEX(Simulations!$U$3:$U$62,MATCH($A208,Simulations!$A$3:$A$62,0)),1)),$D208/(INDEX(Simulations!$G$3:$G$62,MATCH($A208,Simulations!$A$3:$A$62,0))*INDEX(Simulations!$H$3:$H$62,MATCH($A208,Simulations!$A$3:$A$62,0))*IF(INDEX(Simulations!$I$3:$I$62,MATCH($A208,Simulations!$A$3:$A$62,0))&gt;0,INDEX(Simulations!$I$3:$I$62,MATCH($A208,Simulations!$A$3:$A$62,0)),1))*INDEX(Simulations!$J$3:$J$62,MATCH($A208,Simulations!$A$3:$A$62,0))*IF(INDEX(Simulations!$I$3:$I$62,MATCH($A208,Simulations!$A$3:$A$62,0))&gt;0,2*PI()*INDEX(Simulations!$T$3:$T$62,MATCH($A208,Simulations!$A$3:$A$62,0))^2*INDEX(Simulations!$U$3:$U$62,MATCH($A208,Simulations!$A$3:$A$62,0))/2^1.5*(2/3*LN($G208/INDEX(Simulations!$J$3:$J$62,MATCH($A208,Simulations!$A$3:$A$62,0)))^1.5+SQRT(LN($G208/INDEX(Simulations!$J$3:$J$62,MATCH($A208,Simulations!$A$3:$A$62,0))))+$G208/INDEX(Simulations!$J$3:$J$62,MATCH($A208,Simulations!$A$3:$A$62,0))*SQRT(PI())/2*ERFC(SQRT(LN($G208/INDEX(Simulations!$J$3:$J$62,MATCH($A208,Simulations!$A$3:$A$62,0)))))),PI()*INDEX(Simulations!$T$3:$T$62,MATCH($A208,Simulations!$A$3:$A$62,0))^2/2*(LN($G208/INDEX(Simulations!$J$3:$J$62,MATCH($A208,Simulations!$A$3:$A$62,0)))+1)))))</f>
        <v/>
      </c>
      <c r="T208" s="16" t="str">
        <f aca="false">IF(OR($A208="",ISNA(MATCH($A208,Simulations!$A$3:$A$62,0))),"",IF(N($H208)&lt;=0,0,IF($H208&lt;INDEX(Simulations!$J$3:$J$62,MATCH($A208,Simulations!$A$3:$A$62,0)),$D208/(INDEX(Simulations!$G$3:$G$62,MATCH($A208,Simulations!$A$3:$A$62,0))*INDEX(Simulations!$H$3:$H$62,MATCH($A208,Simulations!$A$3:$A$62,0))*IF(INDEX(Simulations!$I$3:$I$62,MATCH($A208,Simulations!$A$3:$A$62,0))&gt;0,INDEX(Simulations!$I$3:$I$62,MATCH($A208,Simulations!$A$3:$A$62,0)),1))*$H208*(PI()/2*INDEX(Simulations!$T$3:$T$62,MATCH($A208,Simulations!$A$3:$A$62,0))^2*IF(INDEX(Simulations!$I$3:$I$62,MATCH($A208,Simulations!$A$3:$A$62,0))&gt;0,SQRT(PI()/2)*INDEX(Simulations!$U$3:$U$62,MATCH($A208,Simulations!$A$3:$A$62,0)),1)),$D208/(INDEX(Simulations!$G$3:$G$62,MATCH($A208,Simulations!$A$3:$A$62,0))*INDEX(Simulations!$H$3:$H$62,MATCH($A208,Simulations!$A$3:$A$62,0))*IF(INDEX(Simulations!$I$3:$I$62,MATCH($A208,Simulations!$A$3:$A$62,0))&gt;0,INDEX(Simulations!$I$3:$I$62,MATCH($A208,Simulations!$A$3:$A$62,0)),1))*INDEX(Simulations!$J$3:$J$62,MATCH($A208,Simulations!$A$3:$A$62,0))*IF(INDEX(Simulations!$I$3:$I$62,MATCH($A208,Simulations!$A$3:$A$62,0))&gt;0,2*PI()*INDEX(Simulations!$T$3:$T$62,MATCH($A208,Simulations!$A$3:$A$62,0))^2*INDEX(Simulations!$U$3:$U$62,MATCH($A208,Simulations!$A$3:$A$62,0))/2^1.5*(2/3*LN($H208/INDEX(Simulations!$J$3:$J$62,MATCH($A208,Simulations!$A$3:$A$62,0)))^1.5+SQRT(LN($H208/INDEX(Simulations!$J$3:$J$62,MATCH($A208,Simulations!$A$3:$A$62,0))))+$H208/INDEX(Simulations!$J$3:$J$62,MATCH($A208,Simulations!$A$3:$A$62,0))*SQRT(PI())/2*ERFC(SQRT(LN($H208/INDEX(Simulations!$J$3:$J$62,MATCH($A208,Simulations!$A$3:$A$62,0)))))),PI()*INDEX(Simulations!$T$3:$T$62,MATCH($A208,Simulations!$A$3:$A$62,0))^2/2*(LN($H208/INDEX(Simulations!$J$3:$J$62,MATCH($A208,Simulations!$A$3:$A$62,0)))+1)))))</f>
        <v/>
      </c>
      <c r="U208" s="18" t="str">
        <f aca="false">IF(OR(OR($A208="",ISNA(MATCH($A208,Simulations!$A$3:$A$62,0))),N($C208)&lt;=0),"",SQRT(2*$C208*1000000/(INDEX(Simulations!$J$3:$J$62,MATCH($A208,Simulations!$A$3:$A$62,0))*1000))/INDEX(Simulations!$T$3:$T$62,MATCH($A208,Simulations!$A$3:$A$62,0)))</f>
        <v/>
      </c>
      <c r="V208" s="19" t="str">
        <f aca="false">IF($A208="","",IF(ISNA(MATCH($A208,Simulations!$A$3:$A$62,0)),"✖ Sim ID not found on the Simulations sheet",IF($P208&gt;=1,"✖ brightness &gt;= sampling frequency: completely saturated (D too small, c too large)",IF($P208&gt;0.1,"⚠ brightness &gt; 10% of the sampling frequency: focus starts to saturate",IF(N($U208)&gt;0.1,"⚠ diffusion step &gt; 10% of wr: raise the sampling frequency",IF(MAX($E208:$H208)=0,"⚠ no brightness set","✔ OK"))))))</f>
        <v/>
      </c>
    </row>
    <row r="209" customFormat="false" ht="15" hidden="false" customHeight="false" outlineLevel="0" collapsed="false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4"/>
      <c r="O209" s="18" t="str">
        <f aca="false">IF(OR($A209="",ISNA(MATCH($A209,Simulations!$A$3:$A$62,0))),"",IF(INDEX(Simulations!$I$3:$I$62,MATCH($A209,Simulations!$A$3:$A$62,0))&gt;0,$D209/(INDEX(Simulations!$G$3:$G$62,MATCH($A209,Simulations!$A$3:$A$62,0))*INDEX(Simulations!$H$3:$H$62,MATCH($A209,Simulations!$A$3:$A$62,0))*IF(INDEX(Simulations!$I$3:$I$62,MATCH($A209,Simulations!$A$3:$A$62,0))&gt;0,INDEX(Simulations!$I$3:$I$62,MATCH($A209,Simulations!$A$3:$A$62,0)),1))/1E-024/6.022E+023/0.000000001,""))</f>
        <v/>
      </c>
      <c r="P209" s="20" t="str">
        <f aca="false">IF(OR($A209="",ISNA(MATCH($A209,Simulations!$A$3:$A$62,0))),"",MAX($E209:$H209)/INDEX(Simulations!$J$3:$J$62,MATCH($A209,Simulations!$A$3:$A$62,0)))</f>
        <v/>
      </c>
      <c r="Q209" s="16" t="str">
        <f aca="false">IF(OR($A209="",ISNA(MATCH($A209,Simulations!$A$3:$A$62,0))),"",IF(N($E209)&lt;=0,0,IF($E209&lt;INDEX(Simulations!$J$3:$J$62,MATCH($A209,Simulations!$A$3:$A$62,0)),$D209/(INDEX(Simulations!$G$3:$G$62,MATCH($A209,Simulations!$A$3:$A$62,0))*INDEX(Simulations!$H$3:$H$62,MATCH($A209,Simulations!$A$3:$A$62,0))*IF(INDEX(Simulations!$I$3:$I$62,MATCH($A209,Simulations!$A$3:$A$62,0))&gt;0,INDEX(Simulations!$I$3:$I$62,MATCH($A209,Simulations!$A$3:$A$62,0)),1))*$E209*(PI()/2*INDEX(Simulations!$T$3:$T$62,MATCH($A209,Simulations!$A$3:$A$62,0))^2*IF(INDEX(Simulations!$I$3:$I$62,MATCH($A209,Simulations!$A$3:$A$62,0))&gt;0,SQRT(PI()/2)*INDEX(Simulations!$U$3:$U$62,MATCH($A209,Simulations!$A$3:$A$62,0)),1)),$D209/(INDEX(Simulations!$G$3:$G$62,MATCH($A209,Simulations!$A$3:$A$62,0))*INDEX(Simulations!$H$3:$H$62,MATCH($A209,Simulations!$A$3:$A$62,0))*IF(INDEX(Simulations!$I$3:$I$62,MATCH($A209,Simulations!$A$3:$A$62,0))&gt;0,INDEX(Simulations!$I$3:$I$62,MATCH($A209,Simulations!$A$3:$A$62,0)),1))*INDEX(Simulations!$J$3:$J$62,MATCH($A209,Simulations!$A$3:$A$62,0))*IF(INDEX(Simulations!$I$3:$I$62,MATCH($A209,Simulations!$A$3:$A$62,0))&gt;0,2*PI()*INDEX(Simulations!$T$3:$T$62,MATCH($A209,Simulations!$A$3:$A$62,0))^2*INDEX(Simulations!$U$3:$U$62,MATCH($A209,Simulations!$A$3:$A$62,0))/2^1.5*(2/3*LN($E209/INDEX(Simulations!$J$3:$J$62,MATCH($A209,Simulations!$A$3:$A$62,0)))^1.5+SQRT(LN($E209/INDEX(Simulations!$J$3:$J$62,MATCH($A209,Simulations!$A$3:$A$62,0))))+$E209/INDEX(Simulations!$J$3:$J$62,MATCH($A209,Simulations!$A$3:$A$62,0))*SQRT(PI())/2*ERFC(SQRT(LN($E209/INDEX(Simulations!$J$3:$J$62,MATCH($A209,Simulations!$A$3:$A$62,0)))))),PI()*INDEX(Simulations!$T$3:$T$62,MATCH($A209,Simulations!$A$3:$A$62,0))^2/2*(LN($E209/INDEX(Simulations!$J$3:$J$62,MATCH($A209,Simulations!$A$3:$A$62,0)))+1)))))</f>
        <v/>
      </c>
      <c r="R209" s="16" t="str">
        <f aca="false">IF(OR($A209="",ISNA(MATCH($A209,Simulations!$A$3:$A$62,0))),"",IF(N($F209)&lt;=0,0,IF($F209&lt;INDEX(Simulations!$J$3:$J$62,MATCH($A209,Simulations!$A$3:$A$62,0)),$D209/(INDEX(Simulations!$G$3:$G$62,MATCH($A209,Simulations!$A$3:$A$62,0))*INDEX(Simulations!$H$3:$H$62,MATCH($A209,Simulations!$A$3:$A$62,0))*IF(INDEX(Simulations!$I$3:$I$62,MATCH($A209,Simulations!$A$3:$A$62,0))&gt;0,INDEX(Simulations!$I$3:$I$62,MATCH($A209,Simulations!$A$3:$A$62,0)),1))*$F209*(PI()/2*INDEX(Simulations!$T$3:$T$62,MATCH($A209,Simulations!$A$3:$A$62,0))^2*IF(INDEX(Simulations!$I$3:$I$62,MATCH($A209,Simulations!$A$3:$A$62,0))&gt;0,SQRT(PI()/2)*INDEX(Simulations!$U$3:$U$62,MATCH($A209,Simulations!$A$3:$A$62,0)),1)),$D209/(INDEX(Simulations!$G$3:$G$62,MATCH($A209,Simulations!$A$3:$A$62,0))*INDEX(Simulations!$H$3:$H$62,MATCH($A209,Simulations!$A$3:$A$62,0))*IF(INDEX(Simulations!$I$3:$I$62,MATCH($A209,Simulations!$A$3:$A$62,0))&gt;0,INDEX(Simulations!$I$3:$I$62,MATCH($A209,Simulations!$A$3:$A$62,0)),1))*INDEX(Simulations!$J$3:$J$62,MATCH($A209,Simulations!$A$3:$A$62,0))*IF(INDEX(Simulations!$I$3:$I$62,MATCH($A209,Simulations!$A$3:$A$62,0))&gt;0,2*PI()*INDEX(Simulations!$T$3:$T$62,MATCH($A209,Simulations!$A$3:$A$62,0))^2*INDEX(Simulations!$U$3:$U$62,MATCH($A209,Simulations!$A$3:$A$62,0))/2^1.5*(2/3*LN($F209/INDEX(Simulations!$J$3:$J$62,MATCH($A209,Simulations!$A$3:$A$62,0)))^1.5+SQRT(LN($F209/INDEX(Simulations!$J$3:$J$62,MATCH($A209,Simulations!$A$3:$A$62,0))))+$F209/INDEX(Simulations!$J$3:$J$62,MATCH($A209,Simulations!$A$3:$A$62,0))*SQRT(PI())/2*ERFC(SQRT(LN($F209/INDEX(Simulations!$J$3:$J$62,MATCH($A209,Simulations!$A$3:$A$62,0)))))),PI()*INDEX(Simulations!$T$3:$T$62,MATCH($A209,Simulations!$A$3:$A$62,0))^2/2*(LN($F209/INDEX(Simulations!$J$3:$J$62,MATCH($A209,Simulations!$A$3:$A$62,0)))+1)))))</f>
        <v/>
      </c>
      <c r="S209" s="16" t="str">
        <f aca="false">IF(OR($A209="",ISNA(MATCH($A209,Simulations!$A$3:$A$62,0))),"",IF(N($G209)&lt;=0,0,IF($G209&lt;INDEX(Simulations!$J$3:$J$62,MATCH($A209,Simulations!$A$3:$A$62,0)),$D209/(INDEX(Simulations!$G$3:$G$62,MATCH($A209,Simulations!$A$3:$A$62,0))*INDEX(Simulations!$H$3:$H$62,MATCH($A209,Simulations!$A$3:$A$62,0))*IF(INDEX(Simulations!$I$3:$I$62,MATCH($A209,Simulations!$A$3:$A$62,0))&gt;0,INDEX(Simulations!$I$3:$I$62,MATCH($A209,Simulations!$A$3:$A$62,0)),1))*$G209*(PI()/2*INDEX(Simulations!$T$3:$T$62,MATCH($A209,Simulations!$A$3:$A$62,0))^2*IF(INDEX(Simulations!$I$3:$I$62,MATCH($A209,Simulations!$A$3:$A$62,0))&gt;0,SQRT(PI()/2)*INDEX(Simulations!$U$3:$U$62,MATCH($A209,Simulations!$A$3:$A$62,0)),1)),$D209/(INDEX(Simulations!$G$3:$G$62,MATCH($A209,Simulations!$A$3:$A$62,0))*INDEX(Simulations!$H$3:$H$62,MATCH($A209,Simulations!$A$3:$A$62,0))*IF(INDEX(Simulations!$I$3:$I$62,MATCH($A209,Simulations!$A$3:$A$62,0))&gt;0,INDEX(Simulations!$I$3:$I$62,MATCH($A209,Simulations!$A$3:$A$62,0)),1))*INDEX(Simulations!$J$3:$J$62,MATCH($A209,Simulations!$A$3:$A$62,0))*IF(INDEX(Simulations!$I$3:$I$62,MATCH($A209,Simulations!$A$3:$A$62,0))&gt;0,2*PI()*INDEX(Simulations!$T$3:$T$62,MATCH($A209,Simulations!$A$3:$A$62,0))^2*INDEX(Simulations!$U$3:$U$62,MATCH($A209,Simulations!$A$3:$A$62,0))/2^1.5*(2/3*LN($G209/INDEX(Simulations!$J$3:$J$62,MATCH($A209,Simulations!$A$3:$A$62,0)))^1.5+SQRT(LN($G209/INDEX(Simulations!$J$3:$J$62,MATCH($A209,Simulations!$A$3:$A$62,0))))+$G209/INDEX(Simulations!$J$3:$J$62,MATCH($A209,Simulations!$A$3:$A$62,0))*SQRT(PI())/2*ERFC(SQRT(LN($G209/INDEX(Simulations!$J$3:$J$62,MATCH($A209,Simulations!$A$3:$A$62,0)))))),PI()*INDEX(Simulations!$T$3:$T$62,MATCH($A209,Simulations!$A$3:$A$62,0))^2/2*(LN($G209/INDEX(Simulations!$J$3:$J$62,MATCH($A209,Simulations!$A$3:$A$62,0)))+1)))))</f>
        <v/>
      </c>
      <c r="T209" s="16" t="str">
        <f aca="false">IF(OR($A209="",ISNA(MATCH($A209,Simulations!$A$3:$A$62,0))),"",IF(N($H209)&lt;=0,0,IF($H209&lt;INDEX(Simulations!$J$3:$J$62,MATCH($A209,Simulations!$A$3:$A$62,0)),$D209/(INDEX(Simulations!$G$3:$G$62,MATCH($A209,Simulations!$A$3:$A$62,0))*INDEX(Simulations!$H$3:$H$62,MATCH($A209,Simulations!$A$3:$A$62,0))*IF(INDEX(Simulations!$I$3:$I$62,MATCH($A209,Simulations!$A$3:$A$62,0))&gt;0,INDEX(Simulations!$I$3:$I$62,MATCH($A209,Simulations!$A$3:$A$62,0)),1))*$H209*(PI()/2*INDEX(Simulations!$T$3:$T$62,MATCH($A209,Simulations!$A$3:$A$62,0))^2*IF(INDEX(Simulations!$I$3:$I$62,MATCH($A209,Simulations!$A$3:$A$62,0))&gt;0,SQRT(PI()/2)*INDEX(Simulations!$U$3:$U$62,MATCH($A209,Simulations!$A$3:$A$62,0)),1)),$D209/(INDEX(Simulations!$G$3:$G$62,MATCH($A209,Simulations!$A$3:$A$62,0))*INDEX(Simulations!$H$3:$H$62,MATCH($A209,Simulations!$A$3:$A$62,0))*IF(INDEX(Simulations!$I$3:$I$62,MATCH($A209,Simulations!$A$3:$A$62,0))&gt;0,INDEX(Simulations!$I$3:$I$62,MATCH($A209,Simulations!$A$3:$A$62,0)),1))*INDEX(Simulations!$J$3:$J$62,MATCH($A209,Simulations!$A$3:$A$62,0))*IF(INDEX(Simulations!$I$3:$I$62,MATCH($A209,Simulations!$A$3:$A$62,0))&gt;0,2*PI()*INDEX(Simulations!$T$3:$T$62,MATCH($A209,Simulations!$A$3:$A$62,0))^2*INDEX(Simulations!$U$3:$U$62,MATCH($A209,Simulations!$A$3:$A$62,0))/2^1.5*(2/3*LN($H209/INDEX(Simulations!$J$3:$J$62,MATCH($A209,Simulations!$A$3:$A$62,0)))^1.5+SQRT(LN($H209/INDEX(Simulations!$J$3:$J$62,MATCH($A209,Simulations!$A$3:$A$62,0))))+$H209/INDEX(Simulations!$J$3:$J$62,MATCH($A209,Simulations!$A$3:$A$62,0))*SQRT(PI())/2*ERFC(SQRT(LN($H209/INDEX(Simulations!$J$3:$J$62,MATCH($A209,Simulations!$A$3:$A$62,0)))))),PI()*INDEX(Simulations!$T$3:$T$62,MATCH($A209,Simulations!$A$3:$A$62,0))^2/2*(LN($H209/INDEX(Simulations!$J$3:$J$62,MATCH($A209,Simulations!$A$3:$A$62,0)))+1)))))</f>
        <v/>
      </c>
      <c r="U209" s="18" t="str">
        <f aca="false">IF(OR(OR($A209="",ISNA(MATCH($A209,Simulations!$A$3:$A$62,0))),N($C209)&lt;=0),"",SQRT(2*$C209*1000000/(INDEX(Simulations!$J$3:$J$62,MATCH($A209,Simulations!$A$3:$A$62,0))*1000))/INDEX(Simulations!$T$3:$T$62,MATCH($A209,Simulations!$A$3:$A$62,0)))</f>
        <v/>
      </c>
      <c r="V209" s="19" t="str">
        <f aca="false">IF($A209="","",IF(ISNA(MATCH($A209,Simulations!$A$3:$A$62,0)),"✖ Sim ID not found on the Simulations sheet",IF($P209&gt;=1,"✖ brightness &gt;= sampling frequency: completely saturated (D too small, c too large)",IF($P209&gt;0.1,"⚠ brightness &gt; 10% of the sampling frequency: focus starts to saturate",IF(N($U209)&gt;0.1,"⚠ diffusion step &gt; 10% of wr: raise the sampling frequency",IF(MAX($E209:$H209)=0,"⚠ no brightness set","✔ OK"))))))</f>
        <v/>
      </c>
    </row>
    <row r="210" customFormat="false" ht="15" hidden="false" customHeight="false" outlineLevel="0" collapsed="false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4"/>
      <c r="O210" s="18" t="str">
        <f aca="false">IF(OR($A210="",ISNA(MATCH($A210,Simulations!$A$3:$A$62,0))),"",IF(INDEX(Simulations!$I$3:$I$62,MATCH($A210,Simulations!$A$3:$A$62,0))&gt;0,$D210/(INDEX(Simulations!$G$3:$G$62,MATCH($A210,Simulations!$A$3:$A$62,0))*INDEX(Simulations!$H$3:$H$62,MATCH($A210,Simulations!$A$3:$A$62,0))*IF(INDEX(Simulations!$I$3:$I$62,MATCH($A210,Simulations!$A$3:$A$62,0))&gt;0,INDEX(Simulations!$I$3:$I$62,MATCH($A210,Simulations!$A$3:$A$62,0)),1))/1E-024/6.022E+023/0.000000001,""))</f>
        <v/>
      </c>
      <c r="P210" s="20" t="str">
        <f aca="false">IF(OR($A210="",ISNA(MATCH($A210,Simulations!$A$3:$A$62,0))),"",MAX($E210:$H210)/INDEX(Simulations!$J$3:$J$62,MATCH($A210,Simulations!$A$3:$A$62,0)))</f>
        <v/>
      </c>
      <c r="Q210" s="16" t="str">
        <f aca="false">IF(OR($A210="",ISNA(MATCH($A210,Simulations!$A$3:$A$62,0))),"",IF(N($E210)&lt;=0,0,IF($E210&lt;INDEX(Simulations!$J$3:$J$62,MATCH($A210,Simulations!$A$3:$A$62,0)),$D210/(INDEX(Simulations!$G$3:$G$62,MATCH($A210,Simulations!$A$3:$A$62,0))*INDEX(Simulations!$H$3:$H$62,MATCH($A210,Simulations!$A$3:$A$62,0))*IF(INDEX(Simulations!$I$3:$I$62,MATCH($A210,Simulations!$A$3:$A$62,0))&gt;0,INDEX(Simulations!$I$3:$I$62,MATCH($A210,Simulations!$A$3:$A$62,0)),1))*$E210*(PI()/2*INDEX(Simulations!$T$3:$T$62,MATCH($A210,Simulations!$A$3:$A$62,0))^2*IF(INDEX(Simulations!$I$3:$I$62,MATCH($A210,Simulations!$A$3:$A$62,0))&gt;0,SQRT(PI()/2)*INDEX(Simulations!$U$3:$U$62,MATCH($A210,Simulations!$A$3:$A$62,0)),1)),$D210/(INDEX(Simulations!$G$3:$G$62,MATCH($A210,Simulations!$A$3:$A$62,0))*INDEX(Simulations!$H$3:$H$62,MATCH($A210,Simulations!$A$3:$A$62,0))*IF(INDEX(Simulations!$I$3:$I$62,MATCH($A210,Simulations!$A$3:$A$62,0))&gt;0,INDEX(Simulations!$I$3:$I$62,MATCH($A210,Simulations!$A$3:$A$62,0)),1))*INDEX(Simulations!$J$3:$J$62,MATCH($A210,Simulations!$A$3:$A$62,0))*IF(INDEX(Simulations!$I$3:$I$62,MATCH($A210,Simulations!$A$3:$A$62,0))&gt;0,2*PI()*INDEX(Simulations!$T$3:$T$62,MATCH($A210,Simulations!$A$3:$A$62,0))^2*INDEX(Simulations!$U$3:$U$62,MATCH($A210,Simulations!$A$3:$A$62,0))/2^1.5*(2/3*LN($E210/INDEX(Simulations!$J$3:$J$62,MATCH($A210,Simulations!$A$3:$A$62,0)))^1.5+SQRT(LN($E210/INDEX(Simulations!$J$3:$J$62,MATCH($A210,Simulations!$A$3:$A$62,0))))+$E210/INDEX(Simulations!$J$3:$J$62,MATCH($A210,Simulations!$A$3:$A$62,0))*SQRT(PI())/2*ERFC(SQRT(LN($E210/INDEX(Simulations!$J$3:$J$62,MATCH($A210,Simulations!$A$3:$A$62,0)))))),PI()*INDEX(Simulations!$T$3:$T$62,MATCH($A210,Simulations!$A$3:$A$62,0))^2/2*(LN($E210/INDEX(Simulations!$J$3:$J$62,MATCH($A210,Simulations!$A$3:$A$62,0)))+1)))))</f>
        <v/>
      </c>
      <c r="R210" s="16" t="str">
        <f aca="false">IF(OR($A210="",ISNA(MATCH($A210,Simulations!$A$3:$A$62,0))),"",IF(N($F210)&lt;=0,0,IF($F210&lt;INDEX(Simulations!$J$3:$J$62,MATCH($A210,Simulations!$A$3:$A$62,0)),$D210/(INDEX(Simulations!$G$3:$G$62,MATCH($A210,Simulations!$A$3:$A$62,0))*INDEX(Simulations!$H$3:$H$62,MATCH($A210,Simulations!$A$3:$A$62,0))*IF(INDEX(Simulations!$I$3:$I$62,MATCH($A210,Simulations!$A$3:$A$62,0))&gt;0,INDEX(Simulations!$I$3:$I$62,MATCH($A210,Simulations!$A$3:$A$62,0)),1))*$F210*(PI()/2*INDEX(Simulations!$T$3:$T$62,MATCH($A210,Simulations!$A$3:$A$62,0))^2*IF(INDEX(Simulations!$I$3:$I$62,MATCH($A210,Simulations!$A$3:$A$62,0))&gt;0,SQRT(PI()/2)*INDEX(Simulations!$U$3:$U$62,MATCH($A210,Simulations!$A$3:$A$62,0)),1)),$D210/(INDEX(Simulations!$G$3:$G$62,MATCH($A210,Simulations!$A$3:$A$62,0))*INDEX(Simulations!$H$3:$H$62,MATCH($A210,Simulations!$A$3:$A$62,0))*IF(INDEX(Simulations!$I$3:$I$62,MATCH($A210,Simulations!$A$3:$A$62,0))&gt;0,INDEX(Simulations!$I$3:$I$62,MATCH($A210,Simulations!$A$3:$A$62,0)),1))*INDEX(Simulations!$J$3:$J$62,MATCH($A210,Simulations!$A$3:$A$62,0))*IF(INDEX(Simulations!$I$3:$I$62,MATCH($A210,Simulations!$A$3:$A$62,0))&gt;0,2*PI()*INDEX(Simulations!$T$3:$T$62,MATCH($A210,Simulations!$A$3:$A$62,0))^2*INDEX(Simulations!$U$3:$U$62,MATCH($A210,Simulations!$A$3:$A$62,0))/2^1.5*(2/3*LN($F210/INDEX(Simulations!$J$3:$J$62,MATCH($A210,Simulations!$A$3:$A$62,0)))^1.5+SQRT(LN($F210/INDEX(Simulations!$J$3:$J$62,MATCH($A210,Simulations!$A$3:$A$62,0))))+$F210/INDEX(Simulations!$J$3:$J$62,MATCH($A210,Simulations!$A$3:$A$62,0))*SQRT(PI())/2*ERFC(SQRT(LN($F210/INDEX(Simulations!$J$3:$J$62,MATCH($A210,Simulations!$A$3:$A$62,0)))))),PI()*INDEX(Simulations!$T$3:$T$62,MATCH($A210,Simulations!$A$3:$A$62,0))^2/2*(LN($F210/INDEX(Simulations!$J$3:$J$62,MATCH($A210,Simulations!$A$3:$A$62,0)))+1)))))</f>
        <v/>
      </c>
      <c r="S210" s="16" t="str">
        <f aca="false">IF(OR($A210="",ISNA(MATCH($A210,Simulations!$A$3:$A$62,0))),"",IF(N($G210)&lt;=0,0,IF($G210&lt;INDEX(Simulations!$J$3:$J$62,MATCH($A210,Simulations!$A$3:$A$62,0)),$D210/(INDEX(Simulations!$G$3:$G$62,MATCH($A210,Simulations!$A$3:$A$62,0))*INDEX(Simulations!$H$3:$H$62,MATCH($A210,Simulations!$A$3:$A$62,0))*IF(INDEX(Simulations!$I$3:$I$62,MATCH($A210,Simulations!$A$3:$A$62,0))&gt;0,INDEX(Simulations!$I$3:$I$62,MATCH($A210,Simulations!$A$3:$A$62,0)),1))*$G210*(PI()/2*INDEX(Simulations!$T$3:$T$62,MATCH($A210,Simulations!$A$3:$A$62,0))^2*IF(INDEX(Simulations!$I$3:$I$62,MATCH($A210,Simulations!$A$3:$A$62,0))&gt;0,SQRT(PI()/2)*INDEX(Simulations!$U$3:$U$62,MATCH($A210,Simulations!$A$3:$A$62,0)),1)),$D210/(INDEX(Simulations!$G$3:$G$62,MATCH($A210,Simulations!$A$3:$A$62,0))*INDEX(Simulations!$H$3:$H$62,MATCH($A210,Simulations!$A$3:$A$62,0))*IF(INDEX(Simulations!$I$3:$I$62,MATCH($A210,Simulations!$A$3:$A$62,0))&gt;0,INDEX(Simulations!$I$3:$I$62,MATCH($A210,Simulations!$A$3:$A$62,0)),1))*INDEX(Simulations!$J$3:$J$62,MATCH($A210,Simulations!$A$3:$A$62,0))*IF(INDEX(Simulations!$I$3:$I$62,MATCH($A210,Simulations!$A$3:$A$62,0))&gt;0,2*PI()*INDEX(Simulations!$T$3:$T$62,MATCH($A210,Simulations!$A$3:$A$62,0))^2*INDEX(Simulations!$U$3:$U$62,MATCH($A210,Simulations!$A$3:$A$62,0))/2^1.5*(2/3*LN($G210/INDEX(Simulations!$J$3:$J$62,MATCH($A210,Simulations!$A$3:$A$62,0)))^1.5+SQRT(LN($G210/INDEX(Simulations!$J$3:$J$62,MATCH($A210,Simulations!$A$3:$A$62,0))))+$G210/INDEX(Simulations!$J$3:$J$62,MATCH($A210,Simulations!$A$3:$A$62,0))*SQRT(PI())/2*ERFC(SQRT(LN($G210/INDEX(Simulations!$J$3:$J$62,MATCH($A210,Simulations!$A$3:$A$62,0)))))),PI()*INDEX(Simulations!$T$3:$T$62,MATCH($A210,Simulations!$A$3:$A$62,0))^2/2*(LN($G210/INDEX(Simulations!$J$3:$J$62,MATCH($A210,Simulations!$A$3:$A$62,0)))+1)))))</f>
        <v/>
      </c>
      <c r="T210" s="16" t="str">
        <f aca="false">IF(OR($A210="",ISNA(MATCH($A210,Simulations!$A$3:$A$62,0))),"",IF(N($H210)&lt;=0,0,IF($H210&lt;INDEX(Simulations!$J$3:$J$62,MATCH($A210,Simulations!$A$3:$A$62,0)),$D210/(INDEX(Simulations!$G$3:$G$62,MATCH($A210,Simulations!$A$3:$A$62,0))*INDEX(Simulations!$H$3:$H$62,MATCH($A210,Simulations!$A$3:$A$62,0))*IF(INDEX(Simulations!$I$3:$I$62,MATCH($A210,Simulations!$A$3:$A$62,0))&gt;0,INDEX(Simulations!$I$3:$I$62,MATCH($A210,Simulations!$A$3:$A$62,0)),1))*$H210*(PI()/2*INDEX(Simulations!$T$3:$T$62,MATCH($A210,Simulations!$A$3:$A$62,0))^2*IF(INDEX(Simulations!$I$3:$I$62,MATCH($A210,Simulations!$A$3:$A$62,0))&gt;0,SQRT(PI()/2)*INDEX(Simulations!$U$3:$U$62,MATCH($A210,Simulations!$A$3:$A$62,0)),1)),$D210/(INDEX(Simulations!$G$3:$G$62,MATCH($A210,Simulations!$A$3:$A$62,0))*INDEX(Simulations!$H$3:$H$62,MATCH($A210,Simulations!$A$3:$A$62,0))*IF(INDEX(Simulations!$I$3:$I$62,MATCH($A210,Simulations!$A$3:$A$62,0))&gt;0,INDEX(Simulations!$I$3:$I$62,MATCH($A210,Simulations!$A$3:$A$62,0)),1))*INDEX(Simulations!$J$3:$J$62,MATCH($A210,Simulations!$A$3:$A$62,0))*IF(INDEX(Simulations!$I$3:$I$62,MATCH($A210,Simulations!$A$3:$A$62,0))&gt;0,2*PI()*INDEX(Simulations!$T$3:$T$62,MATCH($A210,Simulations!$A$3:$A$62,0))^2*INDEX(Simulations!$U$3:$U$62,MATCH($A210,Simulations!$A$3:$A$62,0))/2^1.5*(2/3*LN($H210/INDEX(Simulations!$J$3:$J$62,MATCH($A210,Simulations!$A$3:$A$62,0)))^1.5+SQRT(LN($H210/INDEX(Simulations!$J$3:$J$62,MATCH($A210,Simulations!$A$3:$A$62,0))))+$H210/INDEX(Simulations!$J$3:$J$62,MATCH($A210,Simulations!$A$3:$A$62,0))*SQRT(PI())/2*ERFC(SQRT(LN($H210/INDEX(Simulations!$J$3:$J$62,MATCH($A210,Simulations!$A$3:$A$62,0)))))),PI()*INDEX(Simulations!$T$3:$T$62,MATCH($A210,Simulations!$A$3:$A$62,0))^2/2*(LN($H210/INDEX(Simulations!$J$3:$J$62,MATCH($A210,Simulations!$A$3:$A$62,0)))+1)))))</f>
        <v/>
      </c>
      <c r="U210" s="18" t="str">
        <f aca="false">IF(OR(OR($A210="",ISNA(MATCH($A210,Simulations!$A$3:$A$62,0))),N($C210)&lt;=0),"",SQRT(2*$C210*1000000/(INDEX(Simulations!$J$3:$J$62,MATCH($A210,Simulations!$A$3:$A$62,0))*1000))/INDEX(Simulations!$T$3:$T$62,MATCH($A210,Simulations!$A$3:$A$62,0)))</f>
        <v/>
      </c>
      <c r="V210" s="19" t="str">
        <f aca="false">IF($A210="","",IF(ISNA(MATCH($A210,Simulations!$A$3:$A$62,0)),"✖ Sim ID not found on the Simulations sheet",IF($P210&gt;=1,"✖ brightness &gt;= sampling frequency: completely saturated (D too small, c too large)",IF($P210&gt;0.1,"⚠ brightness &gt; 10% of the sampling frequency: focus starts to saturate",IF(N($U210)&gt;0.1,"⚠ diffusion step &gt; 10% of wr: raise the sampling frequency",IF(MAX($E210:$H210)=0,"⚠ no brightness set","✔ OK"))))))</f>
        <v/>
      </c>
    </row>
    <row r="211" customFormat="false" ht="15" hidden="false" customHeight="false" outlineLevel="0" collapsed="false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4"/>
      <c r="O211" s="18" t="str">
        <f aca="false">IF(OR($A211="",ISNA(MATCH($A211,Simulations!$A$3:$A$62,0))),"",IF(INDEX(Simulations!$I$3:$I$62,MATCH($A211,Simulations!$A$3:$A$62,0))&gt;0,$D211/(INDEX(Simulations!$G$3:$G$62,MATCH($A211,Simulations!$A$3:$A$62,0))*INDEX(Simulations!$H$3:$H$62,MATCH($A211,Simulations!$A$3:$A$62,0))*IF(INDEX(Simulations!$I$3:$I$62,MATCH($A211,Simulations!$A$3:$A$62,0))&gt;0,INDEX(Simulations!$I$3:$I$62,MATCH($A211,Simulations!$A$3:$A$62,0)),1))/1E-024/6.022E+023/0.000000001,""))</f>
        <v/>
      </c>
      <c r="P211" s="20" t="str">
        <f aca="false">IF(OR($A211="",ISNA(MATCH($A211,Simulations!$A$3:$A$62,0))),"",MAX($E211:$H211)/INDEX(Simulations!$J$3:$J$62,MATCH($A211,Simulations!$A$3:$A$62,0)))</f>
        <v/>
      </c>
      <c r="Q211" s="16" t="str">
        <f aca="false">IF(OR($A211="",ISNA(MATCH($A211,Simulations!$A$3:$A$62,0))),"",IF(N($E211)&lt;=0,0,IF($E211&lt;INDEX(Simulations!$J$3:$J$62,MATCH($A211,Simulations!$A$3:$A$62,0)),$D211/(INDEX(Simulations!$G$3:$G$62,MATCH($A211,Simulations!$A$3:$A$62,0))*INDEX(Simulations!$H$3:$H$62,MATCH($A211,Simulations!$A$3:$A$62,0))*IF(INDEX(Simulations!$I$3:$I$62,MATCH($A211,Simulations!$A$3:$A$62,0))&gt;0,INDEX(Simulations!$I$3:$I$62,MATCH($A211,Simulations!$A$3:$A$62,0)),1))*$E211*(PI()/2*INDEX(Simulations!$T$3:$T$62,MATCH($A211,Simulations!$A$3:$A$62,0))^2*IF(INDEX(Simulations!$I$3:$I$62,MATCH($A211,Simulations!$A$3:$A$62,0))&gt;0,SQRT(PI()/2)*INDEX(Simulations!$U$3:$U$62,MATCH($A211,Simulations!$A$3:$A$62,0)),1)),$D211/(INDEX(Simulations!$G$3:$G$62,MATCH($A211,Simulations!$A$3:$A$62,0))*INDEX(Simulations!$H$3:$H$62,MATCH($A211,Simulations!$A$3:$A$62,0))*IF(INDEX(Simulations!$I$3:$I$62,MATCH($A211,Simulations!$A$3:$A$62,0))&gt;0,INDEX(Simulations!$I$3:$I$62,MATCH($A211,Simulations!$A$3:$A$62,0)),1))*INDEX(Simulations!$J$3:$J$62,MATCH($A211,Simulations!$A$3:$A$62,0))*IF(INDEX(Simulations!$I$3:$I$62,MATCH($A211,Simulations!$A$3:$A$62,0))&gt;0,2*PI()*INDEX(Simulations!$T$3:$T$62,MATCH($A211,Simulations!$A$3:$A$62,0))^2*INDEX(Simulations!$U$3:$U$62,MATCH($A211,Simulations!$A$3:$A$62,0))/2^1.5*(2/3*LN($E211/INDEX(Simulations!$J$3:$J$62,MATCH($A211,Simulations!$A$3:$A$62,0)))^1.5+SQRT(LN($E211/INDEX(Simulations!$J$3:$J$62,MATCH($A211,Simulations!$A$3:$A$62,0))))+$E211/INDEX(Simulations!$J$3:$J$62,MATCH($A211,Simulations!$A$3:$A$62,0))*SQRT(PI())/2*ERFC(SQRT(LN($E211/INDEX(Simulations!$J$3:$J$62,MATCH($A211,Simulations!$A$3:$A$62,0)))))),PI()*INDEX(Simulations!$T$3:$T$62,MATCH($A211,Simulations!$A$3:$A$62,0))^2/2*(LN($E211/INDEX(Simulations!$J$3:$J$62,MATCH($A211,Simulations!$A$3:$A$62,0)))+1)))))</f>
        <v/>
      </c>
      <c r="R211" s="16" t="str">
        <f aca="false">IF(OR($A211="",ISNA(MATCH($A211,Simulations!$A$3:$A$62,0))),"",IF(N($F211)&lt;=0,0,IF($F211&lt;INDEX(Simulations!$J$3:$J$62,MATCH($A211,Simulations!$A$3:$A$62,0)),$D211/(INDEX(Simulations!$G$3:$G$62,MATCH($A211,Simulations!$A$3:$A$62,0))*INDEX(Simulations!$H$3:$H$62,MATCH($A211,Simulations!$A$3:$A$62,0))*IF(INDEX(Simulations!$I$3:$I$62,MATCH($A211,Simulations!$A$3:$A$62,0))&gt;0,INDEX(Simulations!$I$3:$I$62,MATCH($A211,Simulations!$A$3:$A$62,0)),1))*$F211*(PI()/2*INDEX(Simulations!$T$3:$T$62,MATCH($A211,Simulations!$A$3:$A$62,0))^2*IF(INDEX(Simulations!$I$3:$I$62,MATCH($A211,Simulations!$A$3:$A$62,0))&gt;0,SQRT(PI()/2)*INDEX(Simulations!$U$3:$U$62,MATCH($A211,Simulations!$A$3:$A$62,0)),1)),$D211/(INDEX(Simulations!$G$3:$G$62,MATCH($A211,Simulations!$A$3:$A$62,0))*INDEX(Simulations!$H$3:$H$62,MATCH($A211,Simulations!$A$3:$A$62,0))*IF(INDEX(Simulations!$I$3:$I$62,MATCH($A211,Simulations!$A$3:$A$62,0))&gt;0,INDEX(Simulations!$I$3:$I$62,MATCH($A211,Simulations!$A$3:$A$62,0)),1))*INDEX(Simulations!$J$3:$J$62,MATCH($A211,Simulations!$A$3:$A$62,0))*IF(INDEX(Simulations!$I$3:$I$62,MATCH($A211,Simulations!$A$3:$A$62,0))&gt;0,2*PI()*INDEX(Simulations!$T$3:$T$62,MATCH($A211,Simulations!$A$3:$A$62,0))^2*INDEX(Simulations!$U$3:$U$62,MATCH($A211,Simulations!$A$3:$A$62,0))/2^1.5*(2/3*LN($F211/INDEX(Simulations!$J$3:$J$62,MATCH($A211,Simulations!$A$3:$A$62,0)))^1.5+SQRT(LN($F211/INDEX(Simulations!$J$3:$J$62,MATCH($A211,Simulations!$A$3:$A$62,0))))+$F211/INDEX(Simulations!$J$3:$J$62,MATCH($A211,Simulations!$A$3:$A$62,0))*SQRT(PI())/2*ERFC(SQRT(LN($F211/INDEX(Simulations!$J$3:$J$62,MATCH($A211,Simulations!$A$3:$A$62,0)))))),PI()*INDEX(Simulations!$T$3:$T$62,MATCH($A211,Simulations!$A$3:$A$62,0))^2/2*(LN($F211/INDEX(Simulations!$J$3:$J$62,MATCH($A211,Simulations!$A$3:$A$62,0)))+1)))))</f>
        <v/>
      </c>
      <c r="S211" s="16" t="str">
        <f aca="false">IF(OR($A211="",ISNA(MATCH($A211,Simulations!$A$3:$A$62,0))),"",IF(N($G211)&lt;=0,0,IF($G211&lt;INDEX(Simulations!$J$3:$J$62,MATCH($A211,Simulations!$A$3:$A$62,0)),$D211/(INDEX(Simulations!$G$3:$G$62,MATCH($A211,Simulations!$A$3:$A$62,0))*INDEX(Simulations!$H$3:$H$62,MATCH($A211,Simulations!$A$3:$A$62,0))*IF(INDEX(Simulations!$I$3:$I$62,MATCH($A211,Simulations!$A$3:$A$62,0))&gt;0,INDEX(Simulations!$I$3:$I$62,MATCH($A211,Simulations!$A$3:$A$62,0)),1))*$G211*(PI()/2*INDEX(Simulations!$T$3:$T$62,MATCH($A211,Simulations!$A$3:$A$62,0))^2*IF(INDEX(Simulations!$I$3:$I$62,MATCH($A211,Simulations!$A$3:$A$62,0))&gt;0,SQRT(PI()/2)*INDEX(Simulations!$U$3:$U$62,MATCH($A211,Simulations!$A$3:$A$62,0)),1)),$D211/(INDEX(Simulations!$G$3:$G$62,MATCH($A211,Simulations!$A$3:$A$62,0))*INDEX(Simulations!$H$3:$H$62,MATCH($A211,Simulations!$A$3:$A$62,0))*IF(INDEX(Simulations!$I$3:$I$62,MATCH($A211,Simulations!$A$3:$A$62,0))&gt;0,INDEX(Simulations!$I$3:$I$62,MATCH($A211,Simulations!$A$3:$A$62,0)),1))*INDEX(Simulations!$J$3:$J$62,MATCH($A211,Simulations!$A$3:$A$62,0))*IF(INDEX(Simulations!$I$3:$I$62,MATCH($A211,Simulations!$A$3:$A$62,0))&gt;0,2*PI()*INDEX(Simulations!$T$3:$T$62,MATCH($A211,Simulations!$A$3:$A$62,0))^2*INDEX(Simulations!$U$3:$U$62,MATCH($A211,Simulations!$A$3:$A$62,0))/2^1.5*(2/3*LN($G211/INDEX(Simulations!$J$3:$J$62,MATCH($A211,Simulations!$A$3:$A$62,0)))^1.5+SQRT(LN($G211/INDEX(Simulations!$J$3:$J$62,MATCH($A211,Simulations!$A$3:$A$62,0))))+$G211/INDEX(Simulations!$J$3:$J$62,MATCH($A211,Simulations!$A$3:$A$62,0))*SQRT(PI())/2*ERFC(SQRT(LN($G211/INDEX(Simulations!$J$3:$J$62,MATCH($A211,Simulations!$A$3:$A$62,0)))))),PI()*INDEX(Simulations!$T$3:$T$62,MATCH($A211,Simulations!$A$3:$A$62,0))^2/2*(LN($G211/INDEX(Simulations!$J$3:$J$62,MATCH($A211,Simulations!$A$3:$A$62,0)))+1)))))</f>
        <v/>
      </c>
      <c r="T211" s="16" t="str">
        <f aca="false">IF(OR($A211="",ISNA(MATCH($A211,Simulations!$A$3:$A$62,0))),"",IF(N($H211)&lt;=0,0,IF($H211&lt;INDEX(Simulations!$J$3:$J$62,MATCH($A211,Simulations!$A$3:$A$62,0)),$D211/(INDEX(Simulations!$G$3:$G$62,MATCH($A211,Simulations!$A$3:$A$62,0))*INDEX(Simulations!$H$3:$H$62,MATCH($A211,Simulations!$A$3:$A$62,0))*IF(INDEX(Simulations!$I$3:$I$62,MATCH($A211,Simulations!$A$3:$A$62,0))&gt;0,INDEX(Simulations!$I$3:$I$62,MATCH($A211,Simulations!$A$3:$A$62,0)),1))*$H211*(PI()/2*INDEX(Simulations!$T$3:$T$62,MATCH($A211,Simulations!$A$3:$A$62,0))^2*IF(INDEX(Simulations!$I$3:$I$62,MATCH($A211,Simulations!$A$3:$A$62,0))&gt;0,SQRT(PI()/2)*INDEX(Simulations!$U$3:$U$62,MATCH($A211,Simulations!$A$3:$A$62,0)),1)),$D211/(INDEX(Simulations!$G$3:$G$62,MATCH($A211,Simulations!$A$3:$A$62,0))*INDEX(Simulations!$H$3:$H$62,MATCH($A211,Simulations!$A$3:$A$62,0))*IF(INDEX(Simulations!$I$3:$I$62,MATCH($A211,Simulations!$A$3:$A$62,0))&gt;0,INDEX(Simulations!$I$3:$I$62,MATCH($A211,Simulations!$A$3:$A$62,0)),1))*INDEX(Simulations!$J$3:$J$62,MATCH($A211,Simulations!$A$3:$A$62,0))*IF(INDEX(Simulations!$I$3:$I$62,MATCH($A211,Simulations!$A$3:$A$62,0))&gt;0,2*PI()*INDEX(Simulations!$T$3:$T$62,MATCH($A211,Simulations!$A$3:$A$62,0))^2*INDEX(Simulations!$U$3:$U$62,MATCH($A211,Simulations!$A$3:$A$62,0))/2^1.5*(2/3*LN($H211/INDEX(Simulations!$J$3:$J$62,MATCH($A211,Simulations!$A$3:$A$62,0)))^1.5+SQRT(LN($H211/INDEX(Simulations!$J$3:$J$62,MATCH($A211,Simulations!$A$3:$A$62,0))))+$H211/INDEX(Simulations!$J$3:$J$62,MATCH($A211,Simulations!$A$3:$A$62,0))*SQRT(PI())/2*ERFC(SQRT(LN($H211/INDEX(Simulations!$J$3:$J$62,MATCH($A211,Simulations!$A$3:$A$62,0)))))),PI()*INDEX(Simulations!$T$3:$T$62,MATCH($A211,Simulations!$A$3:$A$62,0))^2/2*(LN($H211/INDEX(Simulations!$J$3:$J$62,MATCH($A211,Simulations!$A$3:$A$62,0)))+1)))))</f>
        <v/>
      </c>
      <c r="U211" s="18" t="str">
        <f aca="false">IF(OR(OR($A211="",ISNA(MATCH($A211,Simulations!$A$3:$A$62,0))),N($C211)&lt;=0),"",SQRT(2*$C211*1000000/(INDEX(Simulations!$J$3:$J$62,MATCH($A211,Simulations!$A$3:$A$62,0))*1000))/INDEX(Simulations!$T$3:$T$62,MATCH($A211,Simulations!$A$3:$A$62,0)))</f>
        <v/>
      </c>
      <c r="V211" s="19" t="str">
        <f aca="false">IF($A211="","",IF(ISNA(MATCH($A211,Simulations!$A$3:$A$62,0)),"✖ Sim ID not found on the Simulations sheet",IF($P211&gt;=1,"✖ brightness &gt;= sampling frequency: completely saturated (D too small, c too large)",IF($P211&gt;0.1,"⚠ brightness &gt; 10% of the sampling frequency: focus starts to saturate",IF(N($U211)&gt;0.1,"⚠ diffusion step &gt; 10% of wr: raise the sampling frequency",IF(MAX($E211:$H211)=0,"⚠ no brightness set","✔ OK"))))))</f>
        <v/>
      </c>
    </row>
    <row r="212" customFormat="false" ht="15" hidden="false" customHeight="false" outlineLevel="0" collapsed="false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4"/>
      <c r="O212" s="18" t="str">
        <f aca="false">IF(OR($A212="",ISNA(MATCH($A212,Simulations!$A$3:$A$62,0))),"",IF(INDEX(Simulations!$I$3:$I$62,MATCH($A212,Simulations!$A$3:$A$62,0))&gt;0,$D212/(INDEX(Simulations!$G$3:$G$62,MATCH($A212,Simulations!$A$3:$A$62,0))*INDEX(Simulations!$H$3:$H$62,MATCH($A212,Simulations!$A$3:$A$62,0))*IF(INDEX(Simulations!$I$3:$I$62,MATCH($A212,Simulations!$A$3:$A$62,0))&gt;0,INDEX(Simulations!$I$3:$I$62,MATCH($A212,Simulations!$A$3:$A$62,0)),1))/1E-024/6.022E+023/0.000000001,""))</f>
        <v/>
      </c>
      <c r="P212" s="20" t="str">
        <f aca="false">IF(OR($A212="",ISNA(MATCH($A212,Simulations!$A$3:$A$62,0))),"",MAX($E212:$H212)/INDEX(Simulations!$J$3:$J$62,MATCH($A212,Simulations!$A$3:$A$62,0)))</f>
        <v/>
      </c>
      <c r="Q212" s="16" t="str">
        <f aca="false">IF(OR($A212="",ISNA(MATCH($A212,Simulations!$A$3:$A$62,0))),"",IF(N($E212)&lt;=0,0,IF($E212&lt;INDEX(Simulations!$J$3:$J$62,MATCH($A212,Simulations!$A$3:$A$62,0)),$D212/(INDEX(Simulations!$G$3:$G$62,MATCH($A212,Simulations!$A$3:$A$62,0))*INDEX(Simulations!$H$3:$H$62,MATCH($A212,Simulations!$A$3:$A$62,0))*IF(INDEX(Simulations!$I$3:$I$62,MATCH($A212,Simulations!$A$3:$A$62,0))&gt;0,INDEX(Simulations!$I$3:$I$62,MATCH($A212,Simulations!$A$3:$A$62,0)),1))*$E212*(PI()/2*INDEX(Simulations!$T$3:$T$62,MATCH($A212,Simulations!$A$3:$A$62,0))^2*IF(INDEX(Simulations!$I$3:$I$62,MATCH($A212,Simulations!$A$3:$A$62,0))&gt;0,SQRT(PI()/2)*INDEX(Simulations!$U$3:$U$62,MATCH($A212,Simulations!$A$3:$A$62,0)),1)),$D212/(INDEX(Simulations!$G$3:$G$62,MATCH($A212,Simulations!$A$3:$A$62,0))*INDEX(Simulations!$H$3:$H$62,MATCH($A212,Simulations!$A$3:$A$62,0))*IF(INDEX(Simulations!$I$3:$I$62,MATCH($A212,Simulations!$A$3:$A$62,0))&gt;0,INDEX(Simulations!$I$3:$I$62,MATCH($A212,Simulations!$A$3:$A$62,0)),1))*INDEX(Simulations!$J$3:$J$62,MATCH($A212,Simulations!$A$3:$A$62,0))*IF(INDEX(Simulations!$I$3:$I$62,MATCH($A212,Simulations!$A$3:$A$62,0))&gt;0,2*PI()*INDEX(Simulations!$T$3:$T$62,MATCH($A212,Simulations!$A$3:$A$62,0))^2*INDEX(Simulations!$U$3:$U$62,MATCH($A212,Simulations!$A$3:$A$62,0))/2^1.5*(2/3*LN($E212/INDEX(Simulations!$J$3:$J$62,MATCH($A212,Simulations!$A$3:$A$62,0)))^1.5+SQRT(LN($E212/INDEX(Simulations!$J$3:$J$62,MATCH($A212,Simulations!$A$3:$A$62,0))))+$E212/INDEX(Simulations!$J$3:$J$62,MATCH($A212,Simulations!$A$3:$A$62,0))*SQRT(PI())/2*ERFC(SQRT(LN($E212/INDEX(Simulations!$J$3:$J$62,MATCH($A212,Simulations!$A$3:$A$62,0)))))),PI()*INDEX(Simulations!$T$3:$T$62,MATCH($A212,Simulations!$A$3:$A$62,0))^2/2*(LN($E212/INDEX(Simulations!$J$3:$J$62,MATCH($A212,Simulations!$A$3:$A$62,0)))+1)))))</f>
        <v/>
      </c>
      <c r="R212" s="16" t="str">
        <f aca="false">IF(OR($A212="",ISNA(MATCH($A212,Simulations!$A$3:$A$62,0))),"",IF(N($F212)&lt;=0,0,IF($F212&lt;INDEX(Simulations!$J$3:$J$62,MATCH($A212,Simulations!$A$3:$A$62,0)),$D212/(INDEX(Simulations!$G$3:$G$62,MATCH($A212,Simulations!$A$3:$A$62,0))*INDEX(Simulations!$H$3:$H$62,MATCH($A212,Simulations!$A$3:$A$62,0))*IF(INDEX(Simulations!$I$3:$I$62,MATCH($A212,Simulations!$A$3:$A$62,0))&gt;0,INDEX(Simulations!$I$3:$I$62,MATCH($A212,Simulations!$A$3:$A$62,0)),1))*$F212*(PI()/2*INDEX(Simulations!$T$3:$T$62,MATCH($A212,Simulations!$A$3:$A$62,0))^2*IF(INDEX(Simulations!$I$3:$I$62,MATCH($A212,Simulations!$A$3:$A$62,0))&gt;0,SQRT(PI()/2)*INDEX(Simulations!$U$3:$U$62,MATCH($A212,Simulations!$A$3:$A$62,0)),1)),$D212/(INDEX(Simulations!$G$3:$G$62,MATCH($A212,Simulations!$A$3:$A$62,0))*INDEX(Simulations!$H$3:$H$62,MATCH($A212,Simulations!$A$3:$A$62,0))*IF(INDEX(Simulations!$I$3:$I$62,MATCH($A212,Simulations!$A$3:$A$62,0))&gt;0,INDEX(Simulations!$I$3:$I$62,MATCH($A212,Simulations!$A$3:$A$62,0)),1))*INDEX(Simulations!$J$3:$J$62,MATCH($A212,Simulations!$A$3:$A$62,0))*IF(INDEX(Simulations!$I$3:$I$62,MATCH($A212,Simulations!$A$3:$A$62,0))&gt;0,2*PI()*INDEX(Simulations!$T$3:$T$62,MATCH($A212,Simulations!$A$3:$A$62,0))^2*INDEX(Simulations!$U$3:$U$62,MATCH($A212,Simulations!$A$3:$A$62,0))/2^1.5*(2/3*LN($F212/INDEX(Simulations!$J$3:$J$62,MATCH($A212,Simulations!$A$3:$A$62,0)))^1.5+SQRT(LN($F212/INDEX(Simulations!$J$3:$J$62,MATCH($A212,Simulations!$A$3:$A$62,0))))+$F212/INDEX(Simulations!$J$3:$J$62,MATCH($A212,Simulations!$A$3:$A$62,0))*SQRT(PI())/2*ERFC(SQRT(LN($F212/INDEX(Simulations!$J$3:$J$62,MATCH($A212,Simulations!$A$3:$A$62,0)))))),PI()*INDEX(Simulations!$T$3:$T$62,MATCH($A212,Simulations!$A$3:$A$62,0))^2/2*(LN($F212/INDEX(Simulations!$J$3:$J$62,MATCH($A212,Simulations!$A$3:$A$62,0)))+1)))))</f>
        <v/>
      </c>
      <c r="S212" s="16" t="str">
        <f aca="false">IF(OR($A212="",ISNA(MATCH($A212,Simulations!$A$3:$A$62,0))),"",IF(N($G212)&lt;=0,0,IF($G212&lt;INDEX(Simulations!$J$3:$J$62,MATCH($A212,Simulations!$A$3:$A$62,0)),$D212/(INDEX(Simulations!$G$3:$G$62,MATCH($A212,Simulations!$A$3:$A$62,0))*INDEX(Simulations!$H$3:$H$62,MATCH($A212,Simulations!$A$3:$A$62,0))*IF(INDEX(Simulations!$I$3:$I$62,MATCH($A212,Simulations!$A$3:$A$62,0))&gt;0,INDEX(Simulations!$I$3:$I$62,MATCH($A212,Simulations!$A$3:$A$62,0)),1))*$G212*(PI()/2*INDEX(Simulations!$T$3:$T$62,MATCH($A212,Simulations!$A$3:$A$62,0))^2*IF(INDEX(Simulations!$I$3:$I$62,MATCH($A212,Simulations!$A$3:$A$62,0))&gt;0,SQRT(PI()/2)*INDEX(Simulations!$U$3:$U$62,MATCH($A212,Simulations!$A$3:$A$62,0)),1)),$D212/(INDEX(Simulations!$G$3:$G$62,MATCH($A212,Simulations!$A$3:$A$62,0))*INDEX(Simulations!$H$3:$H$62,MATCH($A212,Simulations!$A$3:$A$62,0))*IF(INDEX(Simulations!$I$3:$I$62,MATCH($A212,Simulations!$A$3:$A$62,0))&gt;0,INDEX(Simulations!$I$3:$I$62,MATCH($A212,Simulations!$A$3:$A$62,0)),1))*INDEX(Simulations!$J$3:$J$62,MATCH($A212,Simulations!$A$3:$A$62,0))*IF(INDEX(Simulations!$I$3:$I$62,MATCH($A212,Simulations!$A$3:$A$62,0))&gt;0,2*PI()*INDEX(Simulations!$T$3:$T$62,MATCH($A212,Simulations!$A$3:$A$62,0))^2*INDEX(Simulations!$U$3:$U$62,MATCH($A212,Simulations!$A$3:$A$62,0))/2^1.5*(2/3*LN($G212/INDEX(Simulations!$J$3:$J$62,MATCH($A212,Simulations!$A$3:$A$62,0)))^1.5+SQRT(LN($G212/INDEX(Simulations!$J$3:$J$62,MATCH($A212,Simulations!$A$3:$A$62,0))))+$G212/INDEX(Simulations!$J$3:$J$62,MATCH($A212,Simulations!$A$3:$A$62,0))*SQRT(PI())/2*ERFC(SQRT(LN($G212/INDEX(Simulations!$J$3:$J$62,MATCH($A212,Simulations!$A$3:$A$62,0)))))),PI()*INDEX(Simulations!$T$3:$T$62,MATCH($A212,Simulations!$A$3:$A$62,0))^2/2*(LN($G212/INDEX(Simulations!$J$3:$J$62,MATCH($A212,Simulations!$A$3:$A$62,0)))+1)))))</f>
        <v/>
      </c>
      <c r="T212" s="16" t="str">
        <f aca="false">IF(OR($A212="",ISNA(MATCH($A212,Simulations!$A$3:$A$62,0))),"",IF(N($H212)&lt;=0,0,IF($H212&lt;INDEX(Simulations!$J$3:$J$62,MATCH($A212,Simulations!$A$3:$A$62,0)),$D212/(INDEX(Simulations!$G$3:$G$62,MATCH($A212,Simulations!$A$3:$A$62,0))*INDEX(Simulations!$H$3:$H$62,MATCH($A212,Simulations!$A$3:$A$62,0))*IF(INDEX(Simulations!$I$3:$I$62,MATCH($A212,Simulations!$A$3:$A$62,0))&gt;0,INDEX(Simulations!$I$3:$I$62,MATCH($A212,Simulations!$A$3:$A$62,0)),1))*$H212*(PI()/2*INDEX(Simulations!$T$3:$T$62,MATCH($A212,Simulations!$A$3:$A$62,0))^2*IF(INDEX(Simulations!$I$3:$I$62,MATCH($A212,Simulations!$A$3:$A$62,0))&gt;0,SQRT(PI()/2)*INDEX(Simulations!$U$3:$U$62,MATCH($A212,Simulations!$A$3:$A$62,0)),1)),$D212/(INDEX(Simulations!$G$3:$G$62,MATCH($A212,Simulations!$A$3:$A$62,0))*INDEX(Simulations!$H$3:$H$62,MATCH($A212,Simulations!$A$3:$A$62,0))*IF(INDEX(Simulations!$I$3:$I$62,MATCH($A212,Simulations!$A$3:$A$62,0))&gt;0,INDEX(Simulations!$I$3:$I$62,MATCH($A212,Simulations!$A$3:$A$62,0)),1))*INDEX(Simulations!$J$3:$J$62,MATCH($A212,Simulations!$A$3:$A$62,0))*IF(INDEX(Simulations!$I$3:$I$62,MATCH($A212,Simulations!$A$3:$A$62,0))&gt;0,2*PI()*INDEX(Simulations!$T$3:$T$62,MATCH($A212,Simulations!$A$3:$A$62,0))^2*INDEX(Simulations!$U$3:$U$62,MATCH($A212,Simulations!$A$3:$A$62,0))/2^1.5*(2/3*LN($H212/INDEX(Simulations!$J$3:$J$62,MATCH($A212,Simulations!$A$3:$A$62,0)))^1.5+SQRT(LN($H212/INDEX(Simulations!$J$3:$J$62,MATCH($A212,Simulations!$A$3:$A$62,0))))+$H212/INDEX(Simulations!$J$3:$J$62,MATCH($A212,Simulations!$A$3:$A$62,0))*SQRT(PI())/2*ERFC(SQRT(LN($H212/INDEX(Simulations!$J$3:$J$62,MATCH($A212,Simulations!$A$3:$A$62,0)))))),PI()*INDEX(Simulations!$T$3:$T$62,MATCH($A212,Simulations!$A$3:$A$62,0))^2/2*(LN($H212/INDEX(Simulations!$J$3:$J$62,MATCH($A212,Simulations!$A$3:$A$62,0)))+1)))))</f>
        <v/>
      </c>
      <c r="U212" s="18" t="str">
        <f aca="false">IF(OR(OR($A212="",ISNA(MATCH($A212,Simulations!$A$3:$A$62,0))),N($C212)&lt;=0),"",SQRT(2*$C212*1000000/(INDEX(Simulations!$J$3:$J$62,MATCH($A212,Simulations!$A$3:$A$62,0))*1000))/INDEX(Simulations!$T$3:$T$62,MATCH($A212,Simulations!$A$3:$A$62,0)))</f>
        <v/>
      </c>
      <c r="V212" s="19" t="str">
        <f aca="false">IF($A212="","",IF(ISNA(MATCH($A212,Simulations!$A$3:$A$62,0)),"✖ Sim ID not found on the Simulations sheet",IF($P212&gt;=1,"✖ brightness &gt;= sampling frequency: completely saturated (D too small, c too large)",IF($P212&gt;0.1,"⚠ brightness &gt; 10% of the sampling frequency: focus starts to saturate",IF(N($U212)&gt;0.1,"⚠ diffusion step &gt; 10% of wr: raise the sampling frequency",IF(MAX($E212:$H212)=0,"⚠ no brightness set","✔ OK"))))))</f>
        <v/>
      </c>
    </row>
    <row r="213" customFormat="false" ht="15" hidden="false" customHeight="false" outlineLevel="0" collapsed="false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4"/>
      <c r="O213" s="18" t="str">
        <f aca="false">IF(OR($A213="",ISNA(MATCH($A213,Simulations!$A$3:$A$62,0))),"",IF(INDEX(Simulations!$I$3:$I$62,MATCH($A213,Simulations!$A$3:$A$62,0))&gt;0,$D213/(INDEX(Simulations!$G$3:$G$62,MATCH($A213,Simulations!$A$3:$A$62,0))*INDEX(Simulations!$H$3:$H$62,MATCH($A213,Simulations!$A$3:$A$62,0))*IF(INDEX(Simulations!$I$3:$I$62,MATCH($A213,Simulations!$A$3:$A$62,0))&gt;0,INDEX(Simulations!$I$3:$I$62,MATCH($A213,Simulations!$A$3:$A$62,0)),1))/1E-024/6.022E+023/0.000000001,""))</f>
        <v/>
      </c>
      <c r="P213" s="20" t="str">
        <f aca="false">IF(OR($A213="",ISNA(MATCH($A213,Simulations!$A$3:$A$62,0))),"",MAX($E213:$H213)/INDEX(Simulations!$J$3:$J$62,MATCH($A213,Simulations!$A$3:$A$62,0)))</f>
        <v/>
      </c>
      <c r="Q213" s="16" t="str">
        <f aca="false">IF(OR($A213="",ISNA(MATCH($A213,Simulations!$A$3:$A$62,0))),"",IF(N($E213)&lt;=0,0,IF($E213&lt;INDEX(Simulations!$J$3:$J$62,MATCH($A213,Simulations!$A$3:$A$62,0)),$D213/(INDEX(Simulations!$G$3:$G$62,MATCH($A213,Simulations!$A$3:$A$62,0))*INDEX(Simulations!$H$3:$H$62,MATCH($A213,Simulations!$A$3:$A$62,0))*IF(INDEX(Simulations!$I$3:$I$62,MATCH($A213,Simulations!$A$3:$A$62,0))&gt;0,INDEX(Simulations!$I$3:$I$62,MATCH($A213,Simulations!$A$3:$A$62,0)),1))*$E213*(PI()/2*INDEX(Simulations!$T$3:$T$62,MATCH($A213,Simulations!$A$3:$A$62,0))^2*IF(INDEX(Simulations!$I$3:$I$62,MATCH($A213,Simulations!$A$3:$A$62,0))&gt;0,SQRT(PI()/2)*INDEX(Simulations!$U$3:$U$62,MATCH($A213,Simulations!$A$3:$A$62,0)),1)),$D213/(INDEX(Simulations!$G$3:$G$62,MATCH($A213,Simulations!$A$3:$A$62,0))*INDEX(Simulations!$H$3:$H$62,MATCH($A213,Simulations!$A$3:$A$62,0))*IF(INDEX(Simulations!$I$3:$I$62,MATCH($A213,Simulations!$A$3:$A$62,0))&gt;0,INDEX(Simulations!$I$3:$I$62,MATCH($A213,Simulations!$A$3:$A$62,0)),1))*INDEX(Simulations!$J$3:$J$62,MATCH($A213,Simulations!$A$3:$A$62,0))*IF(INDEX(Simulations!$I$3:$I$62,MATCH($A213,Simulations!$A$3:$A$62,0))&gt;0,2*PI()*INDEX(Simulations!$T$3:$T$62,MATCH($A213,Simulations!$A$3:$A$62,0))^2*INDEX(Simulations!$U$3:$U$62,MATCH($A213,Simulations!$A$3:$A$62,0))/2^1.5*(2/3*LN($E213/INDEX(Simulations!$J$3:$J$62,MATCH($A213,Simulations!$A$3:$A$62,0)))^1.5+SQRT(LN($E213/INDEX(Simulations!$J$3:$J$62,MATCH($A213,Simulations!$A$3:$A$62,0))))+$E213/INDEX(Simulations!$J$3:$J$62,MATCH($A213,Simulations!$A$3:$A$62,0))*SQRT(PI())/2*ERFC(SQRT(LN($E213/INDEX(Simulations!$J$3:$J$62,MATCH($A213,Simulations!$A$3:$A$62,0)))))),PI()*INDEX(Simulations!$T$3:$T$62,MATCH($A213,Simulations!$A$3:$A$62,0))^2/2*(LN($E213/INDEX(Simulations!$J$3:$J$62,MATCH($A213,Simulations!$A$3:$A$62,0)))+1)))))</f>
        <v/>
      </c>
      <c r="R213" s="16" t="str">
        <f aca="false">IF(OR($A213="",ISNA(MATCH($A213,Simulations!$A$3:$A$62,0))),"",IF(N($F213)&lt;=0,0,IF($F213&lt;INDEX(Simulations!$J$3:$J$62,MATCH($A213,Simulations!$A$3:$A$62,0)),$D213/(INDEX(Simulations!$G$3:$G$62,MATCH($A213,Simulations!$A$3:$A$62,0))*INDEX(Simulations!$H$3:$H$62,MATCH($A213,Simulations!$A$3:$A$62,0))*IF(INDEX(Simulations!$I$3:$I$62,MATCH($A213,Simulations!$A$3:$A$62,0))&gt;0,INDEX(Simulations!$I$3:$I$62,MATCH($A213,Simulations!$A$3:$A$62,0)),1))*$F213*(PI()/2*INDEX(Simulations!$T$3:$T$62,MATCH($A213,Simulations!$A$3:$A$62,0))^2*IF(INDEX(Simulations!$I$3:$I$62,MATCH($A213,Simulations!$A$3:$A$62,0))&gt;0,SQRT(PI()/2)*INDEX(Simulations!$U$3:$U$62,MATCH($A213,Simulations!$A$3:$A$62,0)),1)),$D213/(INDEX(Simulations!$G$3:$G$62,MATCH($A213,Simulations!$A$3:$A$62,0))*INDEX(Simulations!$H$3:$H$62,MATCH($A213,Simulations!$A$3:$A$62,0))*IF(INDEX(Simulations!$I$3:$I$62,MATCH($A213,Simulations!$A$3:$A$62,0))&gt;0,INDEX(Simulations!$I$3:$I$62,MATCH($A213,Simulations!$A$3:$A$62,0)),1))*INDEX(Simulations!$J$3:$J$62,MATCH($A213,Simulations!$A$3:$A$62,0))*IF(INDEX(Simulations!$I$3:$I$62,MATCH($A213,Simulations!$A$3:$A$62,0))&gt;0,2*PI()*INDEX(Simulations!$T$3:$T$62,MATCH($A213,Simulations!$A$3:$A$62,0))^2*INDEX(Simulations!$U$3:$U$62,MATCH($A213,Simulations!$A$3:$A$62,0))/2^1.5*(2/3*LN($F213/INDEX(Simulations!$J$3:$J$62,MATCH($A213,Simulations!$A$3:$A$62,0)))^1.5+SQRT(LN($F213/INDEX(Simulations!$J$3:$J$62,MATCH($A213,Simulations!$A$3:$A$62,0))))+$F213/INDEX(Simulations!$J$3:$J$62,MATCH($A213,Simulations!$A$3:$A$62,0))*SQRT(PI())/2*ERFC(SQRT(LN($F213/INDEX(Simulations!$J$3:$J$62,MATCH($A213,Simulations!$A$3:$A$62,0)))))),PI()*INDEX(Simulations!$T$3:$T$62,MATCH($A213,Simulations!$A$3:$A$62,0))^2/2*(LN($F213/INDEX(Simulations!$J$3:$J$62,MATCH($A213,Simulations!$A$3:$A$62,0)))+1)))))</f>
        <v/>
      </c>
      <c r="S213" s="16" t="str">
        <f aca="false">IF(OR($A213="",ISNA(MATCH($A213,Simulations!$A$3:$A$62,0))),"",IF(N($G213)&lt;=0,0,IF($G213&lt;INDEX(Simulations!$J$3:$J$62,MATCH($A213,Simulations!$A$3:$A$62,0)),$D213/(INDEX(Simulations!$G$3:$G$62,MATCH($A213,Simulations!$A$3:$A$62,0))*INDEX(Simulations!$H$3:$H$62,MATCH($A213,Simulations!$A$3:$A$62,0))*IF(INDEX(Simulations!$I$3:$I$62,MATCH($A213,Simulations!$A$3:$A$62,0))&gt;0,INDEX(Simulations!$I$3:$I$62,MATCH($A213,Simulations!$A$3:$A$62,0)),1))*$G213*(PI()/2*INDEX(Simulations!$T$3:$T$62,MATCH($A213,Simulations!$A$3:$A$62,0))^2*IF(INDEX(Simulations!$I$3:$I$62,MATCH($A213,Simulations!$A$3:$A$62,0))&gt;0,SQRT(PI()/2)*INDEX(Simulations!$U$3:$U$62,MATCH($A213,Simulations!$A$3:$A$62,0)),1)),$D213/(INDEX(Simulations!$G$3:$G$62,MATCH($A213,Simulations!$A$3:$A$62,0))*INDEX(Simulations!$H$3:$H$62,MATCH($A213,Simulations!$A$3:$A$62,0))*IF(INDEX(Simulations!$I$3:$I$62,MATCH($A213,Simulations!$A$3:$A$62,0))&gt;0,INDEX(Simulations!$I$3:$I$62,MATCH($A213,Simulations!$A$3:$A$62,0)),1))*INDEX(Simulations!$J$3:$J$62,MATCH($A213,Simulations!$A$3:$A$62,0))*IF(INDEX(Simulations!$I$3:$I$62,MATCH($A213,Simulations!$A$3:$A$62,0))&gt;0,2*PI()*INDEX(Simulations!$T$3:$T$62,MATCH($A213,Simulations!$A$3:$A$62,0))^2*INDEX(Simulations!$U$3:$U$62,MATCH($A213,Simulations!$A$3:$A$62,0))/2^1.5*(2/3*LN($G213/INDEX(Simulations!$J$3:$J$62,MATCH($A213,Simulations!$A$3:$A$62,0)))^1.5+SQRT(LN($G213/INDEX(Simulations!$J$3:$J$62,MATCH($A213,Simulations!$A$3:$A$62,0))))+$G213/INDEX(Simulations!$J$3:$J$62,MATCH($A213,Simulations!$A$3:$A$62,0))*SQRT(PI())/2*ERFC(SQRT(LN($G213/INDEX(Simulations!$J$3:$J$62,MATCH($A213,Simulations!$A$3:$A$62,0)))))),PI()*INDEX(Simulations!$T$3:$T$62,MATCH($A213,Simulations!$A$3:$A$62,0))^2/2*(LN($G213/INDEX(Simulations!$J$3:$J$62,MATCH($A213,Simulations!$A$3:$A$62,0)))+1)))))</f>
        <v/>
      </c>
      <c r="T213" s="16" t="str">
        <f aca="false">IF(OR($A213="",ISNA(MATCH($A213,Simulations!$A$3:$A$62,0))),"",IF(N($H213)&lt;=0,0,IF($H213&lt;INDEX(Simulations!$J$3:$J$62,MATCH($A213,Simulations!$A$3:$A$62,0)),$D213/(INDEX(Simulations!$G$3:$G$62,MATCH($A213,Simulations!$A$3:$A$62,0))*INDEX(Simulations!$H$3:$H$62,MATCH($A213,Simulations!$A$3:$A$62,0))*IF(INDEX(Simulations!$I$3:$I$62,MATCH($A213,Simulations!$A$3:$A$62,0))&gt;0,INDEX(Simulations!$I$3:$I$62,MATCH($A213,Simulations!$A$3:$A$62,0)),1))*$H213*(PI()/2*INDEX(Simulations!$T$3:$T$62,MATCH($A213,Simulations!$A$3:$A$62,0))^2*IF(INDEX(Simulations!$I$3:$I$62,MATCH($A213,Simulations!$A$3:$A$62,0))&gt;0,SQRT(PI()/2)*INDEX(Simulations!$U$3:$U$62,MATCH($A213,Simulations!$A$3:$A$62,0)),1)),$D213/(INDEX(Simulations!$G$3:$G$62,MATCH($A213,Simulations!$A$3:$A$62,0))*INDEX(Simulations!$H$3:$H$62,MATCH($A213,Simulations!$A$3:$A$62,0))*IF(INDEX(Simulations!$I$3:$I$62,MATCH($A213,Simulations!$A$3:$A$62,0))&gt;0,INDEX(Simulations!$I$3:$I$62,MATCH($A213,Simulations!$A$3:$A$62,0)),1))*INDEX(Simulations!$J$3:$J$62,MATCH($A213,Simulations!$A$3:$A$62,0))*IF(INDEX(Simulations!$I$3:$I$62,MATCH($A213,Simulations!$A$3:$A$62,0))&gt;0,2*PI()*INDEX(Simulations!$T$3:$T$62,MATCH($A213,Simulations!$A$3:$A$62,0))^2*INDEX(Simulations!$U$3:$U$62,MATCH($A213,Simulations!$A$3:$A$62,0))/2^1.5*(2/3*LN($H213/INDEX(Simulations!$J$3:$J$62,MATCH($A213,Simulations!$A$3:$A$62,0)))^1.5+SQRT(LN($H213/INDEX(Simulations!$J$3:$J$62,MATCH($A213,Simulations!$A$3:$A$62,0))))+$H213/INDEX(Simulations!$J$3:$J$62,MATCH($A213,Simulations!$A$3:$A$62,0))*SQRT(PI())/2*ERFC(SQRT(LN($H213/INDEX(Simulations!$J$3:$J$62,MATCH($A213,Simulations!$A$3:$A$62,0)))))),PI()*INDEX(Simulations!$T$3:$T$62,MATCH($A213,Simulations!$A$3:$A$62,0))^2/2*(LN($H213/INDEX(Simulations!$J$3:$J$62,MATCH($A213,Simulations!$A$3:$A$62,0)))+1)))))</f>
        <v/>
      </c>
      <c r="U213" s="18" t="str">
        <f aca="false">IF(OR(OR($A213="",ISNA(MATCH($A213,Simulations!$A$3:$A$62,0))),N($C213)&lt;=0),"",SQRT(2*$C213*1000000/(INDEX(Simulations!$J$3:$J$62,MATCH($A213,Simulations!$A$3:$A$62,0))*1000))/INDEX(Simulations!$T$3:$T$62,MATCH($A213,Simulations!$A$3:$A$62,0)))</f>
        <v/>
      </c>
      <c r="V213" s="19" t="str">
        <f aca="false">IF($A213="","",IF(ISNA(MATCH($A213,Simulations!$A$3:$A$62,0)),"✖ Sim ID not found on the Simulations sheet",IF($P213&gt;=1,"✖ brightness &gt;= sampling frequency: completely saturated (D too small, c too large)",IF($P213&gt;0.1,"⚠ brightness &gt; 10% of the sampling frequency: focus starts to saturate",IF(N($U213)&gt;0.1,"⚠ diffusion step &gt; 10% of wr: raise the sampling frequency",IF(MAX($E213:$H213)=0,"⚠ no brightness set","✔ OK"))))))</f>
        <v/>
      </c>
    </row>
    <row r="214" customFormat="false" ht="15" hidden="false" customHeight="false" outlineLevel="0" collapsed="false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4"/>
      <c r="O214" s="18" t="str">
        <f aca="false">IF(OR($A214="",ISNA(MATCH($A214,Simulations!$A$3:$A$62,0))),"",IF(INDEX(Simulations!$I$3:$I$62,MATCH($A214,Simulations!$A$3:$A$62,0))&gt;0,$D214/(INDEX(Simulations!$G$3:$G$62,MATCH($A214,Simulations!$A$3:$A$62,0))*INDEX(Simulations!$H$3:$H$62,MATCH($A214,Simulations!$A$3:$A$62,0))*IF(INDEX(Simulations!$I$3:$I$62,MATCH($A214,Simulations!$A$3:$A$62,0))&gt;0,INDEX(Simulations!$I$3:$I$62,MATCH($A214,Simulations!$A$3:$A$62,0)),1))/1E-024/6.022E+023/0.000000001,""))</f>
        <v/>
      </c>
      <c r="P214" s="20" t="str">
        <f aca="false">IF(OR($A214="",ISNA(MATCH($A214,Simulations!$A$3:$A$62,0))),"",MAX($E214:$H214)/INDEX(Simulations!$J$3:$J$62,MATCH($A214,Simulations!$A$3:$A$62,0)))</f>
        <v/>
      </c>
      <c r="Q214" s="16" t="str">
        <f aca="false">IF(OR($A214="",ISNA(MATCH($A214,Simulations!$A$3:$A$62,0))),"",IF(N($E214)&lt;=0,0,IF($E214&lt;INDEX(Simulations!$J$3:$J$62,MATCH($A214,Simulations!$A$3:$A$62,0)),$D214/(INDEX(Simulations!$G$3:$G$62,MATCH($A214,Simulations!$A$3:$A$62,0))*INDEX(Simulations!$H$3:$H$62,MATCH($A214,Simulations!$A$3:$A$62,0))*IF(INDEX(Simulations!$I$3:$I$62,MATCH($A214,Simulations!$A$3:$A$62,0))&gt;0,INDEX(Simulations!$I$3:$I$62,MATCH($A214,Simulations!$A$3:$A$62,0)),1))*$E214*(PI()/2*INDEX(Simulations!$T$3:$T$62,MATCH($A214,Simulations!$A$3:$A$62,0))^2*IF(INDEX(Simulations!$I$3:$I$62,MATCH($A214,Simulations!$A$3:$A$62,0))&gt;0,SQRT(PI()/2)*INDEX(Simulations!$U$3:$U$62,MATCH($A214,Simulations!$A$3:$A$62,0)),1)),$D214/(INDEX(Simulations!$G$3:$G$62,MATCH($A214,Simulations!$A$3:$A$62,0))*INDEX(Simulations!$H$3:$H$62,MATCH($A214,Simulations!$A$3:$A$62,0))*IF(INDEX(Simulations!$I$3:$I$62,MATCH($A214,Simulations!$A$3:$A$62,0))&gt;0,INDEX(Simulations!$I$3:$I$62,MATCH($A214,Simulations!$A$3:$A$62,0)),1))*INDEX(Simulations!$J$3:$J$62,MATCH($A214,Simulations!$A$3:$A$62,0))*IF(INDEX(Simulations!$I$3:$I$62,MATCH($A214,Simulations!$A$3:$A$62,0))&gt;0,2*PI()*INDEX(Simulations!$T$3:$T$62,MATCH($A214,Simulations!$A$3:$A$62,0))^2*INDEX(Simulations!$U$3:$U$62,MATCH($A214,Simulations!$A$3:$A$62,0))/2^1.5*(2/3*LN($E214/INDEX(Simulations!$J$3:$J$62,MATCH($A214,Simulations!$A$3:$A$62,0)))^1.5+SQRT(LN($E214/INDEX(Simulations!$J$3:$J$62,MATCH($A214,Simulations!$A$3:$A$62,0))))+$E214/INDEX(Simulations!$J$3:$J$62,MATCH($A214,Simulations!$A$3:$A$62,0))*SQRT(PI())/2*ERFC(SQRT(LN($E214/INDEX(Simulations!$J$3:$J$62,MATCH($A214,Simulations!$A$3:$A$62,0)))))),PI()*INDEX(Simulations!$T$3:$T$62,MATCH($A214,Simulations!$A$3:$A$62,0))^2/2*(LN($E214/INDEX(Simulations!$J$3:$J$62,MATCH($A214,Simulations!$A$3:$A$62,0)))+1)))))</f>
        <v/>
      </c>
      <c r="R214" s="16" t="str">
        <f aca="false">IF(OR($A214="",ISNA(MATCH($A214,Simulations!$A$3:$A$62,0))),"",IF(N($F214)&lt;=0,0,IF($F214&lt;INDEX(Simulations!$J$3:$J$62,MATCH($A214,Simulations!$A$3:$A$62,0)),$D214/(INDEX(Simulations!$G$3:$G$62,MATCH($A214,Simulations!$A$3:$A$62,0))*INDEX(Simulations!$H$3:$H$62,MATCH($A214,Simulations!$A$3:$A$62,0))*IF(INDEX(Simulations!$I$3:$I$62,MATCH($A214,Simulations!$A$3:$A$62,0))&gt;0,INDEX(Simulations!$I$3:$I$62,MATCH($A214,Simulations!$A$3:$A$62,0)),1))*$F214*(PI()/2*INDEX(Simulations!$T$3:$T$62,MATCH($A214,Simulations!$A$3:$A$62,0))^2*IF(INDEX(Simulations!$I$3:$I$62,MATCH($A214,Simulations!$A$3:$A$62,0))&gt;0,SQRT(PI()/2)*INDEX(Simulations!$U$3:$U$62,MATCH($A214,Simulations!$A$3:$A$62,0)),1)),$D214/(INDEX(Simulations!$G$3:$G$62,MATCH($A214,Simulations!$A$3:$A$62,0))*INDEX(Simulations!$H$3:$H$62,MATCH($A214,Simulations!$A$3:$A$62,0))*IF(INDEX(Simulations!$I$3:$I$62,MATCH($A214,Simulations!$A$3:$A$62,0))&gt;0,INDEX(Simulations!$I$3:$I$62,MATCH($A214,Simulations!$A$3:$A$62,0)),1))*INDEX(Simulations!$J$3:$J$62,MATCH($A214,Simulations!$A$3:$A$62,0))*IF(INDEX(Simulations!$I$3:$I$62,MATCH($A214,Simulations!$A$3:$A$62,0))&gt;0,2*PI()*INDEX(Simulations!$T$3:$T$62,MATCH($A214,Simulations!$A$3:$A$62,0))^2*INDEX(Simulations!$U$3:$U$62,MATCH($A214,Simulations!$A$3:$A$62,0))/2^1.5*(2/3*LN($F214/INDEX(Simulations!$J$3:$J$62,MATCH($A214,Simulations!$A$3:$A$62,0)))^1.5+SQRT(LN($F214/INDEX(Simulations!$J$3:$J$62,MATCH($A214,Simulations!$A$3:$A$62,0))))+$F214/INDEX(Simulations!$J$3:$J$62,MATCH($A214,Simulations!$A$3:$A$62,0))*SQRT(PI())/2*ERFC(SQRT(LN($F214/INDEX(Simulations!$J$3:$J$62,MATCH($A214,Simulations!$A$3:$A$62,0)))))),PI()*INDEX(Simulations!$T$3:$T$62,MATCH($A214,Simulations!$A$3:$A$62,0))^2/2*(LN($F214/INDEX(Simulations!$J$3:$J$62,MATCH($A214,Simulations!$A$3:$A$62,0)))+1)))))</f>
        <v/>
      </c>
      <c r="S214" s="16" t="str">
        <f aca="false">IF(OR($A214="",ISNA(MATCH($A214,Simulations!$A$3:$A$62,0))),"",IF(N($G214)&lt;=0,0,IF($G214&lt;INDEX(Simulations!$J$3:$J$62,MATCH($A214,Simulations!$A$3:$A$62,0)),$D214/(INDEX(Simulations!$G$3:$G$62,MATCH($A214,Simulations!$A$3:$A$62,0))*INDEX(Simulations!$H$3:$H$62,MATCH($A214,Simulations!$A$3:$A$62,0))*IF(INDEX(Simulations!$I$3:$I$62,MATCH($A214,Simulations!$A$3:$A$62,0))&gt;0,INDEX(Simulations!$I$3:$I$62,MATCH($A214,Simulations!$A$3:$A$62,0)),1))*$G214*(PI()/2*INDEX(Simulations!$T$3:$T$62,MATCH($A214,Simulations!$A$3:$A$62,0))^2*IF(INDEX(Simulations!$I$3:$I$62,MATCH($A214,Simulations!$A$3:$A$62,0))&gt;0,SQRT(PI()/2)*INDEX(Simulations!$U$3:$U$62,MATCH($A214,Simulations!$A$3:$A$62,0)),1)),$D214/(INDEX(Simulations!$G$3:$G$62,MATCH($A214,Simulations!$A$3:$A$62,0))*INDEX(Simulations!$H$3:$H$62,MATCH($A214,Simulations!$A$3:$A$62,0))*IF(INDEX(Simulations!$I$3:$I$62,MATCH($A214,Simulations!$A$3:$A$62,0))&gt;0,INDEX(Simulations!$I$3:$I$62,MATCH($A214,Simulations!$A$3:$A$62,0)),1))*INDEX(Simulations!$J$3:$J$62,MATCH($A214,Simulations!$A$3:$A$62,0))*IF(INDEX(Simulations!$I$3:$I$62,MATCH($A214,Simulations!$A$3:$A$62,0))&gt;0,2*PI()*INDEX(Simulations!$T$3:$T$62,MATCH($A214,Simulations!$A$3:$A$62,0))^2*INDEX(Simulations!$U$3:$U$62,MATCH($A214,Simulations!$A$3:$A$62,0))/2^1.5*(2/3*LN($G214/INDEX(Simulations!$J$3:$J$62,MATCH($A214,Simulations!$A$3:$A$62,0)))^1.5+SQRT(LN($G214/INDEX(Simulations!$J$3:$J$62,MATCH($A214,Simulations!$A$3:$A$62,0))))+$G214/INDEX(Simulations!$J$3:$J$62,MATCH($A214,Simulations!$A$3:$A$62,0))*SQRT(PI())/2*ERFC(SQRT(LN($G214/INDEX(Simulations!$J$3:$J$62,MATCH($A214,Simulations!$A$3:$A$62,0)))))),PI()*INDEX(Simulations!$T$3:$T$62,MATCH($A214,Simulations!$A$3:$A$62,0))^2/2*(LN($G214/INDEX(Simulations!$J$3:$J$62,MATCH($A214,Simulations!$A$3:$A$62,0)))+1)))))</f>
        <v/>
      </c>
      <c r="T214" s="16" t="str">
        <f aca="false">IF(OR($A214="",ISNA(MATCH($A214,Simulations!$A$3:$A$62,0))),"",IF(N($H214)&lt;=0,0,IF($H214&lt;INDEX(Simulations!$J$3:$J$62,MATCH($A214,Simulations!$A$3:$A$62,0)),$D214/(INDEX(Simulations!$G$3:$G$62,MATCH($A214,Simulations!$A$3:$A$62,0))*INDEX(Simulations!$H$3:$H$62,MATCH($A214,Simulations!$A$3:$A$62,0))*IF(INDEX(Simulations!$I$3:$I$62,MATCH($A214,Simulations!$A$3:$A$62,0))&gt;0,INDEX(Simulations!$I$3:$I$62,MATCH($A214,Simulations!$A$3:$A$62,0)),1))*$H214*(PI()/2*INDEX(Simulations!$T$3:$T$62,MATCH($A214,Simulations!$A$3:$A$62,0))^2*IF(INDEX(Simulations!$I$3:$I$62,MATCH($A214,Simulations!$A$3:$A$62,0))&gt;0,SQRT(PI()/2)*INDEX(Simulations!$U$3:$U$62,MATCH($A214,Simulations!$A$3:$A$62,0)),1)),$D214/(INDEX(Simulations!$G$3:$G$62,MATCH($A214,Simulations!$A$3:$A$62,0))*INDEX(Simulations!$H$3:$H$62,MATCH($A214,Simulations!$A$3:$A$62,0))*IF(INDEX(Simulations!$I$3:$I$62,MATCH($A214,Simulations!$A$3:$A$62,0))&gt;0,INDEX(Simulations!$I$3:$I$62,MATCH($A214,Simulations!$A$3:$A$62,0)),1))*INDEX(Simulations!$J$3:$J$62,MATCH($A214,Simulations!$A$3:$A$62,0))*IF(INDEX(Simulations!$I$3:$I$62,MATCH($A214,Simulations!$A$3:$A$62,0))&gt;0,2*PI()*INDEX(Simulations!$T$3:$T$62,MATCH($A214,Simulations!$A$3:$A$62,0))^2*INDEX(Simulations!$U$3:$U$62,MATCH($A214,Simulations!$A$3:$A$62,0))/2^1.5*(2/3*LN($H214/INDEX(Simulations!$J$3:$J$62,MATCH($A214,Simulations!$A$3:$A$62,0)))^1.5+SQRT(LN($H214/INDEX(Simulations!$J$3:$J$62,MATCH($A214,Simulations!$A$3:$A$62,0))))+$H214/INDEX(Simulations!$J$3:$J$62,MATCH($A214,Simulations!$A$3:$A$62,0))*SQRT(PI())/2*ERFC(SQRT(LN($H214/INDEX(Simulations!$J$3:$J$62,MATCH($A214,Simulations!$A$3:$A$62,0)))))),PI()*INDEX(Simulations!$T$3:$T$62,MATCH($A214,Simulations!$A$3:$A$62,0))^2/2*(LN($H214/INDEX(Simulations!$J$3:$J$62,MATCH($A214,Simulations!$A$3:$A$62,0)))+1)))))</f>
        <v/>
      </c>
      <c r="U214" s="18" t="str">
        <f aca="false">IF(OR(OR($A214="",ISNA(MATCH($A214,Simulations!$A$3:$A$62,0))),N($C214)&lt;=0),"",SQRT(2*$C214*1000000/(INDEX(Simulations!$J$3:$J$62,MATCH($A214,Simulations!$A$3:$A$62,0))*1000))/INDEX(Simulations!$T$3:$T$62,MATCH($A214,Simulations!$A$3:$A$62,0)))</f>
        <v/>
      </c>
      <c r="V214" s="19" t="str">
        <f aca="false">IF($A214="","",IF(ISNA(MATCH($A214,Simulations!$A$3:$A$62,0)),"✖ Sim ID not found on the Simulations sheet",IF($P214&gt;=1,"✖ brightness &gt;= sampling frequency: completely saturated (D too small, c too large)",IF($P214&gt;0.1,"⚠ brightness &gt; 10% of the sampling frequency: focus starts to saturate",IF(N($U214)&gt;0.1,"⚠ diffusion step &gt; 10% of wr: raise the sampling frequency",IF(MAX($E214:$H214)=0,"⚠ no brightness set","✔ OK"))))))</f>
        <v/>
      </c>
    </row>
    <row r="215" customFormat="false" ht="15" hidden="false" customHeight="false" outlineLevel="0" collapsed="false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4"/>
      <c r="O215" s="18" t="str">
        <f aca="false">IF(OR($A215="",ISNA(MATCH($A215,Simulations!$A$3:$A$62,0))),"",IF(INDEX(Simulations!$I$3:$I$62,MATCH($A215,Simulations!$A$3:$A$62,0))&gt;0,$D215/(INDEX(Simulations!$G$3:$G$62,MATCH($A215,Simulations!$A$3:$A$62,0))*INDEX(Simulations!$H$3:$H$62,MATCH($A215,Simulations!$A$3:$A$62,0))*IF(INDEX(Simulations!$I$3:$I$62,MATCH($A215,Simulations!$A$3:$A$62,0))&gt;0,INDEX(Simulations!$I$3:$I$62,MATCH($A215,Simulations!$A$3:$A$62,0)),1))/1E-024/6.022E+023/0.000000001,""))</f>
        <v/>
      </c>
      <c r="P215" s="20" t="str">
        <f aca="false">IF(OR($A215="",ISNA(MATCH($A215,Simulations!$A$3:$A$62,0))),"",MAX($E215:$H215)/INDEX(Simulations!$J$3:$J$62,MATCH($A215,Simulations!$A$3:$A$62,0)))</f>
        <v/>
      </c>
      <c r="Q215" s="16" t="str">
        <f aca="false">IF(OR($A215="",ISNA(MATCH($A215,Simulations!$A$3:$A$62,0))),"",IF(N($E215)&lt;=0,0,IF($E215&lt;INDEX(Simulations!$J$3:$J$62,MATCH($A215,Simulations!$A$3:$A$62,0)),$D215/(INDEX(Simulations!$G$3:$G$62,MATCH($A215,Simulations!$A$3:$A$62,0))*INDEX(Simulations!$H$3:$H$62,MATCH($A215,Simulations!$A$3:$A$62,0))*IF(INDEX(Simulations!$I$3:$I$62,MATCH($A215,Simulations!$A$3:$A$62,0))&gt;0,INDEX(Simulations!$I$3:$I$62,MATCH($A215,Simulations!$A$3:$A$62,0)),1))*$E215*(PI()/2*INDEX(Simulations!$T$3:$T$62,MATCH($A215,Simulations!$A$3:$A$62,0))^2*IF(INDEX(Simulations!$I$3:$I$62,MATCH($A215,Simulations!$A$3:$A$62,0))&gt;0,SQRT(PI()/2)*INDEX(Simulations!$U$3:$U$62,MATCH($A215,Simulations!$A$3:$A$62,0)),1)),$D215/(INDEX(Simulations!$G$3:$G$62,MATCH($A215,Simulations!$A$3:$A$62,0))*INDEX(Simulations!$H$3:$H$62,MATCH($A215,Simulations!$A$3:$A$62,0))*IF(INDEX(Simulations!$I$3:$I$62,MATCH($A215,Simulations!$A$3:$A$62,0))&gt;0,INDEX(Simulations!$I$3:$I$62,MATCH($A215,Simulations!$A$3:$A$62,0)),1))*INDEX(Simulations!$J$3:$J$62,MATCH($A215,Simulations!$A$3:$A$62,0))*IF(INDEX(Simulations!$I$3:$I$62,MATCH($A215,Simulations!$A$3:$A$62,0))&gt;0,2*PI()*INDEX(Simulations!$T$3:$T$62,MATCH($A215,Simulations!$A$3:$A$62,0))^2*INDEX(Simulations!$U$3:$U$62,MATCH($A215,Simulations!$A$3:$A$62,0))/2^1.5*(2/3*LN($E215/INDEX(Simulations!$J$3:$J$62,MATCH($A215,Simulations!$A$3:$A$62,0)))^1.5+SQRT(LN($E215/INDEX(Simulations!$J$3:$J$62,MATCH($A215,Simulations!$A$3:$A$62,0))))+$E215/INDEX(Simulations!$J$3:$J$62,MATCH($A215,Simulations!$A$3:$A$62,0))*SQRT(PI())/2*ERFC(SQRT(LN($E215/INDEX(Simulations!$J$3:$J$62,MATCH($A215,Simulations!$A$3:$A$62,0)))))),PI()*INDEX(Simulations!$T$3:$T$62,MATCH($A215,Simulations!$A$3:$A$62,0))^2/2*(LN($E215/INDEX(Simulations!$J$3:$J$62,MATCH($A215,Simulations!$A$3:$A$62,0)))+1)))))</f>
        <v/>
      </c>
      <c r="R215" s="16" t="str">
        <f aca="false">IF(OR($A215="",ISNA(MATCH($A215,Simulations!$A$3:$A$62,0))),"",IF(N($F215)&lt;=0,0,IF($F215&lt;INDEX(Simulations!$J$3:$J$62,MATCH($A215,Simulations!$A$3:$A$62,0)),$D215/(INDEX(Simulations!$G$3:$G$62,MATCH($A215,Simulations!$A$3:$A$62,0))*INDEX(Simulations!$H$3:$H$62,MATCH($A215,Simulations!$A$3:$A$62,0))*IF(INDEX(Simulations!$I$3:$I$62,MATCH($A215,Simulations!$A$3:$A$62,0))&gt;0,INDEX(Simulations!$I$3:$I$62,MATCH($A215,Simulations!$A$3:$A$62,0)),1))*$F215*(PI()/2*INDEX(Simulations!$T$3:$T$62,MATCH($A215,Simulations!$A$3:$A$62,0))^2*IF(INDEX(Simulations!$I$3:$I$62,MATCH($A215,Simulations!$A$3:$A$62,0))&gt;0,SQRT(PI()/2)*INDEX(Simulations!$U$3:$U$62,MATCH($A215,Simulations!$A$3:$A$62,0)),1)),$D215/(INDEX(Simulations!$G$3:$G$62,MATCH($A215,Simulations!$A$3:$A$62,0))*INDEX(Simulations!$H$3:$H$62,MATCH($A215,Simulations!$A$3:$A$62,0))*IF(INDEX(Simulations!$I$3:$I$62,MATCH($A215,Simulations!$A$3:$A$62,0))&gt;0,INDEX(Simulations!$I$3:$I$62,MATCH($A215,Simulations!$A$3:$A$62,0)),1))*INDEX(Simulations!$J$3:$J$62,MATCH($A215,Simulations!$A$3:$A$62,0))*IF(INDEX(Simulations!$I$3:$I$62,MATCH($A215,Simulations!$A$3:$A$62,0))&gt;0,2*PI()*INDEX(Simulations!$T$3:$T$62,MATCH($A215,Simulations!$A$3:$A$62,0))^2*INDEX(Simulations!$U$3:$U$62,MATCH($A215,Simulations!$A$3:$A$62,0))/2^1.5*(2/3*LN($F215/INDEX(Simulations!$J$3:$J$62,MATCH($A215,Simulations!$A$3:$A$62,0)))^1.5+SQRT(LN($F215/INDEX(Simulations!$J$3:$J$62,MATCH($A215,Simulations!$A$3:$A$62,0))))+$F215/INDEX(Simulations!$J$3:$J$62,MATCH($A215,Simulations!$A$3:$A$62,0))*SQRT(PI())/2*ERFC(SQRT(LN($F215/INDEX(Simulations!$J$3:$J$62,MATCH($A215,Simulations!$A$3:$A$62,0)))))),PI()*INDEX(Simulations!$T$3:$T$62,MATCH($A215,Simulations!$A$3:$A$62,0))^2/2*(LN($F215/INDEX(Simulations!$J$3:$J$62,MATCH($A215,Simulations!$A$3:$A$62,0)))+1)))))</f>
        <v/>
      </c>
      <c r="S215" s="16" t="str">
        <f aca="false">IF(OR($A215="",ISNA(MATCH($A215,Simulations!$A$3:$A$62,0))),"",IF(N($G215)&lt;=0,0,IF($G215&lt;INDEX(Simulations!$J$3:$J$62,MATCH($A215,Simulations!$A$3:$A$62,0)),$D215/(INDEX(Simulations!$G$3:$G$62,MATCH($A215,Simulations!$A$3:$A$62,0))*INDEX(Simulations!$H$3:$H$62,MATCH($A215,Simulations!$A$3:$A$62,0))*IF(INDEX(Simulations!$I$3:$I$62,MATCH($A215,Simulations!$A$3:$A$62,0))&gt;0,INDEX(Simulations!$I$3:$I$62,MATCH($A215,Simulations!$A$3:$A$62,0)),1))*$G215*(PI()/2*INDEX(Simulations!$T$3:$T$62,MATCH($A215,Simulations!$A$3:$A$62,0))^2*IF(INDEX(Simulations!$I$3:$I$62,MATCH($A215,Simulations!$A$3:$A$62,0))&gt;0,SQRT(PI()/2)*INDEX(Simulations!$U$3:$U$62,MATCH($A215,Simulations!$A$3:$A$62,0)),1)),$D215/(INDEX(Simulations!$G$3:$G$62,MATCH($A215,Simulations!$A$3:$A$62,0))*INDEX(Simulations!$H$3:$H$62,MATCH($A215,Simulations!$A$3:$A$62,0))*IF(INDEX(Simulations!$I$3:$I$62,MATCH($A215,Simulations!$A$3:$A$62,0))&gt;0,INDEX(Simulations!$I$3:$I$62,MATCH($A215,Simulations!$A$3:$A$62,0)),1))*INDEX(Simulations!$J$3:$J$62,MATCH($A215,Simulations!$A$3:$A$62,0))*IF(INDEX(Simulations!$I$3:$I$62,MATCH($A215,Simulations!$A$3:$A$62,0))&gt;0,2*PI()*INDEX(Simulations!$T$3:$T$62,MATCH($A215,Simulations!$A$3:$A$62,0))^2*INDEX(Simulations!$U$3:$U$62,MATCH($A215,Simulations!$A$3:$A$62,0))/2^1.5*(2/3*LN($G215/INDEX(Simulations!$J$3:$J$62,MATCH($A215,Simulations!$A$3:$A$62,0)))^1.5+SQRT(LN($G215/INDEX(Simulations!$J$3:$J$62,MATCH($A215,Simulations!$A$3:$A$62,0))))+$G215/INDEX(Simulations!$J$3:$J$62,MATCH($A215,Simulations!$A$3:$A$62,0))*SQRT(PI())/2*ERFC(SQRT(LN($G215/INDEX(Simulations!$J$3:$J$62,MATCH($A215,Simulations!$A$3:$A$62,0)))))),PI()*INDEX(Simulations!$T$3:$T$62,MATCH($A215,Simulations!$A$3:$A$62,0))^2/2*(LN($G215/INDEX(Simulations!$J$3:$J$62,MATCH($A215,Simulations!$A$3:$A$62,0)))+1)))))</f>
        <v/>
      </c>
      <c r="T215" s="16" t="str">
        <f aca="false">IF(OR($A215="",ISNA(MATCH($A215,Simulations!$A$3:$A$62,0))),"",IF(N($H215)&lt;=0,0,IF($H215&lt;INDEX(Simulations!$J$3:$J$62,MATCH($A215,Simulations!$A$3:$A$62,0)),$D215/(INDEX(Simulations!$G$3:$G$62,MATCH($A215,Simulations!$A$3:$A$62,0))*INDEX(Simulations!$H$3:$H$62,MATCH($A215,Simulations!$A$3:$A$62,0))*IF(INDEX(Simulations!$I$3:$I$62,MATCH($A215,Simulations!$A$3:$A$62,0))&gt;0,INDEX(Simulations!$I$3:$I$62,MATCH($A215,Simulations!$A$3:$A$62,0)),1))*$H215*(PI()/2*INDEX(Simulations!$T$3:$T$62,MATCH($A215,Simulations!$A$3:$A$62,0))^2*IF(INDEX(Simulations!$I$3:$I$62,MATCH($A215,Simulations!$A$3:$A$62,0))&gt;0,SQRT(PI()/2)*INDEX(Simulations!$U$3:$U$62,MATCH($A215,Simulations!$A$3:$A$62,0)),1)),$D215/(INDEX(Simulations!$G$3:$G$62,MATCH($A215,Simulations!$A$3:$A$62,0))*INDEX(Simulations!$H$3:$H$62,MATCH($A215,Simulations!$A$3:$A$62,0))*IF(INDEX(Simulations!$I$3:$I$62,MATCH($A215,Simulations!$A$3:$A$62,0))&gt;0,INDEX(Simulations!$I$3:$I$62,MATCH($A215,Simulations!$A$3:$A$62,0)),1))*INDEX(Simulations!$J$3:$J$62,MATCH($A215,Simulations!$A$3:$A$62,0))*IF(INDEX(Simulations!$I$3:$I$62,MATCH($A215,Simulations!$A$3:$A$62,0))&gt;0,2*PI()*INDEX(Simulations!$T$3:$T$62,MATCH($A215,Simulations!$A$3:$A$62,0))^2*INDEX(Simulations!$U$3:$U$62,MATCH($A215,Simulations!$A$3:$A$62,0))/2^1.5*(2/3*LN($H215/INDEX(Simulations!$J$3:$J$62,MATCH($A215,Simulations!$A$3:$A$62,0)))^1.5+SQRT(LN($H215/INDEX(Simulations!$J$3:$J$62,MATCH($A215,Simulations!$A$3:$A$62,0))))+$H215/INDEX(Simulations!$J$3:$J$62,MATCH($A215,Simulations!$A$3:$A$62,0))*SQRT(PI())/2*ERFC(SQRT(LN($H215/INDEX(Simulations!$J$3:$J$62,MATCH($A215,Simulations!$A$3:$A$62,0)))))),PI()*INDEX(Simulations!$T$3:$T$62,MATCH($A215,Simulations!$A$3:$A$62,0))^2/2*(LN($H215/INDEX(Simulations!$J$3:$J$62,MATCH($A215,Simulations!$A$3:$A$62,0)))+1)))))</f>
        <v/>
      </c>
      <c r="U215" s="18" t="str">
        <f aca="false">IF(OR(OR($A215="",ISNA(MATCH($A215,Simulations!$A$3:$A$62,0))),N($C215)&lt;=0),"",SQRT(2*$C215*1000000/(INDEX(Simulations!$J$3:$J$62,MATCH($A215,Simulations!$A$3:$A$62,0))*1000))/INDEX(Simulations!$T$3:$T$62,MATCH($A215,Simulations!$A$3:$A$62,0)))</f>
        <v/>
      </c>
      <c r="V215" s="19" t="str">
        <f aca="false">IF($A215="","",IF(ISNA(MATCH($A215,Simulations!$A$3:$A$62,0)),"✖ Sim ID not found on the Simulations sheet",IF($P215&gt;=1,"✖ brightness &gt;= sampling frequency: completely saturated (D too small, c too large)",IF($P215&gt;0.1,"⚠ brightness &gt; 10% of the sampling frequency: focus starts to saturate",IF(N($U215)&gt;0.1,"⚠ diffusion step &gt; 10% of wr: raise the sampling frequency",IF(MAX($E215:$H215)=0,"⚠ no brightness set","✔ OK"))))))</f>
        <v/>
      </c>
    </row>
    <row r="216" customFormat="false" ht="15" hidden="false" customHeight="false" outlineLevel="0" collapsed="false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4"/>
      <c r="O216" s="18" t="str">
        <f aca="false">IF(OR($A216="",ISNA(MATCH($A216,Simulations!$A$3:$A$62,0))),"",IF(INDEX(Simulations!$I$3:$I$62,MATCH($A216,Simulations!$A$3:$A$62,0))&gt;0,$D216/(INDEX(Simulations!$G$3:$G$62,MATCH($A216,Simulations!$A$3:$A$62,0))*INDEX(Simulations!$H$3:$H$62,MATCH($A216,Simulations!$A$3:$A$62,0))*IF(INDEX(Simulations!$I$3:$I$62,MATCH($A216,Simulations!$A$3:$A$62,0))&gt;0,INDEX(Simulations!$I$3:$I$62,MATCH($A216,Simulations!$A$3:$A$62,0)),1))/1E-024/6.022E+023/0.000000001,""))</f>
        <v/>
      </c>
      <c r="P216" s="20" t="str">
        <f aca="false">IF(OR($A216="",ISNA(MATCH($A216,Simulations!$A$3:$A$62,0))),"",MAX($E216:$H216)/INDEX(Simulations!$J$3:$J$62,MATCH($A216,Simulations!$A$3:$A$62,0)))</f>
        <v/>
      </c>
      <c r="Q216" s="16" t="str">
        <f aca="false">IF(OR($A216="",ISNA(MATCH($A216,Simulations!$A$3:$A$62,0))),"",IF(N($E216)&lt;=0,0,IF($E216&lt;INDEX(Simulations!$J$3:$J$62,MATCH($A216,Simulations!$A$3:$A$62,0)),$D216/(INDEX(Simulations!$G$3:$G$62,MATCH($A216,Simulations!$A$3:$A$62,0))*INDEX(Simulations!$H$3:$H$62,MATCH($A216,Simulations!$A$3:$A$62,0))*IF(INDEX(Simulations!$I$3:$I$62,MATCH($A216,Simulations!$A$3:$A$62,0))&gt;0,INDEX(Simulations!$I$3:$I$62,MATCH($A216,Simulations!$A$3:$A$62,0)),1))*$E216*(PI()/2*INDEX(Simulations!$T$3:$T$62,MATCH($A216,Simulations!$A$3:$A$62,0))^2*IF(INDEX(Simulations!$I$3:$I$62,MATCH($A216,Simulations!$A$3:$A$62,0))&gt;0,SQRT(PI()/2)*INDEX(Simulations!$U$3:$U$62,MATCH($A216,Simulations!$A$3:$A$62,0)),1)),$D216/(INDEX(Simulations!$G$3:$G$62,MATCH($A216,Simulations!$A$3:$A$62,0))*INDEX(Simulations!$H$3:$H$62,MATCH($A216,Simulations!$A$3:$A$62,0))*IF(INDEX(Simulations!$I$3:$I$62,MATCH($A216,Simulations!$A$3:$A$62,0))&gt;0,INDEX(Simulations!$I$3:$I$62,MATCH($A216,Simulations!$A$3:$A$62,0)),1))*INDEX(Simulations!$J$3:$J$62,MATCH($A216,Simulations!$A$3:$A$62,0))*IF(INDEX(Simulations!$I$3:$I$62,MATCH($A216,Simulations!$A$3:$A$62,0))&gt;0,2*PI()*INDEX(Simulations!$T$3:$T$62,MATCH($A216,Simulations!$A$3:$A$62,0))^2*INDEX(Simulations!$U$3:$U$62,MATCH($A216,Simulations!$A$3:$A$62,0))/2^1.5*(2/3*LN($E216/INDEX(Simulations!$J$3:$J$62,MATCH($A216,Simulations!$A$3:$A$62,0)))^1.5+SQRT(LN($E216/INDEX(Simulations!$J$3:$J$62,MATCH($A216,Simulations!$A$3:$A$62,0))))+$E216/INDEX(Simulations!$J$3:$J$62,MATCH($A216,Simulations!$A$3:$A$62,0))*SQRT(PI())/2*ERFC(SQRT(LN($E216/INDEX(Simulations!$J$3:$J$62,MATCH($A216,Simulations!$A$3:$A$62,0)))))),PI()*INDEX(Simulations!$T$3:$T$62,MATCH($A216,Simulations!$A$3:$A$62,0))^2/2*(LN($E216/INDEX(Simulations!$J$3:$J$62,MATCH($A216,Simulations!$A$3:$A$62,0)))+1)))))</f>
        <v/>
      </c>
      <c r="R216" s="16" t="str">
        <f aca="false">IF(OR($A216="",ISNA(MATCH($A216,Simulations!$A$3:$A$62,0))),"",IF(N($F216)&lt;=0,0,IF($F216&lt;INDEX(Simulations!$J$3:$J$62,MATCH($A216,Simulations!$A$3:$A$62,0)),$D216/(INDEX(Simulations!$G$3:$G$62,MATCH($A216,Simulations!$A$3:$A$62,0))*INDEX(Simulations!$H$3:$H$62,MATCH($A216,Simulations!$A$3:$A$62,0))*IF(INDEX(Simulations!$I$3:$I$62,MATCH($A216,Simulations!$A$3:$A$62,0))&gt;0,INDEX(Simulations!$I$3:$I$62,MATCH($A216,Simulations!$A$3:$A$62,0)),1))*$F216*(PI()/2*INDEX(Simulations!$T$3:$T$62,MATCH($A216,Simulations!$A$3:$A$62,0))^2*IF(INDEX(Simulations!$I$3:$I$62,MATCH($A216,Simulations!$A$3:$A$62,0))&gt;0,SQRT(PI()/2)*INDEX(Simulations!$U$3:$U$62,MATCH($A216,Simulations!$A$3:$A$62,0)),1)),$D216/(INDEX(Simulations!$G$3:$G$62,MATCH($A216,Simulations!$A$3:$A$62,0))*INDEX(Simulations!$H$3:$H$62,MATCH($A216,Simulations!$A$3:$A$62,0))*IF(INDEX(Simulations!$I$3:$I$62,MATCH($A216,Simulations!$A$3:$A$62,0))&gt;0,INDEX(Simulations!$I$3:$I$62,MATCH($A216,Simulations!$A$3:$A$62,0)),1))*INDEX(Simulations!$J$3:$J$62,MATCH($A216,Simulations!$A$3:$A$62,0))*IF(INDEX(Simulations!$I$3:$I$62,MATCH($A216,Simulations!$A$3:$A$62,0))&gt;0,2*PI()*INDEX(Simulations!$T$3:$T$62,MATCH($A216,Simulations!$A$3:$A$62,0))^2*INDEX(Simulations!$U$3:$U$62,MATCH($A216,Simulations!$A$3:$A$62,0))/2^1.5*(2/3*LN($F216/INDEX(Simulations!$J$3:$J$62,MATCH($A216,Simulations!$A$3:$A$62,0)))^1.5+SQRT(LN($F216/INDEX(Simulations!$J$3:$J$62,MATCH($A216,Simulations!$A$3:$A$62,0))))+$F216/INDEX(Simulations!$J$3:$J$62,MATCH($A216,Simulations!$A$3:$A$62,0))*SQRT(PI())/2*ERFC(SQRT(LN($F216/INDEX(Simulations!$J$3:$J$62,MATCH($A216,Simulations!$A$3:$A$62,0)))))),PI()*INDEX(Simulations!$T$3:$T$62,MATCH($A216,Simulations!$A$3:$A$62,0))^2/2*(LN($F216/INDEX(Simulations!$J$3:$J$62,MATCH($A216,Simulations!$A$3:$A$62,0)))+1)))))</f>
        <v/>
      </c>
      <c r="S216" s="16" t="str">
        <f aca="false">IF(OR($A216="",ISNA(MATCH($A216,Simulations!$A$3:$A$62,0))),"",IF(N($G216)&lt;=0,0,IF($G216&lt;INDEX(Simulations!$J$3:$J$62,MATCH($A216,Simulations!$A$3:$A$62,0)),$D216/(INDEX(Simulations!$G$3:$G$62,MATCH($A216,Simulations!$A$3:$A$62,0))*INDEX(Simulations!$H$3:$H$62,MATCH($A216,Simulations!$A$3:$A$62,0))*IF(INDEX(Simulations!$I$3:$I$62,MATCH($A216,Simulations!$A$3:$A$62,0))&gt;0,INDEX(Simulations!$I$3:$I$62,MATCH($A216,Simulations!$A$3:$A$62,0)),1))*$G216*(PI()/2*INDEX(Simulations!$T$3:$T$62,MATCH($A216,Simulations!$A$3:$A$62,0))^2*IF(INDEX(Simulations!$I$3:$I$62,MATCH($A216,Simulations!$A$3:$A$62,0))&gt;0,SQRT(PI()/2)*INDEX(Simulations!$U$3:$U$62,MATCH($A216,Simulations!$A$3:$A$62,0)),1)),$D216/(INDEX(Simulations!$G$3:$G$62,MATCH($A216,Simulations!$A$3:$A$62,0))*INDEX(Simulations!$H$3:$H$62,MATCH($A216,Simulations!$A$3:$A$62,0))*IF(INDEX(Simulations!$I$3:$I$62,MATCH($A216,Simulations!$A$3:$A$62,0))&gt;0,INDEX(Simulations!$I$3:$I$62,MATCH($A216,Simulations!$A$3:$A$62,0)),1))*INDEX(Simulations!$J$3:$J$62,MATCH($A216,Simulations!$A$3:$A$62,0))*IF(INDEX(Simulations!$I$3:$I$62,MATCH($A216,Simulations!$A$3:$A$62,0))&gt;0,2*PI()*INDEX(Simulations!$T$3:$T$62,MATCH($A216,Simulations!$A$3:$A$62,0))^2*INDEX(Simulations!$U$3:$U$62,MATCH($A216,Simulations!$A$3:$A$62,0))/2^1.5*(2/3*LN($G216/INDEX(Simulations!$J$3:$J$62,MATCH($A216,Simulations!$A$3:$A$62,0)))^1.5+SQRT(LN($G216/INDEX(Simulations!$J$3:$J$62,MATCH($A216,Simulations!$A$3:$A$62,0))))+$G216/INDEX(Simulations!$J$3:$J$62,MATCH($A216,Simulations!$A$3:$A$62,0))*SQRT(PI())/2*ERFC(SQRT(LN($G216/INDEX(Simulations!$J$3:$J$62,MATCH($A216,Simulations!$A$3:$A$62,0)))))),PI()*INDEX(Simulations!$T$3:$T$62,MATCH($A216,Simulations!$A$3:$A$62,0))^2/2*(LN($G216/INDEX(Simulations!$J$3:$J$62,MATCH($A216,Simulations!$A$3:$A$62,0)))+1)))))</f>
        <v/>
      </c>
      <c r="T216" s="16" t="str">
        <f aca="false">IF(OR($A216="",ISNA(MATCH($A216,Simulations!$A$3:$A$62,0))),"",IF(N($H216)&lt;=0,0,IF($H216&lt;INDEX(Simulations!$J$3:$J$62,MATCH($A216,Simulations!$A$3:$A$62,0)),$D216/(INDEX(Simulations!$G$3:$G$62,MATCH($A216,Simulations!$A$3:$A$62,0))*INDEX(Simulations!$H$3:$H$62,MATCH($A216,Simulations!$A$3:$A$62,0))*IF(INDEX(Simulations!$I$3:$I$62,MATCH($A216,Simulations!$A$3:$A$62,0))&gt;0,INDEX(Simulations!$I$3:$I$62,MATCH($A216,Simulations!$A$3:$A$62,0)),1))*$H216*(PI()/2*INDEX(Simulations!$T$3:$T$62,MATCH($A216,Simulations!$A$3:$A$62,0))^2*IF(INDEX(Simulations!$I$3:$I$62,MATCH($A216,Simulations!$A$3:$A$62,0))&gt;0,SQRT(PI()/2)*INDEX(Simulations!$U$3:$U$62,MATCH($A216,Simulations!$A$3:$A$62,0)),1)),$D216/(INDEX(Simulations!$G$3:$G$62,MATCH($A216,Simulations!$A$3:$A$62,0))*INDEX(Simulations!$H$3:$H$62,MATCH($A216,Simulations!$A$3:$A$62,0))*IF(INDEX(Simulations!$I$3:$I$62,MATCH($A216,Simulations!$A$3:$A$62,0))&gt;0,INDEX(Simulations!$I$3:$I$62,MATCH($A216,Simulations!$A$3:$A$62,0)),1))*INDEX(Simulations!$J$3:$J$62,MATCH($A216,Simulations!$A$3:$A$62,0))*IF(INDEX(Simulations!$I$3:$I$62,MATCH($A216,Simulations!$A$3:$A$62,0))&gt;0,2*PI()*INDEX(Simulations!$T$3:$T$62,MATCH($A216,Simulations!$A$3:$A$62,0))^2*INDEX(Simulations!$U$3:$U$62,MATCH($A216,Simulations!$A$3:$A$62,0))/2^1.5*(2/3*LN($H216/INDEX(Simulations!$J$3:$J$62,MATCH($A216,Simulations!$A$3:$A$62,0)))^1.5+SQRT(LN($H216/INDEX(Simulations!$J$3:$J$62,MATCH($A216,Simulations!$A$3:$A$62,0))))+$H216/INDEX(Simulations!$J$3:$J$62,MATCH($A216,Simulations!$A$3:$A$62,0))*SQRT(PI())/2*ERFC(SQRT(LN($H216/INDEX(Simulations!$J$3:$J$62,MATCH($A216,Simulations!$A$3:$A$62,0)))))),PI()*INDEX(Simulations!$T$3:$T$62,MATCH($A216,Simulations!$A$3:$A$62,0))^2/2*(LN($H216/INDEX(Simulations!$J$3:$J$62,MATCH($A216,Simulations!$A$3:$A$62,0)))+1)))))</f>
        <v/>
      </c>
      <c r="U216" s="18" t="str">
        <f aca="false">IF(OR(OR($A216="",ISNA(MATCH($A216,Simulations!$A$3:$A$62,0))),N($C216)&lt;=0),"",SQRT(2*$C216*1000000/(INDEX(Simulations!$J$3:$J$62,MATCH($A216,Simulations!$A$3:$A$62,0))*1000))/INDEX(Simulations!$T$3:$T$62,MATCH($A216,Simulations!$A$3:$A$62,0)))</f>
        <v/>
      </c>
      <c r="V216" s="19" t="str">
        <f aca="false">IF($A216="","",IF(ISNA(MATCH($A216,Simulations!$A$3:$A$62,0)),"✖ Sim ID not found on the Simulations sheet",IF($P216&gt;=1,"✖ brightness &gt;= sampling frequency: completely saturated (D too small, c too large)",IF($P216&gt;0.1,"⚠ brightness &gt; 10% of the sampling frequency: focus starts to saturate",IF(N($U216)&gt;0.1,"⚠ diffusion step &gt; 10% of wr: raise the sampling frequency",IF(MAX($E216:$H216)=0,"⚠ no brightness set","✔ OK"))))))</f>
        <v/>
      </c>
    </row>
    <row r="217" customFormat="false" ht="15" hidden="false" customHeight="false" outlineLevel="0" collapsed="false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4"/>
      <c r="O217" s="18" t="str">
        <f aca="false">IF(OR($A217="",ISNA(MATCH($A217,Simulations!$A$3:$A$62,0))),"",IF(INDEX(Simulations!$I$3:$I$62,MATCH($A217,Simulations!$A$3:$A$62,0))&gt;0,$D217/(INDEX(Simulations!$G$3:$G$62,MATCH($A217,Simulations!$A$3:$A$62,0))*INDEX(Simulations!$H$3:$H$62,MATCH($A217,Simulations!$A$3:$A$62,0))*IF(INDEX(Simulations!$I$3:$I$62,MATCH($A217,Simulations!$A$3:$A$62,0))&gt;0,INDEX(Simulations!$I$3:$I$62,MATCH($A217,Simulations!$A$3:$A$62,0)),1))/1E-024/6.022E+023/0.000000001,""))</f>
        <v/>
      </c>
      <c r="P217" s="20" t="str">
        <f aca="false">IF(OR($A217="",ISNA(MATCH($A217,Simulations!$A$3:$A$62,0))),"",MAX($E217:$H217)/INDEX(Simulations!$J$3:$J$62,MATCH($A217,Simulations!$A$3:$A$62,0)))</f>
        <v/>
      </c>
      <c r="Q217" s="16" t="str">
        <f aca="false">IF(OR($A217="",ISNA(MATCH($A217,Simulations!$A$3:$A$62,0))),"",IF(N($E217)&lt;=0,0,IF($E217&lt;INDEX(Simulations!$J$3:$J$62,MATCH($A217,Simulations!$A$3:$A$62,0)),$D217/(INDEX(Simulations!$G$3:$G$62,MATCH($A217,Simulations!$A$3:$A$62,0))*INDEX(Simulations!$H$3:$H$62,MATCH($A217,Simulations!$A$3:$A$62,0))*IF(INDEX(Simulations!$I$3:$I$62,MATCH($A217,Simulations!$A$3:$A$62,0))&gt;0,INDEX(Simulations!$I$3:$I$62,MATCH($A217,Simulations!$A$3:$A$62,0)),1))*$E217*(PI()/2*INDEX(Simulations!$T$3:$T$62,MATCH($A217,Simulations!$A$3:$A$62,0))^2*IF(INDEX(Simulations!$I$3:$I$62,MATCH($A217,Simulations!$A$3:$A$62,0))&gt;0,SQRT(PI()/2)*INDEX(Simulations!$U$3:$U$62,MATCH($A217,Simulations!$A$3:$A$62,0)),1)),$D217/(INDEX(Simulations!$G$3:$G$62,MATCH($A217,Simulations!$A$3:$A$62,0))*INDEX(Simulations!$H$3:$H$62,MATCH($A217,Simulations!$A$3:$A$62,0))*IF(INDEX(Simulations!$I$3:$I$62,MATCH($A217,Simulations!$A$3:$A$62,0))&gt;0,INDEX(Simulations!$I$3:$I$62,MATCH($A217,Simulations!$A$3:$A$62,0)),1))*INDEX(Simulations!$J$3:$J$62,MATCH($A217,Simulations!$A$3:$A$62,0))*IF(INDEX(Simulations!$I$3:$I$62,MATCH($A217,Simulations!$A$3:$A$62,0))&gt;0,2*PI()*INDEX(Simulations!$T$3:$T$62,MATCH($A217,Simulations!$A$3:$A$62,0))^2*INDEX(Simulations!$U$3:$U$62,MATCH($A217,Simulations!$A$3:$A$62,0))/2^1.5*(2/3*LN($E217/INDEX(Simulations!$J$3:$J$62,MATCH($A217,Simulations!$A$3:$A$62,0)))^1.5+SQRT(LN($E217/INDEX(Simulations!$J$3:$J$62,MATCH($A217,Simulations!$A$3:$A$62,0))))+$E217/INDEX(Simulations!$J$3:$J$62,MATCH($A217,Simulations!$A$3:$A$62,0))*SQRT(PI())/2*ERFC(SQRT(LN($E217/INDEX(Simulations!$J$3:$J$62,MATCH($A217,Simulations!$A$3:$A$62,0)))))),PI()*INDEX(Simulations!$T$3:$T$62,MATCH($A217,Simulations!$A$3:$A$62,0))^2/2*(LN($E217/INDEX(Simulations!$J$3:$J$62,MATCH($A217,Simulations!$A$3:$A$62,0)))+1)))))</f>
        <v/>
      </c>
      <c r="R217" s="16" t="str">
        <f aca="false">IF(OR($A217="",ISNA(MATCH($A217,Simulations!$A$3:$A$62,0))),"",IF(N($F217)&lt;=0,0,IF($F217&lt;INDEX(Simulations!$J$3:$J$62,MATCH($A217,Simulations!$A$3:$A$62,0)),$D217/(INDEX(Simulations!$G$3:$G$62,MATCH($A217,Simulations!$A$3:$A$62,0))*INDEX(Simulations!$H$3:$H$62,MATCH($A217,Simulations!$A$3:$A$62,0))*IF(INDEX(Simulations!$I$3:$I$62,MATCH($A217,Simulations!$A$3:$A$62,0))&gt;0,INDEX(Simulations!$I$3:$I$62,MATCH($A217,Simulations!$A$3:$A$62,0)),1))*$F217*(PI()/2*INDEX(Simulations!$T$3:$T$62,MATCH($A217,Simulations!$A$3:$A$62,0))^2*IF(INDEX(Simulations!$I$3:$I$62,MATCH($A217,Simulations!$A$3:$A$62,0))&gt;0,SQRT(PI()/2)*INDEX(Simulations!$U$3:$U$62,MATCH($A217,Simulations!$A$3:$A$62,0)),1)),$D217/(INDEX(Simulations!$G$3:$G$62,MATCH($A217,Simulations!$A$3:$A$62,0))*INDEX(Simulations!$H$3:$H$62,MATCH($A217,Simulations!$A$3:$A$62,0))*IF(INDEX(Simulations!$I$3:$I$62,MATCH($A217,Simulations!$A$3:$A$62,0))&gt;0,INDEX(Simulations!$I$3:$I$62,MATCH($A217,Simulations!$A$3:$A$62,0)),1))*INDEX(Simulations!$J$3:$J$62,MATCH($A217,Simulations!$A$3:$A$62,0))*IF(INDEX(Simulations!$I$3:$I$62,MATCH($A217,Simulations!$A$3:$A$62,0))&gt;0,2*PI()*INDEX(Simulations!$T$3:$T$62,MATCH($A217,Simulations!$A$3:$A$62,0))^2*INDEX(Simulations!$U$3:$U$62,MATCH($A217,Simulations!$A$3:$A$62,0))/2^1.5*(2/3*LN($F217/INDEX(Simulations!$J$3:$J$62,MATCH($A217,Simulations!$A$3:$A$62,0)))^1.5+SQRT(LN($F217/INDEX(Simulations!$J$3:$J$62,MATCH($A217,Simulations!$A$3:$A$62,0))))+$F217/INDEX(Simulations!$J$3:$J$62,MATCH($A217,Simulations!$A$3:$A$62,0))*SQRT(PI())/2*ERFC(SQRT(LN($F217/INDEX(Simulations!$J$3:$J$62,MATCH($A217,Simulations!$A$3:$A$62,0)))))),PI()*INDEX(Simulations!$T$3:$T$62,MATCH($A217,Simulations!$A$3:$A$62,0))^2/2*(LN($F217/INDEX(Simulations!$J$3:$J$62,MATCH($A217,Simulations!$A$3:$A$62,0)))+1)))))</f>
        <v/>
      </c>
      <c r="S217" s="16" t="str">
        <f aca="false">IF(OR($A217="",ISNA(MATCH($A217,Simulations!$A$3:$A$62,0))),"",IF(N($G217)&lt;=0,0,IF($G217&lt;INDEX(Simulations!$J$3:$J$62,MATCH($A217,Simulations!$A$3:$A$62,0)),$D217/(INDEX(Simulations!$G$3:$G$62,MATCH($A217,Simulations!$A$3:$A$62,0))*INDEX(Simulations!$H$3:$H$62,MATCH($A217,Simulations!$A$3:$A$62,0))*IF(INDEX(Simulations!$I$3:$I$62,MATCH($A217,Simulations!$A$3:$A$62,0))&gt;0,INDEX(Simulations!$I$3:$I$62,MATCH($A217,Simulations!$A$3:$A$62,0)),1))*$G217*(PI()/2*INDEX(Simulations!$T$3:$T$62,MATCH($A217,Simulations!$A$3:$A$62,0))^2*IF(INDEX(Simulations!$I$3:$I$62,MATCH($A217,Simulations!$A$3:$A$62,0))&gt;0,SQRT(PI()/2)*INDEX(Simulations!$U$3:$U$62,MATCH($A217,Simulations!$A$3:$A$62,0)),1)),$D217/(INDEX(Simulations!$G$3:$G$62,MATCH($A217,Simulations!$A$3:$A$62,0))*INDEX(Simulations!$H$3:$H$62,MATCH($A217,Simulations!$A$3:$A$62,0))*IF(INDEX(Simulations!$I$3:$I$62,MATCH($A217,Simulations!$A$3:$A$62,0))&gt;0,INDEX(Simulations!$I$3:$I$62,MATCH($A217,Simulations!$A$3:$A$62,0)),1))*INDEX(Simulations!$J$3:$J$62,MATCH($A217,Simulations!$A$3:$A$62,0))*IF(INDEX(Simulations!$I$3:$I$62,MATCH($A217,Simulations!$A$3:$A$62,0))&gt;0,2*PI()*INDEX(Simulations!$T$3:$T$62,MATCH($A217,Simulations!$A$3:$A$62,0))^2*INDEX(Simulations!$U$3:$U$62,MATCH($A217,Simulations!$A$3:$A$62,0))/2^1.5*(2/3*LN($G217/INDEX(Simulations!$J$3:$J$62,MATCH($A217,Simulations!$A$3:$A$62,0)))^1.5+SQRT(LN($G217/INDEX(Simulations!$J$3:$J$62,MATCH($A217,Simulations!$A$3:$A$62,0))))+$G217/INDEX(Simulations!$J$3:$J$62,MATCH($A217,Simulations!$A$3:$A$62,0))*SQRT(PI())/2*ERFC(SQRT(LN($G217/INDEX(Simulations!$J$3:$J$62,MATCH($A217,Simulations!$A$3:$A$62,0)))))),PI()*INDEX(Simulations!$T$3:$T$62,MATCH($A217,Simulations!$A$3:$A$62,0))^2/2*(LN($G217/INDEX(Simulations!$J$3:$J$62,MATCH($A217,Simulations!$A$3:$A$62,0)))+1)))))</f>
        <v/>
      </c>
      <c r="T217" s="16" t="str">
        <f aca="false">IF(OR($A217="",ISNA(MATCH($A217,Simulations!$A$3:$A$62,0))),"",IF(N($H217)&lt;=0,0,IF($H217&lt;INDEX(Simulations!$J$3:$J$62,MATCH($A217,Simulations!$A$3:$A$62,0)),$D217/(INDEX(Simulations!$G$3:$G$62,MATCH($A217,Simulations!$A$3:$A$62,0))*INDEX(Simulations!$H$3:$H$62,MATCH($A217,Simulations!$A$3:$A$62,0))*IF(INDEX(Simulations!$I$3:$I$62,MATCH($A217,Simulations!$A$3:$A$62,0))&gt;0,INDEX(Simulations!$I$3:$I$62,MATCH($A217,Simulations!$A$3:$A$62,0)),1))*$H217*(PI()/2*INDEX(Simulations!$T$3:$T$62,MATCH($A217,Simulations!$A$3:$A$62,0))^2*IF(INDEX(Simulations!$I$3:$I$62,MATCH($A217,Simulations!$A$3:$A$62,0))&gt;0,SQRT(PI()/2)*INDEX(Simulations!$U$3:$U$62,MATCH($A217,Simulations!$A$3:$A$62,0)),1)),$D217/(INDEX(Simulations!$G$3:$G$62,MATCH($A217,Simulations!$A$3:$A$62,0))*INDEX(Simulations!$H$3:$H$62,MATCH($A217,Simulations!$A$3:$A$62,0))*IF(INDEX(Simulations!$I$3:$I$62,MATCH($A217,Simulations!$A$3:$A$62,0))&gt;0,INDEX(Simulations!$I$3:$I$62,MATCH($A217,Simulations!$A$3:$A$62,0)),1))*INDEX(Simulations!$J$3:$J$62,MATCH($A217,Simulations!$A$3:$A$62,0))*IF(INDEX(Simulations!$I$3:$I$62,MATCH($A217,Simulations!$A$3:$A$62,0))&gt;0,2*PI()*INDEX(Simulations!$T$3:$T$62,MATCH($A217,Simulations!$A$3:$A$62,0))^2*INDEX(Simulations!$U$3:$U$62,MATCH($A217,Simulations!$A$3:$A$62,0))/2^1.5*(2/3*LN($H217/INDEX(Simulations!$J$3:$J$62,MATCH($A217,Simulations!$A$3:$A$62,0)))^1.5+SQRT(LN($H217/INDEX(Simulations!$J$3:$J$62,MATCH($A217,Simulations!$A$3:$A$62,0))))+$H217/INDEX(Simulations!$J$3:$J$62,MATCH($A217,Simulations!$A$3:$A$62,0))*SQRT(PI())/2*ERFC(SQRT(LN($H217/INDEX(Simulations!$J$3:$J$62,MATCH($A217,Simulations!$A$3:$A$62,0)))))),PI()*INDEX(Simulations!$T$3:$T$62,MATCH($A217,Simulations!$A$3:$A$62,0))^2/2*(LN($H217/INDEX(Simulations!$J$3:$J$62,MATCH($A217,Simulations!$A$3:$A$62,0)))+1)))))</f>
        <v/>
      </c>
      <c r="U217" s="18" t="str">
        <f aca="false">IF(OR(OR($A217="",ISNA(MATCH($A217,Simulations!$A$3:$A$62,0))),N($C217)&lt;=0),"",SQRT(2*$C217*1000000/(INDEX(Simulations!$J$3:$J$62,MATCH($A217,Simulations!$A$3:$A$62,0))*1000))/INDEX(Simulations!$T$3:$T$62,MATCH($A217,Simulations!$A$3:$A$62,0)))</f>
        <v/>
      </c>
      <c r="V217" s="19" t="str">
        <f aca="false">IF($A217="","",IF(ISNA(MATCH($A217,Simulations!$A$3:$A$62,0)),"✖ Sim ID not found on the Simulations sheet",IF($P217&gt;=1,"✖ brightness &gt;= sampling frequency: completely saturated (D too small, c too large)",IF($P217&gt;0.1,"⚠ brightness &gt; 10% of the sampling frequency: focus starts to saturate",IF(N($U217)&gt;0.1,"⚠ diffusion step &gt; 10% of wr: raise the sampling frequency",IF(MAX($E217:$H217)=0,"⚠ no brightness set","✔ OK"))))))</f>
        <v/>
      </c>
    </row>
    <row r="218" customFormat="false" ht="15" hidden="false" customHeight="false" outlineLevel="0" collapsed="false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4"/>
      <c r="O218" s="18" t="str">
        <f aca="false">IF(OR($A218="",ISNA(MATCH($A218,Simulations!$A$3:$A$62,0))),"",IF(INDEX(Simulations!$I$3:$I$62,MATCH($A218,Simulations!$A$3:$A$62,0))&gt;0,$D218/(INDEX(Simulations!$G$3:$G$62,MATCH($A218,Simulations!$A$3:$A$62,0))*INDEX(Simulations!$H$3:$H$62,MATCH($A218,Simulations!$A$3:$A$62,0))*IF(INDEX(Simulations!$I$3:$I$62,MATCH($A218,Simulations!$A$3:$A$62,0))&gt;0,INDEX(Simulations!$I$3:$I$62,MATCH($A218,Simulations!$A$3:$A$62,0)),1))/1E-024/6.022E+023/0.000000001,""))</f>
        <v/>
      </c>
      <c r="P218" s="20" t="str">
        <f aca="false">IF(OR($A218="",ISNA(MATCH($A218,Simulations!$A$3:$A$62,0))),"",MAX($E218:$H218)/INDEX(Simulations!$J$3:$J$62,MATCH($A218,Simulations!$A$3:$A$62,0)))</f>
        <v/>
      </c>
      <c r="Q218" s="16" t="str">
        <f aca="false">IF(OR($A218="",ISNA(MATCH($A218,Simulations!$A$3:$A$62,0))),"",IF(N($E218)&lt;=0,0,IF($E218&lt;INDEX(Simulations!$J$3:$J$62,MATCH($A218,Simulations!$A$3:$A$62,0)),$D218/(INDEX(Simulations!$G$3:$G$62,MATCH($A218,Simulations!$A$3:$A$62,0))*INDEX(Simulations!$H$3:$H$62,MATCH($A218,Simulations!$A$3:$A$62,0))*IF(INDEX(Simulations!$I$3:$I$62,MATCH($A218,Simulations!$A$3:$A$62,0))&gt;0,INDEX(Simulations!$I$3:$I$62,MATCH($A218,Simulations!$A$3:$A$62,0)),1))*$E218*(PI()/2*INDEX(Simulations!$T$3:$T$62,MATCH($A218,Simulations!$A$3:$A$62,0))^2*IF(INDEX(Simulations!$I$3:$I$62,MATCH($A218,Simulations!$A$3:$A$62,0))&gt;0,SQRT(PI()/2)*INDEX(Simulations!$U$3:$U$62,MATCH($A218,Simulations!$A$3:$A$62,0)),1)),$D218/(INDEX(Simulations!$G$3:$G$62,MATCH($A218,Simulations!$A$3:$A$62,0))*INDEX(Simulations!$H$3:$H$62,MATCH($A218,Simulations!$A$3:$A$62,0))*IF(INDEX(Simulations!$I$3:$I$62,MATCH($A218,Simulations!$A$3:$A$62,0))&gt;0,INDEX(Simulations!$I$3:$I$62,MATCH($A218,Simulations!$A$3:$A$62,0)),1))*INDEX(Simulations!$J$3:$J$62,MATCH($A218,Simulations!$A$3:$A$62,0))*IF(INDEX(Simulations!$I$3:$I$62,MATCH($A218,Simulations!$A$3:$A$62,0))&gt;0,2*PI()*INDEX(Simulations!$T$3:$T$62,MATCH($A218,Simulations!$A$3:$A$62,0))^2*INDEX(Simulations!$U$3:$U$62,MATCH($A218,Simulations!$A$3:$A$62,0))/2^1.5*(2/3*LN($E218/INDEX(Simulations!$J$3:$J$62,MATCH($A218,Simulations!$A$3:$A$62,0)))^1.5+SQRT(LN($E218/INDEX(Simulations!$J$3:$J$62,MATCH($A218,Simulations!$A$3:$A$62,0))))+$E218/INDEX(Simulations!$J$3:$J$62,MATCH($A218,Simulations!$A$3:$A$62,0))*SQRT(PI())/2*ERFC(SQRT(LN($E218/INDEX(Simulations!$J$3:$J$62,MATCH($A218,Simulations!$A$3:$A$62,0)))))),PI()*INDEX(Simulations!$T$3:$T$62,MATCH($A218,Simulations!$A$3:$A$62,0))^2/2*(LN($E218/INDEX(Simulations!$J$3:$J$62,MATCH($A218,Simulations!$A$3:$A$62,0)))+1)))))</f>
        <v/>
      </c>
      <c r="R218" s="16" t="str">
        <f aca="false">IF(OR($A218="",ISNA(MATCH($A218,Simulations!$A$3:$A$62,0))),"",IF(N($F218)&lt;=0,0,IF($F218&lt;INDEX(Simulations!$J$3:$J$62,MATCH($A218,Simulations!$A$3:$A$62,0)),$D218/(INDEX(Simulations!$G$3:$G$62,MATCH($A218,Simulations!$A$3:$A$62,0))*INDEX(Simulations!$H$3:$H$62,MATCH($A218,Simulations!$A$3:$A$62,0))*IF(INDEX(Simulations!$I$3:$I$62,MATCH($A218,Simulations!$A$3:$A$62,0))&gt;0,INDEX(Simulations!$I$3:$I$62,MATCH($A218,Simulations!$A$3:$A$62,0)),1))*$F218*(PI()/2*INDEX(Simulations!$T$3:$T$62,MATCH($A218,Simulations!$A$3:$A$62,0))^2*IF(INDEX(Simulations!$I$3:$I$62,MATCH($A218,Simulations!$A$3:$A$62,0))&gt;0,SQRT(PI()/2)*INDEX(Simulations!$U$3:$U$62,MATCH($A218,Simulations!$A$3:$A$62,0)),1)),$D218/(INDEX(Simulations!$G$3:$G$62,MATCH($A218,Simulations!$A$3:$A$62,0))*INDEX(Simulations!$H$3:$H$62,MATCH($A218,Simulations!$A$3:$A$62,0))*IF(INDEX(Simulations!$I$3:$I$62,MATCH($A218,Simulations!$A$3:$A$62,0))&gt;0,INDEX(Simulations!$I$3:$I$62,MATCH($A218,Simulations!$A$3:$A$62,0)),1))*INDEX(Simulations!$J$3:$J$62,MATCH($A218,Simulations!$A$3:$A$62,0))*IF(INDEX(Simulations!$I$3:$I$62,MATCH($A218,Simulations!$A$3:$A$62,0))&gt;0,2*PI()*INDEX(Simulations!$T$3:$T$62,MATCH($A218,Simulations!$A$3:$A$62,0))^2*INDEX(Simulations!$U$3:$U$62,MATCH($A218,Simulations!$A$3:$A$62,0))/2^1.5*(2/3*LN($F218/INDEX(Simulations!$J$3:$J$62,MATCH($A218,Simulations!$A$3:$A$62,0)))^1.5+SQRT(LN($F218/INDEX(Simulations!$J$3:$J$62,MATCH($A218,Simulations!$A$3:$A$62,0))))+$F218/INDEX(Simulations!$J$3:$J$62,MATCH($A218,Simulations!$A$3:$A$62,0))*SQRT(PI())/2*ERFC(SQRT(LN($F218/INDEX(Simulations!$J$3:$J$62,MATCH($A218,Simulations!$A$3:$A$62,0)))))),PI()*INDEX(Simulations!$T$3:$T$62,MATCH($A218,Simulations!$A$3:$A$62,0))^2/2*(LN($F218/INDEX(Simulations!$J$3:$J$62,MATCH($A218,Simulations!$A$3:$A$62,0)))+1)))))</f>
        <v/>
      </c>
      <c r="S218" s="16" t="str">
        <f aca="false">IF(OR($A218="",ISNA(MATCH($A218,Simulations!$A$3:$A$62,0))),"",IF(N($G218)&lt;=0,0,IF($G218&lt;INDEX(Simulations!$J$3:$J$62,MATCH($A218,Simulations!$A$3:$A$62,0)),$D218/(INDEX(Simulations!$G$3:$G$62,MATCH($A218,Simulations!$A$3:$A$62,0))*INDEX(Simulations!$H$3:$H$62,MATCH($A218,Simulations!$A$3:$A$62,0))*IF(INDEX(Simulations!$I$3:$I$62,MATCH($A218,Simulations!$A$3:$A$62,0))&gt;0,INDEX(Simulations!$I$3:$I$62,MATCH($A218,Simulations!$A$3:$A$62,0)),1))*$G218*(PI()/2*INDEX(Simulations!$T$3:$T$62,MATCH($A218,Simulations!$A$3:$A$62,0))^2*IF(INDEX(Simulations!$I$3:$I$62,MATCH($A218,Simulations!$A$3:$A$62,0))&gt;0,SQRT(PI()/2)*INDEX(Simulations!$U$3:$U$62,MATCH($A218,Simulations!$A$3:$A$62,0)),1)),$D218/(INDEX(Simulations!$G$3:$G$62,MATCH($A218,Simulations!$A$3:$A$62,0))*INDEX(Simulations!$H$3:$H$62,MATCH($A218,Simulations!$A$3:$A$62,0))*IF(INDEX(Simulations!$I$3:$I$62,MATCH($A218,Simulations!$A$3:$A$62,0))&gt;0,INDEX(Simulations!$I$3:$I$62,MATCH($A218,Simulations!$A$3:$A$62,0)),1))*INDEX(Simulations!$J$3:$J$62,MATCH($A218,Simulations!$A$3:$A$62,0))*IF(INDEX(Simulations!$I$3:$I$62,MATCH($A218,Simulations!$A$3:$A$62,0))&gt;0,2*PI()*INDEX(Simulations!$T$3:$T$62,MATCH($A218,Simulations!$A$3:$A$62,0))^2*INDEX(Simulations!$U$3:$U$62,MATCH($A218,Simulations!$A$3:$A$62,0))/2^1.5*(2/3*LN($G218/INDEX(Simulations!$J$3:$J$62,MATCH($A218,Simulations!$A$3:$A$62,0)))^1.5+SQRT(LN($G218/INDEX(Simulations!$J$3:$J$62,MATCH($A218,Simulations!$A$3:$A$62,0))))+$G218/INDEX(Simulations!$J$3:$J$62,MATCH($A218,Simulations!$A$3:$A$62,0))*SQRT(PI())/2*ERFC(SQRT(LN($G218/INDEX(Simulations!$J$3:$J$62,MATCH($A218,Simulations!$A$3:$A$62,0)))))),PI()*INDEX(Simulations!$T$3:$T$62,MATCH($A218,Simulations!$A$3:$A$62,0))^2/2*(LN($G218/INDEX(Simulations!$J$3:$J$62,MATCH($A218,Simulations!$A$3:$A$62,0)))+1)))))</f>
        <v/>
      </c>
      <c r="T218" s="16" t="str">
        <f aca="false">IF(OR($A218="",ISNA(MATCH($A218,Simulations!$A$3:$A$62,0))),"",IF(N($H218)&lt;=0,0,IF($H218&lt;INDEX(Simulations!$J$3:$J$62,MATCH($A218,Simulations!$A$3:$A$62,0)),$D218/(INDEX(Simulations!$G$3:$G$62,MATCH($A218,Simulations!$A$3:$A$62,0))*INDEX(Simulations!$H$3:$H$62,MATCH($A218,Simulations!$A$3:$A$62,0))*IF(INDEX(Simulations!$I$3:$I$62,MATCH($A218,Simulations!$A$3:$A$62,0))&gt;0,INDEX(Simulations!$I$3:$I$62,MATCH($A218,Simulations!$A$3:$A$62,0)),1))*$H218*(PI()/2*INDEX(Simulations!$T$3:$T$62,MATCH($A218,Simulations!$A$3:$A$62,0))^2*IF(INDEX(Simulations!$I$3:$I$62,MATCH($A218,Simulations!$A$3:$A$62,0))&gt;0,SQRT(PI()/2)*INDEX(Simulations!$U$3:$U$62,MATCH($A218,Simulations!$A$3:$A$62,0)),1)),$D218/(INDEX(Simulations!$G$3:$G$62,MATCH($A218,Simulations!$A$3:$A$62,0))*INDEX(Simulations!$H$3:$H$62,MATCH($A218,Simulations!$A$3:$A$62,0))*IF(INDEX(Simulations!$I$3:$I$62,MATCH($A218,Simulations!$A$3:$A$62,0))&gt;0,INDEX(Simulations!$I$3:$I$62,MATCH($A218,Simulations!$A$3:$A$62,0)),1))*INDEX(Simulations!$J$3:$J$62,MATCH($A218,Simulations!$A$3:$A$62,0))*IF(INDEX(Simulations!$I$3:$I$62,MATCH($A218,Simulations!$A$3:$A$62,0))&gt;0,2*PI()*INDEX(Simulations!$T$3:$T$62,MATCH($A218,Simulations!$A$3:$A$62,0))^2*INDEX(Simulations!$U$3:$U$62,MATCH($A218,Simulations!$A$3:$A$62,0))/2^1.5*(2/3*LN($H218/INDEX(Simulations!$J$3:$J$62,MATCH($A218,Simulations!$A$3:$A$62,0)))^1.5+SQRT(LN($H218/INDEX(Simulations!$J$3:$J$62,MATCH($A218,Simulations!$A$3:$A$62,0))))+$H218/INDEX(Simulations!$J$3:$J$62,MATCH($A218,Simulations!$A$3:$A$62,0))*SQRT(PI())/2*ERFC(SQRT(LN($H218/INDEX(Simulations!$J$3:$J$62,MATCH($A218,Simulations!$A$3:$A$62,0)))))),PI()*INDEX(Simulations!$T$3:$T$62,MATCH($A218,Simulations!$A$3:$A$62,0))^2/2*(LN($H218/INDEX(Simulations!$J$3:$J$62,MATCH($A218,Simulations!$A$3:$A$62,0)))+1)))))</f>
        <v/>
      </c>
      <c r="U218" s="18" t="str">
        <f aca="false">IF(OR(OR($A218="",ISNA(MATCH($A218,Simulations!$A$3:$A$62,0))),N($C218)&lt;=0),"",SQRT(2*$C218*1000000/(INDEX(Simulations!$J$3:$J$62,MATCH($A218,Simulations!$A$3:$A$62,0))*1000))/INDEX(Simulations!$T$3:$T$62,MATCH($A218,Simulations!$A$3:$A$62,0)))</f>
        <v/>
      </c>
      <c r="V218" s="19" t="str">
        <f aca="false">IF($A218="","",IF(ISNA(MATCH($A218,Simulations!$A$3:$A$62,0)),"✖ Sim ID not found on the Simulations sheet",IF($P218&gt;=1,"✖ brightness &gt;= sampling frequency: completely saturated (D too small, c too large)",IF($P218&gt;0.1,"⚠ brightness &gt; 10% of the sampling frequency: focus starts to saturate",IF(N($U218)&gt;0.1,"⚠ diffusion step &gt; 10% of wr: raise the sampling frequency",IF(MAX($E218:$H218)=0,"⚠ no brightness set","✔ OK"))))))</f>
        <v/>
      </c>
    </row>
    <row r="219" customFormat="false" ht="15" hidden="false" customHeight="false" outlineLevel="0" collapsed="false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4"/>
      <c r="O219" s="18" t="str">
        <f aca="false">IF(OR($A219="",ISNA(MATCH($A219,Simulations!$A$3:$A$62,0))),"",IF(INDEX(Simulations!$I$3:$I$62,MATCH($A219,Simulations!$A$3:$A$62,0))&gt;0,$D219/(INDEX(Simulations!$G$3:$G$62,MATCH($A219,Simulations!$A$3:$A$62,0))*INDEX(Simulations!$H$3:$H$62,MATCH($A219,Simulations!$A$3:$A$62,0))*IF(INDEX(Simulations!$I$3:$I$62,MATCH($A219,Simulations!$A$3:$A$62,0))&gt;0,INDEX(Simulations!$I$3:$I$62,MATCH($A219,Simulations!$A$3:$A$62,0)),1))/1E-024/6.022E+023/0.000000001,""))</f>
        <v/>
      </c>
      <c r="P219" s="20" t="str">
        <f aca="false">IF(OR($A219="",ISNA(MATCH($A219,Simulations!$A$3:$A$62,0))),"",MAX($E219:$H219)/INDEX(Simulations!$J$3:$J$62,MATCH($A219,Simulations!$A$3:$A$62,0)))</f>
        <v/>
      </c>
      <c r="Q219" s="16" t="str">
        <f aca="false">IF(OR($A219="",ISNA(MATCH($A219,Simulations!$A$3:$A$62,0))),"",IF(N($E219)&lt;=0,0,IF($E219&lt;INDEX(Simulations!$J$3:$J$62,MATCH($A219,Simulations!$A$3:$A$62,0)),$D219/(INDEX(Simulations!$G$3:$G$62,MATCH($A219,Simulations!$A$3:$A$62,0))*INDEX(Simulations!$H$3:$H$62,MATCH($A219,Simulations!$A$3:$A$62,0))*IF(INDEX(Simulations!$I$3:$I$62,MATCH($A219,Simulations!$A$3:$A$62,0))&gt;0,INDEX(Simulations!$I$3:$I$62,MATCH($A219,Simulations!$A$3:$A$62,0)),1))*$E219*(PI()/2*INDEX(Simulations!$T$3:$T$62,MATCH($A219,Simulations!$A$3:$A$62,0))^2*IF(INDEX(Simulations!$I$3:$I$62,MATCH($A219,Simulations!$A$3:$A$62,0))&gt;0,SQRT(PI()/2)*INDEX(Simulations!$U$3:$U$62,MATCH($A219,Simulations!$A$3:$A$62,0)),1)),$D219/(INDEX(Simulations!$G$3:$G$62,MATCH($A219,Simulations!$A$3:$A$62,0))*INDEX(Simulations!$H$3:$H$62,MATCH($A219,Simulations!$A$3:$A$62,0))*IF(INDEX(Simulations!$I$3:$I$62,MATCH($A219,Simulations!$A$3:$A$62,0))&gt;0,INDEX(Simulations!$I$3:$I$62,MATCH($A219,Simulations!$A$3:$A$62,0)),1))*INDEX(Simulations!$J$3:$J$62,MATCH($A219,Simulations!$A$3:$A$62,0))*IF(INDEX(Simulations!$I$3:$I$62,MATCH($A219,Simulations!$A$3:$A$62,0))&gt;0,2*PI()*INDEX(Simulations!$T$3:$T$62,MATCH($A219,Simulations!$A$3:$A$62,0))^2*INDEX(Simulations!$U$3:$U$62,MATCH($A219,Simulations!$A$3:$A$62,0))/2^1.5*(2/3*LN($E219/INDEX(Simulations!$J$3:$J$62,MATCH($A219,Simulations!$A$3:$A$62,0)))^1.5+SQRT(LN($E219/INDEX(Simulations!$J$3:$J$62,MATCH($A219,Simulations!$A$3:$A$62,0))))+$E219/INDEX(Simulations!$J$3:$J$62,MATCH($A219,Simulations!$A$3:$A$62,0))*SQRT(PI())/2*ERFC(SQRT(LN($E219/INDEX(Simulations!$J$3:$J$62,MATCH($A219,Simulations!$A$3:$A$62,0)))))),PI()*INDEX(Simulations!$T$3:$T$62,MATCH($A219,Simulations!$A$3:$A$62,0))^2/2*(LN($E219/INDEX(Simulations!$J$3:$J$62,MATCH($A219,Simulations!$A$3:$A$62,0)))+1)))))</f>
        <v/>
      </c>
      <c r="R219" s="16" t="str">
        <f aca="false">IF(OR($A219="",ISNA(MATCH($A219,Simulations!$A$3:$A$62,0))),"",IF(N($F219)&lt;=0,0,IF($F219&lt;INDEX(Simulations!$J$3:$J$62,MATCH($A219,Simulations!$A$3:$A$62,0)),$D219/(INDEX(Simulations!$G$3:$G$62,MATCH($A219,Simulations!$A$3:$A$62,0))*INDEX(Simulations!$H$3:$H$62,MATCH($A219,Simulations!$A$3:$A$62,0))*IF(INDEX(Simulations!$I$3:$I$62,MATCH($A219,Simulations!$A$3:$A$62,0))&gt;0,INDEX(Simulations!$I$3:$I$62,MATCH($A219,Simulations!$A$3:$A$62,0)),1))*$F219*(PI()/2*INDEX(Simulations!$T$3:$T$62,MATCH($A219,Simulations!$A$3:$A$62,0))^2*IF(INDEX(Simulations!$I$3:$I$62,MATCH($A219,Simulations!$A$3:$A$62,0))&gt;0,SQRT(PI()/2)*INDEX(Simulations!$U$3:$U$62,MATCH($A219,Simulations!$A$3:$A$62,0)),1)),$D219/(INDEX(Simulations!$G$3:$G$62,MATCH($A219,Simulations!$A$3:$A$62,0))*INDEX(Simulations!$H$3:$H$62,MATCH($A219,Simulations!$A$3:$A$62,0))*IF(INDEX(Simulations!$I$3:$I$62,MATCH($A219,Simulations!$A$3:$A$62,0))&gt;0,INDEX(Simulations!$I$3:$I$62,MATCH($A219,Simulations!$A$3:$A$62,0)),1))*INDEX(Simulations!$J$3:$J$62,MATCH($A219,Simulations!$A$3:$A$62,0))*IF(INDEX(Simulations!$I$3:$I$62,MATCH($A219,Simulations!$A$3:$A$62,0))&gt;0,2*PI()*INDEX(Simulations!$T$3:$T$62,MATCH($A219,Simulations!$A$3:$A$62,0))^2*INDEX(Simulations!$U$3:$U$62,MATCH($A219,Simulations!$A$3:$A$62,0))/2^1.5*(2/3*LN($F219/INDEX(Simulations!$J$3:$J$62,MATCH($A219,Simulations!$A$3:$A$62,0)))^1.5+SQRT(LN($F219/INDEX(Simulations!$J$3:$J$62,MATCH($A219,Simulations!$A$3:$A$62,0))))+$F219/INDEX(Simulations!$J$3:$J$62,MATCH($A219,Simulations!$A$3:$A$62,0))*SQRT(PI())/2*ERFC(SQRT(LN($F219/INDEX(Simulations!$J$3:$J$62,MATCH($A219,Simulations!$A$3:$A$62,0)))))),PI()*INDEX(Simulations!$T$3:$T$62,MATCH($A219,Simulations!$A$3:$A$62,0))^2/2*(LN($F219/INDEX(Simulations!$J$3:$J$62,MATCH($A219,Simulations!$A$3:$A$62,0)))+1)))))</f>
        <v/>
      </c>
      <c r="S219" s="16" t="str">
        <f aca="false">IF(OR($A219="",ISNA(MATCH($A219,Simulations!$A$3:$A$62,0))),"",IF(N($G219)&lt;=0,0,IF($G219&lt;INDEX(Simulations!$J$3:$J$62,MATCH($A219,Simulations!$A$3:$A$62,0)),$D219/(INDEX(Simulations!$G$3:$G$62,MATCH($A219,Simulations!$A$3:$A$62,0))*INDEX(Simulations!$H$3:$H$62,MATCH($A219,Simulations!$A$3:$A$62,0))*IF(INDEX(Simulations!$I$3:$I$62,MATCH($A219,Simulations!$A$3:$A$62,0))&gt;0,INDEX(Simulations!$I$3:$I$62,MATCH($A219,Simulations!$A$3:$A$62,0)),1))*$G219*(PI()/2*INDEX(Simulations!$T$3:$T$62,MATCH($A219,Simulations!$A$3:$A$62,0))^2*IF(INDEX(Simulations!$I$3:$I$62,MATCH($A219,Simulations!$A$3:$A$62,0))&gt;0,SQRT(PI()/2)*INDEX(Simulations!$U$3:$U$62,MATCH($A219,Simulations!$A$3:$A$62,0)),1)),$D219/(INDEX(Simulations!$G$3:$G$62,MATCH($A219,Simulations!$A$3:$A$62,0))*INDEX(Simulations!$H$3:$H$62,MATCH($A219,Simulations!$A$3:$A$62,0))*IF(INDEX(Simulations!$I$3:$I$62,MATCH($A219,Simulations!$A$3:$A$62,0))&gt;0,INDEX(Simulations!$I$3:$I$62,MATCH($A219,Simulations!$A$3:$A$62,0)),1))*INDEX(Simulations!$J$3:$J$62,MATCH($A219,Simulations!$A$3:$A$62,0))*IF(INDEX(Simulations!$I$3:$I$62,MATCH($A219,Simulations!$A$3:$A$62,0))&gt;0,2*PI()*INDEX(Simulations!$T$3:$T$62,MATCH($A219,Simulations!$A$3:$A$62,0))^2*INDEX(Simulations!$U$3:$U$62,MATCH($A219,Simulations!$A$3:$A$62,0))/2^1.5*(2/3*LN($G219/INDEX(Simulations!$J$3:$J$62,MATCH($A219,Simulations!$A$3:$A$62,0)))^1.5+SQRT(LN($G219/INDEX(Simulations!$J$3:$J$62,MATCH($A219,Simulations!$A$3:$A$62,0))))+$G219/INDEX(Simulations!$J$3:$J$62,MATCH($A219,Simulations!$A$3:$A$62,0))*SQRT(PI())/2*ERFC(SQRT(LN($G219/INDEX(Simulations!$J$3:$J$62,MATCH($A219,Simulations!$A$3:$A$62,0)))))),PI()*INDEX(Simulations!$T$3:$T$62,MATCH($A219,Simulations!$A$3:$A$62,0))^2/2*(LN($G219/INDEX(Simulations!$J$3:$J$62,MATCH($A219,Simulations!$A$3:$A$62,0)))+1)))))</f>
        <v/>
      </c>
      <c r="T219" s="16" t="str">
        <f aca="false">IF(OR($A219="",ISNA(MATCH($A219,Simulations!$A$3:$A$62,0))),"",IF(N($H219)&lt;=0,0,IF($H219&lt;INDEX(Simulations!$J$3:$J$62,MATCH($A219,Simulations!$A$3:$A$62,0)),$D219/(INDEX(Simulations!$G$3:$G$62,MATCH($A219,Simulations!$A$3:$A$62,0))*INDEX(Simulations!$H$3:$H$62,MATCH($A219,Simulations!$A$3:$A$62,0))*IF(INDEX(Simulations!$I$3:$I$62,MATCH($A219,Simulations!$A$3:$A$62,0))&gt;0,INDEX(Simulations!$I$3:$I$62,MATCH($A219,Simulations!$A$3:$A$62,0)),1))*$H219*(PI()/2*INDEX(Simulations!$T$3:$T$62,MATCH($A219,Simulations!$A$3:$A$62,0))^2*IF(INDEX(Simulations!$I$3:$I$62,MATCH($A219,Simulations!$A$3:$A$62,0))&gt;0,SQRT(PI()/2)*INDEX(Simulations!$U$3:$U$62,MATCH($A219,Simulations!$A$3:$A$62,0)),1)),$D219/(INDEX(Simulations!$G$3:$G$62,MATCH($A219,Simulations!$A$3:$A$62,0))*INDEX(Simulations!$H$3:$H$62,MATCH($A219,Simulations!$A$3:$A$62,0))*IF(INDEX(Simulations!$I$3:$I$62,MATCH($A219,Simulations!$A$3:$A$62,0))&gt;0,INDEX(Simulations!$I$3:$I$62,MATCH($A219,Simulations!$A$3:$A$62,0)),1))*INDEX(Simulations!$J$3:$J$62,MATCH($A219,Simulations!$A$3:$A$62,0))*IF(INDEX(Simulations!$I$3:$I$62,MATCH($A219,Simulations!$A$3:$A$62,0))&gt;0,2*PI()*INDEX(Simulations!$T$3:$T$62,MATCH($A219,Simulations!$A$3:$A$62,0))^2*INDEX(Simulations!$U$3:$U$62,MATCH($A219,Simulations!$A$3:$A$62,0))/2^1.5*(2/3*LN($H219/INDEX(Simulations!$J$3:$J$62,MATCH($A219,Simulations!$A$3:$A$62,0)))^1.5+SQRT(LN($H219/INDEX(Simulations!$J$3:$J$62,MATCH($A219,Simulations!$A$3:$A$62,0))))+$H219/INDEX(Simulations!$J$3:$J$62,MATCH($A219,Simulations!$A$3:$A$62,0))*SQRT(PI())/2*ERFC(SQRT(LN($H219/INDEX(Simulations!$J$3:$J$62,MATCH($A219,Simulations!$A$3:$A$62,0)))))),PI()*INDEX(Simulations!$T$3:$T$62,MATCH($A219,Simulations!$A$3:$A$62,0))^2/2*(LN($H219/INDEX(Simulations!$J$3:$J$62,MATCH($A219,Simulations!$A$3:$A$62,0)))+1)))))</f>
        <v/>
      </c>
      <c r="U219" s="18" t="str">
        <f aca="false">IF(OR(OR($A219="",ISNA(MATCH($A219,Simulations!$A$3:$A$62,0))),N($C219)&lt;=0),"",SQRT(2*$C219*1000000/(INDEX(Simulations!$J$3:$J$62,MATCH($A219,Simulations!$A$3:$A$62,0))*1000))/INDEX(Simulations!$T$3:$T$62,MATCH($A219,Simulations!$A$3:$A$62,0)))</f>
        <v/>
      </c>
      <c r="V219" s="19" t="str">
        <f aca="false">IF($A219="","",IF(ISNA(MATCH($A219,Simulations!$A$3:$A$62,0)),"✖ Sim ID not found on the Simulations sheet",IF($P219&gt;=1,"✖ brightness &gt;= sampling frequency: completely saturated (D too small, c too large)",IF($P219&gt;0.1,"⚠ brightness &gt; 10% of the sampling frequency: focus starts to saturate",IF(N($U219)&gt;0.1,"⚠ diffusion step &gt; 10% of wr: raise the sampling frequency",IF(MAX($E219:$H219)=0,"⚠ no brightness set","✔ OK"))))))</f>
        <v/>
      </c>
    </row>
    <row r="220" customFormat="false" ht="15" hidden="false" customHeight="false" outlineLevel="0" collapsed="false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4"/>
      <c r="O220" s="18" t="str">
        <f aca="false">IF(OR($A220="",ISNA(MATCH($A220,Simulations!$A$3:$A$62,0))),"",IF(INDEX(Simulations!$I$3:$I$62,MATCH($A220,Simulations!$A$3:$A$62,0))&gt;0,$D220/(INDEX(Simulations!$G$3:$G$62,MATCH($A220,Simulations!$A$3:$A$62,0))*INDEX(Simulations!$H$3:$H$62,MATCH($A220,Simulations!$A$3:$A$62,0))*IF(INDEX(Simulations!$I$3:$I$62,MATCH($A220,Simulations!$A$3:$A$62,0))&gt;0,INDEX(Simulations!$I$3:$I$62,MATCH($A220,Simulations!$A$3:$A$62,0)),1))/1E-024/6.022E+023/0.000000001,""))</f>
        <v/>
      </c>
      <c r="P220" s="20" t="str">
        <f aca="false">IF(OR($A220="",ISNA(MATCH($A220,Simulations!$A$3:$A$62,0))),"",MAX($E220:$H220)/INDEX(Simulations!$J$3:$J$62,MATCH($A220,Simulations!$A$3:$A$62,0)))</f>
        <v/>
      </c>
      <c r="Q220" s="16" t="str">
        <f aca="false">IF(OR($A220="",ISNA(MATCH($A220,Simulations!$A$3:$A$62,0))),"",IF(N($E220)&lt;=0,0,IF($E220&lt;INDEX(Simulations!$J$3:$J$62,MATCH($A220,Simulations!$A$3:$A$62,0)),$D220/(INDEX(Simulations!$G$3:$G$62,MATCH($A220,Simulations!$A$3:$A$62,0))*INDEX(Simulations!$H$3:$H$62,MATCH($A220,Simulations!$A$3:$A$62,0))*IF(INDEX(Simulations!$I$3:$I$62,MATCH($A220,Simulations!$A$3:$A$62,0))&gt;0,INDEX(Simulations!$I$3:$I$62,MATCH($A220,Simulations!$A$3:$A$62,0)),1))*$E220*(PI()/2*INDEX(Simulations!$T$3:$T$62,MATCH($A220,Simulations!$A$3:$A$62,0))^2*IF(INDEX(Simulations!$I$3:$I$62,MATCH($A220,Simulations!$A$3:$A$62,0))&gt;0,SQRT(PI()/2)*INDEX(Simulations!$U$3:$U$62,MATCH($A220,Simulations!$A$3:$A$62,0)),1)),$D220/(INDEX(Simulations!$G$3:$G$62,MATCH($A220,Simulations!$A$3:$A$62,0))*INDEX(Simulations!$H$3:$H$62,MATCH($A220,Simulations!$A$3:$A$62,0))*IF(INDEX(Simulations!$I$3:$I$62,MATCH($A220,Simulations!$A$3:$A$62,0))&gt;0,INDEX(Simulations!$I$3:$I$62,MATCH($A220,Simulations!$A$3:$A$62,0)),1))*INDEX(Simulations!$J$3:$J$62,MATCH($A220,Simulations!$A$3:$A$62,0))*IF(INDEX(Simulations!$I$3:$I$62,MATCH($A220,Simulations!$A$3:$A$62,0))&gt;0,2*PI()*INDEX(Simulations!$T$3:$T$62,MATCH($A220,Simulations!$A$3:$A$62,0))^2*INDEX(Simulations!$U$3:$U$62,MATCH($A220,Simulations!$A$3:$A$62,0))/2^1.5*(2/3*LN($E220/INDEX(Simulations!$J$3:$J$62,MATCH($A220,Simulations!$A$3:$A$62,0)))^1.5+SQRT(LN($E220/INDEX(Simulations!$J$3:$J$62,MATCH($A220,Simulations!$A$3:$A$62,0))))+$E220/INDEX(Simulations!$J$3:$J$62,MATCH($A220,Simulations!$A$3:$A$62,0))*SQRT(PI())/2*ERFC(SQRT(LN($E220/INDEX(Simulations!$J$3:$J$62,MATCH($A220,Simulations!$A$3:$A$62,0)))))),PI()*INDEX(Simulations!$T$3:$T$62,MATCH($A220,Simulations!$A$3:$A$62,0))^2/2*(LN($E220/INDEX(Simulations!$J$3:$J$62,MATCH($A220,Simulations!$A$3:$A$62,0)))+1)))))</f>
        <v/>
      </c>
      <c r="R220" s="16" t="str">
        <f aca="false">IF(OR($A220="",ISNA(MATCH($A220,Simulations!$A$3:$A$62,0))),"",IF(N($F220)&lt;=0,0,IF($F220&lt;INDEX(Simulations!$J$3:$J$62,MATCH($A220,Simulations!$A$3:$A$62,0)),$D220/(INDEX(Simulations!$G$3:$G$62,MATCH($A220,Simulations!$A$3:$A$62,0))*INDEX(Simulations!$H$3:$H$62,MATCH($A220,Simulations!$A$3:$A$62,0))*IF(INDEX(Simulations!$I$3:$I$62,MATCH($A220,Simulations!$A$3:$A$62,0))&gt;0,INDEX(Simulations!$I$3:$I$62,MATCH($A220,Simulations!$A$3:$A$62,0)),1))*$F220*(PI()/2*INDEX(Simulations!$T$3:$T$62,MATCH($A220,Simulations!$A$3:$A$62,0))^2*IF(INDEX(Simulations!$I$3:$I$62,MATCH($A220,Simulations!$A$3:$A$62,0))&gt;0,SQRT(PI()/2)*INDEX(Simulations!$U$3:$U$62,MATCH($A220,Simulations!$A$3:$A$62,0)),1)),$D220/(INDEX(Simulations!$G$3:$G$62,MATCH($A220,Simulations!$A$3:$A$62,0))*INDEX(Simulations!$H$3:$H$62,MATCH($A220,Simulations!$A$3:$A$62,0))*IF(INDEX(Simulations!$I$3:$I$62,MATCH($A220,Simulations!$A$3:$A$62,0))&gt;0,INDEX(Simulations!$I$3:$I$62,MATCH($A220,Simulations!$A$3:$A$62,0)),1))*INDEX(Simulations!$J$3:$J$62,MATCH($A220,Simulations!$A$3:$A$62,0))*IF(INDEX(Simulations!$I$3:$I$62,MATCH($A220,Simulations!$A$3:$A$62,0))&gt;0,2*PI()*INDEX(Simulations!$T$3:$T$62,MATCH($A220,Simulations!$A$3:$A$62,0))^2*INDEX(Simulations!$U$3:$U$62,MATCH($A220,Simulations!$A$3:$A$62,0))/2^1.5*(2/3*LN($F220/INDEX(Simulations!$J$3:$J$62,MATCH($A220,Simulations!$A$3:$A$62,0)))^1.5+SQRT(LN($F220/INDEX(Simulations!$J$3:$J$62,MATCH($A220,Simulations!$A$3:$A$62,0))))+$F220/INDEX(Simulations!$J$3:$J$62,MATCH($A220,Simulations!$A$3:$A$62,0))*SQRT(PI())/2*ERFC(SQRT(LN($F220/INDEX(Simulations!$J$3:$J$62,MATCH($A220,Simulations!$A$3:$A$62,0)))))),PI()*INDEX(Simulations!$T$3:$T$62,MATCH($A220,Simulations!$A$3:$A$62,0))^2/2*(LN($F220/INDEX(Simulations!$J$3:$J$62,MATCH($A220,Simulations!$A$3:$A$62,0)))+1)))))</f>
        <v/>
      </c>
      <c r="S220" s="16" t="str">
        <f aca="false">IF(OR($A220="",ISNA(MATCH($A220,Simulations!$A$3:$A$62,0))),"",IF(N($G220)&lt;=0,0,IF($G220&lt;INDEX(Simulations!$J$3:$J$62,MATCH($A220,Simulations!$A$3:$A$62,0)),$D220/(INDEX(Simulations!$G$3:$G$62,MATCH($A220,Simulations!$A$3:$A$62,0))*INDEX(Simulations!$H$3:$H$62,MATCH($A220,Simulations!$A$3:$A$62,0))*IF(INDEX(Simulations!$I$3:$I$62,MATCH($A220,Simulations!$A$3:$A$62,0))&gt;0,INDEX(Simulations!$I$3:$I$62,MATCH($A220,Simulations!$A$3:$A$62,0)),1))*$G220*(PI()/2*INDEX(Simulations!$T$3:$T$62,MATCH($A220,Simulations!$A$3:$A$62,0))^2*IF(INDEX(Simulations!$I$3:$I$62,MATCH($A220,Simulations!$A$3:$A$62,0))&gt;0,SQRT(PI()/2)*INDEX(Simulations!$U$3:$U$62,MATCH($A220,Simulations!$A$3:$A$62,0)),1)),$D220/(INDEX(Simulations!$G$3:$G$62,MATCH($A220,Simulations!$A$3:$A$62,0))*INDEX(Simulations!$H$3:$H$62,MATCH($A220,Simulations!$A$3:$A$62,0))*IF(INDEX(Simulations!$I$3:$I$62,MATCH($A220,Simulations!$A$3:$A$62,0))&gt;0,INDEX(Simulations!$I$3:$I$62,MATCH($A220,Simulations!$A$3:$A$62,0)),1))*INDEX(Simulations!$J$3:$J$62,MATCH($A220,Simulations!$A$3:$A$62,0))*IF(INDEX(Simulations!$I$3:$I$62,MATCH($A220,Simulations!$A$3:$A$62,0))&gt;0,2*PI()*INDEX(Simulations!$T$3:$T$62,MATCH($A220,Simulations!$A$3:$A$62,0))^2*INDEX(Simulations!$U$3:$U$62,MATCH($A220,Simulations!$A$3:$A$62,0))/2^1.5*(2/3*LN($G220/INDEX(Simulations!$J$3:$J$62,MATCH($A220,Simulations!$A$3:$A$62,0)))^1.5+SQRT(LN($G220/INDEX(Simulations!$J$3:$J$62,MATCH($A220,Simulations!$A$3:$A$62,0))))+$G220/INDEX(Simulations!$J$3:$J$62,MATCH($A220,Simulations!$A$3:$A$62,0))*SQRT(PI())/2*ERFC(SQRT(LN($G220/INDEX(Simulations!$J$3:$J$62,MATCH($A220,Simulations!$A$3:$A$62,0)))))),PI()*INDEX(Simulations!$T$3:$T$62,MATCH($A220,Simulations!$A$3:$A$62,0))^2/2*(LN($G220/INDEX(Simulations!$J$3:$J$62,MATCH($A220,Simulations!$A$3:$A$62,0)))+1)))))</f>
        <v/>
      </c>
      <c r="T220" s="16" t="str">
        <f aca="false">IF(OR($A220="",ISNA(MATCH($A220,Simulations!$A$3:$A$62,0))),"",IF(N($H220)&lt;=0,0,IF($H220&lt;INDEX(Simulations!$J$3:$J$62,MATCH($A220,Simulations!$A$3:$A$62,0)),$D220/(INDEX(Simulations!$G$3:$G$62,MATCH($A220,Simulations!$A$3:$A$62,0))*INDEX(Simulations!$H$3:$H$62,MATCH($A220,Simulations!$A$3:$A$62,0))*IF(INDEX(Simulations!$I$3:$I$62,MATCH($A220,Simulations!$A$3:$A$62,0))&gt;0,INDEX(Simulations!$I$3:$I$62,MATCH($A220,Simulations!$A$3:$A$62,0)),1))*$H220*(PI()/2*INDEX(Simulations!$T$3:$T$62,MATCH($A220,Simulations!$A$3:$A$62,0))^2*IF(INDEX(Simulations!$I$3:$I$62,MATCH($A220,Simulations!$A$3:$A$62,0))&gt;0,SQRT(PI()/2)*INDEX(Simulations!$U$3:$U$62,MATCH($A220,Simulations!$A$3:$A$62,0)),1)),$D220/(INDEX(Simulations!$G$3:$G$62,MATCH($A220,Simulations!$A$3:$A$62,0))*INDEX(Simulations!$H$3:$H$62,MATCH($A220,Simulations!$A$3:$A$62,0))*IF(INDEX(Simulations!$I$3:$I$62,MATCH($A220,Simulations!$A$3:$A$62,0))&gt;0,INDEX(Simulations!$I$3:$I$62,MATCH($A220,Simulations!$A$3:$A$62,0)),1))*INDEX(Simulations!$J$3:$J$62,MATCH($A220,Simulations!$A$3:$A$62,0))*IF(INDEX(Simulations!$I$3:$I$62,MATCH($A220,Simulations!$A$3:$A$62,0))&gt;0,2*PI()*INDEX(Simulations!$T$3:$T$62,MATCH($A220,Simulations!$A$3:$A$62,0))^2*INDEX(Simulations!$U$3:$U$62,MATCH($A220,Simulations!$A$3:$A$62,0))/2^1.5*(2/3*LN($H220/INDEX(Simulations!$J$3:$J$62,MATCH($A220,Simulations!$A$3:$A$62,0)))^1.5+SQRT(LN($H220/INDEX(Simulations!$J$3:$J$62,MATCH($A220,Simulations!$A$3:$A$62,0))))+$H220/INDEX(Simulations!$J$3:$J$62,MATCH($A220,Simulations!$A$3:$A$62,0))*SQRT(PI())/2*ERFC(SQRT(LN($H220/INDEX(Simulations!$J$3:$J$62,MATCH($A220,Simulations!$A$3:$A$62,0)))))),PI()*INDEX(Simulations!$T$3:$T$62,MATCH($A220,Simulations!$A$3:$A$62,0))^2/2*(LN($H220/INDEX(Simulations!$J$3:$J$62,MATCH($A220,Simulations!$A$3:$A$62,0)))+1)))))</f>
        <v/>
      </c>
      <c r="U220" s="18" t="str">
        <f aca="false">IF(OR(OR($A220="",ISNA(MATCH($A220,Simulations!$A$3:$A$62,0))),N($C220)&lt;=0),"",SQRT(2*$C220*1000000/(INDEX(Simulations!$J$3:$J$62,MATCH($A220,Simulations!$A$3:$A$62,0))*1000))/INDEX(Simulations!$T$3:$T$62,MATCH($A220,Simulations!$A$3:$A$62,0)))</f>
        <v/>
      </c>
      <c r="V220" s="19" t="str">
        <f aca="false">IF($A220="","",IF(ISNA(MATCH($A220,Simulations!$A$3:$A$62,0)),"✖ Sim ID not found on the Simulations sheet",IF($P220&gt;=1,"✖ brightness &gt;= sampling frequency: completely saturated (D too small, c too large)",IF($P220&gt;0.1,"⚠ brightness &gt; 10% of the sampling frequency: focus starts to saturate",IF(N($U220)&gt;0.1,"⚠ diffusion step &gt; 10% of wr: raise the sampling frequency",IF(MAX($E220:$H220)=0,"⚠ no brightness set","✔ OK"))))))</f>
        <v/>
      </c>
    </row>
    <row r="221" customFormat="false" ht="15" hidden="false" customHeight="false" outlineLevel="0" collapsed="false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4"/>
      <c r="O221" s="18" t="str">
        <f aca="false">IF(OR($A221="",ISNA(MATCH($A221,Simulations!$A$3:$A$62,0))),"",IF(INDEX(Simulations!$I$3:$I$62,MATCH($A221,Simulations!$A$3:$A$62,0))&gt;0,$D221/(INDEX(Simulations!$G$3:$G$62,MATCH($A221,Simulations!$A$3:$A$62,0))*INDEX(Simulations!$H$3:$H$62,MATCH($A221,Simulations!$A$3:$A$62,0))*IF(INDEX(Simulations!$I$3:$I$62,MATCH($A221,Simulations!$A$3:$A$62,0))&gt;0,INDEX(Simulations!$I$3:$I$62,MATCH($A221,Simulations!$A$3:$A$62,0)),1))/1E-024/6.022E+023/0.000000001,""))</f>
        <v/>
      </c>
      <c r="P221" s="20" t="str">
        <f aca="false">IF(OR($A221="",ISNA(MATCH($A221,Simulations!$A$3:$A$62,0))),"",MAX($E221:$H221)/INDEX(Simulations!$J$3:$J$62,MATCH($A221,Simulations!$A$3:$A$62,0)))</f>
        <v/>
      </c>
      <c r="Q221" s="16" t="str">
        <f aca="false">IF(OR($A221="",ISNA(MATCH($A221,Simulations!$A$3:$A$62,0))),"",IF(N($E221)&lt;=0,0,IF($E221&lt;INDEX(Simulations!$J$3:$J$62,MATCH($A221,Simulations!$A$3:$A$62,0)),$D221/(INDEX(Simulations!$G$3:$G$62,MATCH($A221,Simulations!$A$3:$A$62,0))*INDEX(Simulations!$H$3:$H$62,MATCH($A221,Simulations!$A$3:$A$62,0))*IF(INDEX(Simulations!$I$3:$I$62,MATCH($A221,Simulations!$A$3:$A$62,0))&gt;0,INDEX(Simulations!$I$3:$I$62,MATCH($A221,Simulations!$A$3:$A$62,0)),1))*$E221*(PI()/2*INDEX(Simulations!$T$3:$T$62,MATCH($A221,Simulations!$A$3:$A$62,0))^2*IF(INDEX(Simulations!$I$3:$I$62,MATCH($A221,Simulations!$A$3:$A$62,0))&gt;0,SQRT(PI()/2)*INDEX(Simulations!$U$3:$U$62,MATCH($A221,Simulations!$A$3:$A$62,0)),1)),$D221/(INDEX(Simulations!$G$3:$G$62,MATCH($A221,Simulations!$A$3:$A$62,0))*INDEX(Simulations!$H$3:$H$62,MATCH($A221,Simulations!$A$3:$A$62,0))*IF(INDEX(Simulations!$I$3:$I$62,MATCH($A221,Simulations!$A$3:$A$62,0))&gt;0,INDEX(Simulations!$I$3:$I$62,MATCH($A221,Simulations!$A$3:$A$62,0)),1))*INDEX(Simulations!$J$3:$J$62,MATCH($A221,Simulations!$A$3:$A$62,0))*IF(INDEX(Simulations!$I$3:$I$62,MATCH($A221,Simulations!$A$3:$A$62,0))&gt;0,2*PI()*INDEX(Simulations!$T$3:$T$62,MATCH($A221,Simulations!$A$3:$A$62,0))^2*INDEX(Simulations!$U$3:$U$62,MATCH($A221,Simulations!$A$3:$A$62,0))/2^1.5*(2/3*LN($E221/INDEX(Simulations!$J$3:$J$62,MATCH($A221,Simulations!$A$3:$A$62,0)))^1.5+SQRT(LN($E221/INDEX(Simulations!$J$3:$J$62,MATCH($A221,Simulations!$A$3:$A$62,0))))+$E221/INDEX(Simulations!$J$3:$J$62,MATCH($A221,Simulations!$A$3:$A$62,0))*SQRT(PI())/2*ERFC(SQRT(LN($E221/INDEX(Simulations!$J$3:$J$62,MATCH($A221,Simulations!$A$3:$A$62,0)))))),PI()*INDEX(Simulations!$T$3:$T$62,MATCH($A221,Simulations!$A$3:$A$62,0))^2/2*(LN($E221/INDEX(Simulations!$J$3:$J$62,MATCH($A221,Simulations!$A$3:$A$62,0)))+1)))))</f>
        <v/>
      </c>
      <c r="R221" s="16" t="str">
        <f aca="false">IF(OR($A221="",ISNA(MATCH($A221,Simulations!$A$3:$A$62,0))),"",IF(N($F221)&lt;=0,0,IF($F221&lt;INDEX(Simulations!$J$3:$J$62,MATCH($A221,Simulations!$A$3:$A$62,0)),$D221/(INDEX(Simulations!$G$3:$G$62,MATCH($A221,Simulations!$A$3:$A$62,0))*INDEX(Simulations!$H$3:$H$62,MATCH($A221,Simulations!$A$3:$A$62,0))*IF(INDEX(Simulations!$I$3:$I$62,MATCH($A221,Simulations!$A$3:$A$62,0))&gt;0,INDEX(Simulations!$I$3:$I$62,MATCH($A221,Simulations!$A$3:$A$62,0)),1))*$F221*(PI()/2*INDEX(Simulations!$T$3:$T$62,MATCH($A221,Simulations!$A$3:$A$62,0))^2*IF(INDEX(Simulations!$I$3:$I$62,MATCH($A221,Simulations!$A$3:$A$62,0))&gt;0,SQRT(PI()/2)*INDEX(Simulations!$U$3:$U$62,MATCH($A221,Simulations!$A$3:$A$62,0)),1)),$D221/(INDEX(Simulations!$G$3:$G$62,MATCH($A221,Simulations!$A$3:$A$62,0))*INDEX(Simulations!$H$3:$H$62,MATCH($A221,Simulations!$A$3:$A$62,0))*IF(INDEX(Simulations!$I$3:$I$62,MATCH($A221,Simulations!$A$3:$A$62,0))&gt;0,INDEX(Simulations!$I$3:$I$62,MATCH($A221,Simulations!$A$3:$A$62,0)),1))*INDEX(Simulations!$J$3:$J$62,MATCH($A221,Simulations!$A$3:$A$62,0))*IF(INDEX(Simulations!$I$3:$I$62,MATCH($A221,Simulations!$A$3:$A$62,0))&gt;0,2*PI()*INDEX(Simulations!$T$3:$T$62,MATCH($A221,Simulations!$A$3:$A$62,0))^2*INDEX(Simulations!$U$3:$U$62,MATCH($A221,Simulations!$A$3:$A$62,0))/2^1.5*(2/3*LN($F221/INDEX(Simulations!$J$3:$J$62,MATCH($A221,Simulations!$A$3:$A$62,0)))^1.5+SQRT(LN($F221/INDEX(Simulations!$J$3:$J$62,MATCH($A221,Simulations!$A$3:$A$62,0))))+$F221/INDEX(Simulations!$J$3:$J$62,MATCH($A221,Simulations!$A$3:$A$62,0))*SQRT(PI())/2*ERFC(SQRT(LN($F221/INDEX(Simulations!$J$3:$J$62,MATCH($A221,Simulations!$A$3:$A$62,0)))))),PI()*INDEX(Simulations!$T$3:$T$62,MATCH($A221,Simulations!$A$3:$A$62,0))^2/2*(LN($F221/INDEX(Simulations!$J$3:$J$62,MATCH($A221,Simulations!$A$3:$A$62,0)))+1)))))</f>
        <v/>
      </c>
      <c r="S221" s="16" t="str">
        <f aca="false">IF(OR($A221="",ISNA(MATCH($A221,Simulations!$A$3:$A$62,0))),"",IF(N($G221)&lt;=0,0,IF($G221&lt;INDEX(Simulations!$J$3:$J$62,MATCH($A221,Simulations!$A$3:$A$62,0)),$D221/(INDEX(Simulations!$G$3:$G$62,MATCH($A221,Simulations!$A$3:$A$62,0))*INDEX(Simulations!$H$3:$H$62,MATCH($A221,Simulations!$A$3:$A$62,0))*IF(INDEX(Simulations!$I$3:$I$62,MATCH($A221,Simulations!$A$3:$A$62,0))&gt;0,INDEX(Simulations!$I$3:$I$62,MATCH($A221,Simulations!$A$3:$A$62,0)),1))*$G221*(PI()/2*INDEX(Simulations!$T$3:$T$62,MATCH($A221,Simulations!$A$3:$A$62,0))^2*IF(INDEX(Simulations!$I$3:$I$62,MATCH($A221,Simulations!$A$3:$A$62,0))&gt;0,SQRT(PI()/2)*INDEX(Simulations!$U$3:$U$62,MATCH($A221,Simulations!$A$3:$A$62,0)),1)),$D221/(INDEX(Simulations!$G$3:$G$62,MATCH($A221,Simulations!$A$3:$A$62,0))*INDEX(Simulations!$H$3:$H$62,MATCH($A221,Simulations!$A$3:$A$62,0))*IF(INDEX(Simulations!$I$3:$I$62,MATCH($A221,Simulations!$A$3:$A$62,0))&gt;0,INDEX(Simulations!$I$3:$I$62,MATCH($A221,Simulations!$A$3:$A$62,0)),1))*INDEX(Simulations!$J$3:$J$62,MATCH($A221,Simulations!$A$3:$A$62,0))*IF(INDEX(Simulations!$I$3:$I$62,MATCH($A221,Simulations!$A$3:$A$62,0))&gt;0,2*PI()*INDEX(Simulations!$T$3:$T$62,MATCH($A221,Simulations!$A$3:$A$62,0))^2*INDEX(Simulations!$U$3:$U$62,MATCH($A221,Simulations!$A$3:$A$62,0))/2^1.5*(2/3*LN($G221/INDEX(Simulations!$J$3:$J$62,MATCH($A221,Simulations!$A$3:$A$62,0)))^1.5+SQRT(LN($G221/INDEX(Simulations!$J$3:$J$62,MATCH($A221,Simulations!$A$3:$A$62,0))))+$G221/INDEX(Simulations!$J$3:$J$62,MATCH($A221,Simulations!$A$3:$A$62,0))*SQRT(PI())/2*ERFC(SQRT(LN($G221/INDEX(Simulations!$J$3:$J$62,MATCH($A221,Simulations!$A$3:$A$62,0)))))),PI()*INDEX(Simulations!$T$3:$T$62,MATCH($A221,Simulations!$A$3:$A$62,0))^2/2*(LN($G221/INDEX(Simulations!$J$3:$J$62,MATCH($A221,Simulations!$A$3:$A$62,0)))+1)))))</f>
        <v/>
      </c>
      <c r="T221" s="16" t="str">
        <f aca="false">IF(OR($A221="",ISNA(MATCH($A221,Simulations!$A$3:$A$62,0))),"",IF(N($H221)&lt;=0,0,IF($H221&lt;INDEX(Simulations!$J$3:$J$62,MATCH($A221,Simulations!$A$3:$A$62,0)),$D221/(INDEX(Simulations!$G$3:$G$62,MATCH($A221,Simulations!$A$3:$A$62,0))*INDEX(Simulations!$H$3:$H$62,MATCH($A221,Simulations!$A$3:$A$62,0))*IF(INDEX(Simulations!$I$3:$I$62,MATCH($A221,Simulations!$A$3:$A$62,0))&gt;0,INDEX(Simulations!$I$3:$I$62,MATCH($A221,Simulations!$A$3:$A$62,0)),1))*$H221*(PI()/2*INDEX(Simulations!$T$3:$T$62,MATCH($A221,Simulations!$A$3:$A$62,0))^2*IF(INDEX(Simulations!$I$3:$I$62,MATCH($A221,Simulations!$A$3:$A$62,0))&gt;0,SQRT(PI()/2)*INDEX(Simulations!$U$3:$U$62,MATCH($A221,Simulations!$A$3:$A$62,0)),1)),$D221/(INDEX(Simulations!$G$3:$G$62,MATCH($A221,Simulations!$A$3:$A$62,0))*INDEX(Simulations!$H$3:$H$62,MATCH($A221,Simulations!$A$3:$A$62,0))*IF(INDEX(Simulations!$I$3:$I$62,MATCH($A221,Simulations!$A$3:$A$62,0))&gt;0,INDEX(Simulations!$I$3:$I$62,MATCH($A221,Simulations!$A$3:$A$62,0)),1))*INDEX(Simulations!$J$3:$J$62,MATCH($A221,Simulations!$A$3:$A$62,0))*IF(INDEX(Simulations!$I$3:$I$62,MATCH($A221,Simulations!$A$3:$A$62,0))&gt;0,2*PI()*INDEX(Simulations!$T$3:$T$62,MATCH($A221,Simulations!$A$3:$A$62,0))^2*INDEX(Simulations!$U$3:$U$62,MATCH($A221,Simulations!$A$3:$A$62,0))/2^1.5*(2/3*LN($H221/INDEX(Simulations!$J$3:$J$62,MATCH($A221,Simulations!$A$3:$A$62,0)))^1.5+SQRT(LN($H221/INDEX(Simulations!$J$3:$J$62,MATCH($A221,Simulations!$A$3:$A$62,0))))+$H221/INDEX(Simulations!$J$3:$J$62,MATCH($A221,Simulations!$A$3:$A$62,0))*SQRT(PI())/2*ERFC(SQRT(LN($H221/INDEX(Simulations!$J$3:$J$62,MATCH($A221,Simulations!$A$3:$A$62,0)))))),PI()*INDEX(Simulations!$T$3:$T$62,MATCH($A221,Simulations!$A$3:$A$62,0))^2/2*(LN($H221/INDEX(Simulations!$J$3:$J$62,MATCH($A221,Simulations!$A$3:$A$62,0)))+1)))))</f>
        <v/>
      </c>
      <c r="U221" s="18" t="str">
        <f aca="false">IF(OR(OR($A221="",ISNA(MATCH($A221,Simulations!$A$3:$A$62,0))),N($C221)&lt;=0),"",SQRT(2*$C221*1000000/(INDEX(Simulations!$J$3:$J$62,MATCH($A221,Simulations!$A$3:$A$62,0))*1000))/INDEX(Simulations!$T$3:$T$62,MATCH($A221,Simulations!$A$3:$A$62,0)))</f>
        <v/>
      </c>
      <c r="V221" s="19" t="str">
        <f aca="false">IF($A221="","",IF(ISNA(MATCH($A221,Simulations!$A$3:$A$62,0)),"✖ Sim ID not found on the Simulations sheet",IF($P221&gt;=1,"✖ brightness &gt;= sampling frequency: completely saturated (D too small, c too large)",IF($P221&gt;0.1,"⚠ brightness &gt; 10% of the sampling frequency: focus starts to saturate",IF(N($U221)&gt;0.1,"⚠ diffusion step &gt; 10% of wr: raise the sampling frequency",IF(MAX($E221:$H221)=0,"⚠ no brightness set","✔ OK"))))))</f>
        <v/>
      </c>
    </row>
    <row r="222" customFormat="false" ht="15" hidden="false" customHeight="false" outlineLevel="0" collapsed="false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4"/>
      <c r="O222" s="18" t="str">
        <f aca="false">IF(OR($A222="",ISNA(MATCH($A222,Simulations!$A$3:$A$62,0))),"",IF(INDEX(Simulations!$I$3:$I$62,MATCH($A222,Simulations!$A$3:$A$62,0))&gt;0,$D222/(INDEX(Simulations!$G$3:$G$62,MATCH($A222,Simulations!$A$3:$A$62,0))*INDEX(Simulations!$H$3:$H$62,MATCH($A222,Simulations!$A$3:$A$62,0))*IF(INDEX(Simulations!$I$3:$I$62,MATCH($A222,Simulations!$A$3:$A$62,0))&gt;0,INDEX(Simulations!$I$3:$I$62,MATCH($A222,Simulations!$A$3:$A$62,0)),1))/1E-024/6.022E+023/0.000000001,""))</f>
        <v/>
      </c>
      <c r="P222" s="20" t="str">
        <f aca="false">IF(OR($A222="",ISNA(MATCH($A222,Simulations!$A$3:$A$62,0))),"",MAX($E222:$H222)/INDEX(Simulations!$J$3:$J$62,MATCH($A222,Simulations!$A$3:$A$62,0)))</f>
        <v/>
      </c>
      <c r="Q222" s="16" t="str">
        <f aca="false">IF(OR($A222="",ISNA(MATCH($A222,Simulations!$A$3:$A$62,0))),"",IF(N($E222)&lt;=0,0,IF($E222&lt;INDEX(Simulations!$J$3:$J$62,MATCH($A222,Simulations!$A$3:$A$62,0)),$D222/(INDEX(Simulations!$G$3:$G$62,MATCH($A222,Simulations!$A$3:$A$62,0))*INDEX(Simulations!$H$3:$H$62,MATCH($A222,Simulations!$A$3:$A$62,0))*IF(INDEX(Simulations!$I$3:$I$62,MATCH($A222,Simulations!$A$3:$A$62,0))&gt;0,INDEX(Simulations!$I$3:$I$62,MATCH($A222,Simulations!$A$3:$A$62,0)),1))*$E222*(PI()/2*INDEX(Simulations!$T$3:$T$62,MATCH($A222,Simulations!$A$3:$A$62,0))^2*IF(INDEX(Simulations!$I$3:$I$62,MATCH($A222,Simulations!$A$3:$A$62,0))&gt;0,SQRT(PI()/2)*INDEX(Simulations!$U$3:$U$62,MATCH($A222,Simulations!$A$3:$A$62,0)),1)),$D222/(INDEX(Simulations!$G$3:$G$62,MATCH($A222,Simulations!$A$3:$A$62,0))*INDEX(Simulations!$H$3:$H$62,MATCH($A222,Simulations!$A$3:$A$62,0))*IF(INDEX(Simulations!$I$3:$I$62,MATCH($A222,Simulations!$A$3:$A$62,0))&gt;0,INDEX(Simulations!$I$3:$I$62,MATCH($A222,Simulations!$A$3:$A$62,0)),1))*INDEX(Simulations!$J$3:$J$62,MATCH($A222,Simulations!$A$3:$A$62,0))*IF(INDEX(Simulations!$I$3:$I$62,MATCH($A222,Simulations!$A$3:$A$62,0))&gt;0,2*PI()*INDEX(Simulations!$T$3:$T$62,MATCH($A222,Simulations!$A$3:$A$62,0))^2*INDEX(Simulations!$U$3:$U$62,MATCH($A222,Simulations!$A$3:$A$62,0))/2^1.5*(2/3*LN($E222/INDEX(Simulations!$J$3:$J$62,MATCH($A222,Simulations!$A$3:$A$62,0)))^1.5+SQRT(LN($E222/INDEX(Simulations!$J$3:$J$62,MATCH($A222,Simulations!$A$3:$A$62,0))))+$E222/INDEX(Simulations!$J$3:$J$62,MATCH($A222,Simulations!$A$3:$A$62,0))*SQRT(PI())/2*ERFC(SQRT(LN($E222/INDEX(Simulations!$J$3:$J$62,MATCH($A222,Simulations!$A$3:$A$62,0)))))),PI()*INDEX(Simulations!$T$3:$T$62,MATCH($A222,Simulations!$A$3:$A$62,0))^2/2*(LN($E222/INDEX(Simulations!$J$3:$J$62,MATCH($A222,Simulations!$A$3:$A$62,0)))+1)))))</f>
        <v/>
      </c>
      <c r="R222" s="16" t="str">
        <f aca="false">IF(OR($A222="",ISNA(MATCH($A222,Simulations!$A$3:$A$62,0))),"",IF(N($F222)&lt;=0,0,IF($F222&lt;INDEX(Simulations!$J$3:$J$62,MATCH($A222,Simulations!$A$3:$A$62,0)),$D222/(INDEX(Simulations!$G$3:$G$62,MATCH($A222,Simulations!$A$3:$A$62,0))*INDEX(Simulations!$H$3:$H$62,MATCH($A222,Simulations!$A$3:$A$62,0))*IF(INDEX(Simulations!$I$3:$I$62,MATCH($A222,Simulations!$A$3:$A$62,0))&gt;0,INDEX(Simulations!$I$3:$I$62,MATCH($A222,Simulations!$A$3:$A$62,0)),1))*$F222*(PI()/2*INDEX(Simulations!$T$3:$T$62,MATCH($A222,Simulations!$A$3:$A$62,0))^2*IF(INDEX(Simulations!$I$3:$I$62,MATCH($A222,Simulations!$A$3:$A$62,0))&gt;0,SQRT(PI()/2)*INDEX(Simulations!$U$3:$U$62,MATCH($A222,Simulations!$A$3:$A$62,0)),1)),$D222/(INDEX(Simulations!$G$3:$G$62,MATCH($A222,Simulations!$A$3:$A$62,0))*INDEX(Simulations!$H$3:$H$62,MATCH($A222,Simulations!$A$3:$A$62,0))*IF(INDEX(Simulations!$I$3:$I$62,MATCH($A222,Simulations!$A$3:$A$62,0))&gt;0,INDEX(Simulations!$I$3:$I$62,MATCH($A222,Simulations!$A$3:$A$62,0)),1))*INDEX(Simulations!$J$3:$J$62,MATCH($A222,Simulations!$A$3:$A$62,0))*IF(INDEX(Simulations!$I$3:$I$62,MATCH($A222,Simulations!$A$3:$A$62,0))&gt;0,2*PI()*INDEX(Simulations!$T$3:$T$62,MATCH($A222,Simulations!$A$3:$A$62,0))^2*INDEX(Simulations!$U$3:$U$62,MATCH($A222,Simulations!$A$3:$A$62,0))/2^1.5*(2/3*LN($F222/INDEX(Simulations!$J$3:$J$62,MATCH($A222,Simulations!$A$3:$A$62,0)))^1.5+SQRT(LN($F222/INDEX(Simulations!$J$3:$J$62,MATCH($A222,Simulations!$A$3:$A$62,0))))+$F222/INDEX(Simulations!$J$3:$J$62,MATCH($A222,Simulations!$A$3:$A$62,0))*SQRT(PI())/2*ERFC(SQRT(LN($F222/INDEX(Simulations!$J$3:$J$62,MATCH($A222,Simulations!$A$3:$A$62,0)))))),PI()*INDEX(Simulations!$T$3:$T$62,MATCH($A222,Simulations!$A$3:$A$62,0))^2/2*(LN($F222/INDEX(Simulations!$J$3:$J$62,MATCH($A222,Simulations!$A$3:$A$62,0)))+1)))))</f>
        <v/>
      </c>
      <c r="S222" s="16" t="str">
        <f aca="false">IF(OR($A222="",ISNA(MATCH($A222,Simulations!$A$3:$A$62,0))),"",IF(N($G222)&lt;=0,0,IF($G222&lt;INDEX(Simulations!$J$3:$J$62,MATCH($A222,Simulations!$A$3:$A$62,0)),$D222/(INDEX(Simulations!$G$3:$G$62,MATCH($A222,Simulations!$A$3:$A$62,0))*INDEX(Simulations!$H$3:$H$62,MATCH($A222,Simulations!$A$3:$A$62,0))*IF(INDEX(Simulations!$I$3:$I$62,MATCH($A222,Simulations!$A$3:$A$62,0))&gt;0,INDEX(Simulations!$I$3:$I$62,MATCH($A222,Simulations!$A$3:$A$62,0)),1))*$G222*(PI()/2*INDEX(Simulations!$T$3:$T$62,MATCH($A222,Simulations!$A$3:$A$62,0))^2*IF(INDEX(Simulations!$I$3:$I$62,MATCH($A222,Simulations!$A$3:$A$62,0))&gt;0,SQRT(PI()/2)*INDEX(Simulations!$U$3:$U$62,MATCH($A222,Simulations!$A$3:$A$62,0)),1)),$D222/(INDEX(Simulations!$G$3:$G$62,MATCH($A222,Simulations!$A$3:$A$62,0))*INDEX(Simulations!$H$3:$H$62,MATCH($A222,Simulations!$A$3:$A$62,0))*IF(INDEX(Simulations!$I$3:$I$62,MATCH($A222,Simulations!$A$3:$A$62,0))&gt;0,INDEX(Simulations!$I$3:$I$62,MATCH($A222,Simulations!$A$3:$A$62,0)),1))*INDEX(Simulations!$J$3:$J$62,MATCH($A222,Simulations!$A$3:$A$62,0))*IF(INDEX(Simulations!$I$3:$I$62,MATCH($A222,Simulations!$A$3:$A$62,0))&gt;0,2*PI()*INDEX(Simulations!$T$3:$T$62,MATCH($A222,Simulations!$A$3:$A$62,0))^2*INDEX(Simulations!$U$3:$U$62,MATCH($A222,Simulations!$A$3:$A$62,0))/2^1.5*(2/3*LN($G222/INDEX(Simulations!$J$3:$J$62,MATCH($A222,Simulations!$A$3:$A$62,0)))^1.5+SQRT(LN($G222/INDEX(Simulations!$J$3:$J$62,MATCH($A222,Simulations!$A$3:$A$62,0))))+$G222/INDEX(Simulations!$J$3:$J$62,MATCH($A222,Simulations!$A$3:$A$62,0))*SQRT(PI())/2*ERFC(SQRT(LN($G222/INDEX(Simulations!$J$3:$J$62,MATCH($A222,Simulations!$A$3:$A$62,0)))))),PI()*INDEX(Simulations!$T$3:$T$62,MATCH($A222,Simulations!$A$3:$A$62,0))^2/2*(LN($G222/INDEX(Simulations!$J$3:$J$62,MATCH($A222,Simulations!$A$3:$A$62,0)))+1)))))</f>
        <v/>
      </c>
      <c r="T222" s="16" t="str">
        <f aca="false">IF(OR($A222="",ISNA(MATCH($A222,Simulations!$A$3:$A$62,0))),"",IF(N($H222)&lt;=0,0,IF($H222&lt;INDEX(Simulations!$J$3:$J$62,MATCH($A222,Simulations!$A$3:$A$62,0)),$D222/(INDEX(Simulations!$G$3:$G$62,MATCH($A222,Simulations!$A$3:$A$62,0))*INDEX(Simulations!$H$3:$H$62,MATCH($A222,Simulations!$A$3:$A$62,0))*IF(INDEX(Simulations!$I$3:$I$62,MATCH($A222,Simulations!$A$3:$A$62,0))&gt;0,INDEX(Simulations!$I$3:$I$62,MATCH($A222,Simulations!$A$3:$A$62,0)),1))*$H222*(PI()/2*INDEX(Simulations!$T$3:$T$62,MATCH($A222,Simulations!$A$3:$A$62,0))^2*IF(INDEX(Simulations!$I$3:$I$62,MATCH($A222,Simulations!$A$3:$A$62,0))&gt;0,SQRT(PI()/2)*INDEX(Simulations!$U$3:$U$62,MATCH($A222,Simulations!$A$3:$A$62,0)),1)),$D222/(INDEX(Simulations!$G$3:$G$62,MATCH($A222,Simulations!$A$3:$A$62,0))*INDEX(Simulations!$H$3:$H$62,MATCH($A222,Simulations!$A$3:$A$62,0))*IF(INDEX(Simulations!$I$3:$I$62,MATCH($A222,Simulations!$A$3:$A$62,0))&gt;0,INDEX(Simulations!$I$3:$I$62,MATCH($A222,Simulations!$A$3:$A$62,0)),1))*INDEX(Simulations!$J$3:$J$62,MATCH($A222,Simulations!$A$3:$A$62,0))*IF(INDEX(Simulations!$I$3:$I$62,MATCH($A222,Simulations!$A$3:$A$62,0))&gt;0,2*PI()*INDEX(Simulations!$T$3:$T$62,MATCH($A222,Simulations!$A$3:$A$62,0))^2*INDEX(Simulations!$U$3:$U$62,MATCH($A222,Simulations!$A$3:$A$62,0))/2^1.5*(2/3*LN($H222/INDEX(Simulations!$J$3:$J$62,MATCH($A222,Simulations!$A$3:$A$62,0)))^1.5+SQRT(LN($H222/INDEX(Simulations!$J$3:$J$62,MATCH($A222,Simulations!$A$3:$A$62,0))))+$H222/INDEX(Simulations!$J$3:$J$62,MATCH($A222,Simulations!$A$3:$A$62,0))*SQRT(PI())/2*ERFC(SQRT(LN($H222/INDEX(Simulations!$J$3:$J$62,MATCH($A222,Simulations!$A$3:$A$62,0)))))),PI()*INDEX(Simulations!$T$3:$T$62,MATCH($A222,Simulations!$A$3:$A$62,0))^2/2*(LN($H222/INDEX(Simulations!$J$3:$J$62,MATCH($A222,Simulations!$A$3:$A$62,0)))+1)))))</f>
        <v/>
      </c>
      <c r="U222" s="18" t="str">
        <f aca="false">IF(OR(OR($A222="",ISNA(MATCH($A222,Simulations!$A$3:$A$62,0))),N($C222)&lt;=0),"",SQRT(2*$C222*1000000/(INDEX(Simulations!$J$3:$J$62,MATCH($A222,Simulations!$A$3:$A$62,0))*1000))/INDEX(Simulations!$T$3:$T$62,MATCH($A222,Simulations!$A$3:$A$62,0)))</f>
        <v/>
      </c>
      <c r="V222" s="19" t="str">
        <f aca="false">IF($A222="","",IF(ISNA(MATCH($A222,Simulations!$A$3:$A$62,0)),"✖ Sim ID not found on the Simulations sheet",IF($P222&gt;=1,"✖ brightness &gt;= sampling frequency: completely saturated (D too small, c too large)",IF($P222&gt;0.1,"⚠ brightness &gt; 10% of the sampling frequency: focus starts to saturate",IF(N($U222)&gt;0.1,"⚠ diffusion step &gt; 10% of wr: raise the sampling frequency",IF(MAX($E222:$H222)=0,"⚠ no brightness set","✔ OK"))))))</f>
        <v/>
      </c>
    </row>
    <row r="223" customFormat="false" ht="15" hidden="false" customHeight="false" outlineLevel="0" collapsed="false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4"/>
      <c r="O223" s="18" t="str">
        <f aca="false">IF(OR($A223="",ISNA(MATCH($A223,Simulations!$A$3:$A$62,0))),"",IF(INDEX(Simulations!$I$3:$I$62,MATCH($A223,Simulations!$A$3:$A$62,0))&gt;0,$D223/(INDEX(Simulations!$G$3:$G$62,MATCH($A223,Simulations!$A$3:$A$62,0))*INDEX(Simulations!$H$3:$H$62,MATCH($A223,Simulations!$A$3:$A$62,0))*IF(INDEX(Simulations!$I$3:$I$62,MATCH($A223,Simulations!$A$3:$A$62,0))&gt;0,INDEX(Simulations!$I$3:$I$62,MATCH($A223,Simulations!$A$3:$A$62,0)),1))/1E-024/6.022E+023/0.000000001,""))</f>
        <v/>
      </c>
      <c r="P223" s="20" t="str">
        <f aca="false">IF(OR($A223="",ISNA(MATCH($A223,Simulations!$A$3:$A$62,0))),"",MAX($E223:$H223)/INDEX(Simulations!$J$3:$J$62,MATCH($A223,Simulations!$A$3:$A$62,0)))</f>
        <v/>
      </c>
      <c r="Q223" s="16" t="str">
        <f aca="false">IF(OR($A223="",ISNA(MATCH($A223,Simulations!$A$3:$A$62,0))),"",IF(N($E223)&lt;=0,0,IF($E223&lt;INDEX(Simulations!$J$3:$J$62,MATCH($A223,Simulations!$A$3:$A$62,0)),$D223/(INDEX(Simulations!$G$3:$G$62,MATCH($A223,Simulations!$A$3:$A$62,0))*INDEX(Simulations!$H$3:$H$62,MATCH($A223,Simulations!$A$3:$A$62,0))*IF(INDEX(Simulations!$I$3:$I$62,MATCH($A223,Simulations!$A$3:$A$62,0))&gt;0,INDEX(Simulations!$I$3:$I$62,MATCH($A223,Simulations!$A$3:$A$62,0)),1))*$E223*(PI()/2*INDEX(Simulations!$T$3:$T$62,MATCH($A223,Simulations!$A$3:$A$62,0))^2*IF(INDEX(Simulations!$I$3:$I$62,MATCH($A223,Simulations!$A$3:$A$62,0))&gt;0,SQRT(PI()/2)*INDEX(Simulations!$U$3:$U$62,MATCH($A223,Simulations!$A$3:$A$62,0)),1)),$D223/(INDEX(Simulations!$G$3:$G$62,MATCH($A223,Simulations!$A$3:$A$62,0))*INDEX(Simulations!$H$3:$H$62,MATCH($A223,Simulations!$A$3:$A$62,0))*IF(INDEX(Simulations!$I$3:$I$62,MATCH($A223,Simulations!$A$3:$A$62,0))&gt;0,INDEX(Simulations!$I$3:$I$62,MATCH($A223,Simulations!$A$3:$A$62,0)),1))*INDEX(Simulations!$J$3:$J$62,MATCH($A223,Simulations!$A$3:$A$62,0))*IF(INDEX(Simulations!$I$3:$I$62,MATCH($A223,Simulations!$A$3:$A$62,0))&gt;0,2*PI()*INDEX(Simulations!$T$3:$T$62,MATCH($A223,Simulations!$A$3:$A$62,0))^2*INDEX(Simulations!$U$3:$U$62,MATCH($A223,Simulations!$A$3:$A$62,0))/2^1.5*(2/3*LN($E223/INDEX(Simulations!$J$3:$J$62,MATCH($A223,Simulations!$A$3:$A$62,0)))^1.5+SQRT(LN($E223/INDEX(Simulations!$J$3:$J$62,MATCH($A223,Simulations!$A$3:$A$62,0))))+$E223/INDEX(Simulations!$J$3:$J$62,MATCH($A223,Simulations!$A$3:$A$62,0))*SQRT(PI())/2*ERFC(SQRT(LN($E223/INDEX(Simulations!$J$3:$J$62,MATCH($A223,Simulations!$A$3:$A$62,0)))))),PI()*INDEX(Simulations!$T$3:$T$62,MATCH($A223,Simulations!$A$3:$A$62,0))^2/2*(LN($E223/INDEX(Simulations!$J$3:$J$62,MATCH($A223,Simulations!$A$3:$A$62,0)))+1)))))</f>
        <v/>
      </c>
      <c r="R223" s="16" t="str">
        <f aca="false">IF(OR($A223="",ISNA(MATCH($A223,Simulations!$A$3:$A$62,0))),"",IF(N($F223)&lt;=0,0,IF($F223&lt;INDEX(Simulations!$J$3:$J$62,MATCH($A223,Simulations!$A$3:$A$62,0)),$D223/(INDEX(Simulations!$G$3:$G$62,MATCH($A223,Simulations!$A$3:$A$62,0))*INDEX(Simulations!$H$3:$H$62,MATCH($A223,Simulations!$A$3:$A$62,0))*IF(INDEX(Simulations!$I$3:$I$62,MATCH($A223,Simulations!$A$3:$A$62,0))&gt;0,INDEX(Simulations!$I$3:$I$62,MATCH($A223,Simulations!$A$3:$A$62,0)),1))*$F223*(PI()/2*INDEX(Simulations!$T$3:$T$62,MATCH($A223,Simulations!$A$3:$A$62,0))^2*IF(INDEX(Simulations!$I$3:$I$62,MATCH($A223,Simulations!$A$3:$A$62,0))&gt;0,SQRT(PI()/2)*INDEX(Simulations!$U$3:$U$62,MATCH($A223,Simulations!$A$3:$A$62,0)),1)),$D223/(INDEX(Simulations!$G$3:$G$62,MATCH($A223,Simulations!$A$3:$A$62,0))*INDEX(Simulations!$H$3:$H$62,MATCH($A223,Simulations!$A$3:$A$62,0))*IF(INDEX(Simulations!$I$3:$I$62,MATCH($A223,Simulations!$A$3:$A$62,0))&gt;0,INDEX(Simulations!$I$3:$I$62,MATCH($A223,Simulations!$A$3:$A$62,0)),1))*INDEX(Simulations!$J$3:$J$62,MATCH($A223,Simulations!$A$3:$A$62,0))*IF(INDEX(Simulations!$I$3:$I$62,MATCH($A223,Simulations!$A$3:$A$62,0))&gt;0,2*PI()*INDEX(Simulations!$T$3:$T$62,MATCH($A223,Simulations!$A$3:$A$62,0))^2*INDEX(Simulations!$U$3:$U$62,MATCH($A223,Simulations!$A$3:$A$62,0))/2^1.5*(2/3*LN($F223/INDEX(Simulations!$J$3:$J$62,MATCH($A223,Simulations!$A$3:$A$62,0)))^1.5+SQRT(LN($F223/INDEX(Simulations!$J$3:$J$62,MATCH($A223,Simulations!$A$3:$A$62,0))))+$F223/INDEX(Simulations!$J$3:$J$62,MATCH($A223,Simulations!$A$3:$A$62,0))*SQRT(PI())/2*ERFC(SQRT(LN($F223/INDEX(Simulations!$J$3:$J$62,MATCH($A223,Simulations!$A$3:$A$62,0)))))),PI()*INDEX(Simulations!$T$3:$T$62,MATCH($A223,Simulations!$A$3:$A$62,0))^2/2*(LN($F223/INDEX(Simulations!$J$3:$J$62,MATCH($A223,Simulations!$A$3:$A$62,0)))+1)))))</f>
        <v/>
      </c>
      <c r="S223" s="16" t="str">
        <f aca="false">IF(OR($A223="",ISNA(MATCH($A223,Simulations!$A$3:$A$62,0))),"",IF(N($G223)&lt;=0,0,IF($G223&lt;INDEX(Simulations!$J$3:$J$62,MATCH($A223,Simulations!$A$3:$A$62,0)),$D223/(INDEX(Simulations!$G$3:$G$62,MATCH($A223,Simulations!$A$3:$A$62,0))*INDEX(Simulations!$H$3:$H$62,MATCH($A223,Simulations!$A$3:$A$62,0))*IF(INDEX(Simulations!$I$3:$I$62,MATCH($A223,Simulations!$A$3:$A$62,0))&gt;0,INDEX(Simulations!$I$3:$I$62,MATCH($A223,Simulations!$A$3:$A$62,0)),1))*$G223*(PI()/2*INDEX(Simulations!$T$3:$T$62,MATCH($A223,Simulations!$A$3:$A$62,0))^2*IF(INDEX(Simulations!$I$3:$I$62,MATCH($A223,Simulations!$A$3:$A$62,0))&gt;0,SQRT(PI()/2)*INDEX(Simulations!$U$3:$U$62,MATCH($A223,Simulations!$A$3:$A$62,0)),1)),$D223/(INDEX(Simulations!$G$3:$G$62,MATCH($A223,Simulations!$A$3:$A$62,0))*INDEX(Simulations!$H$3:$H$62,MATCH($A223,Simulations!$A$3:$A$62,0))*IF(INDEX(Simulations!$I$3:$I$62,MATCH($A223,Simulations!$A$3:$A$62,0))&gt;0,INDEX(Simulations!$I$3:$I$62,MATCH($A223,Simulations!$A$3:$A$62,0)),1))*INDEX(Simulations!$J$3:$J$62,MATCH($A223,Simulations!$A$3:$A$62,0))*IF(INDEX(Simulations!$I$3:$I$62,MATCH($A223,Simulations!$A$3:$A$62,0))&gt;0,2*PI()*INDEX(Simulations!$T$3:$T$62,MATCH($A223,Simulations!$A$3:$A$62,0))^2*INDEX(Simulations!$U$3:$U$62,MATCH($A223,Simulations!$A$3:$A$62,0))/2^1.5*(2/3*LN($G223/INDEX(Simulations!$J$3:$J$62,MATCH($A223,Simulations!$A$3:$A$62,0)))^1.5+SQRT(LN($G223/INDEX(Simulations!$J$3:$J$62,MATCH($A223,Simulations!$A$3:$A$62,0))))+$G223/INDEX(Simulations!$J$3:$J$62,MATCH($A223,Simulations!$A$3:$A$62,0))*SQRT(PI())/2*ERFC(SQRT(LN($G223/INDEX(Simulations!$J$3:$J$62,MATCH($A223,Simulations!$A$3:$A$62,0)))))),PI()*INDEX(Simulations!$T$3:$T$62,MATCH($A223,Simulations!$A$3:$A$62,0))^2/2*(LN($G223/INDEX(Simulations!$J$3:$J$62,MATCH($A223,Simulations!$A$3:$A$62,0)))+1)))))</f>
        <v/>
      </c>
      <c r="T223" s="16" t="str">
        <f aca="false">IF(OR($A223="",ISNA(MATCH($A223,Simulations!$A$3:$A$62,0))),"",IF(N($H223)&lt;=0,0,IF($H223&lt;INDEX(Simulations!$J$3:$J$62,MATCH($A223,Simulations!$A$3:$A$62,0)),$D223/(INDEX(Simulations!$G$3:$G$62,MATCH($A223,Simulations!$A$3:$A$62,0))*INDEX(Simulations!$H$3:$H$62,MATCH($A223,Simulations!$A$3:$A$62,0))*IF(INDEX(Simulations!$I$3:$I$62,MATCH($A223,Simulations!$A$3:$A$62,0))&gt;0,INDEX(Simulations!$I$3:$I$62,MATCH($A223,Simulations!$A$3:$A$62,0)),1))*$H223*(PI()/2*INDEX(Simulations!$T$3:$T$62,MATCH($A223,Simulations!$A$3:$A$62,0))^2*IF(INDEX(Simulations!$I$3:$I$62,MATCH($A223,Simulations!$A$3:$A$62,0))&gt;0,SQRT(PI()/2)*INDEX(Simulations!$U$3:$U$62,MATCH($A223,Simulations!$A$3:$A$62,0)),1)),$D223/(INDEX(Simulations!$G$3:$G$62,MATCH($A223,Simulations!$A$3:$A$62,0))*INDEX(Simulations!$H$3:$H$62,MATCH($A223,Simulations!$A$3:$A$62,0))*IF(INDEX(Simulations!$I$3:$I$62,MATCH($A223,Simulations!$A$3:$A$62,0))&gt;0,INDEX(Simulations!$I$3:$I$62,MATCH($A223,Simulations!$A$3:$A$62,0)),1))*INDEX(Simulations!$J$3:$J$62,MATCH($A223,Simulations!$A$3:$A$62,0))*IF(INDEX(Simulations!$I$3:$I$62,MATCH($A223,Simulations!$A$3:$A$62,0))&gt;0,2*PI()*INDEX(Simulations!$T$3:$T$62,MATCH($A223,Simulations!$A$3:$A$62,0))^2*INDEX(Simulations!$U$3:$U$62,MATCH($A223,Simulations!$A$3:$A$62,0))/2^1.5*(2/3*LN($H223/INDEX(Simulations!$J$3:$J$62,MATCH($A223,Simulations!$A$3:$A$62,0)))^1.5+SQRT(LN($H223/INDEX(Simulations!$J$3:$J$62,MATCH($A223,Simulations!$A$3:$A$62,0))))+$H223/INDEX(Simulations!$J$3:$J$62,MATCH($A223,Simulations!$A$3:$A$62,0))*SQRT(PI())/2*ERFC(SQRT(LN($H223/INDEX(Simulations!$J$3:$J$62,MATCH($A223,Simulations!$A$3:$A$62,0)))))),PI()*INDEX(Simulations!$T$3:$T$62,MATCH($A223,Simulations!$A$3:$A$62,0))^2/2*(LN($H223/INDEX(Simulations!$J$3:$J$62,MATCH($A223,Simulations!$A$3:$A$62,0)))+1)))))</f>
        <v/>
      </c>
      <c r="U223" s="18" t="str">
        <f aca="false">IF(OR(OR($A223="",ISNA(MATCH($A223,Simulations!$A$3:$A$62,0))),N($C223)&lt;=0),"",SQRT(2*$C223*1000000/(INDEX(Simulations!$J$3:$J$62,MATCH($A223,Simulations!$A$3:$A$62,0))*1000))/INDEX(Simulations!$T$3:$T$62,MATCH($A223,Simulations!$A$3:$A$62,0)))</f>
        <v/>
      </c>
      <c r="V223" s="19" t="str">
        <f aca="false">IF($A223="","",IF(ISNA(MATCH($A223,Simulations!$A$3:$A$62,0)),"✖ Sim ID not found on the Simulations sheet",IF($P223&gt;=1,"✖ brightness &gt;= sampling frequency: completely saturated (D too small, c too large)",IF($P223&gt;0.1,"⚠ brightness &gt; 10% of the sampling frequency: focus starts to saturate",IF(N($U223)&gt;0.1,"⚠ diffusion step &gt; 10% of wr: raise the sampling frequency",IF(MAX($E223:$H223)=0,"⚠ no brightness set","✔ OK"))))))</f>
        <v/>
      </c>
    </row>
    <row r="224" customFormat="false" ht="15" hidden="false" customHeight="false" outlineLevel="0" collapsed="false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4"/>
      <c r="O224" s="18" t="str">
        <f aca="false">IF(OR($A224="",ISNA(MATCH($A224,Simulations!$A$3:$A$62,0))),"",IF(INDEX(Simulations!$I$3:$I$62,MATCH($A224,Simulations!$A$3:$A$62,0))&gt;0,$D224/(INDEX(Simulations!$G$3:$G$62,MATCH($A224,Simulations!$A$3:$A$62,0))*INDEX(Simulations!$H$3:$H$62,MATCH($A224,Simulations!$A$3:$A$62,0))*IF(INDEX(Simulations!$I$3:$I$62,MATCH($A224,Simulations!$A$3:$A$62,0))&gt;0,INDEX(Simulations!$I$3:$I$62,MATCH($A224,Simulations!$A$3:$A$62,0)),1))/1E-024/6.022E+023/0.000000001,""))</f>
        <v/>
      </c>
      <c r="P224" s="20" t="str">
        <f aca="false">IF(OR($A224="",ISNA(MATCH($A224,Simulations!$A$3:$A$62,0))),"",MAX($E224:$H224)/INDEX(Simulations!$J$3:$J$62,MATCH($A224,Simulations!$A$3:$A$62,0)))</f>
        <v/>
      </c>
      <c r="Q224" s="16" t="str">
        <f aca="false">IF(OR($A224="",ISNA(MATCH($A224,Simulations!$A$3:$A$62,0))),"",IF(N($E224)&lt;=0,0,IF($E224&lt;INDEX(Simulations!$J$3:$J$62,MATCH($A224,Simulations!$A$3:$A$62,0)),$D224/(INDEX(Simulations!$G$3:$G$62,MATCH($A224,Simulations!$A$3:$A$62,0))*INDEX(Simulations!$H$3:$H$62,MATCH($A224,Simulations!$A$3:$A$62,0))*IF(INDEX(Simulations!$I$3:$I$62,MATCH($A224,Simulations!$A$3:$A$62,0))&gt;0,INDEX(Simulations!$I$3:$I$62,MATCH($A224,Simulations!$A$3:$A$62,0)),1))*$E224*(PI()/2*INDEX(Simulations!$T$3:$T$62,MATCH($A224,Simulations!$A$3:$A$62,0))^2*IF(INDEX(Simulations!$I$3:$I$62,MATCH($A224,Simulations!$A$3:$A$62,0))&gt;0,SQRT(PI()/2)*INDEX(Simulations!$U$3:$U$62,MATCH($A224,Simulations!$A$3:$A$62,0)),1)),$D224/(INDEX(Simulations!$G$3:$G$62,MATCH($A224,Simulations!$A$3:$A$62,0))*INDEX(Simulations!$H$3:$H$62,MATCH($A224,Simulations!$A$3:$A$62,0))*IF(INDEX(Simulations!$I$3:$I$62,MATCH($A224,Simulations!$A$3:$A$62,0))&gt;0,INDEX(Simulations!$I$3:$I$62,MATCH($A224,Simulations!$A$3:$A$62,0)),1))*INDEX(Simulations!$J$3:$J$62,MATCH($A224,Simulations!$A$3:$A$62,0))*IF(INDEX(Simulations!$I$3:$I$62,MATCH($A224,Simulations!$A$3:$A$62,0))&gt;0,2*PI()*INDEX(Simulations!$T$3:$T$62,MATCH($A224,Simulations!$A$3:$A$62,0))^2*INDEX(Simulations!$U$3:$U$62,MATCH($A224,Simulations!$A$3:$A$62,0))/2^1.5*(2/3*LN($E224/INDEX(Simulations!$J$3:$J$62,MATCH($A224,Simulations!$A$3:$A$62,0)))^1.5+SQRT(LN($E224/INDEX(Simulations!$J$3:$J$62,MATCH($A224,Simulations!$A$3:$A$62,0))))+$E224/INDEX(Simulations!$J$3:$J$62,MATCH($A224,Simulations!$A$3:$A$62,0))*SQRT(PI())/2*ERFC(SQRT(LN($E224/INDEX(Simulations!$J$3:$J$62,MATCH($A224,Simulations!$A$3:$A$62,0)))))),PI()*INDEX(Simulations!$T$3:$T$62,MATCH($A224,Simulations!$A$3:$A$62,0))^2/2*(LN($E224/INDEX(Simulations!$J$3:$J$62,MATCH($A224,Simulations!$A$3:$A$62,0)))+1)))))</f>
        <v/>
      </c>
      <c r="R224" s="16" t="str">
        <f aca="false">IF(OR($A224="",ISNA(MATCH($A224,Simulations!$A$3:$A$62,0))),"",IF(N($F224)&lt;=0,0,IF($F224&lt;INDEX(Simulations!$J$3:$J$62,MATCH($A224,Simulations!$A$3:$A$62,0)),$D224/(INDEX(Simulations!$G$3:$G$62,MATCH($A224,Simulations!$A$3:$A$62,0))*INDEX(Simulations!$H$3:$H$62,MATCH($A224,Simulations!$A$3:$A$62,0))*IF(INDEX(Simulations!$I$3:$I$62,MATCH($A224,Simulations!$A$3:$A$62,0))&gt;0,INDEX(Simulations!$I$3:$I$62,MATCH($A224,Simulations!$A$3:$A$62,0)),1))*$F224*(PI()/2*INDEX(Simulations!$T$3:$T$62,MATCH($A224,Simulations!$A$3:$A$62,0))^2*IF(INDEX(Simulations!$I$3:$I$62,MATCH($A224,Simulations!$A$3:$A$62,0))&gt;0,SQRT(PI()/2)*INDEX(Simulations!$U$3:$U$62,MATCH($A224,Simulations!$A$3:$A$62,0)),1)),$D224/(INDEX(Simulations!$G$3:$G$62,MATCH($A224,Simulations!$A$3:$A$62,0))*INDEX(Simulations!$H$3:$H$62,MATCH($A224,Simulations!$A$3:$A$62,0))*IF(INDEX(Simulations!$I$3:$I$62,MATCH($A224,Simulations!$A$3:$A$62,0))&gt;0,INDEX(Simulations!$I$3:$I$62,MATCH($A224,Simulations!$A$3:$A$62,0)),1))*INDEX(Simulations!$J$3:$J$62,MATCH($A224,Simulations!$A$3:$A$62,0))*IF(INDEX(Simulations!$I$3:$I$62,MATCH($A224,Simulations!$A$3:$A$62,0))&gt;0,2*PI()*INDEX(Simulations!$T$3:$T$62,MATCH($A224,Simulations!$A$3:$A$62,0))^2*INDEX(Simulations!$U$3:$U$62,MATCH($A224,Simulations!$A$3:$A$62,0))/2^1.5*(2/3*LN($F224/INDEX(Simulations!$J$3:$J$62,MATCH($A224,Simulations!$A$3:$A$62,0)))^1.5+SQRT(LN($F224/INDEX(Simulations!$J$3:$J$62,MATCH($A224,Simulations!$A$3:$A$62,0))))+$F224/INDEX(Simulations!$J$3:$J$62,MATCH($A224,Simulations!$A$3:$A$62,0))*SQRT(PI())/2*ERFC(SQRT(LN($F224/INDEX(Simulations!$J$3:$J$62,MATCH($A224,Simulations!$A$3:$A$62,0)))))),PI()*INDEX(Simulations!$T$3:$T$62,MATCH($A224,Simulations!$A$3:$A$62,0))^2/2*(LN($F224/INDEX(Simulations!$J$3:$J$62,MATCH($A224,Simulations!$A$3:$A$62,0)))+1)))))</f>
        <v/>
      </c>
      <c r="S224" s="16" t="str">
        <f aca="false">IF(OR($A224="",ISNA(MATCH($A224,Simulations!$A$3:$A$62,0))),"",IF(N($G224)&lt;=0,0,IF($G224&lt;INDEX(Simulations!$J$3:$J$62,MATCH($A224,Simulations!$A$3:$A$62,0)),$D224/(INDEX(Simulations!$G$3:$G$62,MATCH($A224,Simulations!$A$3:$A$62,0))*INDEX(Simulations!$H$3:$H$62,MATCH($A224,Simulations!$A$3:$A$62,0))*IF(INDEX(Simulations!$I$3:$I$62,MATCH($A224,Simulations!$A$3:$A$62,0))&gt;0,INDEX(Simulations!$I$3:$I$62,MATCH($A224,Simulations!$A$3:$A$62,0)),1))*$G224*(PI()/2*INDEX(Simulations!$T$3:$T$62,MATCH($A224,Simulations!$A$3:$A$62,0))^2*IF(INDEX(Simulations!$I$3:$I$62,MATCH($A224,Simulations!$A$3:$A$62,0))&gt;0,SQRT(PI()/2)*INDEX(Simulations!$U$3:$U$62,MATCH($A224,Simulations!$A$3:$A$62,0)),1)),$D224/(INDEX(Simulations!$G$3:$G$62,MATCH($A224,Simulations!$A$3:$A$62,0))*INDEX(Simulations!$H$3:$H$62,MATCH($A224,Simulations!$A$3:$A$62,0))*IF(INDEX(Simulations!$I$3:$I$62,MATCH($A224,Simulations!$A$3:$A$62,0))&gt;0,INDEX(Simulations!$I$3:$I$62,MATCH($A224,Simulations!$A$3:$A$62,0)),1))*INDEX(Simulations!$J$3:$J$62,MATCH($A224,Simulations!$A$3:$A$62,0))*IF(INDEX(Simulations!$I$3:$I$62,MATCH($A224,Simulations!$A$3:$A$62,0))&gt;0,2*PI()*INDEX(Simulations!$T$3:$T$62,MATCH($A224,Simulations!$A$3:$A$62,0))^2*INDEX(Simulations!$U$3:$U$62,MATCH($A224,Simulations!$A$3:$A$62,0))/2^1.5*(2/3*LN($G224/INDEX(Simulations!$J$3:$J$62,MATCH($A224,Simulations!$A$3:$A$62,0)))^1.5+SQRT(LN($G224/INDEX(Simulations!$J$3:$J$62,MATCH($A224,Simulations!$A$3:$A$62,0))))+$G224/INDEX(Simulations!$J$3:$J$62,MATCH($A224,Simulations!$A$3:$A$62,0))*SQRT(PI())/2*ERFC(SQRT(LN($G224/INDEX(Simulations!$J$3:$J$62,MATCH($A224,Simulations!$A$3:$A$62,0)))))),PI()*INDEX(Simulations!$T$3:$T$62,MATCH($A224,Simulations!$A$3:$A$62,0))^2/2*(LN($G224/INDEX(Simulations!$J$3:$J$62,MATCH($A224,Simulations!$A$3:$A$62,0)))+1)))))</f>
        <v/>
      </c>
      <c r="T224" s="16" t="str">
        <f aca="false">IF(OR($A224="",ISNA(MATCH($A224,Simulations!$A$3:$A$62,0))),"",IF(N($H224)&lt;=0,0,IF($H224&lt;INDEX(Simulations!$J$3:$J$62,MATCH($A224,Simulations!$A$3:$A$62,0)),$D224/(INDEX(Simulations!$G$3:$G$62,MATCH($A224,Simulations!$A$3:$A$62,0))*INDEX(Simulations!$H$3:$H$62,MATCH($A224,Simulations!$A$3:$A$62,0))*IF(INDEX(Simulations!$I$3:$I$62,MATCH($A224,Simulations!$A$3:$A$62,0))&gt;0,INDEX(Simulations!$I$3:$I$62,MATCH($A224,Simulations!$A$3:$A$62,0)),1))*$H224*(PI()/2*INDEX(Simulations!$T$3:$T$62,MATCH($A224,Simulations!$A$3:$A$62,0))^2*IF(INDEX(Simulations!$I$3:$I$62,MATCH($A224,Simulations!$A$3:$A$62,0))&gt;0,SQRT(PI()/2)*INDEX(Simulations!$U$3:$U$62,MATCH($A224,Simulations!$A$3:$A$62,0)),1)),$D224/(INDEX(Simulations!$G$3:$G$62,MATCH($A224,Simulations!$A$3:$A$62,0))*INDEX(Simulations!$H$3:$H$62,MATCH($A224,Simulations!$A$3:$A$62,0))*IF(INDEX(Simulations!$I$3:$I$62,MATCH($A224,Simulations!$A$3:$A$62,0))&gt;0,INDEX(Simulations!$I$3:$I$62,MATCH($A224,Simulations!$A$3:$A$62,0)),1))*INDEX(Simulations!$J$3:$J$62,MATCH($A224,Simulations!$A$3:$A$62,0))*IF(INDEX(Simulations!$I$3:$I$62,MATCH($A224,Simulations!$A$3:$A$62,0))&gt;0,2*PI()*INDEX(Simulations!$T$3:$T$62,MATCH($A224,Simulations!$A$3:$A$62,0))^2*INDEX(Simulations!$U$3:$U$62,MATCH($A224,Simulations!$A$3:$A$62,0))/2^1.5*(2/3*LN($H224/INDEX(Simulations!$J$3:$J$62,MATCH($A224,Simulations!$A$3:$A$62,0)))^1.5+SQRT(LN($H224/INDEX(Simulations!$J$3:$J$62,MATCH($A224,Simulations!$A$3:$A$62,0))))+$H224/INDEX(Simulations!$J$3:$J$62,MATCH($A224,Simulations!$A$3:$A$62,0))*SQRT(PI())/2*ERFC(SQRT(LN($H224/INDEX(Simulations!$J$3:$J$62,MATCH($A224,Simulations!$A$3:$A$62,0)))))),PI()*INDEX(Simulations!$T$3:$T$62,MATCH($A224,Simulations!$A$3:$A$62,0))^2/2*(LN($H224/INDEX(Simulations!$J$3:$J$62,MATCH($A224,Simulations!$A$3:$A$62,0)))+1)))))</f>
        <v/>
      </c>
      <c r="U224" s="18" t="str">
        <f aca="false">IF(OR(OR($A224="",ISNA(MATCH($A224,Simulations!$A$3:$A$62,0))),N($C224)&lt;=0),"",SQRT(2*$C224*1000000/(INDEX(Simulations!$J$3:$J$62,MATCH($A224,Simulations!$A$3:$A$62,0))*1000))/INDEX(Simulations!$T$3:$T$62,MATCH($A224,Simulations!$A$3:$A$62,0)))</f>
        <v/>
      </c>
      <c r="V224" s="19" t="str">
        <f aca="false">IF($A224="","",IF(ISNA(MATCH($A224,Simulations!$A$3:$A$62,0)),"✖ Sim ID not found on the Simulations sheet",IF($P224&gt;=1,"✖ brightness &gt;= sampling frequency: completely saturated (D too small, c too large)",IF($P224&gt;0.1,"⚠ brightness &gt; 10% of the sampling frequency: focus starts to saturate",IF(N($U224)&gt;0.1,"⚠ diffusion step &gt; 10% of wr: raise the sampling frequency",IF(MAX($E224:$H224)=0,"⚠ no brightness set","✔ OK"))))))</f>
        <v/>
      </c>
    </row>
    <row r="225" customFormat="false" ht="15" hidden="false" customHeight="false" outlineLevel="0" collapsed="false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4"/>
      <c r="O225" s="18" t="str">
        <f aca="false">IF(OR($A225="",ISNA(MATCH($A225,Simulations!$A$3:$A$62,0))),"",IF(INDEX(Simulations!$I$3:$I$62,MATCH($A225,Simulations!$A$3:$A$62,0))&gt;0,$D225/(INDEX(Simulations!$G$3:$G$62,MATCH($A225,Simulations!$A$3:$A$62,0))*INDEX(Simulations!$H$3:$H$62,MATCH($A225,Simulations!$A$3:$A$62,0))*IF(INDEX(Simulations!$I$3:$I$62,MATCH($A225,Simulations!$A$3:$A$62,0))&gt;0,INDEX(Simulations!$I$3:$I$62,MATCH($A225,Simulations!$A$3:$A$62,0)),1))/1E-024/6.022E+023/0.000000001,""))</f>
        <v/>
      </c>
      <c r="P225" s="20" t="str">
        <f aca="false">IF(OR($A225="",ISNA(MATCH($A225,Simulations!$A$3:$A$62,0))),"",MAX($E225:$H225)/INDEX(Simulations!$J$3:$J$62,MATCH($A225,Simulations!$A$3:$A$62,0)))</f>
        <v/>
      </c>
      <c r="Q225" s="16" t="str">
        <f aca="false">IF(OR($A225="",ISNA(MATCH($A225,Simulations!$A$3:$A$62,0))),"",IF(N($E225)&lt;=0,0,IF($E225&lt;INDEX(Simulations!$J$3:$J$62,MATCH($A225,Simulations!$A$3:$A$62,0)),$D225/(INDEX(Simulations!$G$3:$G$62,MATCH($A225,Simulations!$A$3:$A$62,0))*INDEX(Simulations!$H$3:$H$62,MATCH($A225,Simulations!$A$3:$A$62,0))*IF(INDEX(Simulations!$I$3:$I$62,MATCH($A225,Simulations!$A$3:$A$62,0))&gt;0,INDEX(Simulations!$I$3:$I$62,MATCH($A225,Simulations!$A$3:$A$62,0)),1))*$E225*(PI()/2*INDEX(Simulations!$T$3:$T$62,MATCH($A225,Simulations!$A$3:$A$62,0))^2*IF(INDEX(Simulations!$I$3:$I$62,MATCH($A225,Simulations!$A$3:$A$62,0))&gt;0,SQRT(PI()/2)*INDEX(Simulations!$U$3:$U$62,MATCH($A225,Simulations!$A$3:$A$62,0)),1)),$D225/(INDEX(Simulations!$G$3:$G$62,MATCH($A225,Simulations!$A$3:$A$62,0))*INDEX(Simulations!$H$3:$H$62,MATCH($A225,Simulations!$A$3:$A$62,0))*IF(INDEX(Simulations!$I$3:$I$62,MATCH($A225,Simulations!$A$3:$A$62,0))&gt;0,INDEX(Simulations!$I$3:$I$62,MATCH($A225,Simulations!$A$3:$A$62,0)),1))*INDEX(Simulations!$J$3:$J$62,MATCH($A225,Simulations!$A$3:$A$62,0))*IF(INDEX(Simulations!$I$3:$I$62,MATCH($A225,Simulations!$A$3:$A$62,0))&gt;0,2*PI()*INDEX(Simulations!$T$3:$T$62,MATCH($A225,Simulations!$A$3:$A$62,0))^2*INDEX(Simulations!$U$3:$U$62,MATCH($A225,Simulations!$A$3:$A$62,0))/2^1.5*(2/3*LN($E225/INDEX(Simulations!$J$3:$J$62,MATCH($A225,Simulations!$A$3:$A$62,0)))^1.5+SQRT(LN($E225/INDEX(Simulations!$J$3:$J$62,MATCH($A225,Simulations!$A$3:$A$62,0))))+$E225/INDEX(Simulations!$J$3:$J$62,MATCH($A225,Simulations!$A$3:$A$62,0))*SQRT(PI())/2*ERFC(SQRT(LN($E225/INDEX(Simulations!$J$3:$J$62,MATCH($A225,Simulations!$A$3:$A$62,0)))))),PI()*INDEX(Simulations!$T$3:$T$62,MATCH($A225,Simulations!$A$3:$A$62,0))^2/2*(LN($E225/INDEX(Simulations!$J$3:$J$62,MATCH($A225,Simulations!$A$3:$A$62,0)))+1)))))</f>
        <v/>
      </c>
      <c r="R225" s="16" t="str">
        <f aca="false">IF(OR($A225="",ISNA(MATCH($A225,Simulations!$A$3:$A$62,0))),"",IF(N($F225)&lt;=0,0,IF($F225&lt;INDEX(Simulations!$J$3:$J$62,MATCH($A225,Simulations!$A$3:$A$62,0)),$D225/(INDEX(Simulations!$G$3:$G$62,MATCH($A225,Simulations!$A$3:$A$62,0))*INDEX(Simulations!$H$3:$H$62,MATCH($A225,Simulations!$A$3:$A$62,0))*IF(INDEX(Simulations!$I$3:$I$62,MATCH($A225,Simulations!$A$3:$A$62,0))&gt;0,INDEX(Simulations!$I$3:$I$62,MATCH($A225,Simulations!$A$3:$A$62,0)),1))*$F225*(PI()/2*INDEX(Simulations!$T$3:$T$62,MATCH($A225,Simulations!$A$3:$A$62,0))^2*IF(INDEX(Simulations!$I$3:$I$62,MATCH($A225,Simulations!$A$3:$A$62,0))&gt;0,SQRT(PI()/2)*INDEX(Simulations!$U$3:$U$62,MATCH($A225,Simulations!$A$3:$A$62,0)),1)),$D225/(INDEX(Simulations!$G$3:$G$62,MATCH($A225,Simulations!$A$3:$A$62,0))*INDEX(Simulations!$H$3:$H$62,MATCH($A225,Simulations!$A$3:$A$62,0))*IF(INDEX(Simulations!$I$3:$I$62,MATCH($A225,Simulations!$A$3:$A$62,0))&gt;0,INDEX(Simulations!$I$3:$I$62,MATCH($A225,Simulations!$A$3:$A$62,0)),1))*INDEX(Simulations!$J$3:$J$62,MATCH($A225,Simulations!$A$3:$A$62,0))*IF(INDEX(Simulations!$I$3:$I$62,MATCH($A225,Simulations!$A$3:$A$62,0))&gt;0,2*PI()*INDEX(Simulations!$T$3:$T$62,MATCH($A225,Simulations!$A$3:$A$62,0))^2*INDEX(Simulations!$U$3:$U$62,MATCH($A225,Simulations!$A$3:$A$62,0))/2^1.5*(2/3*LN($F225/INDEX(Simulations!$J$3:$J$62,MATCH($A225,Simulations!$A$3:$A$62,0)))^1.5+SQRT(LN($F225/INDEX(Simulations!$J$3:$J$62,MATCH($A225,Simulations!$A$3:$A$62,0))))+$F225/INDEX(Simulations!$J$3:$J$62,MATCH($A225,Simulations!$A$3:$A$62,0))*SQRT(PI())/2*ERFC(SQRT(LN($F225/INDEX(Simulations!$J$3:$J$62,MATCH($A225,Simulations!$A$3:$A$62,0)))))),PI()*INDEX(Simulations!$T$3:$T$62,MATCH($A225,Simulations!$A$3:$A$62,0))^2/2*(LN($F225/INDEX(Simulations!$J$3:$J$62,MATCH($A225,Simulations!$A$3:$A$62,0)))+1)))))</f>
        <v/>
      </c>
      <c r="S225" s="16" t="str">
        <f aca="false">IF(OR($A225="",ISNA(MATCH($A225,Simulations!$A$3:$A$62,0))),"",IF(N($G225)&lt;=0,0,IF($G225&lt;INDEX(Simulations!$J$3:$J$62,MATCH($A225,Simulations!$A$3:$A$62,0)),$D225/(INDEX(Simulations!$G$3:$G$62,MATCH($A225,Simulations!$A$3:$A$62,0))*INDEX(Simulations!$H$3:$H$62,MATCH($A225,Simulations!$A$3:$A$62,0))*IF(INDEX(Simulations!$I$3:$I$62,MATCH($A225,Simulations!$A$3:$A$62,0))&gt;0,INDEX(Simulations!$I$3:$I$62,MATCH($A225,Simulations!$A$3:$A$62,0)),1))*$G225*(PI()/2*INDEX(Simulations!$T$3:$T$62,MATCH($A225,Simulations!$A$3:$A$62,0))^2*IF(INDEX(Simulations!$I$3:$I$62,MATCH($A225,Simulations!$A$3:$A$62,0))&gt;0,SQRT(PI()/2)*INDEX(Simulations!$U$3:$U$62,MATCH($A225,Simulations!$A$3:$A$62,0)),1)),$D225/(INDEX(Simulations!$G$3:$G$62,MATCH($A225,Simulations!$A$3:$A$62,0))*INDEX(Simulations!$H$3:$H$62,MATCH($A225,Simulations!$A$3:$A$62,0))*IF(INDEX(Simulations!$I$3:$I$62,MATCH($A225,Simulations!$A$3:$A$62,0))&gt;0,INDEX(Simulations!$I$3:$I$62,MATCH($A225,Simulations!$A$3:$A$62,0)),1))*INDEX(Simulations!$J$3:$J$62,MATCH($A225,Simulations!$A$3:$A$62,0))*IF(INDEX(Simulations!$I$3:$I$62,MATCH($A225,Simulations!$A$3:$A$62,0))&gt;0,2*PI()*INDEX(Simulations!$T$3:$T$62,MATCH($A225,Simulations!$A$3:$A$62,0))^2*INDEX(Simulations!$U$3:$U$62,MATCH($A225,Simulations!$A$3:$A$62,0))/2^1.5*(2/3*LN($G225/INDEX(Simulations!$J$3:$J$62,MATCH($A225,Simulations!$A$3:$A$62,0)))^1.5+SQRT(LN($G225/INDEX(Simulations!$J$3:$J$62,MATCH($A225,Simulations!$A$3:$A$62,0))))+$G225/INDEX(Simulations!$J$3:$J$62,MATCH($A225,Simulations!$A$3:$A$62,0))*SQRT(PI())/2*ERFC(SQRT(LN($G225/INDEX(Simulations!$J$3:$J$62,MATCH($A225,Simulations!$A$3:$A$62,0)))))),PI()*INDEX(Simulations!$T$3:$T$62,MATCH($A225,Simulations!$A$3:$A$62,0))^2/2*(LN($G225/INDEX(Simulations!$J$3:$J$62,MATCH($A225,Simulations!$A$3:$A$62,0)))+1)))))</f>
        <v/>
      </c>
      <c r="T225" s="16" t="str">
        <f aca="false">IF(OR($A225="",ISNA(MATCH($A225,Simulations!$A$3:$A$62,0))),"",IF(N($H225)&lt;=0,0,IF($H225&lt;INDEX(Simulations!$J$3:$J$62,MATCH($A225,Simulations!$A$3:$A$62,0)),$D225/(INDEX(Simulations!$G$3:$G$62,MATCH($A225,Simulations!$A$3:$A$62,0))*INDEX(Simulations!$H$3:$H$62,MATCH($A225,Simulations!$A$3:$A$62,0))*IF(INDEX(Simulations!$I$3:$I$62,MATCH($A225,Simulations!$A$3:$A$62,0))&gt;0,INDEX(Simulations!$I$3:$I$62,MATCH($A225,Simulations!$A$3:$A$62,0)),1))*$H225*(PI()/2*INDEX(Simulations!$T$3:$T$62,MATCH($A225,Simulations!$A$3:$A$62,0))^2*IF(INDEX(Simulations!$I$3:$I$62,MATCH($A225,Simulations!$A$3:$A$62,0))&gt;0,SQRT(PI()/2)*INDEX(Simulations!$U$3:$U$62,MATCH($A225,Simulations!$A$3:$A$62,0)),1)),$D225/(INDEX(Simulations!$G$3:$G$62,MATCH($A225,Simulations!$A$3:$A$62,0))*INDEX(Simulations!$H$3:$H$62,MATCH($A225,Simulations!$A$3:$A$62,0))*IF(INDEX(Simulations!$I$3:$I$62,MATCH($A225,Simulations!$A$3:$A$62,0))&gt;0,INDEX(Simulations!$I$3:$I$62,MATCH($A225,Simulations!$A$3:$A$62,0)),1))*INDEX(Simulations!$J$3:$J$62,MATCH($A225,Simulations!$A$3:$A$62,0))*IF(INDEX(Simulations!$I$3:$I$62,MATCH($A225,Simulations!$A$3:$A$62,0))&gt;0,2*PI()*INDEX(Simulations!$T$3:$T$62,MATCH($A225,Simulations!$A$3:$A$62,0))^2*INDEX(Simulations!$U$3:$U$62,MATCH($A225,Simulations!$A$3:$A$62,0))/2^1.5*(2/3*LN($H225/INDEX(Simulations!$J$3:$J$62,MATCH($A225,Simulations!$A$3:$A$62,0)))^1.5+SQRT(LN($H225/INDEX(Simulations!$J$3:$J$62,MATCH($A225,Simulations!$A$3:$A$62,0))))+$H225/INDEX(Simulations!$J$3:$J$62,MATCH($A225,Simulations!$A$3:$A$62,0))*SQRT(PI())/2*ERFC(SQRT(LN($H225/INDEX(Simulations!$J$3:$J$62,MATCH($A225,Simulations!$A$3:$A$62,0)))))),PI()*INDEX(Simulations!$T$3:$T$62,MATCH($A225,Simulations!$A$3:$A$62,0))^2/2*(LN($H225/INDEX(Simulations!$J$3:$J$62,MATCH($A225,Simulations!$A$3:$A$62,0)))+1)))))</f>
        <v/>
      </c>
      <c r="U225" s="18" t="str">
        <f aca="false">IF(OR(OR($A225="",ISNA(MATCH($A225,Simulations!$A$3:$A$62,0))),N($C225)&lt;=0),"",SQRT(2*$C225*1000000/(INDEX(Simulations!$J$3:$J$62,MATCH($A225,Simulations!$A$3:$A$62,0))*1000))/INDEX(Simulations!$T$3:$T$62,MATCH($A225,Simulations!$A$3:$A$62,0)))</f>
        <v/>
      </c>
      <c r="V225" s="19" t="str">
        <f aca="false">IF($A225="","",IF(ISNA(MATCH($A225,Simulations!$A$3:$A$62,0)),"✖ Sim ID not found on the Simulations sheet",IF($P225&gt;=1,"✖ brightness &gt;= sampling frequency: completely saturated (D too small, c too large)",IF($P225&gt;0.1,"⚠ brightness &gt; 10% of the sampling frequency: focus starts to saturate",IF(N($U225)&gt;0.1,"⚠ diffusion step &gt; 10% of wr: raise the sampling frequency",IF(MAX($E225:$H225)=0,"⚠ no brightness set","✔ OK"))))))</f>
        <v/>
      </c>
    </row>
    <row r="226" customFormat="false" ht="15" hidden="false" customHeight="false" outlineLevel="0" collapsed="false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4"/>
      <c r="O226" s="18" t="str">
        <f aca="false">IF(OR($A226="",ISNA(MATCH($A226,Simulations!$A$3:$A$62,0))),"",IF(INDEX(Simulations!$I$3:$I$62,MATCH($A226,Simulations!$A$3:$A$62,0))&gt;0,$D226/(INDEX(Simulations!$G$3:$G$62,MATCH($A226,Simulations!$A$3:$A$62,0))*INDEX(Simulations!$H$3:$H$62,MATCH($A226,Simulations!$A$3:$A$62,0))*IF(INDEX(Simulations!$I$3:$I$62,MATCH($A226,Simulations!$A$3:$A$62,0))&gt;0,INDEX(Simulations!$I$3:$I$62,MATCH($A226,Simulations!$A$3:$A$62,0)),1))/1E-024/6.022E+023/0.000000001,""))</f>
        <v/>
      </c>
      <c r="P226" s="20" t="str">
        <f aca="false">IF(OR($A226="",ISNA(MATCH($A226,Simulations!$A$3:$A$62,0))),"",MAX($E226:$H226)/INDEX(Simulations!$J$3:$J$62,MATCH($A226,Simulations!$A$3:$A$62,0)))</f>
        <v/>
      </c>
      <c r="Q226" s="16" t="str">
        <f aca="false">IF(OR($A226="",ISNA(MATCH($A226,Simulations!$A$3:$A$62,0))),"",IF(N($E226)&lt;=0,0,IF($E226&lt;INDEX(Simulations!$J$3:$J$62,MATCH($A226,Simulations!$A$3:$A$62,0)),$D226/(INDEX(Simulations!$G$3:$G$62,MATCH($A226,Simulations!$A$3:$A$62,0))*INDEX(Simulations!$H$3:$H$62,MATCH($A226,Simulations!$A$3:$A$62,0))*IF(INDEX(Simulations!$I$3:$I$62,MATCH($A226,Simulations!$A$3:$A$62,0))&gt;0,INDEX(Simulations!$I$3:$I$62,MATCH($A226,Simulations!$A$3:$A$62,0)),1))*$E226*(PI()/2*INDEX(Simulations!$T$3:$T$62,MATCH($A226,Simulations!$A$3:$A$62,0))^2*IF(INDEX(Simulations!$I$3:$I$62,MATCH($A226,Simulations!$A$3:$A$62,0))&gt;0,SQRT(PI()/2)*INDEX(Simulations!$U$3:$U$62,MATCH($A226,Simulations!$A$3:$A$62,0)),1)),$D226/(INDEX(Simulations!$G$3:$G$62,MATCH($A226,Simulations!$A$3:$A$62,0))*INDEX(Simulations!$H$3:$H$62,MATCH($A226,Simulations!$A$3:$A$62,0))*IF(INDEX(Simulations!$I$3:$I$62,MATCH($A226,Simulations!$A$3:$A$62,0))&gt;0,INDEX(Simulations!$I$3:$I$62,MATCH($A226,Simulations!$A$3:$A$62,0)),1))*INDEX(Simulations!$J$3:$J$62,MATCH($A226,Simulations!$A$3:$A$62,0))*IF(INDEX(Simulations!$I$3:$I$62,MATCH($A226,Simulations!$A$3:$A$62,0))&gt;0,2*PI()*INDEX(Simulations!$T$3:$T$62,MATCH($A226,Simulations!$A$3:$A$62,0))^2*INDEX(Simulations!$U$3:$U$62,MATCH($A226,Simulations!$A$3:$A$62,0))/2^1.5*(2/3*LN($E226/INDEX(Simulations!$J$3:$J$62,MATCH($A226,Simulations!$A$3:$A$62,0)))^1.5+SQRT(LN($E226/INDEX(Simulations!$J$3:$J$62,MATCH($A226,Simulations!$A$3:$A$62,0))))+$E226/INDEX(Simulations!$J$3:$J$62,MATCH($A226,Simulations!$A$3:$A$62,0))*SQRT(PI())/2*ERFC(SQRT(LN($E226/INDEX(Simulations!$J$3:$J$62,MATCH($A226,Simulations!$A$3:$A$62,0)))))),PI()*INDEX(Simulations!$T$3:$T$62,MATCH($A226,Simulations!$A$3:$A$62,0))^2/2*(LN($E226/INDEX(Simulations!$J$3:$J$62,MATCH($A226,Simulations!$A$3:$A$62,0)))+1)))))</f>
        <v/>
      </c>
      <c r="R226" s="16" t="str">
        <f aca="false">IF(OR($A226="",ISNA(MATCH($A226,Simulations!$A$3:$A$62,0))),"",IF(N($F226)&lt;=0,0,IF($F226&lt;INDEX(Simulations!$J$3:$J$62,MATCH($A226,Simulations!$A$3:$A$62,0)),$D226/(INDEX(Simulations!$G$3:$G$62,MATCH($A226,Simulations!$A$3:$A$62,0))*INDEX(Simulations!$H$3:$H$62,MATCH($A226,Simulations!$A$3:$A$62,0))*IF(INDEX(Simulations!$I$3:$I$62,MATCH($A226,Simulations!$A$3:$A$62,0))&gt;0,INDEX(Simulations!$I$3:$I$62,MATCH($A226,Simulations!$A$3:$A$62,0)),1))*$F226*(PI()/2*INDEX(Simulations!$T$3:$T$62,MATCH($A226,Simulations!$A$3:$A$62,0))^2*IF(INDEX(Simulations!$I$3:$I$62,MATCH($A226,Simulations!$A$3:$A$62,0))&gt;0,SQRT(PI()/2)*INDEX(Simulations!$U$3:$U$62,MATCH($A226,Simulations!$A$3:$A$62,0)),1)),$D226/(INDEX(Simulations!$G$3:$G$62,MATCH($A226,Simulations!$A$3:$A$62,0))*INDEX(Simulations!$H$3:$H$62,MATCH($A226,Simulations!$A$3:$A$62,0))*IF(INDEX(Simulations!$I$3:$I$62,MATCH($A226,Simulations!$A$3:$A$62,0))&gt;0,INDEX(Simulations!$I$3:$I$62,MATCH($A226,Simulations!$A$3:$A$62,0)),1))*INDEX(Simulations!$J$3:$J$62,MATCH($A226,Simulations!$A$3:$A$62,0))*IF(INDEX(Simulations!$I$3:$I$62,MATCH($A226,Simulations!$A$3:$A$62,0))&gt;0,2*PI()*INDEX(Simulations!$T$3:$T$62,MATCH($A226,Simulations!$A$3:$A$62,0))^2*INDEX(Simulations!$U$3:$U$62,MATCH($A226,Simulations!$A$3:$A$62,0))/2^1.5*(2/3*LN($F226/INDEX(Simulations!$J$3:$J$62,MATCH($A226,Simulations!$A$3:$A$62,0)))^1.5+SQRT(LN($F226/INDEX(Simulations!$J$3:$J$62,MATCH($A226,Simulations!$A$3:$A$62,0))))+$F226/INDEX(Simulations!$J$3:$J$62,MATCH($A226,Simulations!$A$3:$A$62,0))*SQRT(PI())/2*ERFC(SQRT(LN($F226/INDEX(Simulations!$J$3:$J$62,MATCH($A226,Simulations!$A$3:$A$62,0)))))),PI()*INDEX(Simulations!$T$3:$T$62,MATCH($A226,Simulations!$A$3:$A$62,0))^2/2*(LN($F226/INDEX(Simulations!$J$3:$J$62,MATCH($A226,Simulations!$A$3:$A$62,0)))+1)))))</f>
        <v/>
      </c>
      <c r="S226" s="16" t="str">
        <f aca="false">IF(OR($A226="",ISNA(MATCH($A226,Simulations!$A$3:$A$62,0))),"",IF(N($G226)&lt;=0,0,IF($G226&lt;INDEX(Simulations!$J$3:$J$62,MATCH($A226,Simulations!$A$3:$A$62,0)),$D226/(INDEX(Simulations!$G$3:$G$62,MATCH($A226,Simulations!$A$3:$A$62,0))*INDEX(Simulations!$H$3:$H$62,MATCH($A226,Simulations!$A$3:$A$62,0))*IF(INDEX(Simulations!$I$3:$I$62,MATCH($A226,Simulations!$A$3:$A$62,0))&gt;0,INDEX(Simulations!$I$3:$I$62,MATCH($A226,Simulations!$A$3:$A$62,0)),1))*$G226*(PI()/2*INDEX(Simulations!$T$3:$T$62,MATCH($A226,Simulations!$A$3:$A$62,0))^2*IF(INDEX(Simulations!$I$3:$I$62,MATCH($A226,Simulations!$A$3:$A$62,0))&gt;0,SQRT(PI()/2)*INDEX(Simulations!$U$3:$U$62,MATCH($A226,Simulations!$A$3:$A$62,0)),1)),$D226/(INDEX(Simulations!$G$3:$G$62,MATCH($A226,Simulations!$A$3:$A$62,0))*INDEX(Simulations!$H$3:$H$62,MATCH($A226,Simulations!$A$3:$A$62,0))*IF(INDEX(Simulations!$I$3:$I$62,MATCH($A226,Simulations!$A$3:$A$62,0))&gt;0,INDEX(Simulations!$I$3:$I$62,MATCH($A226,Simulations!$A$3:$A$62,0)),1))*INDEX(Simulations!$J$3:$J$62,MATCH($A226,Simulations!$A$3:$A$62,0))*IF(INDEX(Simulations!$I$3:$I$62,MATCH($A226,Simulations!$A$3:$A$62,0))&gt;0,2*PI()*INDEX(Simulations!$T$3:$T$62,MATCH($A226,Simulations!$A$3:$A$62,0))^2*INDEX(Simulations!$U$3:$U$62,MATCH($A226,Simulations!$A$3:$A$62,0))/2^1.5*(2/3*LN($G226/INDEX(Simulations!$J$3:$J$62,MATCH($A226,Simulations!$A$3:$A$62,0)))^1.5+SQRT(LN($G226/INDEX(Simulations!$J$3:$J$62,MATCH($A226,Simulations!$A$3:$A$62,0))))+$G226/INDEX(Simulations!$J$3:$J$62,MATCH($A226,Simulations!$A$3:$A$62,0))*SQRT(PI())/2*ERFC(SQRT(LN($G226/INDEX(Simulations!$J$3:$J$62,MATCH($A226,Simulations!$A$3:$A$62,0)))))),PI()*INDEX(Simulations!$T$3:$T$62,MATCH($A226,Simulations!$A$3:$A$62,0))^2/2*(LN($G226/INDEX(Simulations!$J$3:$J$62,MATCH($A226,Simulations!$A$3:$A$62,0)))+1)))))</f>
        <v/>
      </c>
      <c r="T226" s="16" t="str">
        <f aca="false">IF(OR($A226="",ISNA(MATCH($A226,Simulations!$A$3:$A$62,0))),"",IF(N($H226)&lt;=0,0,IF($H226&lt;INDEX(Simulations!$J$3:$J$62,MATCH($A226,Simulations!$A$3:$A$62,0)),$D226/(INDEX(Simulations!$G$3:$G$62,MATCH($A226,Simulations!$A$3:$A$62,0))*INDEX(Simulations!$H$3:$H$62,MATCH($A226,Simulations!$A$3:$A$62,0))*IF(INDEX(Simulations!$I$3:$I$62,MATCH($A226,Simulations!$A$3:$A$62,0))&gt;0,INDEX(Simulations!$I$3:$I$62,MATCH($A226,Simulations!$A$3:$A$62,0)),1))*$H226*(PI()/2*INDEX(Simulations!$T$3:$T$62,MATCH($A226,Simulations!$A$3:$A$62,0))^2*IF(INDEX(Simulations!$I$3:$I$62,MATCH($A226,Simulations!$A$3:$A$62,0))&gt;0,SQRT(PI()/2)*INDEX(Simulations!$U$3:$U$62,MATCH($A226,Simulations!$A$3:$A$62,0)),1)),$D226/(INDEX(Simulations!$G$3:$G$62,MATCH($A226,Simulations!$A$3:$A$62,0))*INDEX(Simulations!$H$3:$H$62,MATCH($A226,Simulations!$A$3:$A$62,0))*IF(INDEX(Simulations!$I$3:$I$62,MATCH($A226,Simulations!$A$3:$A$62,0))&gt;0,INDEX(Simulations!$I$3:$I$62,MATCH($A226,Simulations!$A$3:$A$62,0)),1))*INDEX(Simulations!$J$3:$J$62,MATCH($A226,Simulations!$A$3:$A$62,0))*IF(INDEX(Simulations!$I$3:$I$62,MATCH($A226,Simulations!$A$3:$A$62,0))&gt;0,2*PI()*INDEX(Simulations!$T$3:$T$62,MATCH($A226,Simulations!$A$3:$A$62,0))^2*INDEX(Simulations!$U$3:$U$62,MATCH($A226,Simulations!$A$3:$A$62,0))/2^1.5*(2/3*LN($H226/INDEX(Simulations!$J$3:$J$62,MATCH($A226,Simulations!$A$3:$A$62,0)))^1.5+SQRT(LN($H226/INDEX(Simulations!$J$3:$J$62,MATCH($A226,Simulations!$A$3:$A$62,0))))+$H226/INDEX(Simulations!$J$3:$J$62,MATCH($A226,Simulations!$A$3:$A$62,0))*SQRT(PI())/2*ERFC(SQRT(LN($H226/INDEX(Simulations!$J$3:$J$62,MATCH($A226,Simulations!$A$3:$A$62,0)))))),PI()*INDEX(Simulations!$T$3:$T$62,MATCH($A226,Simulations!$A$3:$A$62,0))^2/2*(LN($H226/INDEX(Simulations!$J$3:$J$62,MATCH($A226,Simulations!$A$3:$A$62,0)))+1)))))</f>
        <v/>
      </c>
      <c r="U226" s="18" t="str">
        <f aca="false">IF(OR(OR($A226="",ISNA(MATCH($A226,Simulations!$A$3:$A$62,0))),N($C226)&lt;=0),"",SQRT(2*$C226*1000000/(INDEX(Simulations!$J$3:$J$62,MATCH($A226,Simulations!$A$3:$A$62,0))*1000))/INDEX(Simulations!$T$3:$T$62,MATCH($A226,Simulations!$A$3:$A$62,0)))</f>
        <v/>
      </c>
      <c r="V226" s="19" t="str">
        <f aca="false">IF($A226="","",IF(ISNA(MATCH($A226,Simulations!$A$3:$A$62,0)),"✖ Sim ID not found on the Simulations sheet",IF($P226&gt;=1,"✖ brightness &gt;= sampling frequency: completely saturated (D too small, c too large)",IF($P226&gt;0.1,"⚠ brightness &gt; 10% of the sampling frequency: focus starts to saturate",IF(N($U226)&gt;0.1,"⚠ diffusion step &gt; 10% of wr: raise the sampling frequency",IF(MAX($E226:$H226)=0,"⚠ no brightness set","✔ OK"))))))</f>
        <v/>
      </c>
    </row>
    <row r="227" customFormat="false" ht="15" hidden="false" customHeight="false" outlineLevel="0" collapsed="false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4"/>
      <c r="O227" s="18" t="str">
        <f aca="false">IF(OR($A227="",ISNA(MATCH($A227,Simulations!$A$3:$A$62,0))),"",IF(INDEX(Simulations!$I$3:$I$62,MATCH($A227,Simulations!$A$3:$A$62,0))&gt;0,$D227/(INDEX(Simulations!$G$3:$G$62,MATCH($A227,Simulations!$A$3:$A$62,0))*INDEX(Simulations!$H$3:$H$62,MATCH($A227,Simulations!$A$3:$A$62,0))*IF(INDEX(Simulations!$I$3:$I$62,MATCH($A227,Simulations!$A$3:$A$62,0))&gt;0,INDEX(Simulations!$I$3:$I$62,MATCH($A227,Simulations!$A$3:$A$62,0)),1))/1E-024/6.022E+023/0.000000001,""))</f>
        <v/>
      </c>
      <c r="P227" s="20" t="str">
        <f aca="false">IF(OR($A227="",ISNA(MATCH($A227,Simulations!$A$3:$A$62,0))),"",MAX($E227:$H227)/INDEX(Simulations!$J$3:$J$62,MATCH($A227,Simulations!$A$3:$A$62,0)))</f>
        <v/>
      </c>
      <c r="Q227" s="16" t="str">
        <f aca="false">IF(OR($A227="",ISNA(MATCH($A227,Simulations!$A$3:$A$62,0))),"",IF(N($E227)&lt;=0,0,IF($E227&lt;INDEX(Simulations!$J$3:$J$62,MATCH($A227,Simulations!$A$3:$A$62,0)),$D227/(INDEX(Simulations!$G$3:$G$62,MATCH($A227,Simulations!$A$3:$A$62,0))*INDEX(Simulations!$H$3:$H$62,MATCH($A227,Simulations!$A$3:$A$62,0))*IF(INDEX(Simulations!$I$3:$I$62,MATCH($A227,Simulations!$A$3:$A$62,0))&gt;0,INDEX(Simulations!$I$3:$I$62,MATCH($A227,Simulations!$A$3:$A$62,0)),1))*$E227*(PI()/2*INDEX(Simulations!$T$3:$T$62,MATCH($A227,Simulations!$A$3:$A$62,0))^2*IF(INDEX(Simulations!$I$3:$I$62,MATCH($A227,Simulations!$A$3:$A$62,0))&gt;0,SQRT(PI()/2)*INDEX(Simulations!$U$3:$U$62,MATCH($A227,Simulations!$A$3:$A$62,0)),1)),$D227/(INDEX(Simulations!$G$3:$G$62,MATCH($A227,Simulations!$A$3:$A$62,0))*INDEX(Simulations!$H$3:$H$62,MATCH($A227,Simulations!$A$3:$A$62,0))*IF(INDEX(Simulations!$I$3:$I$62,MATCH($A227,Simulations!$A$3:$A$62,0))&gt;0,INDEX(Simulations!$I$3:$I$62,MATCH($A227,Simulations!$A$3:$A$62,0)),1))*INDEX(Simulations!$J$3:$J$62,MATCH($A227,Simulations!$A$3:$A$62,0))*IF(INDEX(Simulations!$I$3:$I$62,MATCH($A227,Simulations!$A$3:$A$62,0))&gt;0,2*PI()*INDEX(Simulations!$T$3:$T$62,MATCH($A227,Simulations!$A$3:$A$62,0))^2*INDEX(Simulations!$U$3:$U$62,MATCH($A227,Simulations!$A$3:$A$62,0))/2^1.5*(2/3*LN($E227/INDEX(Simulations!$J$3:$J$62,MATCH($A227,Simulations!$A$3:$A$62,0)))^1.5+SQRT(LN($E227/INDEX(Simulations!$J$3:$J$62,MATCH($A227,Simulations!$A$3:$A$62,0))))+$E227/INDEX(Simulations!$J$3:$J$62,MATCH($A227,Simulations!$A$3:$A$62,0))*SQRT(PI())/2*ERFC(SQRT(LN($E227/INDEX(Simulations!$J$3:$J$62,MATCH($A227,Simulations!$A$3:$A$62,0)))))),PI()*INDEX(Simulations!$T$3:$T$62,MATCH($A227,Simulations!$A$3:$A$62,0))^2/2*(LN($E227/INDEX(Simulations!$J$3:$J$62,MATCH($A227,Simulations!$A$3:$A$62,0)))+1)))))</f>
        <v/>
      </c>
      <c r="R227" s="16" t="str">
        <f aca="false">IF(OR($A227="",ISNA(MATCH($A227,Simulations!$A$3:$A$62,0))),"",IF(N($F227)&lt;=0,0,IF($F227&lt;INDEX(Simulations!$J$3:$J$62,MATCH($A227,Simulations!$A$3:$A$62,0)),$D227/(INDEX(Simulations!$G$3:$G$62,MATCH($A227,Simulations!$A$3:$A$62,0))*INDEX(Simulations!$H$3:$H$62,MATCH($A227,Simulations!$A$3:$A$62,0))*IF(INDEX(Simulations!$I$3:$I$62,MATCH($A227,Simulations!$A$3:$A$62,0))&gt;0,INDEX(Simulations!$I$3:$I$62,MATCH($A227,Simulations!$A$3:$A$62,0)),1))*$F227*(PI()/2*INDEX(Simulations!$T$3:$T$62,MATCH($A227,Simulations!$A$3:$A$62,0))^2*IF(INDEX(Simulations!$I$3:$I$62,MATCH($A227,Simulations!$A$3:$A$62,0))&gt;0,SQRT(PI()/2)*INDEX(Simulations!$U$3:$U$62,MATCH($A227,Simulations!$A$3:$A$62,0)),1)),$D227/(INDEX(Simulations!$G$3:$G$62,MATCH($A227,Simulations!$A$3:$A$62,0))*INDEX(Simulations!$H$3:$H$62,MATCH($A227,Simulations!$A$3:$A$62,0))*IF(INDEX(Simulations!$I$3:$I$62,MATCH($A227,Simulations!$A$3:$A$62,0))&gt;0,INDEX(Simulations!$I$3:$I$62,MATCH($A227,Simulations!$A$3:$A$62,0)),1))*INDEX(Simulations!$J$3:$J$62,MATCH($A227,Simulations!$A$3:$A$62,0))*IF(INDEX(Simulations!$I$3:$I$62,MATCH($A227,Simulations!$A$3:$A$62,0))&gt;0,2*PI()*INDEX(Simulations!$T$3:$T$62,MATCH($A227,Simulations!$A$3:$A$62,0))^2*INDEX(Simulations!$U$3:$U$62,MATCH($A227,Simulations!$A$3:$A$62,0))/2^1.5*(2/3*LN($F227/INDEX(Simulations!$J$3:$J$62,MATCH($A227,Simulations!$A$3:$A$62,0)))^1.5+SQRT(LN($F227/INDEX(Simulations!$J$3:$J$62,MATCH($A227,Simulations!$A$3:$A$62,0))))+$F227/INDEX(Simulations!$J$3:$J$62,MATCH($A227,Simulations!$A$3:$A$62,0))*SQRT(PI())/2*ERFC(SQRT(LN($F227/INDEX(Simulations!$J$3:$J$62,MATCH($A227,Simulations!$A$3:$A$62,0)))))),PI()*INDEX(Simulations!$T$3:$T$62,MATCH($A227,Simulations!$A$3:$A$62,0))^2/2*(LN($F227/INDEX(Simulations!$J$3:$J$62,MATCH($A227,Simulations!$A$3:$A$62,0)))+1)))))</f>
        <v/>
      </c>
      <c r="S227" s="16" t="str">
        <f aca="false">IF(OR($A227="",ISNA(MATCH($A227,Simulations!$A$3:$A$62,0))),"",IF(N($G227)&lt;=0,0,IF($G227&lt;INDEX(Simulations!$J$3:$J$62,MATCH($A227,Simulations!$A$3:$A$62,0)),$D227/(INDEX(Simulations!$G$3:$G$62,MATCH($A227,Simulations!$A$3:$A$62,0))*INDEX(Simulations!$H$3:$H$62,MATCH($A227,Simulations!$A$3:$A$62,0))*IF(INDEX(Simulations!$I$3:$I$62,MATCH($A227,Simulations!$A$3:$A$62,0))&gt;0,INDEX(Simulations!$I$3:$I$62,MATCH($A227,Simulations!$A$3:$A$62,0)),1))*$G227*(PI()/2*INDEX(Simulations!$T$3:$T$62,MATCH($A227,Simulations!$A$3:$A$62,0))^2*IF(INDEX(Simulations!$I$3:$I$62,MATCH($A227,Simulations!$A$3:$A$62,0))&gt;0,SQRT(PI()/2)*INDEX(Simulations!$U$3:$U$62,MATCH($A227,Simulations!$A$3:$A$62,0)),1)),$D227/(INDEX(Simulations!$G$3:$G$62,MATCH($A227,Simulations!$A$3:$A$62,0))*INDEX(Simulations!$H$3:$H$62,MATCH($A227,Simulations!$A$3:$A$62,0))*IF(INDEX(Simulations!$I$3:$I$62,MATCH($A227,Simulations!$A$3:$A$62,0))&gt;0,INDEX(Simulations!$I$3:$I$62,MATCH($A227,Simulations!$A$3:$A$62,0)),1))*INDEX(Simulations!$J$3:$J$62,MATCH($A227,Simulations!$A$3:$A$62,0))*IF(INDEX(Simulations!$I$3:$I$62,MATCH($A227,Simulations!$A$3:$A$62,0))&gt;0,2*PI()*INDEX(Simulations!$T$3:$T$62,MATCH($A227,Simulations!$A$3:$A$62,0))^2*INDEX(Simulations!$U$3:$U$62,MATCH($A227,Simulations!$A$3:$A$62,0))/2^1.5*(2/3*LN($G227/INDEX(Simulations!$J$3:$J$62,MATCH($A227,Simulations!$A$3:$A$62,0)))^1.5+SQRT(LN($G227/INDEX(Simulations!$J$3:$J$62,MATCH($A227,Simulations!$A$3:$A$62,0))))+$G227/INDEX(Simulations!$J$3:$J$62,MATCH($A227,Simulations!$A$3:$A$62,0))*SQRT(PI())/2*ERFC(SQRT(LN($G227/INDEX(Simulations!$J$3:$J$62,MATCH($A227,Simulations!$A$3:$A$62,0)))))),PI()*INDEX(Simulations!$T$3:$T$62,MATCH($A227,Simulations!$A$3:$A$62,0))^2/2*(LN($G227/INDEX(Simulations!$J$3:$J$62,MATCH($A227,Simulations!$A$3:$A$62,0)))+1)))))</f>
        <v/>
      </c>
      <c r="T227" s="16" t="str">
        <f aca="false">IF(OR($A227="",ISNA(MATCH($A227,Simulations!$A$3:$A$62,0))),"",IF(N($H227)&lt;=0,0,IF($H227&lt;INDEX(Simulations!$J$3:$J$62,MATCH($A227,Simulations!$A$3:$A$62,0)),$D227/(INDEX(Simulations!$G$3:$G$62,MATCH($A227,Simulations!$A$3:$A$62,0))*INDEX(Simulations!$H$3:$H$62,MATCH($A227,Simulations!$A$3:$A$62,0))*IF(INDEX(Simulations!$I$3:$I$62,MATCH($A227,Simulations!$A$3:$A$62,0))&gt;0,INDEX(Simulations!$I$3:$I$62,MATCH($A227,Simulations!$A$3:$A$62,0)),1))*$H227*(PI()/2*INDEX(Simulations!$T$3:$T$62,MATCH($A227,Simulations!$A$3:$A$62,0))^2*IF(INDEX(Simulations!$I$3:$I$62,MATCH($A227,Simulations!$A$3:$A$62,0))&gt;0,SQRT(PI()/2)*INDEX(Simulations!$U$3:$U$62,MATCH($A227,Simulations!$A$3:$A$62,0)),1)),$D227/(INDEX(Simulations!$G$3:$G$62,MATCH($A227,Simulations!$A$3:$A$62,0))*INDEX(Simulations!$H$3:$H$62,MATCH($A227,Simulations!$A$3:$A$62,0))*IF(INDEX(Simulations!$I$3:$I$62,MATCH($A227,Simulations!$A$3:$A$62,0))&gt;0,INDEX(Simulations!$I$3:$I$62,MATCH($A227,Simulations!$A$3:$A$62,0)),1))*INDEX(Simulations!$J$3:$J$62,MATCH($A227,Simulations!$A$3:$A$62,0))*IF(INDEX(Simulations!$I$3:$I$62,MATCH($A227,Simulations!$A$3:$A$62,0))&gt;0,2*PI()*INDEX(Simulations!$T$3:$T$62,MATCH($A227,Simulations!$A$3:$A$62,0))^2*INDEX(Simulations!$U$3:$U$62,MATCH($A227,Simulations!$A$3:$A$62,0))/2^1.5*(2/3*LN($H227/INDEX(Simulations!$J$3:$J$62,MATCH($A227,Simulations!$A$3:$A$62,0)))^1.5+SQRT(LN($H227/INDEX(Simulations!$J$3:$J$62,MATCH($A227,Simulations!$A$3:$A$62,0))))+$H227/INDEX(Simulations!$J$3:$J$62,MATCH($A227,Simulations!$A$3:$A$62,0))*SQRT(PI())/2*ERFC(SQRT(LN($H227/INDEX(Simulations!$J$3:$J$62,MATCH($A227,Simulations!$A$3:$A$62,0)))))),PI()*INDEX(Simulations!$T$3:$T$62,MATCH($A227,Simulations!$A$3:$A$62,0))^2/2*(LN($H227/INDEX(Simulations!$J$3:$J$62,MATCH($A227,Simulations!$A$3:$A$62,0)))+1)))))</f>
        <v/>
      </c>
      <c r="U227" s="18" t="str">
        <f aca="false">IF(OR(OR($A227="",ISNA(MATCH($A227,Simulations!$A$3:$A$62,0))),N($C227)&lt;=0),"",SQRT(2*$C227*1000000/(INDEX(Simulations!$J$3:$J$62,MATCH($A227,Simulations!$A$3:$A$62,0))*1000))/INDEX(Simulations!$T$3:$T$62,MATCH($A227,Simulations!$A$3:$A$62,0)))</f>
        <v/>
      </c>
      <c r="V227" s="19" t="str">
        <f aca="false">IF($A227="","",IF(ISNA(MATCH($A227,Simulations!$A$3:$A$62,0)),"✖ Sim ID not found on the Simulations sheet",IF($P227&gt;=1,"✖ brightness &gt;= sampling frequency: completely saturated (D too small, c too large)",IF($P227&gt;0.1,"⚠ brightness &gt; 10% of the sampling frequency: focus starts to saturate",IF(N($U227)&gt;0.1,"⚠ diffusion step &gt; 10% of wr: raise the sampling frequency",IF(MAX($E227:$H227)=0,"⚠ no brightness set","✔ OK"))))))</f>
        <v/>
      </c>
    </row>
    <row r="228" customFormat="false" ht="15" hidden="false" customHeight="false" outlineLevel="0" collapsed="false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4"/>
      <c r="O228" s="18" t="str">
        <f aca="false">IF(OR($A228="",ISNA(MATCH($A228,Simulations!$A$3:$A$62,0))),"",IF(INDEX(Simulations!$I$3:$I$62,MATCH($A228,Simulations!$A$3:$A$62,0))&gt;0,$D228/(INDEX(Simulations!$G$3:$G$62,MATCH($A228,Simulations!$A$3:$A$62,0))*INDEX(Simulations!$H$3:$H$62,MATCH($A228,Simulations!$A$3:$A$62,0))*IF(INDEX(Simulations!$I$3:$I$62,MATCH($A228,Simulations!$A$3:$A$62,0))&gt;0,INDEX(Simulations!$I$3:$I$62,MATCH($A228,Simulations!$A$3:$A$62,0)),1))/1E-024/6.022E+023/0.000000001,""))</f>
        <v/>
      </c>
      <c r="P228" s="20" t="str">
        <f aca="false">IF(OR($A228="",ISNA(MATCH($A228,Simulations!$A$3:$A$62,0))),"",MAX($E228:$H228)/INDEX(Simulations!$J$3:$J$62,MATCH($A228,Simulations!$A$3:$A$62,0)))</f>
        <v/>
      </c>
      <c r="Q228" s="16" t="str">
        <f aca="false">IF(OR($A228="",ISNA(MATCH($A228,Simulations!$A$3:$A$62,0))),"",IF(N($E228)&lt;=0,0,IF($E228&lt;INDEX(Simulations!$J$3:$J$62,MATCH($A228,Simulations!$A$3:$A$62,0)),$D228/(INDEX(Simulations!$G$3:$G$62,MATCH($A228,Simulations!$A$3:$A$62,0))*INDEX(Simulations!$H$3:$H$62,MATCH($A228,Simulations!$A$3:$A$62,0))*IF(INDEX(Simulations!$I$3:$I$62,MATCH($A228,Simulations!$A$3:$A$62,0))&gt;0,INDEX(Simulations!$I$3:$I$62,MATCH($A228,Simulations!$A$3:$A$62,0)),1))*$E228*(PI()/2*INDEX(Simulations!$T$3:$T$62,MATCH($A228,Simulations!$A$3:$A$62,0))^2*IF(INDEX(Simulations!$I$3:$I$62,MATCH($A228,Simulations!$A$3:$A$62,0))&gt;0,SQRT(PI()/2)*INDEX(Simulations!$U$3:$U$62,MATCH($A228,Simulations!$A$3:$A$62,0)),1)),$D228/(INDEX(Simulations!$G$3:$G$62,MATCH($A228,Simulations!$A$3:$A$62,0))*INDEX(Simulations!$H$3:$H$62,MATCH($A228,Simulations!$A$3:$A$62,0))*IF(INDEX(Simulations!$I$3:$I$62,MATCH($A228,Simulations!$A$3:$A$62,0))&gt;0,INDEX(Simulations!$I$3:$I$62,MATCH($A228,Simulations!$A$3:$A$62,0)),1))*INDEX(Simulations!$J$3:$J$62,MATCH($A228,Simulations!$A$3:$A$62,0))*IF(INDEX(Simulations!$I$3:$I$62,MATCH($A228,Simulations!$A$3:$A$62,0))&gt;0,2*PI()*INDEX(Simulations!$T$3:$T$62,MATCH($A228,Simulations!$A$3:$A$62,0))^2*INDEX(Simulations!$U$3:$U$62,MATCH($A228,Simulations!$A$3:$A$62,0))/2^1.5*(2/3*LN($E228/INDEX(Simulations!$J$3:$J$62,MATCH($A228,Simulations!$A$3:$A$62,0)))^1.5+SQRT(LN($E228/INDEX(Simulations!$J$3:$J$62,MATCH($A228,Simulations!$A$3:$A$62,0))))+$E228/INDEX(Simulations!$J$3:$J$62,MATCH($A228,Simulations!$A$3:$A$62,0))*SQRT(PI())/2*ERFC(SQRT(LN($E228/INDEX(Simulations!$J$3:$J$62,MATCH($A228,Simulations!$A$3:$A$62,0)))))),PI()*INDEX(Simulations!$T$3:$T$62,MATCH($A228,Simulations!$A$3:$A$62,0))^2/2*(LN($E228/INDEX(Simulations!$J$3:$J$62,MATCH($A228,Simulations!$A$3:$A$62,0)))+1)))))</f>
        <v/>
      </c>
      <c r="R228" s="16" t="str">
        <f aca="false">IF(OR($A228="",ISNA(MATCH($A228,Simulations!$A$3:$A$62,0))),"",IF(N($F228)&lt;=0,0,IF($F228&lt;INDEX(Simulations!$J$3:$J$62,MATCH($A228,Simulations!$A$3:$A$62,0)),$D228/(INDEX(Simulations!$G$3:$G$62,MATCH($A228,Simulations!$A$3:$A$62,0))*INDEX(Simulations!$H$3:$H$62,MATCH($A228,Simulations!$A$3:$A$62,0))*IF(INDEX(Simulations!$I$3:$I$62,MATCH($A228,Simulations!$A$3:$A$62,0))&gt;0,INDEX(Simulations!$I$3:$I$62,MATCH($A228,Simulations!$A$3:$A$62,0)),1))*$F228*(PI()/2*INDEX(Simulations!$T$3:$T$62,MATCH($A228,Simulations!$A$3:$A$62,0))^2*IF(INDEX(Simulations!$I$3:$I$62,MATCH($A228,Simulations!$A$3:$A$62,0))&gt;0,SQRT(PI()/2)*INDEX(Simulations!$U$3:$U$62,MATCH($A228,Simulations!$A$3:$A$62,0)),1)),$D228/(INDEX(Simulations!$G$3:$G$62,MATCH($A228,Simulations!$A$3:$A$62,0))*INDEX(Simulations!$H$3:$H$62,MATCH($A228,Simulations!$A$3:$A$62,0))*IF(INDEX(Simulations!$I$3:$I$62,MATCH($A228,Simulations!$A$3:$A$62,0))&gt;0,INDEX(Simulations!$I$3:$I$62,MATCH($A228,Simulations!$A$3:$A$62,0)),1))*INDEX(Simulations!$J$3:$J$62,MATCH($A228,Simulations!$A$3:$A$62,0))*IF(INDEX(Simulations!$I$3:$I$62,MATCH($A228,Simulations!$A$3:$A$62,0))&gt;0,2*PI()*INDEX(Simulations!$T$3:$T$62,MATCH($A228,Simulations!$A$3:$A$62,0))^2*INDEX(Simulations!$U$3:$U$62,MATCH($A228,Simulations!$A$3:$A$62,0))/2^1.5*(2/3*LN($F228/INDEX(Simulations!$J$3:$J$62,MATCH($A228,Simulations!$A$3:$A$62,0)))^1.5+SQRT(LN($F228/INDEX(Simulations!$J$3:$J$62,MATCH($A228,Simulations!$A$3:$A$62,0))))+$F228/INDEX(Simulations!$J$3:$J$62,MATCH($A228,Simulations!$A$3:$A$62,0))*SQRT(PI())/2*ERFC(SQRT(LN($F228/INDEX(Simulations!$J$3:$J$62,MATCH($A228,Simulations!$A$3:$A$62,0)))))),PI()*INDEX(Simulations!$T$3:$T$62,MATCH($A228,Simulations!$A$3:$A$62,0))^2/2*(LN($F228/INDEX(Simulations!$J$3:$J$62,MATCH($A228,Simulations!$A$3:$A$62,0)))+1)))))</f>
        <v/>
      </c>
      <c r="S228" s="16" t="str">
        <f aca="false">IF(OR($A228="",ISNA(MATCH($A228,Simulations!$A$3:$A$62,0))),"",IF(N($G228)&lt;=0,0,IF($G228&lt;INDEX(Simulations!$J$3:$J$62,MATCH($A228,Simulations!$A$3:$A$62,0)),$D228/(INDEX(Simulations!$G$3:$G$62,MATCH($A228,Simulations!$A$3:$A$62,0))*INDEX(Simulations!$H$3:$H$62,MATCH($A228,Simulations!$A$3:$A$62,0))*IF(INDEX(Simulations!$I$3:$I$62,MATCH($A228,Simulations!$A$3:$A$62,0))&gt;0,INDEX(Simulations!$I$3:$I$62,MATCH($A228,Simulations!$A$3:$A$62,0)),1))*$G228*(PI()/2*INDEX(Simulations!$T$3:$T$62,MATCH($A228,Simulations!$A$3:$A$62,0))^2*IF(INDEX(Simulations!$I$3:$I$62,MATCH($A228,Simulations!$A$3:$A$62,0))&gt;0,SQRT(PI()/2)*INDEX(Simulations!$U$3:$U$62,MATCH($A228,Simulations!$A$3:$A$62,0)),1)),$D228/(INDEX(Simulations!$G$3:$G$62,MATCH($A228,Simulations!$A$3:$A$62,0))*INDEX(Simulations!$H$3:$H$62,MATCH($A228,Simulations!$A$3:$A$62,0))*IF(INDEX(Simulations!$I$3:$I$62,MATCH($A228,Simulations!$A$3:$A$62,0))&gt;0,INDEX(Simulations!$I$3:$I$62,MATCH($A228,Simulations!$A$3:$A$62,0)),1))*INDEX(Simulations!$J$3:$J$62,MATCH($A228,Simulations!$A$3:$A$62,0))*IF(INDEX(Simulations!$I$3:$I$62,MATCH($A228,Simulations!$A$3:$A$62,0))&gt;0,2*PI()*INDEX(Simulations!$T$3:$T$62,MATCH($A228,Simulations!$A$3:$A$62,0))^2*INDEX(Simulations!$U$3:$U$62,MATCH($A228,Simulations!$A$3:$A$62,0))/2^1.5*(2/3*LN($G228/INDEX(Simulations!$J$3:$J$62,MATCH($A228,Simulations!$A$3:$A$62,0)))^1.5+SQRT(LN($G228/INDEX(Simulations!$J$3:$J$62,MATCH($A228,Simulations!$A$3:$A$62,0))))+$G228/INDEX(Simulations!$J$3:$J$62,MATCH($A228,Simulations!$A$3:$A$62,0))*SQRT(PI())/2*ERFC(SQRT(LN($G228/INDEX(Simulations!$J$3:$J$62,MATCH($A228,Simulations!$A$3:$A$62,0)))))),PI()*INDEX(Simulations!$T$3:$T$62,MATCH($A228,Simulations!$A$3:$A$62,0))^2/2*(LN($G228/INDEX(Simulations!$J$3:$J$62,MATCH($A228,Simulations!$A$3:$A$62,0)))+1)))))</f>
        <v/>
      </c>
      <c r="T228" s="16" t="str">
        <f aca="false">IF(OR($A228="",ISNA(MATCH($A228,Simulations!$A$3:$A$62,0))),"",IF(N($H228)&lt;=0,0,IF($H228&lt;INDEX(Simulations!$J$3:$J$62,MATCH($A228,Simulations!$A$3:$A$62,0)),$D228/(INDEX(Simulations!$G$3:$G$62,MATCH($A228,Simulations!$A$3:$A$62,0))*INDEX(Simulations!$H$3:$H$62,MATCH($A228,Simulations!$A$3:$A$62,0))*IF(INDEX(Simulations!$I$3:$I$62,MATCH($A228,Simulations!$A$3:$A$62,0))&gt;0,INDEX(Simulations!$I$3:$I$62,MATCH($A228,Simulations!$A$3:$A$62,0)),1))*$H228*(PI()/2*INDEX(Simulations!$T$3:$T$62,MATCH($A228,Simulations!$A$3:$A$62,0))^2*IF(INDEX(Simulations!$I$3:$I$62,MATCH($A228,Simulations!$A$3:$A$62,0))&gt;0,SQRT(PI()/2)*INDEX(Simulations!$U$3:$U$62,MATCH($A228,Simulations!$A$3:$A$62,0)),1)),$D228/(INDEX(Simulations!$G$3:$G$62,MATCH($A228,Simulations!$A$3:$A$62,0))*INDEX(Simulations!$H$3:$H$62,MATCH($A228,Simulations!$A$3:$A$62,0))*IF(INDEX(Simulations!$I$3:$I$62,MATCH($A228,Simulations!$A$3:$A$62,0))&gt;0,INDEX(Simulations!$I$3:$I$62,MATCH($A228,Simulations!$A$3:$A$62,0)),1))*INDEX(Simulations!$J$3:$J$62,MATCH($A228,Simulations!$A$3:$A$62,0))*IF(INDEX(Simulations!$I$3:$I$62,MATCH($A228,Simulations!$A$3:$A$62,0))&gt;0,2*PI()*INDEX(Simulations!$T$3:$T$62,MATCH($A228,Simulations!$A$3:$A$62,0))^2*INDEX(Simulations!$U$3:$U$62,MATCH($A228,Simulations!$A$3:$A$62,0))/2^1.5*(2/3*LN($H228/INDEX(Simulations!$J$3:$J$62,MATCH($A228,Simulations!$A$3:$A$62,0)))^1.5+SQRT(LN($H228/INDEX(Simulations!$J$3:$J$62,MATCH($A228,Simulations!$A$3:$A$62,0))))+$H228/INDEX(Simulations!$J$3:$J$62,MATCH($A228,Simulations!$A$3:$A$62,0))*SQRT(PI())/2*ERFC(SQRT(LN($H228/INDEX(Simulations!$J$3:$J$62,MATCH($A228,Simulations!$A$3:$A$62,0)))))),PI()*INDEX(Simulations!$T$3:$T$62,MATCH($A228,Simulations!$A$3:$A$62,0))^2/2*(LN($H228/INDEX(Simulations!$J$3:$J$62,MATCH($A228,Simulations!$A$3:$A$62,0)))+1)))))</f>
        <v/>
      </c>
      <c r="U228" s="18" t="str">
        <f aca="false">IF(OR(OR($A228="",ISNA(MATCH($A228,Simulations!$A$3:$A$62,0))),N($C228)&lt;=0),"",SQRT(2*$C228*1000000/(INDEX(Simulations!$J$3:$J$62,MATCH($A228,Simulations!$A$3:$A$62,0))*1000))/INDEX(Simulations!$T$3:$T$62,MATCH($A228,Simulations!$A$3:$A$62,0)))</f>
        <v/>
      </c>
      <c r="V228" s="19" t="str">
        <f aca="false">IF($A228="","",IF(ISNA(MATCH($A228,Simulations!$A$3:$A$62,0)),"✖ Sim ID not found on the Simulations sheet",IF($P228&gt;=1,"✖ brightness &gt;= sampling frequency: completely saturated (D too small, c too large)",IF($P228&gt;0.1,"⚠ brightness &gt; 10% of the sampling frequency: focus starts to saturate",IF(N($U228)&gt;0.1,"⚠ diffusion step &gt; 10% of wr: raise the sampling frequency",IF(MAX($E228:$H228)=0,"⚠ no brightness set","✔ OK"))))))</f>
        <v/>
      </c>
    </row>
    <row r="229" customFormat="false" ht="15" hidden="false" customHeight="false" outlineLevel="0" collapsed="false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4"/>
      <c r="O229" s="18" t="str">
        <f aca="false">IF(OR($A229="",ISNA(MATCH($A229,Simulations!$A$3:$A$62,0))),"",IF(INDEX(Simulations!$I$3:$I$62,MATCH($A229,Simulations!$A$3:$A$62,0))&gt;0,$D229/(INDEX(Simulations!$G$3:$G$62,MATCH($A229,Simulations!$A$3:$A$62,0))*INDEX(Simulations!$H$3:$H$62,MATCH($A229,Simulations!$A$3:$A$62,0))*IF(INDEX(Simulations!$I$3:$I$62,MATCH($A229,Simulations!$A$3:$A$62,0))&gt;0,INDEX(Simulations!$I$3:$I$62,MATCH($A229,Simulations!$A$3:$A$62,0)),1))/1E-024/6.022E+023/0.000000001,""))</f>
        <v/>
      </c>
      <c r="P229" s="20" t="str">
        <f aca="false">IF(OR($A229="",ISNA(MATCH($A229,Simulations!$A$3:$A$62,0))),"",MAX($E229:$H229)/INDEX(Simulations!$J$3:$J$62,MATCH($A229,Simulations!$A$3:$A$62,0)))</f>
        <v/>
      </c>
      <c r="Q229" s="16" t="str">
        <f aca="false">IF(OR($A229="",ISNA(MATCH($A229,Simulations!$A$3:$A$62,0))),"",IF(N($E229)&lt;=0,0,IF($E229&lt;INDEX(Simulations!$J$3:$J$62,MATCH($A229,Simulations!$A$3:$A$62,0)),$D229/(INDEX(Simulations!$G$3:$G$62,MATCH($A229,Simulations!$A$3:$A$62,0))*INDEX(Simulations!$H$3:$H$62,MATCH($A229,Simulations!$A$3:$A$62,0))*IF(INDEX(Simulations!$I$3:$I$62,MATCH($A229,Simulations!$A$3:$A$62,0))&gt;0,INDEX(Simulations!$I$3:$I$62,MATCH($A229,Simulations!$A$3:$A$62,0)),1))*$E229*(PI()/2*INDEX(Simulations!$T$3:$T$62,MATCH($A229,Simulations!$A$3:$A$62,0))^2*IF(INDEX(Simulations!$I$3:$I$62,MATCH($A229,Simulations!$A$3:$A$62,0))&gt;0,SQRT(PI()/2)*INDEX(Simulations!$U$3:$U$62,MATCH($A229,Simulations!$A$3:$A$62,0)),1)),$D229/(INDEX(Simulations!$G$3:$G$62,MATCH($A229,Simulations!$A$3:$A$62,0))*INDEX(Simulations!$H$3:$H$62,MATCH($A229,Simulations!$A$3:$A$62,0))*IF(INDEX(Simulations!$I$3:$I$62,MATCH($A229,Simulations!$A$3:$A$62,0))&gt;0,INDEX(Simulations!$I$3:$I$62,MATCH($A229,Simulations!$A$3:$A$62,0)),1))*INDEX(Simulations!$J$3:$J$62,MATCH($A229,Simulations!$A$3:$A$62,0))*IF(INDEX(Simulations!$I$3:$I$62,MATCH($A229,Simulations!$A$3:$A$62,0))&gt;0,2*PI()*INDEX(Simulations!$T$3:$T$62,MATCH($A229,Simulations!$A$3:$A$62,0))^2*INDEX(Simulations!$U$3:$U$62,MATCH($A229,Simulations!$A$3:$A$62,0))/2^1.5*(2/3*LN($E229/INDEX(Simulations!$J$3:$J$62,MATCH($A229,Simulations!$A$3:$A$62,0)))^1.5+SQRT(LN($E229/INDEX(Simulations!$J$3:$J$62,MATCH($A229,Simulations!$A$3:$A$62,0))))+$E229/INDEX(Simulations!$J$3:$J$62,MATCH($A229,Simulations!$A$3:$A$62,0))*SQRT(PI())/2*ERFC(SQRT(LN($E229/INDEX(Simulations!$J$3:$J$62,MATCH($A229,Simulations!$A$3:$A$62,0)))))),PI()*INDEX(Simulations!$T$3:$T$62,MATCH($A229,Simulations!$A$3:$A$62,0))^2/2*(LN($E229/INDEX(Simulations!$J$3:$J$62,MATCH($A229,Simulations!$A$3:$A$62,0)))+1)))))</f>
        <v/>
      </c>
      <c r="R229" s="16" t="str">
        <f aca="false">IF(OR($A229="",ISNA(MATCH($A229,Simulations!$A$3:$A$62,0))),"",IF(N($F229)&lt;=0,0,IF($F229&lt;INDEX(Simulations!$J$3:$J$62,MATCH($A229,Simulations!$A$3:$A$62,0)),$D229/(INDEX(Simulations!$G$3:$G$62,MATCH($A229,Simulations!$A$3:$A$62,0))*INDEX(Simulations!$H$3:$H$62,MATCH($A229,Simulations!$A$3:$A$62,0))*IF(INDEX(Simulations!$I$3:$I$62,MATCH($A229,Simulations!$A$3:$A$62,0))&gt;0,INDEX(Simulations!$I$3:$I$62,MATCH($A229,Simulations!$A$3:$A$62,0)),1))*$F229*(PI()/2*INDEX(Simulations!$T$3:$T$62,MATCH($A229,Simulations!$A$3:$A$62,0))^2*IF(INDEX(Simulations!$I$3:$I$62,MATCH($A229,Simulations!$A$3:$A$62,0))&gt;0,SQRT(PI()/2)*INDEX(Simulations!$U$3:$U$62,MATCH($A229,Simulations!$A$3:$A$62,0)),1)),$D229/(INDEX(Simulations!$G$3:$G$62,MATCH($A229,Simulations!$A$3:$A$62,0))*INDEX(Simulations!$H$3:$H$62,MATCH($A229,Simulations!$A$3:$A$62,0))*IF(INDEX(Simulations!$I$3:$I$62,MATCH($A229,Simulations!$A$3:$A$62,0))&gt;0,INDEX(Simulations!$I$3:$I$62,MATCH($A229,Simulations!$A$3:$A$62,0)),1))*INDEX(Simulations!$J$3:$J$62,MATCH($A229,Simulations!$A$3:$A$62,0))*IF(INDEX(Simulations!$I$3:$I$62,MATCH($A229,Simulations!$A$3:$A$62,0))&gt;0,2*PI()*INDEX(Simulations!$T$3:$T$62,MATCH($A229,Simulations!$A$3:$A$62,0))^2*INDEX(Simulations!$U$3:$U$62,MATCH($A229,Simulations!$A$3:$A$62,0))/2^1.5*(2/3*LN($F229/INDEX(Simulations!$J$3:$J$62,MATCH($A229,Simulations!$A$3:$A$62,0)))^1.5+SQRT(LN($F229/INDEX(Simulations!$J$3:$J$62,MATCH($A229,Simulations!$A$3:$A$62,0))))+$F229/INDEX(Simulations!$J$3:$J$62,MATCH($A229,Simulations!$A$3:$A$62,0))*SQRT(PI())/2*ERFC(SQRT(LN($F229/INDEX(Simulations!$J$3:$J$62,MATCH($A229,Simulations!$A$3:$A$62,0)))))),PI()*INDEX(Simulations!$T$3:$T$62,MATCH($A229,Simulations!$A$3:$A$62,0))^2/2*(LN($F229/INDEX(Simulations!$J$3:$J$62,MATCH($A229,Simulations!$A$3:$A$62,0)))+1)))))</f>
        <v/>
      </c>
      <c r="S229" s="16" t="str">
        <f aca="false">IF(OR($A229="",ISNA(MATCH($A229,Simulations!$A$3:$A$62,0))),"",IF(N($G229)&lt;=0,0,IF($G229&lt;INDEX(Simulations!$J$3:$J$62,MATCH($A229,Simulations!$A$3:$A$62,0)),$D229/(INDEX(Simulations!$G$3:$G$62,MATCH($A229,Simulations!$A$3:$A$62,0))*INDEX(Simulations!$H$3:$H$62,MATCH($A229,Simulations!$A$3:$A$62,0))*IF(INDEX(Simulations!$I$3:$I$62,MATCH($A229,Simulations!$A$3:$A$62,0))&gt;0,INDEX(Simulations!$I$3:$I$62,MATCH($A229,Simulations!$A$3:$A$62,0)),1))*$G229*(PI()/2*INDEX(Simulations!$T$3:$T$62,MATCH($A229,Simulations!$A$3:$A$62,0))^2*IF(INDEX(Simulations!$I$3:$I$62,MATCH($A229,Simulations!$A$3:$A$62,0))&gt;0,SQRT(PI()/2)*INDEX(Simulations!$U$3:$U$62,MATCH($A229,Simulations!$A$3:$A$62,0)),1)),$D229/(INDEX(Simulations!$G$3:$G$62,MATCH($A229,Simulations!$A$3:$A$62,0))*INDEX(Simulations!$H$3:$H$62,MATCH($A229,Simulations!$A$3:$A$62,0))*IF(INDEX(Simulations!$I$3:$I$62,MATCH($A229,Simulations!$A$3:$A$62,0))&gt;0,INDEX(Simulations!$I$3:$I$62,MATCH($A229,Simulations!$A$3:$A$62,0)),1))*INDEX(Simulations!$J$3:$J$62,MATCH($A229,Simulations!$A$3:$A$62,0))*IF(INDEX(Simulations!$I$3:$I$62,MATCH($A229,Simulations!$A$3:$A$62,0))&gt;0,2*PI()*INDEX(Simulations!$T$3:$T$62,MATCH($A229,Simulations!$A$3:$A$62,0))^2*INDEX(Simulations!$U$3:$U$62,MATCH($A229,Simulations!$A$3:$A$62,0))/2^1.5*(2/3*LN($G229/INDEX(Simulations!$J$3:$J$62,MATCH($A229,Simulations!$A$3:$A$62,0)))^1.5+SQRT(LN($G229/INDEX(Simulations!$J$3:$J$62,MATCH($A229,Simulations!$A$3:$A$62,0))))+$G229/INDEX(Simulations!$J$3:$J$62,MATCH($A229,Simulations!$A$3:$A$62,0))*SQRT(PI())/2*ERFC(SQRT(LN($G229/INDEX(Simulations!$J$3:$J$62,MATCH($A229,Simulations!$A$3:$A$62,0)))))),PI()*INDEX(Simulations!$T$3:$T$62,MATCH($A229,Simulations!$A$3:$A$62,0))^2/2*(LN($G229/INDEX(Simulations!$J$3:$J$62,MATCH($A229,Simulations!$A$3:$A$62,0)))+1)))))</f>
        <v/>
      </c>
      <c r="T229" s="16" t="str">
        <f aca="false">IF(OR($A229="",ISNA(MATCH($A229,Simulations!$A$3:$A$62,0))),"",IF(N($H229)&lt;=0,0,IF($H229&lt;INDEX(Simulations!$J$3:$J$62,MATCH($A229,Simulations!$A$3:$A$62,0)),$D229/(INDEX(Simulations!$G$3:$G$62,MATCH($A229,Simulations!$A$3:$A$62,0))*INDEX(Simulations!$H$3:$H$62,MATCH($A229,Simulations!$A$3:$A$62,0))*IF(INDEX(Simulations!$I$3:$I$62,MATCH($A229,Simulations!$A$3:$A$62,0))&gt;0,INDEX(Simulations!$I$3:$I$62,MATCH($A229,Simulations!$A$3:$A$62,0)),1))*$H229*(PI()/2*INDEX(Simulations!$T$3:$T$62,MATCH($A229,Simulations!$A$3:$A$62,0))^2*IF(INDEX(Simulations!$I$3:$I$62,MATCH($A229,Simulations!$A$3:$A$62,0))&gt;0,SQRT(PI()/2)*INDEX(Simulations!$U$3:$U$62,MATCH($A229,Simulations!$A$3:$A$62,0)),1)),$D229/(INDEX(Simulations!$G$3:$G$62,MATCH($A229,Simulations!$A$3:$A$62,0))*INDEX(Simulations!$H$3:$H$62,MATCH($A229,Simulations!$A$3:$A$62,0))*IF(INDEX(Simulations!$I$3:$I$62,MATCH($A229,Simulations!$A$3:$A$62,0))&gt;0,INDEX(Simulations!$I$3:$I$62,MATCH($A229,Simulations!$A$3:$A$62,0)),1))*INDEX(Simulations!$J$3:$J$62,MATCH($A229,Simulations!$A$3:$A$62,0))*IF(INDEX(Simulations!$I$3:$I$62,MATCH($A229,Simulations!$A$3:$A$62,0))&gt;0,2*PI()*INDEX(Simulations!$T$3:$T$62,MATCH($A229,Simulations!$A$3:$A$62,0))^2*INDEX(Simulations!$U$3:$U$62,MATCH($A229,Simulations!$A$3:$A$62,0))/2^1.5*(2/3*LN($H229/INDEX(Simulations!$J$3:$J$62,MATCH($A229,Simulations!$A$3:$A$62,0)))^1.5+SQRT(LN($H229/INDEX(Simulations!$J$3:$J$62,MATCH($A229,Simulations!$A$3:$A$62,0))))+$H229/INDEX(Simulations!$J$3:$J$62,MATCH($A229,Simulations!$A$3:$A$62,0))*SQRT(PI())/2*ERFC(SQRT(LN($H229/INDEX(Simulations!$J$3:$J$62,MATCH($A229,Simulations!$A$3:$A$62,0)))))),PI()*INDEX(Simulations!$T$3:$T$62,MATCH($A229,Simulations!$A$3:$A$62,0))^2/2*(LN($H229/INDEX(Simulations!$J$3:$J$62,MATCH($A229,Simulations!$A$3:$A$62,0)))+1)))))</f>
        <v/>
      </c>
      <c r="U229" s="18" t="str">
        <f aca="false">IF(OR(OR($A229="",ISNA(MATCH($A229,Simulations!$A$3:$A$62,0))),N($C229)&lt;=0),"",SQRT(2*$C229*1000000/(INDEX(Simulations!$J$3:$J$62,MATCH($A229,Simulations!$A$3:$A$62,0))*1000))/INDEX(Simulations!$T$3:$T$62,MATCH($A229,Simulations!$A$3:$A$62,0)))</f>
        <v/>
      </c>
      <c r="V229" s="19" t="str">
        <f aca="false">IF($A229="","",IF(ISNA(MATCH($A229,Simulations!$A$3:$A$62,0)),"✖ Sim ID not found on the Simulations sheet",IF($P229&gt;=1,"✖ brightness &gt;= sampling frequency: completely saturated (D too small, c too large)",IF($P229&gt;0.1,"⚠ brightness &gt; 10% of the sampling frequency: focus starts to saturate",IF(N($U229)&gt;0.1,"⚠ diffusion step &gt; 10% of wr: raise the sampling frequency",IF(MAX($E229:$H229)=0,"⚠ no brightness set","✔ OK"))))))</f>
        <v/>
      </c>
    </row>
    <row r="230" customFormat="false" ht="15" hidden="false" customHeight="false" outlineLevel="0" collapsed="false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4"/>
      <c r="O230" s="18" t="str">
        <f aca="false">IF(OR($A230="",ISNA(MATCH($A230,Simulations!$A$3:$A$62,0))),"",IF(INDEX(Simulations!$I$3:$I$62,MATCH($A230,Simulations!$A$3:$A$62,0))&gt;0,$D230/(INDEX(Simulations!$G$3:$G$62,MATCH($A230,Simulations!$A$3:$A$62,0))*INDEX(Simulations!$H$3:$H$62,MATCH($A230,Simulations!$A$3:$A$62,0))*IF(INDEX(Simulations!$I$3:$I$62,MATCH($A230,Simulations!$A$3:$A$62,0))&gt;0,INDEX(Simulations!$I$3:$I$62,MATCH($A230,Simulations!$A$3:$A$62,0)),1))/1E-024/6.022E+023/0.000000001,""))</f>
        <v/>
      </c>
      <c r="P230" s="20" t="str">
        <f aca="false">IF(OR($A230="",ISNA(MATCH($A230,Simulations!$A$3:$A$62,0))),"",MAX($E230:$H230)/INDEX(Simulations!$J$3:$J$62,MATCH($A230,Simulations!$A$3:$A$62,0)))</f>
        <v/>
      </c>
      <c r="Q230" s="16" t="str">
        <f aca="false">IF(OR($A230="",ISNA(MATCH($A230,Simulations!$A$3:$A$62,0))),"",IF(N($E230)&lt;=0,0,IF($E230&lt;INDEX(Simulations!$J$3:$J$62,MATCH($A230,Simulations!$A$3:$A$62,0)),$D230/(INDEX(Simulations!$G$3:$G$62,MATCH($A230,Simulations!$A$3:$A$62,0))*INDEX(Simulations!$H$3:$H$62,MATCH($A230,Simulations!$A$3:$A$62,0))*IF(INDEX(Simulations!$I$3:$I$62,MATCH($A230,Simulations!$A$3:$A$62,0))&gt;0,INDEX(Simulations!$I$3:$I$62,MATCH($A230,Simulations!$A$3:$A$62,0)),1))*$E230*(PI()/2*INDEX(Simulations!$T$3:$T$62,MATCH($A230,Simulations!$A$3:$A$62,0))^2*IF(INDEX(Simulations!$I$3:$I$62,MATCH($A230,Simulations!$A$3:$A$62,0))&gt;0,SQRT(PI()/2)*INDEX(Simulations!$U$3:$U$62,MATCH($A230,Simulations!$A$3:$A$62,0)),1)),$D230/(INDEX(Simulations!$G$3:$G$62,MATCH($A230,Simulations!$A$3:$A$62,0))*INDEX(Simulations!$H$3:$H$62,MATCH($A230,Simulations!$A$3:$A$62,0))*IF(INDEX(Simulations!$I$3:$I$62,MATCH($A230,Simulations!$A$3:$A$62,0))&gt;0,INDEX(Simulations!$I$3:$I$62,MATCH($A230,Simulations!$A$3:$A$62,0)),1))*INDEX(Simulations!$J$3:$J$62,MATCH($A230,Simulations!$A$3:$A$62,0))*IF(INDEX(Simulations!$I$3:$I$62,MATCH($A230,Simulations!$A$3:$A$62,0))&gt;0,2*PI()*INDEX(Simulations!$T$3:$T$62,MATCH($A230,Simulations!$A$3:$A$62,0))^2*INDEX(Simulations!$U$3:$U$62,MATCH($A230,Simulations!$A$3:$A$62,0))/2^1.5*(2/3*LN($E230/INDEX(Simulations!$J$3:$J$62,MATCH($A230,Simulations!$A$3:$A$62,0)))^1.5+SQRT(LN($E230/INDEX(Simulations!$J$3:$J$62,MATCH($A230,Simulations!$A$3:$A$62,0))))+$E230/INDEX(Simulations!$J$3:$J$62,MATCH($A230,Simulations!$A$3:$A$62,0))*SQRT(PI())/2*ERFC(SQRT(LN($E230/INDEX(Simulations!$J$3:$J$62,MATCH($A230,Simulations!$A$3:$A$62,0)))))),PI()*INDEX(Simulations!$T$3:$T$62,MATCH($A230,Simulations!$A$3:$A$62,0))^2/2*(LN($E230/INDEX(Simulations!$J$3:$J$62,MATCH($A230,Simulations!$A$3:$A$62,0)))+1)))))</f>
        <v/>
      </c>
      <c r="R230" s="16" t="str">
        <f aca="false">IF(OR($A230="",ISNA(MATCH($A230,Simulations!$A$3:$A$62,0))),"",IF(N($F230)&lt;=0,0,IF($F230&lt;INDEX(Simulations!$J$3:$J$62,MATCH($A230,Simulations!$A$3:$A$62,0)),$D230/(INDEX(Simulations!$G$3:$G$62,MATCH($A230,Simulations!$A$3:$A$62,0))*INDEX(Simulations!$H$3:$H$62,MATCH($A230,Simulations!$A$3:$A$62,0))*IF(INDEX(Simulations!$I$3:$I$62,MATCH($A230,Simulations!$A$3:$A$62,0))&gt;0,INDEX(Simulations!$I$3:$I$62,MATCH($A230,Simulations!$A$3:$A$62,0)),1))*$F230*(PI()/2*INDEX(Simulations!$T$3:$T$62,MATCH($A230,Simulations!$A$3:$A$62,0))^2*IF(INDEX(Simulations!$I$3:$I$62,MATCH($A230,Simulations!$A$3:$A$62,0))&gt;0,SQRT(PI()/2)*INDEX(Simulations!$U$3:$U$62,MATCH($A230,Simulations!$A$3:$A$62,0)),1)),$D230/(INDEX(Simulations!$G$3:$G$62,MATCH($A230,Simulations!$A$3:$A$62,0))*INDEX(Simulations!$H$3:$H$62,MATCH($A230,Simulations!$A$3:$A$62,0))*IF(INDEX(Simulations!$I$3:$I$62,MATCH($A230,Simulations!$A$3:$A$62,0))&gt;0,INDEX(Simulations!$I$3:$I$62,MATCH($A230,Simulations!$A$3:$A$62,0)),1))*INDEX(Simulations!$J$3:$J$62,MATCH($A230,Simulations!$A$3:$A$62,0))*IF(INDEX(Simulations!$I$3:$I$62,MATCH($A230,Simulations!$A$3:$A$62,0))&gt;0,2*PI()*INDEX(Simulations!$T$3:$T$62,MATCH($A230,Simulations!$A$3:$A$62,0))^2*INDEX(Simulations!$U$3:$U$62,MATCH($A230,Simulations!$A$3:$A$62,0))/2^1.5*(2/3*LN($F230/INDEX(Simulations!$J$3:$J$62,MATCH($A230,Simulations!$A$3:$A$62,0)))^1.5+SQRT(LN($F230/INDEX(Simulations!$J$3:$J$62,MATCH($A230,Simulations!$A$3:$A$62,0))))+$F230/INDEX(Simulations!$J$3:$J$62,MATCH($A230,Simulations!$A$3:$A$62,0))*SQRT(PI())/2*ERFC(SQRT(LN($F230/INDEX(Simulations!$J$3:$J$62,MATCH($A230,Simulations!$A$3:$A$62,0)))))),PI()*INDEX(Simulations!$T$3:$T$62,MATCH($A230,Simulations!$A$3:$A$62,0))^2/2*(LN($F230/INDEX(Simulations!$J$3:$J$62,MATCH($A230,Simulations!$A$3:$A$62,0)))+1)))))</f>
        <v/>
      </c>
      <c r="S230" s="16" t="str">
        <f aca="false">IF(OR($A230="",ISNA(MATCH($A230,Simulations!$A$3:$A$62,0))),"",IF(N($G230)&lt;=0,0,IF($G230&lt;INDEX(Simulations!$J$3:$J$62,MATCH($A230,Simulations!$A$3:$A$62,0)),$D230/(INDEX(Simulations!$G$3:$G$62,MATCH($A230,Simulations!$A$3:$A$62,0))*INDEX(Simulations!$H$3:$H$62,MATCH($A230,Simulations!$A$3:$A$62,0))*IF(INDEX(Simulations!$I$3:$I$62,MATCH($A230,Simulations!$A$3:$A$62,0))&gt;0,INDEX(Simulations!$I$3:$I$62,MATCH($A230,Simulations!$A$3:$A$62,0)),1))*$G230*(PI()/2*INDEX(Simulations!$T$3:$T$62,MATCH($A230,Simulations!$A$3:$A$62,0))^2*IF(INDEX(Simulations!$I$3:$I$62,MATCH($A230,Simulations!$A$3:$A$62,0))&gt;0,SQRT(PI()/2)*INDEX(Simulations!$U$3:$U$62,MATCH($A230,Simulations!$A$3:$A$62,0)),1)),$D230/(INDEX(Simulations!$G$3:$G$62,MATCH($A230,Simulations!$A$3:$A$62,0))*INDEX(Simulations!$H$3:$H$62,MATCH($A230,Simulations!$A$3:$A$62,0))*IF(INDEX(Simulations!$I$3:$I$62,MATCH($A230,Simulations!$A$3:$A$62,0))&gt;0,INDEX(Simulations!$I$3:$I$62,MATCH($A230,Simulations!$A$3:$A$62,0)),1))*INDEX(Simulations!$J$3:$J$62,MATCH($A230,Simulations!$A$3:$A$62,0))*IF(INDEX(Simulations!$I$3:$I$62,MATCH($A230,Simulations!$A$3:$A$62,0))&gt;0,2*PI()*INDEX(Simulations!$T$3:$T$62,MATCH($A230,Simulations!$A$3:$A$62,0))^2*INDEX(Simulations!$U$3:$U$62,MATCH($A230,Simulations!$A$3:$A$62,0))/2^1.5*(2/3*LN($G230/INDEX(Simulations!$J$3:$J$62,MATCH($A230,Simulations!$A$3:$A$62,0)))^1.5+SQRT(LN($G230/INDEX(Simulations!$J$3:$J$62,MATCH($A230,Simulations!$A$3:$A$62,0))))+$G230/INDEX(Simulations!$J$3:$J$62,MATCH($A230,Simulations!$A$3:$A$62,0))*SQRT(PI())/2*ERFC(SQRT(LN($G230/INDEX(Simulations!$J$3:$J$62,MATCH($A230,Simulations!$A$3:$A$62,0)))))),PI()*INDEX(Simulations!$T$3:$T$62,MATCH($A230,Simulations!$A$3:$A$62,0))^2/2*(LN($G230/INDEX(Simulations!$J$3:$J$62,MATCH($A230,Simulations!$A$3:$A$62,0)))+1)))))</f>
        <v/>
      </c>
      <c r="T230" s="16" t="str">
        <f aca="false">IF(OR($A230="",ISNA(MATCH($A230,Simulations!$A$3:$A$62,0))),"",IF(N($H230)&lt;=0,0,IF($H230&lt;INDEX(Simulations!$J$3:$J$62,MATCH($A230,Simulations!$A$3:$A$62,0)),$D230/(INDEX(Simulations!$G$3:$G$62,MATCH($A230,Simulations!$A$3:$A$62,0))*INDEX(Simulations!$H$3:$H$62,MATCH($A230,Simulations!$A$3:$A$62,0))*IF(INDEX(Simulations!$I$3:$I$62,MATCH($A230,Simulations!$A$3:$A$62,0))&gt;0,INDEX(Simulations!$I$3:$I$62,MATCH($A230,Simulations!$A$3:$A$62,0)),1))*$H230*(PI()/2*INDEX(Simulations!$T$3:$T$62,MATCH($A230,Simulations!$A$3:$A$62,0))^2*IF(INDEX(Simulations!$I$3:$I$62,MATCH($A230,Simulations!$A$3:$A$62,0))&gt;0,SQRT(PI()/2)*INDEX(Simulations!$U$3:$U$62,MATCH($A230,Simulations!$A$3:$A$62,0)),1)),$D230/(INDEX(Simulations!$G$3:$G$62,MATCH($A230,Simulations!$A$3:$A$62,0))*INDEX(Simulations!$H$3:$H$62,MATCH($A230,Simulations!$A$3:$A$62,0))*IF(INDEX(Simulations!$I$3:$I$62,MATCH($A230,Simulations!$A$3:$A$62,0))&gt;0,INDEX(Simulations!$I$3:$I$62,MATCH($A230,Simulations!$A$3:$A$62,0)),1))*INDEX(Simulations!$J$3:$J$62,MATCH($A230,Simulations!$A$3:$A$62,0))*IF(INDEX(Simulations!$I$3:$I$62,MATCH($A230,Simulations!$A$3:$A$62,0))&gt;0,2*PI()*INDEX(Simulations!$T$3:$T$62,MATCH($A230,Simulations!$A$3:$A$62,0))^2*INDEX(Simulations!$U$3:$U$62,MATCH($A230,Simulations!$A$3:$A$62,0))/2^1.5*(2/3*LN($H230/INDEX(Simulations!$J$3:$J$62,MATCH($A230,Simulations!$A$3:$A$62,0)))^1.5+SQRT(LN($H230/INDEX(Simulations!$J$3:$J$62,MATCH($A230,Simulations!$A$3:$A$62,0))))+$H230/INDEX(Simulations!$J$3:$J$62,MATCH($A230,Simulations!$A$3:$A$62,0))*SQRT(PI())/2*ERFC(SQRT(LN($H230/INDEX(Simulations!$J$3:$J$62,MATCH($A230,Simulations!$A$3:$A$62,0)))))),PI()*INDEX(Simulations!$T$3:$T$62,MATCH($A230,Simulations!$A$3:$A$62,0))^2/2*(LN($H230/INDEX(Simulations!$J$3:$J$62,MATCH($A230,Simulations!$A$3:$A$62,0)))+1)))))</f>
        <v/>
      </c>
      <c r="U230" s="18" t="str">
        <f aca="false">IF(OR(OR($A230="",ISNA(MATCH($A230,Simulations!$A$3:$A$62,0))),N($C230)&lt;=0),"",SQRT(2*$C230*1000000/(INDEX(Simulations!$J$3:$J$62,MATCH($A230,Simulations!$A$3:$A$62,0))*1000))/INDEX(Simulations!$T$3:$T$62,MATCH($A230,Simulations!$A$3:$A$62,0)))</f>
        <v/>
      </c>
      <c r="V230" s="19" t="str">
        <f aca="false">IF($A230="","",IF(ISNA(MATCH($A230,Simulations!$A$3:$A$62,0)),"✖ Sim ID not found on the Simulations sheet",IF($P230&gt;=1,"✖ brightness &gt;= sampling frequency: completely saturated (D too small, c too large)",IF($P230&gt;0.1,"⚠ brightness &gt; 10% of the sampling frequency: focus starts to saturate",IF(N($U230)&gt;0.1,"⚠ diffusion step &gt; 10% of wr: raise the sampling frequency",IF(MAX($E230:$H230)=0,"⚠ no brightness set","✔ OK"))))))</f>
        <v/>
      </c>
    </row>
    <row r="231" customFormat="false" ht="15" hidden="false" customHeight="false" outlineLevel="0" collapsed="false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4"/>
      <c r="O231" s="18" t="str">
        <f aca="false">IF(OR($A231="",ISNA(MATCH($A231,Simulations!$A$3:$A$62,0))),"",IF(INDEX(Simulations!$I$3:$I$62,MATCH($A231,Simulations!$A$3:$A$62,0))&gt;0,$D231/(INDEX(Simulations!$G$3:$G$62,MATCH($A231,Simulations!$A$3:$A$62,0))*INDEX(Simulations!$H$3:$H$62,MATCH($A231,Simulations!$A$3:$A$62,0))*IF(INDEX(Simulations!$I$3:$I$62,MATCH($A231,Simulations!$A$3:$A$62,0))&gt;0,INDEX(Simulations!$I$3:$I$62,MATCH($A231,Simulations!$A$3:$A$62,0)),1))/1E-024/6.022E+023/0.000000001,""))</f>
        <v/>
      </c>
      <c r="P231" s="20" t="str">
        <f aca="false">IF(OR($A231="",ISNA(MATCH($A231,Simulations!$A$3:$A$62,0))),"",MAX($E231:$H231)/INDEX(Simulations!$J$3:$J$62,MATCH($A231,Simulations!$A$3:$A$62,0)))</f>
        <v/>
      </c>
      <c r="Q231" s="16" t="str">
        <f aca="false">IF(OR($A231="",ISNA(MATCH($A231,Simulations!$A$3:$A$62,0))),"",IF(N($E231)&lt;=0,0,IF($E231&lt;INDEX(Simulations!$J$3:$J$62,MATCH($A231,Simulations!$A$3:$A$62,0)),$D231/(INDEX(Simulations!$G$3:$G$62,MATCH($A231,Simulations!$A$3:$A$62,0))*INDEX(Simulations!$H$3:$H$62,MATCH($A231,Simulations!$A$3:$A$62,0))*IF(INDEX(Simulations!$I$3:$I$62,MATCH($A231,Simulations!$A$3:$A$62,0))&gt;0,INDEX(Simulations!$I$3:$I$62,MATCH($A231,Simulations!$A$3:$A$62,0)),1))*$E231*(PI()/2*INDEX(Simulations!$T$3:$T$62,MATCH($A231,Simulations!$A$3:$A$62,0))^2*IF(INDEX(Simulations!$I$3:$I$62,MATCH($A231,Simulations!$A$3:$A$62,0))&gt;0,SQRT(PI()/2)*INDEX(Simulations!$U$3:$U$62,MATCH($A231,Simulations!$A$3:$A$62,0)),1)),$D231/(INDEX(Simulations!$G$3:$G$62,MATCH($A231,Simulations!$A$3:$A$62,0))*INDEX(Simulations!$H$3:$H$62,MATCH($A231,Simulations!$A$3:$A$62,0))*IF(INDEX(Simulations!$I$3:$I$62,MATCH($A231,Simulations!$A$3:$A$62,0))&gt;0,INDEX(Simulations!$I$3:$I$62,MATCH($A231,Simulations!$A$3:$A$62,0)),1))*INDEX(Simulations!$J$3:$J$62,MATCH($A231,Simulations!$A$3:$A$62,0))*IF(INDEX(Simulations!$I$3:$I$62,MATCH($A231,Simulations!$A$3:$A$62,0))&gt;0,2*PI()*INDEX(Simulations!$T$3:$T$62,MATCH($A231,Simulations!$A$3:$A$62,0))^2*INDEX(Simulations!$U$3:$U$62,MATCH($A231,Simulations!$A$3:$A$62,0))/2^1.5*(2/3*LN($E231/INDEX(Simulations!$J$3:$J$62,MATCH($A231,Simulations!$A$3:$A$62,0)))^1.5+SQRT(LN($E231/INDEX(Simulations!$J$3:$J$62,MATCH($A231,Simulations!$A$3:$A$62,0))))+$E231/INDEX(Simulations!$J$3:$J$62,MATCH($A231,Simulations!$A$3:$A$62,0))*SQRT(PI())/2*ERFC(SQRT(LN($E231/INDEX(Simulations!$J$3:$J$62,MATCH($A231,Simulations!$A$3:$A$62,0)))))),PI()*INDEX(Simulations!$T$3:$T$62,MATCH($A231,Simulations!$A$3:$A$62,0))^2/2*(LN($E231/INDEX(Simulations!$J$3:$J$62,MATCH($A231,Simulations!$A$3:$A$62,0)))+1)))))</f>
        <v/>
      </c>
      <c r="R231" s="16" t="str">
        <f aca="false">IF(OR($A231="",ISNA(MATCH($A231,Simulations!$A$3:$A$62,0))),"",IF(N($F231)&lt;=0,0,IF($F231&lt;INDEX(Simulations!$J$3:$J$62,MATCH($A231,Simulations!$A$3:$A$62,0)),$D231/(INDEX(Simulations!$G$3:$G$62,MATCH($A231,Simulations!$A$3:$A$62,0))*INDEX(Simulations!$H$3:$H$62,MATCH($A231,Simulations!$A$3:$A$62,0))*IF(INDEX(Simulations!$I$3:$I$62,MATCH($A231,Simulations!$A$3:$A$62,0))&gt;0,INDEX(Simulations!$I$3:$I$62,MATCH($A231,Simulations!$A$3:$A$62,0)),1))*$F231*(PI()/2*INDEX(Simulations!$T$3:$T$62,MATCH($A231,Simulations!$A$3:$A$62,0))^2*IF(INDEX(Simulations!$I$3:$I$62,MATCH($A231,Simulations!$A$3:$A$62,0))&gt;0,SQRT(PI()/2)*INDEX(Simulations!$U$3:$U$62,MATCH($A231,Simulations!$A$3:$A$62,0)),1)),$D231/(INDEX(Simulations!$G$3:$G$62,MATCH($A231,Simulations!$A$3:$A$62,0))*INDEX(Simulations!$H$3:$H$62,MATCH($A231,Simulations!$A$3:$A$62,0))*IF(INDEX(Simulations!$I$3:$I$62,MATCH($A231,Simulations!$A$3:$A$62,0))&gt;0,INDEX(Simulations!$I$3:$I$62,MATCH($A231,Simulations!$A$3:$A$62,0)),1))*INDEX(Simulations!$J$3:$J$62,MATCH($A231,Simulations!$A$3:$A$62,0))*IF(INDEX(Simulations!$I$3:$I$62,MATCH($A231,Simulations!$A$3:$A$62,0))&gt;0,2*PI()*INDEX(Simulations!$T$3:$T$62,MATCH($A231,Simulations!$A$3:$A$62,0))^2*INDEX(Simulations!$U$3:$U$62,MATCH($A231,Simulations!$A$3:$A$62,0))/2^1.5*(2/3*LN($F231/INDEX(Simulations!$J$3:$J$62,MATCH($A231,Simulations!$A$3:$A$62,0)))^1.5+SQRT(LN($F231/INDEX(Simulations!$J$3:$J$62,MATCH($A231,Simulations!$A$3:$A$62,0))))+$F231/INDEX(Simulations!$J$3:$J$62,MATCH($A231,Simulations!$A$3:$A$62,0))*SQRT(PI())/2*ERFC(SQRT(LN($F231/INDEX(Simulations!$J$3:$J$62,MATCH($A231,Simulations!$A$3:$A$62,0)))))),PI()*INDEX(Simulations!$T$3:$T$62,MATCH($A231,Simulations!$A$3:$A$62,0))^2/2*(LN($F231/INDEX(Simulations!$J$3:$J$62,MATCH($A231,Simulations!$A$3:$A$62,0)))+1)))))</f>
        <v/>
      </c>
      <c r="S231" s="16" t="str">
        <f aca="false">IF(OR($A231="",ISNA(MATCH($A231,Simulations!$A$3:$A$62,0))),"",IF(N($G231)&lt;=0,0,IF($G231&lt;INDEX(Simulations!$J$3:$J$62,MATCH($A231,Simulations!$A$3:$A$62,0)),$D231/(INDEX(Simulations!$G$3:$G$62,MATCH($A231,Simulations!$A$3:$A$62,0))*INDEX(Simulations!$H$3:$H$62,MATCH($A231,Simulations!$A$3:$A$62,0))*IF(INDEX(Simulations!$I$3:$I$62,MATCH($A231,Simulations!$A$3:$A$62,0))&gt;0,INDEX(Simulations!$I$3:$I$62,MATCH($A231,Simulations!$A$3:$A$62,0)),1))*$G231*(PI()/2*INDEX(Simulations!$T$3:$T$62,MATCH($A231,Simulations!$A$3:$A$62,0))^2*IF(INDEX(Simulations!$I$3:$I$62,MATCH($A231,Simulations!$A$3:$A$62,0))&gt;0,SQRT(PI()/2)*INDEX(Simulations!$U$3:$U$62,MATCH($A231,Simulations!$A$3:$A$62,0)),1)),$D231/(INDEX(Simulations!$G$3:$G$62,MATCH($A231,Simulations!$A$3:$A$62,0))*INDEX(Simulations!$H$3:$H$62,MATCH($A231,Simulations!$A$3:$A$62,0))*IF(INDEX(Simulations!$I$3:$I$62,MATCH($A231,Simulations!$A$3:$A$62,0))&gt;0,INDEX(Simulations!$I$3:$I$62,MATCH($A231,Simulations!$A$3:$A$62,0)),1))*INDEX(Simulations!$J$3:$J$62,MATCH($A231,Simulations!$A$3:$A$62,0))*IF(INDEX(Simulations!$I$3:$I$62,MATCH($A231,Simulations!$A$3:$A$62,0))&gt;0,2*PI()*INDEX(Simulations!$T$3:$T$62,MATCH($A231,Simulations!$A$3:$A$62,0))^2*INDEX(Simulations!$U$3:$U$62,MATCH($A231,Simulations!$A$3:$A$62,0))/2^1.5*(2/3*LN($G231/INDEX(Simulations!$J$3:$J$62,MATCH($A231,Simulations!$A$3:$A$62,0)))^1.5+SQRT(LN($G231/INDEX(Simulations!$J$3:$J$62,MATCH($A231,Simulations!$A$3:$A$62,0))))+$G231/INDEX(Simulations!$J$3:$J$62,MATCH($A231,Simulations!$A$3:$A$62,0))*SQRT(PI())/2*ERFC(SQRT(LN($G231/INDEX(Simulations!$J$3:$J$62,MATCH($A231,Simulations!$A$3:$A$62,0)))))),PI()*INDEX(Simulations!$T$3:$T$62,MATCH($A231,Simulations!$A$3:$A$62,0))^2/2*(LN($G231/INDEX(Simulations!$J$3:$J$62,MATCH($A231,Simulations!$A$3:$A$62,0)))+1)))))</f>
        <v/>
      </c>
      <c r="T231" s="16" t="str">
        <f aca="false">IF(OR($A231="",ISNA(MATCH($A231,Simulations!$A$3:$A$62,0))),"",IF(N($H231)&lt;=0,0,IF($H231&lt;INDEX(Simulations!$J$3:$J$62,MATCH($A231,Simulations!$A$3:$A$62,0)),$D231/(INDEX(Simulations!$G$3:$G$62,MATCH($A231,Simulations!$A$3:$A$62,0))*INDEX(Simulations!$H$3:$H$62,MATCH($A231,Simulations!$A$3:$A$62,0))*IF(INDEX(Simulations!$I$3:$I$62,MATCH($A231,Simulations!$A$3:$A$62,0))&gt;0,INDEX(Simulations!$I$3:$I$62,MATCH($A231,Simulations!$A$3:$A$62,0)),1))*$H231*(PI()/2*INDEX(Simulations!$T$3:$T$62,MATCH($A231,Simulations!$A$3:$A$62,0))^2*IF(INDEX(Simulations!$I$3:$I$62,MATCH($A231,Simulations!$A$3:$A$62,0))&gt;0,SQRT(PI()/2)*INDEX(Simulations!$U$3:$U$62,MATCH($A231,Simulations!$A$3:$A$62,0)),1)),$D231/(INDEX(Simulations!$G$3:$G$62,MATCH($A231,Simulations!$A$3:$A$62,0))*INDEX(Simulations!$H$3:$H$62,MATCH($A231,Simulations!$A$3:$A$62,0))*IF(INDEX(Simulations!$I$3:$I$62,MATCH($A231,Simulations!$A$3:$A$62,0))&gt;0,INDEX(Simulations!$I$3:$I$62,MATCH($A231,Simulations!$A$3:$A$62,0)),1))*INDEX(Simulations!$J$3:$J$62,MATCH($A231,Simulations!$A$3:$A$62,0))*IF(INDEX(Simulations!$I$3:$I$62,MATCH($A231,Simulations!$A$3:$A$62,0))&gt;0,2*PI()*INDEX(Simulations!$T$3:$T$62,MATCH($A231,Simulations!$A$3:$A$62,0))^2*INDEX(Simulations!$U$3:$U$62,MATCH($A231,Simulations!$A$3:$A$62,0))/2^1.5*(2/3*LN($H231/INDEX(Simulations!$J$3:$J$62,MATCH($A231,Simulations!$A$3:$A$62,0)))^1.5+SQRT(LN($H231/INDEX(Simulations!$J$3:$J$62,MATCH($A231,Simulations!$A$3:$A$62,0))))+$H231/INDEX(Simulations!$J$3:$J$62,MATCH($A231,Simulations!$A$3:$A$62,0))*SQRT(PI())/2*ERFC(SQRT(LN($H231/INDEX(Simulations!$J$3:$J$62,MATCH($A231,Simulations!$A$3:$A$62,0)))))),PI()*INDEX(Simulations!$T$3:$T$62,MATCH($A231,Simulations!$A$3:$A$62,0))^2/2*(LN($H231/INDEX(Simulations!$J$3:$J$62,MATCH($A231,Simulations!$A$3:$A$62,0)))+1)))))</f>
        <v/>
      </c>
      <c r="U231" s="18" t="str">
        <f aca="false">IF(OR(OR($A231="",ISNA(MATCH($A231,Simulations!$A$3:$A$62,0))),N($C231)&lt;=0),"",SQRT(2*$C231*1000000/(INDEX(Simulations!$J$3:$J$62,MATCH($A231,Simulations!$A$3:$A$62,0))*1000))/INDEX(Simulations!$T$3:$T$62,MATCH($A231,Simulations!$A$3:$A$62,0)))</f>
        <v/>
      </c>
      <c r="V231" s="19" t="str">
        <f aca="false">IF($A231="","",IF(ISNA(MATCH($A231,Simulations!$A$3:$A$62,0)),"✖ Sim ID not found on the Simulations sheet",IF($P231&gt;=1,"✖ brightness &gt;= sampling frequency: completely saturated (D too small, c too large)",IF($P231&gt;0.1,"⚠ brightness &gt; 10% of the sampling frequency: focus starts to saturate",IF(N($U231)&gt;0.1,"⚠ diffusion step &gt; 10% of wr: raise the sampling frequency",IF(MAX($E231:$H231)=0,"⚠ no brightness set","✔ OK"))))))</f>
        <v/>
      </c>
    </row>
    <row r="232" customFormat="false" ht="15" hidden="false" customHeight="false" outlineLevel="0" collapsed="false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4"/>
      <c r="O232" s="18" t="str">
        <f aca="false">IF(OR($A232="",ISNA(MATCH($A232,Simulations!$A$3:$A$62,0))),"",IF(INDEX(Simulations!$I$3:$I$62,MATCH($A232,Simulations!$A$3:$A$62,0))&gt;0,$D232/(INDEX(Simulations!$G$3:$G$62,MATCH($A232,Simulations!$A$3:$A$62,0))*INDEX(Simulations!$H$3:$H$62,MATCH($A232,Simulations!$A$3:$A$62,0))*IF(INDEX(Simulations!$I$3:$I$62,MATCH($A232,Simulations!$A$3:$A$62,0))&gt;0,INDEX(Simulations!$I$3:$I$62,MATCH($A232,Simulations!$A$3:$A$62,0)),1))/1E-024/6.022E+023/0.000000001,""))</f>
        <v/>
      </c>
      <c r="P232" s="20" t="str">
        <f aca="false">IF(OR($A232="",ISNA(MATCH($A232,Simulations!$A$3:$A$62,0))),"",MAX($E232:$H232)/INDEX(Simulations!$J$3:$J$62,MATCH($A232,Simulations!$A$3:$A$62,0)))</f>
        <v/>
      </c>
      <c r="Q232" s="16" t="str">
        <f aca="false">IF(OR($A232="",ISNA(MATCH($A232,Simulations!$A$3:$A$62,0))),"",IF(N($E232)&lt;=0,0,IF($E232&lt;INDEX(Simulations!$J$3:$J$62,MATCH($A232,Simulations!$A$3:$A$62,0)),$D232/(INDEX(Simulations!$G$3:$G$62,MATCH($A232,Simulations!$A$3:$A$62,0))*INDEX(Simulations!$H$3:$H$62,MATCH($A232,Simulations!$A$3:$A$62,0))*IF(INDEX(Simulations!$I$3:$I$62,MATCH($A232,Simulations!$A$3:$A$62,0))&gt;0,INDEX(Simulations!$I$3:$I$62,MATCH($A232,Simulations!$A$3:$A$62,0)),1))*$E232*(PI()/2*INDEX(Simulations!$T$3:$T$62,MATCH($A232,Simulations!$A$3:$A$62,0))^2*IF(INDEX(Simulations!$I$3:$I$62,MATCH($A232,Simulations!$A$3:$A$62,0))&gt;0,SQRT(PI()/2)*INDEX(Simulations!$U$3:$U$62,MATCH($A232,Simulations!$A$3:$A$62,0)),1)),$D232/(INDEX(Simulations!$G$3:$G$62,MATCH($A232,Simulations!$A$3:$A$62,0))*INDEX(Simulations!$H$3:$H$62,MATCH($A232,Simulations!$A$3:$A$62,0))*IF(INDEX(Simulations!$I$3:$I$62,MATCH($A232,Simulations!$A$3:$A$62,0))&gt;0,INDEX(Simulations!$I$3:$I$62,MATCH($A232,Simulations!$A$3:$A$62,0)),1))*INDEX(Simulations!$J$3:$J$62,MATCH($A232,Simulations!$A$3:$A$62,0))*IF(INDEX(Simulations!$I$3:$I$62,MATCH($A232,Simulations!$A$3:$A$62,0))&gt;0,2*PI()*INDEX(Simulations!$T$3:$T$62,MATCH($A232,Simulations!$A$3:$A$62,0))^2*INDEX(Simulations!$U$3:$U$62,MATCH($A232,Simulations!$A$3:$A$62,0))/2^1.5*(2/3*LN($E232/INDEX(Simulations!$J$3:$J$62,MATCH($A232,Simulations!$A$3:$A$62,0)))^1.5+SQRT(LN($E232/INDEX(Simulations!$J$3:$J$62,MATCH($A232,Simulations!$A$3:$A$62,0))))+$E232/INDEX(Simulations!$J$3:$J$62,MATCH($A232,Simulations!$A$3:$A$62,0))*SQRT(PI())/2*ERFC(SQRT(LN($E232/INDEX(Simulations!$J$3:$J$62,MATCH($A232,Simulations!$A$3:$A$62,0)))))),PI()*INDEX(Simulations!$T$3:$T$62,MATCH($A232,Simulations!$A$3:$A$62,0))^2/2*(LN($E232/INDEX(Simulations!$J$3:$J$62,MATCH($A232,Simulations!$A$3:$A$62,0)))+1)))))</f>
        <v/>
      </c>
      <c r="R232" s="16" t="str">
        <f aca="false">IF(OR($A232="",ISNA(MATCH($A232,Simulations!$A$3:$A$62,0))),"",IF(N($F232)&lt;=0,0,IF($F232&lt;INDEX(Simulations!$J$3:$J$62,MATCH($A232,Simulations!$A$3:$A$62,0)),$D232/(INDEX(Simulations!$G$3:$G$62,MATCH($A232,Simulations!$A$3:$A$62,0))*INDEX(Simulations!$H$3:$H$62,MATCH($A232,Simulations!$A$3:$A$62,0))*IF(INDEX(Simulations!$I$3:$I$62,MATCH($A232,Simulations!$A$3:$A$62,0))&gt;0,INDEX(Simulations!$I$3:$I$62,MATCH($A232,Simulations!$A$3:$A$62,0)),1))*$F232*(PI()/2*INDEX(Simulations!$T$3:$T$62,MATCH($A232,Simulations!$A$3:$A$62,0))^2*IF(INDEX(Simulations!$I$3:$I$62,MATCH($A232,Simulations!$A$3:$A$62,0))&gt;0,SQRT(PI()/2)*INDEX(Simulations!$U$3:$U$62,MATCH($A232,Simulations!$A$3:$A$62,0)),1)),$D232/(INDEX(Simulations!$G$3:$G$62,MATCH($A232,Simulations!$A$3:$A$62,0))*INDEX(Simulations!$H$3:$H$62,MATCH($A232,Simulations!$A$3:$A$62,0))*IF(INDEX(Simulations!$I$3:$I$62,MATCH($A232,Simulations!$A$3:$A$62,0))&gt;0,INDEX(Simulations!$I$3:$I$62,MATCH($A232,Simulations!$A$3:$A$62,0)),1))*INDEX(Simulations!$J$3:$J$62,MATCH($A232,Simulations!$A$3:$A$62,0))*IF(INDEX(Simulations!$I$3:$I$62,MATCH($A232,Simulations!$A$3:$A$62,0))&gt;0,2*PI()*INDEX(Simulations!$T$3:$T$62,MATCH($A232,Simulations!$A$3:$A$62,0))^2*INDEX(Simulations!$U$3:$U$62,MATCH($A232,Simulations!$A$3:$A$62,0))/2^1.5*(2/3*LN($F232/INDEX(Simulations!$J$3:$J$62,MATCH($A232,Simulations!$A$3:$A$62,0)))^1.5+SQRT(LN($F232/INDEX(Simulations!$J$3:$J$62,MATCH($A232,Simulations!$A$3:$A$62,0))))+$F232/INDEX(Simulations!$J$3:$J$62,MATCH($A232,Simulations!$A$3:$A$62,0))*SQRT(PI())/2*ERFC(SQRT(LN($F232/INDEX(Simulations!$J$3:$J$62,MATCH($A232,Simulations!$A$3:$A$62,0)))))),PI()*INDEX(Simulations!$T$3:$T$62,MATCH($A232,Simulations!$A$3:$A$62,0))^2/2*(LN($F232/INDEX(Simulations!$J$3:$J$62,MATCH($A232,Simulations!$A$3:$A$62,0)))+1)))))</f>
        <v/>
      </c>
      <c r="S232" s="16" t="str">
        <f aca="false">IF(OR($A232="",ISNA(MATCH($A232,Simulations!$A$3:$A$62,0))),"",IF(N($G232)&lt;=0,0,IF($G232&lt;INDEX(Simulations!$J$3:$J$62,MATCH($A232,Simulations!$A$3:$A$62,0)),$D232/(INDEX(Simulations!$G$3:$G$62,MATCH($A232,Simulations!$A$3:$A$62,0))*INDEX(Simulations!$H$3:$H$62,MATCH($A232,Simulations!$A$3:$A$62,0))*IF(INDEX(Simulations!$I$3:$I$62,MATCH($A232,Simulations!$A$3:$A$62,0))&gt;0,INDEX(Simulations!$I$3:$I$62,MATCH($A232,Simulations!$A$3:$A$62,0)),1))*$G232*(PI()/2*INDEX(Simulations!$T$3:$T$62,MATCH($A232,Simulations!$A$3:$A$62,0))^2*IF(INDEX(Simulations!$I$3:$I$62,MATCH($A232,Simulations!$A$3:$A$62,0))&gt;0,SQRT(PI()/2)*INDEX(Simulations!$U$3:$U$62,MATCH($A232,Simulations!$A$3:$A$62,0)),1)),$D232/(INDEX(Simulations!$G$3:$G$62,MATCH($A232,Simulations!$A$3:$A$62,0))*INDEX(Simulations!$H$3:$H$62,MATCH($A232,Simulations!$A$3:$A$62,0))*IF(INDEX(Simulations!$I$3:$I$62,MATCH($A232,Simulations!$A$3:$A$62,0))&gt;0,INDEX(Simulations!$I$3:$I$62,MATCH($A232,Simulations!$A$3:$A$62,0)),1))*INDEX(Simulations!$J$3:$J$62,MATCH($A232,Simulations!$A$3:$A$62,0))*IF(INDEX(Simulations!$I$3:$I$62,MATCH($A232,Simulations!$A$3:$A$62,0))&gt;0,2*PI()*INDEX(Simulations!$T$3:$T$62,MATCH($A232,Simulations!$A$3:$A$62,0))^2*INDEX(Simulations!$U$3:$U$62,MATCH($A232,Simulations!$A$3:$A$62,0))/2^1.5*(2/3*LN($G232/INDEX(Simulations!$J$3:$J$62,MATCH($A232,Simulations!$A$3:$A$62,0)))^1.5+SQRT(LN($G232/INDEX(Simulations!$J$3:$J$62,MATCH($A232,Simulations!$A$3:$A$62,0))))+$G232/INDEX(Simulations!$J$3:$J$62,MATCH($A232,Simulations!$A$3:$A$62,0))*SQRT(PI())/2*ERFC(SQRT(LN($G232/INDEX(Simulations!$J$3:$J$62,MATCH($A232,Simulations!$A$3:$A$62,0)))))),PI()*INDEX(Simulations!$T$3:$T$62,MATCH($A232,Simulations!$A$3:$A$62,0))^2/2*(LN($G232/INDEX(Simulations!$J$3:$J$62,MATCH($A232,Simulations!$A$3:$A$62,0)))+1)))))</f>
        <v/>
      </c>
      <c r="T232" s="16" t="str">
        <f aca="false">IF(OR($A232="",ISNA(MATCH($A232,Simulations!$A$3:$A$62,0))),"",IF(N($H232)&lt;=0,0,IF($H232&lt;INDEX(Simulations!$J$3:$J$62,MATCH($A232,Simulations!$A$3:$A$62,0)),$D232/(INDEX(Simulations!$G$3:$G$62,MATCH($A232,Simulations!$A$3:$A$62,0))*INDEX(Simulations!$H$3:$H$62,MATCH($A232,Simulations!$A$3:$A$62,0))*IF(INDEX(Simulations!$I$3:$I$62,MATCH($A232,Simulations!$A$3:$A$62,0))&gt;0,INDEX(Simulations!$I$3:$I$62,MATCH($A232,Simulations!$A$3:$A$62,0)),1))*$H232*(PI()/2*INDEX(Simulations!$T$3:$T$62,MATCH($A232,Simulations!$A$3:$A$62,0))^2*IF(INDEX(Simulations!$I$3:$I$62,MATCH($A232,Simulations!$A$3:$A$62,0))&gt;0,SQRT(PI()/2)*INDEX(Simulations!$U$3:$U$62,MATCH($A232,Simulations!$A$3:$A$62,0)),1)),$D232/(INDEX(Simulations!$G$3:$G$62,MATCH($A232,Simulations!$A$3:$A$62,0))*INDEX(Simulations!$H$3:$H$62,MATCH($A232,Simulations!$A$3:$A$62,0))*IF(INDEX(Simulations!$I$3:$I$62,MATCH($A232,Simulations!$A$3:$A$62,0))&gt;0,INDEX(Simulations!$I$3:$I$62,MATCH($A232,Simulations!$A$3:$A$62,0)),1))*INDEX(Simulations!$J$3:$J$62,MATCH($A232,Simulations!$A$3:$A$62,0))*IF(INDEX(Simulations!$I$3:$I$62,MATCH($A232,Simulations!$A$3:$A$62,0))&gt;0,2*PI()*INDEX(Simulations!$T$3:$T$62,MATCH($A232,Simulations!$A$3:$A$62,0))^2*INDEX(Simulations!$U$3:$U$62,MATCH($A232,Simulations!$A$3:$A$62,0))/2^1.5*(2/3*LN($H232/INDEX(Simulations!$J$3:$J$62,MATCH($A232,Simulations!$A$3:$A$62,0)))^1.5+SQRT(LN($H232/INDEX(Simulations!$J$3:$J$62,MATCH($A232,Simulations!$A$3:$A$62,0))))+$H232/INDEX(Simulations!$J$3:$J$62,MATCH($A232,Simulations!$A$3:$A$62,0))*SQRT(PI())/2*ERFC(SQRT(LN($H232/INDEX(Simulations!$J$3:$J$62,MATCH($A232,Simulations!$A$3:$A$62,0)))))),PI()*INDEX(Simulations!$T$3:$T$62,MATCH($A232,Simulations!$A$3:$A$62,0))^2/2*(LN($H232/INDEX(Simulations!$J$3:$J$62,MATCH($A232,Simulations!$A$3:$A$62,0)))+1)))))</f>
        <v/>
      </c>
      <c r="U232" s="18" t="str">
        <f aca="false">IF(OR(OR($A232="",ISNA(MATCH($A232,Simulations!$A$3:$A$62,0))),N($C232)&lt;=0),"",SQRT(2*$C232*1000000/(INDEX(Simulations!$J$3:$J$62,MATCH($A232,Simulations!$A$3:$A$62,0))*1000))/INDEX(Simulations!$T$3:$T$62,MATCH($A232,Simulations!$A$3:$A$62,0)))</f>
        <v/>
      </c>
      <c r="V232" s="19" t="str">
        <f aca="false">IF($A232="","",IF(ISNA(MATCH($A232,Simulations!$A$3:$A$62,0)),"✖ Sim ID not found on the Simulations sheet",IF($P232&gt;=1,"✖ brightness &gt;= sampling frequency: completely saturated (D too small, c too large)",IF($P232&gt;0.1,"⚠ brightness &gt; 10% of the sampling frequency: focus starts to saturate",IF(N($U232)&gt;0.1,"⚠ diffusion step &gt; 10% of wr: raise the sampling frequency",IF(MAX($E232:$H232)=0,"⚠ no brightness set","✔ OK"))))))</f>
        <v/>
      </c>
    </row>
    <row r="233" customFormat="false" ht="15" hidden="false" customHeight="false" outlineLevel="0" collapsed="false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4"/>
      <c r="O233" s="18" t="str">
        <f aca="false">IF(OR($A233="",ISNA(MATCH($A233,Simulations!$A$3:$A$62,0))),"",IF(INDEX(Simulations!$I$3:$I$62,MATCH($A233,Simulations!$A$3:$A$62,0))&gt;0,$D233/(INDEX(Simulations!$G$3:$G$62,MATCH($A233,Simulations!$A$3:$A$62,0))*INDEX(Simulations!$H$3:$H$62,MATCH($A233,Simulations!$A$3:$A$62,0))*IF(INDEX(Simulations!$I$3:$I$62,MATCH($A233,Simulations!$A$3:$A$62,0))&gt;0,INDEX(Simulations!$I$3:$I$62,MATCH($A233,Simulations!$A$3:$A$62,0)),1))/1E-024/6.022E+023/0.000000001,""))</f>
        <v/>
      </c>
      <c r="P233" s="20" t="str">
        <f aca="false">IF(OR($A233="",ISNA(MATCH($A233,Simulations!$A$3:$A$62,0))),"",MAX($E233:$H233)/INDEX(Simulations!$J$3:$J$62,MATCH($A233,Simulations!$A$3:$A$62,0)))</f>
        <v/>
      </c>
      <c r="Q233" s="16" t="str">
        <f aca="false">IF(OR($A233="",ISNA(MATCH($A233,Simulations!$A$3:$A$62,0))),"",IF(N($E233)&lt;=0,0,IF($E233&lt;INDEX(Simulations!$J$3:$J$62,MATCH($A233,Simulations!$A$3:$A$62,0)),$D233/(INDEX(Simulations!$G$3:$G$62,MATCH($A233,Simulations!$A$3:$A$62,0))*INDEX(Simulations!$H$3:$H$62,MATCH($A233,Simulations!$A$3:$A$62,0))*IF(INDEX(Simulations!$I$3:$I$62,MATCH($A233,Simulations!$A$3:$A$62,0))&gt;0,INDEX(Simulations!$I$3:$I$62,MATCH($A233,Simulations!$A$3:$A$62,0)),1))*$E233*(PI()/2*INDEX(Simulations!$T$3:$T$62,MATCH($A233,Simulations!$A$3:$A$62,0))^2*IF(INDEX(Simulations!$I$3:$I$62,MATCH($A233,Simulations!$A$3:$A$62,0))&gt;0,SQRT(PI()/2)*INDEX(Simulations!$U$3:$U$62,MATCH($A233,Simulations!$A$3:$A$62,0)),1)),$D233/(INDEX(Simulations!$G$3:$G$62,MATCH($A233,Simulations!$A$3:$A$62,0))*INDEX(Simulations!$H$3:$H$62,MATCH($A233,Simulations!$A$3:$A$62,0))*IF(INDEX(Simulations!$I$3:$I$62,MATCH($A233,Simulations!$A$3:$A$62,0))&gt;0,INDEX(Simulations!$I$3:$I$62,MATCH($A233,Simulations!$A$3:$A$62,0)),1))*INDEX(Simulations!$J$3:$J$62,MATCH($A233,Simulations!$A$3:$A$62,0))*IF(INDEX(Simulations!$I$3:$I$62,MATCH($A233,Simulations!$A$3:$A$62,0))&gt;0,2*PI()*INDEX(Simulations!$T$3:$T$62,MATCH($A233,Simulations!$A$3:$A$62,0))^2*INDEX(Simulations!$U$3:$U$62,MATCH($A233,Simulations!$A$3:$A$62,0))/2^1.5*(2/3*LN($E233/INDEX(Simulations!$J$3:$J$62,MATCH($A233,Simulations!$A$3:$A$62,0)))^1.5+SQRT(LN($E233/INDEX(Simulations!$J$3:$J$62,MATCH($A233,Simulations!$A$3:$A$62,0))))+$E233/INDEX(Simulations!$J$3:$J$62,MATCH($A233,Simulations!$A$3:$A$62,0))*SQRT(PI())/2*ERFC(SQRT(LN($E233/INDEX(Simulations!$J$3:$J$62,MATCH($A233,Simulations!$A$3:$A$62,0)))))),PI()*INDEX(Simulations!$T$3:$T$62,MATCH($A233,Simulations!$A$3:$A$62,0))^2/2*(LN($E233/INDEX(Simulations!$J$3:$J$62,MATCH($A233,Simulations!$A$3:$A$62,0)))+1)))))</f>
        <v/>
      </c>
      <c r="R233" s="16" t="str">
        <f aca="false">IF(OR($A233="",ISNA(MATCH($A233,Simulations!$A$3:$A$62,0))),"",IF(N($F233)&lt;=0,0,IF($F233&lt;INDEX(Simulations!$J$3:$J$62,MATCH($A233,Simulations!$A$3:$A$62,0)),$D233/(INDEX(Simulations!$G$3:$G$62,MATCH($A233,Simulations!$A$3:$A$62,0))*INDEX(Simulations!$H$3:$H$62,MATCH($A233,Simulations!$A$3:$A$62,0))*IF(INDEX(Simulations!$I$3:$I$62,MATCH($A233,Simulations!$A$3:$A$62,0))&gt;0,INDEX(Simulations!$I$3:$I$62,MATCH($A233,Simulations!$A$3:$A$62,0)),1))*$F233*(PI()/2*INDEX(Simulations!$T$3:$T$62,MATCH($A233,Simulations!$A$3:$A$62,0))^2*IF(INDEX(Simulations!$I$3:$I$62,MATCH($A233,Simulations!$A$3:$A$62,0))&gt;0,SQRT(PI()/2)*INDEX(Simulations!$U$3:$U$62,MATCH($A233,Simulations!$A$3:$A$62,0)),1)),$D233/(INDEX(Simulations!$G$3:$G$62,MATCH($A233,Simulations!$A$3:$A$62,0))*INDEX(Simulations!$H$3:$H$62,MATCH($A233,Simulations!$A$3:$A$62,0))*IF(INDEX(Simulations!$I$3:$I$62,MATCH($A233,Simulations!$A$3:$A$62,0))&gt;0,INDEX(Simulations!$I$3:$I$62,MATCH($A233,Simulations!$A$3:$A$62,0)),1))*INDEX(Simulations!$J$3:$J$62,MATCH($A233,Simulations!$A$3:$A$62,0))*IF(INDEX(Simulations!$I$3:$I$62,MATCH($A233,Simulations!$A$3:$A$62,0))&gt;0,2*PI()*INDEX(Simulations!$T$3:$T$62,MATCH($A233,Simulations!$A$3:$A$62,0))^2*INDEX(Simulations!$U$3:$U$62,MATCH($A233,Simulations!$A$3:$A$62,0))/2^1.5*(2/3*LN($F233/INDEX(Simulations!$J$3:$J$62,MATCH($A233,Simulations!$A$3:$A$62,0)))^1.5+SQRT(LN($F233/INDEX(Simulations!$J$3:$J$62,MATCH($A233,Simulations!$A$3:$A$62,0))))+$F233/INDEX(Simulations!$J$3:$J$62,MATCH($A233,Simulations!$A$3:$A$62,0))*SQRT(PI())/2*ERFC(SQRT(LN($F233/INDEX(Simulations!$J$3:$J$62,MATCH($A233,Simulations!$A$3:$A$62,0)))))),PI()*INDEX(Simulations!$T$3:$T$62,MATCH($A233,Simulations!$A$3:$A$62,0))^2/2*(LN($F233/INDEX(Simulations!$J$3:$J$62,MATCH($A233,Simulations!$A$3:$A$62,0)))+1)))))</f>
        <v/>
      </c>
      <c r="S233" s="16" t="str">
        <f aca="false">IF(OR($A233="",ISNA(MATCH($A233,Simulations!$A$3:$A$62,0))),"",IF(N($G233)&lt;=0,0,IF($G233&lt;INDEX(Simulations!$J$3:$J$62,MATCH($A233,Simulations!$A$3:$A$62,0)),$D233/(INDEX(Simulations!$G$3:$G$62,MATCH($A233,Simulations!$A$3:$A$62,0))*INDEX(Simulations!$H$3:$H$62,MATCH($A233,Simulations!$A$3:$A$62,0))*IF(INDEX(Simulations!$I$3:$I$62,MATCH($A233,Simulations!$A$3:$A$62,0))&gt;0,INDEX(Simulations!$I$3:$I$62,MATCH($A233,Simulations!$A$3:$A$62,0)),1))*$G233*(PI()/2*INDEX(Simulations!$T$3:$T$62,MATCH($A233,Simulations!$A$3:$A$62,0))^2*IF(INDEX(Simulations!$I$3:$I$62,MATCH($A233,Simulations!$A$3:$A$62,0))&gt;0,SQRT(PI()/2)*INDEX(Simulations!$U$3:$U$62,MATCH($A233,Simulations!$A$3:$A$62,0)),1)),$D233/(INDEX(Simulations!$G$3:$G$62,MATCH($A233,Simulations!$A$3:$A$62,0))*INDEX(Simulations!$H$3:$H$62,MATCH($A233,Simulations!$A$3:$A$62,0))*IF(INDEX(Simulations!$I$3:$I$62,MATCH($A233,Simulations!$A$3:$A$62,0))&gt;0,INDEX(Simulations!$I$3:$I$62,MATCH($A233,Simulations!$A$3:$A$62,0)),1))*INDEX(Simulations!$J$3:$J$62,MATCH($A233,Simulations!$A$3:$A$62,0))*IF(INDEX(Simulations!$I$3:$I$62,MATCH($A233,Simulations!$A$3:$A$62,0))&gt;0,2*PI()*INDEX(Simulations!$T$3:$T$62,MATCH($A233,Simulations!$A$3:$A$62,0))^2*INDEX(Simulations!$U$3:$U$62,MATCH($A233,Simulations!$A$3:$A$62,0))/2^1.5*(2/3*LN($G233/INDEX(Simulations!$J$3:$J$62,MATCH($A233,Simulations!$A$3:$A$62,0)))^1.5+SQRT(LN($G233/INDEX(Simulations!$J$3:$J$62,MATCH($A233,Simulations!$A$3:$A$62,0))))+$G233/INDEX(Simulations!$J$3:$J$62,MATCH($A233,Simulations!$A$3:$A$62,0))*SQRT(PI())/2*ERFC(SQRT(LN($G233/INDEX(Simulations!$J$3:$J$62,MATCH($A233,Simulations!$A$3:$A$62,0)))))),PI()*INDEX(Simulations!$T$3:$T$62,MATCH($A233,Simulations!$A$3:$A$62,0))^2/2*(LN($G233/INDEX(Simulations!$J$3:$J$62,MATCH($A233,Simulations!$A$3:$A$62,0)))+1)))))</f>
        <v/>
      </c>
      <c r="T233" s="16" t="str">
        <f aca="false">IF(OR($A233="",ISNA(MATCH($A233,Simulations!$A$3:$A$62,0))),"",IF(N($H233)&lt;=0,0,IF($H233&lt;INDEX(Simulations!$J$3:$J$62,MATCH($A233,Simulations!$A$3:$A$62,0)),$D233/(INDEX(Simulations!$G$3:$G$62,MATCH($A233,Simulations!$A$3:$A$62,0))*INDEX(Simulations!$H$3:$H$62,MATCH($A233,Simulations!$A$3:$A$62,0))*IF(INDEX(Simulations!$I$3:$I$62,MATCH($A233,Simulations!$A$3:$A$62,0))&gt;0,INDEX(Simulations!$I$3:$I$62,MATCH($A233,Simulations!$A$3:$A$62,0)),1))*$H233*(PI()/2*INDEX(Simulations!$T$3:$T$62,MATCH($A233,Simulations!$A$3:$A$62,0))^2*IF(INDEX(Simulations!$I$3:$I$62,MATCH($A233,Simulations!$A$3:$A$62,0))&gt;0,SQRT(PI()/2)*INDEX(Simulations!$U$3:$U$62,MATCH($A233,Simulations!$A$3:$A$62,0)),1)),$D233/(INDEX(Simulations!$G$3:$G$62,MATCH($A233,Simulations!$A$3:$A$62,0))*INDEX(Simulations!$H$3:$H$62,MATCH($A233,Simulations!$A$3:$A$62,0))*IF(INDEX(Simulations!$I$3:$I$62,MATCH($A233,Simulations!$A$3:$A$62,0))&gt;0,INDEX(Simulations!$I$3:$I$62,MATCH($A233,Simulations!$A$3:$A$62,0)),1))*INDEX(Simulations!$J$3:$J$62,MATCH($A233,Simulations!$A$3:$A$62,0))*IF(INDEX(Simulations!$I$3:$I$62,MATCH($A233,Simulations!$A$3:$A$62,0))&gt;0,2*PI()*INDEX(Simulations!$T$3:$T$62,MATCH($A233,Simulations!$A$3:$A$62,0))^2*INDEX(Simulations!$U$3:$U$62,MATCH($A233,Simulations!$A$3:$A$62,0))/2^1.5*(2/3*LN($H233/INDEX(Simulations!$J$3:$J$62,MATCH($A233,Simulations!$A$3:$A$62,0)))^1.5+SQRT(LN($H233/INDEX(Simulations!$J$3:$J$62,MATCH($A233,Simulations!$A$3:$A$62,0))))+$H233/INDEX(Simulations!$J$3:$J$62,MATCH($A233,Simulations!$A$3:$A$62,0))*SQRT(PI())/2*ERFC(SQRT(LN($H233/INDEX(Simulations!$J$3:$J$62,MATCH($A233,Simulations!$A$3:$A$62,0)))))),PI()*INDEX(Simulations!$T$3:$T$62,MATCH($A233,Simulations!$A$3:$A$62,0))^2/2*(LN($H233/INDEX(Simulations!$J$3:$J$62,MATCH($A233,Simulations!$A$3:$A$62,0)))+1)))))</f>
        <v/>
      </c>
      <c r="U233" s="18" t="str">
        <f aca="false">IF(OR(OR($A233="",ISNA(MATCH($A233,Simulations!$A$3:$A$62,0))),N($C233)&lt;=0),"",SQRT(2*$C233*1000000/(INDEX(Simulations!$J$3:$J$62,MATCH($A233,Simulations!$A$3:$A$62,0))*1000))/INDEX(Simulations!$T$3:$T$62,MATCH($A233,Simulations!$A$3:$A$62,0)))</f>
        <v/>
      </c>
      <c r="V233" s="19" t="str">
        <f aca="false">IF($A233="","",IF(ISNA(MATCH($A233,Simulations!$A$3:$A$62,0)),"✖ Sim ID not found on the Simulations sheet",IF($P233&gt;=1,"✖ brightness &gt;= sampling frequency: completely saturated (D too small, c too large)",IF($P233&gt;0.1,"⚠ brightness &gt; 10% of the sampling frequency: focus starts to saturate",IF(N($U233)&gt;0.1,"⚠ diffusion step &gt; 10% of wr: raise the sampling frequency",IF(MAX($E233:$H233)=0,"⚠ no brightness set","✔ OK"))))))</f>
        <v/>
      </c>
    </row>
    <row r="234" customFormat="false" ht="15" hidden="false" customHeight="false" outlineLevel="0" collapsed="false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4"/>
      <c r="O234" s="18" t="str">
        <f aca="false">IF(OR($A234="",ISNA(MATCH($A234,Simulations!$A$3:$A$62,0))),"",IF(INDEX(Simulations!$I$3:$I$62,MATCH($A234,Simulations!$A$3:$A$62,0))&gt;0,$D234/(INDEX(Simulations!$G$3:$G$62,MATCH($A234,Simulations!$A$3:$A$62,0))*INDEX(Simulations!$H$3:$H$62,MATCH($A234,Simulations!$A$3:$A$62,0))*IF(INDEX(Simulations!$I$3:$I$62,MATCH($A234,Simulations!$A$3:$A$62,0))&gt;0,INDEX(Simulations!$I$3:$I$62,MATCH($A234,Simulations!$A$3:$A$62,0)),1))/1E-024/6.022E+023/0.000000001,""))</f>
        <v/>
      </c>
      <c r="P234" s="20" t="str">
        <f aca="false">IF(OR($A234="",ISNA(MATCH($A234,Simulations!$A$3:$A$62,0))),"",MAX($E234:$H234)/INDEX(Simulations!$J$3:$J$62,MATCH($A234,Simulations!$A$3:$A$62,0)))</f>
        <v/>
      </c>
      <c r="Q234" s="16" t="str">
        <f aca="false">IF(OR($A234="",ISNA(MATCH($A234,Simulations!$A$3:$A$62,0))),"",IF(N($E234)&lt;=0,0,IF($E234&lt;INDEX(Simulations!$J$3:$J$62,MATCH($A234,Simulations!$A$3:$A$62,0)),$D234/(INDEX(Simulations!$G$3:$G$62,MATCH($A234,Simulations!$A$3:$A$62,0))*INDEX(Simulations!$H$3:$H$62,MATCH($A234,Simulations!$A$3:$A$62,0))*IF(INDEX(Simulations!$I$3:$I$62,MATCH($A234,Simulations!$A$3:$A$62,0))&gt;0,INDEX(Simulations!$I$3:$I$62,MATCH($A234,Simulations!$A$3:$A$62,0)),1))*$E234*(PI()/2*INDEX(Simulations!$T$3:$T$62,MATCH($A234,Simulations!$A$3:$A$62,0))^2*IF(INDEX(Simulations!$I$3:$I$62,MATCH($A234,Simulations!$A$3:$A$62,0))&gt;0,SQRT(PI()/2)*INDEX(Simulations!$U$3:$U$62,MATCH($A234,Simulations!$A$3:$A$62,0)),1)),$D234/(INDEX(Simulations!$G$3:$G$62,MATCH($A234,Simulations!$A$3:$A$62,0))*INDEX(Simulations!$H$3:$H$62,MATCH($A234,Simulations!$A$3:$A$62,0))*IF(INDEX(Simulations!$I$3:$I$62,MATCH($A234,Simulations!$A$3:$A$62,0))&gt;0,INDEX(Simulations!$I$3:$I$62,MATCH($A234,Simulations!$A$3:$A$62,0)),1))*INDEX(Simulations!$J$3:$J$62,MATCH($A234,Simulations!$A$3:$A$62,0))*IF(INDEX(Simulations!$I$3:$I$62,MATCH($A234,Simulations!$A$3:$A$62,0))&gt;0,2*PI()*INDEX(Simulations!$T$3:$T$62,MATCH($A234,Simulations!$A$3:$A$62,0))^2*INDEX(Simulations!$U$3:$U$62,MATCH($A234,Simulations!$A$3:$A$62,0))/2^1.5*(2/3*LN($E234/INDEX(Simulations!$J$3:$J$62,MATCH($A234,Simulations!$A$3:$A$62,0)))^1.5+SQRT(LN($E234/INDEX(Simulations!$J$3:$J$62,MATCH($A234,Simulations!$A$3:$A$62,0))))+$E234/INDEX(Simulations!$J$3:$J$62,MATCH($A234,Simulations!$A$3:$A$62,0))*SQRT(PI())/2*ERFC(SQRT(LN($E234/INDEX(Simulations!$J$3:$J$62,MATCH($A234,Simulations!$A$3:$A$62,0)))))),PI()*INDEX(Simulations!$T$3:$T$62,MATCH($A234,Simulations!$A$3:$A$62,0))^2/2*(LN($E234/INDEX(Simulations!$J$3:$J$62,MATCH($A234,Simulations!$A$3:$A$62,0)))+1)))))</f>
        <v/>
      </c>
      <c r="R234" s="16" t="str">
        <f aca="false">IF(OR($A234="",ISNA(MATCH($A234,Simulations!$A$3:$A$62,0))),"",IF(N($F234)&lt;=0,0,IF($F234&lt;INDEX(Simulations!$J$3:$J$62,MATCH($A234,Simulations!$A$3:$A$62,0)),$D234/(INDEX(Simulations!$G$3:$G$62,MATCH($A234,Simulations!$A$3:$A$62,0))*INDEX(Simulations!$H$3:$H$62,MATCH($A234,Simulations!$A$3:$A$62,0))*IF(INDEX(Simulations!$I$3:$I$62,MATCH($A234,Simulations!$A$3:$A$62,0))&gt;0,INDEX(Simulations!$I$3:$I$62,MATCH($A234,Simulations!$A$3:$A$62,0)),1))*$F234*(PI()/2*INDEX(Simulations!$T$3:$T$62,MATCH($A234,Simulations!$A$3:$A$62,0))^2*IF(INDEX(Simulations!$I$3:$I$62,MATCH($A234,Simulations!$A$3:$A$62,0))&gt;0,SQRT(PI()/2)*INDEX(Simulations!$U$3:$U$62,MATCH($A234,Simulations!$A$3:$A$62,0)),1)),$D234/(INDEX(Simulations!$G$3:$G$62,MATCH($A234,Simulations!$A$3:$A$62,0))*INDEX(Simulations!$H$3:$H$62,MATCH($A234,Simulations!$A$3:$A$62,0))*IF(INDEX(Simulations!$I$3:$I$62,MATCH($A234,Simulations!$A$3:$A$62,0))&gt;0,INDEX(Simulations!$I$3:$I$62,MATCH($A234,Simulations!$A$3:$A$62,0)),1))*INDEX(Simulations!$J$3:$J$62,MATCH($A234,Simulations!$A$3:$A$62,0))*IF(INDEX(Simulations!$I$3:$I$62,MATCH($A234,Simulations!$A$3:$A$62,0))&gt;0,2*PI()*INDEX(Simulations!$T$3:$T$62,MATCH($A234,Simulations!$A$3:$A$62,0))^2*INDEX(Simulations!$U$3:$U$62,MATCH($A234,Simulations!$A$3:$A$62,0))/2^1.5*(2/3*LN($F234/INDEX(Simulations!$J$3:$J$62,MATCH($A234,Simulations!$A$3:$A$62,0)))^1.5+SQRT(LN($F234/INDEX(Simulations!$J$3:$J$62,MATCH($A234,Simulations!$A$3:$A$62,0))))+$F234/INDEX(Simulations!$J$3:$J$62,MATCH($A234,Simulations!$A$3:$A$62,0))*SQRT(PI())/2*ERFC(SQRT(LN($F234/INDEX(Simulations!$J$3:$J$62,MATCH($A234,Simulations!$A$3:$A$62,0)))))),PI()*INDEX(Simulations!$T$3:$T$62,MATCH($A234,Simulations!$A$3:$A$62,0))^2/2*(LN($F234/INDEX(Simulations!$J$3:$J$62,MATCH($A234,Simulations!$A$3:$A$62,0)))+1)))))</f>
        <v/>
      </c>
      <c r="S234" s="16" t="str">
        <f aca="false">IF(OR($A234="",ISNA(MATCH($A234,Simulations!$A$3:$A$62,0))),"",IF(N($G234)&lt;=0,0,IF($G234&lt;INDEX(Simulations!$J$3:$J$62,MATCH($A234,Simulations!$A$3:$A$62,0)),$D234/(INDEX(Simulations!$G$3:$G$62,MATCH($A234,Simulations!$A$3:$A$62,0))*INDEX(Simulations!$H$3:$H$62,MATCH($A234,Simulations!$A$3:$A$62,0))*IF(INDEX(Simulations!$I$3:$I$62,MATCH($A234,Simulations!$A$3:$A$62,0))&gt;0,INDEX(Simulations!$I$3:$I$62,MATCH($A234,Simulations!$A$3:$A$62,0)),1))*$G234*(PI()/2*INDEX(Simulations!$T$3:$T$62,MATCH($A234,Simulations!$A$3:$A$62,0))^2*IF(INDEX(Simulations!$I$3:$I$62,MATCH($A234,Simulations!$A$3:$A$62,0))&gt;0,SQRT(PI()/2)*INDEX(Simulations!$U$3:$U$62,MATCH($A234,Simulations!$A$3:$A$62,0)),1)),$D234/(INDEX(Simulations!$G$3:$G$62,MATCH($A234,Simulations!$A$3:$A$62,0))*INDEX(Simulations!$H$3:$H$62,MATCH($A234,Simulations!$A$3:$A$62,0))*IF(INDEX(Simulations!$I$3:$I$62,MATCH($A234,Simulations!$A$3:$A$62,0))&gt;0,INDEX(Simulations!$I$3:$I$62,MATCH($A234,Simulations!$A$3:$A$62,0)),1))*INDEX(Simulations!$J$3:$J$62,MATCH($A234,Simulations!$A$3:$A$62,0))*IF(INDEX(Simulations!$I$3:$I$62,MATCH($A234,Simulations!$A$3:$A$62,0))&gt;0,2*PI()*INDEX(Simulations!$T$3:$T$62,MATCH($A234,Simulations!$A$3:$A$62,0))^2*INDEX(Simulations!$U$3:$U$62,MATCH($A234,Simulations!$A$3:$A$62,0))/2^1.5*(2/3*LN($G234/INDEX(Simulations!$J$3:$J$62,MATCH($A234,Simulations!$A$3:$A$62,0)))^1.5+SQRT(LN($G234/INDEX(Simulations!$J$3:$J$62,MATCH($A234,Simulations!$A$3:$A$62,0))))+$G234/INDEX(Simulations!$J$3:$J$62,MATCH($A234,Simulations!$A$3:$A$62,0))*SQRT(PI())/2*ERFC(SQRT(LN($G234/INDEX(Simulations!$J$3:$J$62,MATCH($A234,Simulations!$A$3:$A$62,0)))))),PI()*INDEX(Simulations!$T$3:$T$62,MATCH($A234,Simulations!$A$3:$A$62,0))^2/2*(LN($G234/INDEX(Simulations!$J$3:$J$62,MATCH($A234,Simulations!$A$3:$A$62,0)))+1)))))</f>
        <v/>
      </c>
      <c r="T234" s="16" t="str">
        <f aca="false">IF(OR($A234="",ISNA(MATCH($A234,Simulations!$A$3:$A$62,0))),"",IF(N($H234)&lt;=0,0,IF($H234&lt;INDEX(Simulations!$J$3:$J$62,MATCH($A234,Simulations!$A$3:$A$62,0)),$D234/(INDEX(Simulations!$G$3:$G$62,MATCH($A234,Simulations!$A$3:$A$62,0))*INDEX(Simulations!$H$3:$H$62,MATCH($A234,Simulations!$A$3:$A$62,0))*IF(INDEX(Simulations!$I$3:$I$62,MATCH($A234,Simulations!$A$3:$A$62,0))&gt;0,INDEX(Simulations!$I$3:$I$62,MATCH($A234,Simulations!$A$3:$A$62,0)),1))*$H234*(PI()/2*INDEX(Simulations!$T$3:$T$62,MATCH($A234,Simulations!$A$3:$A$62,0))^2*IF(INDEX(Simulations!$I$3:$I$62,MATCH($A234,Simulations!$A$3:$A$62,0))&gt;0,SQRT(PI()/2)*INDEX(Simulations!$U$3:$U$62,MATCH($A234,Simulations!$A$3:$A$62,0)),1)),$D234/(INDEX(Simulations!$G$3:$G$62,MATCH($A234,Simulations!$A$3:$A$62,0))*INDEX(Simulations!$H$3:$H$62,MATCH($A234,Simulations!$A$3:$A$62,0))*IF(INDEX(Simulations!$I$3:$I$62,MATCH($A234,Simulations!$A$3:$A$62,0))&gt;0,INDEX(Simulations!$I$3:$I$62,MATCH($A234,Simulations!$A$3:$A$62,0)),1))*INDEX(Simulations!$J$3:$J$62,MATCH($A234,Simulations!$A$3:$A$62,0))*IF(INDEX(Simulations!$I$3:$I$62,MATCH($A234,Simulations!$A$3:$A$62,0))&gt;0,2*PI()*INDEX(Simulations!$T$3:$T$62,MATCH($A234,Simulations!$A$3:$A$62,0))^2*INDEX(Simulations!$U$3:$U$62,MATCH($A234,Simulations!$A$3:$A$62,0))/2^1.5*(2/3*LN($H234/INDEX(Simulations!$J$3:$J$62,MATCH($A234,Simulations!$A$3:$A$62,0)))^1.5+SQRT(LN($H234/INDEX(Simulations!$J$3:$J$62,MATCH($A234,Simulations!$A$3:$A$62,0))))+$H234/INDEX(Simulations!$J$3:$J$62,MATCH($A234,Simulations!$A$3:$A$62,0))*SQRT(PI())/2*ERFC(SQRT(LN($H234/INDEX(Simulations!$J$3:$J$62,MATCH($A234,Simulations!$A$3:$A$62,0)))))),PI()*INDEX(Simulations!$T$3:$T$62,MATCH($A234,Simulations!$A$3:$A$62,0))^2/2*(LN($H234/INDEX(Simulations!$J$3:$J$62,MATCH($A234,Simulations!$A$3:$A$62,0)))+1)))))</f>
        <v/>
      </c>
      <c r="U234" s="18" t="str">
        <f aca="false">IF(OR(OR($A234="",ISNA(MATCH($A234,Simulations!$A$3:$A$62,0))),N($C234)&lt;=0),"",SQRT(2*$C234*1000000/(INDEX(Simulations!$J$3:$J$62,MATCH($A234,Simulations!$A$3:$A$62,0))*1000))/INDEX(Simulations!$T$3:$T$62,MATCH($A234,Simulations!$A$3:$A$62,0)))</f>
        <v/>
      </c>
      <c r="V234" s="19" t="str">
        <f aca="false">IF($A234="","",IF(ISNA(MATCH($A234,Simulations!$A$3:$A$62,0)),"✖ Sim ID not found on the Simulations sheet",IF($P234&gt;=1,"✖ brightness &gt;= sampling frequency: completely saturated (D too small, c too large)",IF($P234&gt;0.1,"⚠ brightness &gt; 10% of the sampling frequency: focus starts to saturate",IF(N($U234)&gt;0.1,"⚠ diffusion step &gt; 10% of wr: raise the sampling frequency",IF(MAX($E234:$H234)=0,"⚠ no brightness set","✔ OK"))))))</f>
        <v/>
      </c>
    </row>
    <row r="235" customFormat="false" ht="15" hidden="false" customHeight="false" outlineLevel="0" collapsed="false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4"/>
      <c r="O235" s="18" t="str">
        <f aca="false">IF(OR($A235="",ISNA(MATCH($A235,Simulations!$A$3:$A$62,0))),"",IF(INDEX(Simulations!$I$3:$I$62,MATCH($A235,Simulations!$A$3:$A$62,0))&gt;0,$D235/(INDEX(Simulations!$G$3:$G$62,MATCH($A235,Simulations!$A$3:$A$62,0))*INDEX(Simulations!$H$3:$H$62,MATCH($A235,Simulations!$A$3:$A$62,0))*IF(INDEX(Simulations!$I$3:$I$62,MATCH($A235,Simulations!$A$3:$A$62,0))&gt;0,INDEX(Simulations!$I$3:$I$62,MATCH($A235,Simulations!$A$3:$A$62,0)),1))/1E-024/6.022E+023/0.000000001,""))</f>
        <v/>
      </c>
      <c r="P235" s="20" t="str">
        <f aca="false">IF(OR($A235="",ISNA(MATCH($A235,Simulations!$A$3:$A$62,0))),"",MAX($E235:$H235)/INDEX(Simulations!$J$3:$J$62,MATCH($A235,Simulations!$A$3:$A$62,0)))</f>
        <v/>
      </c>
      <c r="Q235" s="16" t="str">
        <f aca="false">IF(OR($A235="",ISNA(MATCH($A235,Simulations!$A$3:$A$62,0))),"",IF(N($E235)&lt;=0,0,IF($E235&lt;INDEX(Simulations!$J$3:$J$62,MATCH($A235,Simulations!$A$3:$A$62,0)),$D235/(INDEX(Simulations!$G$3:$G$62,MATCH($A235,Simulations!$A$3:$A$62,0))*INDEX(Simulations!$H$3:$H$62,MATCH($A235,Simulations!$A$3:$A$62,0))*IF(INDEX(Simulations!$I$3:$I$62,MATCH($A235,Simulations!$A$3:$A$62,0))&gt;0,INDEX(Simulations!$I$3:$I$62,MATCH($A235,Simulations!$A$3:$A$62,0)),1))*$E235*(PI()/2*INDEX(Simulations!$T$3:$T$62,MATCH($A235,Simulations!$A$3:$A$62,0))^2*IF(INDEX(Simulations!$I$3:$I$62,MATCH($A235,Simulations!$A$3:$A$62,0))&gt;0,SQRT(PI()/2)*INDEX(Simulations!$U$3:$U$62,MATCH($A235,Simulations!$A$3:$A$62,0)),1)),$D235/(INDEX(Simulations!$G$3:$G$62,MATCH($A235,Simulations!$A$3:$A$62,0))*INDEX(Simulations!$H$3:$H$62,MATCH($A235,Simulations!$A$3:$A$62,0))*IF(INDEX(Simulations!$I$3:$I$62,MATCH($A235,Simulations!$A$3:$A$62,0))&gt;0,INDEX(Simulations!$I$3:$I$62,MATCH($A235,Simulations!$A$3:$A$62,0)),1))*INDEX(Simulations!$J$3:$J$62,MATCH($A235,Simulations!$A$3:$A$62,0))*IF(INDEX(Simulations!$I$3:$I$62,MATCH($A235,Simulations!$A$3:$A$62,0))&gt;0,2*PI()*INDEX(Simulations!$T$3:$T$62,MATCH($A235,Simulations!$A$3:$A$62,0))^2*INDEX(Simulations!$U$3:$U$62,MATCH($A235,Simulations!$A$3:$A$62,0))/2^1.5*(2/3*LN($E235/INDEX(Simulations!$J$3:$J$62,MATCH($A235,Simulations!$A$3:$A$62,0)))^1.5+SQRT(LN($E235/INDEX(Simulations!$J$3:$J$62,MATCH($A235,Simulations!$A$3:$A$62,0))))+$E235/INDEX(Simulations!$J$3:$J$62,MATCH($A235,Simulations!$A$3:$A$62,0))*SQRT(PI())/2*ERFC(SQRT(LN($E235/INDEX(Simulations!$J$3:$J$62,MATCH($A235,Simulations!$A$3:$A$62,0)))))),PI()*INDEX(Simulations!$T$3:$T$62,MATCH($A235,Simulations!$A$3:$A$62,0))^2/2*(LN($E235/INDEX(Simulations!$J$3:$J$62,MATCH($A235,Simulations!$A$3:$A$62,0)))+1)))))</f>
        <v/>
      </c>
      <c r="R235" s="16" t="str">
        <f aca="false">IF(OR($A235="",ISNA(MATCH($A235,Simulations!$A$3:$A$62,0))),"",IF(N($F235)&lt;=0,0,IF($F235&lt;INDEX(Simulations!$J$3:$J$62,MATCH($A235,Simulations!$A$3:$A$62,0)),$D235/(INDEX(Simulations!$G$3:$G$62,MATCH($A235,Simulations!$A$3:$A$62,0))*INDEX(Simulations!$H$3:$H$62,MATCH($A235,Simulations!$A$3:$A$62,0))*IF(INDEX(Simulations!$I$3:$I$62,MATCH($A235,Simulations!$A$3:$A$62,0))&gt;0,INDEX(Simulations!$I$3:$I$62,MATCH($A235,Simulations!$A$3:$A$62,0)),1))*$F235*(PI()/2*INDEX(Simulations!$T$3:$T$62,MATCH($A235,Simulations!$A$3:$A$62,0))^2*IF(INDEX(Simulations!$I$3:$I$62,MATCH($A235,Simulations!$A$3:$A$62,0))&gt;0,SQRT(PI()/2)*INDEX(Simulations!$U$3:$U$62,MATCH($A235,Simulations!$A$3:$A$62,0)),1)),$D235/(INDEX(Simulations!$G$3:$G$62,MATCH($A235,Simulations!$A$3:$A$62,0))*INDEX(Simulations!$H$3:$H$62,MATCH($A235,Simulations!$A$3:$A$62,0))*IF(INDEX(Simulations!$I$3:$I$62,MATCH($A235,Simulations!$A$3:$A$62,0))&gt;0,INDEX(Simulations!$I$3:$I$62,MATCH($A235,Simulations!$A$3:$A$62,0)),1))*INDEX(Simulations!$J$3:$J$62,MATCH($A235,Simulations!$A$3:$A$62,0))*IF(INDEX(Simulations!$I$3:$I$62,MATCH($A235,Simulations!$A$3:$A$62,0))&gt;0,2*PI()*INDEX(Simulations!$T$3:$T$62,MATCH($A235,Simulations!$A$3:$A$62,0))^2*INDEX(Simulations!$U$3:$U$62,MATCH($A235,Simulations!$A$3:$A$62,0))/2^1.5*(2/3*LN($F235/INDEX(Simulations!$J$3:$J$62,MATCH($A235,Simulations!$A$3:$A$62,0)))^1.5+SQRT(LN($F235/INDEX(Simulations!$J$3:$J$62,MATCH($A235,Simulations!$A$3:$A$62,0))))+$F235/INDEX(Simulations!$J$3:$J$62,MATCH($A235,Simulations!$A$3:$A$62,0))*SQRT(PI())/2*ERFC(SQRT(LN($F235/INDEX(Simulations!$J$3:$J$62,MATCH($A235,Simulations!$A$3:$A$62,0)))))),PI()*INDEX(Simulations!$T$3:$T$62,MATCH($A235,Simulations!$A$3:$A$62,0))^2/2*(LN($F235/INDEX(Simulations!$J$3:$J$62,MATCH($A235,Simulations!$A$3:$A$62,0)))+1)))))</f>
        <v/>
      </c>
      <c r="S235" s="16" t="str">
        <f aca="false">IF(OR($A235="",ISNA(MATCH($A235,Simulations!$A$3:$A$62,0))),"",IF(N($G235)&lt;=0,0,IF($G235&lt;INDEX(Simulations!$J$3:$J$62,MATCH($A235,Simulations!$A$3:$A$62,0)),$D235/(INDEX(Simulations!$G$3:$G$62,MATCH($A235,Simulations!$A$3:$A$62,0))*INDEX(Simulations!$H$3:$H$62,MATCH($A235,Simulations!$A$3:$A$62,0))*IF(INDEX(Simulations!$I$3:$I$62,MATCH($A235,Simulations!$A$3:$A$62,0))&gt;0,INDEX(Simulations!$I$3:$I$62,MATCH($A235,Simulations!$A$3:$A$62,0)),1))*$G235*(PI()/2*INDEX(Simulations!$T$3:$T$62,MATCH($A235,Simulations!$A$3:$A$62,0))^2*IF(INDEX(Simulations!$I$3:$I$62,MATCH($A235,Simulations!$A$3:$A$62,0))&gt;0,SQRT(PI()/2)*INDEX(Simulations!$U$3:$U$62,MATCH($A235,Simulations!$A$3:$A$62,0)),1)),$D235/(INDEX(Simulations!$G$3:$G$62,MATCH($A235,Simulations!$A$3:$A$62,0))*INDEX(Simulations!$H$3:$H$62,MATCH($A235,Simulations!$A$3:$A$62,0))*IF(INDEX(Simulations!$I$3:$I$62,MATCH($A235,Simulations!$A$3:$A$62,0))&gt;0,INDEX(Simulations!$I$3:$I$62,MATCH($A235,Simulations!$A$3:$A$62,0)),1))*INDEX(Simulations!$J$3:$J$62,MATCH($A235,Simulations!$A$3:$A$62,0))*IF(INDEX(Simulations!$I$3:$I$62,MATCH($A235,Simulations!$A$3:$A$62,0))&gt;0,2*PI()*INDEX(Simulations!$T$3:$T$62,MATCH($A235,Simulations!$A$3:$A$62,0))^2*INDEX(Simulations!$U$3:$U$62,MATCH($A235,Simulations!$A$3:$A$62,0))/2^1.5*(2/3*LN($G235/INDEX(Simulations!$J$3:$J$62,MATCH($A235,Simulations!$A$3:$A$62,0)))^1.5+SQRT(LN($G235/INDEX(Simulations!$J$3:$J$62,MATCH($A235,Simulations!$A$3:$A$62,0))))+$G235/INDEX(Simulations!$J$3:$J$62,MATCH($A235,Simulations!$A$3:$A$62,0))*SQRT(PI())/2*ERFC(SQRT(LN($G235/INDEX(Simulations!$J$3:$J$62,MATCH($A235,Simulations!$A$3:$A$62,0)))))),PI()*INDEX(Simulations!$T$3:$T$62,MATCH($A235,Simulations!$A$3:$A$62,0))^2/2*(LN($G235/INDEX(Simulations!$J$3:$J$62,MATCH($A235,Simulations!$A$3:$A$62,0)))+1)))))</f>
        <v/>
      </c>
      <c r="T235" s="16" t="str">
        <f aca="false">IF(OR($A235="",ISNA(MATCH($A235,Simulations!$A$3:$A$62,0))),"",IF(N($H235)&lt;=0,0,IF($H235&lt;INDEX(Simulations!$J$3:$J$62,MATCH($A235,Simulations!$A$3:$A$62,0)),$D235/(INDEX(Simulations!$G$3:$G$62,MATCH($A235,Simulations!$A$3:$A$62,0))*INDEX(Simulations!$H$3:$H$62,MATCH($A235,Simulations!$A$3:$A$62,0))*IF(INDEX(Simulations!$I$3:$I$62,MATCH($A235,Simulations!$A$3:$A$62,0))&gt;0,INDEX(Simulations!$I$3:$I$62,MATCH($A235,Simulations!$A$3:$A$62,0)),1))*$H235*(PI()/2*INDEX(Simulations!$T$3:$T$62,MATCH($A235,Simulations!$A$3:$A$62,0))^2*IF(INDEX(Simulations!$I$3:$I$62,MATCH($A235,Simulations!$A$3:$A$62,0))&gt;0,SQRT(PI()/2)*INDEX(Simulations!$U$3:$U$62,MATCH($A235,Simulations!$A$3:$A$62,0)),1)),$D235/(INDEX(Simulations!$G$3:$G$62,MATCH($A235,Simulations!$A$3:$A$62,0))*INDEX(Simulations!$H$3:$H$62,MATCH($A235,Simulations!$A$3:$A$62,0))*IF(INDEX(Simulations!$I$3:$I$62,MATCH($A235,Simulations!$A$3:$A$62,0))&gt;0,INDEX(Simulations!$I$3:$I$62,MATCH($A235,Simulations!$A$3:$A$62,0)),1))*INDEX(Simulations!$J$3:$J$62,MATCH($A235,Simulations!$A$3:$A$62,0))*IF(INDEX(Simulations!$I$3:$I$62,MATCH($A235,Simulations!$A$3:$A$62,0))&gt;0,2*PI()*INDEX(Simulations!$T$3:$T$62,MATCH($A235,Simulations!$A$3:$A$62,0))^2*INDEX(Simulations!$U$3:$U$62,MATCH($A235,Simulations!$A$3:$A$62,0))/2^1.5*(2/3*LN($H235/INDEX(Simulations!$J$3:$J$62,MATCH($A235,Simulations!$A$3:$A$62,0)))^1.5+SQRT(LN($H235/INDEX(Simulations!$J$3:$J$62,MATCH($A235,Simulations!$A$3:$A$62,0))))+$H235/INDEX(Simulations!$J$3:$J$62,MATCH($A235,Simulations!$A$3:$A$62,0))*SQRT(PI())/2*ERFC(SQRT(LN($H235/INDEX(Simulations!$J$3:$J$62,MATCH($A235,Simulations!$A$3:$A$62,0)))))),PI()*INDEX(Simulations!$T$3:$T$62,MATCH($A235,Simulations!$A$3:$A$62,0))^2/2*(LN($H235/INDEX(Simulations!$J$3:$J$62,MATCH($A235,Simulations!$A$3:$A$62,0)))+1)))))</f>
        <v/>
      </c>
      <c r="U235" s="18" t="str">
        <f aca="false">IF(OR(OR($A235="",ISNA(MATCH($A235,Simulations!$A$3:$A$62,0))),N($C235)&lt;=0),"",SQRT(2*$C235*1000000/(INDEX(Simulations!$J$3:$J$62,MATCH($A235,Simulations!$A$3:$A$62,0))*1000))/INDEX(Simulations!$T$3:$T$62,MATCH($A235,Simulations!$A$3:$A$62,0)))</f>
        <v/>
      </c>
      <c r="V235" s="19" t="str">
        <f aca="false">IF($A235="","",IF(ISNA(MATCH($A235,Simulations!$A$3:$A$62,0)),"✖ Sim ID not found on the Simulations sheet",IF($P235&gt;=1,"✖ brightness &gt;= sampling frequency: completely saturated (D too small, c too large)",IF($P235&gt;0.1,"⚠ brightness &gt; 10% of the sampling frequency: focus starts to saturate",IF(N($U235)&gt;0.1,"⚠ diffusion step &gt; 10% of wr: raise the sampling frequency",IF(MAX($E235:$H235)=0,"⚠ no brightness set","✔ OK"))))))</f>
        <v/>
      </c>
    </row>
    <row r="236" customFormat="false" ht="15" hidden="false" customHeight="false" outlineLevel="0" collapsed="false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4"/>
      <c r="O236" s="18" t="str">
        <f aca="false">IF(OR($A236="",ISNA(MATCH($A236,Simulations!$A$3:$A$62,0))),"",IF(INDEX(Simulations!$I$3:$I$62,MATCH($A236,Simulations!$A$3:$A$62,0))&gt;0,$D236/(INDEX(Simulations!$G$3:$G$62,MATCH($A236,Simulations!$A$3:$A$62,0))*INDEX(Simulations!$H$3:$H$62,MATCH($A236,Simulations!$A$3:$A$62,0))*IF(INDEX(Simulations!$I$3:$I$62,MATCH($A236,Simulations!$A$3:$A$62,0))&gt;0,INDEX(Simulations!$I$3:$I$62,MATCH($A236,Simulations!$A$3:$A$62,0)),1))/1E-024/6.022E+023/0.000000001,""))</f>
        <v/>
      </c>
      <c r="P236" s="20" t="str">
        <f aca="false">IF(OR($A236="",ISNA(MATCH($A236,Simulations!$A$3:$A$62,0))),"",MAX($E236:$H236)/INDEX(Simulations!$J$3:$J$62,MATCH($A236,Simulations!$A$3:$A$62,0)))</f>
        <v/>
      </c>
      <c r="Q236" s="16" t="str">
        <f aca="false">IF(OR($A236="",ISNA(MATCH($A236,Simulations!$A$3:$A$62,0))),"",IF(N($E236)&lt;=0,0,IF($E236&lt;INDEX(Simulations!$J$3:$J$62,MATCH($A236,Simulations!$A$3:$A$62,0)),$D236/(INDEX(Simulations!$G$3:$G$62,MATCH($A236,Simulations!$A$3:$A$62,0))*INDEX(Simulations!$H$3:$H$62,MATCH($A236,Simulations!$A$3:$A$62,0))*IF(INDEX(Simulations!$I$3:$I$62,MATCH($A236,Simulations!$A$3:$A$62,0))&gt;0,INDEX(Simulations!$I$3:$I$62,MATCH($A236,Simulations!$A$3:$A$62,0)),1))*$E236*(PI()/2*INDEX(Simulations!$T$3:$T$62,MATCH($A236,Simulations!$A$3:$A$62,0))^2*IF(INDEX(Simulations!$I$3:$I$62,MATCH($A236,Simulations!$A$3:$A$62,0))&gt;0,SQRT(PI()/2)*INDEX(Simulations!$U$3:$U$62,MATCH($A236,Simulations!$A$3:$A$62,0)),1)),$D236/(INDEX(Simulations!$G$3:$G$62,MATCH($A236,Simulations!$A$3:$A$62,0))*INDEX(Simulations!$H$3:$H$62,MATCH($A236,Simulations!$A$3:$A$62,0))*IF(INDEX(Simulations!$I$3:$I$62,MATCH($A236,Simulations!$A$3:$A$62,0))&gt;0,INDEX(Simulations!$I$3:$I$62,MATCH($A236,Simulations!$A$3:$A$62,0)),1))*INDEX(Simulations!$J$3:$J$62,MATCH($A236,Simulations!$A$3:$A$62,0))*IF(INDEX(Simulations!$I$3:$I$62,MATCH($A236,Simulations!$A$3:$A$62,0))&gt;0,2*PI()*INDEX(Simulations!$T$3:$T$62,MATCH($A236,Simulations!$A$3:$A$62,0))^2*INDEX(Simulations!$U$3:$U$62,MATCH($A236,Simulations!$A$3:$A$62,0))/2^1.5*(2/3*LN($E236/INDEX(Simulations!$J$3:$J$62,MATCH($A236,Simulations!$A$3:$A$62,0)))^1.5+SQRT(LN($E236/INDEX(Simulations!$J$3:$J$62,MATCH($A236,Simulations!$A$3:$A$62,0))))+$E236/INDEX(Simulations!$J$3:$J$62,MATCH($A236,Simulations!$A$3:$A$62,0))*SQRT(PI())/2*ERFC(SQRT(LN($E236/INDEX(Simulations!$J$3:$J$62,MATCH($A236,Simulations!$A$3:$A$62,0)))))),PI()*INDEX(Simulations!$T$3:$T$62,MATCH($A236,Simulations!$A$3:$A$62,0))^2/2*(LN($E236/INDEX(Simulations!$J$3:$J$62,MATCH($A236,Simulations!$A$3:$A$62,0)))+1)))))</f>
        <v/>
      </c>
      <c r="R236" s="16" t="str">
        <f aca="false">IF(OR($A236="",ISNA(MATCH($A236,Simulations!$A$3:$A$62,0))),"",IF(N($F236)&lt;=0,0,IF($F236&lt;INDEX(Simulations!$J$3:$J$62,MATCH($A236,Simulations!$A$3:$A$62,0)),$D236/(INDEX(Simulations!$G$3:$G$62,MATCH($A236,Simulations!$A$3:$A$62,0))*INDEX(Simulations!$H$3:$H$62,MATCH($A236,Simulations!$A$3:$A$62,0))*IF(INDEX(Simulations!$I$3:$I$62,MATCH($A236,Simulations!$A$3:$A$62,0))&gt;0,INDEX(Simulations!$I$3:$I$62,MATCH($A236,Simulations!$A$3:$A$62,0)),1))*$F236*(PI()/2*INDEX(Simulations!$T$3:$T$62,MATCH($A236,Simulations!$A$3:$A$62,0))^2*IF(INDEX(Simulations!$I$3:$I$62,MATCH($A236,Simulations!$A$3:$A$62,0))&gt;0,SQRT(PI()/2)*INDEX(Simulations!$U$3:$U$62,MATCH($A236,Simulations!$A$3:$A$62,0)),1)),$D236/(INDEX(Simulations!$G$3:$G$62,MATCH($A236,Simulations!$A$3:$A$62,0))*INDEX(Simulations!$H$3:$H$62,MATCH($A236,Simulations!$A$3:$A$62,0))*IF(INDEX(Simulations!$I$3:$I$62,MATCH($A236,Simulations!$A$3:$A$62,0))&gt;0,INDEX(Simulations!$I$3:$I$62,MATCH($A236,Simulations!$A$3:$A$62,0)),1))*INDEX(Simulations!$J$3:$J$62,MATCH($A236,Simulations!$A$3:$A$62,0))*IF(INDEX(Simulations!$I$3:$I$62,MATCH($A236,Simulations!$A$3:$A$62,0))&gt;0,2*PI()*INDEX(Simulations!$T$3:$T$62,MATCH($A236,Simulations!$A$3:$A$62,0))^2*INDEX(Simulations!$U$3:$U$62,MATCH($A236,Simulations!$A$3:$A$62,0))/2^1.5*(2/3*LN($F236/INDEX(Simulations!$J$3:$J$62,MATCH($A236,Simulations!$A$3:$A$62,0)))^1.5+SQRT(LN($F236/INDEX(Simulations!$J$3:$J$62,MATCH($A236,Simulations!$A$3:$A$62,0))))+$F236/INDEX(Simulations!$J$3:$J$62,MATCH($A236,Simulations!$A$3:$A$62,0))*SQRT(PI())/2*ERFC(SQRT(LN($F236/INDEX(Simulations!$J$3:$J$62,MATCH($A236,Simulations!$A$3:$A$62,0)))))),PI()*INDEX(Simulations!$T$3:$T$62,MATCH($A236,Simulations!$A$3:$A$62,0))^2/2*(LN($F236/INDEX(Simulations!$J$3:$J$62,MATCH($A236,Simulations!$A$3:$A$62,0)))+1)))))</f>
        <v/>
      </c>
      <c r="S236" s="16" t="str">
        <f aca="false">IF(OR($A236="",ISNA(MATCH($A236,Simulations!$A$3:$A$62,0))),"",IF(N($G236)&lt;=0,0,IF($G236&lt;INDEX(Simulations!$J$3:$J$62,MATCH($A236,Simulations!$A$3:$A$62,0)),$D236/(INDEX(Simulations!$G$3:$G$62,MATCH($A236,Simulations!$A$3:$A$62,0))*INDEX(Simulations!$H$3:$H$62,MATCH($A236,Simulations!$A$3:$A$62,0))*IF(INDEX(Simulations!$I$3:$I$62,MATCH($A236,Simulations!$A$3:$A$62,0))&gt;0,INDEX(Simulations!$I$3:$I$62,MATCH($A236,Simulations!$A$3:$A$62,0)),1))*$G236*(PI()/2*INDEX(Simulations!$T$3:$T$62,MATCH($A236,Simulations!$A$3:$A$62,0))^2*IF(INDEX(Simulations!$I$3:$I$62,MATCH($A236,Simulations!$A$3:$A$62,0))&gt;0,SQRT(PI()/2)*INDEX(Simulations!$U$3:$U$62,MATCH($A236,Simulations!$A$3:$A$62,0)),1)),$D236/(INDEX(Simulations!$G$3:$G$62,MATCH($A236,Simulations!$A$3:$A$62,0))*INDEX(Simulations!$H$3:$H$62,MATCH($A236,Simulations!$A$3:$A$62,0))*IF(INDEX(Simulations!$I$3:$I$62,MATCH($A236,Simulations!$A$3:$A$62,0))&gt;0,INDEX(Simulations!$I$3:$I$62,MATCH($A236,Simulations!$A$3:$A$62,0)),1))*INDEX(Simulations!$J$3:$J$62,MATCH($A236,Simulations!$A$3:$A$62,0))*IF(INDEX(Simulations!$I$3:$I$62,MATCH($A236,Simulations!$A$3:$A$62,0))&gt;0,2*PI()*INDEX(Simulations!$T$3:$T$62,MATCH($A236,Simulations!$A$3:$A$62,0))^2*INDEX(Simulations!$U$3:$U$62,MATCH($A236,Simulations!$A$3:$A$62,0))/2^1.5*(2/3*LN($G236/INDEX(Simulations!$J$3:$J$62,MATCH($A236,Simulations!$A$3:$A$62,0)))^1.5+SQRT(LN($G236/INDEX(Simulations!$J$3:$J$62,MATCH($A236,Simulations!$A$3:$A$62,0))))+$G236/INDEX(Simulations!$J$3:$J$62,MATCH($A236,Simulations!$A$3:$A$62,0))*SQRT(PI())/2*ERFC(SQRT(LN($G236/INDEX(Simulations!$J$3:$J$62,MATCH($A236,Simulations!$A$3:$A$62,0)))))),PI()*INDEX(Simulations!$T$3:$T$62,MATCH($A236,Simulations!$A$3:$A$62,0))^2/2*(LN($G236/INDEX(Simulations!$J$3:$J$62,MATCH($A236,Simulations!$A$3:$A$62,0)))+1)))))</f>
        <v/>
      </c>
      <c r="T236" s="16" t="str">
        <f aca="false">IF(OR($A236="",ISNA(MATCH($A236,Simulations!$A$3:$A$62,0))),"",IF(N($H236)&lt;=0,0,IF($H236&lt;INDEX(Simulations!$J$3:$J$62,MATCH($A236,Simulations!$A$3:$A$62,0)),$D236/(INDEX(Simulations!$G$3:$G$62,MATCH($A236,Simulations!$A$3:$A$62,0))*INDEX(Simulations!$H$3:$H$62,MATCH($A236,Simulations!$A$3:$A$62,0))*IF(INDEX(Simulations!$I$3:$I$62,MATCH($A236,Simulations!$A$3:$A$62,0))&gt;0,INDEX(Simulations!$I$3:$I$62,MATCH($A236,Simulations!$A$3:$A$62,0)),1))*$H236*(PI()/2*INDEX(Simulations!$T$3:$T$62,MATCH($A236,Simulations!$A$3:$A$62,0))^2*IF(INDEX(Simulations!$I$3:$I$62,MATCH($A236,Simulations!$A$3:$A$62,0))&gt;0,SQRT(PI()/2)*INDEX(Simulations!$U$3:$U$62,MATCH($A236,Simulations!$A$3:$A$62,0)),1)),$D236/(INDEX(Simulations!$G$3:$G$62,MATCH($A236,Simulations!$A$3:$A$62,0))*INDEX(Simulations!$H$3:$H$62,MATCH($A236,Simulations!$A$3:$A$62,0))*IF(INDEX(Simulations!$I$3:$I$62,MATCH($A236,Simulations!$A$3:$A$62,0))&gt;0,INDEX(Simulations!$I$3:$I$62,MATCH($A236,Simulations!$A$3:$A$62,0)),1))*INDEX(Simulations!$J$3:$J$62,MATCH($A236,Simulations!$A$3:$A$62,0))*IF(INDEX(Simulations!$I$3:$I$62,MATCH($A236,Simulations!$A$3:$A$62,0))&gt;0,2*PI()*INDEX(Simulations!$T$3:$T$62,MATCH($A236,Simulations!$A$3:$A$62,0))^2*INDEX(Simulations!$U$3:$U$62,MATCH($A236,Simulations!$A$3:$A$62,0))/2^1.5*(2/3*LN($H236/INDEX(Simulations!$J$3:$J$62,MATCH($A236,Simulations!$A$3:$A$62,0)))^1.5+SQRT(LN($H236/INDEX(Simulations!$J$3:$J$62,MATCH($A236,Simulations!$A$3:$A$62,0))))+$H236/INDEX(Simulations!$J$3:$J$62,MATCH($A236,Simulations!$A$3:$A$62,0))*SQRT(PI())/2*ERFC(SQRT(LN($H236/INDEX(Simulations!$J$3:$J$62,MATCH($A236,Simulations!$A$3:$A$62,0)))))),PI()*INDEX(Simulations!$T$3:$T$62,MATCH($A236,Simulations!$A$3:$A$62,0))^2/2*(LN($H236/INDEX(Simulations!$J$3:$J$62,MATCH($A236,Simulations!$A$3:$A$62,0)))+1)))))</f>
        <v/>
      </c>
      <c r="U236" s="18" t="str">
        <f aca="false">IF(OR(OR($A236="",ISNA(MATCH($A236,Simulations!$A$3:$A$62,0))),N($C236)&lt;=0),"",SQRT(2*$C236*1000000/(INDEX(Simulations!$J$3:$J$62,MATCH($A236,Simulations!$A$3:$A$62,0))*1000))/INDEX(Simulations!$T$3:$T$62,MATCH($A236,Simulations!$A$3:$A$62,0)))</f>
        <v/>
      </c>
      <c r="V236" s="19" t="str">
        <f aca="false">IF($A236="","",IF(ISNA(MATCH($A236,Simulations!$A$3:$A$62,0)),"✖ Sim ID not found on the Simulations sheet",IF($P236&gt;=1,"✖ brightness &gt;= sampling frequency: completely saturated (D too small, c too large)",IF($P236&gt;0.1,"⚠ brightness &gt; 10% of the sampling frequency: focus starts to saturate",IF(N($U236)&gt;0.1,"⚠ diffusion step &gt; 10% of wr: raise the sampling frequency",IF(MAX($E236:$H236)=0,"⚠ no brightness set","✔ OK"))))))</f>
        <v/>
      </c>
    </row>
    <row r="237" customFormat="false" ht="15" hidden="false" customHeight="false" outlineLevel="0" collapsed="false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4"/>
      <c r="O237" s="18" t="str">
        <f aca="false">IF(OR($A237="",ISNA(MATCH($A237,Simulations!$A$3:$A$62,0))),"",IF(INDEX(Simulations!$I$3:$I$62,MATCH($A237,Simulations!$A$3:$A$62,0))&gt;0,$D237/(INDEX(Simulations!$G$3:$G$62,MATCH($A237,Simulations!$A$3:$A$62,0))*INDEX(Simulations!$H$3:$H$62,MATCH($A237,Simulations!$A$3:$A$62,0))*IF(INDEX(Simulations!$I$3:$I$62,MATCH($A237,Simulations!$A$3:$A$62,0))&gt;0,INDEX(Simulations!$I$3:$I$62,MATCH($A237,Simulations!$A$3:$A$62,0)),1))/1E-024/6.022E+023/0.000000001,""))</f>
        <v/>
      </c>
      <c r="P237" s="20" t="str">
        <f aca="false">IF(OR($A237="",ISNA(MATCH($A237,Simulations!$A$3:$A$62,0))),"",MAX($E237:$H237)/INDEX(Simulations!$J$3:$J$62,MATCH($A237,Simulations!$A$3:$A$62,0)))</f>
        <v/>
      </c>
      <c r="Q237" s="16" t="str">
        <f aca="false">IF(OR($A237="",ISNA(MATCH($A237,Simulations!$A$3:$A$62,0))),"",IF(N($E237)&lt;=0,0,IF($E237&lt;INDEX(Simulations!$J$3:$J$62,MATCH($A237,Simulations!$A$3:$A$62,0)),$D237/(INDEX(Simulations!$G$3:$G$62,MATCH($A237,Simulations!$A$3:$A$62,0))*INDEX(Simulations!$H$3:$H$62,MATCH($A237,Simulations!$A$3:$A$62,0))*IF(INDEX(Simulations!$I$3:$I$62,MATCH($A237,Simulations!$A$3:$A$62,0))&gt;0,INDEX(Simulations!$I$3:$I$62,MATCH($A237,Simulations!$A$3:$A$62,0)),1))*$E237*(PI()/2*INDEX(Simulations!$T$3:$T$62,MATCH($A237,Simulations!$A$3:$A$62,0))^2*IF(INDEX(Simulations!$I$3:$I$62,MATCH($A237,Simulations!$A$3:$A$62,0))&gt;0,SQRT(PI()/2)*INDEX(Simulations!$U$3:$U$62,MATCH($A237,Simulations!$A$3:$A$62,0)),1)),$D237/(INDEX(Simulations!$G$3:$G$62,MATCH($A237,Simulations!$A$3:$A$62,0))*INDEX(Simulations!$H$3:$H$62,MATCH($A237,Simulations!$A$3:$A$62,0))*IF(INDEX(Simulations!$I$3:$I$62,MATCH($A237,Simulations!$A$3:$A$62,0))&gt;0,INDEX(Simulations!$I$3:$I$62,MATCH($A237,Simulations!$A$3:$A$62,0)),1))*INDEX(Simulations!$J$3:$J$62,MATCH($A237,Simulations!$A$3:$A$62,0))*IF(INDEX(Simulations!$I$3:$I$62,MATCH($A237,Simulations!$A$3:$A$62,0))&gt;0,2*PI()*INDEX(Simulations!$T$3:$T$62,MATCH($A237,Simulations!$A$3:$A$62,0))^2*INDEX(Simulations!$U$3:$U$62,MATCH($A237,Simulations!$A$3:$A$62,0))/2^1.5*(2/3*LN($E237/INDEX(Simulations!$J$3:$J$62,MATCH($A237,Simulations!$A$3:$A$62,0)))^1.5+SQRT(LN($E237/INDEX(Simulations!$J$3:$J$62,MATCH($A237,Simulations!$A$3:$A$62,0))))+$E237/INDEX(Simulations!$J$3:$J$62,MATCH($A237,Simulations!$A$3:$A$62,0))*SQRT(PI())/2*ERFC(SQRT(LN($E237/INDEX(Simulations!$J$3:$J$62,MATCH($A237,Simulations!$A$3:$A$62,0)))))),PI()*INDEX(Simulations!$T$3:$T$62,MATCH($A237,Simulations!$A$3:$A$62,0))^2/2*(LN($E237/INDEX(Simulations!$J$3:$J$62,MATCH($A237,Simulations!$A$3:$A$62,0)))+1)))))</f>
        <v/>
      </c>
      <c r="R237" s="16" t="str">
        <f aca="false">IF(OR($A237="",ISNA(MATCH($A237,Simulations!$A$3:$A$62,0))),"",IF(N($F237)&lt;=0,0,IF($F237&lt;INDEX(Simulations!$J$3:$J$62,MATCH($A237,Simulations!$A$3:$A$62,0)),$D237/(INDEX(Simulations!$G$3:$G$62,MATCH($A237,Simulations!$A$3:$A$62,0))*INDEX(Simulations!$H$3:$H$62,MATCH($A237,Simulations!$A$3:$A$62,0))*IF(INDEX(Simulations!$I$3:$I$62,MATCH($A237,Simulations!$A$3:$A$62,0))&gt;0,INDEX(Simulations!$I$3:$I$62,MATCH($A237,Simulations!$A$3:$A$62,0)),1))*$F237*(PI()/2*INDEX(Simulations!$T$3:$T$62,MATCH($A237,Simulations!$A$3:$A$62,0))^2*IF(INDEX(Simulations!$I$3:$I$62,MATCH($A237,Simulations!$A$3:$A$62,0))&gt;0,SQRT(PI()/2)*INDEX(Simulations!$U$3:$U$62,MATCH($A237,Simulations!$A$3:$A$62,0)),1)),$D237/(INDEX(Simulations!$G$3:$G$62,MATCH($A237,Simulations!$A$3:$A$62,0))*INDEX(Simulations!$H$3:$H$62,MATCH($A237,Simulations!$A$3:$A$62,0))*IF(INDEX(Simulations!$I$3:$I$62,MATCH($A237,Simulations!$A$3:$A$62,0))&gt;0,INDEX(Simulations!$I$3:$I$62,MATCH($A237,Simulations!$A$3:$A$62,0)),1))*INDEX(Simulations!$J$3:$J$62,MATCH($A237,Simulations!$A$3:$A$62,0))*IF(INDEX(Simulations!$I$3:$I$62,MATCH($A237,Simulations!$A$3:$A$62,0))&gt;0,2*PI()*INDEX(Simulations!$T$3:$T$62,MATCH($A237,Simulations!$A$3:$A$62,0))^2*INDEX(Simulations!$U$3:$U$62,MATCH($A237,Simulations!$A$3:$A$62,0))/2^1.5*(2/3*LN($F237/INDEX(Simulations!$J$3:$J$62,MATCH($A237,Simulations!$A$3:$A$62,0)))^1.5+SQRT(LN($F237/INDEX(Simulations!$J$3:$J$62,MATCH($A237,Simulations!$A$3:$A$62,0))))+$F237/INDEX(Simulations!$J$3:$J$62,MATCH($A237,Simulations!$A$3:$A$62,0))*SQRT(PI())/2*ERFC(SQRT(LN($F237/INDEX(Simulations!$J$3:$J$62,MATCH($A237,Simulations!$A$3:$A$62,0)))))),PI()*INDEX(Simulations!$T$3:$T$62,MATCH($A237,Simulations!$A$3:$A$62,0))^2/2*(LN($F237/INDEX(Simulations!$J$3:$J$62,MATCH($A237,Simulations!$A$3:$A$62,0)))+1)))))</f>
        <v/>
      </c>
      <c r="S237" s="16" t="str">
        <f aca="false">IF(OR($A237="",ISNA(MATCH($A237,Simulations!$A$3:$A$62,0))),"",IF(N($G237)&lt;=0,0,IF($G237&lt;INDEX(Simulations!$J$3:$J$62,MATCH($A237,Simulations!$A$3:$A$62,0)),$D237/(INDEX(Simulations!$G$3:$G$62,MATCH($A237,Simulations!$A$3:$A$62,0))*INDEX(Simulations!$H$3:$H$62,MATCH($A237,Simulations!$A$3:$A$62,0))*IF(INDEX(Simulations!$I$3:$I$62,MATCH($A237,Simulations!$A$3:$A$62,0))&gt;0,INDEX(Simulations!$I$3:$I$62,MATCH($A237,Simulations!$A$3:$A$62,0)),1))*$G237*(PI()/2*INDEX(Simulations!$T$3:$T$62,MATCH($A237,Simulations!$A$3:$A$62,0))^2*IF(INDEX(Simulations!$I$3:$I$62,MATCH($A237,Simulations!$A$3:$A$62,0))&gt;0,SQRT(PI()/2)*INDEX(Simulations!$U$3:$U$62,MATCH($A237,Simulations!$A$3:$A$62,0)),1)),$D237/(INDEX(Simulations!$G$3:$G$62,MATCH($A237,Simulations!$A$3:$A$62,0))*INDEX(Simulations!$H$3:$H$62,MATCH($A237,Simulations!$A$3:$A$62,0))*IF(INDEX(Simulations!$I$3:$I$62,MATCH($A237,Simulations!$A$3:$A$62,0))&gt;0,INDEX(Simulations!$I$3:$I$62,MATCH($A237,Simulations!$A$3:$A$62,0)),1))*INDEX(Simulations!$J$3:$J$62,MATCH($A237,Simulations!$A$3:$A$62,0))*IF(INDEX(Simulations!$I$3:$I$62,MATCH($A237,Simulations!$A$3:$A$62,0))&gt;0,2*PI()*INDEX(Simulations!$T$3:$T$62,MATCH($A237,Simulations!$A$3:$A$62,0))^2*INDEX(Simulations!$U$3:$U$62,MATCH($A237,Simulations!$A$3:$A$62,0))/2^1.5*(2/3*LN($G237/INDEX(Simulations!$J$3:$J$62,MATCH($A237,Simulations!$A$3:$A$62,0)))^1.5+SQRT(LN($G237/INDEX(Simulations!$J$3:$J$62,MATCH($A237,Simulations!$A$3:$A$62,0))))+$G237/INDEX(Simulations!$J$3:$J$62,MATCH($A237,Simulations!$A$3:$A$62,0))*SQRT(PI())/2*ERFC(SQRT(LN($G237/INDEX(Simulations!$J$3:$J$62,MATCH($A237,Simulations!$A$3:$A$62,0)))))),PI()*INDEX(Simulations!$T$3:$T$62,MATCH($A237,Simulations!$A$3:$A$62,0))^2/2*(LN($G237/INDEX(Simulations!$J$3:$J$62,MATCH($A237,Simulations!$A$3:$A$62,0)))+1)))))</f>
        <v/>
      </c>
      <c r="T237" s="16" t="str">
        <f aca="false">IF(OR($A237="",ISNA(MATCH($A237,Simulations!$A$3:$A$62,0))),"",IF(N($H237)&lt;=0,0,IF($H237&lt;INDEX(Simulations!$J$3:$J$62,MATCH($A237,Simulations!$A$3:$A$62,0)),$D237/(INDEX(Simulations!$G$3:$G$62,MATCH($A237,Simulations!$A$3:$A$62,0))*INDEX(Simulations!$H$3:$H$62,MATCH($A237,Simulations!$A$3:$A$62,0))*IF(INDEX(Simulations!$I$3:$I$62,MATCH($A237,Simulations!$A$3:$A$62,0))&gt;0,INDEX(Simulations!$I$3:$I$62,MATCH($A237,Simulations!$A$3:$A$62,0)),1))*$H237*(PI()/2*INDEX(Simulations!$T$3:$T$62,MATCH($A237,Simulations!$A$3:$A$62,0))^2*IF(INDEX(Simulations!$I$3:$I$62,MATCH($A237,Simulations!$A$3:$A$62,0))&gt;0,SQRT(PI()/2)*INDEX(Simulations!$U$3:$U$62,MATCH($A237,Simulations!$A$3:$A$62,0)),1)),$D237/(INDEX(Simulations!$G$3:$G$62,MATCH($A237,Simulations!$A$3:$A$62,0))*INDEX(Simulations!$H$3:$H$62,MATCH($A237,Simulations!$A$3:$A$62,0))*IF(INDEX(Simulations!$I$3:$I$62,MATCH($A237,Simulations!$A$3:$A$62,0))&gt;0,INDEX(Simulations!$I$3:$I$62,MATCH($A237,Simulations!$A$3:$A$62,0)),1))*INDEX(Simulations!$J$3:$J$62,MATCH($A237,Simulations!$A$3:$A$62,0))*IF(INDEX(Simulations!$I$3:$I$62,MATCH($A237,Simulations!$A$3:$A$62,0))&gt;0,2*PI()*INDEX(Simulations!$T$3:$T$62,MATCH($A237,Simulations!$A$3:$A$62,0))^2*INDEX(Simulations!$U$3:$U$62,MATCH($A237,Simulations!$A$3:$A$62,0))/2^1.5*(2/3*LN($H237/INDEX(Simulations!$J$3:$J$62,MATCH($A237,Simulations!$A$3:$A$62,0)))^1.5+SQRT(LN($H237/INDEX(Simulations!$J$3:$J$62,MATCH($A237,Simulations!$A$3:$A$62,0))))+$H237/INDEX(Simulations!$J$3:$J$62,MATCH($A237,Simulations!$A$3:$A$62,0))*SQRT(PI())/2*ERFC(SQRT(LN($H237/INDEX(Simulations!$J$3:$J$62,MATCH($A237,Simulations!$A$3:$A$62,0)))))),PI()*INDEX(Simulations!$T$3:$T$62,MATCH($A237,Simulations!$A$3:$A$62,0))^2/2*(LN($H237/INDEX(Simulations!$J$3:$J$62,MATCH($A237,Simulations!$A$3:$A$62,0)))+1)))))</f>
        <v/>
      </c>
      <c r="U237" s="18" t="str">
        <f aca="false">IF(OR(OR($A237="",ISNA(MATCH($A237,Simulations!$A$3:$A$62,0))),N($C237)&lt;=0),"",SQRT(2*$C237*1000000/(INDEX(Simulations!$J$3:$J$62,MATCH($A237,Simulations!$A$3:$A$62,0))*1000))/INDEX(Simulations!$T$3:$T$62,MATCH($A237,Simulations!$A$3:$A$62,0)))</f>
        <v/>
      </c>
      <c r="V237" s="19" t="str">
        <f aca="false">IF($A237="","",IF(ISNA(MATCH($A237,Simulations!$A$3:$A$62,0)),"✖ Sim ID not found on the Simulations sheet",IF($P237&gt;=1,"✖ brightness &gt;= sampling frequency: completely saturated (D too small, c too large)",IF($P237&gt;0.1,"⚠ brightness &gt; 10% of the sampling frequency: focus starts to saturate",IF(N($U237)&gt;0.1,"⚠ diffusion step &gt; 10% of wr: raise the sampling frequency",IF(MAX($E237:$H237)=0,"⚠ no brightness set","✔ OK"))))))</f>
        <v/>
      </c>
    </row>
    <row r="238" customFormat="false" ht="15" hidden="false" customHeight="false" outlineLevel="0" collapsed="false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4"/>
      <c r="O238" s="18" t="str">
        <f aca="false">IF(OR($A238="",ISNA(MATCH($A238,Simulations!$A$3:$A$62,0))),"",IF(INDEX(Simulations!$I$3:$I$62,MATCH($A238,Simulations!$A$3:$A$62,0))&gt;0,$D238/(INDEX(Simulations!$G$3:$G$62,MATCH($A238,Simulations!$A$3:$A$62,0))*INDEX(Simulations!$H$3:$H$62,MATCH($A238,Simulations!$A$3:$A$62,0))*IF(INDEX(Simulations!$I$3:$I$62,MATCH($A238,Simulations!$A$3:$A$62,0))&gt;0,INDEX(Simulations!$I$3:$I$62,MATCH($A238,Simulations!$A$3:$A$62,0)),1))/1E-024/6.022E+023/0.000000001,""))</f>
        <v/>
      </c>
      <c r="P238" s="20" t="str">
        <f aca="false">IF(OR($A238="",ISNA(MATCH($A238,Simulations!$A$3:$A$62,0))),"",MAX($E238:$H238)/INDEX(Simulations!$J$3:$J$62,MATCH($A238,Simulations!$A$3:$A$62,0)))</f>
        <v/>
      </c>
      <c r="Q238" s="16" t="str">
        <f aca="false">IF(OR($A238="",ISNA(MATCH($A238,Simulations!$A$3:$A$62,0))),"",IF(N($E238)&lt;=0,0,IF($E238&lt;INDEX(Simulations!$J$3:$J$62,MATCH($A238,Simulations!$A$3:$A$62,0)),$D238/(INDEX(Simulations!$G$3:$G$62,MATCH($A238,Simulations!$A$3:$A$62,0))*INDEX(Simulations!$H$3:$H$62,MATCH($A238,Simulations!$A$3:$A$62,0))*IF(INDEX(Simulations!$I$3:$I$62,MATCH($A238,Simulations!$A$3:$A$62,0))&gt;0,INDEX(Simulations!$I$3:$I$62,MATCH($A238,Simulations!$A$3:$A$62,0)),1))*$E238*(PI()/2*INDEX(Simulations!$T$3:$T$62,MATCH($A238,Simulations!$A$3:$A$62,0))^2*IF(INDEX(Simulations!$I$3:$I$62,MATCH($A238,Simulations!$A$3:$A$62,0))&gt;0,SQRT(PI()/2)*INDEX(Simulations!$U$3:$U$62,MATCH($A238,Simulations!$A$3:$A$62,0)),1)),$D238/(INDEX(Simulations!$G$3:$G$62,MATCH($A238,Simulations!$A$3:$A$62,0))*INDEX(Simulations!$H$3:$H$62,MATCH($A238,Simulations!$A$3:$A$62,0))*IF(INDEX(Simulations!$I$3:$I$62,MATCH($A238,Simulations!$A$3:$A$62,0))&gt;0,INDEX(Simulations!$I$3:$I$62,MATCH($A238,Simulations!$A$3:$A$62,0)),1))*INDEX(Simulations!$J$3:$J$62,MATCH($A238,Simulations!$A$3:$A$62,0))*IF(INDEX(Simulations!$I$3:$I$62,MATCH($A238,Simulations!$A$3:$A$62,0))&gt;0,2*PI()*INDEX(Simulations!$T$3:$T$62,MATCH($A238,Simulations!$A$3:$A$62,0))^2*INDEX(Simulations!$U$3:$U$62,MATCH($A238,Simulations!$A$3:$A$62,0))/2^1.5*(2/3*LN($E238/INDEX(Simulations!$J$3:$J$62,MATCH($A238,Simulations!$A$3:$A$62,0)))^1.5+SQRT(LN($E238/INDEX(Simulations!$J$3:$J$62,MATCH($A238,Simulations!$A$3:$A$62,0))))+$E238/INDEX(Simulations!$J$3:$J$62,MATCH($A238,Simulations!$A$3:$A$62,0))*SQRT(PI())/2*ERFC(SQRT(LN($E238/INDEX(Simulations!$J$3:$J$62,MATCH($A238,Simulations!$A$3:$A$62,0)))))),PI()*INDEX(Simulations!$T$3:$T$62,MATCH($A238,Simulations!$A$3:$A$62,0))^2/2*(LN($E238/INDEX(Simulations!$J$3:$J$62,MATCH($A238,Simulations!$A$3:$A$62,0)))+1)))))</f>
        <v/>
      </c>
      <c r="R238" s="16" t="str">
        <f aca="false">IF(OR($A238="",ISNA(MATCH($A238,Simulations!$A$3:$A$62,0))),"",IF(N($F238)&lt;=0,0,IF($F238&lt;INDEX(Simulations!$J$3:$J$62,MATCH($A238,Simulations!$A$3:$A$62,0)),$D238/(INDEX(Simulations!$G$3:$G$62,MATCH($A238,Simulations!$A$3:$A$62,0))*INDEX(Simulations!$H$3:$H$62,MATCH($A238,Simulations!$A$3:$A$62,0))*IF(INDEX(Simulations!$I$3:$I$62,MATCH($A238,Simulations!$A$3:$A$62,0))&gt;0,INDEX(Simulations!$I$3:$I$62,MATCH($A238,Simulations!$A$3:$A$62,0)),1))*$F238*(PI()/2*INDEX(Simulations!$T$3:$T$62,MATCH($A238,Simulations!$A$3:$A$62,0))^2*IF(INDEX(Simulations!$I$3:$I$62,MATCH($A238,Simulations!$A$3:$A$62,0))&gt;0,SQRT(PI()/2)*INDEX(Simulations!$U$3:$U$62,MATCH($A238,Simulations!$A$3:$A$62,0)),1)),$D238/(INDEX(Simulations!$G$3:$G$62,MATCH($A238,Simulations!$A$3:$A$62,0))*INDEX(Simulations!$H$3:$H$62,MATCH($A238,Simulations!$A$3:$A$62,0))*IF(INDEX(Simulations!$I$3:$I$62,MATCH($A238,Simulations!$A$3:$A$62,0))&gt;0,INDEX(Simulations!$I$3:$I$62,MATCH($A238,Simulations!$A$3:$A$62,0)),1))*INDEX(Simulations!$J$3:$J$62,MATCH($A238,Simulations!$A$3:$A$62,0))*IF(INDEX(Simulations!$I$3:$I$62,MATCH($A238,Simulations!$A$3:$A$62,0))&gt;0,2*PI()*INDEX(Simulations!$T$3:$T$62,MATCH($A238,Simulations!$A$3:$A$62,0))^2*INDEX(Simulations!$U$3:$U$62,MATCH($A238,Simulations!$A$3:$A$62,0))/2^1.5*(2/3*LN($F238/INDEX(Simulations!$J$3:$J$62,MATCH($A238,Simulations!$A$3:$A$62,0)))^1.5+SQRT(LN($F238/INDEX(Simulations!$J$3:$J$62,MATCH($A238,Simulations!$A$3:$A$62,0))))+$F238/INDEX(Simulations!$J$3:$J$62,MATCH($A238,Simulations!$A$3:$A$62,0))*SQRT(PI())/2*ERFC(SQRT(LN($F238/INDEX(Simulations!$J$3:$J$62,MATCH($A238,Simulations!$A$3:$A$62,0)))))),PI()*INDEX(Simulations!$T$3:$T$62,MATCH($A238,Simulations!$A$3:$A$62,0))^2/2*(LN($F238/INDEX(Simulations!$J$3:$J$62,MATCH($A238,Simulations!$A$3:$A$62,0)))+1)))))</f>
        <v/>
      </c>
      <c r="S238" s="16" t="str">
        <f aca="false">IF(OR($A238="",ISNA(MATCH($A238,Simulations!$A$3:$A$62,0))),"",IF(N($G238)&lt;=0,0,IF($G238&lt;INDEX(Simulations!$J$3:$J$62,MATCH($A238,Simulations!$A$3:$A$62,0)),$D238/(INDEX(Simulations!$G$3:$G$62,MATCH($A238,Simulations!$A$3:$A$62,0))*INDEX(Simulations!$H$3:$H$62,MATCH($A238,Simulations!$A$3:$A$62,0))*IF(INDEX(Simulations!$I$3:$I$62,MATCH($A238,Simulations!$A$3:$A$62,0))&gt;0,INDEX(Simulations!$I$3:$I$62,MATCH($A238,Simulations!$A$3:$A$62,0)),1))*$G238*(PI()/2*INDEX(Simulations!$T$3:$T$62,MATCH($A238,Simulations!$A$3:$A$62,0))^2*IF(INDEX(Simulations!$I$3:$I$62,MATCH($A238,Simulations!$A$3:$A$62,0))&gt;0,SQRT(PI()/2)*INDEX(Simulations!$U$3:$U$62,MATCH($A238,Simulations!$A$3:$A$62,0)),1)),$D238/(INDEX(Simulations!$G$3:$G$62,MATCH($A238,Simulations!$A$3:$A$62,0))*INDEX(Simulations!$H$3:$H$62,MATCH($A238,Simulations!$A$3:$A$62,0))*IF(INDEX(Simulations!$I$3:$I$62,MATCH($A238,Simulations!$A$3:$A$62,0))&gt;0,INDEX(Simulations!$I$3:$I$62,MATCH($A238,Simulations!$A$3:$A$62,0)),1))*INDEX(Simulations!$J$3:$J$62,MATCH($A238,Simulations!$A$3:$A$62,0))*IF(INDEX(Simulations!$I$3:$I$62,MATCH($A238,Simulations!$A$3:$A$62,0))&gt;0,2*PI()*INDEX(Simulations!$T$3:$T$62,MATCH($A238,Simulations!$A$3:$A$62,0))^2*INDEX(Simulations!$U$3:$U$62,MATCH($A238,Simulations!$A$3:$A$62,0))/2^1.5*(2/3*LN($G238/INDEX(Simulations!$J$3:$J$62,MATCH($A238,Simulations!$A$3:$A$62,0)))^1.5+SQRT(LN($G238/INDEX(Simulations!$J$3:$J$62,MATCH($A238,Simulations!$A$3:$A$62,0))))+$G238/INDEX(Simulations!$J$3:$J$62,MATCH($A238,Simulations!$A$3:$A$62,0))*SQRT(PI())/2*ERFC(SQRT(LN($G238/INDEX(Simulations!$J$3:$J$62,MATCH($A238,Simulations!$A$3:$A$62,0)))))),PI()*INDEX(Simulations!$T$3:$T$62,MATCH($A238,Simulations!$A$3:$A$62,0))^2/2*(LN($G238/INDEX(Simulations!$J$3:$J$62,MATCH($A238,Simulations!$A$3:$A$62,0)))+1)))))</f>
        <v/>
      </c>
      <c r="T238" s="16" t="str">
        <f aca="false">IF(OR($A238="",ISNA(MATCH($A238,Simulations!$A$3:$A$62,0))),"",IF(N($H238)&lt;=0,0,IF($H238&lt;INDEX(Simulations!$J$3:$J$62,MATCH($A238,Simulations!$A$3:$A$62,0)),$D238/(INDEX(Simulations!$G$3:$G$62,MATCH($A238,Simulations!$A$3:$A$62,0))*INDEX(Simulations!$H$3:$H$62,MATCH($A238,Simulations!$A$3:$A$62,0))*IF(INDEX(Simulations!$I$3:$I$62,MATCH($A238,Simulations!$A$3:$A$62,0))&gt;0,INDEX(Simulations!$I$3:$I$62,MATCH($A238,Simulations!$A$3:$A$62,0)),1))*$H238*(PI()/2*INDEX(Simulations!$T$3:$T$62,MATCH($A238,Simulations!$A$3:$A$62,0))^2*IF(INDEX(Simulations!$I$3:$I$62,MATCH($A238,Simulations!$A$3:$A$62,0))&gt;0,SQRT(PI()/2)*INDEX(Simulations!$U$3:$U$62,MATCH($A238,Simulations!$A$3:$A$62,0)),1)),$D238/(INDEX(Simulations!$G$3:$G$62,MATCH($A238,Simulations!$A$3:$A$62,0))*INDEX(Simulations!$H$3:$H$62,MATCH($A238,Simulations!$A$3:$A$62,0))*IF(INDEX(Simulations!$I$3:$I$62,MATCH($A238,Simulations!$A$3:$A$62,0))&gt;0,INDEX(Simulations!$I$3:$I$62,MATCH($A238,Simulations!$A$3:$A$62,0)),1))*INDEX(Simulations!$J$3:$J$62,MATCH($A238,Simulations!$A$3:$A$62,0))*IF(INDEX(Simulations!$I$3:$I$62,MATCH($A238,Simulations!$A$3:$A$62,0))&gt;0,2*PI()*INDEX(Simulations!$T$3:$T$62,MATCH($A238,Simulations!$A$3:$A$62,0))^2*INDEX(Simulations!$U$3:$U$62,MATCH($A238,Simulations!$A$3:$A$62,0))/2^1.5*(2/3*LN($H238/INDEX(Simulations!$J$3:$J$62,MATCH($A238,Simulations!$A$3:$A$62,0)))^1.5+SQRT(LN($H238/INDEX(Simulations!$J$3:$J$62,MATCH($A238,Simulations!$A$3:$A$62,0))))+$H238/INDEX(Simulations!$J$3:$J$62,MATCH($A238,Simulations!$A$3:$A$62,0))*SQRT(PI())/2*ERFC(SQRT(LN($H238/INDEX(Simulations!$J$3:$J$62,MATCH($A238,Simulations!$A$3:$A$62,0)))))),PI()*INDEX(Simulations!$T$3:$T$62,MATCH($A238,Simulations!$A$3:$A$62,0))^2/2*(LN($H238/INDEX(Simulations!$J$3:$J$62,MATCH($A238,Simulations!$A$3:$A$62,0)))+1)))))</f>
        <v/>
      </c>
      <c r="U238" s="18" t="str">
        <f aca="false">IF(OR(OR($A238="",ISNA(MATCH($A238,Simulations!$A$3:$A$62,0))),N($C238)&lt;=0),"",SQRT(2*$C238*1000000/(INDEX(Simulations!$J$3:$J$62,MATCH($A238,Simulations!$A$3:$A$62,0))*1000))/INDEX(Simulations!$T$3:$T$62,MATCH($A238,Simulations!$A$3:$A$62,0)))</f>
        <v/>
      </c>
      <c r="V238" s="19" t="str">
        <f aca="false">IF($A238="","",IF(ISNA(MATCH($A238,Simulations!$A$3:$A$62,0)),"✖ Sim ID not found on the Simulations sheet",IF($P238&gt;=1,"✖ brightness &gt;= sampling frequency: completely saturated (D too small, c too large)",IF($P238&gt;0.1,"⚠ brightness &gt; 10% of the sampling frequency: focus starts to saturate",IF(N($U238)&gt;0.1,"⚠ diffusion step &gt; 10% of wr: raise the sampling frequency",IF(MAX($E238:$H238)=0,"⚠ no brightness set","✔ OK"))))))</f>
        <v/>
      </c>
    </row>
    <row r="239" customFormat="false" ht="15" hidden="false" customHeight="false" outlineLevel="0" collapsed="false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4"/>
      <c r="O239" s="18" t="str">
        <f aca="false">IF(OR($A239="",ISNA(MATCH($A239,Simulations!$A$3:$A$62,0))),"",IF(INDEX(Simulations!$I$3:$I$62,MATCH($A239,Simulations!$A$3:$A$62,0))&gt;0,$D239/(INDEX(Simulations!$G$3:$G$62,MATCH($A239,Simulations!$A$3:$A$62,0))*INDEX(Simulations!$H$3:$H$62,MATCH($A239,Simulations!$A$3:$A$62,0))*IF(INDEX(Simulations!$I$3:$I$62,MATCH($A239,Simulations!$A$3:$A$62,0))&gt;0,INDEX(Simulations!$I$3:$I$62,MATCH($A239,Simulations!$A$3:$A$62,0)),1))/1E-024/6.022E+023/0.000000001,""))</f>
        <v/>
      </c>
      <c r="P239" s="20" t="str">
        <f aca="false">IF(OR($A239="",ISNA(MATCH($A239,Simulations!$A$3:$A$62,0))),"",MAX($E239:$H239)/INDEX(Simulations!$J$3:$J$62,MATCH($A239,Simulations!$A$3:$A$62,0)))</f>
        <v/>
      </c>
      <c r="Q239" s="16" t="str">
        <f aca="false">IF(OR($A239="",ISNA(MATCH($A239,Simulations!$A$3:$A$62,0))),"",IF(N($E239)&lt;=0,0,IF($E239&lt;INDEX(Simulations!$J$3:$J$62,MATCH($A239,Simulations!$A$3:$A$62,0)),$D239/(INDEX(Simulations!$G$3:$G$62,MATCH($A239,Simulations!$A$3:$A$62,0))*INDEX(Simulations!$H$3:$H$62,MATCH($A239,Simulations!$A$3:$A$62,0))*IF(INDEX(Simulations!$I$3:$I$62,MATCH($A239,Simulations!$A$3:$A$62,0))&gt;0,INDEX(Simulations!$I$3:$I$62,MATCH($A239,Simulations!$A$3:$A$62,0)),1))*$E239*(PI()/2*INDEX(Simulations!$T$3:$T$62,MATCH($A239,Simulations!$A$3:$A$62,0))^2*IF(INDEX(Simulations!$I$3:$I$62,MATCH($A239,Simulations!$A$3:$A$62,0))&gt;0,SQRT(PI()/2)*INDEX(Simulations!$U$3:$U$62,MATCH($A239,Simulations!$A$3:$A$62,0)),1)),$D239/(INDEX(Simulations!$G$3:$G$62,MATCH($A239,Simulations!$A$3:$A$62,0))*INDEX(Simulations!$H$3:$H$62,MATCH($A239,Simulations!$A$3:$A$62,0))*IF(INDEX(Simulations!$I$3:$I$62,MATCH($A239,Simulations!$A$3:$A$62,0))&gt;0,INDEX(Simulations!$I$3:$I$62,MATCH($A239,Simulations!$A$3:$A$62,0)),1))*INDEX(Simulations!$J$3:$J$62,MATCH($A239,Simulations!$A$3:$A$62,0))*IF(INDEX(Simulations!$I$3:$I$62,MATCH($A239,Simulations!$A$3:$A$62,0))&gt;0,2*PI()*INDEX(Simulations!$T$3:$T$62,MATCH($A239,Simulations!$A$3:$A$62,0))^2*INDEX(Simulations!$U$3:$U$62,MATCH($A239,Simulations!$A$3:$A$62,0))/2^1.5*(2/3*LN($E239/INDEX(Simulations!$J$3:$J$62,MATCH($A239,Simulations!$A$3:$A$62,0)))^1.5+SQRT(LN($E239/INDEX(Simulations!$J$3:$J$62,MATCH($A239,Simulations!$A$3:$A$62,0))))+$E239/INDEX(Simulations!$J$3:$J$62,MATCH($A239,Simulations!$A$3:$A$62,0))*SQRT(PI())/2*ERFC(SQRT(LN($E239/INDEX(Simulations!$J$3:$J$62,MATCH($A239,Simulations!$A$3:$A$62,0)))))),PI()*INDEX(Simulations!$T$3:$T$62,MATCH($A239,Simulations!$A$3:$A$62,0))^2/2*(LN($E239/INDEX(Simulations!$J$3:$J$62,MATCH($A239,Simulations!$A$3:$A$62,0)))+1)))))</f>
        <v/>
      </c>
      <c r="R239" s="16" t="str">
        <f aca="false">IF(OR($A239="",ISNA(MATCH($A239,Simulations!$A$3:$A$62,0))),"",IF(N($F239)&lt;=0,0,IF($F239&lt;INDEX(Simulations!$J$3:$J$62,MATCH($A239,Simulations!$A$3:$A$62,0)),$D239/(INDEX(Simulations!$G$3:$G$62,MATCH($A239,Simulations!$A$3:$A$62,0))*INDEX(Simulations!$H$3:$H$62,MATCH($A239,Simulations!$A$3:$A$62,0))*IF(INDEX(Simulations!$I$3:$I$62,MATCH($A239,Simulations!$A$3:$A$62,0))&gt;0,INDEX(Simulations!$I$3:$I$62,MATCH($A239,Simulations!$A$3:$A$62,0)),1))*$F239*(PI()/2*INDEX(Simulations!$T$3:$T$62,MATCH($A239,Simulations!$A$3:$A$62,0))^2*IF(INDEX(Simulations!$I$3:$I$62,MATCH($A239,Simulations!$A$3:$A$62,0))&gt;0,SQRT(PI()/2)*INDEX(Simulations!$U$3:$U$62,MATCH($A239,Simulations!$A$3:$A$62,0)),1)),$D239/(INDEX(Simulations!$G$3:$G$62,MATCH($A239,Simulations!$A$3:$A$62,0))*INDEX(Simulations!$H$3:$H$62,MATCH($A239,Simulations!$A$3:$A$62,0))*IF(INDEX(Simulations!$I$3:$I$62,MATCH($A239,Simulations!$A$3:$A$62,0))&gt;0,INDEX(Simulations!$I$3:$I$62,MATCH($A239,Simulations!$A$3:$A$62,0)),1))*INDEX(Simulations!$J$3:$J$62,MATCH($A239,Simulations!$A$3:$A$62,0))*IF(INDEX(Simulations!$I$3:$I$62,MATCH($A239,Simulations!$A$3:$A$62,0))&gt;0,2*PI()*INDEX(Simulations!$T$3:$T$62,MATCH($A239,Simulations!$A$3:$A$62,0))^2*INDEX(Simulations!$U$3:$U$62,MATCH($A239,Simulations!$A$3:$A$62,0))/2^1.5*(2/3*LN($F239/INDEX(Simulations!$J$3:$J$62,MATCH($A239,Simulations!$A$3:$A$62,0)))^1.5+SQRT(LN($F239/INDEX(Simulations!$J$3:$J$62,MATCH($A239,Simulations!$A$3:$A$62,0))))+$F239/INDEX(Simulations!$J$3:$J$62,MATCH($A239,Simulations!$A$3:$A$62,0))*SQRT(PI())/2*ERFC(SQRT(LN($F239/INDEX(Simulations!$J$3:$J$62,MATCH($A239,Simulations!$A$3:$A$62,0)))))),PI()*INDEX(Simulations!$T$3:$T$62,MATCH($A239,Simulations!$A$3:$A$62,0))^2/2*(LN($F239/INDEX(Simulations!$J$3:$J$62,MATCH($A239,Simulations!$A$3:$A$62,0)))+1)))))</f>
        <v/>
      </c>
      <c r="S239" s="16" t="str">
        <f aca="false">IF(OR($A239="",ISNA(MATCH($A239,Simulations!$A$3:$A$62,0))),"",IF(N($G239)&lt;=0,0,IF($G239&lt;INDEX(Simulations!$J$3:$J$62,MATCH($A239,Simulations!$A$3:$A$62,0)),$D239/(INDEX(Simulations!$G$3:$G$62,MATCH($A239,Simulations!$A$3:$A$62,0))*INDEX(Simulations!$H$3:$H$62,MATCH($A239,Simulations!$A$3:$A$62,0))*IF(INDEX(Simulations!$I$3:$I$62,MATCH($A239,Simulations!$A$3:$A$62,0))&gt;0,INDEX(Simulations!$I$3:$I$62,MATCH($A239,Simulations!$A$3:$A$62,0)),1))*$G239*(PI()/2*INDEX(Simulations!$T$3:$T$62,MATCH($A239,Simulations!$A$3:$A$62,0))^2*IF(INDEX(Simulations!$I$3:$I$62,MATCH($A239,Simulations!$A$3:$A$62,0))&gt;0,SQRT(PI()/2)*INDEX(Simulations!$U$3:$U$62,MATCH($A239,Simulations!$A$3:$A$62,0)),1)),$D239/(INDEX(Simulations!$G$3:$G$62,MATCH($A239,Simulations!$A$3:$A$62,0))*INDEX(Simulations!$H$3:$H$62,MATCH($A239,Simulations!$A$3:$A$62,0))*IF(INDEX(Simulations!$I$3:$I$62,MATCH($A239,Simulations!$A$3:$A$62,0))&gt;0,INDEX(Simulations!$I$3:$I$62,MATCH($A239,Simulations!$A$3:$A$62,0)),1))*INDEX(Simulations!$J$3:$J$62,MATCH($A239,Simulations!$A$3:$A$62,0))*IF(INDEX(Simulations!$I$3:$I$62,MATCH($A239,Simulations!$A$3:$A$62,0))&gt;0,2*PI()*INDEX(Simulations!$T$3:$T$62,MATCH($A239,Simulations!$A$3:$A$62,0))^2*INDEX(Simulations!$U$3:$U$62,MATCH($A239,Simulations!$A$3:$A$62,0))/2^1.5*(2/3*LN($G239/INDEX(Simulations!$J$3:$J$62,MATCH($A239,Simulations!$A$3:$A$62,0)))^1.5+SQRT(LN($G239/INDEX(Simulations!$J$3:$J$62,MATCH($A239,Simulations!$A$3:$A$62,0))))+$G239/INDEX(Simulations!$J$3:$J$62,MATCH($A239,Simulations!$A$3:$A$62,0))*SQRT(PI())/2*ERFC(SQRT(LN($G239/INDEX(Simulations!$J$3:$J$62,MATCH($A239,Simulations!$A$3:$A$62,0)))))),PI()*INDEX(Simulations!$T$3:$T$62,MATCH($A239,Simulations!$A$3:$A$62,0))^2/2*(LN($G239/INDEX(Simulations!$J$3:$J$62,MATCH($A239,Simulations!$A$3:$A$62,0)))+1)))))</f>
        <v/>
      </c>
      <c r="T239" s="16" t="str">
        <f aca="false">IF(OR($A239="",ISNA(MATCH($A239,Simulations!$A$3:$A$62,0))),"",IF(N($H239)&lt;=0,0,IF($H239&lt;INDEX(Simulations!$J$3:$J$62,MATCH($A239,Simulations!$A$3:$A$62,0)),$D239/(INDEX(Simulations!$G$3:$G$62,MATCH($A239,Simulations!$A$3:$A$62,0))*INDEX(Simulations!$H$3:$H$62,MATCH($A239,Simulations!$A$3:$A$62,0))*IF(INDEX(Simulations!$I$3:$I$62,MATCH($A239,Simulations!$A$3:$A$62,0))&gt;0,INDEX(Simulations!$I$3:$I$62,MATCH($A239,Simulations!$A$3:$A$62,0)),1))*$H239*(PI()/2*INDEX(Simulations!$T$3:$T$62,MATCH($A239,Simulations!$A$3:$A$62,0))^2*IF(INDEX(Simulations!$I$3:$I$62,MATCH($A239,Simulations!$A$3:$A$62,0))&gt;0,SQRT(PI()/2)*INDEX(Simulations!$U$3:$U$62,MATCH($A239,Simulations!$A$3:$A$62,0)),1)),$D239/(INDEX(Simulations!$G$3:$G$62,MATCH($A239,Simulations!$A$3:$A$62,0))*INDEX(Simulations!$H$3:$H$62,MATCH($A239,Simulations!$A$3:$A$62,0))*IF(INDEX(Simulations!$I$3:$I$62,MATCH($A239,Simulations!$A$3:$A$62,0))&gt;0,INDEX(Simulations!$I$3:$I$62,MATCH($A239,Simulations!$A$3:$A$62,0)),1))*INDEX(Simulations!$J$3:$J$62,MATCH($A239,Simulations!$A$3:$A$62,0))*IF(INDEX(Simulations!$I$3:$I$62,MATCH($A239,Simulations!$A$3:$A$62,0))&gt;0,2*PI()*INDEX(Simulations!$T$3:$T$62,MATCH($A239,Simulations!$A$3:$A$62,0))^2*INDEX(Simulations!$U$3:$U$62,MATCH($A239,Simulations!$A$3:$A$62,0))/2^1.5*(2/3*LN($H239/INDEX(Simulations!$J$3:$J$62,MATCH($A239,Simulations!$A$3:$A$62,0)))^1.5+SQRT(LN($H239/INDEX(Simulations!$J$3:$J$62,MATCH($A239,Simulations!$A$3:$A$62,0))))+$H239/INDEX(Simulations!$J$3:$J$62,MATCH($A239,Simulations!$A$3:$A$62,0))*SQRT(PI())/2*ERFC(SQRT(LN($H239/INDEX(Simulations!$J$3:$J$62,MATCH($A239,Simulations!$A$3:$A$62,0)))))),PI()*INDEX(Simulations!$T$3:$T$62,MATCH($A239,Simulations!$A$3:$A$62,0))^2/2*(LN($H239/INDEX(Simulations!$J$3:$J$62,MATCH($A239,Simulations!$A$3:$A$62,0)))+1)))))</f>
        <v/>
      </c>
      <c r="U239" s="18" t="str">
        <f aca="false">IF(OR(OR($A239="",ISNA(MATCH($A239,Simulations!$A$3:$A$62,0))),N($C239)&lt;=0),"",SQRT(2*$C239*1000000/(INDEX(Simulations!$J$3:$J$62,MATCH($A239,Simulations!$A$3:$A$62,0))*1000))/INDEX(Simulations!$T$3:$T$62,MATCH($A239,Simulations!$A$3:$A$62,0)))</f>
        <v/>
      </c>
      <c r="V239" s="19" t="str">
        <f aca="false">IF($A239="","",IF(ISNA(MATCH($A239,Simulations!$A$3:$A$62,0)),"✖ Sim ID not found on the Simulations sheet",IF($P239&gt;=1,"✖ brightness &gt;= sampling frequency: completely saturated (D too small, c too large)",IF($P239&gt;0.1,"⚠ brightness &gt; 10% of the sampling frequency: focus starts to saturate",IF(N($U239)&gt;0.1,"⚠ diffusion step &gt; 10% of wr: raise the sampling frequency",IF(MAX($E239:$H239)=0,"⚠ no brightness set","✔ OK"))))))</f>
        <v/>
      </c>
    </row>
    <row r="240" customFormat="false" ht="15" hidden="false" customHeight="false" outlineLevel="0" collapsed="false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4"/>
      <c r="O240" s="18" t="str">
        <f aca="false">IF(OR($A240="",ISNA(MATCH($A240,Simulations!$A$3:$A$62,0))),"",IF(INDEX(Simulations!$I$3:$I$62,MATCH($A240,Simulations!$A$3:$A$62,0))&gt;0,$D240/(INDEX(Simulations!$G$3:$G$62,MATCH($A240,Simulations!$A$3:$A$62,0))*INDEX(Simulations!$H$3:$H$62,MATCH($A240,Simulations!$A$3:$A$62,0))*IF(INDEX(Simulations!$I$3:$I$62,MATCH($A240,Simulations!$A$3:$A$62,0))&gt;0,INDEX(Simulations!$I$3:$I$62,MATCH($A240,Simulations!$A$3:$A$62,0)),1))/1E-024/6.022E+023/0.000000001,""))</f>
        <v/>
      </c>
      <c r="P240" s="20" t="str">
        <f aca="false">IF(OR($A240="",ISNA(MATCH($A240,Simulations!$A$3:$A$62,0))),"",MAX($E240:$H240)/INDEX(Simulations!$J$3:$J$62,MATCH($A240,Simulations!$A$3:$A$62,0)))</f>
        <v/>
      </c>
      <c r="Q240" s="16" t="str">
        <f aca="false">IF(OR($A240="",ISNA(MATCH($A240,Simulations!$A$3:$A$62,0))),"",IF(N($E240)&lt;=0,0,IF($E240&lt;INDEX(Simulations!$J$3:$J$62,MATCH($A240,Simulations!$A$3:$A$62,0)),$D240/(INDEX(Simulations!$G$3:$G$62,MATCH($A240,Simulations!$A$3:$A$62,0))*INDEX(Simulations!$H$3:$H$62,MATCH($A240,Simulations!$A$3:$A$62,0))*IF(INDEX(Simulations!$I$3:$I$62,MATCH($A240,Simulations!$A$3:$A$62,0))&gt;0,INDEX(Simulations!$I$3:$I$62,MATCH($A240,Simulations!$A$3:$A$62,0)),1))*$E240*(PI()/2*INDEX(Simulations!$T$3:$T$62,MATCH($A240,Simulations!$A$3:$A$62,0))^2*IF(INDEX(Simulations!$I$3:$I$62,MATCH($A240,Simulations!$A$3:$A$62,0))&gt;0,SQRT(PI()/2)*INDEX(Simulations!$U$3:$U$62,MATCH($A240,Simulations!$A$3:$A$62,0)),1)),$D240/(INDEX(Simulations!$G$3:$G$62,MATCH($A240,Simulations!$A$3:$A$62,0))*INDEX(Simulations!$H$3:$H$62,MATCH($A240,Simulations!$A$3:$A$62,0))*IF(INDEX(Simulations!$I$3:$I$62,MATCH($A240,Simulations!$A$3:$A$62,0))&gt;0,INDEX(Simulations!$I$3:$I$62,MATCH($A240,Simulations!$A$3:$A$62,0)),1))*INDEX(Simulations!$J$3:$J$62,MATCH($A240,Simulations!$A$3:$A$62,0))*IF(INDEX(Simulations!$I$3:$I$62,MATCH($A240,Simulations!$A$3:$A$62,0))&gt;0,2*PI()*INDEX(Simulations!$T$3:$T$62,MATCH($A240,Simulations!$A$3:$A$62,0))^2*INDEX(Simulations!$U$3:$U$62,MATCH($A240,Simulations!$A$3:$A$62,0))/2^1.5*(2/3*LN($E240/INDEX(Simulations!$J$3:$J$62,MATCH($A240,Simulations!$A$3:$A$62,0)))^1.5+SQRT(LN($E240/INDEX(Simulations!$J$3:$J$62,MATCH($A240,Simulations!$A$3:$A$62,0))))+$E240/INDEX(Simulations!$J$3:$J$62,MATCH($A240,Simulations!$A$3:$A$62,0))*SQRT(PI())/2*ERFC(SQRT(LN($E240/INDEX(Simulations!$J$3:$J$62,MATCH($A240,Simulations!$A$3:$A$62,0)))))),PI()*INDEX(Simulations!$T$3:$T$62,MATCH($A240,Simulations!$A$3:$A$62,0))^2/2*(LN($E240/INDEX(Simulations!$J$3:$J$62,MATCH($A240,Simulations!$A$3:$A$62,0)))+1)))))</f>
        <v/>
      </c>
      <c r="R240" s="16" t="str">
        <f aca="false">IF(OR($A240="",ISNA(MATCH($A240,Simulations!$A$3:$A$62,0))),"",IF(N($F240)&lt;=0,0,IF($F240&lt;INDEX(Simulations!$J$3:$J$62,MATCH($A240,Simulations!$A$3:$A$62,0)),$D240/(INDEX(Simulations!$G$3:$G$62,MATCH($A240,Simulations!$A$3:$A$62,0))*INDEX(Simulations!$H$3:$H$62,MATCH($A240,Simulations!$A$3:$A$62,0))*IF(INDEX(Simulations!$I$3:$I$62,MATCH($A240,Simulations!$A$3:$A$62,0))&gt;0,INDEX(Simulations!$I$3:$I$62,MATCH($A240,Simulations!$A$3:$A$62,0)),1))*$F240*(PI()/2*INDEX(Simulations!$T$3:$T$62,MATCH($A240,Simulations!$A$3:$A$62,0))^2*IF(INDEX(Simulations!$I$3:$I$62,MATCH($A240,Simulations!$A$3:$A$62,0))&gt;0,SQRT(PI()/2)*INDEX(Simulations!$U$3:$U$62,MATCH($A240,Simulations!$A$3:$A$62,0)),1)),$D240/(INDEX(Simulations!$G$3:$G$62,MATCH($A240,Simulations!$A$3:$A$62,0))*INDEX(Simulations!$H$3:$H$62,MATCH($A240,Simulations!$A$3:$A$62,0))*IF(INDEX(Simulations!$I$3:$I$62,MATCH($A240,Simulations!$A$3:$A$62,0))&gt;0,INDEX(Simulations!$I$3:$I$62,MATCH($A240,Simulations!$A$3:$A$62,0)),1))*INDEX(Simulations!$J$3:$J$62,MATCH($A240,Simulations!$A$3:$A$62,0))*IF(INDEX(Simulations!$I$3:$I$62,MATCH($A240,Simulations!$A$3:$A$62,0))&gt;0,2*PI()*INDEX(Simulations!$T$3:$T$62,MATCH($A240,Simulations!$A$3:$A$62,0))^2*INDEX(Simulations!$U$3:$U$62,MATCH($A240,Simulations!$A$3:$A$62,0))/2^1.5*(2/3*LN($F240/INDEX(Simulations!$J$3:$J$62,MATCH($A240,Simulations!$A$3:$A$62,0)))^1.5+SQRT(LN($F240/INDEX(Simulations!$J$3:$J$62,MATCH($A240,Simulations!$A$3:$A$62,0))))+$F240/INDEX(Simulations!$J$3:$J$62,MATCH($A240,Simulations!$A$3:$A$62,0))*SQRT(PI())/2*ERFC(SQRT(LN($F240/INDEX(Simulations!$J$3:$J$62,MATCH($A240,Simulations!$A$3:$A$62,0)))))),PI()*INDEX(Simulations!$T$3:$T$62,MATCH($A240,Simulations!$A$3:$A$62,0))^2/2*(LN($F240/INDEX(Simulations!$J$3:$J$62,MATCH($A240,Simulations!$A$3:$A$62,0)))+1)))))</f>
        <v/>
      </c>
      <c r="S240" s="16" t="str">
        <f aca="false">IF(OR($A240="",ISNA(MATCH($A240,Simulations!$A$3:$A$62,0))),"",IF(N($G240)&lt;=0,0,IF($G240&lt;INDEX(Simulations!$J$3:$J$62,MATCH($A240,Simulations!$A$3:$A$62,0)),$D240/(INDEX(Simulations!$G$3:$G$62,MATCH($A240,Simulations!$A$3:$A$62,0))*INDEX(Simulations!$H$3:$H$62,MATCH($A240,Simulations!$A$3:$A$62,0))*IF(INDEX(Simulations!$I$3:$I$62,MATCH($A240,Simulations!$A$3:$A$62,0))&gt;0,INDEX(Simulations!$I$3:$I$62,MATCH($A240,Simulations!$A$3:$A$62,0)),1))*$G240*(PI()/2*INDEX(Simulations!$T$3:$T$62,MATCH($A240,Simulations!$A$3:$A$62,0))^2*IF(INDEX(Simulations!$I$3:$I$62,MATCH($A240,Simulations!$A$3:$A$62,0))&gt;0,SQRT(PI()/2)*INDEX(Simulations!$U$3:$U$62,MATCH($A240,Simulations!$A$3:$A$62,0)),1)),$D240/(INDEX(Simulations!$G$3:$G$62,MATCH($A240,Simulations!$A$3:$A$62,0))*INDEX(Simulations!$H$3:$H$62,MATCH($A240,Simulations!$A$3:$A$62,0))*IF(INDEX(Simulations!$I$3:$I$62,MATCH($A240,Simulations!$A$3:$A$62,0))&gt;0,INDEX(Simulations!$I$3:$I$62,MATCH($A240,Simulations!$A$3:$A$62,0)),1))*INDEX(Simulations!$J$3:$J$62,MATCH($A240,Simulations!$A$3:$A$62,0))*IF(INDEX(Simulations!$I$3:$I$62,MATCH($A240,Simulations!$A$3:$A$62,0))&gt;0,2*PI()*INDEX(Simulations!$T$3:$T$62,MATCH($A240,Simulations!$A$3:$A$62,0))^2*INDEX(Simulations!$U$3:$U$62,MATCH($A240,Simulations!$A$3:$A$62,0))/2^1.5*(2/3*LN($G240/INDEX(Simulations!$J$3:$J$62,MATCH($A240,Simulations!$A$3:$A$62,0)))^1.5+SQRT(LN($G240/INDEX(Simulations!$J$3:$J$62,MATCH($A240,Simulations!$A$3:$A$62,0))))+$G240/INDEX(Simulations!$J$3:$J$62,MATCH($A240,Simulations!$A$3:$A$62,0))*SQRT(PI())/2*ERFC(SQRT(LN($G240/INDEX(Simulations!$J$3:$J$62,MATCH($A240,Simulations!$A$3:$A$62,0)))))),PI()*INDEX(Simulations!$T$3:$T$62,MATCH($A240,Simulations!$A$3:$A$62,0))^2/2*(LN($G240/INDEX(Simulations!$J$3:$J$62,MATCH($A240,Simulations!$A$3:$A$62,0)))+1)))))</f>
        <v/>
      </c>
      <c r="T240" s="16" t="str">
        <f aca="false">IF(OR($A240="",ISNA(MATCH($A240,Simulations!$A$3:$A$62,0))),"",IF(N($H240)&lt;=0,0,IF($H240&lt;INDEX(Simulations!$J$3:$J$62,MATCH($A240,Simulations!$A$3:$A$62,0)),$D240/(INDEX(Simulations!$G$3:$G$62,MATCH($A240,Simulations!$A$3:$A$62,0))*INDEX(Simulations!$H$3:$H$62,MATCH($A240,Simulations!$A$3:$A$62,0))*IF(INDEX(Simulations!$I$3:$I$62,MATCH($A240,Simulations!$A$3:$A$62,0))&gt;0,INDEX(Simulations!$I$3:$I$62,MATCH($A240,Simulations!$A$3:$A$62,0)),1))*$H240*(PI()/2*INDEX(Simulations!$T$3:$T$62,MATCH($A240,Simulations!$A$3:$A$62,0))^2*IF(INDEX(Simulations!$I$3:$I$62,MATCH($A240,Simulations!$A$3:$A$62,0))&gt;0,SQRT(PI()/2)*INDEX(Simulations!$U$3:$U$62,MATCH($A240,Simulations!$A$3:$A$62,0)),1)),$D240/(INDEX(Simulations!$G$3:$G$62,MATCH($A240,Simulations!$A$3:$A$62,0))*INDEX(Simulations!$H$3:$H$62,MATCH($A240,Simulations!$A$3:$A$62,0))*IF(INDEX(Simulations!$I$3:$I$62,MATCH($A240,Simulations!$A$3:$A$62,0))&gt;0,INDEX(Simulations!$I$3:$I$62,MATCH($A240,Simulations!$A$3:$A$62,0)),1))*INDEX(Simulations!$J$3:$J$62,MATCH($A240,Simulations!$A$3:$A$62,0))*IF(INDEX(Simulations!$I$3:$I$62,MATCH($A240,Simulations!$A$3:$A$62,0))&gt;0,2*PI()*INDEX(Simulations!$T$3:$T$62,MATCH($A240,Simulations!$A$3:$A$62,0))^2*INDEX(Simulations!$U$3:$U$62,MATCH($A240,Simulations!$A$3:$A$62,0))/2^1.5*(2/3*LN($H240/INDEX(Simulations!$J$3:$J$62,MATCH($A240,Simulations!$A$3:$A$62,0)))^1.5+SQRT(LN($H240/INDEX(Simulations!$J$3:$J$62,MATCH($A240,Simulations!$A$3:$A$62,0))))+$H240/INDEX(Simulations!$J$3:$J$62,MATCH($A240,Simulations!$A$3:$A$62,0))*SQRT(PI())/2*ERFC(SQRT(LN($H240/INDEX(Simulations!$J$3:$J$62,MATCH($A240,Simulations!$A$3:$A$62,0)))))),PI()*INDEX(Simulations!$T$3:$T$62,MATCH($A240,Simulations!$A$3:$A$62,0))^2/2*(LN($H240/INDEX(Simulations!$J$3:$J$62,MATCH($A240,Simulations!$A$3:$A$62,0)))+1)))))</f>
        <v/>
      </c>
      <c r="U240" s="18" t="str">
        <f aca="false">IF(OR(OR($A240="",ISNA(MATCH($A240,Simulations!$A$3:$A$62,0))),N($C240)&lt;=0),"",SQRT(2*$C240*1000000/(INDEX(Simulations!$J$3:$J$62,MATCH($A240,Simulations!$A$3:$A$62,0))*1000))/INDEX(Simulations!$T$3:$T$62,MATCH($A240,Simulations!$A$3:$A$62,0)))</f>
        <v/>
      </c>
      <c r="V240" s="19" t="str">
        <f aca="false">IF($A240="","",IF(ISNA(MATCH($A240,Simulations!$A$3:$A$62,0)),"✖ Sim ID not found on the Simulations sheet",IF($P240&gt;=1,"✖ brightness &gt;= sampling frequency: completely saturated (D too small, c too large)",IF($P240&gt;0.1,"⚠ brightness &gt; 10% of the sampling frequency: focus starts to saturate",IF(N($U240)&gt;0.1,"⚠ diffusion step &gt; 10% of wr: raise the sampling frequency",IF(MAX($E240:$H240)=0,"⚠ no brightness set","✔ OK"))))))</f>
        <v/>
      </c>
    </row>
    <row r="241" customFormat="false" ht="15" hidden="false" customHeight="false" outlineLevel="0" collapsed="false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4"/>
      <c r="O241" s="18" t="str">
        <f aca="false">IF(OR($A241="",ISNA(MATCH($A241,Simulations!$A$3:$A$62,0))),"",IF(INDEX(Simulations!$I$3:$I$62,MATCH($A241,Simulations!$A$3:$A$62,0))&gt;0,$D241/(INDEX(Simulations!$G$3:$G$62,MATCH($A241,Simulations!$A$3:$A$62,0))*INDEX(Simulations!$H$3:$H$62,MATCH($A241,Simulations!$A$3:$A$62,0))*IF(INDEX(Simulations!$I$3:$I$62,MATCH($A241,Simulations!$A$3:$A$62,0))&gt;0,INDEX(Simulations!$I$3:$I$62,MATCH($A241,Simulations!$A$3:$A$62,0)),1))/1E-024/6.022E+023/0.000000001,""))</f>
        <v/>
      </c>
      <c r="P241" s="20" t="str">
        <f aca="false">IF(OR($A241="",ISNA(MATCH($A241,Simulations!$A$3:$A$62,0))),"",MAX($E241:$H241)/INDEX(Simulations!$J$3:$J$62,MATCH($A241,Simulations!$A$3:$A$62,0)))</f>
        <v/>
      </c>
      <c r="Q241" s="16" t="str">
        <f aca="false">IF(OR($A241="",ISNA(MATCH($A241,Simulations!$A$3:$A$62,0))),"",IF(N($E241)&lt;=0,0,IF($E241&lt;INDEX(Simulations!$J$3:$J$62,MATCH($A241,Simulations!$A$3:$A$62,0)),$D241/(INDEX(Simulations!$G$3:$G$62,MATCH($A241,Simulations!$A$3:$A$62,0))*INDEX(Simulations!$H$3:$H$62,MATCH($A241,Simulations!$A$3:$A$62,0))*IF(INDEX(Simulations!$I$3:$I$62,MATCH($A241,Simulations!$A$3:$A$62,0))&gt;0,INDEX(Simulations!$I$3:$I$62,MATCH($A241,Simulations!$A$3:$A$62,0)),1))*$E241*(PI()/2*INDEX(Simulations!$T$3:$T$62,MATCH($A241,Simulations!$A$3:$A$62,0))^2*IF(INDEX(Simulations!$I$3:$I$62,MATCH($A241,Simulations!$A$3:$A$62,0))&gt;0,SQRT(PI()/2)*INDEX(Simulations!$U$3:$U$62,MATCH($A241,Simulations!$A$3:$A$62,0)),1)),$D241/(INDEX(Simulations!$G$3:$G$62,MATCH($A241,Simulations!$A$3:$A$62,0))*INDEX(Simulations!$H$3:$H$62,MATCH($A241,Simulations!$A$3:$A$62,0))*IF(INDEX(Simulations!$I$3:$I$62,MATCH($A241,Simulations!$A$3:$A$62,0))&gt;0,INDEX(Simulations!$I$3:$I$62,MATCH($A241,Simulations!$A$3:$A$62,0)),1))*INDEX(Simulations!$J$3:$J$62,MATCH($A241,Simulations!$A$3:$A$62,0))*IF(INDEX(Simulations!$I$3:$I$62,MATCH($A241,Simulations!$A$3:$A$62,0))&gt;0,2*PI()*INDEX(Simulations!$T$3:$T$62,MATCH($A241,Simulations!$A$3:$A$62,0))^2*INDEX(Simulations!$U$3:$U$62,MATCH($A241,Simulations!$A$3:$A$62,0))/2^1.5*(2/3*LN($E241/INDEX(Simulations!$J$3:$J$62,MATCH($A241,Simulations!$A$3:$A$62,0)))^1.5+SQRT(LN($E241/INDEX(Simulations!$J$3:$J$62,MATCH($A241,Simulations!$A$3:$A$62,0))))+$E241/INDEX(Simulations!$J$3:$J$62,MATCH($A241,Simulations!$A$3:$A$62,0))*SQRT(PI())/2*ERFC(SQRT(LN($E241/INDEX(Simulations!$J$3:$J$62,MATCH($A241,Simulations!$A$3:$A$62,0)))))),PI()*INDEX(Simulations!$T$3:$T$62,MATCH($A241,Simulations!$A$3:$A$62,0))^2/2*(LN($E241/INDEX(Simulations!$J$3:$J$62,MATCH($A241,Simulations!$A$3:$A$62,0)))+1)))))</f>
        <v/>
      </c>
      <c r="R241" s="16" t="str">
        <f aca="false">IF(OR($A241="",ISNA(MATCH($A241,Simulations!$A$3:$A$62,0))),"",IF(N($F241)&lt;=0,0,IF($F241&lt;INDEX(Simulations!$J$3:$J$62,MATCH($A241,Simulations!$A$3:$A$62,0)),$D241/(INDEX(Simulations!$G$3:$G$62,MATCH($A241,Simulations!$A$3:$A$62,0))*INDEX(Simulations!$H$3:$H$62,MATCH($A241,Simulations!$A$3:$A$62,0))*IF(INDEX(Simulations!$I$3:$I$62,MATCH($A241,Simulations!$A$3:$A$62,0))&gt;0,INDEX(Simulations!$I$3:$I$62,MATCH($A241,Simulations!$A$3:$A$62,0)),1))*$F241*(PI()/2*INDEX(Simulations!$T$3:$T$62,MATCH($A241,Simulations!$A$3:$A$62,0))^2*IF(INDEX(Simulations!$I$3:$I$62,MATCH($A241,Simulations!$A$3:$A$62,0))&gt;0,SQRT(PI()/2)*INDEX(Simulations!$U$3:$U$62,MATCH($A241,Simulations!$A$3:$A$62,0)),1)),$D241/(INDEX(Simulations!$G$3:$G$62,MATCH($A241,Simulations!$A$3:$A$62,0))*INDEX(Simulations!$H$3:$H$62,MATCH($A241,Simulations!$A$3:$A$62,0))*IF(INDEX(Simulations!$I$3:$I$62,MATCH($A241,Simulations!$A$3:$A$62,0))&gt;0,INDEX(Simulations!$I$3:$I$62,MATCH($A241,Simulations!$A$3:$A$62,0)),1))*INDEX(Simulations!$J$3:$J$62,MATCH($A241,Simulations!$A$3:$A$62,0))*IF(INDEX(Simulations!$I$3:$I$62,MATCH($A241,Simulations!$A$3:$A$62,0))&gt;0,2*PI()*INDEX(Simulations!$T$3:$T$62,MATCH($A241,Simulations!$A$3:$A$62,0))^2*INDEX(Simulations!$U$3:$U$62,MATCH($A241,Simulations!$A$3:$A$62,0))/2^1.5*(2/3*LN($F241/INDEX(Simulations!$J$3:$J$62,MATCH($A241,Simulations!$A$3:$A$62,0)))^1.5+SQRT(LN($F241/INDEX(Simulations!$J$3:$J$62,MATCH($A241,Simulations!$A$3:$A$62,0))))+$F241/INDEX(Simulations!$J$3:$J$62,MATCH($A241,Simulations!$A$3:$A$62,0))*SQRT(PI())/2*ERFC(SQRT(LN($F241/INDEX(Simulations!$J$3:$J$62,MATCH($A241,Simulations!$A$3:$A$62,0)))))),PI()*INDEX(Simulations!$T$3:$T$62,MATCH($A241,Simulations!$A$3:$A$62,0))^2/2*(LN($F241/INDEX(Simulations!$J$3:$J$62,MATCH($A241,Simulations!$A$3:$A$62,0)))+1)))))</f>
        <v/>
      </c>
      <c r="S241" s="16" t="str">
        <f aca="false">IF(OR($A241="",ISNA(MATCH($A241,Simulations!$A$3:$A$62,0))),"",IF(N($G241)&lt;=0,0,IF($G241&lt;INDEX(Simulations!$J$3:$J$62,MATCH($A241,Simulations!$A$3:$A$62,0)),$D241/(INDEX(Simulations!$G$3:$G$62,MATCH($A241,Simulations!$A$3:$A$62,0))*INDEX(Simulations!$H$3:$H$62,MATCH($A241,Simulations!$A$3:$A$62,0))*IF(INDEX(Simulations!$I$3:$I$62,MATCH($A241,Simulations!$A$3:$A$62,0))&gt;0,INDEX(Simulations!$I$3:$I$62,MATCH($A241,Simulations!$A$3:$A$62,0)),1))*$G241*(PI()/2*INDEX(Simulations!$T$3:$T$62,MATCH($A241,Simulations!$A$3:$A$62,0))^2*IF(INDEX(Simulations!$I$3:$I$62,MATCH($A241,Simulations!$A$3:$A$62,0))&gt;0,SQRT(PI()/2)*INDEX(Simulations!$U$3:$U$62,MATCH($A241,Simulations!$A$3:$A$62,0)),1)),$D241/(INDEX(Simulations!$G$3:$G$62,MATCH($A241,Simulations!$A$3:$A$62,0))*INDEX(Simulations!$H$3:$H$62,MATCH($A241,Simulations!$A$3:$A$62,0))*IF(INDEX(Simulations!$I$3:$I$62,MATCH($A241,Simulations!$A$3:$A$62,0))&gt;0,INDEX(Simulations!$I$3:$I$62,MATCH($A241,Simulations!$A$3:$A$62,0)),1))*INDEX(Simulations!$J$3:$J$62,MATCH($A241,Simulations!$A$3:$A$62,0))*IF(INDEX(Simulations!$I$3:$I$62,MATCH($A241,Simulations!$A$3:$A$62,0))&gt;0,2*PI()*INDEX(Simulations!$T$3:$T$62,MATCH($A241,Simulations!$A$3:$A$62,0))^2*INDEX(Simulations!$U$3:$U$62,MATCH($A241,Simulations!$A$3:$A$62,0))/2^1.5*(2/3*LN($G241/INDEX(Simulations!$J$3:$J$62,MATCH($A241,Simulations!$A$3:$A$62,0)))^1.5+SQRT(LN($G241/INDEX(Simulations!$J$3:$J$62,MATCH($A241,Simulations!$A$3:$A$62,0))))+$G241/INDEX(Simulations!$J$3:$J$62,MATCH($A241,Simulations!$A$3:$A$62,0))*SQRT(PI())/2*ERFC(SQRT(LN($G241/INDEX(Simulations!$J$3:$J$62,MATCH($A241,Simulations!$A$3:$A$62,0)))))),PI()*INDEX(Simulations!$T$3:$T$62,MATCH($A241,Simulations!$A$3:$A$62,0))^2/2*(LN($G241/INDEX(Simulations!$J$3:$J$62,MATCH($A241,Simulations!$A$3:$A$62,0)))+1)))))</f>
        <v/>
      </c>
      <c r="T241" s="16" t="str">
        <f aca="false">IF(OR($A241="",ISNA(MATCH($A241,Simulations!$A$3:$A$62,0))),"",IF(N($H241)&lt;=0,0,IF($H241&lt;INDEX(Simulations!$J$3:$J$62,MATCH($A241,Simulations!$A$3:$A$62,0)),$D241/(INDEX(Simulations!$G$3:$G$62,MATCH($A241,Simulations!$A$3:$A$62,0))*INDEX(Simulations!$H$3:$H$62,MATCH($A241,Simulations!$A$3:$A$62,0))*IF(INDEX(Simulations!$I$3:$I$62,MATCH($A241,Simulations!$A$3:$A$62,0))&gt;0,INDEX(Simulations!$I$3:$I$62,MATCH($A241,Simulations!$A$3:$A$62,0)),1))*$H241*(PI()/2*INDEX(Simulations!$T$3:$T$62,MATCH($A241,Simulations!$A$3:$A$62,0))^2*IF(INDEX(Simulations!$I$3:$I$62,MATCH($A241,Simulations!$A$3:$A$62,0))&gt;0,SQRT(PI()/2)*INDEX(Simulations!$U$3:$U$62,MATCH($A241,Simulations!$A$3:$A$62,0)),1)),$D241/(INDEX(Simulations!$G$3:$G$62,MATCH($A241,Simulations!$A$3:$A$62,0))*INDEX(Simulations!$H$3:$H$62,MATCH($A241,Simulations!$A$3:$A$62,0))*IF(INDEX(Simulations!$I$3:$I$62,MATCH($A241,Simulations!$A$3:$A$62,0))&gt;0,INDEX(Simulations!$I$3:$I$62,MATCH($A241,Simulations!$A$3:$A$62,0)),1))*INDEX(Simulations!$J$3:$J$62,MATCH($A241,Simulations!$A$3:$A$62,0))*IF(INDEX(Simulations!$I$3:$I$62,MATCH($A241,Simulations!$A$3:$A$62,0))&gt;0,2*PI()*INDEX(Simulations!$T$3:$T$62,MATCH($A241,Simulations!$A$3:$A$62,0))^2*INDEX(Simulations!$U$3:$U$62,MATCH($A241,Simulations!$A$3:$A$62,0))/2^1.5*(2/3*LN($H241/INDEX(Simulations!$J$3:$J$62,MATCH($A241,Simulations!$A$3:$A$62,0)))^1.5+SQRT(LN($H241/INDEX(Simulations!$J$3:$J$62,MATCH($A241,Simulations!$A$3:$A$62,0))))+$H241/INDEX(Simulations!$J$3:$J$62,MATCH($A241,Simulations!$A$3:$A$62,0))*SQRT(PI())/2*ERFC(SQRT(LN($H241/INDEX(Simulations!$J$3:$J$62,MATCH($A241,Simulations!$A$3:$A$62,0)))))),PI()*INDEX(Simulations!$T$3:$T$62,MATCH($A241,Simulations!$A$3:$A$62,0))^2/2*(LN($H241/INDEX(Simulations!$J$3:$J$62,MATCH($A241,Simulations!$A$3:$A$62,0)))+1)))))</f>
        <v/>
      </c>
      <c r="U241" s="18" t="str">
        <f aca="false">IF(OR(OR($A241="",ISNA(MATCH($A241,Simulations!$A$3:$A$62,0))),N($C241)&lt;=0),"",SQRT(2*$C241*1000000/(INDEX(Simulations!$J$3:$J$62,MATCH($A241,Simulations!$A$3:$A$62,0))*1000))/INDEX(Simulations!$T$3:$T$62,MATCH($A241,Simulations!$A$3:$A$62,0)))</f>
        <v/>
      </c>
      <c r="V241" s="19" t="str">
        <f aca="false">IF($A241="","",IF(ISNA(MATCH($A241,Simulations!$A$3:$A$62,0)),"✖ Sim ID not found on the Simulations sheet",IF($P241&gt;=1,"✖ brightness &gt;= sampling frequency: completely saturated (D too small, c too large)",IF($P241&gt;0.1,"⚠ brightness &gt; 10% of the sampling frequency: focus starts to saturate",IF(N($U241)&gt;0.1,"⚠ diffusion step &gt; 10% of wr: raise the sampling frequency",IF(MAX($E241:$H241)=0,"⚠ no brightness set","✔ OK"))))))</f>
        <v/>
      </c>
    </row>
    <row r="242" customFormat="false" ht="15" hidden="false" customHeight="false" outlineLevel="0" collapsed="false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4"/>
      <c r="O242" s="18" t="str">
        <f aca="false">IF(OR($A242="",ISNA(MATCH($A242,Simulations!$A$3:$A$62,0))),"",IF(INDEX(Simulations!$I$3:$I$62,MATCH($A242,Simulations!$A$3:$A$62,0))&gt;0,$D242/(INDEX(Simulations!$G$3:$G$62,MATCH($A242,Simulations!$A$3:$A$62,0))*INDEX(Simulations!$H$3:$H$62,MATCH($A242,Simulations!$A$3:$A$62,0))*IF(INDEX(Simulations!$I$3:$I$62,MATCH($A242,Simulations!$A$3:$A$62,0))&gt;0,INDEX(Simulations!$I$3:$I$62,MATCH($A242,Simulations!$A$3:$A$62,0)),1))/1E-024/6.022E+023/0.000000001,""))</f>
        <v/>
      </c>
      <c r="P242" s="20" t="str">
        <f aca="false">IF(OR($A242="",ISNA(MATCH($A242,Simulations!$A$3:$A$62,0))),"",MAX($E242:$H242)/INDEX(Simulations!$J$3:$J$62,MATCH($A242,Simulations!$A$3:$A$62,0)))</f>
        <v/>
      </c>
      <c r="Q242" s="16" t="str">
        <f aca="false">IF(OR($A242="",ISNA(MATCH($A242,Simulations!$A$3:$A$62,0))),"",IF(N($E242)&lt;=0,0,IF($E242&lt;INDEX(Simulations!$J$3:$J$62,MATCH($A242,Simulations!$A$3:$A$62,0)),$D242/(INDEX(Simulations!$G$3:$G$62,MATCH($A242,Simulations!$A$3:$A$62,0))*INDEX(Simulations!$H$3:$H$62,MATCH($A242,Simulations!$A$3:$A$62,0))*IF(INDEX(Simulations!$I$3:$I$62,MATCH($A242,Simulations!$A$3:$A$62,0))&gt;0,INDEX(Simulations!$I$3:$I$62,MATCH($A242,Simulations!$A$3:$A$62,0)),1))*$E242*(PI()/2*INDEX(Simulations!$T$3:$T$62,MATCH($A242,Simulations!$A$3:$A$62,0))^2*IF(INDEX(Simulations!$I$3:$I$62,MATCH($A242,Simulations!$A$3:$A$62,0))&gt;0,SQRT(PI()/2)*INDEX(Simulations!$U$3:$U$62,MATCH($A242,Simulations!$A$3:$A$62,0)),1)),$D242/(INDEX(Simulations!$G$3:$G$62,MATCH($A242,Simulations!$A$3:$A$62,0))*INDEX(Simulations!$H$3:$H$62,MATCH($A242,Simulations!$A$3:$A$62,0))*IF(INDEX(Simulations!$I$3:$I$62,MATCH($A242,Simulations!$A$3:$A$62,0))&gt;0,INDEX(Simulations!$I$3:$I$62,MATCH($A242,Simulations!$A$3:$A$62,0)),1))*INDEX(Simulations!$J$3:$J$62,MATCH($A242,Simulations!$A$3:$A$62,0))*IF(INDEX(Simulations!$I$3:$I$62,MATCH($A242,Simulations!$A$3:$A$62,0))&gt;0,2*PI()*INDEX(Simulations!$T$3:$T$62,MATCH($A242,Simulations!$A$3:$A$62,0))^2*INDEX(Simulations!$U$3:$U$62,MATCH($A242,Simulations!$A$3:$A$62,0))/2^1.5*(2/3*LN($E242/INDEX(Simulations!$J$3:$J$62,MATCH($A242,Simulations!$A$3:$A$62,0)))^1.5+SQRT(LN($E242/INDEX(Simulations!$J$3:$J$62,MATCH($A242,Simulations!$A$3:$A$62,0))))+$E242/INDEX(Simulations!$J$3:$J$62,MATCH($A242,Simulations!$A$3:$A$62,0))*SQRT(PI())/2*ERFC(SQRT(LN($E242/INDEX(Simulations!$J$3:$J$62,MATCH($A242,Simulations!$A$3:$A$62,0)))))),PI()*INDEX(Simulations!$T$3:$T$62,MATCH($A242,Simulations!$A$3:$A$62,0))^2/2*(LN($E242/INDEX(Simulations!$J$3:$J$62,MATCH($A242,Simulations!$A$3:$A$62,0)))+1)))))</f>
        <v/>
      </c>
      <c r="R242" s="16" t="str">
        <f aca="false">IF(OR($A242="",ISNA(MATCH($A242,Simulations!$A$3:$A$62,0))),"",IF(N($F242)&lt;=0,0,IF($F242&lt;INDEX(Simulations!$J$3:$J$62,MATCH($A242,Simulations!$A$3:$A$62,0)),$D242/(INDEX(Simulations!$G$3:$G$62,MATCH($A242,Simulations!$A$3:$A$62,0))*INDEX(Simulations!$H$3:$H$62,MATCH($A242,Simulations!$A$3:$A$62,0))*IF(INDEX(Simulations!$I$3:$I$62,MATCH($A242,Simulations!$A$3:$A$62,0))&gt;0,INDEX(Simulations!$I$3:$I$62,MATCH($A242,Simulations!$A$3:$A$62,0)),1))*$F242*(PI()/2*INDEX(Simulations!$T$3:$T$62,MATCH($A242,Simulations!$A$3:$A$62,0))^2*IF(INDEX(Simulations!$I$3:$I$62,MATCH($A242,Simulations!$A$3:$A$62,0))&gt;0,SQRT(PI()/2)*INDEX(Simulations!$U$3:$U$62,MATCH($A242,Simulations!$A$3:$A$62,0)),1)),$D242/(INDEX(Simulations!$G$3:$G$62,MATCH($A242,Simulations!$A$3:$A$62,0))*INDEX(Simulations!$H$3:$H$62,MATCH($A242,Simulations!$A$3:$A$62,0))*IF(INDEX(Simulations!$I$3:$I$62,MATCH($A242,Simulations!$A$3:$A$62,0))&gt;0,INDEX(Simulations!$I$3:$I$62,MATCH($A242,Simulations!$A$3:$A$62,0)),1))*INDEX(Simulations!$J$3:$J$62,MATCH($A242,Simulations!$A$3:$A$62,0))*IF(INDEX(Simulations!$I$3:$I$62,MATCH($A242,Simulations!$A$3:$A$62,0))&gt;0,2*PI()*INDEX(Simulations!$T$3:$T$62,MATCH($A242,Simulations!$A$3:$A$62,0))^2*INDEX(Simulations!$U$3:$U$62,MATCH($A242,Simulations!$A$3:$A$62,0))/2^1.5*(2/3*LN($F242/INDEX(Simulations!$J$3:$J$62,MATCH($A242,Simulations!$A$3:$A$62,0)))^1.5+SQRT(LN($F242/INDEX(Simulations!$J$3:$J$62,MATCH($A242,Simulations!$A$3:$A$62,0))))+$F242/INDEX(Simulations!$J$3:$J$62,MATCH($A242,Simulations!$A$3:$A$62,0))*SQRT(PI())/2*ERFC(SQRT(LN($F242/INDEX(Simulations!$J$3:$J$62,MATCH($A242,Simulations!$A$3:$A$62,0)))))),PI()*INDEX(Simulations!$T$3:$T$62,MATCH($A242,Simulations!$A$3:$A$62,0))^2/2*(LN($F242/INDEX(Simulations!$J$3:$J$62,MATCH($A242,Simulations!$A$3:$A$62,0)))+1)))))</f>
        <v/>
      </c>
      <c r="S242" s="16" t="str">
        <f aca="false">IF(OR($A242="",ISNA(MATCH($A242,Simulations!$A$3:$A$62,0))),"",IF(N($G242)&lt;=0,0,IF($G242&lt;INDEX(Simulations!$J$3:$J$62,MATCH($A242,Simulations!$A$3:$A$62,0)),$D242/(INDEX(Simulations!$G$3:$G$62,MATCH($A242,Simulations!$A$3:$A$62,0))*INDEX(Simulations!$H$3:$H$62,MATCH($A242,Simulations!$A$3:$A$62,0))*IF(INDEX(Simulations!$I$3:$I$62,MATCH($A242,Simulations!$A$3:$A$62,0))&gt;0,INDEX(Simulations!$I$3:$I$62,MATCH($A242,Simulations!$A$3:$A$62,0)),1))*$G242*(PI()/2*INDEX(Simulations!$T$3:$T$62,MATCH($A242,Simulations!$A$3:$A$62,0))^2*IF(INDEX(Simulations!$I$3:$I$62,MATCH($A242,Simulations!$A$3:$A$62,0))&gt;0,SQRT(PI()/2)*INDEX(Simulations!$U$3:$U$62,MATCH($A242,Simulations!$A$3:$A$62,0)),1)),$D242/(INDEX(Simulations!$G$3:$G$62,MATCH($A242,Simulations!$A$3:$A$62,0))*INDEX(Simulations!$H$3:$H$62,MATCH($A242,Simulations!$A$3:$A$62,0))*IF(INDEX(Simulations!$I$3:$I$62,MATCH($A242,Simulations!$A$3:$A$62,0))&gt;0,INDEX(Simulations!$I$3:$I$62,MATCH($A242,Simulations!$A$3:$A$62,0)),1))*INDEX(Simulations!$J$3:$J$62,MATCH($A242,Simulations!$A$3:$A$62,0))*IF(INDEX(Simulations!$I$3:$I$62,MATCH($A242,Simulations!$A$3:$A$62,0))&gt;0,2*PI()*INDEX(Simulations!$T$3:$T$62,MATCH($A242,Simulations!$A$3:$A$62,0))^2*INDEX(Simulations!$U$3:$U$62,MATCH($A242,Simulations!$A$3:$A$62,0))/2^1.5*(2/3*LN($G242/INDEX(Simulations!$J$3:$J$62,MATCH($A242,Simulations!$A$3:$A$62,0)))^1.5+SQRT(LN($G242/INDEX(Simulations!$J$3:$J$62,MATCH($A242,Simulations!$A$3:$A$62,0))))+$G242/INDEX(Simulations!$J$3:$J$62,MATCH($A242,Simulations!$A$3:$A$62,0))*SQRT(PI())/2*ERFC(SQRT(LN($G242/INDEX(Simulations!$J$3:$J$62,MATCH($A242,Simulations!$A$3:$A$62,0)))))),PI()*INDEX(Simulations!$T$3:$T$62,MATCH($A242,Simulations!$A$3:$A$62,0))^2/2*(LN($G242/INDEX(Simulations!$J$3:$J$62,MATCH($A242,Simulations!$A$3:$A$62,0)))+1)))))</f>
        <v/>
      </c>
      <c r="T242" s="16" t="str">
        <f aca="false">IF(OR($A242="",ISNA(MATCH($A242,Simulations!$A$3:$A$62,0))),"",IF(N($H242)&lt;=0,0,IF($H242&lt;INDEX(Simulations!$J$3:$J$62,MATCH($A242,Simulations!$A$3:$A$62,0)),$D242/(INDEX(Simulations!$G$3:$G$62,MATCH($A242,Simulations!$A$3:$A$62,0))*INDEX(Simulations!$H$3:$H$62,MATCH($A242,Simulations!$A$3:$A$62,0))*IF(INDEX(Simulations!$I$3:$I$62,MATCH($A242,Simulations!$A$3:$A$62,0))&gt;0,INDEX(Simulations!$I$3:$I$62,MATCH($A242,Simulations!$A$3:$A$62,0)),1))*$H242*(PI()/2*INDEX(Simulations!$T$3:$T$62,MATCH($A242,Simulations!$A$3:$A$62,0))^2*IF(INDEX(Simulations!$I$3:$I$62,MATCH($A242,Simulations!$A$3:$A$62,0))&gt;0,SQRT(PI()/2)*INDEX(Simulations!$U$3:$U$62,MATCH($A242,Simulations!$A$3:$A$62,0)),1)),$D242/(INDEX(Simulations!$G$3:$G$62,MATCH($A242,Simulations!$A$3:$A$62,0))*INDEX(Simulations!$H$3:$H$62,MATCH($A242,Simulations!$A$3:$A$62,0))*IF(INDEX(Simulations!$I$3:$I$62,MATCH($A242,Simulations!$A$3:$A$62,0))&gt;0,INDEX(Simulations!$I$3:$I$62,MATCH($A242,Simulations!$A$3:$A$62,0)),1))*INDEX(Simulations!$J$3:$J$62,MATCH($A242,Simulations!$A$3:$A$62,0))*IF(INDEX(Simulations!$I$3:$I$62,MATCH($A242,Simulations!$A$3:$A$62,0))&gt;0,2*PI()*INDEX(Simulations!$T$3:$T$62,MATCH($A242,Simulations!$A$3:$A$62,0))^2*INDEX(Simulations!$U$3:$U$62,MATCH($A242,Simulations!$A$3:$A$62,0))/2^1.5*(2/3*LN($H242/INDEX(Simulations!$J$3:$J$62,MATCH($A242,Simulations!$A$3:$A$62,0)))^1.5+SQRT(LN($H242/INDEX(Simulations!$J$3:$J$62,MATCH($A242,Simulations!$A$3:$A$62,0))))+$H242/INDEX(Simulations!$J$3:$J$62,MATCH($A242,Simulations!$A$3:$A$62,0))*SQRT(PI())/2*ERFC(SQRT(LN($H242/INDEX(Simulations!$J$3:$J$62,MATCH($A242,Simulations!$A$3:$A$62,0)))))),PI()*INDEX(Simulations!$T$3:$T$62,MATCH($A242,Simulations!$A$3:$A$62,0))^2/2*(LN($H242/INDEX(Simulations!$J$3:$J$62,MATCH($A242,Simulations!$A$3:$A$62,0)))+1)))))</f>
        <v/>
      </c>
      <c r="U242" s="18" t="str">
        <f aca="false">IF(OR(OR($A242="",ISNA(MATCH($A242,Simulations!$A$3:$A$62,0))),N($C242)&lt;=0),"",SQRT(2*$C242*1000000/(INDEX(Simulations!$J$3:$J$62,MATCH($A242,Simulations!$A$3:$A$62,0))*1000))/INDEX(Simulations!$T$3:$T$62,MATCH($A242,Simulations!$A$3:$A$62,0)))</f>
        <v/>
      </c>
      <c r="V242" s="19" t="str">
        <f aca="false">IF($A242="","",IF(ISNA(MATCH($A242,Simulations!$A$3:$A$62,0)),"✖ Sim ID not found on the Simulations sheet",IF($P242&gt;=1,"✖ brightness &gt;= sampling frequency: completely saturated (D too small, c too large)",IF($P242&gt;0.1,"⚠ brightness &gt; 10% of the sampling frequency: focus starts to saturate",IF(N($U242)&gt;0.1,"⚠ diffusion step &gt; 10% of wr: raise the sampling frequency",IF(MAX($E242:$H242)=0,"⚠ no brightness set","✔ OK"))))))</f>
        <v/>
      </c>
    </row>
    <row r="243" customFormat="false" ht="15" hidden="false" customHeight="false" outlineLevel="0" collapsed="false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4"/>
      <c r="O243" s="18" t="str">
        <f aca="false">IF(OR($A243="",ISNA(MATCH($A243,Simulations!$A$3:$A$62,0))),"",IF(INDEX(Simulations!$I$3:$I$62,MATCH($A243,Simulations!$A$3:$A$62,0))&gt;0,$D243/(INDEX(Simulations!$G$3:$G$62,MATCH($A243,Simulations!$A$3:$A$62,0))*INDEX(Simulations!$H$3:$H$62,MATCH($A243,Simulations!$A$3:$A$62,0))*IF(INDEX(Simulations!$I$3:$I$62,MATCH($A243,Simulations!$A$3:$A$62,0))&gt;0,INDEX(Simulations!$I$3:$I$62,MATCH($A243,Simulations!$A$3:$A$62,0)),1))/1E-024/6.022E+023/0.000000001,""))</f>
        <v/>
      </c>
      <c r="P243" s="20" t="str">
        <f aca="false">IF(OR($A243="",ISNA(MATCH($A243,Simulations!$A$3:$A$62,0))),"",MAX($E243:$H243)/INDEX(Simulations!$J$3:$J$62,MATCH($A243,Simulations!$A$3:$A$62,0)))</f>
        <v/>
      </c>
      <c r="Q243" s="16" t="str">
        <f aca="false">IF(OR($A243="",ISNA(MATCH($A243,Simulations!$A$3:$A$62,0))),"",IF(N($E243)&lt;=0,0,IF($E243&lt;INDEX(Simulations!$J$3:$J$62,MATCH($A243,Simulations!$A$3:$A$62,0)),$D243/(INDEX(Simulations!$G$3:$G$62,MATCH($A243,Simulations!$A$3:$A$62,0))*INDEX(Simulations!$H$3:$H$62,MATCH($A243,Simulations!$A$3:$A$62,0))*IF(INDEX(Simulations!$I$3:$I$62,MATCH($A243,Simulations!$A$3:$A$62,0))&gt;0,INDEX(Simulations!$I$3:$I$62,MATCH($A243,Simulations!$A$3:$A$62,0)),1))*$E243*(PI()/2*INDEX(Simulations!$T$3:$T$62,MATCH($A243,Simulations!$A$3:$A$62,0))^2*IF(INDEX(Simulations!$I$3:$I$62,MATCH($A243,Simulations!$A$3:$A$62,0))&gt;0,SQRT(PI()/2)*INDEX(Simulations!$U$3:$U$62,MATCH($A243,Simulations!$A$3:$A$62,0)),1)),$D243/(INDEX(Simulations!$G$3:$G$62,MATCH($A243,Simulations!$A$3:$A$62,0))*INDEX(Simulations!$H$3:$H$62,MATCH($A243,Simulations!$A$3:$A$62,0))*IF(INDEX(Simulations!$I$3:$I$62,MATCH($A243,Simulations!$A$3:$A$62,0))&gt;0,INDEX(Simulations!$I$3:$I$62,MATCH($A243,Simulations!$A$3:$A$62,0)),1))*INDEX(Simulations!$J$3:$J$62,MATCH($A243,Simulations!$A$3:$A$62,0))*IF(INDEX(Simulations!$I$3:$I$62,MATCH($A243,Simulations!$A$3:$A$62,0))&gt;0,2*PI()*INDEX(Simulations!$T$3:$T$62,MATCH($A243,Simulations!$A$3:$A$62,0))^2*INDEX(Simulations!$U$3:$U$62,MATCH($A243,Simulations!$A$3:$A$62,0))/2^1.5*(2/3*LN($E243/INDEX(Simulations!$J$3:$J$62,MATCH($A243,Simulations!$A$3:$A$62,0)))^1.5+SQRT(LN($E243/INDEX(Simulations!$J$3:$J$62,MATCH($A243,Simulations!$A$3:$A$62,0))))+$E243/INDEX(Simulations!$J$3:$J$62,MATCH($A243,Simulations!$A$3:$A$62,0))*SQRT(PI())/2*ERFC(SQRT(LN($E243/INDEX(Simulations!$J$3:$J$62,MATCH($A243,Simulations!$A$3:$A$62,0)))))),PI()*INDEX(Simulations!$T$3:$T$62,MATCH($A243,Simulations!$A$3:$A$62,0))^2/2*(LN($E243/INDEX(Simulations!$J$3:$J$62,MATCH($A243,Simulations!$A$3:$A$62,0)))+1)))))</f>
        <v/>
      </c>
      <c r="R243" s="16" t="str">
        <f aca="false">IF(OR($A243="",ISNA(MATCH($A243,Simulations!$A$3:$A$62,0))),"",IF(N($F243)&lt;=0,0,IF($F243&lt;INDEX(Simulations!$J$3:$J$62,MATCH($A243,Simulations!$A$3:$A$62,0)),$D243/(INDEX(Simulations!$G$3:$G$62,MATCH($A243,Simulations!$A$3:$A$62,0))*INDEX(Simulations!$H$3:$H$62,MATCH($A243,Simulations!$A$3:$A$62,0))*IF(INDEX(Simulations!$I$3:$I$62,MATCH($A243,Simulations!$A$3:$A$62,0))&gt;0,INDEX(Simulations!$I$3:$I$62,MATCH($A243,Simulations!$A$3:$A$62,0)),1))*$F243*(PI()/2*INDEX(Simulations!$T$3:$T$62,MATCH($A243,Simulations!$A$3:$A$62,0))^2*IF(INDEX(Simulations!$I$3:$I$62,MATCH($A243,Simulations!$A$3:$A$62,0))&gt;0,SQRT(PI()/2)*INDEX(Simulations!$U$3:$U$62,MATCH($A243,Simulations!$A$3:$A$62,0)),1)),$D243/(INDEX(Simulations!$G$3:$G$62,MATCH($A243,Simulations!$A$3:$A$62,0))*INDEX(Simulations!$H$3:$H$62,MATCH($A243,Simulations!$A$3:$A$62,0))*IF(INDEX(Simulations!$I$3:$I$62,MATCH($A243,Simulations!$A$3:$A$62,0))&gt;0,INDEX(Simulations!$I$3:$I$62,MATCH($A243,Simulations!$A$3:$A$62,0)),1))*INDEX(Simulations!$J$3:$J$62,MATCH($A243,Simulations!$A$3:$A$62,0))*IF(INDEX(Simulations!$I$3:$I$62,MATCH($A243,Simulations!$A$3:$A$62,0))&gt;0,2*PI()*INDEX(Simulations!$T$3:$T$62,MATCH($A243,Simulations!$A$3:$A$62,0))^2*INDEX(Simulations!$U$3:$U$62,MATCH($A243,Simulations!$A$3:$A$62,0))/2^1.5*(2/3*LN($F243/INDEX(Simulations!$J$3:$J$62,MATCH($A243,Simulations!$A$3:$A$62,0)))^1.5+SQRT(LN($F243/INDEX(Simulations!$J$3:$J$62,MATCH($A243,Simulations!$A$3:$A$62,0))))+$F243/INDEX(Simulations!$J$3:$J$62,MATCH($A243,Simulations!$A$3:$A$62,0))*SQRT(PI())/2*ERFC(SQRT(LN($F243/INDEX(Simulations!$J$3:$J$62,MATCH($A243,Simulations!$A$3:$A$62,0)))))),PI()*INDEX(Simulations!$T$3:$T$62,MATCH($A243,Simulations!$A$3:$A$62,0))^2/2*(LN($F243/INDEX(Simulations!$J$3:$J$62,MATCH($A243,Simulations!$A$3:$A$62,0)))+1)))))</f>
        <v/>
      </c>
      <c r="S243" s="16" t="str">
        <f aca="false">IF(OR($A243="",ISNA(MATCH($A243,Simulations!$A$3:$A$62,0))),"",IF(N($G243)&lt;=0,0,IF($G243&lt;INDEX(Simulations!$J$3:$J$62,MATCH($A243,Simulations!$A$3:$A$62,0)),$D243/(INDEX(Simulations!$G$3:$G$62,MATCH($A243,Simulations!$A$3:$A$62,0))*INDEX(Simulations!$H$3:$H$62,MATCH($A243,Simulations!$A$3:$A$62,0))*IF(INDEX(Simulations!$I$3:$I$62,MATCH($A243,Simulations!$A$3:$A$62,0))&gt;0,INDEX(Simulations!$I$3:$I$62,MATCH($A243,Simulations!$A$3:$A$62,0)),1))*$G243*(PI()/2*INDEX(Simulations!$T$3:$T$62,MATCH($A243,Simulations!$A$3:$A$62,0))^2*IF(INDEX(Simulations!$I$3:$I$62,MATCH($A243,Simulations!$A$3:$A$62,0))&gt;0,SQRT(PI()/2)*INDEX(Simulations!$U$3:$U$62,MATCH($A243,Simulations!$A$3:$A$62,0)),1)),$D243/(INDEX(Simulations!$G$3:$G$62,MATCH($A243,Simulations!$A$3:$A$62,0))*INDEX(Simulations!$H$3:$H$62,MATCH($A243,Simulations!$A$3:$A$62,0))*IF(INDEX(Simulations!$I$3:$I$62,MATCH($A243,Simulations!$A$3:$A$62,0))&gt;0,INDEX(Simulations!$I$3:$I$62,MATCH($A243,Simulations!$A$3:$A$62,0)),1))*INDEX(Simulations!$J$3:$J$62,MATCH($A243,Simulations!$A$3:$A$62,0))*IF(INDEX(Simulations!$I$3:$I$62,MATCH($A243,Simulations!$A$3:$A$62,0))&gt;0,2*PI()*INDEX(Simulations!$T$3:$T$62,MATCH($A243,Simulations!$A$3:$A$62,0))^2*INDEX(Simulations!$U$3:$U$62,MATCH($A243,Simulations!$A$3:$A$62,0))/2^1.5*(2/3*LN($G243/INDEX(Simulations!$J$3:$J$62,MATCH($A243,Simulations!$A$3:$A$62,0)))^1.5+SQRT(LN($G243/INDEX(Simulations!$J$3:$J$62,MATCH($A243,Simulations!$A$3:$A$62,0))))+$G243/INDEX(Simulations!$J$3:$J$62,MATCH($A243,Simulations!$A$3:$A$62,0))*SQRT(PI())/2*ERFC(SQRT(LN($G243/INDEX(Simulations!$J$3:$J$62,MATCH($A243,Simulations!$A$3:$A$62,0)))))),PI()*INDEX(Simulations!$T$3:$T$62,MATCH($A243,Simulations!$A$3:$A$62,0))^2/2*(LN($G243/INDEX(Simulations!$J$3:$J$62,MATCH($A243,Simulations!$A$3:$A$62,0)))+1)))))</f>
        <v/>
      </c>
      <c r="T243" s="16" t="str">
        <f aca="false">IF(OR($A243="",ISNA(MATCH($A243,Simulations!$A$3:$A$62,0))),"",IF(N($H243)&lt;=0,0,IF($H243&lt;INDEX(Simulations!$J$3:$J$62,MATCH($A243,Simulations!$A$3:$A$62,0)),$D243/(INDEX(Simulations!$G$3:$G$62,MATCH($A243,Simulations!$A$3:$A$62,0))*INDEX(Simulations!$H$3:$H$62,MATCH($A243,Simulations!$A$3:$A$62,0))*IF(INDEX(Simulations!$I$3:$I$62,MATCH($A243,Simulations!$A$3:$A$62,0))&gt;0,INDEX(Simulations!$I$3:$I$62,MATCH($A243,Simulations!$A$3:$A$62,0)),1))*$H243*(PI()/2*INDEX(Simulations!$T$3:$T$62,MATCH($A243,Simulations!$A$3:$A$62,0))^2*IF(INDEX(Simulations!$I$3:$I$62,MATCH($A243,Simulations!$A$3:$A$62,0))&gt;0,SQRT(PI()/2)*INDEX(Simulations!$U$3:$U$62,MATCH($A243,Simulations!$A$3:$A$62,0)),1)),$D243/(INDEX(Simulations!$G$3:$G$62,MATCH($A243,Simulations!$A$3:$A$62,0))*INDEX(Simulations!$H$3:$H$62,MATCH($A243,Simulations!$A$3:$A$62,0))*IF(INDEX(Simulations!$I$3:$I$62,MATCH($A243,Simulations!$A$3:$A$62,0))&gt;0,INDEX(Simulations!$I$3:$I$62,MATCH($A243,Simulations!$A$3:$A$62,0)),1))*INDEX(Simulations!$J$3:$J$62,MATCH($A243,Simulations!$A$3:$A$62,0))*IF(INDEX(Simulations!$I$3:$I$62,MATCH($A243,Simulations!$A$3:$A$62,0))&gt;0,2*PI()*INDEX(Simulations!$T$3:$T$62,MATCH($A243,Simulations!$A$3:$A$62,0))^2*INDEX(Simulations!$U$3:$U$62,MATCH($A243,Simulations!$A$3:$A$62,0))/2^1.5*(2/3*LN($H243/INDEX(Simulations!$J$3:$J$62,MATCH($A243,Simulations!$A$3:$A$62,0)))^1.5+SQRT(LN($H243/INDEX(Simulations!$J$3:$J$62,MATCH($A243,Simulations!$A$3:$A$62,0))))+$H243/INDEX(Simulations!$J$3:$J$62,MATCH($A243,Simulations!$A$3:$A$62,0))*SQRT(PI())/2*ERFC(SQRT(LN($H243/INDEX(Simulations!$J$3:$J$62,MATCH($A243,Simulations!$A$3:$A$62,0)))))),PI()*INDEX(Simulations!$T$3:$T$62,MATCH($A243,Simulations!$A$3:$A$62,0))^2/2*(LN($H243/INDEX(Simulations!$J$3:$J$62,MATCH($A243,Simulations!$A$3:$A$62,0)))+1)))))</f>
        <v/>
      </c>
      <c r="U243" s="18" t="str">
        <f aca="false">IF(OR(OR($A243="",ISNA(MATCH($A243,Simulations!$A$3:$A$62,0))),N($C243)&lt;=0),"",SQRT(2*$C243*1000000/(INDEX(Simulations!$J$3:$J$62,MATCH($A243,Simulations!$A$3:$A$62,0))*1000))/INDEX(Simulations!$T$3:$T$62,MATCH($A243,Simulations!$A$3:$A$62,0)))</f>
        <v/>
      </c>
      <c r="V243" s="19" t="str">
        <f aca="false">IF($A243="","",IF(ISNA(MATCH($A243,Simulations!$A$3:$A$62,0)),"✖ Sim ID not found on the Simulations sheet",IF($P243&gt;=1,"✖ brightness &gt;= sampling frequency: completely saturated (D too small, c too large)",IF($P243&gt;0.1,"⚠ brightness &gt; 10% of the sampling frequency: focus starts to saturate",IF(N($U243)&gt;0.1,"⚠ diffusion step &gt; 10% of wr: raise the sampling frequency",IF(MAX($E243:$H243)=0,"⚠ no brightness set","✔ OK"))))))</f>
        <v/>
      </c>
    </row>
    <row r="244" customFormat="false" ht="15" hidden="false" customHeight="false" outlineLevel="0" collapsed="false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4"/>
      <c r="O244" s="18" t="str">
        <f aca="false">IF(OR($A244="",ISNA(MATCH($A244,Simulations!$A$3:$A$62,0))),"",IF(INDEX(Simulations!$I$3:$I$62,MATCH($A244,Simulations!$A$3:$A$62,0))&gt;0,$D244/(INDEX(Simulations!$G$3:$G$62,MATCH($A244,Simulations!$A$3:$A$62,0))*INDEX(Simulations!$H$3:$H$62,MATCH($A244,Simulations!$A$3:$A$62,0))*IF(INDEX(Simulations!$I$3:$I$62,MATCH($A244,Simulations!$A$3:$A$62,0))&gt;0,INDEX(Simulations!$I$3:$I$62,MATCH($A244,Simulations!$A$3:$A$62,0)),1))/1E-024/6.022E+023/0.000000001,""))</f>
        <v/>
      </c>
      <c r="P244" s="20" t="str">
        <f aca="false">IF(OR($A244="",ISNA(MATCH($A244,Simulations!$A$3:$A$62,0))),"",MAX($E244:$H244)/INDEX(Simulations!$J$3:$J$62,MATCH($A244,Simulations!$A$3:$A$62,0)))</f>
        <v/>
      </c>
      <c r="Q244" s="16" t="str">
        <f aca="false">IF(OR($A244="",ISNA(MATCH($A244,Simulations!$A$3:$A$62,0))),"",IF(N($E244)&lt;=0,0,IF($E244&lt;INDEX(Simulations!$J$3:$J$62,MATCH($A244,Simulations!$A$3:$A$62,0)),$D244/(INDEX(Simulations!$G$3:$G$62,MATCH($A244,Simulations!$A$3:$A$62,0))*INDEX(Simulations!$H$3:$H$62,MATCH($A244,Simulations!$A$3:$A$62,0))*IF(INDEX(Simulations!$I$3:$I$62,MATCH($A244,Simulations!$A$3:$A$62,0))&gt;0,INDEX(Simulations!$I$3:$I$62,MATCH($A244,Simulations!$A$3:$A$62,0)),1))*$E244*(PI()/2*INDEX(Simulations!$T$3:$T$62,MATCH($A244,Simulations!$A$3:$A$62,0))^2*IF(INDEX(Simulations!$I$3:$I$62,MATCH($A244,Simulations!$A$3:$A$62,0))&gt;0,SQRT(PI()/2)*INDEX(Simulations!$U$3:$U$62,MATCH($A244,Simulations!$A$3:$A$62,0)),1)),$D244/(INDEX(Simulations!$G$3:$G$62,MATCH($A244,Simulations!$A$3:$A$62,0))*INDEX(Simulations!$H$3:$H$62,MATCH($A244,Simulations!$A$3:$A$62,0))*IF(INDEX(Simulations!$I$3:$I$62,MATCH($A244,Simulations!$A$3:$A$62,0))&gt;0,INDEX(Simulations!$I$3:$I$62,MATCH($A244,Simulations!$A$3:$A$62,0)),1))*INDEX(Simulations!$J$3:$J$62,MATCH($A244,Simulations!$A$3:$A$62,0))*IF(INDEX(Simulations!$I$3:$I$62,MATCH($A244,Simulations!$A$3:$A$62,0))&gt;0,2*PI()*INDEX(Simulations!$T$3:$T$62,MATCH($A244,Simulations!$A$3:$A$62,0))^2*INDEX(Simulations!$U$3:$U$62,MATCH($A244,Simulations!$A$3:$A$62,0))/2^1.5*(2/3*LN($E244/INDEX(Simulations!$J$3:$J$62,MATCH($A244,Simulations!$A$3:$A$62,0)))^1.5+SQRT(LN($E244/INDEX(Simulations!$J$3:$J$62,MATCH($A244,Simulations!$A$3:$A$62,0))))+$E244/INDEX(Simulations!$J$3:$J$62,MATCH($A244,Simulations!$A$3:$A$62,0))*SQRT(PI())/2*ERFC(SQRT(LN($E244/INDEX(Simulations!$J$3:$J$62,MATCH($A244,Simulations!$A$3:$A$62,0)))))),PI()*INDEX(Simulations!$T$3:$T$62,MATCH($A244,Simulations!$A$3:$A$62,0))^2/2*(LN($E244/INDEX(Simulations!$J$3:$J$62,MATCH($A244,Simulations!$A$3:$A$62,0)))+1)))))</f>
        <v/>
      </c>
      <c r="R244" s="16" t="str">
        <f aca="false">IF(OR($A244="",ISNA(MATCH($A244,Simulations!$A$3:$A$62,0))),"",IF(N($F244)&lt;=0,0,IF($F244&lt;INDEX(Simulations!$J$3:$J$62,MATCH($A244,Simulations!$A$3:$A$62,0)),$D244/(INDEX(Simulations!$G$3:$G$62,MATCH($A244,Simulations!$A$3:$A$62,0))*INDEX(Simulations!$H$3:$H$62,MATCH($A244,Simulations!$A$3:$A$62,0))*IF(INDEX(Simulations!$I$3:$I$62,MATCH($A244,Simulations!$A$3:$A$62,0))&gt;0,INDEX(Simulations!$I$3:$I$62,MATCH($A244,Simulations!$A$3:$A$62,0)),1))*$F244*(PI()/2*INDEX(Simulations!$T$3:$T$62,MATCH($A244,Simulations!$A$3:$A$62,0))^2*IF(INDEX(Simulations!$I$3:$I$62,MATCH($A244,Simulations!$A$3:$A$62,0))&gt;0,SQRT(PI()/2)*INDEX(Simulations!$U$3:$U$62,MATCH($A244,Simulations!$A$3:$A$62,0)),1)),$D244/(INDEX(Simulations!$G$3:$G$62,MATCH($A244,Simulations!$A$3:$A$62,0))*INDEX(Simulations!$H$3:$H$62,MATCH($A244,Simulations!$A$3:$A$62,0))*IF(INDEX(Simulations!$I$3:$I$62,MATCH($A244,Simulations!$A$3:$A$62,0))&gt;0,INDEX(Simulations!$I$3:$I$62,MATCH($A244,Simulations!$A$3:$A$62,0)),1))*INDEX(Simulations!$J$3:$J$62,MATCH($A244,Simulations!$A$3:$A$62,0))*IF(INDEX(Simulations!$I$3:$I$62,MATCH($A244,Simulations!$A$3:$A$62,0))&gt;0,2*PI()*INDEX(Simulations!$T$3:$T$62,MATCH($A244,Simulations!$A$3:$A$62,0))^2*INDEX(Simulations!$U$3:$U$62,MATCH($A244,Simulations!$A$3:$A$62,0))/2^1.5*(2/3*LN($F244/INDEX(Simulations!$J$3:$J$62,MATCH($A244,Simulations!$A$3:$A$62,0)))^1.5+SQRT(LN($F244/INDEX(Simulations!$J$3:$J$62,MATCH($A244,Simulations!$A$3:$A$62,0))))+$F244/INDEX(Simulations!$J$3:$J$62,MATCH($A244,Simulations!$A$3:$A$62,0))*SQRT(PI())/2*ERFC(SQRT(LN($F244/INDEX(Simulations!$J$3:$J$62,MATCH($A244,Simulations!$A$3:$A$62,0)))))),PI()*INDEX(Simulations!$T$3:$T$62,MATCH($A244,Simulations!$A$3:$A$62,0))^2/2*(LN($F244/INDEX(Simulations!$J$3:$J$62,MATCH($A244,Simulations!$A$3:$A$62,0)))+1)))))</f>
        <v/>
      </c>
      <c r="S244" s="16" t="str">
        <f aca="false">IF(OR($A244="",ISNA(MATCH($A244,Simulations!$A$3:$A$62,0))),"",IF(N($G244)&lt;=0,0,IF($G244&lt;INDEX(Simulations!$J$3:$J$62,MATCH($A244,Simulations!$A$3:$A$62,0)),$D244/(INDEX(Simulations!$G$3:$G$62,MATCH($A244,Simulations!$A$3:$A$62,0))*INDEX(Simulations!$H$3:$H$62,MATCH($A244,Simulations!$A$3:$A$62,0))*IF(INDEX(Simulations!$I$3:$I$62,MATCH($A244,Simulations!$A$3:$A$62,0))&gt;0,INDEX(Simulations!$I$3:$I$62,MATCH($A244,Simulations!$A$3:$A$62,0)),1))*$G244*(PI()/2*INDEX(Simulations!$T$3:$T$62,MATCH($A244,Simulations!$A$3:$A$62,0))^2*IF(INDEX(Simulations!$I$3:$I$62,MATCH($A244,Simulations!$A$3:$A$62,0))&gt;0,SQRT(PI()/2)*INDEX(Simulations!$U$3:$U$62,MATCH($A244,Simulations!$A$3:$A$62,0)),1)),$D244/(INDEX(Simulations!$G$3:$G$62,MATCH($A244,Simulations!$A$3:$A$62,0))*INDEX(Simulations!$H$3:$H$62,MATCH($A244,Simulations!$A$3:$A$62,0))*IF(INDEX(Simulations!$I$3:$I$62,MATCH($A244,Simulations!$A$3:$A$62,0))&gt;0,INDEX(Simulations!$I$3:$I$62,MATCH($A244,Simulations!$A$3:$A$62,0)),1))*INDEX(Simulations!$J$3:$J$62,MATCH($A244,Simulations!$A$3:$A$62,0))*IF(INDEX(Simulations!$I$3:$I$62,MATCH($A244,Simulations!$A$3:$A$62,0))&gt;0,2*PI()*INDEX(Simulations!$T$3:$T$62,MATCH($A244,Simulations!$A$3:$A$62,0))^2*INDEX(Simulations!$U$3:$U$62,MATCH($A244,Simulations!$A$3:$A$62,0))/2^1.5*(2/3*LN($G244/INDEX(Simulations!$J$3:$J$62,MATCH($A244,Simulations!$A$3:$A$62,0)))^1.5+SQRT(LN($G244/INDEX(Simulations!$J$3:$J$62,MATCH($A244,Simulations!$A$3:$A$62,0))))+$G244/INDEX(Simulations!$J$3:$J$62,MATCH($A244,Simulations!$A$3:$A$62,0))*SQRT(PI())/2*ERFC(SQRT(LN($G244/INDEX(Simulations!$J$3:$J$62,MATCH($A244,Simulations!$A$3:$A$62,0)))))),PI()*INDEX(Simulations!$T$3:$T$62,MATCH($A244,Simulations!$A$3:$A$62,0))^2/2*(LN($G244/INDEX(Simulations!$J$3:$J$62,MATCH($A244,Simulations!$A$3:$A$62,0)))+1)))))</f>
        <v/>
      </c>
      <c r="T244" s="16" t="str">
        <f aca="false">IF(OR($A244="",ISNA(MATCH($A244,Simulations!$A$3:$A$62,0))),"",IF(N($H244)&lt;=0,0,IF($H244&lt;INDEX(Simulations!$J$3:$J$62,MATCH($A244,Simulations!$A$3:$A$62,0)),$D244/(INDEX(Simulations!$G$3:$G$62,MATCH($A244,Simulations!$A$3:$A$62,0))*INDEX(Simulations!$H$3:$H$62,MATCH($A244,Simulations!$A$3:$A$62,0))*IF(INDEX(Simulations!$I$3:$I$62,MATCH($A244,Simulations!$A$3:$A$62,0))&gt;0,INDEX(Simulations!$I$3:$I$62,MATCH($A244,Simulations!$A$3:$A$62,0)),1))*$H244*(PI()/2*INDEX(Simulations!$T$3:$T$62,MATCH($A244,Simulations!$A$3:$A$62,0))^2*IF(INDEX(Simulations!$I$3:$I$62,MATCH($A244,Simulations!$A$3:$A$62,0))&gt;0,SQRT(PI()/2)*INDEX(Simulations!$U$3:$U$62,MATCH($A244,Simulations!$A$3:$A$62,0)),1)),$D244/(INDEX(Simulations!$G$3:$G$62,MATCH($A244,Simulations!$A$3:$A$62,0))*INDEX(Simulations!$H$3:$H$62,MATCH($A244,Simulations!$A$3:$A$62,0))*IF(INDEX(Simulations!$I$3:$I$62,MATCH($A244,Simulations!$A$3:$A$62,0))&gt;0,INDEX(Simulations!$I$3:$I$62,MATCH($A244,Simulations!$A$3:$A$62,0)),1))*INDEX(Simulations!$J$3:$J$62,MATCH($A244,Simulations!$A$3:$A$62,0))*IF(INDEX(Simulations!$I$3:$I$62,MATCH($A244,Simulations!$A$3:$A$62,0))&gt;0,2*PI()*INDEX(Simulations!$T$3:$T$62,MATCH($A244,Simulations!$A$3:$A$62,0))^2*INDEX(Simulations!$U$3:$U$62,MATCH($A244,Simulations!$A$3:$A$62,0))/2^1.5*(2/3*LN($H244/INDEX(Simulations!$J$3:$J$62,MATCH($A244,Simulations!$A$3:$A$62,0)))^1.5+SQRT(LN($H244/INDEX(Simulations!$J$3:$J$62,MATCH($A244,Simulations!$A$3:$A$62,0))))+$H244/INDEX(Simulations!$J$3:$J$62,MATCH($A244,Simulations!$A$3:$A$62,0))*SQRT(PI())/2*ERFC(SQRT(LN($H244/INDEX(Simulations!$J$3:$J$62,MATCH($A244,Simulations!$A$3:$A$62,0)))))),PI()*INDEX(Simulations!$T$3:$T$62,MATCH($A244,Simulations!$A$3:$A$62,0))^2/2*(LN($H244/INDEX(Simulations!$J$3:$J$62,MATCH($A244,Simulations!$A$3:$A$62,0)))+1)))))</f>
        <v/>
      </c>
      <c r="U244" s="18" t="str">
        <f aca="false">IF(OR(OR($A244="",ISNA(MATCH($A244,Simulations!$A$3:$A$62,0))),N($C244)&lt;=0),"",SQRT(2*$C244*1000000/(INDEX(Simulations!$J$3:$J$62,MATCH($A244,Simulations!$A$3:$A$62,0))*1000))/INDEX(Simulations!$T$3:$T$62,MATCH($A244,Simulations!$A$3:$A$62,0)))</f>
        <v/>
      </c>
      <c r="V244" s="19" t="str">
        <f aca="false">IF($A244="","",IF(ISNA(MATCH($A244,Simulations!$A$3:$A$62,0)),"✖ Sim ID not found on the Simulations sheet",IF($P244&gt;=1,"✖ brightness &gt;= sampling frequency: completely saturated (D too small, c too large)",IF($P244&gt;0.1,"⚠ brightness &gt; 10% of the sampling frequency: focus starts to saturate",IF(N($U244)&gt;0.1,"⚠ diffusion step &gt; 10% of wr: raise the sampling frequency",IF(MAX($E244:$H244)=0,"⚠ no brightness set","✔ OK"))))))</f>
        <v/>
      </c>
    </row>
    <row r="245" customFormat="false" ht="15" hidden="false" customHeight="false" outlineLevel="0" collapsed="false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4"/>
      <c r="O245" s="18" t="str">
        <f aca="false">IF(OR($A245="",ISNA(MATCH($A245,Simulations!$A$3:$A$62,0))),"",IF(INDEX(Simulations!$I$3:$I$62,MATCH($A245,Simulations!$A$3:$A$62,0))&gt;0,$D245/(INDEX(Simulations!$G$3:$G$62,MATCH($A245,Simulations!$A$3:$A$62,0))*INDEX(Simulations!$H$3:$H$62,MATCH($A245,Simulations!$A$3:$A$62,0))*IF(INDEX(Simulations!$I$3:$I$62,MATCH($A245,Simulations!$A$3:$A$62,0))&gt;0,INDEX(Simulations!$I$3:$I$62,MATCH($A245,Simulations!$A$3:$A$62,0)),1))/1E-024/6.022E+023/0.000000001,""))</f>
        <v/>
      </c>
      <c r="P245" s="20" t="str">
        <f aca="false">IF(OR($A245="",ISNA(MATCH($A245,Simulations!$A$3:$A$62,0))),"",MAX($E245:$H245)/INDEX(Simulations!$J$3:$J$62,MATCH($A245,Simulations!$A$3:$A$62,0)))</f>
        <v/>
      </c>
      <c r="Q245" s="16" t="str">
        <f aca="false">IF(OR($A245="",ISNA(MATCH($A245,Simulations!$A$3:$A$62,0))),"",IF(N($E245)&lt;=0,0,IF($E245&lt;INDEX(Simulations!$J$3:$J$62,MATCH($A245,Simulations!$A$3:$A$62,0)),$D245/(INDEX(Simulations!$G$3:$G$62,MATCH($A245,Simulations!$A$3:$A$62,0))*INDEX(Simulations!$H$3:$H$62,MATCH($A245,Simulations!$A$3:$A$62,0))*IF(INDEX(Simulations!$I$3:$I$62,MATCH($A245,Simulations!$A$3:$A$62,0))&gt;0,INDEX(Simulations!$I$3:$I$62,MATCH($A245,Simulations!$A$3:$A$62,0)),1))*$E245*(PI()/2*INDEX(Simulations!$T$3:$T$62,MATCH($A245,Simulations!$A$3:$A$62,0))^2*IF(INDEX(Simulations!$I$3:$I$62,MATCH($A245,Simulations!$A$3:$A$62,0))&gt;0,SQRT(PI()/2)*INDEX(Simulations!$U$3:$U$62,MATCH($A245,Simulations!$A$3:$A$62,0)),1)),$D245/(INDEX(Simulations!$G$3:$G$62,MATCH($A245,Simulations!$A$3:$A$62,0))*INDEX(Simulations!$H$3:$H$62,MATCH($A245,Simulations!$A$3:$A$62,0))*IF(INDEX(Simulations!$I$3:$I$62,MATCH($A245,Simulations!$A$3:$A$62,0))&gt;0,INDEX(Simulations!$I$3:$I$62,MATCH($A245,Simulations!$A$3:$A$62,0)),1))*INDEX(Simulations!$J$3:$J$62,MATCH($A245,Simulations!$A$3:$A$62,0))*IF(INDEX(Simulations!$I$3:$I$62,MATCH($A245,Simulations!$A$3:$A$62,0))&gt;0,2*PI()*INDEX(Simulations!$T$3:$T$62,MATCH($A245,Simulations!$A$3:$A$62,0))^2*INDEX(Simulations!$U$3:$U$62,MATCH($A245,Simulations!$A$3:$A$62,0))/2^1.5*(2/3*LN($E245/INDEX(Simulations!$J$3:$J$62,MATCH($A245,Simulations!$A$3:$A$62,0)))^1.5+SQRT(LN($E245/INDEX(Simulations!$J$3:$J$62,MATCH($A245,Simulations!$A$3:$A$62,0))))+$E245/INDEX(Simulations!$J$3:$J$62,MATCH($A245,Simulations!$A$3:$A$62,0))*SQRT(PI())/2*ERFC(SQRT(LN($E245/INDEX(Simulations!$J$3:$J$62,MATCH($A245,Simulations!$A$3:$A$62,0)))))),PI()*INDEX(Simulations!$T$3:$T$62,MATCH($A245,Simulations!$A$3:$A$62,0))^2/2*(LN($E245/INDEX(Simulations!$J$3:$J$62,MATCH($A245,Simulations!$A$3:$A$62,0)))+1)))))</f>
        <v/>
      </c>
      <c r="R245" s="16" t="str">
        <f aca="false">IF(OR($A245="",ISNA(MATCH($A245,Simulations!$A$3:$A$62,0))),"",IF(N($F245)&lt;=0,0,IF($F245&lt;INDEX(Simulations!$J$3:$J$62,MATCH($A245,Simulations!$A$3:$A$62,0)),$D245/(INDEX(Simulations!$G$3:$G$62,MATCH($A245,Simulations!$A$3:$A$62,0))*INDEX(Simulations!$H$3:$H$62,MATCH($A245,Simulations!$A$3:$A$62,0))*IF(INDEX(Simulations!$I$3:$I$62,MATCH($A245,Simulations!$A$3:$A$62,0))&gt;0,INDEX(Simulations!$I$3:$I$62,MATCH($A245,Simulations!$A$3:$A$62,0)),1))*$F245*(PI()/2*INDEX(Simulations!$T$3:$T$62,MATCH($A245,Simulations!$A$3:$A$62,0))^2*IF(INDEX(Simulations!$I$3:$I$62,MATCH($A245,Simulations!$A$3:$A$62,0))&gt;0,SQRT(PI()/2)*INDEX(Simulations!$U$3:$U$62,MATCH($A245,Simulations!$A$3:$A$62,0)),1)),$D245/(INDEX(Simulations!$G$3:$G$62,MATCH($A245,Simulations!$A$3:$A$62,0))*INDEX(Simulations!$H$3:$H$62,MATCH($A245,Simulations!$A$3:$A$62,0))*IF(INDEX(Simulations!$I$3:$I$62,MATCH($A245,Simulations!$A$3:$A$62,0))&gt;0,INDEX(Simulations!$I$3:$I$62,MATCH($A245,Simulations!$A$3:$A$62,0)),1))*INDEX(Simulations!$J$3:$J$62,MATCH($A245,Simulations!$A$3:$A$62,0))*IF(INDEX(Simulations!$I$3:$I$62,MATCH($A245,Simulations!$A$3:$A$62,0))&gt;0,2*PI()*INDEX(Simulations!$T$3:$T$62,MATCH($A245,Simulations!$A$3:$A$62,0))^2*INDEX(Simulations!$U$3:$U$62,MATCH($A245,Simulations!$A$3:$A$62,0))/2^1.5*(2/3*LN($F245/INDEX(Simulations!$J$3:$J$62,MATCH($A245,Simulations!$A$3:$A$62,0)))^1.5+SQRT(LN($F245/INDEX(Simulations!$J$3:$J$62,MATCH($A245,Simulations!$A$3:$A$62,0))))+$F245/INDEX(Simulations!$J$3:$J$62,MATCH($A245,Simulations!$A$3:$A$62,0))*SQRT(PI())/2*ERFC(SQRT(LN($F245/INDEX(Simulations!$J$3:$J$62,MATCH($A245,Simulations!$A$3:$A$62,0)))))),PI()*INDEX(Simulations!$T$3:$T$62,MATCH($A245,Simulations!$A$3:$A$62,0))^2/2*(LN($F245/INDEX(Simulations!$J$3:$J$62,MATCH($A245,Simulations!$A$3:$A$62,0)))+1)))))</f>
        <v/>
      </c>
      <c r="S245" s="16" t="str">
        <f aca="false">IF(OR($A245="",ISNA(MATCH($A245,Simulations!$A$3:$A$62,0))),"",IF(N($G245)&lt;=0,0,IF($G245&lt;INDEX(Simulations!$J$3:$J$62,MATCH($A245,Simulations!$A$3:$A$62,0)),$D245/(INDEX(Simulations!$G$3:$G$62,MATCH($A245,Simulations!$A$3:$A$62,0))*INDEX(Simulations!$H$3:$H$62,MATCH($A245,Simulations!$A$3:$A$62,0))*IF(INDEX(Simulations!$I$3:$I$62,MATCH($A245,Simulations!$A$3:$A$62,0))&gt;0,INDEX(Simulations!$I$3:$I$62,MATCH($A245,Simulations!$A$3:$A$62,0)),1))*$G245*(PI()/2*INDEX(Simulations!$T$3:$T$62,MATCH($A245,Simulations!$A$3:$A$62,0))^2*IF(INDEX(Simulations!$I$3:$I$62,MATCH($A245,Simulations!$A$3:$A$62,0))&gt;0,SQRT(PI()/2)*INDEX(Simulations!$U$3:$U$62,MATCH($A245,Simulations!$A$3:$A$62,0)),1)),$D245/(INDEX(Simulations!$G$3:$G$62,MATCH($A245,Simulations!$A$3:$A$62,0))*INDEX(Simulations!$H$3:$H$62,MATCH($A245,Simulations!$A$3:$A$62,0))*IF(INDEX(Simulations!$I$3:$I$62,MATCH($A245,Simulations!$A$3:$A$62,0))&gt;0,INDEX(Simulations!$I$3:$I$62,MATCH($A245,Simulations!$A$3:$A$62,0)),1))*INDEX(Simulations!$J$3:$J$62,MATCH($A245,Simulations!$A$3:$A$62,0))*IF(INDEX(Simulations!$I$3:$I$62,MATCH($A245,Simulations!$A$3:$A$62,0))&gt;0,2*PI()*INDEX(Simulations!$T$3:$T$62,MATCH($A245,Simulations!$A$3:$A$62,0))^2*INDEX(Simulations!$U$3:$U$62,MATCH($A245,Simulations!$A$3:$A$62,0))/2^1.5*(2/3*LN($G245/INDEX(Simulations!$J$3:$J$62,MATCH($A245,Simulations!$A$3:$A$62,0)))^1.5+SQRT(LN($G245/INDEX(Simulations!$J$3:$J$62,MATCH($A245,Simulations!$A$3:$A$62,0))))+$G245/INDEX(Simulations!$J$3:$J$62,MATCH($A245,Simulations!$A$3:$A$62,0))*SQRT(PI())/2*ERFC(SQRT(LN($G245/INDEX(Simulations!$J$3:$J$62,MATCH($A245,Simulations!$A$3:$A$62,0)))))),PI()*INDEX(Simulations!$T$3:$T$62,MATCH($A245,Simulations!$A$3:$A$62,0))^2/2*(LN($G245/INDEX(Simulations!$J$3:$J$62,MATCH($A245,Simulations!$A$3:$A$62,0)))+1)))))</f>
        <v/>
      </c>
      <c r="T245" s="16" t="str">
        <f aca="false">IF(OR($A245="",ISNA(MATCH($A245,Simulations!$A$3:$A$62,0))),"",IF(N($H245)&lt;=0,0,IF($H245&lt;INDEX(Simulations!$J$3:$J$62,MATCH($A245,Simulations!$A$3:$A$62,0)),$D245/(INDEX(Simulations!$G$3:$G$62,MATCH($A245,Simulations!$A$3:$A$62,0))*INDEX(Simulations!$H$3:$H$62,MATCH($A245,Simulations!$A$3:$A$62,0))*IF(INDEX(Simulations!$I$3:$I$62,MATCH($A245,Simulations!$A$3:$A$62,0))&gt;0,INDEX(Simulations!$I$3:$I$62,MATCH($A245,Simulations!$A$3:$A$62,0)),1))*$H245*(PI()/2*INDEX(Simulations!$T$3:$T$62,MATCH($A245,Simulations!$A$3:$A$62,0))^2*IF(INDEX(Simulations!$I$3:$I$62,MATCH($A245,Simulations!$A$3:$A$62,0))&gt;0,SQRT(PI()/2)*INDEX(Simulations!$U$3:$U$62,MATCH($A245,Simulations!$A$3:$A$62,0)),1)),$D245/(INDEX(Simulations!$G$3:$G$62,MATCH($A245,Simulations!$A$3:$A$62,0))*INDEX(Simulations!$H$3:$H$62,MATCH($A245,Simulations!$A$3:$A$62,0))*IF(INDEX(Simulations!$I$3:$I$62,MATCH($A245,Simulations!$A$3:$A$62,0))&gt;0,INDEX(Simulations!$I$3:$I$62,MATCH($A245,Simulations!$A$3:$A$62,0)),1))*INDEX(Simulations!$J$3:$J$62,MATCH($A245,Simulations!$A$3:$A$62,0))*IF(INDEX(Simulations!$I$3:$I$62,MATCH($A245,Simulations!$A$3:$A$62,0))&gt;0,2*PI()*INDEX(Simulations!$T$3:$T$62,MATCH($A245,Simulations!$A$3:$A$62,0))^2*INDEX(Simulations!$U$3:$U$62,MATCH($A245,Simulations!$A$3:$A$62,0))/2^1.5*(2/3*LN($H245/INDEX(Simulations!$J$3:$J$62,MATCH($A245,Simulations!$A$3:$A$62,0)))^1.5+SQRT(LN($H245/INDEX(Simulations!$J$3:$J$62,MATCH($A245,Simulations!$A$3:$A$62,0))))+$H245/INDEX(Simulations!$J$3:$J$62,MATCH($A245,Simulations!$A$3:$A$62,0))*SQRT(PI())/2*ERFC(SQRT(LN($H245/INDEX(Simulations!$J$3:$J$62,MATCH($A245,Simulations!$A$3:$A$62,0)))))),PI()*INDEX(Simulations!$T$3:$T$62,MATCH($A245,Simulations!$A$3:$A$62,0))^2/2*(LN($H245/INDEX(Simulations!$J$3:$J$62,MATCH($A245,Simulations!$A$3:$A$62,0)))+1)))))</f>
        <v/>
      </c>
      <c r="U245" s="18" t="str">
        <f aca="false">IF(OR(OR($A245="",ISNA(MATCH($A245,Simulations!$A$3:$A$62,0))),N($C245)&lt;=0),"",SQRT(2*$C245*1000000/(INDEX(Simulations!$J$3:$J$62,MATCH($A245,Simulations!$A$3:$A$62,0))*1000))/INDEX(Simulations!$T$3:$T$62,MATCH($A245,Simulations!$A$3:$A$62,0)))</f>
        <v/>
      </c>
      <c r="V245" s="19" t="str">
        <f aca="false">IF($A245="","",IF(ISNA(MATCH($A245,Simulations!$A$3:$A$62,0)),"✖ Sim ID not found on the Simulations sheet",IF($P245&gt;=1,"✖ brightness &gt;= sampling frequency: completely saturated (D too small, c too large)",IF($P245&gt;0.1,"⚠ brightness &gt; 10% of the sampling frequency: focus starts to saturate",IF(N($U245)&gt;0.1,"⚠ diffusion step &gt; 10% of wr: raise the sampling frequency",IF(MAX($E245:$H245)=0,"⚠ no brightness set","✔ OK"))))))</f>
        <v/>
      </c>
    </row>
    <row r="246" customFormat="false" ht="15" hidden="false" customHeight="false" outlineLevel="0" collapsed="false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4"/>
      <c r="O246" s="18" t="str">
        <f aca="false">IF(OR($A246="",ISNA(MATCH($A246,Simulations!$A$3:$A$62,0))),"",IF(INDEX(Simulations!$I$3:$I$62,MATCH($A246,Simulations!$A$3:$A$62,0))&gt;0,$D246/(INDEX(Simulations!$G$3:$G$62,MATCH($A246,Simulations!$A$3:$A$62,0))*INDEX(Simulations!$H$3:$H$62,MATCH($A246,Simulations!$A$3:$A$62,0))*IF(INDEX(Simulations!$I$3:$I$62,MATCH($A246,Simulations!$A$3:$A$62,0))&gt;0,INDEX(Simulations!$I$3:$I$62,MATCH($A246,Simulations!$A$3:$A$62,0)),1))/1E-024/6.022E+023/0.000000001,""))</f>
        <v/>
      </c>
      <c r="P246" s="20" t="str">
        <f aca="false">IF(OR($A246="",ISNA(MATCH($A246,Simulations!$A$3:$A$62,0))),"",MAX($E246:$H246)/INDEX(Simulations!$J$3:$J$62,MATCH($A246,Simulations!$A$3:$A$62,0)))</f>
        <v/>
      </c>
      <c r="Q246" s="16" t="str">
        <f aca="false">IF(OR($A246="",ISNA(MATCH($A246,Simulations!$A$3:$A$62,0))),"",IF(N($E246)&lt;=0,0,IF($E246&lt;INDEX(Simulations!$J$3:$J$62,MATCH($A246,Simulations!$A$3:$A$62,0)),$D246/(INDEX(Simulations!$G$3:$G$62,MATCH($A246,Simulations!$A$3:$A$62,0))*INDEX(Simulations!$H$3:$H$62,MATCH($A246,Simulations!$A$3:$A$62,0))*IF(INDEX(Simulations!$I$3:$I$62,MATCH($A246,Simulations!$A$3:$A$62,0))&gt;0,INDEX(Simulations!$I$3:$I$62,MATCH($A246,Simulations!$A$3:$A$62,0)),1))*$E246*(PI()/2*INDEX(Simulations!$T$3:$T$62,MATCH($A246,Simulations!$A$3:$A$62,0))^2*IF(INDEX(Simulations!$I$3:$I$62,MATCH($A246,Simulations!$A$3:$A$62,0))&gt;0,SQRT(PI()/2)*INDEX(Simulations!$U$3:$U$62,MATCH($A246,Simulations!$A$3:$A$62,0)),1)),$D246/(INDEX(Simulations!$G$3:$G$62,MATCH($A246,Simulations!$A$3:$A$62,0))*INDEX(Simulations!$H$3:$H$62,MATCH($A246,Simulations!$A$3:$A$62,0))*IF(INDEX(Simulations!$I$3:$I$62,MATCH($A246,Simulations!$A$3:$A$62,0))&gt;0,INDEX(Simulations!$I$3:$I$62,MATCH($A246,Simulations!$A$3:$A$62,0)),1))*INDEX(Simulations!$J$3:$J$62,MATCH($A246,Simulations!$A$3:$A$62,0))*IF(INDEX(Simulations!$I$3:$I$62,MATCH($A246,Simulations!$A$3:$A$62,0))&gt;0,2*PI()*INDEX(Simulations!$T$3:$T$62,MATCH($A246,Simulations!$A$3:$A$62,0))^2*INDEX(Simulations!$U$3:$U$62,MATCH($A246,Simulations!$A$3:$A$62,0))/2^1.5*(2/3*LN($E246/INDEX(Simulations!$J$3:$J$62,MATCH($A246,Simulations!$A$3:$A$62,0)))^1.5+SQRT(LN($E246/INDEX(Simulations!$J$3:$J$62,MATCH($A246,Simulations!$A$3:$A$62,0))))+$E246/INDEX(Simulations!$J$3:$J$62,MATCH($A246,Simulations!$A$3:$A$62,0))*SQRT(PI())/2*ERFC(SQRT(LN($E246/INDEX(Simulations!$J$3:$J$62,MATCH($A246,Simulations!$A$3:$A$62,0)))))),PI()*INDEX(Simulations!$T$3:$T$62,MATCH($A246,Simulations!$A$3:$A$62,0))^2/2*(LN($E246/INDEX(Simulations!$J$3:$J$62,MATCH($A246,Simulations!$A$3:$A$62,0)))+1)))))</f>
        <v/>
      </c>
      <c r="R246" s="16" t="str">
        <f aca="false">IF(OR($A246="",ISNA(MATCH($A246,Simulations!$A$3:$A$62,0))),"",IF(N($F246)&lt;=0,0,IF($F246&lt;INDEX(Simulations!$J$3:$J$62,MATCH($A246,Simulations!$A$3:$A$62,0)),$D246/(INDEX(Simulations!$G$3:$G$62,MATCH($A246,Simulations!$A$3:$A$62,0))*INDEX(Simulations!$H$3:$H$62,MATCH($A246,Simulations!$A$3:$A$62,0))*IF(INDEX(Simulations!$I$3:$I$62,MATCH($A246,Simulations!$A$3:$A$62,0))&gt;0,INDEX(Simulations!$I$3:$I$62,MATCH($A246,Simulations!$A$3:$A$62,0)),1))*$F246*(PI()/2*INDEX(Simulations!$T$3:$T$62,MATCH($A246,Simulations!$A$3:$A$62,0))^2*IF(INDEX(Simulations!$I$3:$I$62,MATCH($A246,Simulations!$A$3:$A$62,0))&gt;0,SQRT(PI()/2)*INDEX(Simulations!$U$3:$U$62,MATCH($A246,Simulations!$A$3:$A$62,0)),1)),$D246/(INDEX(Simulations!$G$3:$G$62,MATCH($A246,Simulations!$A$3:$A$62,0))*INDEX(Simulations!$H$3:$H$62,MATCH($A246,Simulations!$A$3:$A$62,0))*IF(INDEX(Simulations!$I$3:$I$62,MATCH($A246,Simulations!$A$3:$A$62,0))&gt;0,INDEX(Simulations!$I$3:$I$62,MATCH($A246,Simulations!$A$3:$A$62,0)),1))*INDEX(Simulations!$J$3:$J$62,MATCH($A246,Simulations!$A$3:$A$62,0))*IF(INDEX(Simulations!$I$3:$I$62,MATCH($A246,Simulations!$A$3:$A$62,0))&gt;0,2*PI()*INDEX(Simulations!$T$3:$T$62,MATCH($A246,Simulations!$A$3:$A$62,0))^2*INDEX(Simulations!$U$3:$U$62,MATCH($A246,Simulations!$A$3:$A$62,0))/2^1.5*(2/3*LN($F246/INDEX(Simulations!$J$3:$J$62,MATCH($A246,Simulations!$A$3:$A$62,0)))^1.5+SQRT(LN($F246/INDEX(Simulations!$J$3:$J$62,MATCH($A246,Simulations!$A$3:$A$62,0))))+$F246/INDEX(Simulations!$J$3:$J$62,MATCH($A246,Simulations!$A$3:$A$62,0))*SQRT(PI())/2*ERFC(SQRT(LN($F246/INDEX(Simulations!$J$3:$J$62,MATCH($A246,Simulations!$A$3:$A$62,0)))))),PI()*INDEX(Simulations!$T$3:$T$62,MATCH($A246,Simulations!$A$3:$A$62,0))^2/2*(LN($F246/INDEX(Simulations!$J$3:$J$62,MATCH($A246,Simulations!$A$3:$A$62,0)))+1)))))</f>
        <v/>
      </c>
      <c r="S246" s="16" t="str">
        <f aca="false">IF(OR($A246="",ISNA(MATCH($A246,Simulations!$A$3:$A$62,0))),"",IF(N($G246)&lt;=0,0,IF($G246&lt;INDEX(Simulations!$J$3:$J$62,MATCH($A246,Simulations!$A$3:$A$62,0)),$D246/(INDEX(Simulations!$G$3:$G$62,MATCH($A246,Simulations!$A$3:$A$62,0))*INDEX(Simulations!$H$3:$H$62,MATCH($A246,Simulations!$A$3:$A$62,0))*IF(INDEX(Simulations!$I$3:$I$62,MATCH($A246,Simulations!$A$3:$A$62,0))&gt;0,INDEX(Simulations!$I$3:$I$62,MATCH($A246,Simulations!$A$3:$A$62,0)),1))*$G246*(PI()/2*INDEX(Simulations!$T$3:$T$62,MATCH($A246,Simulations!$A$3:$A$62,0))^2*IF(INDEX(Simulations!$I$3:$I$62,MATCH($A246,Simulations!$A$3:$A$62,0))&gt;0,SQRT(PI()/2)*INDEX(Simulations!$U$3:$U$62,MATCH($A246,Simulations!$A$3:$A$62,0)),1)),$D246/(INDEX(Simulations!$G$3:$G$62,MATCH($A246,Simulations!$A$3:$A$62,0))*INDEX(Simulations!$H$3:$H$62,MATCH($A246,Simulations!$A$3:$A$62,0))*IF(INDEX(Simulations!$I$3:$I$62,MATCH($A246,Simulations!$A$3:$A$62,0))&gt;0,INDEX(Simulations!$I$3:$I$62,MATCH($A246,Simulations!$A$3:$A$62,0)),1))*INDEX(Simulations!$J$3:$J$62,MATCH($A246,Simulations!$A$3:$A$62,0))*IF(INDEX(Simulations!$I$3:$I$62,MATCH($A246,Simulations!$A$3:$A$62,0))&gt;0,2*PI()*INDEX(Simulations!$T$3:$T$62,MATCH($A246,Simulations!$A$3:$A$62,0))^2*INDEX(Simulations!$U$3:$U$62,MATCH($A246,Simulations!$A$3:$A$62,0))/2^1.5*(2/3*LN($G246/INDEX(Simulations!$J$3:$J$62,MATCH($A246,Simulations!$A$3:$A$62,0)))^1.5+SQRT(LN($G246/INDEX(Simulations!$J$3:$J$62,MATCH($A246,Simulations!$A$3:$A$62,0))))+$G246/INDEX(Simulations!$J$3:$J$62,MATCH($A246,Simulations!$A$3:$A$62,0))*SQRT(PI())/2*ERFC(SQRT(LN($G246/INDEX(Simulations!$J$3:$J$62,MATCH($A246,Simulations!$A$3:$A$62,0)))))),PI()*INDEX(Simulations!$T$3:$T$62,MATCH($A246,Simulations!$A$3:$A$62,0))^2/2*(LN($G246/INDEX(Simulations!$J$3:$J$62,MATCH($A246,Simulations!$A$3:$A$62,0)))+1)))))</f>
        <v/>
      </c>
      <c r="T246" s="16" t="str">
        <f aca="false">IF(OR($A246="",ISNA(MATCH($A246,Simulations!$A$3:$A$62,0))),"",IF(N($H246)&lt;=0,0,IF($H246&lt;INDEX(Simulations!$J$3:$J$62,MATCH($A246,Simulations!$A$3:$A$62,0)),$D246/(INDEX(Simulations!$G$3:$G$62,MATCH($A246,Simulations!$A$3:$A$62,0))*INDEX(Simulations!$H$3:$H$62,MATCH($A246,Simulations!$A$3:$A$62,0))*IF(INDEX(Simulations!$I$3:$I$62,MATCH($A246,Simulations!$A$3:$A$62,0))&gt;0,INDEX(Simulations!$I$3:$I$62,MATCH($A246,Simulations!$A$3:$A$62,0)),1))*$H246*(PI()/2*INDEX(Simulations!$T$3:$T$62,MATCH($A246,Simulations!$A$3:$A$62,0))^2*IF(INDEX(Simulations!$I$3:$I$62,MATCH($A246,Simulations!$A$3:$A$62,0))&gt;0,SQRT(PI()/2)*INDEX(Simulations!$U$3:$U$62,MATCH($A246,Simulations!$A$3:$A$62,0)),1)),$D246/(INDEX(Simulations!$G$3:$G$62,MATCH($A246,Simulations!$A$3:$A$62,0))*INDEX(Simulations!$H$3:$H$62,MATCH($A246,Simulations!$A$3:$A$62,0))*IF(INDEX(Simulations!$I$3:$I$62,MATCH($A246,Simulations!$A$3:$A$62,0))&gt;0,INDEX(Simulations!$I$3:$I$62,MATCH($A246,Simulations!$A$3:$A$62,0)),1))*INDEX(Simulations!$J$3:$J$62,MATCH($A246,Simulations!$A$3:$A$62,0))*IF(INDEX(Simulations!$I$3:$I$62,MATCH($A246,Simulations!$A$3:$A$62,0))&gt;0,2*PI()*INDEX(Simulations!$T$3:$T$62,MATCH($A246,Simulations!$A$3:$A$62,0))^2*INDEX(Simulations!$U$3:$U$62,MATCH($A246,Simulations!$A$3:$A$62,0))/2^1.5*(2/3*LN($H246/INDEX(Simulations!$J$3:$J$62,MATCH($A246,Simulations!$A$3:$A$62,0)))^1.5+SQRT(LN($H246/INDEX(Simulations!$J$3:$J$62,MATCH($A246,Simulations!$A$3:$A$62,0))))+$H246/INDEX(Simulations!$J$3:$J$62,MATCH($A246,Simulations!$A$3:$A$62,0))*SQRT(PI())/2*ERFC(SQRT(LN($H246/INDEX(Simulations!$J$3:$J$62,MATCH($A246,Simulations!$A$3:$A$62,0)))))),PI()*INDEX(Simulations!$T$3:$T$62,MATCH($A246,Simulations!$A$3:$A$62,0))^2/2*(LN($H246/INDEX(Simulations!$J$3:$J$62,MATCH($A246,Simulations!$A$3:$A$62,0)))+1)))))</f>
        <v/>
      </c>
      <c r="U246" s="18" t="str">
        <f aca="false">IF(OR(OR($A246="",ISNA(MATCH($A246,Simulations!$A$3:$A$62,0))),N($C246)&lt;=0),"",SQRT(2*$C246*1000000/(INDEX(Simulations!$J$3:$J$62,MATCH($A246,Simulations!$A$3:$A$62,0))*1000))/INDEX(Simulations!$T$3:$T$62,MATCH($A246,Simulations!$A$3:$A$62,0)))</f>
        <v/>
      </c>
      <c r="V246" s="19" t="str">
        <f aca="false">IF($A246="","",IF(ISNA(MATCH($A246,Simulations!$A$3:$A$62,0)),"✖ Sim ID not found on the Simulations sheet",IF($P246&gt;=1,"✖ brightness &gt;= sampling frequency: completely saturated (D too small, c too large)",IF($P246&gt;0.1,"⚠ brightness &gt; 10% of the sampling frequency: focus starts to saturate",IF(N($U246)&gt;0.1,"⚠ diffusion step &gt; 10% of wr: raise the sampling frequency",IF(MAX($E246:$H246)=0,"⚠ no brightness set","✔ OK"))))))</f>
        <v/>
      </c>
    </row>
    <row r="247" customFormat="false" ht="15" hidden="false" customHeight="false" outlineLevel="0" collapsed="false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4"/>
      <c r="O247" s="18" t="str">
        <f aca="false">IF(OR($A247="",ISNA(MATCH($A247,Simulations!$A$3:$A$62,0))),"",IF(INDEX(Simulations!$I$3:$I$62,MATCH($A247,Simulations!$A$3:$A$62,0))&gt;0,$D247/(INDEX(Simulations!$G$3:$G$62,MATCH($A247,Simulations!$A$3:$A$62,0))*INDEX(Simulations!$H$3:$H$62,MATCH($A247,Simulations!$A$3:$A$62,0))*IF(INDEX(Simulations!$I$3:$I$62,MATCH($A247,Simulations!$A$3:$A$62,0))&gt;0,INDEX(Simulations!$I$3:$I$62,MATCH($A247,Simulations!$A$3:$A$62,0)),1))/1E-024/6.022E+023/0.000000001,""))</f>
        <v/>
      </c>
      <c r="P247" s="20" t="str">
        <f aca="false">IF(OR($A247="",ISNA(MATCH($A247,Simulations!$A$3:$A$62,0))),"",MAX($E247:$H247)/INDEX(Simulations!$J$3:$J$62,MATCH($A247,Simulations!$A$3:$A$62,0)))</f>
        <v/>
      </c>
      <c r="Q247" s="16" t="str">
        <f aca="false">IF(OR($A247="",ISNA(MATCH($A247,Simulations!$A$3:$A$62,0))),"",IF(N($E247)&lt;=0,0,IF($E247&lt;INDEX(Simulations!$J$3:$J$62,MATCH($A247,Simulations!$A$3:$A$62,0)),$D247/(INDEX(Simulations!$G$3:$G$62,MATCH($A247,Simulations!$A$3:$A$62,0))*INDEX(Simulations!$H$3:$H$62,MATCH($A247,Simulations!$A$3:$A$62,0))*IF(INDEX(Simulations!$I$3:$I$62,MATCH($A247,Simulations!$A$3:$A$62,0))&gt;0,INDEX(Simulations!$I$3:$I$62,MATCH($A247,Simulations!$A$3:$A$62,0)),1))*$E247*(PI()/2*INDEX(Simulations!$T$3:$T$62,MATCH($A247,Simulations!$A$3:$A$62,0))^2*IF(INDEX(Simulations!$I$3:$I$62,MATCH($A247,Simulations!$A$3:$A$62,0))&gt;0,SQRT(PI()/2)*INDEX(Simulations!$U$3:$U$62,MATCH($A247,Simulations!$A$3:$A$62,0)),1)),$D247/(INDEX(Simulations!$G$3:$G$62,MATCH($A247,Simulations!$A$3:$A$62,0))*INDEX(Simulations!$H$3:$H$62,MATCH($A247,Simulations!$A$3:$A$62,0))*IF(INDEX(Simulations!$I$3:$I$62,MATCH($A247,Simulations!$A$3:$A$62,0))&gt;0,INDEX(Simulations!$I$3:$I$62,MATCH($A247,Simulations!$A$3:$A$62,0)),1))*INDEX(Simulations!$J$3:$J$62,MATCH($A247,Simulations!$A$3:$A$62,0))*IF(INDEX(Simulations!$I$3:$I$62,MATCH($A247,Simulations!$A$3:$A$62,0))&gt;0,2*PI()*INDEX(Simulations!$T$3:$T$62,MATCH($A247,Simulations!$A$3:$A$62,0))^2*INDEX(Simulations!$U$3:$U$62,MATCH($A247,Simulations!$A$3:$A$62,0))/2^1.5*(2/3*LN($E247/INDEX(Simulations!$J$3:$J$62,MATCH($A247,Simulations!$A$3:$A$62,0)))^1.5+SQRT(LN($E247/INDEX(Simulations!$J$3:$J$62,MATCH($A247,Simulations!$A$3:$A$62,0))))+$E247/INDEX(Simulations!$J$3:$J$62,MATCH($A247,Simulations!$A$3:$A$62,0))*SQRT(PI())/2*ERFC(SQRT(LN($E247/INDEX(Simulations!$J$3:$J$62,MATCH($A247,Simulations!$A$3:$A$62,0)))))),PI()*INDEX(Simulations!$T$3:$T$62,MATCH($A247,Simulations!$A$3:$A$62,0))^2/2*(LN($E247/INDEX(Simulations!$J$3:$J$62,MATCH($A247,Simulations!$A$3:$A$62,0)))+1)))))</f>
        <v/>
      </c>
      <c r="R247" s="16" t="str">
        <f aca="false">IF(OR($A247="",ISNA(MATCH($A247,Simulations!$A$3:$A$62,0))),"",IF(N($F247)&lt;=0,0,IF($F247&lt;INDEX(Simulations!$J$3:$J$62,MATCH($A247,Simulations!$A$3:$A$62,0)),$D247/(INDEX(Simulations!$G$3:$G$62,MATCH($A247,Simulations!$A$3:$A$62,0))*INDEX(Simulations!$H$3:$H$62,MATCH($A247,Simulations!$A$3:$A$62,0))*IF(INDEX(Simulations!$I$3:$I$62,MATCH($A247,Simulations!$A$3:$A$62,0))&gt;0,INDEX(Simulations!$I$3:$I$62,MATCH($A247,Simulations!$A$3:$A$62,0)),1))*$F247*(PI()/2*INDEX(Simulations!$T$3:$T$62,MATCH($A247,Simulations!$A$3:$A$62,0))^2*IF(INDEX(Simulations!$I$3:$I$62,MATCH($A247,Simulations!$A$3:$A$62,0))&gt;0,SQRT(PI()/2)*INDEX(Simulations!$U$3:$U$62,MATCH($A247,Simulations!$A$3:$A$62,0)),1)),$D247/(INDEX(Simulations!$G$3:$G$62,MATCH($A247,Simulations!$A$3:$A$62,0))*INDEX(Simulations!$H$3:$H$62,MATCH($A247,Simulations!$A$3:$A$62,0))*IF(INDEX(Simulations!$I$3:$I$62,MATCH($A247,Simulations!$A$3:$A$62,0))&gt;0,INDEX(Simulations!$I$3:$I$62,MATCH($A247,Simulations!$A$3:$A$62,0)),1))*INDEX(Simulations!$J$3:$J$62,MATCH($A247,Simulations!$A$3:$A$62,0))*IF(INDEX(Simulations!$I$3:$I$62,MATCH($A247,Simulations!$A$3:$A$62,0))&gt;0,2*PI()*INDEX(Simulations!$T$3:$T$62,MATCH($A247,Simulations!$A$3:$A$62,0))^2*INDEX(Simulations!$U$3:$U$62,MATCH($A247,Simulations!$A$3:$A$62,0))/2^1.5*(2/3*LN($F247/INDEX(Simulations!$J$3:$J$62,MATCH($A247,Simulations!$A$3:$A$62,0)))^1.5+SQRT(LN($F247/INDEX(Simulations!$J$3:$J$62,MATCH($A247,Simulations!$A$3:$A$62,0))))+$F247/INDEX(Simulations!$J$3:$J$62,MATCH($A247,Simulations!$A$3:$A$62,0))*SQRT(PI())/2*ERFC(SQRT(LN($F247/INDEX(Simulations!$J$3:$J$62,MATCH($A247,Simulations!$A$3:$A$62,0)))))),PI()*INDEX(Simulations!$T$3:$T$62,MATCH($A247,Simulations!$A$3:$A$62,0))^2/2*(LN($F247/INDEX(Simulations!$J$3:$J$62,MATCH($A247,Simulations!$A$3:$A$62,0)))+1)))))</f>
        <v/>
      </c>
      <c r="S247" s="16" t="str">
        <f aca="false">IF(OR($A247="",ISNA(MATCH($A247,Simulations!$A$3:$A$62,0))),"",IF(N($G247)&lt;=0,0,IF($G247&lt;INDEX(Simulations!$J$3:$J$62,MATCH($A247,Simulations!$A$3:$A$62,0)),$D247/(INDEX(Simulations!$G$3:$G$62,MATCH($A247,Simulations!$A$3:$A$62,0))*INDEX(Simulations!$H$3:$H$62,MATCH($A247,Simulations!$A$3:$A$62,0))*IF(INDEX(Simulations!$I$3:$I$62,MATCH($A247,Simulations!$A$3:$A$62,0))&gt;0,INDEX(Simulations!$I$3:$I$62,MATCH($A247,Simulations!$A$3:$A$62,0)),1))*$G247*(PI()/2*INDEX(Simulations!$T$3:$T$62,MATCH($A247,Simulations!$A$3:$A$62,0))^2*IF(INDEX(Simulations!$I$3:$I$62,MATCH($A247,Simulations!$A$3:$A$62,0))&gt;0,SQRT(PI()/2)*INDEX(Simulations!$U$3:$U$62,MATCH($A247,Simulations!$A$3:$A$62,0)),1)),$D247/(INDEX(Simulations!$G$3:$G$62,MATCH($A247,Simulations!$A$3:$A$62,0))*INDEX(Simulations!$H$3:$H$62,MATCH($A247,Simulations!$A$3:$A$62,0))*IF(INDEX(Simulations!$I$3:$I$62,MATCH($A247,Simulations!$A$3:$A$62,0))&gt;0,INDEX(Simulations!$I$3:$I$62,MATCH($A247,Simulations!$A$3:$A$62,0)),1))*INDEX(Simulations!$J$3:$J$62,MATCH($A247,Simulations!$A$3:$A$62,0))*IF(INDEX(Simulations!$I$3:$I$62,MATCH($A247,Simulations!$A$3:$A$62,0))&gt;0,2*PI()*INDEX(Simulations!$T$3:$T$62,MATCH($A247,Simulations!$A$3:$A$62,0))^2*INDEX(Simulations!$U$3:$U$62,MATCH($A247,Simulations!$A$3:$A$62,0))/2^1.5*(2/3*LN($G247/INDEX(Simulations!$J$3:$J$62,MATCH($A247,Simulations!$A$3:$A$62,0)))^1.5+SQRT(LN($G247/INDEX(Simulations!$J$3:$J$62,MATCH($A247,Simulations!$A$3:$A$62,0))))+$G247/INDEX(Simulations!$J$3:$J$62,MATCH($A247,Simulations!$A$3:$A$62,0))*SQRT(PI())/2*ERFC(SQRT(LN($G247/INDEX(Simulations!$J$3:$J$62,MATCH($A247,Simulations!$A$3:$A$62,0)))))),PI()*INDEX(Simulations!$T$3:$T$62,MATCH($A247,Simulations!$A$3:$A$62,0))^2/2*(LN($G247/INDEX(Simulations!$J$3:$J$62,MATCH($A247,Simulations!$A$3:$A$62,0)))+1)))))</f>
        <v/>
      </c>
      <c r="T247" s="16" t="str">
        <f aca="false">IF(OR($A247="",ISNA(MATCH($A247,Simulations!$A$3:$A$62,0))),"",IF(N($H247)&lt;=0,0,IF($H247&lt;INDEX(Simulations!$J$3:$J$62,MATCH($A247,Simulations!$A$3:$A$62,0)),$D247/(INDEX(Simulations!$G$3:$G$62,MATCH($A247,Simulations!$A$3:$A$62,0))*INDEX(Simulations!$H$3:$H$62,MATCH($A247,Simulations!$A$3:$A$62,0))*IF(INDEX(Simulations!$I$3:$I$62,MATCH($A247,Simulations!$A$3:$A$62,0))&gt;0,INDEX(Simulations!$I$3:$I$62,MATCH($A247,Simulations!$A$3:$A$62,0)),1))*$H247*(PI()/2*INDEX(Simulations!$T$3:$T$62,MATCH($A247,Simulations!$A$3:$A$62,0))^2*IF(INDEX(Simulations!$I$3:$I$62,MATCH($A247,Simulations!$A$3:$A$62,0))&gt;0,SQRT(PI()/2)*INDEX(Simulations!$U$3:$U$62,MATCH($A247,Simulations!$A$3:$A$62,0)),1)),$D247/(INDEX(Simulations!$G$3:$G$62,MATCH($A247,Simulations!$A$3:$A$62,0))*INDEX(Simulations!$H$3:$H$62,MATCH($A247,Simulations!$A$3:$A$62,0))*IF(INDEX(Simulations!$I$3:$I$62,MATCH($A247,Simulations!$A$3:$A$62,0))&gt;0,INDEX(Simulations!$I$3:$I$62,MATCH($A247,Simulations!$A$3:$A$62,0)),1))*INDEX(Simulations!$J$3:$J$62,MATCH($A247,Simulations!$A$3:$A$62,0))*IF(INDEX(Simulations!$I$3:$I$62,MATCH($A247,Simulations!$A$3:$A$62,0))&gt;0,2*PI()*INDEX(Simulations!$T$3:$T$62,MATCH($A247,Simulations!$A$3:$A$62,0))^2*INDEX(Simulations!$U$3:$U$62,MATCH($A247,Simulations!$A$3:$A$62,0))/2^1.5*(2/3*LN($H247/INDEX(Simulations!$J$3:$J$62,MATCH($A247,Simulations!$A$3:$A$62,0)))^1.5+SQRT(LN($H247/INDEX(Simulations!$J$3:$J$62,MATCH($A247,Simulations!$A$3:$A$62,0))))+$H247/INDEX(Simulations!$J$3:$J$62,MATCH($A247,Simulations!$A$3:$A$62,0))*SQRT(PI())/2*ERFC(SQRT(LN($H247/INDEX(Simulations!$J$3:$J$62,MATCH($A247,Simulations!$A$3:$A$62,0)))))),PI()*INDEX(Simulations!$T$3:$T$62,MATCH($A247,Simulations!$A$3:$A$62,0))^2/2*(LN($H247/INDEX(Simulations!$J$3:$J$62,MATCH($A247,Simulations!$A$3:$A$62,0)))+1)))))</f>
        <v/>
      </c>
      <c r="U247" s="18" t="str">
        <f aca="false">IF(OR(OR($A247="",ISNA(MATCH($A247,Simulations!$A$3:$A$62,0))),N($C247)&lt;=0),"",SQRT(2*$C247*1000000/(INDEX(Simulations!$J$3:$J$62,MATCH($A247,Simulations!$A$3:$A$62,0))*1000))/INDEX(Simulations!$T$3:$T$62,MATCH($A247,Simulations!$A$3:$A$62,0)))</f>
        <v/>
      </c>
      <c r="V247" s="19" t="str">
        <f aca="false">IF($A247="","",IF(ISNA(MATCH($A247,Simulations!$A$3:$A$62,0)),"✖ Sim ID not found on the Simulations sheet",IF($P247&gt;=1,"✖ brightness &gt;= sampling frequency: completely saturated (D too small, c too large)",IF($P247&gt;0.1,"⚠ brightness &gt; 10% of the sampling frequency: focus starts to saturate",IF(N($U247)&gt;0.1,"⚠ diffusion step &gt; 10% of wr: raise the sampling frequency",IF(MAX($E247:$H247)=0,"⚠ no brightness set","✔ OK"))))))</f>
        <v/>
      </c>
    </row>
    <row r="248" customFormat="false" ht="15" hidden="false" customHeight="false" outlineLevel="0" collapsed="false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4"/>
      <c r="O248" s="18" t="str">
        <f aca="false">IF(OR($A248="",ISNA(MATCH($A248,Simulations!$A$3:$A$62,0))),"",IF(INDEX(Simulations!$I$3:$I$62,MATCH($A248,Simulations!$A$3:$A$62,0))&gt;0,$D248/(INDEX(Simulations!$G$3:$G$62,MATCH($A248,Simulations!$A$3:$A$62,0))*INDEX(Simulations!$H$3:$H$62,MATCH($A248,Simulations!$A$3:$A$62,0))*IF(INDEX(Simulations!$I$3:$I$62,MATCH($A248,Simulations!$A$3:$A$62,0))&gt;0,INDEX(Simulations!$I$3:$I$62,MATCH($A248,Simulations!$A$3:$A$62,0)),1))/1E-024/6.022E+023/0.000000001,""))</f>
        <v/>
      </c>
      <c r="P248" s="20" t="str">
        <f aca="false">IF(OR($A248="",ISNA(MATCH($A248,Simulations!$A$3:$A$62,0))),"",MAX($E248:$H248)/INDEX(Simulations!$J$3:$J$62,MATCH($A248,Simulations!$A$3:$A$62,0)))</f>
        <v/>
      </c>
      <c r="Q248" s="16" t="str">
        <f aca="false">IF(OR($A248="",ISNA(MATCH($A248,Simulations!$A$3:$A$62,0))),"",IF(N($E248)&lt;=0,0,IF($E248&lt;INDEX(Simulations!$J$3:$J$62,MATCH($A248,Simulations!$A$3:$A$62,0)),$D248/(INDEX(Simulations!$G$3:$G$62,MATCH($A248,Simulations!$A$3:$A$62,0))*INDEX(Simulations!$H$3:$H$62,MATCH($A248,Simulations!$A$3:$A$62,0))*IF(INDEX(Simulations!$I$3:$I$62,MATCH($A248,Simulations!$A$3:$A$62,0))&gt;0,INDEX(Simulations!$I$3:$I$62,MATCH($A248,Simulations!$A$3:$A$62,0)),1))*$E248*(PI()/2*INDEX(Simulations!$T$3:$T$62,MATCH($A248,Simulations!$A$3:$A$62,0))^2*IF(INDEX(Simulations!$I$3:$I$62,MATCH($A248,Simulations!$A$3:$A$62,0))&gt;0,SQRT(PI()/2)*INDEX(Simulations!$U$3:$U$62,MATCH($A248,Simulations!$A$3:$A$62,0)),1)),$D248/(INDEX(Simulations!$G$3:$G$62,MATCH($A248,Simulations!$A$3:$A$62,0))*INDEX(Simulations!$H$3:$H$62,MATCH($A248,Simulations!$A$3:$A$62,0))*IF(INDEX(Simulations!$I$3:$I$62,MATCH($A248,Simulations!$A$3:$A$62,0))&gt;0,INDEX(Simulations!$I$3:$I$62,MATCH($A248,Simulations!$A$3:$A$62,0)),1))*INDEX(Simulations!$J$3:$J$62,MATCH($A248,Simulations!$A$3:$A$62,0))*IF(INDEX(Simulations!$I$3:$I$62,MATCH($A248,Simulations!$A$3:$A$62,0))&gt;0,2*PI()*INDEX(Simulations!$T$3:$T$62,MATCH($A248,Simulations!$A$3:$A$62,0))^2*INDEX(Simulations!$U$3:$U$62,MATCH($A248,Simulations!$A$3:$A$62,0))/2^1.5*(2/3*LN($E248/INDEX(Simulations!$J$3:$J$62,MATCH($A248,Simulations!$A$3:$A$62,0)))^1.5+SQRT(LN($E248/INDEX(Simulations!$J$3:$J$62,MATCH($A248,Simulations!$A$3:$A$62,0))))+$E248/INDEX(Simulations!$J$3:$J$62,MATCH($A248,Simulations!$A$3:$A$62,0))*SQRT(PI())/2*ERFC(SQRT(LN($E248/INDEX(Simulations!$J$3:$J$62,MATCH($A248,Simulations!$A$3:$A$62,0)))))),PI()*INDEX(Simulations!$T$3:$T$62,MATCH($A248,Simulations!$A$3:$A$62,0))^2/2*(LN($E248/INDEX(Simulations!$J$3:$J$62,MATCH($A248,Simulations!$A$3:$A$62,0)))+1)))))</f>
        <v/>
      </c>
      <c r="R248" s="16" t="str">
        <f aca="false">IF(OR($A248="",ISNA(MATCH($A248,Simulations!$A$3:$A$62,0))),"",IF(N($F248)&lt;=0,0,IF($F248&lt;INDEX(Simulations!$J$3:$J$62,MATCH($A248,Simulations!$A$3:$A$62,0)),$D248/(INDEX(Simulations!$G$3:$G$62,MATCH($A248,Simulations!$A$3:$A$62,0))*INDEX(Simulations!$H$3:$H$62,MATCH($A248,Simulations!$A$3:$A$62,0))*IF(INDEX(Simulations!$I$3:$I$62,MATCH($A248,Simulations!$A$3:$A$62,0))&gt;0,INDEX(Simulations!$I$3:$I$62,MATCH($A248,Simulations!$A$3:$A$62,0)),1))*$F248*(PI()/2*INDEX(Simulations!$T$3:$T$62,MATCH($A248,Simulations!$A$3:$A$62,0))^2*IF(INDEX(Simulations!$I$3:$I$62,MATCH($A248,Simulations!$A$3:$A$62,0))&gt;0,SQRT(PI()/2)*INDEX(Simulations!$U$3:$U$62,MATCH($A248,Simulations!$A$3:$A$62,0)),1)),$D248/(INDEX(Simulations!$G$3:$G$62,MATCH($A248,Simulations!$A$3:$A$62,0))*INDEX(Simulations!$H$3:$H$62,MATCH($A248,Simulations!$A$3:$A$62,0))*IF(INDEX(Simulations!$I$3:$I$62,MATCH($A248,Simulations!$A$3:$A$62,0))&gt;0,INDEX(Simulations!$I$3:$I$62,MATCH($A248,Simulations!$A$3:$A$62,0)),1))*INDEX(Simulations!$J$3:$J$62,MATCH($A248,Simulations!$A$3:$A$62,0))*IF(INDEX(Simulations!$I$3:$I$62,MATCH($A248,Simulations!$A$3:$A$62,0))&gt;0,2*PI()*INDEX(Simulations!$T$3:$T$62,MATCH($A248,Simulations!$A$3:$A$62,0))^2*INDEX(Simulations!$U$3:$U$62,MATCH($A248,Simulations!$A$3:$A$62,0))/2^1.5*(2/3*LN($F248/INDEX(Simulations!$J$3:$J$62,MATCH($A248,Simulations!$A$3:$A$62,0)))^1.5+SQRT(LN($F248/INDEX(Simulations!$J$3:$J$62,MATCH($A248,Simulations!$A$3:$A$62,0))))+$F248/INDEX(Simulations!$J$3:$J$62,MATCH($A248,Simulations!$A$3:$A$62,0))*SQRT(PI())/2*ERFC(SQRT(LN($F248/INDEX(Simulations!$J$3:$J$62,MATCH($A248,Simulations!$A$3:$A$62,0)))))),PI()*INDEX(Simulations!$T$3:$T$62,MATCH($A248,Simulations!$A$3:$A$62,0))^2/2*(LN($F248/INDEX(Simulations!$J$3:$J$62,MATCH($A248,Simulations!$A$3:$A$62,0)))+1)))))</f>
        <v/>
      </c>
      <c r="S248" s="16" t="str">
        <f aca="false">IF(OR($A248="",ISNA(MATCH($A248,Simulations!$A$3:$A$62,0))),"",IF(N($G248)&lt;=0,0,IF($G248&lt;INDEX(Simulations!$J$3:$J$62,MATCH($A248,Simulations!$A$3:$A$62,0)),$D248/(INDEX(Simulations!$G$3:$G$62,MATCH($A248,Simulations!$A$3:$A$62,0))*INDEX(Simulations!$H$3:$H$62,MATCH($A248,Simulations!$A$3:$A$62,0))*IF(INDEX(Simulations!$I$3:$I$62,MATCH($A248,Simulations!$A$3:$A$62,0))&gt;0,INDEX(Simulations!$I$3:$I$62,MATCH($A248,Simulations!$A$3:$A$62,0)),1))*$G248*(PI()/2*INDEX(Simulations!$T$3:$T$62,MATCH($A248,Simulations!$A$3:$A$62,0))^2*IF(INDEX(Simulations!$I$3:$I$62,MATCH($A248,Simulations!$A$3:$A$62,0))&gt;0,SQRT(PI()/2)*INDEX(Simulations!$U$3:$U$62,MATCH($A248,Simulations!$A$3:$A$62,0)),1)),$D248/(INDEX(Simulations!$G$3:$G$62,MATCH($A248,Simulations!$A$3:$A$62,0))*INDEX(Simulations!$H$3:$H$62,MATCH($A248,Simulations!$A$3:$A$62,0))*IF(INDEX(Simulations!$I$3:$I$62,MATCH($A248,Simulations!$A$3:$A$62,0))&gt;0,INDEX(Simulations!$I$3:$I$62,MATCH($A248,Simulations!$A$3:$A$62,0)),1))*INDEX(Simulations!$J$3:$J$62,MATCH($A248,Simulations!$A$3:$A$62,0))*IF(INDEX(Simulations!$I$3:$I$62,MATCH($A248,Simulations!$A$3:$A$62,0))&gt;0,2*PI()*INDEX(Simulations!$T$3:$T$62,MATCH($A248,Simulations!$A$3:$A$62,0))^2*INDEX(Simulations!$U$3:$U$62,MATCH($A248,Simulations!$A$3:$A$62,0))/2^1.5*(2/3*LN($G248/INDEX(Simulations!$J$3:$J$62,MATCH($A248,Simulations!$A$3:$A$62,0)))^1.5+SQRT(LN($G248/INDEX(Simulations!$J$3:$J$62,MATCH($A248,Simulations!$A$3:$A$62,0))))+$G248/INDEX(Simulations!$J$3:$J$62,MATCH($A248,Simulations!$A$3:$A$62,0))*SQRT(PI())/2*ERFC(SQRT(LN($G248/INDEX(Simulations!$J$3:$J$62,MATCH($A248,Simulations!$A$3:$A$62,0)))))),PI()*INDEX(Simulations!$T$3:$T$62,MATCH($A248,Simulations!$A$3:$A$62,0))^2/2*(LN($G248/INDEX(Simulations!$J$3:$J$62,MATCH($A248,Simulations!$A$3:$A$62,0)))+1)))))</f>
        <v/>
      </c>
      <c r="T248" s="16" t="str">
        <f aca="false">IF(OR($A248="",ISNA(MATCH($A248,Simulations!$A$3:$A$62,0))),"",IF(N($H248)&lt;=0,0,IF($H248&lt;INDEX(Simulations!$J$3:$J$62,MATCH($A248,Simulations!$A$3:$A$62,0)),$D248/(INDEX(Simulations!$G$3:$G$62,MATCH($A248,Simulations!$A$3:$A$62,0))*INDEX(Simulations!$H$3:$H$62,MATCH($A248,Simulations!$A$3:$A$62,0))*IF(INDEX(Simulations!$I$3:$I$62,MATCH($A248,Simulations!$A$3:$A$62,0))&gt;0,INDEX(Simulations!$I$3:$I$62,MATCH($A248,Simulations!$A$3:$A$62,0)),1))*$H248*(PI()/2*INDEX(Simulations!$T$3:$T$62,MATCH($A248,Simulations!$A$3:$A$62,0))^2*IF(INDEX(Simulations!$I$3:$I$62,MATCH($A248,Simulations!$A$3:$A$62,0))&gt;0,SQRT(PI()/2)*INDEX(Simulations!$U$3:$U$62,MATCH($A248,Simulations!$A$3:$A$62,0)),1)),$D248/(INDEX(Simulations!$G$3:$G$62,MATCH($A248,Simulations!$A$3:$A$62,0))*INDEX(Simulations!$H$3:$H$62,MATCH($A248,Simulations!$A$3:$A$62,0))*IF(INDEX(Simulations!$I$3:$I$62,MATCH($A248,Simulations!$A$3:$A$62,0))&gt;0,INDEX(Simulations!$I$3:$I$62,MATCH($A248,Simulations!$A$3:$A$62,0)),1))*INDEX(Simulations!$J$3:$J$62,MATCH($A248,Simulations!$A$3:$A$62,0))*IF(INDEX(Simulations!$I$3:$I$62,MATCH($A248,Simulations!$A$3:$A$62,0))&gt;0,2*PI()*INDEX(Simulations!$T$3:$T$62,MATCH($A248,Simulations!$A$3:$A$62,0))^2*INDEX(Simulations!$U$3:$U$62,MATCH($A248,Simulations!$A$3:$A$62,0))/2^1.5*(2/3*LN($H248/INDEX(Simulations!$J$3:$J$62,MATCH($A248,Simulations!$A$3:$A$62,0)))^1.5+SQRT(LN($H248/INDEX(Simulations!$J$3:$J$62,MATCH($A248,Simulations!$A$3:$A$62,0))))+$H248/INDEX(Simulations!$J$3:$J$62,MATCH($A248,Simulations!$A$3:$A$62,0))*SQRT(PI())/2*ERFC(SQRT(LN($H248/INDEX(Simulations!$J$3:$J$62,MATCH($A248,Simulations!$A$3:$A$62,0)))))),PI()*INDEX(Simulations!$T$3:$T$62,MATCH($A248,Simulations!$A$3:$A$62,0))^2/2*(LN($H248/INDEX(Simulations!$J$3:$J$62,MATCH($A248,Simulations!$A$3:$A$62,0)))+1)))))</f>
        <v/>
      </c>
      <c r="U248" s="18" t="str">
        <f aca="false">IF(OR(OR($A248="",ISNA(MATCH($A248,Simulations!$A$3:$A$62,0))),N($C248)&lt;=0),"",SQRT(2*$C248*1000000/(INDEX(Simulations!$J$3:$J$62,MATCH($A248,Simulations!$A$3:$A$62,0))*1000))/INDEX(Simulations!$T$3:$T$62,MATCH($A248,Simulations!$A$3:$A$62,0)))</f>
        <v/>
      </c>
      <c r="V248" s="19" t="str">
        <f aca="false">IF($A248="","",IF(ISNA(MATCH($A248,Simulations!$A$3:$A$62,0)),"✖ Sim ID not found on the Simulations sheet",IF($P248&gt;=1,"✖ brightness &gt;= sampling frequency: completely saturated (D too small, c too large)",IF($P248&gt;0.1,"⚠ brightness &gt; 10% of the sampling frequency: focus starts to saturate",IF(N($U248)&gt;0.1,"⚠ diffusion step &gt; 10% of wr: raise the sampling frequency",IF(MAX($E248:$H248)=0,"⚠ no brightness set","✔ OK"))))))</f>
        <v/>
      </c>
    </row>
    <row r="249" customFormat="false" ht="15" hidden="false" customHeight="false" outlineLevel="0" collapsed="false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4"/>
      <c r="O249" s="18" t="str">
        <f aca="false">IF(OR($A249="",ISNA(MATCH($A249,Simulations!$A$3:$A$62,0))),"",IF(INDEX(Simulations!$I$3:$I$62,MATCH($A249,Simulations!$A$3:$A$62,0))&gt;0,$D249/(INDEX(Simulations!$G$3:$G$62,MATCH($A249,Simulations!$A$3:$A$62,0))*INDEX(Simulations!$H$3:$H$62,MATCH($A249,Simulations!$A$3:$A$62,0))*IF(INDEX(Simulations!$I$3:$I$62,MATCH($A249,Simulations!$A$3:$A$62,0))&gt;0,INDEX(Simulations!$I$3:$I$62,MATCH($A249,Simulations!$A$3:$A$62,0)),1))/1E-024/6.022E+023/0.000000001,""))</f>
        <v/>
      </c>
      <c r="P249" s="20" t="str">
        <f aca="false">IF(OR($A249="",ISNA(MATCH($A249,Simulations!$A$3:$A$62,0))),"",MAX($E249:$H249)/INDEX(Simulations!$J$3:$J$62,MATCH($A249,Simulations!$A$3:$A$62,0)))</f>
        <v/>
      </c>
      <c r="Q249" s="16" t="str">
        <f aca="false">IF(OR($A249="",ISNA(MATCH($A249,Simulations!$A$3:$A$62,0))),"",IF(N($E249)&lt;=0,0,IF($E249&lt;INDEX(Simulations!$J$3:$J$62,MATCH($A249,Simulations!$A$3:$A$62,0)),$D249/(INDEX(Simulations!$G$3:$G$62,MATCH($A249,Simulations!$A$3:$A$62,0))*INDEX(Simulations!$H$3:$H$62,MATCH($A249,Simulations!$A$3:$A$62,0))*IF(INDEX(Simulations!$I$3:$I$62,MATCH($A249,Simulations!$A$3:$A$62,0))&gt;0,INDEX(Simulations!$I$3:$I$62,MATCH($A249,Simulations!$A$3:$A$62,0)),1))*$E249*(PI()/2*INDEX(Simulations!$T$3:$T$62,MATCH($A249,Simulations!$A$3:$A$62,0))^2*IF(INDEX(Simulations!$I$3:$I$62,MATCH($A249,Simulations!$A$3:$A$62,0))&gt;0,SQRT(PI()/2)*INDEX(Simulations!$U$3:$U$62,MATCH($A249,Simulations!$A$3:$A$62,0)),1)),$D249/(INDEX(Simulations!$G$3:$G$62,MATCH($A249,Simulations!$A$3:$A$62,0))*INDEX(Simulations!$H$3:$H$62,MATCH($A249,Simulations!$A$3:$A$62,0))*IF(INDEX(Simulations!$I$3:$I$62,MATCH($A249,Simulations!$A$3:$A$62,0))&gt;0,INDEX(Simulations!$I$3:$I$62,MATCH($A249,Simulations!$A$3:$A$62,0)),1))*INDEX(Simulations!$J$3:$J$62,MATCH($A249,Simulations!$A$3:$A$62,0))*IF(INDEX(Simulations!$I$3:$I$62,MATCH($A249,Simulations!$A$3:$A$62,0))&gt;0,2*PI()*INDEX(Simulations!$T$3:$T$62,MATCH($A249,Simulations!$A$3:$A$62,0))^2*INDEX(Simulations!$U$3:$U$62,MATCH($A249,Simulations!$A$3:$A$62,0))/2^1.5*(2/3*LN($E249/INDEX(Simulations!$J$3:$J$62,MATCH($A249,Simulations!$A$3:$A$62,0)))^1.5+SQRT(LN($E249/INDEX(Simulations!$J$3:$J$62,MATCH($A249,Simulations!$A$3:$A$62,0))))+$E249/INDEX(Simulations!$J$3:$J$62,MATCH($A249,Simulations!$A$3:$A$62,0))*SQRT(PI())/2*ERFC(SQRT(LN($E249/INDEX(Simulations!$J$3:$J$62,MATCH($A249,Simulations!$A$3:$A$62,0)))))),PI()*INDEX(Simulations!$T$3:$T$62,MATCH($A249,Simulations!$A$3:$A$62,0))^2/2*(LN($E249/INDEX(Simulations!$J$3:$J$62,MATCH($A249,Simulations!$A$3:$A$62,0)))+1)))))</f>
        <v/>
      </c>
      <c r="R249" s="16" t="str">
        <f aca="false">IF(OR($A249="",ISNA(MATCH($A249,Simulations!$A$3:$A$62,0))),"",IF(N($F249)&lt;=0,0,IF($F249&lt;INDEX(Simulations!$J$3:$J$62,MATCH($A249,Simulations!$A$3:$A$62,0)),$D249/(INDEX(Simulations!$G$3:$G$62,MATCH($A249,Simulations!$A$3:$A$62,0))*INDEX(Simulations!$H$3:$H$62,MATCH($A249,Simulations!$A$3:$A$62,0))*IF(INDEX(Simulations!$I$3:$I$62,MATCH($A249,Simulations!$A$3:$A$62,0))&gt;0,INDEX(Simulations!$I$3:$I$62,MATCH($A249,Simulations!$A$3:$A$62,0)),1))*$F249*(PI()/2*INDEX(Simulations!$T$3:$T$62,MATCH($A249,Simulations!$A$3:$A$62,0))^2*IF(INDEX(Simulations!$I$3:$I$62,MATCH($A249,Simulations!$A$3:$A$62,0))&gt;0,SQRT(PI()/2)*INDEX(Simulations!$U$3:$U$62,MATCH($A249,Simulations!$A$3:$A$62,0)),1)),$D249/(INDEX(Simulations!$G$3:$G$62,MATCH($A249,Simulations!$A$3:$A$62,0))*INDEX(Simulations!$H$3:$H$62,MATCH($A249,Simulations!$A$3:$A$62,0))*IF(INDEX(Simulations!$I$3:$I$62,MATCH($A249,Simulations!$A$3:$A$62,0))&gt;0,INDEX(Simulations!$I$3:$I$62,MATCH($A249,Simulations!$A$3:$A$62,0)),1))*INDEX(Simulations!$J$3:$J$62,MATCH($A249,Simulations!$A$3:$A$62,0))*IF(INDEX(Simulations!$I$3:$I$62,MATCH($A249,Simulations!$A$3:$A$62,0))&gt;0,2*PI()*INDEX(Simulations!$T$3:$T$62,MATCH($A249,Simulations!$A$3:$A$62,0))^2*INDEX(Simulations!$U$3:$U$62,MATCH($A249,Simulations!$A$3:$A$62,0))/2^1.5*(2/3*LN($F249/INDEX(Simulations!$J$3:$J$62,MATCH($A249,Simulations!$A$3:$A$62,0)))^1.5+SQRT(LN($F249/INDEX(Simulations!$J$3:$J$62,MATCH($A249,Simulations!$A$3:$A$62,0))))+$F249/INDEX(Simulations!$J$3:$J$62,MATCH($A249,Simulations!$A$3:$A$62,0))*SQRT(PI())/2*ERFC(SQRT(LN($F249/INDEX(Simulations!$J$3:$J$62,MATCH($A249,Simulations!$A$3:$A$62,0)))))),PI()*INDEX(Simulations!$T$3:$T$62,MATCH($A249,Simulations!$A$3:$A$62,0))^2/2*(LN($F249/INDEX(Simulations!$J$3:$J$62,MATCH($A249,Simulations!$A$3:$A$62,0)))+1)))))</f>
        <v/>
      </c>
      <c r="S249" s="16" t="str">
        <f aca="false">IF(OR($A249="",ISNA(MATCH($A249,Simulations!$A$3:$A$62,0))),"",IF(N($G249)&lt;=0,0,IF($G249&lt;INDEX(Simulations!$J$3:$J$62,MATCH($A249,Simulations!$A$3:$A$62,0)),$D249/(INDEX(Simulations!$G$3:$G$62,MATCH($A249,Simulations!$A$3:$A$62,0))*INDEX(Simulations!$H$3:$H$62,MATCH($A249,Simulations!$A$3:$A$62,0))*IF(INDEX(Simulations!$I$3:$I$62,MATCH($A249,Simulations!$A$3:$A$62,0))&gt;0,INDEX(Simulations!$I$3:$I$62,MATCH($A249,Simulations!$A$3:$A$62,0)),1))*$G249*(PI()/2*INDEX(Simulations!$T$3:$T$62,MATCH($A249,Simulations!$A$3:$A$62,0))^2*IF(INDEX(Simulations!$I$3:$I$62,MATCH($A249,Simulations!$A$3:$A$62,0))&gt;0,SQRT(PI()/2)*INDEX(Simulations!$U$3:$U$62,MATCH($A249,Simulations!$A$3:$A$62,0)),1)),$D249/(INDEX(Simulations!$G$3:$G$62,MATCH($A249,Simulations!$A$3:$A$62,0))*INDEX(Simulations!$H$3:$H$62,MATCH($A249,Simulations!$A$3:$A$62,0))*IF(INDEX(Simulations!$I$3:$I$62,MATCH($A249,Simulations!$A$3:$A$62,0))&gt;0,INDEX(Simulations!$I$3:$I$62,MATCH($A249,Simulations!$A$3:$A$62,0)),1))*INDEX(Simulations!$J$3:$J$62,MATCH($A249,Simulations!$A$3:$A$62,0))*IF(INDEX(Simulations!$I$3:$I$62,MATCH($A249,Simulations!$A$3:$A$62,0))&gt;0,2*PI()*INDEX(Simulations!$T$3:$T$62,MATCH($A249,Simulations!$A$3:$A$62,0))^2*INDEX(Simulations!$U$3:$U$62,MATCH($A249,Simulations!$A$3:$A$62,0))/2^1.5*(2/3*LN($G249/INDEX(Simulations!$J$3:$J$62,MATCH($A249,Simulations!$A$3:$A$62,0)))^1.5+SQRT(LN($G249/INDEX(Simulations!$J$3:$J$62,MATCH($A249,Simulations!$A$3:$A$62,0))))+$G249/INDEX(Simulations!$J$3:$J$62,MATCH($A249,Simulations!$A$3:$A$62,0))*SQRT(PI())/2*ERFC(SQRT(LN($G249/INDEX(Simulations!$J$3:$J$62,MATCH($A249,Simulations!$A$3:$A$62,0)))))),PI()*INDEX(Simulations!$T$3:$T$62,MATCH($A249,Simulations!$A$3:$A$62,0))^2/2*(LN($G249/INDEX(Simulations!$J$3:$J$62,MATCH($A249,Simulations!$A$3:$A$62,0)))+1)))))</f>
        <v/>
      </c>
      <c r="T249" s="16" t="str">
        <f aca="false">IF(OR($A249="",ISNA(MATCH($A249,Simulations!$A$3:$A$62,0))),"",IF(N($H249)&lt;=0,0,IF($H249&lt;INDEX(Simulations!$J$3:$J$62,MATCH($A249,Simulations!$A$3:$A$62,0)),$D249/(INDEX(Simulations!$G$3:$G$62,MATCH($A249,Simulations!$A$3:$A$62,0))*INDEX(Simulations!$H$3:$H$62,MATCH($A249,Simulations!$A$3:$A$62,0))*IF(INDEX(Simulations!$I$3:$I$62,MATCH($A249,Simulations!$A$3:$A$62,0))&gt;0,INDEX(Simulations!$I$3:$I$62,MATCH($A249,Simulations!$A$3:$A$62,0)),1))*$H249*(PI()/2*INDEX(Simulations!$T$3:$T$62,MATCH($A249,Simulations!$A$3:$A$62,0))^2*IF(INDEX(Simulations!$I$3:$I$62,MATCH($A249,Simulations!$A$3:$A$62,0))&gt;0,SQRT(PI()/2)*INDEX(Simulations!$U$3:$U$62,MATCH($A249,Simulations!$A$3:$A$62,0)),1)),$D249/(INDEX(Simulations!$G$3:$G$62,MATCH($A249,Simulations!$A$3:$A$62,0))*INDEX(Simulations!$H$3:$H$62,MATCH($A249,Simulations!$A$3:$A$62,0))*IF(INDEX(Simulations!$I$3:$I$62,MATCH($A249,Simulations!$A$3:$A$62,0))&gt;0,INDEX(Simulations!$I$3:$I$62,MATCH($A249,Simulations!$A$3:$A$62,0)),1))*INDEX(Simulations!$J$3:$J$62,MATCH($A249,Simulations!$A$3:$A$62,0))*IF(INDEX(Simulations!$I$3:$I$62,MATCH($A249,Simulations!$A$3:$A$62,0))&gt;0,2*PI()*INDEX(Simulations!$T$3:$T$62,MATCH($A249,Simulations!$A$3:$A$62,0))^2*INDEX(Simulations!$U$3:$U$62,MATCH($A249,Simulations!$A$3:$A$62,0))/2^1.5*(2/3*LN($H249/INDEX(Simulations!$J$3:$J$62,MATCH($A249,Simulations!$A$3:$A$62,0)))^1.5+SQRT(LN($H249/INDEX(Simulations!$J$3:$J$62,MATCH($A249,Simulations!$A$3:$A$62,0))))+$H249/INDEX(Simulations!$J$3:$J$62,MATCH($A249,Simulations!$A$3:$A$62,0))*SQRT(PI())/2*ERFC(SQRT(LN($H249/INDEX(Simulations!$J$3:$J$62,MATCH($A249,Simulations!$A$3:$A$62,0)))))),PI()*INDEX(Simulations!$T$3:$T$62,MATCH($A249,Simulations!$A$3:$A$62,0))^2/2*(LN($H249/INDEX(Simulations!$J$3:$J$62,MATCH($A249,Simulations!$A$3:$A$62,0)))+1)))))</f>
        <v/>
      </c>
      <c r="U249" s="18" t="str">
        <f aca="false">IF(OR(OR($A249="",ISNA(MATCH($A249,Simulations!$A$3:$A$62,0))),N($C249)&lt;=0),"",SQRT(2*$C249*1000000/(INDEX(Simulations!$J$3:$J$62,MATCH($A249,Simulations!$A$3:$A$62,0))*1000))/INDEX(Simulations!$T$3:$T$62,MATCH($A249,Simulations!$A$3:$A$62,0)))</f>
        <v/>
      </c>
      <c r="V249" s="19" t="str">
        <f aca="false">IF($A249="","",IF(ISNA(MATCH($A249,Simulations!$A$3:$A$62,0)),"✖ Sim ID not found on the Simulations sheet",IF($P249&gt;=1,"✖ brightness &gt;= sampling frequency: completely saturated (D too small, c too large)",IF($P249&gt;0.1,"⚠ brightness &gt; 10% of the sampling frequency: focus starts to saturate",IF(N($U249)&gt;0.1,"⚠ diffusion step &gt; 10% of wr: raise the sampling frequency",IF(MAX($E249:$H249)=0,"⚠ no brightness set","✔ OK"))))))</f>
        <v/>
      </c>
    </row>
    <row r="250" customFormat="false" ht="15" hidden="false" customHeight="false" outlineLevel="0" collapsed="false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4"/>
      <c r="O250" s="18" t="str">
        <f aca="false">IF(OR($A250="",ISNA(MATCH($A250,Simulations!$A$3:$A$62,0))),"",IF(INDEX(Simulations!$I$3:$I$62,MATCH($A250,Simulations!$A$3:$A$62,0))&gt;0,$D250/(INDEX(Simulations!$G$3:$G$62,MATCH($A250,Simulations!$A$3:$A$62,0))*INDEX(Simulations!$H$3:$H$62,MATCH($A250,Simulations!$A$3:$A$62,0))*IF(INDEX(Simulations!$I$3:$I$62,MATCH($A250,Simulations!$A$3:$A$62,0))&gt;0,INDEX(Simulations!$I$3:$I$62,MATCH($A250,Simulations!$A$3:$A$62,0)),1))/1E-024/6.022E+023/0.000000001,""))</f>
        <v/>
      </c>
      <c r="P250" s="20" t="str">
        <f aca="false">IF(OR($A250="",ISNA(MATCH($A250,Simulations!$A$3:$A$62,0))),"",MAX($E250:$H250)/INDEX(Simulations!$J$3:$J$62,MATCH($A250,Simulations!$A$3:$A$62,0)))</f>
        <v/>
      </c>
      <c r="Q250" s="16" t="str">
        <f aca="false">IF(OR($A250="",ISNA(MATCH($A250,Simulations!$A$3:$A$62,0))),"",IF(N($E250)&lt;=0,0,IF($E250&lt;INDEX(Simulations!$J$3:$J$62,MATCH($A250,Simulations!$A$3:$A$62,0)),$D250/(INDEX(Simulations!$G$3:$G$62,MATCH($A250,Simulations!$A$3:$A$62,0))*INDEX(Simulations!$H$3:$H$62,MATCH($A250,Simulations!$A$3:$A$62,0))*IF(INDEX(Simulations!$I$3:$I$62,MATCH($A250,Simulations!$A$3:$A$62,0))&gt;0,INDEX(Simulations!$I$3:$I$62,MATCH($A250,Simulations!$A$3:$A$62,0)),1))*$E250*(PI()/2*INDEX(Simulations!$T$3:$T$62,MATCH($A250,Simulations!$A$3:$A$62,0))^2*IF(INDEX(Simulations!$I$3:$I$62,MATCH($A250,Simulations!$A$3:$A$62,0))&gt;0,SQRT(PI()/2)*INDEX(Simulations!$U$3:$U$62,MATCH($A250,Simulations!$A$3:$A$62,0)),1)),$D250/(INDEX(Simulations!$G$3:$G$62,MATCH($A250,Simulations!$A$3:$A$62,0))*INDEX(Simulations!$H$3:$H$62,MATCH($A250,Simulations!$A$3:$A$62,0))*IF(INDEX(Simulations!$I$3:$I$62,MATCH($A250,Simulations!$A$3:$A$62,0))&gt;0,INDEX(Simulations!$I$3:$I$62,MATCH($A250,Simulations!$A$3:$A$62,0)),1))*INDEX(Simulations!$J$3:$J$62,MATCH($A250,Simulations!$A$3:$A$62,0))*IF(INDEX(Simulations!$I$3:$I$62,MATCH($A250,Simulations!$A$3:$A$62,0))&gt;0,2*PI()*INDEX(Simulations!$T$3:$T$62,MATCH($A250,Simulations!$A$3:$A$62,0))^2*INDEX(Simulations!$U$3:$U$62,MATCH($A250,Simulations!$A$3:$A$62,0))/2^1.5*(2/3*LN($E250/INDEX(Simulations!$J$3:$J$62,MATCH($A250,Simulations!$A$3:$A$62,0)))^1.5+SQRT(LN($E250/INDEX(Simulations!$J$3:$J$62,MATCH($A250,Simulations!$A$3:$A$62,0))))+$E250/INDEX(Simulations!$J$3:$J$62,MATCH($A250,Simulations!$A$3:$A$62,0))*SQRT(PI())/2*ERFC(SQRT(LN($E250/INDEX(Simulations!$J$3:$J$62,MATCH($A250,Simulations!$A$3:$A$62,0)))))),PI()*INDEX(Simulations!$T$3:$T$62,MATCH($A250,Simulations!$A$3:$A$62,0))^2/2*(LN($E250/INDEX(Simulations!$J$3:$J$62,MATCH($A250,Simulations!$A$3:$A$62,0)))+1)))))</f>
        <v/>
      </c>
      <c r="R250" s="16" t="str">
        <f aca="false">IF(OR($A250="",ISNA(MATCH($A250,Simulations!$A$3:$A$62,0))),"",IF(N($F250)&lt;=0,0,IF($F250&lt;INDEX(Simulations!$J$3:$J$62,MATCH($A250,Simulations!$A$3:$A$62,0)),$D250/(INDEX(Simulations!$G$3:$G$62,MATCH($A250,Simulations!$A$3:$A$62,0))*INDEX(Simulations!$H$3:$H$62,MATCH($A250,Simulations!$A$3:$A$62,0))*IF(INDEX(Simulations!$I$3:$I$62,MATCH($A250,Simulations!$A$3:$A$62,0))&gt;0,INDEX(Simulations!$I$3:$I$62,MATCH($A250,Simulations!$A$3:$A$62,0)),1))*$F250*(PI()/2*INDEX(Simulations!$T$3:$T$62,MATCH($A250,Simulations!$A$3:$A$62,0))^2*IF(INDEX(Simulations!$I$3:$I$62,MATCH($A250,Simulations!$A$3:$A$62,0))&gt;0,SQRT(PI()/2)*INDEX(Simulations!$U$3:$U$62,MATCH($A250,Simulations!$A$3:$A$62,0)),1)),$D250/(INDEX(Simulations!$G$3:$G$62,MATCH($A250,Simulations!$A$3:$A$62,0))*INDEX(Simulations!$H$3:$H$62,MATCH($A250,Simulations!$A$3:$A$62,0))*IF(INDEX(Simulations!$I$3:$I$62,MATCH($A250,Simulations!$A$3:$A$62,0))&gt;0,INDEX(Simulations!$I$3:$I$62,MATCH($A250,Simulations!$A$3:$A$62,0)),1))*INDEX(Simulations!$J$3:$J$62,MATCH($A250,Simulations!$A$3:$A$62,0))*IF(INDEX(Simulations!$I$3:$I$62,MATCH($A250,Simulations!$A$3:$A$62,0))&gt;0,2*PI()*INDEX(Simulations!$T$3:$T$62,MATCH($A250,Simulations!$A$3:$A$62,0))^2*INDEX(Simulations!$U$3:$U$62,MATCH($A250,Simulations!$A$3:$A$62,0))/2^1.5*(2/3*LN($F250/INDEX(Simulations!$J$3:$J$62,MATCH($A250,Simulations!$A$3:$A$62,0)))^1.5+SQRT(LN($F250/INDEX(Simulations!$J$3:$J$62,MATCH($A250,Simulations!$A$3:$A$62,0))))+$F250/INDEX(Simulations!$J$3:$J$62,MATCH($A250,Simulations!$A$3:$A$62,0))*SQRT(PI())/2*ERFC(SQRT(LN($F250/INDEX(Simulations!$J$3:$J$62,MATCH($A250,Simulations!$A$3:$A$62,0)))))),PI()*INDEX(Simulations!$T$3:$T$62,MATCH($A250,Simulations!$A$3:$A$62,0))^2/2*(LN($F250/INDEX(Simulations!$J$3:$J$62,MATCH($A250,Simulations!$A$3:$A$62,0)))+1)))))</f>
        <v/>
      </c>
      <c r="S250" s="16" t="str">
        <f aca="false">IF(OR($A250="",ISNA(MATCH($A250,Simulations!$A$3:$A$62,0))),"",IF(N($G250)&lt;=0,0,IF($G250&lt;INDEX(Simulations!$J$3:$J$62,MATCH($A250,Simulations!$A$3:$A$62,0)),$D250/(INDEX(Simulations!$G$3:$G$62,MATCH($A250,Simulations!$A$3:$A$62,0))*INDEX(Simulations!$H$3:$H$62,MATCH($A250,Simulations!$A$3:$A$62,0))*IF(INDEX(Simulations!$I$3:$I$62,MATCH($A250,Simulations!$A$3:$A$62,0))&gt;0,INDEX(Simulations!$I$3:$I$62,MATCH($A250,Simulations!$A$3:$A$62,0)),1))*$G250*(PI()/2*INDEX(Simulations!$T$3:$T$62,MATCH($A250,Simulations!$A$3:$A$62,0))^2*IF(INDEX(Simulations!$I$3:$I$62,MATCH($A250,Simulations!$A$3:$A$62,0))&gt;0,SQRT(PI()/2)*INDEX(Simulations!$U$3:$U$62,MATCH($A250,Simulations!$A$3:$A$62,0)),1)),$D250/(INDEX(Simulations!$G$3:$G$62,MATCH($A250,Simulations!$A$3:$A$62,0))*INDEX(Simulations!$H$3:$H$62,MATCH($A250,Simulations!$A$3:$A$62,0))*IF(INDEX(Simulations!$I$3:$I$62,MATCH($A250,Simulations!$A$3:$A$62,0))&gt;0,INDEX(Simulations!$I$3:$I$62,MATCH($A250,Simulations!$A$3:$A$62,0)),1))*INDEX(Simulations!$J$3:$J$62,MATCH($A250,Simulations!$A$3:$A$62,0))*IF(INDEX(Simulations!$I$3:$I$62,MATCH($A250,Simulations!$A$3:$A$62,0))&gt;0,2*PI()*INDEX(Simulations!$T$3:$T$62,MATCH($A250,Simulations!$A$3:$A$62,0))^2*INDEX(Simulations!$U$3:$U$62,MATCH($A250,Simulations!$A$3:$A$62,0))/2^1.5*(2/3*LN($G250/INDEX(Simulations!$J$3:$J$62,MATCH($A250,Simulations!$A$3:$A$62,0)))^1.5+SQRT(LN($G250/INDEX(Simulations!$J$3:$J$62,MATCH($A250,Simulations!$A$3:$A$62,0))))+$G250/INDEX(Simulations!$J$3:$J$62,MATCH($A250,Simulations!$A$3:$A$62,0))*SQRT(PI())/2*ERFC(SQRT(LN($G250/INDEX(Simulations!$J$3:$J$62,MATCH($A250,Simulations!$A$3:$A$62,0)))))),PI()*INDEX(Simulations!$T$3:$T$62,MATCH($A250,Simulations!$A$3:$A$62,0))^2/2*(LN($G250/INDEX(Simulations!$J$3:$J$62,MATCH($A250,Simulations!$A$3:$A$62,0)))+1)))))</f>
        <v/>
      </c>
      <c r="T250" s="16" t="str">
        <f aca="false">IF(OR($A250="",ISNA(MATCH($A250,Simulations!$A$3:$A$62,0))),"",IF(N($H250)&lt;=0,0,IF($H250&lt;INDEX(Simulations!$J$3:$J$62,MATCH($A250,Simulations!$A$3:$A$62,0)),$D250/(INDEX(Simulations!$G$3:$G$62,MATCH($A250,Simulations!$A$3:$A$62,0))*INDEX(Simulations!$H$3:$H$62,MATCH($A250,Simulations!$A$3:$A$62,0))*IF(INDEX(Simulations!$I$3:$I$62,MATCH($A250,Simulations!$A$3:$A$62,0))&gt;0,INDEX(Simulations!$I$3:$I$62,MATCH($A250,Simulations!$A$3:$A$62,0)),1))*$H250*(PI()/2*INDEX(Simulations!$T$3:$T$62,MATCH($A250,Simulations!$A$3:$A$62,0))^2*IF(INDEX(Simulations!$I$3:$I$62,MATCH($A250,Simulations!$A$3:$A$62,0))&gt;0,SQRT(PI()/2)*INDEX(Simulations!$U$3:$U$62,MATCH($A250,Simulations!$A$3:$A$62,0)),1)),$D250/(INDEX(Simulations!$G$3:$G$62,MATCH($A250,Simulations!$A$3:$A$62,0))*INDEX(Simulations!$H$3:$H$62,MATCH($A250,Simulations!$A$3:$A$62,0))*IF(INDEX(Simulations!$I$3:$I$62,MATCH($A250,Simulations!$A$3:$A$62,0))&gt;0,INDEX(Simulations!$I$3:$I$62,MATCH($A250,Simulations!$A$3:$A$62,0)),1))*INDEX(Simulations!$J$3:$J$62,MATCH($A250,Simulations!$A$3:$A$62,0))*IF(INDEX(Simulations!$I$3:$I$62,MATCH($A250,Simulations!$A$3:$A$62,0))&gt;0,2*PI()*INDEX(Simulations!$T$3:$T$62,MATCH($A250,Simulations!$A$3:$A$62,0))^2*INDEX(Simulations!$U$3:$U$62,MATCH($A250,Simulations!$A$3:$A$62,0))/2^1.5*(2/3*LN($H250/INDEX(Simulations!$J$3:$J$62,MATCH($A250,Simulations!$A$3:$A$62,0)))^1.5+SQRT(LN($H250/INDEX(Simulations!$J$3:$J$62,MATCH($A250,Simulations!$A$3:$A$62,0))))+$H250/INDEX(Simulations!$J$3:$J$62,MATCH($A250,Simulations!$A$3:$A$62,0))*SQRT(PI())/2*ERFC(SQRT(LN($H250/INDEX(Simulations!$J$3:$J$62,MATCH($A250,Simulations!$A$3:$A$62,0)))))),PI()*INDEX(Simulations!$T$3:$T$62,MATCH($A250,Simulations!$A$3:$A$62,0))^2/2*(LN($H250/INDEX(Simulations!$J$3:$J$62,MATCH($A250,Simulations!$A$3:$A$62,0)))+1)))))</f>
        <v/>
      </c>
      <c r="U250" s="18" t="str">
        <f aca="false">IF(OR(OR($A250="",ISNA(MATCH($A250,Simulations!$A$3:$A$62,0))),N($C250)&lt;=0),"",SQRT(2*$C250*1000000/(INDEX(Simulations!$J$3:$J$62,MATCH($A250,Simulations!$A$3:$A$62,0))*1000))/INDEX(Simulations!$T$3:$T$62,MATCH($A250,Simulations!$A$3:$A$62,0)))</f>
        <v/>
      </c>
      <c r="V250" s="19" t="str">
        <f aca="false">IF($A250="","",IF(ISNA(MATCH($A250,Simulations!$A$3:$A$62,0)),"✖ Sim ID not found on the Simulations sheet",IF($P250&gt;=1,"✖ brightness &gt;= sampling frequency: completely saturated (D too small, c too large)",IF($P250&gt;0.1,"⚠ brightness &gt; 10% of the sampling frequency: focus starts to saturate",IF(N($U250)&gt;0.1,"⚠ diffusion step &gt; 10% of wr: raise the sampling frequency",IF(MAX($E250:$H250)=0,"⚠ no brightness set","✔ OK"))))))</f>
        <v/>
      </c>
    </row>
    <row r="251" customFormat="false" ht="15" hidden="false" customHeight="false" outlineLevel="0" collapsed="false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4"/>
      <c r="O251" s="18" t="str">
        <f aca="false">IF(OR($A251="",ISNA(MATCH($A251,Simulations!$A$3:$A$62,0))),"",IF(INDEX(Simulations!$I$3:$I$62,MATCH($A251,Simulations!$A$3:$A$62,0))&gt;0,$D251/(INDEX(Simulations!$G$3:$G$62,MATCH($A251,Simulations!$A$3:$A$62,0))*INDEX(Simulations!$H$3:$H$62,MATCH($A251,Simulations!$A$3:$A$62,0))*IF(INDEX(Simulations!$I$3:$I$62,MATCH($A251,Simulations!$A$3:$A$62,0))&gt;0,INDEX(Simulations!$I$3:$I$62,MATCH($A251,Simulations!$A$3:$A$62,0)),1))/1E-024/6.022E+023/0.000000001,""))</f>
        <v/>
      </c>
      <c r="P251" s="20" t="str">
        <f aca="false">IF(OR($A251="",ISNA(MATCH($A251,Simulations!$A$3:$A$62,0))),"",MAX($E251:$H251)/INDEX(Simulations!$J$3:$J$62,MATCH($A251,Simulations!$A$3:$A$62,0)))</f>
        <v/>
      </c>
      <c r="Q251" s="16" t="str">
        <f aca="false">IF(OR($A251="",ISNA(MATCH($A251,Simulations!$A$3:$A$62,0))),"",IF(N($E251)&lt;=0,0,IF($E251&lt;INDEX(Simulations!$J$3:$J$62,MATCH($A251,Simulations!$A$3:$A$62,0)),$D251/(INDEX(Simulations!$G$3:$G$62,MATCH($A251,Simulations!$A$3:$A$62,0))*INDEX(Simulations!$H$3:$H$62,MATCH($A251,Simulations!$A$3:$A$62,0))*IF(INDEX(Simulations!$I$3:$I$62,MATCH($A251,Simulations!$A$3:$A$62,0))&gt;0,INDEX(Simulations!$I$3:$I$62,MATCH($A251,Simulations!$A$3:$A$62,0)),1))*$E251*(PI()/2*INDEX(Simulations!$T$3:$T$62,MATCH($A251,Simulations!$A$3:$A$62,0))^2*IF(INDEX(Simulations!$I$3:$I$62,MATCH($A251,Simulations!$A$3:$A$62,0))&gt;0,SQRT(PI()/2)*INDEX(Simulations!$U$3:$U$62,MATCH($A251,Simulations!$A$3:$A$62,0)),1)),$D251/(INDEX(Simulations!$G$3:$G$62,MATCH($A251,Simulations!$A$3:$A$62,0))*INDEX(Simulations!$H$3:$H$62,MATCH($A251,Simulations!$A$3:$A$62,0))*IF(INDEX(Simulations!$I$3:$I$62,MATCH($A251,Simulations!$A$3:$A$62,0))&gt;0,INDEX(Simulations!$I$3:$I$62,MATCH($A251,Simulations!$A$3:$A$62,0)),1))*INDEX(Simulations!$J$3:$J$62,MATCH($A251,Simulations!$A$3:$A$62,0))*IF(INDEX(Simulations!$I$3:$I$62,MATCH($A251,Simulations!$A$3:$A$62,0))&gt;0,2*PI()*INDEX(Simulations!$T$3:$T$62,MATCH($A251,Simulations!$A$3:$A$62,0))^2*INDEX(Simulations!$U$3:$U$62,MATCH($A251,Simulations!$A$3:$A$62,0))/2^1.5*(2/3*LN($E251/INDEX(Simulations!$J$3:$J$62,MATCH($A251,Simulations!$A$3:$A$62,0)))^1.5+SQRT(LN($E251/INDEX(Simulations!$J$3:$J$62,MATCH($A251,Simulations!$A$3:$A$62,0))))+$E251/INDEX(Simulations!$J$3:$J$62,MATCH($A251,Simulations!$A$3:$A$62,0))*SQRT(PI())/2*ERFC(SQRT(LN($E251/INDEX(Simulations!$J$3:$J$62,MATCH($A251,Simulations!$A$3:$A$62,0)))))),PI()*INDEX(Simulations!$T$3:$T$62,MATCH($A251,Simulations!$A$3:$A$62,0))^2/2*(LN($E251/INDEX(Simulations!$J$3:$J$62,MATCH($A251,Simulations!$A$3:$A$62,0)))+1)))))</f>
        <v/>
      </c>
      <c r="R251" s="16" t="str">
        <f aca="false">IF(OR($A251="",ISNA(MATCH($A251,Simulations!$A$3:$A$62,0))),"",IF(N($F251)&lt;=0,0,IF($F251&lt;INDEX(Simulations!$J$3:$J$62,MATCH($A251,Simulations!$A$3:$A$62,0)),$D251/(INDEX(Simulations!$G$3:$G$62,MATCH($A251,Simulations!$A$3:$A$62,0))*INDEX(Simulations!$H$3:$H$62,MATCH($A251,Simulations!$A$3:$A$62,0))*IF(INDEX(Simulations!$I$3:$I$62,MATCH($A251,Simulations!$A$3:$A$62,0))&gt;0,INDEX(Simulations!$I$3:$I$62,MATCH($A251,Simulations!$A$3:$A$62,0)),1))*$F251*(PI()/2*INDEX(Simulations!$T$3:$T$62,MATCH($A251,Simulations!$A$3:$A$62,0))^2*IF(INDEX(Simulations!$I$3:$I$62,MATCH($A251,Simulations!$A$3:$A$62,0))&gt;0,SQRT(PI()/2)*INDEX(Simulations!$U$3:$U$62,MATCH($A251,Simulations!$A$3:$A$62,0)),1)),$D251/(INDEX(Simulations!$G$3:$G$62,MATCH($A251,Simulations!$A$3:$A$62,0))*INDEX(Simulations!$H$3:$H$62,MATCH($A251,Simulations!$A$3:$A$62,0))*IF(INDEX(Simulations!$I$3:$I$62,MATCH($A251,Simulations!$A$3:$A$62,0))&gt;0,INDEX(Simulations!$I$3:$I$62,MATCH($A251,Simulations!$A$3:$A$62,0)),1))*INDEX(Simulations!$J$3:$J$62,MATCH($A251,Simulations!$A$3:$A$62,0))*IF(INDEX(Simulations!$I$3:$I$62,MATCH($A251,Simulations!$A$3:$A$62,0))&gt;0,2*PI()*INDEX(Simulations!$T$3:$T$62,MATCH($A251,Simulations!$A$3:$A$62,0))^2*INDEX(Simulations!$U$3:$U$62,MATCH($A251,Simulations!$A$3:$A$62,0))/2^1.5*(2/3*LN($F251/INDEX(Simulations!$J$3:$J$62,MATCH($A251,Simulations!$A$3:$A$62,0)))^1.5+SQRT(LN($F251/INDEX(Simulations!$J$3:$J$62,MATCH($A251,Simulations!$A$3:$A$62,0))))+$F251/INDEX(Simulations!$J$3:$J$62,MATCH($A251,Simulations!$A$3:$A$62,0))*SQRT(PI())/2*ERFC(SQRT(LN($F251/INDEX(Simulations!$J$3:$J$62,MATCH($A251,Simulations!$A$3:$A$62,0)))))),PI()*INDEX(Simulations!$T$3:$T$62,MATCH($A251,Simulations!$A$3:$A$62,0))^2/2*(LN($F251/INDEX(Simulations!$J$3:$J$62,MATCH($A251,Simulations!$A$3:$A$62,0)))+1)))))</f>
        <v/>
      </c>
      <c r="S251" s="16" t="str">
        <f aca="false">IF(OR($A251="",ISNA(MATCH($A251,Simulations!$A$3:$A$62,0))),"",IF(N($G251)&lt;=0,0,IF($G251&lt;INDEX(Simulations!$J$3:$J$62,MATCH($A251,Simulations!$A$3:$A$62,0)),$D251/(INDEX(Simulations!$G$3:$G$62,MATCH($A251,Simulations!$A$3:$A$62,0))*INDEX(Simulations!$H$3:$H$62,MATCH($A251,Simulations!$A$3:$A$62,0))*IF(INDEX(Simulations!$I$3:$I$62,MATCH($A251,Simulations!$A$3:$A$62,0))&gt;0,INDEX(Simulations!$I$3:$I$62,MATCH($A251,Simulations!$A$3:$A$62,0)),1))*$G251*(PI()/2*INDEX(Simulations!$T$3:$T$62,MATCH($A251,Simulations!$A$3:$A$62,0))^2*IF(INDEX(Simulations!$I$3:$I$62,MATCH($A251,Simulations!$A$3:$A$62,0))&gt;0,SQRT(PI()/2)*INDEX(Simulations!$U$3:$U$62,MATCH($A251,Simulations!$A$3:$A$62,0)),1)),$D251/(INDEX(Simulations!$G$3:$G$62,MATCH($A251,Simulations!$A$3:$A$62,0))*INDEX(Simulations!$H$3:$H$62,MATCH($A251,Simulations!$A$3:$A$62,0))*IF(INDEX(Simulations!$I$3:$I$62,MATCH($A251,Simulations!$A$3:$A$62,0))&gt;0,INDEX(Simulations!$I$3:$I$62,MATCH($A251,Simulations!$A$3:$A$62,0)),1))*INDEX(Simulations!$J$3:$J$62,MATCH($A251,Simulations!$A$3:$A$62,0))*IF(INDEX(Simulations!$I$3:$I$62,MATCH($A251,Simulations!$A$3:$A$62,0))&gt;0,2*PI()*INDEX(Simulations!$T$3:$T$62,MATCH($A251,Simulations!$A$3:$A$62,0))^2*INDEX(Simulations!$U$3:$U$62,MATCH($A251,Simulations!$A$3:$A$62,0))/2^1.5*(2/3*LN($G251/INDEX(Simulations!$J$3:$J$62,MATCH($A251,Simulations!$A$3:$A$62,0)))^1.5+SQRT(LN($G251/INDEX(Simulations!$J$3:$J$62,MATCH($A251,Simulations!$A$3:$A$62,0))))+$G251/INDEX(Simulations!$J$3:$J$62,MATCH($A251,Simulations!$A$3:$A$62,0))*SQRT(PI())/2*ERFC(SQRT(LN($G251/INDEX(Simulations!$J$3:$J$62,MATCH($A251,Simulations!$A$3:$A$62,0)))))),PI()*INDEX(Simulations!$T$3:$T$62,MATCH($A251,Simulations!$A$3:$A$62,0))^2/2*(LN($G251/INDEX(Simulations!$J$3:$J$62,MATCH($A251,Simulations!$A$3:$A$62,0)))+1)))))</f>
        <v/>
      </c>
      <c r="T251" s="16" t="str">
        <f aca="false">IF(OR($A251="",ISNA(MATCH($A251,Simulations!$A$3:$A$62,0))),"",IF(N($H251)&lt;=0,0,IF($H251&lt;INDEX(Simulations!$J$3:$J$62,MATCH($A251,Simulations!$A$3:$A$62,0)),$D251/(INDEX(Simulations!$G$3:$G$62,MATCH($A251,Simulations!$A$3:$A$62,0))*INDEX(Simulations!$H$3:$H$62,MATCH($A251,Simulations!$A$3:$A$62,0))*IF(INDEX(Simulations!$I$3:$I$62,MATCH($A251,Simulations!$A$3:$A$62,0))&gt;0,INDEX(Simulations!$I$3:$I$62,MATCH($A251,Simulations!$A$3:$A$62,0)),1))*$H251*(PI()/2*INDEX(Simulations!$T$3:$T$62,MATCH($A251,Simulations!$A$3:$A$62,0))^2*IF(INDEX(Simulations!$I$3:$I$62,MATCH($A251,Simulations!$A$3:$A$62,0))&gt;0,SQRT(PI()/2)*INDEX(Simulations!$U$3:$U$62,MATCH($A251,Simulations!$A$3:$A$62,0)),1)),$D251/(INDEX(Simulations!$G$3:$G$62,MATCH($A251,Simulations!$A$3:$A$62,0))*INDEX(Simulations!$H$3:$H$62,MATCH($A251,Simulations!$A$3:$A$62,0))*IF(INDEX(Simulations!$I$3:$I$62,MATCH($A251,Simulations!$A$3:$A$62,0))&gt;0,INDEX(Simulations!$I$3:$I$62,MATCH($A251,Simulations!$A$3:$A$62,0)),1))*INDEX(Simulations!$J$3:$J$62,MATCH($A251,Simulations!$A$3:$A$62,0))*IF(INDEX(Simulations!$I$3:$I$62,MATCH($A251,Simulations!$A$3:$A$62,0))&gt;0,2*PI()*INDEX(Simulations!$T$3:$T$62,MATCH($A251,Simulations!$A$3:$A$62,0))^2*INDEX(Simulations!$U$3:$U$62,MATCH($A251,Simulations!$A$3:$A$62,0))/2^1.5*(2/3*LN($H251/INDEX(Simulations!$J$3:$J$62,MATCH($A251,Simulations!$A$3:$A$62,0)))^1.5+SQRT(LN($H251/INDEX(Simulations!$J$3:$J$62,MATCH($A251,Simulations!$A$3:$A$62,0))))+$H251/INDEX(Simulations!$J$3:$J$62,MATCH($A251,Simulations!$A$3:$A$62,0))*SQRT(PI())/2*ERFC(SQRT(LN($H251/INDEX(Simulations!$J$3:$J$62,MATCH($A251,Simulations!$A$3:$A$62,0)))))),PI()*INDEX(Simulations!$T$3:$T$62,MATCH($A251,Simulations!$A$3:$A$62,0))^2/2*(LN($H251/INDEX(Simulations!$J$3:$J$62,MATCH($A251,Simulations!$A$3:$A$62,0)))+1)))))</f>
        <v/>
      </c>
      <c r="U251" s="18" t="str">
        <f aca="false">IF(OR(OR($A251="",ISNA(MATCH($A251,Simulations!$A$3:$A$62,0))),N($C251)&lt;=0),"",SQRT(2*$C251*1000000/(INDEX(Simulations!$J$3:$J$62,MATCH($A251,Simulations!$A$3:$A$62,0))*1000))/INDEX(Simulations!$T$3:$T$62,MATCH($A251,Simulations!$A$3:$A$62,0)))</f>
        <v/>
      </c>
      <c r="V251" s="19" t="str">
        <f aca="false">IF($A251="","",IF(ISNA(MATCH($A251,Simulations!$A$3:$A$62,0)),"✖ Sim ID not found on the Simulations sheet",IF($P251&gt;=1,"✖ brightness &gt;= sampling frequency: completely saturated (D too small, c too large)",IF($P251&gt;0.1,"⚠ brightness &gt; 10% of the sampling frequency: focus starts to saturate",IF(N($U251)&gt;0.1,"⚠ diffusion step &gt; 10% of wr: raise the sampling frequency",IF(MAX($E251:$H251)=0,"⚠ no brightness set","✔ OK"))))))</f>
        <v/>
      </c>
    </row>
    <row r="252" customFormat="false" ht="15" hidden="false" customHeight="false" outlineLevel="0" collapsed="false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4"/>
      <c r="O252" s="18" t="str">
        <f aca="false">IF(OR($A252="",ISNA(MATCH($A252,Simulations!$A$3:$A$62,0))),"",IF(INDEX(Simulations!$I$3:$I$62,MATCH($A252,Simulations!$A$3:$A$62,0))&gt;0,$D252/(INDEX(Simulations!$G$3:$G$62,MATCH($A252,Simulations!$A$3:$A$62,0))*INDEX(Simulations!$H$3:$H$62,MATCH($A252,Simulations!$A$3:$A$62,0))*IF(INDEX(Simulations!$I$3:$I$62,MATCH($A252,Simulations!$A$3:$A$62,0))&gt;0,INDEX(Simulations!$I$3:$I$62,MATCH($A252,Simulations!$A$3:$A$62,0)),1))/1E-024/6.022E+023/0.000000001,""))</f>
        <v/>
      </c>
      <c r="P252" s="20" t="str">
        <f aca="false">IF(OR($A252="",ISNA(MATCH($A252,Simulations!$A$3:$A$62,0))),"",MAX($E252:$H252)/INDEX(Simulations!$J$3:$J$62,MATCH($A252,Simulations!$A$3:$A$62,0)))</f>
        <v/>
      </c>
      <c r="Q252" s="16" t="str">
        <f aca="false">IF(OR($A252="",ISNA(MATCH($A252,Simulations!$A$3:$A$62,0))),"",IF(N($E252)&lt;=0,0,IF($E252&lt;INDEX(Simulations!$J$3:$J$62,MATCH($A252,Simulations!$A$3:$A$62,0)),$D252/(INDEX(Simulations!$G$3:$G$62,MATCH($A252,Simulations!$A$3:$A$62,0))*INDEX(Simulations!$H$3:$H$62,MATCH($A252,Simulations!$A$3:$A$62,0))*IF(INDEX(Simulations!$I$3:$I$62,MATCH($A252,Simulations!$A$3:$A$62,0))&gt;0,INDEX(Simulations!$I$3:$I$62,MATCH($A252,Simulations!$A$3:$A$62,0)),1))*$E252*(PI()/2*INDEX(Simulations!$T$3:$T$62,MATCH($A252,Simulations!$A$3:$A$62,0))^2*IF(INDEX(Simulations!$I$3:$I$62,MATCH($A252,Simulations!$A$3:$A$62,0))&gt;0,SQRT(PI()/2)*INDEX(Simulations!$U$3:$U$62,MATCH($A252,Simulations!$A$3:$A$62,0)),1)),$D252/(INDEX(Simulations!$G$3:$G$62,MATCH($A252,Simulations!$A$3:$A$62,0))*INDEX(Simulations!$H$3:$H$62,MATCH($A252,Simulations!$A$3:$A$62,0))*IF(INDEX(Simulations!$I$3:$I$62,MATCH($A252,Simulations!$A$3:$A$62,0))&gt;0,INDEX(Simulations!$I$3:$I$62,MATCH($A252,Simulations!$A$3:$A$62,0)),1))*INDEX(Simulations!$J$3:$J$62,MATCH($A252,Simulations!$A$3:$A$62,0))*IF(INDEX(Simulations!$I$3:$I$62,MATCH($A252,Simulations!$A$3:$A$62,0))&gt;0,2*PI()*INDEX(Simulations!$T$3:$T$62,MATCH($A252,Simulations!$A$3:$A$62,0))^2*INDEX(Simulations!$U$3:$U$62,MATCH($A252,Simulations!$A$3:$A$62,0))/2^1.5*(2/3*LN($E252/INDEX(Simulations!$J$3:$J$62,MATCH($A252,Simulations!$A$3:$A$62,0)))^1.5+SQRT(LN($E252/INDEX(Simulations!$J$3:$J$62,MATCH($A252,Simulations!$A$3:$A$62,0))))+$E252/INDEX(Simulations!$J$3:$J$62,MATCH($A252,Simulations!$A$3:$A$62,0))*SQRT(PI())/2*ERFC(SQRT(LN($E252/INDEX(Simulations!$J$3:$J$62,MATCH($A252,Simulations!$A$3:$A$62,0)))))),PI()*INDEX(Simulations!$T$3:$T$62,MATCH($A252,Simulations!$A$3:$A$62,0))^2/2*(LN($E252/INDEX(Simulations!$J$3:$J$62,MATCH($A252,Simulations!$A$3:$A$62,0)))+1)))))</f>
        <v/>
      </c>
      <c r="R252" s="16" t="str">
        <f aca="false">IF(OR($A252="",ISNA(MATCH($A252,Simulations!$A$3:$A$62,0))),"",IF(N($F252)&lt;=0,0,IF($F252&lt;INDEX(Simulations!$J$3:$J$62,MATCH($A252,Simulations!$A$3:$A$62,0)),$D252/(INDEX(Simulations!$G$3:$G$62,MATCH($A252,Simulations!$A$3:$A$62,0))*INDEX(Simulations!$H$3:$H$62,MATCH($A252,Simulations!$A$3:$A$62,0))*IF(INDEX(Simulations!$I$3:$I$62,MATCH($A252,Simulations!$A$3:$A$62,0))&gt;0,INDEX(Simulations!$I$3:$I$62,MATCH($A252,Simulations!$A$3:$A$62,0)),1))*$F252*(PI()/2*INDEX(Simulations!$T$3:$T$62,MATCH($A252,Simulations!$A$3:$A$62,0))^2*IF(INDEX(Simulations!$I$3:$I$62,MATCH($A252,Simulations!$A$3:$A$62,0))&gt;0,SQRT(PI()/2)*INDEX(Simulations!$U$3:$U$62,MATCH($A252,Simulations!$A$3:$A$62,0)),1)),$D252/(INDEX(Simulations!$G$3:$G$62,MATCH($A252,Simulations!$A$3:$A$62,0))*INDEX(Simulations!$H$3:$H$62,MATCH($A252,Simulations!$A$3:$A$62,0))*IF(INDEX(Simulations!$I$3:$I$62,MATCH($A252,Simulations!$A$3:$A$62,0))&gt;0,INDEX(Simulations!$I$3:$I$62,MATCH($A252,Simulations!$A$3:$A$62,0)),1))*INDEX(Simulations!$J$3:$J$62,MATCH($A252,Simulations!$A$3:$A$62,0))*IF(INDEX(Simulations!$I$3:$I$62,MATCH($A252,Simulations!$A$3:$A$62,0))&gt;0,2*PI()*INDEX(Simulations!$T$3:$T$62,MATCH($A252,Simulations!$A$3:$A$62,0))^2*INDEX(Simulations!$U$3:$U$62,MATCH($A252,Simulations!$A$3:$A$62,0))/2^1.5*(2/3*LN($F252/INDEX(Simulations!$J$3:$J$62,MATCH($A252,Simulations!$A$3:$A$62,0)))^1.5+SQRT(LN($F252/INDEX(Simulations!$J$3:$J$62,MATCH($A252,Simulations!$A$3:$A$62,0))))+$F252/INDEX(Simulations!$J$3:$J$62,MATCH($A252,Simulations!$A$3:$A$62,0))*SQRT(PI())/2*ERFC(SQRT(LN($F252/INDEX(Simulations!$J$3:$J$62,MATCH($A252,Simulations!$A$3:$A$62,0)))))),PI()*INDEX(Simulations!$T$3:$T$62,MATCH($A252,Simulations!$A$3:$A$62,0))^2/2*(LN($F252/INDEX(Simulations!$J$3:$J$62,MATCH($A252,Simulations!$A$3:$A$62,0)))+1)))))</f>
        <v/>
      </c>
      <c r="S252" s="16" t="str">
        <f aca="false">IF(OR($A252="",ISNA(MATCH($A252,Simulations!$A$3:$A$62,0))),"",IF(N($G252)&lt;=0,0,IF($G252&lt;INDEX(Simulations!$J$3:$J$62,MATCH($A252,Simulations!$A$3:$A$62,0)),$D252/(INDEX(Simulations!$G$3:$G$62,MATCH($A252,Simulations!$A$3:$A$62,0))*INDEX(Simulations!$H$3:$H$62,MATCH($A252,Simulations!$A$3:$A$62,0))*IF(INDEX(Simulations!$I$3:$I$62,MATCH($A252,Simulations!$A$3:$A$62,0))&gt;0,INDEX(Simulations!$I$3:$I$62,MATCH($A252,Simulations!$A$3:$A$62,0)),1))*$G252*(PI()/2*INDEX(Simulations!$T$3:$T$62,MATCH($A252,Simulations!$A$3:$A$62,0))^2*IF(INDEX(Simulations!$I$3:$I$62,MATCH($A252,Simulations!$A$3:$A$62,0))&gt;0,SQRT(PI()/2)*INDEX(Simulations!$U$3:$U$62,MATCH($A252,Simulations!$A$3:$A$62,0)),1)),$D252/(INDEX(Simulations!$G$3:$G$62,MATCH($A252,Simulations!$A$3:$A$62,0))*INDEX(Simulations!$H$3:$H$62,MATCH($A252,Simulations!$A$3:$A$62,0))*IF(INDEX(Simulations!$I$3:$I$62,MATCH($A252,Simulations!$A$3:$A$62,0))&gt;0,INDEX(Simulations!$I$3:$I$62,MATCH($A252,Simulations!$A$3:$A$62,0)),1))*INDEX(Simulations!$J$3:$J$62,MATCH($A252,Simulations!$A$3:$A$62,0))*IF(INDEX(Simulations!$I$3:$I$62,MATCH($A252,Simulations!$A$3:$A$62,0))&gt;0,2*PI()*INDEX(Simulations!$T$3:$T$62,MATCH($A252,Simulations!$A$3:$A$62,0))^2*INDEX(Simulations!$U$3:$U$62,MATCH($A252,Simulations!$A$3:$A$62,0))/2^1.5*(2/3*LN($G252/INDEX(Simulations!$J$3:$J$62,MATCH($A252,Simulations!$A$3:$A$62,0)))^1.5+SQRT(LN($G252/INDEX(Simulations!$J$3:$J$62,MATCH($A252,Simulations!$A$3:$A$62,0))))+$G252/INDEX(Simulations!$J$3:$J$62,MATCH($A252,Simulations!$A$3:$A$62,0))*SQRT(PI())/2*ERFC(SQRT(LN($G252/INDEX(Simulations!$J$3:$J$62,MATCH($A252,Simulations!$A$3:$A$62,0)))))),PI()*INDEX(Simulations!$T$3:$T$62,MATCH($A252,Simulations!$A$3:$A$62,0))^2/2*(LN($G252/INDEX(Simulations!$J$3:$J$62,MATCH($A252,Simulations!$A$3:$A$62,0)))+1)))))</f>
        <v/>
      </c>
      <c r="T252" s="16" t="str">
        <f aca="false">IF(OR($A252="",ISNA(MATCH($A252,Simulations!$A$3:$A$62,0))),"",IF(N($H252)&lt;=0,0,IF($H252&lt;INDEX(Simulations!$J$3:$J$62,MATCH($A252,Simulations!$A$3:$A$62,0)),$D252/(INDEX(Simulations!$G$3:$G$62,MATCH($A252,Simulations!$A$3:$A$62,0))*INDEX(Simulations!$H$3:$H$62,MATCH($A252,Simulations!$A$3:$A$62,0))*IF(INDEX(Simulations!$I$3:$I$62,MATCH($A252,Simulations!$A$3:$A$62,0))&gt;0,INDEX(Simulations!$I$3:$I$62,MATCH($A252,Simulations!$A$3:$A$62,0)),1))*$H252*(PI()/2*INDEX(Simulations!$T$3:$T$62,MATCH($A252,Simulations!$A$3:$A$62,0))^2*IF(INDEX(Simulations!$I$3:$I$62,MATCH($A252,Simulations!$A$3:$A$62,0))&gt;0,SQRT(PI()/2)*INDEX(Simulations!$U$3:$U$62,MATCH($A252,Simulations!$A$3:$A$62,0)),1)),$D252/(INDEX(Simulations!$G$3:$G$62,MATCH($A252,Simulations!$A$3:$A$62,0))*INDEX(Simulations!$H$3:$H$62,MATCH($A252,Simulations!$A$3:$A$62,0))*IF(INDEX(Simulations!$I$3:$I$62,MATCH($A252,Simulations!$A$3:$A$62,0))&gt;0,INDEX(Simulations!$I$3:$I$62,MATCH($A252,Simulations!$A$3:$A$62,0)),1))*INDEX(Simulations!$J$3:$J$62,MATCH($A252,Simulations!$A$3:$A$62,0))*IF(INDEX(Simulations!$I$3:$I$62,MATCH($A252,Simulations!$A$3:$A$62,0))&gt;0,2*PI()*INDEX(Simulations!$T$3:$T$62,MATCH($A252,Simulations!$A$3:$A$62,0))^2*INDEX(Simulations!$U$3:$U$62,MATCH($A252,Simulations!$A$3:$A$62,0))/2^1.5*(2/3*LN($H252/INDEX(Simulations!$J$3:$J$62,MATCH($A252,Simulations!$A$3:$A$62,0)))^1.5+SQRT(LN($H252/INDEX(Simulations!$J$3:$J$62,MATCH($A252,Simulations!$A$3:$A$62,0))))+$H252/INDEX(Simulations!$J$3:$J$62,MATCH($A252,Simulations!$A$3:$A$62,0))*SQRT(PI())/2*ERFC(SQRT(LN($H252/INDEX(Simulations!$J$3:$J$62,MATCH($A252,Simulations!$A$3:$A$62,0)))))),PI()*INDEX(Simulations!$T$3:$T$62,MATCH($A252,Simulations!$A$3:$A$62,0))^2/2*(LN($H252/INDEX(Simulations!$J$3:$J$62,MATCH($A252,Simulations!$A$3:$A$62,0)))+1)))))</f>
        <v/>
      </c>
      <c r="U252" s="18" t="str">
        <f aca="false">IF(OR(OR($A252="",ISNA(MATCH($A252,Simulations!$A$3:$A$62,0))),N($C252)&lt;=0),"",SQRT(2*$C252*1000000/(INDEX(Simulations!$J$3:$J$62,MATCH($A252,Simulations!$A$3:$A$62,0))*1000))/INDEX(Simulations!$T$3:$T$62,MATCH($A252,Simulations!$A$3:$A$62,0)))</f>
        <v/>
      </c>
      <c r="V252" s="19" t="str">
        <f aca="false">IF($A252="","",IF(ISNA(MATCH($A252,Simulations!$A$3:$A$62,0)),"✖ Sim ID not found on the Simulations sheet",IF($P252&gt;=1,"✖ brightness &gt;= sampling frequency: completely saturated (D too small, c too large)",IF($P252&gt;0.1,"⚠ brightness &gt; 10% of the sampling frequency: focus starts to saturate",IF(N($U252)&gt;0.1,"⚠ diffusion step &gt; 10% of wr: raise the sampling frequency",IF(MAX($E252:$H252)=0,"⚠ no brightness set","✔ OK"))))))</f>
        <v/>
      </c>
    </row>
    <row r="253" customFormat="false" ht="15" hidden="false" customHeight="false" outlineLevel="0" collapsed="false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4"/>
      <c r="O253" s="18" t="str">
        <f aca="false">IF(OR($A253="",ISNA(MATCH($A253,Simulations!$A$3:$A$62,0))),"",IF(INDEX(Simulations!$I$3:$I$62,MATCH($A253,Simulations!$A$3:$A$62,0))&gt;0,$D253/(INDEX(Simulations!$G$3:$G$62,MATCH($A253,Simulations!$A$3:$A$62,0))*INDEX(Simulations!$H$3:$H$62,MATCH($A253,Simulations!$A$3:$A$62,0))*IF(INDEX(Simulations!$I$3:$I$62,MATCH($A253,Simulations!$A$3:$A$62,0))&gt;0,INDEX(Simulations!$I$3:$I$62,MATCH($A253,Simulations!$A$3:$A$62,0)),1))/1E-024/6.022E+023/0.000000001,""))</f>
        <v/>
      </c>
      <c r="P253" s="20" t="str">
        <f aca="false">IF(OR($A253="",ISNA(MATCH($A253,Simulations!$A$3:$A$62,0))),"",MAX($E253:$H253)/INDEX(Simulations!$J$3:$J$62,MATCH($A253,Simulations!$A$3:$A$62,0)))</f>
        <v/>
      </c>
      <c r="Q253" s="16" t="str">
        <f aca="false">IF(OR($A253="",ISNA(MATCH($A253,Simulations!$A$3:$A$62,0))),"",IF(N($E253)&lt;=0,0,IF($E253&lt;INDEX(Simulations!$J$3:$J$62,MATCH($A253,Simulations!$A$3:$A$62,0)),$D253/(INDEX(Simulations!$G$3:$G$62,MATCH($A253,Simulations!$A$3:$A$62,0))*INDEX(Simulations!$H$3:$H$62,MATCH($A253,Simulations!$A$3:$A$62,0))*IF(INDEX(Simulations!$I$3:$I$62,MATCH($A253,Simulations!$A$3:$A$62,0))&gt;0,INDEX(Simulations!$I$3:$I$62,MATCH($A253,Simulations!$A$3:$A$62,0)),1))*$E253*(PI()/2*INDEX(Simulations!$T$3:$T$62,MATCH($A253,Simulations!$A$3:$A$62,0))^2*IF(INDEX(Simulations!$I$3:$I$62,MATCH($A253,Simulations!$A$3:$A$62,0))&gt;0,SQRT(PI()/2)*INDEX(Simulations!$U$3:$U$62,MATCH($A253,Simulations!$A$3:$A$62,0)),1)),$D253/(INDEX(Simulations!$G$3:$G$62,MATCH($A253,Simulations!$A$3:$A$62,0))*INDEX(Simulations!$H$3:$H$62,MATCH($A253,Simulations!$A$3:$A$62,0))*IF(INDEX(Simulations!$I$3:$I$62,MATCH($A253,Simulations!$A$3:$A$62,0))&gt;0,INDEX(Simulations!$I$3:$I$62,MATCH($A253,Simulations!$A$3:$A$62,0)),1))*INDEX(Simulations!$J$3:$J$62,MATCH($A253,Simulations!$A$3:$A$62,0))*IF(INDEX(Simulations!$I$3:$I$62,MATCH($A253,Simulations!$A$3:$A$62,0))&gt;0,2*PI()*INDEX(Simulations!$T$3:$T$62,MATCH($A253,Simulations!$A$3:$A$62,0))^2*INDEX(Simulations!$U$3:$U$62,MATCH($A253,Simulations!$A$3:$A$62,0))/2^1.5*(2/3*LN($E253/INDEX(Simulations!$J$3:$J$62,MATCH($A253,Simulations!$A$3:$A$62,0)))^1.5+SQRT(LN($E253/INDEX(Simulations!$J$3:$J$62,MATCH($A253,Simulations!$A$3:$A$62,0))))+$E253/INDEX(Simulations!$J$3:$J$62,MATCH($A253,Simulations!$A$3:$A$62,0))*SQRT(PI())/2*ERFC(SQRT(LN($E253/INDEX(Simulations!$J$3:$J$62,MATCH($A253,Simulations!$A$3:$A$62,0)))))),PI()*INDEX(Simulations!$T$3:$T$62,MATCH($A253,Simulations!$A$3:$A$62,0))^2/2*(LN($E253/INDEX(Simulations!$J$3:$J$62,MATCH($A253,Simulations!$A$3:$A$62,0)))+1)))))</f>
        <v/>
      </c>
      <c r="R253" s="16" t="str">
        <f aca="false">IF(OR($A253="",ISNA(MATCH($A253,Simulations!$A$3:$A$62,0))),"",IF(N($F253)&lt;=0,0,IF($F253&lt;INDEX(Simulations!$J$3:$J$62,MATCH($A253,Simulations!$A$3:$A$62,0)),$D253/(INDEX(Simulations!$G$3:$G$62,MATCH($A253,Simulations!$A$3:$A$62,0))*INDEX(Simulations!$H$3:$H$62,MATCH($A253,Simulations!$A$3:$A$62,0))*IF(INDEX(Simulations!$I$3:$I$62,MATCH($A253,Simulations!$A$3:$A$62,0))&gt;0,INDEX(Simulations!$I$3:$I$62,MATCH($A253,Simulations!$A$3:$A$62,0)),1))*$F253*(PI()/2*INDEX(Simulations!$T$3:$T$62,MATCH($A253,Simulations!$A$3:$A$62,0))^2*IF(INDEX(Simulations!$I$3:$I$62,MATCH($A253,Simulations!$A$3:$A$62,0))&gt;0,SQRT(PI()/2)*INDEX(Simulations!$U$3:$U$62,MATCH($A253,Simulations!$A$3:$A$62,0)),1)),$D253/(INDEX(Simulations!$G$3:$G$62,MATCH($A253,Simulations!$A$3:$A$62,0))*INDEX(Simulations!$H$3:$H$62,MATCH($A253,Simulations!$A$3:$A$62,0))*IF(INDEX(Simulations!$I$3:$I$62,MATCH($A253,Simulations!$A$3:$A$62,0))&gt;0,INDEX(Simulations!$I$3:$I$62,MATCH($A253,Simulations!$A$3:$A$62,0)),1))*INDEX(Simulations!$J$3:$J$62,MATCH($A253,Simulations!$A$3:$A$62,0))*IF(INDEX(Simulations!$I$3:$I$62,MATCH($A253,Simulations!$A$3:$A$62,0))&gt;0,2*PI()*INDEX(Simulations!$T$3:$T$62,MATCH($A253,Simulations!$A$3:$A$62,0))^2*INDEX(Simulations!$U$3:$U$62,MATCH($A253,Simulations!$A$3:$A$62,0))/2^1.5*(2/3*LN($F253/INDEX(Simulations!$J$3:$J$62,MATCH($A253,Simulations!$A$3:$A$62,0)))^1.5+SQRT(LN($F253/INDEX(Simulations!$J$3:$J$62,MATCH($A253,Simulations!$A$3:$A$62,0))))+$F253/INDEX(Simulations!$J$3:$J$62,MATCH($A253,Simulations!$A$3:$A$62,0))*SQRT(PI())/2*ERFC(SQRT(LN($F253/INDEX(Simulations!$J$3:$J$62,MATCH($A253,Simulations!$A$3:$A$62,0)))))),PI()*INDEX(Simulations!$T$3:$T$62,MATCH($A253,Simulations!$A$3:$A$62,0))^2/2*(LN($F253/INDEX(Simulations!$J$3:$J$62,MATCH($A253,Simulations!$A$3:$A$62,0)))+1)))))</f>
        <v/>
      </c>
      <c r="S253" s="16" t="str">
        <f aca="false">IF(OR($A253="",ISNA(MATCH($A253,Simulations!$A$3:$A$62,0))),"",IF(N($G253)&lt;=0,0,IF($G253&lt;INDEX(Simulations!$J$3:$J$62,MATCH($A253,Simulations!$A$3:$A$62,0)),$D253/(INDEX(Simulations!$G$3:$G$62,MATCH($A253,Simulations!$A$3:$A$62,0))*INDEX(Simulations!$H$3:$H$62,MATCH($A253,Simulations!$A$3:$A$62,0))*IF(INDEX(Simulations!$I$3:$I$62,MATCH($A253,Simulations!$A$3:$A$62,0))&gt;0,INDEX(Simulations!$I$3:$I$62,MATCH($A253,Simulations!$A$3:$A$62,0)),1))*$G253*(PI()/2*INDEX(Simulations!$T$3:$T$62,MATCH($A253,Simulations!$A$3:$A$62,0))^2*IF(INDEX(Simulations!$I$3:$I$62,MATCH($A253,Simulations!$A$3:$A$62,0))&gt;0,SQRT(PI()/2)*INDEX(Simulations!$U$3:$U$62,MATCH($A253,Simulations!$A$3:$A$62,0)),1)),$D253/(INDEX(Simulations!$G$3:$G$62,MATCH($A253,Simulations!$A$3:$A$62,0))*INDEX(Simulations!$H$3:$H$62,MATCH($A253,Simulations!$A$3:$A$62,0))*IF(INDEX(Simulations!$I$3:$I$62,MATCH($A253,Simulations!$A$3:$A$62,0))&gt;0,INDEX(Simulations!$I$3:$I$62,MATCH($A253,Simulations!$A$3:$A$62,0)),1))*INDEX(Simulations!$J$3:$J$62,MATCH($A253,Simulations!$A$3:$A$62,0))*IF(INDEX(Simulations!$I$3:$I$62,MATCH($A253,Simulations!$A$3:$A$62,0))&gt;0,2*PI()*INDEX(Simulations!$T$3:$T$62,MATCH($A253,Simulations!$A$3:$A$62,0))^2*INDEX(Simulations!$U$3:$U$62,MATCH($A253,Simulations!$A$3:$A$62,0))/2^1.5*(2/3*LN($G253/INDEX(Simulations!$J$3:$J$62,MATCH($A253,Simulations!$A$3:$A$62,0)))^1.5+SQRT(LN($G253/INDEX(Simulations!$J$3:$J$62,MATCH($A253,Simulations!$A$3:$A$62,0))))+$G253/INDEX(Simulations!$J$3:$J$62,MATCH($A253,Simulations!$A$3:$A$62,0))*SQRT(PI())/2*ERFC(SQRT(LN($G253/INDEX(Simulations!$J$3:$J$62,MATCH($A253,Simulations!$A$3:$A$62,0)))))),PI()*INDEX(Simulations!$T$3:$T$62,MATCH($A253,Simulations!$A$3:$A$62,0))^2/2*(LN($G253/INDEX(Simulations!$J$3:$J$62,MATCH($A253,Simulations!$A$3:$A$62,0)))+1)))))</f>
        <v/>
      </c>
      <c r="T253" s="16" t="str">
        <f aca="false">IF(OR($A253="",ISNA(MATCH($A253,Simulations!$A$3:$A$62,0))),"",IF(N($H253)&lt;=0,0,IF($H253&lt;INDEX(Simulations!$J$3:$J$62,MATCH($A253,Simulations!$A$3:$A$62,0)),$D253/(INDEX(Simulations!$G$3:$G$62,MATCH($A253,Simulations!$A$3:$A$62,0))*INDEX(Simulations!$H$3:$H$62,MATCH($A253,Simulations!$A$3:$A$62,0))*IF(INDEX(Simulations!$I$3:$I$62,MATCH($A253,Simulations!$A$3:$A$62,0))&gt;0,INDEX(Simulations!$I$3:$I$62,MATCH($A253,Simulations!$A$3:$A$62,0)),1))*$H253*(PI()/2*INDEX(Simulations!$T$3:$T$62,MATCH($A253,Simulations!$A$3:$A$62,0))^2*IF(INDEX(Simulations!$I$3:$I$62,MATCH($A253,Simulations!$A$3:$A$62,0))&gt;0,SQRT(PI()/2)*INDEX(Simulations!$U$3:$U$62,MATCH($A253,Simulations!$A$3:$A$62,0)),1)),$D253/(INDEX(Simulations!$G$3:$G$62,MATCH($A253,Simulations!$A$3:$A$62,0))*INDEX(Simulations!$H$3:$H$62,MATCH($A253,Simulations!$A$3:$A$62,0))*IF(INDEX(Simulations!$I$3:$I$62,MATCH($A253,Simulations!$A$3:$A$62,0))&gt;0,INDEX(Simulations!$I$3:$I$62,MATCH($A253,Simulations!$A$3:$A$62,0)),1))*INDEX(Simulations!$J$3:$J$62,MATCH($A253,Simulations!$A$3:$A$62,0))*IF(INDEX(Simulations!$I$3:$I$62,MATCH($A253,Simulations!$A$3:$A$62,0))&gt;0,2*PI()*INDEX(Simulations!$T$3:$T$62,MATCH($A253,Simulations!$A$3:$A$62,0))^2*INDEX(Simulations!$U$3:$U$62,MATCH($A253,Simulations!$A$3:$A$62,0))/2^1.5*(2/3*LN($H253/INDEX(Simulations!$J$3:$J$62,MATCH($A253,Simulations!$A$3:$A$62,0)))^1.5+SQRT(LN($H253/INDEX(Simulations!$J$3:$J$62,MATCH($A253,Simulations!$A$3:$A$62,0))))+$H253/INDEX(Simulations!$J$3:$J$62,MATCH($A253,Simulations!$A$3:$A$62,0))*SQRT(PI())/2*ERFC(SQRT(LN($H253/INDEX(Simulations!$J$3:$J$62,MATCH($A253,Simulations!$A$3:$A$62,0)))))),PI()*INDEX(Simulations!$T$3:$T$62,MATCH($A253,Simulations!$A$3:$A$62,0))^2/2*(LN($H253/INDEX(Simulations!$J$3:$J$62,MATCH($A253,Simulations!$A$3:$A$62,0)))+1)))))</f>
        <v/>
      </c>
      <c r="U253" s="18" t="str">
        <f aca="false">IF(OR(OR($A253="",ISNA(MATCH($A253,Simulations!$A$3:$A$62,0))),N($C253)&lt;=0),"",SQRT(2*$C253*1000000/(INDEX(Simulations!$J$3:$J$62,MATCH($A253,Simulations!$A$3:$A$62,0))*1000))/INDEX(Simulations!$T$3:$T$62,MATCH($A253,Simulations!$A$3:$A$62,0)))</f>
        <v/>
      </c>
      <c r="V253" s="19" t="str">
        <f aca="false">IF($A253="","",IF(ISNA(MATCH($A253,Simulations!$A$3:$A$62,0)),"✖ Sim ID not found on the Simulations sheet",IF($P253&gt;=1,"✖ brightness &gt;= sampling frequency: completely saturated (D too small, c too large)",IF($P253&gt;0.1,"⚠ brightness &gt; 10% of the sampling frequency: focus starts to saturate",IF(N($U253)&gt;0.1,"⚠ diffusion step &gt; 10% of wr: raise the sampling frequency",IF(MAX($E253:$H253)=0,"⚠ no brightness set","✔ OK"))))))</f>
        <v/>
      </c>
    </row>
    <row r="254" customFormat="false" ht="15" hidden="false" customHeight="false" outlineLevel="0" collapsed="false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4"/>
      <c r="O254" s="18" t="str">
        <f aca="false">IF(OR($A254="",ISNA(MATCH($A254,Simulations!$A$3:$A$62,0))),"",IF(INDEX(Simulations!$I$3:$I$62,MATCH($A254,Simulations!$A$3:$A$62,0))&gt;0,$D254/(INDEX(Simulations!$G$3:$G$62,MATCH($A254,Simulations!$A$3:$A$62,0))*INDEX(Simulations!$H$3:$H$62,MATCH($A254,Simulations!$A$3:$A$62,0))*IF(INDEX(Simulations!$I$3:$I$62,MATCH($A254,Simulations!$A$3:$A$62,0))&gt;0,INDEX(Simulations!$I$3:$I$62,MATCH($A254,Simulations!$A$3:$A$62,0)),1))/1E-024/6.022E+023/0.000000001,""))</f>
        <v/>
      </c>
      <c r="P254" s="20" t="str">
        <f aca="false">IF(OR($A254="",ISNA(MATCH($A254,Simulations!$A$3:$A$62,0))),"",MAX($E254:$H254)/INDEX(Simulations!$J$3:$J$62,MATCH($A254,Simulations!$A$3:$A$62,0)))</f>
        <v/>
      </c>
      <c r="Q254" s="16" t="str">
        <f aca="false">IF(OR($A254="",ISNA(MATCH($A254,Simulations!$A$3:$A$62,0))),"",IF(N($E254)&lt;=0,0,IF($E254&lt;INDEX(Simulations!$J$3:$J$62,MATCH($A254,Simulations!$A$3:$A$62,0)),$D254/(INDEX(Simulations!$G$3:$G$62,MATCH($A254,Simulations!$A$3:$A$62,0))*INDEX(Simulations!$H$3:$H$62,MATCH($A254,Simulations!$A$3:$A$62,0))*IF(INDEX(Simulations!$I$3:$I$62,MATCH($A254,Simulations!$A$3:$A$62,0))&gt;0,INDEX(Simulations!$I$3:$I$62,MATCH($A254,Simulations!$A$3:$A$62,0)),1))*$E254*(PI()/2*INDEX(Simulations!$T$3:$T$62,MATCH($A254,Simulations!$A$3:$A$62,0))^2*IF(INDEX(Simulations!$I$3:$I$62,MATCH($A254,Simulations!$A$3:$A$62,0))&gt;0,SQRT(PI()/2)*INDEX(Simulations!$U$3:$U$62,MATCH($A254,Simulations!$A$3:$A$62,0)),1)),$D254/(INDEX(Simulations!$G$3:$G$62,MATCH($A254,Simulations!$A$3:$A$62,0))*INDEX(Simulations!$H$3:$H$62,MATCH($A254,Simulations!$A$3:$A$62,0))*IF(INDEX(Simulations!$I$3:$I$62,MATCH($A254,Simulations!$A$3:$A$62,0))&gt;0,INDEX(Simulations!$I$3:$I$62,MATCH($A254,Simulations!$A$3:$A$62,0)),1))*INDEX(Simulations!$J$3:$J$62,MATCH($A254,Simulations!$A$3:$A$62,0))*IF(INDEX(Simulations!$I$3:$I$62,MATCH($A254,Simulations!$A$3:$A$62,0))&gt;0,2*PI()*INDEX(Simulations!$T$3:$T$62,MATCH($A254,Simulations!$A$3:$A$62,0))^2*INDEX(Simulations!$U$3:$U$62,MATCH($A254,Simulations!$A$3:$A$62,0))/2^1.5*(2/3*LN($E254/INDEX(Simulations!$J$3:$J$62,MATCH($A254,Simulations!$A$3:$A$62,0)))^1.5+SQRT(LN($E254/INDEX(Simulations!$J$3:$J$62,MATCH($A254,Simulations!$A$3:$A$62,0))))+$E254/INDEX(Simulations!$J$3:$J$62,MATCH($A254,Simulations!$A$3:$A$62,0))*SQRT(PI())/2*ERFC(SQRT(LN($E254/INDEX(Simulations!$J$3:$J$62,MATCH($A254,Simulations!$A$3:$A$62,0)))))),PI()*INDEX(Simulations!$T$3:$T$62,MATCH($A254,Simulations!$A$3:$A$62,0))^2/2*(LN($E254/INDEX(Simulations!$J$3:$J$62,MATCH($A254,Simulations!$A$3:$A$62,0)))+1)))))</f>
        <v/>
      </c>
      <c r="R254" s="16" t="str">
        <f aca="false">IF(OR($A254="",ISNA(MATCH($A254,Simulations!$A$3:$A$62,0))),"",IF(N($F254)&lt;=0,0,IF($F254&lt;INDEX(Simulations!$J$3:$J$62,MATCH($A254,Simulations!$A$3:$A$62,0)),$D254/(INDEX(Simulations!$G$3:$G$62,MATCH($A254,Simulations!$A$3:$A$62,0))*INDEX(Simulations!$H$3:$H$62,MATCH($A254,Simulations!$A$3:$A$62,0))*IF(INDEX(Simulations!$I$3:$I$62,MATCH($A254,Simulations!$A$3:$A$62,0))&gt;0,INDEX(Simulations!$I$3:$I$62,MATCH($A254,Simulations!$A$3:$A$62,0)),1))*$F254*(PI()/2*INDEX(Simulations!$T$3:$T$62,MATCH($A254,Simulations!$A$3:$A$62,0))^2*IF(INDEX(Simulations!$I$3:$I$62,MATCH($A254,Simulations!$A$3:$A$62,0))&gt;0,SQRT(PI()/2)*INDEX(Simulations!$U$3:$U$62,MATCH($A254,Simulations!$A$3:$A$62,0)),1)),$D254/(INDEX(Simulations!$G$3:$G$62,MATCH($A254,Simulations!$A$3:$A$62,0))*INDEX(Simulations!$H$3:$H$62,MATCH($A254,Simulations!$A$3:$A$62,0))*IF(INDEX(Simulations!$I$3:$I$62,MATCH($A254,Simulations!$A$3:$A$62,0))&gt;0,INDEX(Simulations!$I$3:$I$62,MATCH($A254,Simulations!$A$3:$A$62,0)),1))*INDEX(Simulations!$J$3:$J$62,MATCH($A254,Simulations!$A$3:$A$62,0))*IF(INDEX(Simulations!$I$3:$I$62,MATCH($A254,Simulations!$A$3:$A$62,0))&gt;0,2*PI()*INDEX(Simulations!$T$3:$T$62,MATCH($A254,Simulations!$A$3:$A$62,0))^2*INDEX(Simulations!$U$3:$U$62,MATCH($A254,Simulations!$A$3:$A$62,0))/2^1.5*(2/3*LN($F254/INDEX(Simulations!$J$3:$J$62,MATCH($A254,Simulations!$A$3:$A$62,0)))^1.5+SQRT(LN($F254/INDEX(Simulations!$J$3:$J$62,MATCH($A254,Simulations!$A$3:$A$62,0))))+$F254/INDEX(Simulations!$J$3:$J$62,MATCH($A254,Simulations!$A$3:$A$62,0))*SQRT(PI())/2*ERFC(SQRT(LN($F254/INDEX(Simulations!$J$3:$J$62,MATCH($A254,Simulations!$A$3:$A$62,0)))))),PI()*INDEX(Simulations!$T$3:$T$62,MATCH($A254,Simulations!$A$3:$A$62,0))^2/2*(LN($F254/INDEX(Simulations!$J$3:$J$62,MATCH($A254,Simulations!$A$3:$A$62,0)))+1)))))</f>
        <v/>
      </c>
      <c r="S254" s="16" t="str">
        <f aca="false">IF(OR($A254="",ISNA(MATCH($A254,Simulations!$A$3:$A$62,0))),"",IF(N($G254)&lt;=0,0,IF($G254&lt;INDEX(Simulations!$J$3:$J$62,MATCH($A254,Simulations!$A$3:$A$62,0)),$D254/(INDEX(Simulations!$G$3:$G$62,MATCH($A254,Simulations!$A$3:$A$62,0))*INDEX(Simulations!$H$3:$H$62,MATCH($A254,Simulations!$A$3:$A$62,0))*IF(INDEX(Simulations!$I$3:$I$62,MATCH($A254,Simulations!$A$3:$A$62,0))&gt;0,INDEX(Simulations!$I$3:$I$62,MATCH($A254,Simulations!$A$3:$A$62,0)),1))*$G254*(PI()/2*INDEX(Simulations!$T$3:$T$62,MATCH($A254,Simulations!$A$3:$A$62,0))^2*IF(INDEX(Simulations!$I$3:$I$62,MATCH($A254,Simulations!$A$3:$A$62,0))&gt;0,SQRT(PI()/2)*INDEX(Simulations!$U$3:$U$62,MATCH($A254,Simulations!$A$3:$A$62,0)),1)),$D254/(INDEX(Simulations!$G$3:$G$62,MATCH($A254,Simulations!$A$3:$A$62,0))*INDEX(Simulations!$H$3:$H$62,MATCH($A254,Simulations!$A$3:$A$62,0))*IF(INDEX(Simulations!$I$3:$I$62,MATCH($A254,Simulations!$A$3:$A$62,0))&gt;0,INDEX(Simulations!$I$3:$I$62,MATCH($A254,Simulations!$A$3:$A$62,0)),1))*INDEX(Simulations!$J$3:$J$62,MATCH($A254,Simulations!$A$3:$A$62,0))*IF(INDEX(Simulations!$I$3:$I$62,MATCH($A254,Simulations!$A$3:$A$62,0))&gt;0,2*PI()*INDEX(Simulations!$T$3:$T$62,MATCH($A254,Simulations!$A$3:$A$62,0))^2*INDEX(Simulations!$U$3:$U$62,MATCH($A254,Simulations!$A$3:$A$62,0))/2^1.5*(2/3*LN($G254/INDEX(Simulations!$J$3:$J$62,MATCH($A254,Simulations!$A$3:$A$62,0)))^1.5+SQRT(LN($G254/INDEX(Simulations!$J$3:$J$62,MATCH($A254,Simulations!$A$3:$A$62,0))))+$G254/INDEX(Simulations!$J$3:$J$62,MATCH($A254,Simulations!$A$3:$A$62,0))*SQRT(PI())/2*ERFC(SQRT(LN($G254/INDEX(Simulations!$J$3:$J$62,MATCH($A254,Simulations!$A$3:$A$62,0)))))),PI()*INDEX(Simulations!$T$3:$T$62,MATCH($A254,Simulations!$A$3:$A$62,0))^2/2*(LN($G254/INDEX(Simulations!$J$3:$J$62,MATCH($A254,Simulations!$A$3:$A$62,0)))+1)))))</f>
        <v/>
      </c>
      <c r="T254" s="16" t="str">
        <f aca="false">IF(OR($A254="",ISNA(MATCH($A254,Simulations!$A$3:$A$62,0))),"",IF(N($H254)&lt;=0,0,IF($H254&lt;INDEX(Simulations!$J$3:$J$62,MATCH($A254,Simulations!$A$3:$A$62,0)),$D254/(INDEX(Simulations!$G$3:$G$62,MATCH($A254,Simulations!$A$3:$A$62,0))*INDEX(Simulations!$H$3:$H$62,MATCH($A254,Simulations!$A$3:$A$62,0))*IF(INDEX(Simulations!$I$3:$I$62,MATCH($A254,Simulations!$A$3:$A$62,0))&gt;0,INDEX(Simulations!$I$3:$I$62,MATCH($A254,Simulations!$A$3:$A$62,0)),1))*$H254*(PI()/2*INDEX(Simulations!$T$3:$T$62,MATCH($A254,Simulations!$A$3:$A$62,0))^2*IF(INDEX(Simulations!$I$3:$I$62,MATCH($A254,Simulations!$A$3:$A$62,0))&gt;0,SQRT(PI()/2)*INDEX(Simulations!$U$3:$U$62,MATCH($A254,Simulations!$A$3:$A$62,0)),1)),$D254/(INDEX(Simulations!$G$3:$G$62,MATCH($A254,Simulations!$A$3:$A$62,0))*INDEX(Simulations!$H$3:$H$62,MATCH($A254,Simulations!$A$3:$A$62,0))*IF(INDEX(Simulations!$I$3:$I$62,MATCH($A254,Simulations!$A$3:$A$62,0))&gt;0,INDEX(Simulations!$I$3:$I$62,MATCH($A254,Simulations!$A$3:$A$62,0)),1))*INDEX(Simulations!$J$3:$J$62,MATCH($A254,Simulations!$A$3:$A$62,0))*IF(INDEX(Simulations!$I$3:$I$62,MATCH($A254,Simulations!$A$3:$A$62,0))&gt;0,2*PI()*INDEX(Simulations!$T$3:$T$62,MATCH($A254,Simulations!$A$3:$A$62,0))^2*INDEX(Simulations!$U$3:$U$62,MATCH($A254,Simulations!$A$3:$A$62,0))/2^1.5*(2/3*LN($H254/INDEX(Simulations!$J$3:$J$62,MATCH($A254,Simulations!$A$3:$A$62,0)))^1.5+SQRT(LN($H254/INDEX(Simulations!$J$3:$J$62,MATCH($A254,Simulations!$A$3:$A$62,0))))+$H254/INDEX(Simulations!$J$3:$J$62,MATCH($A254,Simulations!$A$3:$A$62,0))*SQRT(PI())/2*ERFC(SQRT(LN($H254/INDEX(Simulations!$J$3:$J$62,MATCH($A254,Simulations!$A$3:$A$62,0)))))),PI()*INDEX(Simulations!$T$3:$T$62,MATCH($A254,Simulations!$A$3:$A$62,0))^2/2*(LN($H254/INDEX(Simulations!$J$3:$J$62,MATCH($A254,Simulations!$A$3:$A$62,0)))+1)))))</f>
        <v/>
      </c>
      <c r="U254" s="18" t="str">
        <f aca="false">IF(OR(OR($A254="",ISNA(MATCH($A254,Simulations!$A$3:$A$62,0))),N($C254)&lt;=0),"",SQRT(2*$C254*1000000/(INDEX(Simulations!$J$3:$J$62,MATCH($A254,Simulations!$A$3:$A$62,0))*1000))/INDEX(Simulations!$T$3:$T$62,MATCH($A254,Simulations!$A$3:$A$62,0)))</f>
        <v/>
      </c>
      <c r="V254" s="19" t="str">
        <f aca="false">IF($A254="","",IF(ISNA(MATCH($A254,Simulations!$A$3:$A$62,0)),"✖ Sim ID not found on the Simulations sheet",IF($P254&gt;=1,"✖ brightness &gt;= sampling frequency: completely saturated (D too small, c too large)",IF($P254&gt;0.1,"⚠ brightness &gt; 10% of the sampling frequency: focus starts to saturate",IF(N($U254)&gt;0.1,"⚠ diffusion step &gt; 10% of wr: raise the sampling frequency",IF(MAX($E254:$H254)=0,"⚠ no brightness set","✔ OK"))))))</f>
        <v/>
      </c>
    </row>
    <row r="255" customFormat="false" ht="15" hidden="false" customHeight="false" outlineLevel="0" collapsed="false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4"/>
      <c r="O255" s="18" t="str">
        <f aca="false">IF(OR($A255="",ISNA(MATCH($A255,Simulations!$A$3:$A$62,0))),"",IF(INDEX(Simulations!$I$3:$I$62,MATCH($A255,Simulations!$A$3:$A$62,0))&gt;0,$D255/(INDEX(Simulations!$G$3:$G$62,MATCH($A255,Simulations!$A$3:$A$62,0))*INDEX(Simulations!$H$3:$H$62,MATCH($A255,Simulations!$A$3:$A$62,0))*IF(INDEX(Simulations!$I$3:$I$62,MATCH($A255,Simulations!$A$3:$A$62,0))&gt;0,INDEX(Simulations!$I$3:$I$62,MATCH($A255,Simulations!$A$3:$A$62,0)),1))/1E-024/6.022E+023/0.000000001,""))</f>
        <v/>
      </c>
      <c r="P255" s="20" t="str">
        <f aca="false">IF(OR($A255="",ISNA(MATCH($A255,Simulations!$A$3:$A$62,0))),"",MAX($E255:$H255)/INDEX(Simulations!$J$3:$J$62,MATCH($A255,Simulations!$A$3:$A$62,0)))</f>
        <v/>
      </c>
      <c r="Q255" s="16" t="str">
        <f aca="false">IF(OR($A255="",ISNA(MATCH($A255,Simulations!$A$3:$A$62,0))),"",IF(N($E255)&lt;=0,0,IF($E255&lt;INDEX(Simulations!$J$3:$J$62,MATCH($A255,Simulations!$A$3:$A$62,0)),$D255/(INDEX(Simulations!$G$3:$G$62,MATCH($A255,Simulations!$A$3:$A$62,0))*INDEX(Simulations!$H$3:$H$62,MATCH($A255,Simulations!$A$3:$A$62,0))*IF(INDEX(Simulations!$I$3:$I$62,MATCH($A255,Simulations!$A$3:$A$62,0))&gt;0,INDEX(Simulations!$I$3:$I$62,MATCH($A255,Simulations!$A$3:$A$62,0)),1))*$E255*(PI()/2*INDEX(Simulations!$T$3:$T$62,MATCH($A255,Simulations!$A$3:$A$62,0))^2*IF(INDEX(Simulations!$I$3:$I$62,MATCH($A255,Simulations!$A$3:$A$62,0))&gt;0,SQRT(PI()/2)*INDEX(Simulations!$U$3:$U$62,MATCH($A255,Simulations!$A$3:$A$62,0)),1)),$D255/(INDEX(Simulations!$G$3:$G$62,MATCH($A255,Simulations!$A$3:$A$62,0))*INDEX(Simulations!$H$3:$H$62,MATCH($A255,Simulations!$A$3:$A$62,0))*IF(INDEX(Simulations!$I$3:$I$62,MATCH($A255,Simulations!$A$3:$A$62,0))&gt;0,INDEX(Simulations!$I$3:$I$62,MATCH($A255,Simulations!$A$3:$A$62,0)),1))*INDEX(Simulations!$J$3:$J$62,MATCH($A255,Simulations!$A$3:$A$62,0))*IF(INDEX(Simulations!$I$3:$I$62,MATCH($A255,Simulations!$A$3:$A$62,0))&gt;0,2*PI()*INDEX(Simulations!$T$3:$T$62,MATCH($A255,Simulations!$A$3:$A$62,0))^2*INDEX(Simulations!$U$3:$U$62,MATCH($A255,Simulations!$A$3:$A$62,0))/2^1.5*(2/3*LN($E255/INDEX(Simulations!$J$3:$J$62,MATCH($A255,Simulations!$A$3:$A$62,0)))^1.5+SQRT(LN($E255/INDEX(Simulations!$J$3:$J$62,MATCH($A255,Simulations!$A$3:$A$62,0))))+$E255/INDEX(Simulations!$J$3:$J$62,MATCH($A255,Simulations!$A$3:$A$62,0))*SQRT(PI())/2*ERFC(SQRT(LN($E255/INDEX(Simulations!$J$3:$J$62,MATCH($A255,Simulations!$A$3:$A$62,0)))))),PI()*INDEX(Simulations!$T$3:$T$62,MATCH($A255,Simulations!$A$3:$A$62,0))^2/2*(LN($E255/INDEX(Simulations!$J$3:$J$62,MATCH($A255,Simulations!$A$3:$A$62,0)))+1)))))</f>
        <v/>
      </c>
      <c r="R255" s="16" t="str">
        <f aca="false">IF(OR($A255="",ISNA(MATCH($A255,Simulations!$A$3:$A$62,0))),"",IF(N($F255)&lt;=0,0,IF($F255&lt;INDEX(Simulations!$J$3:$J$62,MATCH($A255,Simulations!$A$3:$A$62,0)),$D255/(INDEX(Simulations!$G$3:$G$62,MATCH($A255,Simulations!$A$3:$A$62,0))*INDEX(Simulations!$H$3:$H$62,MATCH($A255,Simulations!$A$3:$A$62,0))*IF(INDEX(Simulations!$I$3:$I$62,MATCH($A255,Simulations!$A$3:$A$62,0))&gt;0,INDEX(Simulations!$I$3:$I$62,MATCH($A255,Simulations!$A$3:$A$62,0)),1))*$F255*(PI()/2*INDEX(Simulations!$T$3:$T$62,MATCH($A255,Simulations!$A$3:$A$62,0))^2*IF(INDEX(Simulations!$I$3:$I$62,MATCH($A255,Simulations!$A$3:$A$62,0))&gt;0,SQRT(PI()/2)*INDEX(Simulations!$U$3:$U$62,MATCH($A255,Simulations!$A$3:$A$62,0)),1)),$D255/(INDEX(Simulations!$G$3:$G$62,MATCH($A255,Simulations!$A$3:$A$62,0))*INDEX(Simulations!$H$3:$H$62,MATCH($A255,Simulations!$A$3:$A$62,0))*IF(INDEX(Simulations!$I$3:$I$62,MATCH($A255,Simulations!$A$3:$A$62,0))&gt;0,INDEX(Simulations!$I$3:$I$62,MATCH($A255,Simulations!$A$3:$A$62,0)),1))*INDEX(Simulations!$J$3:$J$62,MATCH($A255,Simulations!$A$3:$A$62,0))*IF(INDEX(Simulations!$I$3:$I$62,MATCH($A255,Simulations!$A$3:$A$62,0))&gt;0,2*PI()*INDEX(Simulations!$T$3:$T$62,MATCH($A255,Simulations!$A$3:$A$62,0))^2*INDEX(Simulations!$U$3:$U$62,MATCH($A255,Simulations!$A$3:$A$62,0))/2^1.5*(2/3*LN($F255/INDEX(Simulations!$J$3:$J$62,MATCH($A255,Simulations!$A$3:$A$62,0)))^1.5+SQRT(LN($F255/INDEX(Simulations!$J$3:$J$62,MATCH($A255,Simulations!$A$3:$A$62,0))))+$F255/INDEX(Simulations!$J$3:$J$62,MATCH($A255,Simulations!$A$3:$A$62,0))*SQRT(PI())/2*ERFC(SQRT(LN($F255/INDEX(Simulations!$J$3:$J$62,MATCH($A255,Simulations!$A$3:$A$62,0)))))),PI()*INDEX(Simulations!$T$3:$T$62,MATCH($A255,Simulations!$A$3:$A$62,0))^2/2*(LN($F255/INDEX(Simulations!$J$3:$J$62,MATCH($A255,Simulations!$A$3:$A$62,0)))+1)))))</f>
        <v/>
      </c>
      <c r="S255" s="16" t="str">
        <f aca="false">IF(OR($A255="",ISNA(MATCH($A255,Simulations!$A$3:$A$62,0))),"",IF(N($G255)&lt;=0,0,IF($G255&lt;INDEX(Simulations!$J$3:$J$62,MATCH($A255,Simulations!$A$3:$A$62,0)),$D255/(INDEX(Simulations!$G$3:$G$62,MATCH($A255,Simulations!$A$3:$A$62,0))*INDEX(Simulations!$H$3:$H$62,MATCH($A255,Simulations!$A$3:$A$62,0))*IF(INDEX(Simulations!$I$3:$I$62,MATCH($A255,Simulations!$A$3:$A$62,0))&gt;0,INDEX(Simulations!$I$3:$I$62,MATCH($A255,Simulations!$A$3:$A$62,0)),1))*$G255*(PI()/2*INDEX(Simulations!$T$3:$T$62,MATCH($A255,Simulations!$A$3:$A$62,0))^2*IF(INDEX(Simulations!$I$3:$I$62,MATCH($A255,Simulations!$A$3:$A$62,0))&gt;0,SQRT(PI()/2)*INDEX(Simulations!$U$3:$U$62,MATCH($A255,Simulations!$A$3:$A$62,0)),1)),$D255/(INDEX(Simulations!$G$3:$G$62,MATCH($A255,Simulations!$A$3:$A$62,0))*INDEX(Simulations!$H$3:$H$62,MATCH($A255,Simulations!$A$3:$A$62,0))*IF(INDEX(Simulations!$I$3:$I$62,MATCH($A255,Simulations!$A$3:$A$62,0))&gt;0,INDEX(Simulations!$I$3:$I$62,MATCH($A255,Simulations!$A$3:$A$62,0)),1))*INDEX(Simulations!$J$3:$J$62,MATCH($A255,Simulations!$A$3:$A$62,0))*IF(INDEX(Simulations!$I$3:$I$62,MATCH($A255,Simulations!$A$3:$A$62,0))&gt;0,2*PI()*INDEX(Simulations!$T$3:$T$62,MATCH($A255,Simulations!$A$3:$A$62,0))^2*INDEX(Simulations!$U$3:$U$62,MATCH($A255,Simulations!$A$3:$A$62,0))/2^1.5*(2/3*LN($G255/INDEX(Simulations!$J$3:$J$62,MATCH($A255,Simulations!$A$3:$A$62,0)))^1.5+SQRT(LN($G255/INDEX(Simulations!$J$3:$J$62,MATCH($A255,Simulations!$A$3:$A$62,0))))+$G255/INDEX(Simulations!$J$3:$J$62,MATCH($A255,Simulations!$A$3:$A$62,0))*SQRT(PI())/2*ERFC(SQRT(LN($G255/INDEX(Simulations!$J$3:$J$62,MATCH($A255,Simulations!$A$3:$A$62,0)))))),PI()*INDEX(Simulations!$T$3:$T$62,MATCH($A255,Simulations!$A$3:$A$62,0))^2/2*(LN($G255/INDEX(Simulations!$J$3:$J$62,MATCH($A255,Simulations!$A$3:$A$62,0)))+1)))))</f>
        <v/>
      </c>
      <c r="T255" s="16" t="str">
        <f aca="false">IF(OR($A255="",ISNA(MATCH($A255,Simulations!$A$3:$A$62,0))),"",IF(N($H255)&lt;=0,0,IF($H255&lt;INDEX(Simulations!$J$3:$J$62,MATCH($A255,Simulations!$A$3:$A$62,0)),$D255/(INDEX(Simulations!$G$3:$G$62,MATCH($A255,Simulations!$A$3:$A$62,0))*INDEX(Simulations!$H$3:$H$62,MATCH($A255,Simulations!$A$3:$A$62,0))*IF(INDEX(Simulations!$I$3:$I$62,MATCH($A255,Simulations!$A$3:$A$62,0))&gt;0,INDEX(Simulations!$I$3:$I$62,MATCH($A255,Simulations!$A$3:$A$62,0)),1))*$H255*(PI()/2*INDEX(Simulations!$T$3:$T$62,MATCH($A255,Simulations!$A$3:$A$62,0))^2*IF(INDEX(Simulations!$I$3:$I$62,MATCH($A255,Simulations!$A$3:$A$62,0))&gt;0,SQRT(PI()/2)*INDEX(Simulations!$U$3:$U$62,MATCH($A255,Simulations!$A$3:$A$62,0)),1)),$D255/(INDEX(Simulations!$G$3:$G$62,MATCH($A255,Simulations!$A$3:$A$62,0))*INDEX(Simulations!$H$3:$H$62,MATCH($A255,Simulations!$A$3:$A$62,0))*IF(INDEX(Simulations!$I$3:$I$62,MATCH($A255,Simulations!$A$3:$A$62,0))&gt;0,INDEX(Simulations!$I$3:$I$62,MATCH($A255,Simulations!$A$3:$A$62,0)),1))*INDEX(Simulations!$J$3:$J$62,MATCH($A255,Simulations!$A$3:$A$62,0))*IF(INDEX(Simulations!$I$3:$I$62,MATCH($A255,Simulations!$A$3:$A$62,0))&gt;0,2*PI()*INDEX(Simulations!$T$3:$T$62,MATCH($A255,Simulations!$A$3:$A$62,0))^2*INDEX(Simulations!$U$3:$U$62,MATCH($A255,Simulations!$A$3:$A$62,0))/2^1.5*(2/3*LN($H255/INDEX(Simulations!$J$3:$J$62,MATCH($A255,Simulations!$A$3:$A$62,0)))^1.5+SQRT(LN($H255/INDEX(Simulations!$J$3:$J$62,MATCH($A255,Simulations!$A$3:$A$62,0))))+$H255/INDEX(Simulations!$J$3:$J$62,MATCH($A255,Simulations!$A$3:$A$62,0))*SQRT(PI())/2*ERFC(SQRT(LN($H255/INDEX(Simulations!$J$3:$J$62,MATCH($A255,Simulations!$A$3:$A$62,0)))))),PI()*INDEX(Simulations!$T$3:$T$62,MATCH($A255,Simulations!$A$3:$A$62,0))^2/2*(LN($H255/INDEX(Simulations!$J$3:$J$62,MATCH($A255,Simulations!$A$3:$A$62,0)))+1)))))</f>
        <v/>
      </c>
      <c r="U255" s="18" t="str">
        <f aca="false">IF(OR(OR($A255="",ISNA(MATCH($A255,Simulations!$A$3:$A$62,0))),N($C255)&lt;=0),"",SQRT(2*$C255*1000000/(INDEX(Simulations!$J$3:$J$62,MATCH($A255,Simulations!$A$3:$A$62,0))*1000))/INDEX(Simulations!$T$3:$T$62,MATCH($A255,Simulations!$A$3:$A$62,0)))</f>
        <v/>
      </c>
      <c r="V255" s="19" t="str">
        <f aca="false">IF($A255="","",IF(ISNA(MATCH($A255,Simulations!$A$3:$A$62,0)),"✖ Sim ID not found on the Simulations sheet",IF($P255&gt;=1,"✖ brightness &gt;= sampling frequency: completely saturated (D too small, c too large)",IF($P255&gt;0.1,"⚠ brightness &gt; 10% of the sampling frequency: focus starts to saturate",IF(N($U255)&gt;0.1,"⚠ diffusion step &gt; 10% of wr: raise the sampling frequency",IF(MAX($E255:$H255)=0,"⚠ no brightness set","✔ OK"))))))</f>
        <v/>
      </c>
    </row>
    <row r="256" customFormat="false" ht="15" hidden="false" customHeight="false" outlineLevel="0" collapsed="false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4"/>
      <c r="O256" s="18" t="str">
        <f aca="false">IF(OR($A256="",ISNA(MATCH($A256,Simulations!$A$3:$A$62,0))),"",IF(INDEX(Simulations!$I$3:$I$62,MATCH($A256,Simulations!$A$3:$A$62,0))&gt;0,$D256/(INDEX(Simulations!$G$3:$G$62,MATCH($A256,Simulations!$A$3:$A$62,0))*INDEX(Simulations!$H$3:$H$62,MATCH($A256,Simulations!$A$3:$A$62,0))*IF(INDEX(Simulations!$I$3:$I$62,MATCH($A256,Simulations!$A$3:$A$62,0))&gt;0,INDEX(Simulations!$I$3:$I$62,MATCH($A256,Simulations!$A$3:$A$62,0)),1))/1E-024/6.022E+023/0.000000001,""))</f>
        <v/>
      </c>
      <c r="P256" s="20" t="str">
        <f aca="false">IF(OR($A256="",ISNA(MATCH($A256,Simulations!$A$3:$A$62,0))),"",MAX($E256:$H256)/INDEX(Simulations!$J$3:$J$62,MATCH($A256,Simulations!$A$3:$A$62,0)))</f>
        <v/>
      </c>
      <c r="Q256" s="16" t="str">
        <f aca="false">IF(OR($A256="",ISNA(MATCH($A256,Simulations!$A$3:$A$62,0))),"",IF(N($E256)&lt;=0,0,IF($E256&lt;INDEX(Simulations!$J$3:$J$62,MATCH($A256,Simulations!$A$3:$A$62,0)),$D256/(INDEX(Simulations!$G$3:$G$62,MATCH($A256,Simulations!$A$3:$A$62,0))*INDEX(Simulations!$H$3:$H$62,MATCH($A256,Simulations!$A$3:$A$62,0))*IF(INDEX(Simulations!$I$3:$I$62,MATCH($A256,Simulations!$A$3:$A$62,0))&gt;0,INDEX(Simulations!$I$3:$I$62,MATCH($A256,Simulations!$A$3:$A$62,0)),1))*$E256*(PI()/2*INDEX(Simulations!$T$3:$T$62,MATCH($A256,Simulations!$A$3:$A$62,0))^2*IF(INDEX(Simulations!$I$3:$I$62,MATCH($A256,Simulations!$A$3:$A$62,0))&gt;0,SQRT(PI()/2)*INDEX(Simulations!$U$3:$U$62,MATCH($A256,Simulations!$A$3:$A$62,0)),1)),$D256/(INDEX(Simulations!$G$3:$G$62,MATCH($A256,Simulations!$A$3:$A$62,0))*INDEX(Simulations!$H$3:$H$62,MATCH($A256,Simulations!$A$3:$A$62,0))*IF(INDEX(Simulations!$I$3:$I$62,MATCH($A256,Simulations!$A$3:$A$62,0))&gt;0,INDEX(Simulations!$I$3:$I$62,MATCH($A256,Simulations!$A$3:$A$62,0)),1))*INDEX(Simulations!$J$3:$J$62,MATCH($A256,Simulations!$A$3:$A$62,0))*IF(INDEX(Simulations!$I$3:$I$62,MATCH($A256,Simulations!$A$3:$A$62,0))&gt;0,2*PI()*INDEX(Simulations!$T$3:$T$62,MATCH($A256,Simulations!$A$3:$A$62,0))^2*INDEX(Simulations!$U$3:$U$62,MATCH($A256,Simulations!$A$3:$A$62,0))/2^1.5*(2/3*LN($E256/INDEX(Simulations!$J$3:$J$62,MATCH($A256,Simulations!$A$3:$A$62,0)))^1.5+SQRT(LN($E256/INDEX(Simulations!$J$3:$J$62,MATCH($A256,Simulations!$A$3:$A$62,0))))+$E256/INDEX(Simulations!$J$3:$J$62,MATCH($A256,Simulations!$A$3:$A$62,0))*SQRT(PI())/2*ERFC(SQRT(LN($E256/INDEX(Simulations!$J$3:$J$62,MATCH($A256,Simulations!$A$3:$A$62,0)))))),PI()*INDEX(Simulations!$T$3:$T$62,MATCH($A256,Simulations!$A$3:$A$62,0))^2/2*(LN($E256/INDEX(Simulations!$J$3:$J$62,MATCH($A256,Simulations!$A$3:$A$62,0)))+1)))))</f>
        <v/>
      </c>
      <c r="R256" s="16" t="str">
        <f aca="false">IF(OR($A256="",ISNA(MATCH($A256,Simulations!$A$3:$A$62,0))),"",IF(N($F256)&lt;=0,0,IF($F256&lt;INDEX(Simulations!$J$3:$J$62,MATCH($A256,Simulations!$A$3:$A$62,0)),$D256/(INDEX(Simulations!$G$3:$G$62,MATCH($A256,Simulations!$A$3:$A$62,0))*INDEX(Simulations!$H$3:$H$62,MATCH($A256,Simulations!$A$3:$A$62,0))*IF(INDEX(Simulations!$I$3:$I$62,MATCH($A256,Simulations!$A$3:$A$62,0))&gt;0,INDEX(Simulations!$I$3:$I$62,MATCH($A256,Simulations!$A$3:$A$62,0)),1))*$F256*(PI()/2*INDEX(Simulations!$T$3:$T$62,MATCH($A256,Simulations!$A$3:$A$62,0))^2*IF(INDEX(Simulations!$I$3:$I$62,MATCH($A256,Simulations!$A$3:$A$62,0))&gt;0,SQRT(PI()/2)*INDEX(Simulations!$U$3:$U$62,MATCH($A256,Simulations!$A$3:$A$62,0)),1)),$D256/(INDEX(Simulations!$G$3:$G$62,MATCH($A256,Simulations!$A$3:$A$62,0))*INDEX(Simulations!$H$3:$H$62,MATCH($A256,Simulations!$A$3:$A$62,0))*IF(INDEX(Simulations!$I$3:$I$62,MATCH($A256,Simulations!$A$3:$A$62,0))&gt;0,INDEX(Simulations!$I$3:$I$62,MATCH($A256,Simulations!$A$3:$A$62,0)),1))*INDEX(Simulations!$J$3:$J$62,MATCH($A256,Simulations!$A$3:$A$62,0))*IF(INDEX(Simulations!$I$3:$I$62,MATCH($A256,Simulations!$A$3:$A$62,0))&gt;0,2*PI()*INDEX(Simulations!$T$3:$T$62,MATCH($A256,Simulations!$A$3:$A$62,0))^2*INDEX(Simulations!$U$3:$U$62,MATCH($A256,Simulations!$A$3:$A$62,0))/2^1.5*(2/3*LN($F256/INDEX(Simulations!$J$3:$J$62,MATCH($A256,Simulations!$A$3:$A$62,0)))^1.5+SQRT(LN($F256/INDEX(Simulations!$J$3:$J$62,MATCH($A256,Simulations!$A$3:$A$62,0))))+$F256/INDEX(Simulations!$J$3:$J$62,MATCH($A256,Simulations!$A$3:$A$62,0))*SQRT(PI())/2*ERFC(SQRT(LN($F256/INDEX(Simulations!$J$3:$J$62,MATCH($A256,Simulations!$A$3:$A$62,0)))))),PI()*INDEX(Simulations!$T$3:$T$62,MATCH($A256,Simulations!$A$3:$A$62,0))^2/2*(LN($F256/INDEX(Simulations!$J$3:$J$62,MATCH($A256,Simulations!$A$3:$A$62,0)))+1)))))</f>
        <v/>
      </c>
      <c r="S256" s="16" t="str">
        <f aca="false">IF(OR($A256="",ISNA(MATCH($A256,Simulations!$A$3:$A$62,0))),"",IF(N($G256)&lt;=0,0,IF($G256&lt;INDEX(Simulations!$J$3:$J$62,MATCH($A256,Simulations!$A$3:$A$62,0)),$D256/(INDEX(Simulations!$G$3:$G$62,MATCH($A256,Simulations!$A$3:$A$62,0))*INDEX(Simulations!$H$3:$H$62,MATCH($A256,Simulations!$A$3:$A$62,0))*IF(INDEX(Simulations!$I$3:$I$62,MATCH($A256,Simulations!$A$3:$A$62,0))&gt;0,INDEX(Simulations!$I$3:$I$62,MATCH($A256,Simulations!$A$3:$A$62,0)),1))*$G256*(PI()/2*INDEX(Simulations!$T$3:$T$62,MATCH($A256,Simulations!$A$3:$A$62,0))^2*IF(INDEX(Simulations!$I$3:$I$62,MATCH($A256,Simulations!$A$3:$A$62,0))&gt;0,SQRT(PI()/2)*INDEX(Simulations!$U$3:$U$62,MATCH($A256,Simulations!$A$3:$A$62,0)),1)),$D256/(INDEX(Simulations!$G$3:$G$62,MATCH($A256,Simulations!$A$3:$A$62,0))*INDEX(Simulations!$H$3:$H$62,MATCH($A256,Simulations!$A$3:$A$62,0))*IF(INDEX(Simulations!$I$3:$I$62,MATCH($A256,Simulations!$A$3:$A$62,0))&gt;0,INDEX(Simulations!$I$3:$I$62,MATCH($A256,Simulations!$A$3:$A$62,0)),1))*INDEX(Simulations!$J$3:$J$62,MATCH($A256,Simulations!$A$3:$A$62,0))*IF(INDEX(Simulations!$I$3:$I$62,MATCH($A256,Simulations!$A$3:$A$62,0))&gt;0,2*PI()*INDEX(Simulations!$T$3:$T$62,MATCH($A256,Simulations!$A$3:$A$62,0))^2*INDEX(Simulations!$U$3:$U$62,MATCH($A256,Simulations!$A$3:$A$62,0))/2^1.5*(2/3*LN($G256/INDEX(Simulations!$J$3:$J$62,MATCH($A256,Simulations!$A$3:$A$62,0)))^1.5+SQRT(LN($G256/INDEX(Simulations!$J$3:$J$62,MATCH($A256,Simulations!$A$3:$A$62,0))))+$G256/INDEX(Simulations!$J$3:$J$62,MATCH($A256,Simulations!$A$3:$A$62,0))*SQRT(PI())/2*ERFC(SQRT(LN($G256/INDEX(Simulations!$J$3:$J$62,MATCH($A256,Simulations!$A$3:$A$62,0)))))),PI()*INDEX(Simulations!$T$3:$T$62,MATCH($A256,Simulations!$A$3:$A$62,0))^2/2*(LN($G256/INDEX(Simulations!$J$3:$J$62,MATCH($A256,Simulations!$A$3:$A$62,0)))+1)))))</f>
        <v/>
      </c>
      <c r="T256" s="16" t="str">
        <f aca="false">IF(OR($A256="",ISNA(MATCH($A256,Simulations!$A$3:$A$62,0))),"",IF(N($H256)&lt;=0,0,IF($H256&lt;INDEX(Simulations!$J$3:$J$62,MATCH($A256,Simulations!$A$3:$A$62,0)),$D256/(INDEX(Simulations!$G$3:$G$62,MATCH($A256,Simulations!$A$3:$A$62,0))*INDEX(Simulations!$H$3:$H$62,MATCH($A256,Simulations!$A$3:$A$62,0))*IF(INDEX(Simulations!$I$3:$I$62,MATCH($A256,Simulations!$A$3:$A$62,0))&gt;0,INDEX(Simulations!$I$3:$I$62,MATCH($A256,Simulations!$A$3:$A$62,0)),1))*$H256*(PI()/2*INDEX(Simulations!$T$3:$T$62,MATCH($A256,Simulations!$A$3:$A$62,0))^2*IF(INDEX(Simulations!$I$3:$I$62,MATCH($A256,Simulations!$A$3:$A$62,0))&gt;0,SQRT(PI()/2)*INDEX(Simulations!$U$3:$U$62,MATCH($A256,Simulations!$A$3:$A$62,0)),1)),$D256/(INDEX(Simulations!$G$3:$G$62,MATCH($A256,Simulations!$A$3:$A$62,0))*INDEX(Simulations!$H$3:$H$62,MATCH($A256,Simulations!$A$3:$A$62,0))*IF(INDEX(Simulations!$I$3:$I$62,MATCH($A256,Simulations!$A$3:$A$62,0))&gt;0,INDEX(Simulations!$I$3:$I$62,MATCH($A256,Simulations!$A$3:$A$62,0)),1))*INDEX(Simulations!$J$3:$J$62,MATCH($A256,Simulations!$A$3:$A$62,0))*IF(INDEX(Simulations!$I$3:$I$62,MATCH($A256,Simulations!$A$3:$A$62,0))&gt;0,2*PI()*INDEX(Simulations!$T$3:$T$62,MATCH($A256,Simulations!$A$3:$A$62,0))^2*INDEX(Simulations!$U$3:$U$62,MATCH($A256,Simulations!$A$3:$A$62,0))/2^1.5*(2/3*LN($H256/INDEX(Simulations!$J$3:$J$62,MATCH($A256,Simulations!$A$3:$A$62,0)))^1.5+SQRT(LN($H256/INDEX(Simulations!$J$3:$J$62,MATCH($A256,Simulations!$A$3:$A$62,0))))+$H256/INDEX(Simulations!$J$3:$J$62,MATCH($A256,Simulations!$A$3:$A$62,0))*SQRT(PI())/2*ERFC(SQRT(LN($H256/INDEX(Simulations!$J$3:$J$62,MATCH($A256,Simulations!$A$3:$A$62,0)))))),PI()*INDEX(Simulations!$T$3:$T$62,MATCH($A256,Simulations!$A$3:$A$62,0))^2/2*(LN($H256/INDEX(Simulations!$J$3:$J$62,MATCH($A256,Simulations!$A$3:$A$62,0)))+1)))))</f>
        <v/>
      </c>
      <c r="U256" s="18" t="str">
        <f aca="false">IF(OR(OR($A256="",ISNA(MATCH($A256,Simulations!$A$3:$A$62,0))),N($C256)&lt;=0),"",SQRT(2*$C256*1000000/(INDEX(Simulations!$J$3:$J$62,MATCH($A256,Simulations!$A$3:$A$62,0))*1000))/INDEX(Simulations!$T$3:$T$62,MATCH($A256,Simulations!$A$3:$A$62,0)))</f>
        <v/>
      </c>
      <c r="V256" s="19" t="str">
        <f aca="false">IF($A256="","",IF(ISNA(MATCH($A256,Simulations!$A$3:$A$62,0)),"✖ Sim ID not found on the Simulations sheet",IF($P256&gt;=1,"✖ brightness &gt;= sampling frequency: completely saturated (D too small, c too large)",IF($P256&gt;0.1,"⚠ brightness &gt; 10% of the sampling frequency: focus starts to saturate",IF(N($U256)&gt;0.1,"⚠ diffusion step &gt; 10% of wr: raise the sampling frequency",IF(MAX($E256:$H256)=0,"⚠ no brightness set","✔ OK"))))))</f>
        <v/>
      </c>
    </row>
    <row r="257" customFormat="false" ht="15" hidden="false" customHeight="false" outlineLevel="0" collapsed="false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4"/>
      <c r="O257" s="18" t="str">
        <f aca="false">IF(OR($A257="",ISNA(MATCH($A257,Simulations!$A$3:$A$62,0))),"",IF(INDEX(Simulations!$I$3:$I$62,MATCH($A257,Simulations!$A$3:$A$62,0))&gt;0,$D257/(INDEX(Simulations!$G$3:$G$62,MATCH($A257,Simulations!$A$3:$A$62,0))*INDEX(Simulations!$H$3:$H$62,MATCH($A257,Simulations!$A$3:$A$62,0))*IF(INDEX(Simulations!$I$3:$I$62,MATCH($A257,Simulations!$A$3:$A$62,0))&gt;0,INDEX(Simulations!$I$3:$I$62,MATCH($A257,Simulations!$A$3:$A$62,0)),1))/1E-024/6.022E+023/0.000000001,""))</f>
        <v/>
      </c>
      <c r="P257" s="20" t="str">
        <f aca="false">IF(OR($A257="",ISNA(MATCH($A257,Simulations!$A$3:$A$62,0))),"",MAX($E257:$H257)/INDEX(Simulations!$J$3:$J$62,MATCH($A257,Simulations!$A$3:$A$62,0)))</f>
        <v/>
      </c>
      <c r="Q257" s="16" t="str">
        <f aca="false">IF(OR($A257="",ISNA(MATCH($A257,Simulations!$A$3:$A$62,0))),"",IF(N($E257)&lt;=0,0,IF($E257&lt;INDEX(Simulations!$J$3:$J$62,MATCH($A257,Simulations!$A$3:$A$62,0)),$D257/(INDEX(Simulations!$G$3:$G$62,MATCH($A257,Simulations!$A$3:$A$62,0))*INDEX(Simulations!$H$3:$H$62,MATCH($A257,Simulations!$A$3:$A$62,0))*IF(INDEX(Simulations!$I$3:$I$62,MATCH($A257,Simulations!$A$3:$A$62,0))&gt;0,INDEX(Simulations!$I$3:$I$62,MATCH($A257,Simulations!$A$3:$A$62,0)),1))*$E257*(PI()/2*INDEX(Simulations!$T$3:$T$62,MATCH($A257,Simulations!$A$3:$A$62,0))^2*IF(INDEX(Simulations!$I$3:$I$62,MATCH($A257,Simulations!$A$3:$A$62,0))&gt;0,SQRT(PI()/2)*INDEX(Simulations!$U$3:$U$62,MATCH($A257,Simulations!$A$3:$A$62,0)),1)),$D257/(INDEX(Simulations!$G$3:$G$62,MATCH($A257,Simulations!$A$3:$A$62,0))*INDEX(Simulations!$H$3:$H$62,MATCH($A257,Simulations!$A$3:$A$62,0))*IF(INDEX(Simulations!$I$3:$I$62,MATCH($A257,Simulations!$A$3:$A$62,0))&gt;0,INDEX(Simulations!$I$3:$I$62,MATCH($A257,Simulations!$A$3:$A$62,0)),1))*INDEX(Simulations!$J$3:$J$62,MATCH($A257,Simulations!$A$3:$A$62,0))*IF(INDEX(Simulations!$I$3:$I$62,MATCH($A257,Simulations!$A$3:$A$62,0))&gt;0,2*PI()*INDEX(Simulations!$T$3:$T$62,MATCH($A257,Simulations!$A$3:$A$62,0))^2*INDEX(Simulations!$U$3:$U$62,MATCH($A257,Simulations!$A$3:$A$62,0))/2^1.5*(2/3*LN($E257/INDEX(Simulations!$J$3:$J$62,MATCH($A257,Simulations!$A$3:$A$62,0)))^1.5+SQRT(LN($E257/INDEX(Simulations!$J$3:$J$62,MATCH($A257,Simulations!$A$3:$A$62,0))))+$E257/INDEX(Simulations!$J$3:$J$62,MATCH($A257,Simulations!$A$3:$A$62,0))*SQRT(PI())/2*ERFC(SQRT(LN($E257/INDEX(Simulations!$J$3:$J$62,MATCH($A257,Simulations!$A$3:$A$62,0)))))),PI()*INDEX(Simulations!$T$3:$T$62,MATCH($A257,Simulations!$A$3:$A$62,0))^2/2*(LN($E257/INDEX(Simulations!$J$3:$J$62,MATCH($A257,Simulations!$A$3:$A$62,0)))+1)))))</f>
        <v/>
      </c>
      <c r="R257" s="16" t="str">
        <f aca="false">IF(OR($A257="",ISNA(MATCH($A257,Simulations!$A$3:$A$62,0))),"",IF(N($F257)&lt;=0,0,IF($F257&lt;INDEX(Simulations!$J$3:$J$62,MATCH($A257,Simulations!$A$3:$A$62,0)),$D257/(INDEX(Simulations!$G$3:$G$62,MATCH($A257,Simulations!$A$3:$A$62,0))*INDEX(Simulations!$H$3:$H$62,MATCH($A257,Simulations!$A$3:$A$62,0))*IF(INDEX(Simulations!$I$3:$I$62,MATCH($A257,Simulations!$A$3:$A$62,0))&gt;0,INDEX(Simulations!$I$3:$I$62,MATCH($A257,Simulations!$A$3:$A$62,0)),1))*$F257*(PI()/2*INDEX(Simulations!$T$3:$T$62,MATCH($A257,Simulations!$A$3:$A$62,0))^2*IF(INDEX(Simulations!$I$3:$I$62,MATCH($A257,Simulations!$A$3:$A$62,0))&gt;0,SQRT(PI()/2)*INDEX(Simulations!$U$3:$U$62,MATCH($A257,Simulations!$A$3:$A$62,0)),1)),$D257/(INDEX(Simulations!$G$3:$G$62,MATCH($A257,Simulations!$A$3:$A$62,0))*INDEX(Simulations!$H$3:$H$62,MATCH($A257,Simulations!$A$3:$A$62,0))*IF(INDEX(Simulations!$I$3:$I$62,MATCH($A257,Simulations!$A$3:$A$62,0))&gt;0,INDEX(Simulations!$I$3:$I$62,MATCH($A257,Simulations!$A$3:$A$62,0)),1))*INDEX(Simulations!$J$3:$J$62,MATCH($A257,Simulations!$A$3:$A$62,0))*IF(INDEX(Simulations!$I$3:$I$62,MATCH($A257,Simulations!$A$3:$A$62,0))&gt;0,2*PI()*INDEX(Simulations!$T$3:$T$62,MATCH($A257,Simulations!$A$3:$A$62,0))^2*INDEX(Simulations!$U$3:$U$62,MATCH($A257,Simulations!$A$3:$A$62,0))/2^1.5*(2/3*LN($F257/INDEX(Simulations!$J$3:$J$62,MATCH($A257,Simulations!$A$3:$A$62,0)))^1.5+SQRT(LN($F257/INDEX(Simulations!$J$3:$J$62,MATCH($A257,Simulations!$A$3:$A$62,0))))+$F257/INDEX(Simulations!$J$3:$J$62,MATCH($A257,Simulations!$A$3:$A$62,0))*SQRT(PI())/2*ERFC(SQRT(LN($F257/INDEX(Simulations!$J$3:$J$62,MATCH($A257,Simulations!$A$3:$A$62,0)))))),PI()*INDEX(Simulations!$T$3:$T$62,MATCH($A257,Simulations!$A$3:$A$62,0))^2/2*(LN($F257/INDEX(Simulations!$J$3:$J$62,MATCH($A257,Simulations!$A$3:$A$62,0)))+1)))))</f>
        <v/>
      </c>
      <c r="S257" s="16" t="str">
        <f aca="false">IF(OR($A257="",ISNA(MATCH($A257,Simulations!$A$3:$A$62,0))),"",IF(N($G257)&lt;=0,0,IF($G257&lt;INDEX(Simulations!$J$3:$J$62,MATCH($A257,Simulations!$A$3:$A$62,0)),$D257/(INDEX(Simulations!$G$3:$G$62,MATCH($A257,Simulations!$A$3:$A$62,0))*INDEX(Simulations!$H$3:$H$62,MATCH($A257,Simulations!$A$3:$A$62,0))*IF(INDEX(Simulations!$I$3:$I$62,MATCH($A257,Simulations!$A$3:$A$62,0))&gt;0,INDEX(Simulations!$I$3:$I$62,MATCH($A257,Simulations!$A$3:$A$62,0)),1))*$G257*(PI()/2*INDEX(Simulations!$T$3:$T$62,MATCH($A257,Simulations!$A$3:$A$62,0))^2*IF(INDEX(Simulations!$I$3:$I$62,MATCH($A257,Simulations!$A$3:$A$62,0))&gt;0,SQRT(PI()/2)*INDEX(Simulations!$U$3:$U$62,MATCH($A257,Simulations!$A$3:$A$62,0)),1)),$D257/(INDEX(Simulations!$G$3:$G$62,MATCH($A257,Simulations!$A$3:$A$62,0))*INDEX(Simulations!$H$3:$H$62,MATCH($A257,Simulations!$A$3:$A$62,0))*IF(INDEX(Simulations!$I$3:$I$62,MATCH($A257,Simulations!$A$3:$A$62,0))&gt;0,INDEX(Simulations!$I$3:$I$62,MATCH($A257,Simulations!$A$3:$A$62,0)),1))*INDEX(Simulations!$J$3:$J$62,MATCH($A257,Simulations!$A$3:$A$62,0))*IF(INDEX(Simulations!$I$3:$I$62,MATCH($A257,Simulations!$A$3:$A$62,0))&gt;0,2*PI()*INDEX(Simulations!$T$3:$T$62,MATCH($A257,Simulations!$A$3:$A$62,0))^2*INDEX(Simulations!$U$3:$U$62,MATCH($A257,Simulations!$A$3:$A$62,0))/2^1.5*(2/3*LN($G257/INDEX(Simulations!$J$3:$J$62,MATCH($A257,Simulations!$A$3:$A$62,0)))^1.5+SQRT(LN($G257/INDEX(Simulations!$J$3:$J$62,MATCH($A257,Simulations!$A$3:$A$62,0))))+$G257/INDEX(Simulations!$J$3:$J$62,MATCH($A257,Simulations!$A$3:$A$62,0))*SQRT(PI())/2*ERFC(SQRT(LN($G257/INDEX(Simulations!$J$3:$J$62,MATCH($A257,Simulations!$A$3:$A$62,0)))))),PI()*INDEX(Simulations!$T$3:$T$62,MATCH($A257,Simulations!$A$3:$A$62,0))^2/2*(LN($G257/INDEX(Simulations!$J$3:$J$62,MATCH($A257,Simulations!$A$3:$A$62,0)))+1)))))</f>
        <v/>
      </c>
      <c r="T257" s="16" t="str">
        <f aca="false">IF(OR($A257="",ISNA(MATCH($A257,Simulations!$A$3:$A$62,0))),"",IF(N($H257)&lt;=0,0,IF($H257&lt;INDEX(Simulations!$J$3:$J$62,MATCH($A257,Simulations!$A$3:$A$62,0)),$D257/(INDEX(Simulations!$G$3:$G$62,MATCH($A257,Simulations!$A$3:$A$62,0))*INDEX(Simulations!$H$3:$H$62,MATCH($A257,Simulations!$A$3:$A$62,0))*IF(INDEX(Simulations!$I$3:$I$62,MATCH($A257,Simulations!$A$3:$A$62,0))&gt;0,INDEX(Simulations!$I$3:$I$62,MATCH($A257,Simulations!$A$3:$A$62,0)),1))*$H257*(PI()/2*INDEX(Simulations!$T$3:$T$62,MATCH($A257,Simulations!$A$3:$A$62,0))^2*IF(INDEX(Simulations!$I$3:$I$62,MATCH($A257,Simulations!$A$3:$A$62,0))&gt;0,SQRT(PI()/2)*INDEX(Simulations!$U$3:$U$62,MATCH($A257,Simulations!$A$3:$A$62,0)),1)),$D257/(INDEX(Simulations!$G$3:$G$62,MATCH($A257,Simulations!$A$3:$A$62,0))*INDEX(Simulations!$H$3:$H$62,MATCH($A257,Simulations!$A$3:$A$62,0))*IF(INDEX(Simulations!$I$3:$I$62,MATCH($A257,Simulations!$A$3:$A$62,0))&gt;0,INDEX(Simulations!$I$3:$I$62,MATCH($A257,Simulations!$A$3:$A$62,0)),1))*INDEX(Simulations!$J$3:$J$62,MATCH($A257,Simulations!$A$3:$A$62,0))*IF(INDEX(Simulations!$I$3:$I$62,MATCH($A257,Simulations!$A$3:$A$62,0))&gt;0,2*PI()*INDEX(Simulations!$T$3:$T$62,MATCH($A257,Simulations!$A$3:$A$62,0))^2*INDEX(Simulations!$U$3:$U$62,MATCH($A257,Simulations!$A$3:$A$62,0))/2^1.5*(2/3*LN($H257/INDEX(Simulations!$J$3:$J$62,MATCH($A257,Simulations!$A$3:$A$62,0)))^1.5+SQRT(LN($H257/INDEX(Simulations!$J$3:$J$62,MATCH($A257,Simulations!$A$3:$A$62,0))))+$H257/INDEX(Simulations!$J$3:$J$62,MATCH($A257,Simulations!$A$3:$A$62,0))*SQRT(PI())/2*ERFC(SQRT(LN($H257/INDEX(Simulations!$J$3:$J$62,MATCH($A257,Simulations!$A$3:$A$62,0)))))),PI()*INDEX(Simulations!$T$3:$T$62,MATCH($A257,Simulations!$A$3:$A$62,0))^2/2*(LN($H257/INDEX(Simulations!$J$3:$J$62,MATCH($A257,Simulations!$A$3:$A$62,0)))+1)))))</f>
        <v/>
      </c>
      <c r="U257" s="18" t="str">
        <f aca="false">IF(OR(OR($A257="",ISNA(MATCH($A257,Simulations!$A$3:$A$62,0))),N($C257)&lt;=0),"",SQRT(2*$C257*1000000/(INDEX(Simulations!$J$3:$J$62,MATCH($A257,Simulations!$A$3:$A$62,0))*1000))/INDEX(Simulations!$T$3:$T$62,MATCH($A257,Simulations!$A$3:$A$62,0)))</f>
        <v/>
      </c>
      <c r="V257" s="19" t="str">
        <f aca="false">IF($A257="","",IF(ISNA(MATCH($A257,Simulations!$A$3:$A$62,0)),"✖ Sim ID not found on the Simulations sheet",IF($P257&gt;=1,"✖ brightness &gt;= sampling frequency: completely saturated (D too small, c too large)",IF($P257&gt;0.1,"⚠ brightness &gt; 10% of the sampling frequency: focus starts to saturate",IF(N($U257)&gt;0.1,"⚠ diffusion step &gt; 10% of wr: raise the sampling frequency",IF(MAX($E257:$H257)=0,"⚠ no brightness set","✔ OK"))))))</f>
        <v/>
      </c>
    </row>
    <row r="258" customFormat="false" ht="15" hidden="false" customHeight="false" outlineLevel="0" collapsed="false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4"/>
      <c r="O258" s="18" t="str">
        <f aca="false">IF(OR($A258="",ISNA(MATCH($A258,Simulations!$A$3:$A$62,0))),"",IF(INDEX(Simulations!$I$3:$I$62,MATCH($A258,Simulations!$A$3:$A$62,0))&gt;0,$D258/(INDEX(Simulations!$G$3:$G$62,MATCH($A258,Simulations!$A$3:$A$62,0))*INDEX(Simulations!$H$3:$H$62,MATCH($A258,Simulations!$A$3:$A$62,0))*IF(INDEX(Simulations!$I$3:$I$62,MATCH($A258,Simulations!$A$3:$A$62,0))&gt;0,INDEX(Simulations!$I$3:$I$62,MATCH($A258,Simulations!$A$3:$A$62,0)),1))/1E-024/6.022E+023/0.000000001,""))</f>
        <v/>
      </c>
      <c r="P258" s="20" t="str">
        <f aca="false">IF(OR($A258="",ISNA(MATCH($A258,Simulations!$A$3:$A$62,0))),"",MAX($E258:$H258)/INDEX(Simulations!$J$3:$J$62,MATCH($A258,Simulations!$A$3:$A$62,0)))</f>
        <v/>
      </c>
      <c r="Q258" s="16" t="str">
        <f aca="false">IF(OR($A258="",ISNA(MATCH($A258,Simulations!$A$3:$A$62,0))),"",IF(N($E258)&lt;=0,0,IF($E258&lt;INDEX(Simulations!$J$3:$J$62,MATCH($A258,Simulations!$A$3:$A$62,0)),$D258/(INDEX(Simulations!$G$3:$G$62,MATCH($A258,Simulations!$A$3:$A$62,0))*INDEX(Simulations!$H$3:$H$62,MATCH($A258,Simulations!$A$3:$A$62,0))*IF(INDEX(Simulations!$I$3:$I$62,MATCH($A258,Simulations!$A$3:$A$62,0))&gt;0,INDEX(Simulations!$I$3:$I$62,MATCH($A258,Simulations!$A$3:$A$62,0)),1))*$E258*(PI()/2*INDEX(Simulations!$T$3:$T$62,MATCH($A258,Simulations!$A$3:$A$62,0))^2*IF(INDEX(Simulations!$I$3:$I$62,MATCH($A258,Simulations!$A$3:$A$62,0))&gt;0,SQRT(PI()/2)*INDEX(Simulations!$U$3:$U$62,MATCH($A258,Simulations!$A$3:$A$62,0)),1)),$D258/(INDEX(Simulations!$G$3:$G$62,MATCH($A258,Simulations!$A$3:$A$62,0))*INDEX(Simulations!$H$3:$H$62,MATCH($A258,Simulations!$A$3:$A$62,0))*IF(INDEX(Simulations!$I$3:$I$62,MATCH($A258,Simulations!$A$3:$A$62,0))&gt;0,INDEX(Simulations!$I$3:$I$62,MATCH($A258,Simulations!$A$3:$A$62,0)),1))*INDEX(Simulations!$J$3:$J$62,MATCH($A258,Simulations!$A$3:$A$62,0))*IF(INDEX(Simulations!$I$3:$I$62,MATCH($A258,Simulations!$A$3:$A$62,0))&gt;0,2*PI()*INDEX(Simulations!$T$3:$T$62,MATCH($A258,Simulations!$A$3:$A$62,0))^2*INDEX(Simulations!$U$3:$U$62,MATCH($A258,Simulations!$A$3:$A$62,0))/2^1.5*(2/3*LN($E258/INDEX(Simulations!$J$3:$J$62,MATCH($A258,Simulations!$A$3:$A$62,0)))^1.5+SQRT(LN($E258/INDEX(Simulations!$J$3:$J$62,MATCH($A258,Simulations!$A$3:$A$62,0))))+$E258/INDEX(Simulations!$J$3:$J$62,MATCH($A258,Simulations!$A$3:$A$62,0))*SQRT(PI())/2*ERFC(SQRT(LN($E258/INDEX(Simulations!$J$3:$J$62,MATCH($A258,Simulations!$A$3:$A$62,0)))))),PI()*INDEX(Simulations!$T$3:$T$62,MATCH($A258,Simulations!$A$3:$A$62,0))^2/2*(LN($E258/INDEX(Simulations!$J$3:$J$62,MATCH($A258,Simulations!$A$3:$A$62,0)))+1)))))</f>
        <v/>
      </c>
      <c r="R258" s="16" t="str">
        <f aca="false">IF(OR($A258="",ISNA(MATCH($A258,Simulations!$A$3:$A$62,0))),"",IF(N($F258)&lt;=0,0,IF($F258&lt;INDEX(Simulations!$J$3:$J$62,MATCH($A258,Simulations!$A$3:$A$62,0)),$D258/(INDEX(Simulations!$G$3:$G$62,MATCH($A258,Simulations!$A$3:$A$62,0))*INDEX(Simulations!$H$3:$H$62,MATCH($A258,Simulations!$A$3:$A$62,0))*IF(INDEX(Simulations!$I$3:$I$62,MATCH($A258,Simulations!$A$3:$A$62,0))&gt;0,INDEX(Simulations!$I$3:$I$62,MATCH($A258,Simulations!$A$3:$A$62,0)),1))*$F258*(PI()/2*INDEX(Simulations!$T$3:$T$62,MATCH($A258,Simulations!$A$3:$A$62,0))^2*IF(INDEX(Simulations!$I$3:$I$62,MATCH($A258,Simulations!$A$3:$A$62,0))&gt;0,SQRT(PI()/2)*INDEX(Simulations!$U$3:$U$62,MATCH($A258,Simulations!$A$3:$A$62,0)),1)),$D258/(INDEX(Simulations!$G$3:$G$62,MATCH($A258,Simulations!$A$3:$A$62,0))*INDEX(Simulations!$H$3:$H$62,MATCH($A258,Simulations!$A$3:$A$62,0))*IF(INDEX(Simulations!$I$3:$I$62,MATCH($A258,Simulations!$A$3:$A$62,0))&gt;0,INDEX(Simulations!$I$3:$I$62,MATCH($A258,Simulations!$A$3:$A$62,0)),1))*INDEX(Simulations!$J$3:$J$62,MATCH($A258,Simulations!$A$3:$A$62,0))*IF(INDEX(Simulations!$I$3:$I$62,MATCH($A258,Simulations!$A$3:$A$62,0))&gt;0,2*PI()*INDEX(Simulations!$T$3:$T$62,MATCH($A258,Simulations!$A$3:$A$62,0))^2*INDEX(Simulations!$U$3:$U$62,MATCH($A258,Simulations!$A$3:$A$62,0))/2^1.5*(2/3*LN($F258/INDEX(Simulations!$J$3:$J$62,MATCH($A258,Simulations!$A$3:$A$62,0)))^1.5+SQRT(LN($F258/INDEX(Simulations!$J$3:$J$62,MATCH($A258,Simulations!$A$3:$A$62,0))))+$F258/INDEX(Simulations!$J$3:$J$62,MATCH($A258,Simulations!$A$3:$A$62,0))*SQRT(PI())/2*ERFC(SQRT(LN($F258/INDEX(Simulations!$J$3:$J$62,MATCH($A258,Simulations!$A$3:$A$62,0)))))),PI()*INDEX(Simulations!$T$3:$T$62,MATCH($A258,Simulations!$A$3:$A$62,0))^2/2*(LN($F258/INDEX(Simulations!$J$3:$J$62,MATCH($A258,Simulations!$A$3:$A$62,0)))+1)))))</f>
        <v/>
      </c>
      <c r="S258" s="16" t="str">
        <f aca="false">IF(OR($A258="",ISNA(MATCH($A258,Simulations!$A$3:$A$62,0))),"",IF(N($G258)&lt;=0,0,IF($G258&lt;INDEX(Simulations!$J$3:$J$62,MATCH($A258,Simulations!$A$3:$A$62,0)),$D258/(INDEX(Simulations!$G$3:$G$62,MATCH($A258,Simulations!$A$3:$A$62,0))*INDEX(Simulations!$H$3:$H$62,MATCH($A258,Simulations!$A$3:$A$62,0))*IF(INDEX(Simulations!$I$3:$I$62,MATCH($A258,Simulations!$A$3:$A$62,0))&gt;0,INDEX(Simulations!$I$3:$I$62,MATCH($A258,Simulations!$A$3:$A$62,0)),1))*$G258*(PI()/2*INDEX(Simulations!$T$3:$T$62,MATCH($A258,Simulations!$A$3:$A$62,0))^2*IF(INDEX(Simulations!$I$3:$I$62,MATCH($A258,Simulations!$A$3:$A$62,0))&gt;0,SQRT(PI()/2)*INDEX(Simulations!$U$3:$U$62,MATCH($A258,Simulations!$A$3:$A$62,0)),1)),$D258/(INDEX(Simulations!$G$3:$G$62,MATCH($A258,Simulations!$A$3:$A$62,0))*INDEX(Simulations!$H$3:$H$62,MATCH($A258,Simulations!$A$3:$A$62,0))*IF(INDEX(Simulations!$I$3:$I$62,MATCH($A258,Simulations!$A$3:$A$62,0))&gt;0,INDEX(Simulations!$I$3:$I$62,MATCH($A258,Simulations!$A$3:$A$62,0)),1))*INDEX(Simulations!$J$3:$J$62,MATCH($A258,Simulations!$A$3:$A$62,0))*IF(INDEX(Simulations!$I$3:$I$62,MATCH($A258,Simulations!$A$3:$A$62,0))&gt;0,2*PI()*INDEX(Simulations!$T$3:$T$62,MATCH($A258,Simulations!$A$3:$A$62,0))^2*INDEX(Simulations!$U$3:$U$62,MATCH($A258,Simulations!$A$3:$A$62,0))/2^1.5*(2/3*LN($G258/INDEX(Simulations!$J$3:$J$62,MATCH($A258,Simulations!$A$3:$A$62,0)))^1.5+SQRT(LN($G258/INDEX(Simulations!$J$3:$J$62,MATCH($A258,Simulations!$A$3:$A$62,0))))+$G258/INDEX(Simulations!$J$3:$J$62,MATCH($A258,Simulations!$A$3:$A$62,0))*SQRT(PI())/2*ERFC(SQRT(LN($G258/INDEX(Simulations!$J$3:$J$62,MATCH($A258,Simulations!$A$3:$A$62,0)))))),PI()*INDEX(Simulations!$T$3:$T$62,MATCH($A258,Simulations!$A$3:$A$62,0))^2/2*(LN($G258/INDEX(Simulations!$J$3:$J$62,MATCH($A258,Simulations!$A$3:$A$62,0)))+1)))))</f>
        <v/>
      </c>
      <c r="T258" s="16" t="str">
        <f aca="false">IF(OR($A258="",ISNA(MATCH($A258,Simulations!$A$3:$A$62,0))),"",IF(N($H258)&lt;=0,0,IF($H258&lt;INDEX(Simulations!$J$3:$J$62,MATCH($A258,Simulations!$A$3:$A$62,0)),$D258/(INDEX(Simulations!$G$3:$G$62,MATCH($A258,Simulations!$A$3:$A$62,0))*INDEX(Simulations!$H$3:$H$62,MATCH($A258,Simulations!$A$3:$A$62,0))*IF(INDEX(Simulations!$I$3:$I$62,MATCH($A258,Simulations!$A$3:$A$62,0))&gt;0,INDEX(Simulations!$I$3:$I$62,MATCH($A258,Simulations!$A$3:$A$62,0)),1))*$H258*(PI()/2*INDEX(Simulations!$T$3:$T$62,MATCH($A258,Simulations!$A$3:$A$62,0))^2*IF(INDEX(Simulations!$I$3:$I$62,MATCH($A258,Simulations!$A$3:$A$62,0))&gt;0,SQRT(PI()/2)*INDEX(Simulations!$U$3:$U$62,MATCH($A258,Simulations!$A$3:$A$62,0)),1)),$D258/(INDEX(Simulations!$G$3:$G$62,MATCH($A258,Simulations!$A$3:$A$62,0))*INDEX(Simulations!$H$3:$H$62,MATCH($A258,Simulations!$A$3:$A$62,0))*IF(INDEX(Simulations!$I$3:$I$62,MATCH($A258,Simulations!$A$3:$A$62,0))&gt;0,INDEX(Simulations!$I$3:$I$62,MATCH($A258,Simulations!$A$3:$A$62,0)),1))*INDEX(Simulations!$J$3:$J$62,MATCH($A258,Simulations!$A$3:$A$62,0))*IF(INDEX(Simulations!$I$3:$I$62,MATCH($A258,Simulations!$A$3:$A$62,0))&gt;0,2*PI()*INDEX(Simulations!$T$3:$T$62,MATCH($A258,Simulations!$A$3:$A$62,0))^2*INDEX(Simulations!$U$3:$U$62,MATCH($A258,Simulations!$A$3:$A$62,0))/2^1.5*(2/3*LN($H258/INDEX(Simulations!$J$3:$J$62,MATCH($A258,Simulations!$A$3:$A$62,0)))^1.5+SQRT(LN($H258/INDEX(Simulations!$J$3:$J$62,MATCH($A258,Simulations!$A$3:$A$62,0))))+$H258/INDEX(Simulations!$J$3:$J$62,MATCH($A258,Simulations!$A$3:$A$62,0))*SQRT(PI())/2*ERFC(SQRT(LN($H258/INDEX(Simulations!$J$3:$J$62,MATCH($A258,Simulations!$A$3:$A$62,0)))))),PI()*INDEX(Simulations!$T$3:$T$62,MATCH($A258,Simulations!$A$3:$A$62,0))^2/2*(LN($H258/INDEX(Simulations!$J$3:$J$62,MATCH($A258,Simulations!$A$3:$A$62,0)))+1)))))</f>
        <v/>
      </c>
      <c r="U258" s="18" t="str">
        <f aca="false">IF(OR(OR($A258="",ISNA(MATCH($A258,Simulations!$A$3:$A$62,0))),N($C258)&lt;=0),"",SQRT(2*$C258*1000000/(INDEX(Simulations!$J$3:$J$62,MATCH($A258,Simulations!$A$3:$A$62,0))*1000))/INDEX(Simulations!$T$3:$T$62,MATCH($A258,Simulations!$A$3:$A$62,0)))</f>
        <v/>
      </c>
      <c r="V258" s="19" t="str">
        <f aca="false">IF($A258="","",IF(ISNA(MATCH($A258,Simulations!$A$3:$A$62,0)),"✖ Sim ID not found on the Simulations sheet",IF($P258&gt;=1,"✖ brightness &gt;= sampling frequency: completely saturated (D too small, c too large)",IF($P258&gt;0.1,"⚠ brightness &gt; 10% of the sampling frequency: focus starts to saturate",IF(N($U258)&gt;0.1,"⚠ diffusion step &gt; 10% of wr: raise the sampling frequency",IF(MAX($E258:$H258)=0,"⚠ no brightness set","✔ OK"))))))</f>
        <v/>
      </c>
    </row>
    <row r="259" customFormat="false" ht="15" hidden="false" customHeight="false" outlineLevel="0" collapsed="false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4"/>
      <c r="O259" s="18" t="str">
        <f aca="false">IF(OR($A259="",ISNA(MATCH($A259,Simulations!$A$3:$A$62,0))),"",IF(INDEX(Simulations!$I$3:$I$62,MATCH($A259,Simulations!$A$3:$A$62,0))&gt;0,$D259/(INDEX(Simulations!$G$3:$G$62,MATCH($A259,Simulations!$A$3:$A$62,0))*INDEX(Simulations!$H$3:$H$62,MATCH($A259,Simulations!$A$3:$A$62,0))*IF(INDEX(Simulations!$I$3:$I$62,MATCH($A259,Simulations!$A$3:$A$62,0))&gt;0,INDEX(Simulations!$I$3:$I$62,MATCH($A259,Simulations!$A$3:$A$62,0)),1))/1E-024/6.022E+023/0.000000001,""))</f>
        <v/>
      </c>
      <c r="P259" s="20" t="str">
        <f aca="false">IF(OR($A259="",ISNA(MATCH($A259,Simulations!$A$3:$A$62,0))),"",MAX($E259:$H259)/INDEX(Simulations!$J$3:$J$62,MATCH($A259,Simulations!$A$3:$A$62,0)))</f>
        <v/>
      </c>
      <c r="Q259" s="16" t="str">
        <f aca="false">IF(OR($A259="",ISNA(MATCH($A259,Simulations!$A$3:$A$62,0))),"",IF(N($E259)&lt;=0,0,IF($E259&lt;INDEX(Simulations!$J$3:$J$62,MATCH($A259,Simulations!$A$3:$A$62,0)),$D259/(INDEX(Simulations!$G$3:$G$62,MATCH($A259,Simulations!$A$3:$A$62,0))*INDEX(Simulations!$H$3:$H$62,MATCH($A259,Simulations!$A$3:$A$62,0))*IF(INDEX(Simulations!$I$3:$I$62,MATCH($A259,Simulations!$A$3:$A$62,0))&gt;0,INDEX(Simulations!$I$3:$I$62,MATCH($A259,Simulations!$A$3:$A$62,0)),1))*$E259*(PI()/2*INDEX(Simulations!$T$3:$T$62,MATCH($A259,Simulations!$A$3:$A$62,0))^2*IF(INDEX(Simulations!$I$3:$I$62,MATCH($A259,Simulations!$A$3:$A$62,0))&gt;0,SQRT(PI()/2)*INDEX(Simulations!$U$3:$U$62,MATCH($A259,Simulations!$A$3:$A$62,0)),1)),$D259/(INDEX(Simulations!$G$3:$G$62,MATCH($A259,Simulations!$A$3:$A$62,0))*INDEX(Simulations!$H$3:$H$62,MATCH($A259,Simulations!$A$3:$A$62,0))*IF(INDEX(Simulations!$I$3:$I$62,MATCH($A259,Simulations!$A$3:$A$62,0))&gt;0,INDEX(Simulations!$I$3:$I$62,MATCH($A259,Simulations!$A$3:$A$62,0)),1))*INDEX(Simulations!$J$3:$J$62,MATCH($A259,Simulations!$A$3:$A$62,0))*IF(INDEX(Simulations!$I$3:$I$62,MATCH($A259,Simulations!$A$3:$A$62,0))&gt;0,2*PI()*INDEX(Simulations!$T$3:$T$62,MATCH($A259,Simulations!$A$3:$A$62,0))^2*INDEX(Simulations!$U$3:$U$62,MATCH($A259,Simulations!$A$3:$A$62,0))/2^1.5*(2/3*LN($E259/INDEX(Simulations!$J$3:$J$62,MATCH($A259,Simulations!$A$3:$A$62,0)))^1.5+SQRT(LN($E259/INDEX(Simulations!$J$3:$J$62,MATCH($A259,Simulations!$A$3:$A$62,0))))+$E259/INDEX(Simulations!$J$3:$J$62,MATCH($A259,Simulations!$A$3:$A$62,0))*SQRT(PI())/2*ERFC(SQRT(LN($E259/INDEX(Simulations!$J$3:$J$62,MATCH($A259,Simulations!$A$3:$A$62,0)))))),PI()*INDEX(Simulations!$T$3:$T$62,MATCH($A259,Simulations!$A$3:$A$62,0))^2/2*(LN($E259/INDEX(Simulations!$J$3:$J$62,MATCH($A259,Simulations!$A$3:$A$62,0)))+1)))))</f>
        <v/>
      </c>
      <c r="R259" s="16" t="str">
        <f aca="false">IF(OR($A259="",ISNA(MATCH($A259,Simulations!$A$3:$A$62,0))),"",IF(N($F259)&lt;=0,0,IF($F259&lt;INDEX(Simulations!$J$3:$J$62,MATCH($A259,Simulations!$A$3:$A$62,0)),$D259/(INDEX(Simulations!$G$3:$G$62,MATCH($A259,Simulations!$A$3:$A$62,0))*INDEX(Simulations!$H$3:$H$62,MATCH($A259,Simulations!$A$3:$A$62,0))*IF(INDEX(Simulations!$I$3:$I$62,MATCH($A259,Simulations!$A$3:$A$62,0))&gt;0,INDEX(Simulations!$I$3:$I$62,MATCH($A259,Simulations!$A$3:$A$62,0)),1))*$F259*(PI()/2*INDEX(Simulations!$T$3:$T$62,MATCH($A259,Simulations!$A$3:$A$62,0))^2*IF(INDEX(Simulations!$I$3:$I$62,MATCH($A259,Simulations!$A$3:$A$62,0))&gt;0,SQRT(PI()/2)*INDEX(Simulations!$U$3:$U$62,MATCH($A259,Simulations!$A$3:$A$62,0)),1)),$D259/(INDEX(Simulations!$G$3:$G$62,MATCH($A259,Simulations!$A$3:$A$62,0))*INDEX(Simulations!$H$3:$H$62,MATCH($A259,Simulations!$A$3:$A$62,0))*IF(INDEX(Simulations!$I$3:$I$62,MATCH($A259,Simulations!$A$3:$A$62,0))&gt;0,INDEX(Simulations!$I$3:$I$62,MATCH($A259,Simulations!$A$3:$A$62,0)),1))*INDEX(Simulations!$J$3:$J$62,MATCH($A259,Simulations!$A$3:$A$62,0))*IF(INDEX(Simulations!$I$3:$I$62,MATCH($A259,Simulations!$A$3:$A$62,0))&gt;0,2*PI()*INDEX(Simulations!$T$3:$T$62,MATCH($A259,Simulations!$A$3:$A$62,0))^2*INDEX(Simulations!$U$3:$U$62,MATCH($A259,Simulations!$A$3:$A$62,0))/2^1.5*(2/3*LN($F259/INDEX(Simulations!$J$3:$J$62,MATCH($A259,Simulations!$A$3:$A$62,0)))^1.5+SQRT(LN($F259/INDEX(Simulations!$J$3:$J$62,MATCH($A259,Simulations!$A$3:$A$62,0))))+$F259/INDEX(Simulations!$J$3:$J$62,MATCH($A259,Simulations!$A$3:$A$62,0))*SQRT(PI())/2*ERFC(SQRT(LN($F259/INDEX(Simulations!$J$3:$J$62,MATCH($A259,Simulations!$A$3:$A$62,0)))))),PI()*INDEX(Simulations!$T$3:$T$62,MATCH($A259,Simulations!$A$3:$A$62,0))^2/2*(LN($F259/INDEX(Simulations!$J$3:$J$62,MATCH($A259,Simulations!$A$3:$A$62,0)))+1)))))</f>
        <v/>
      </c>
      <c r="S259" s="16" t="str">
        <f aca="false">IF(OR($A259="",ISNA(MATCH($A259,Simulations!$A$3:$A$62,0))),"",IF(N($G259)&lt;=0,0,IF($G259&lt;INDEX(Simulations!$J$3:$J$62,MATCH($A259,Simulations!$A$3:$A$62,0)),$D259/(INDEX(Simulations!$G$3:$G$62,MATCH($A259,Simulations!$A$3:$A$62,0))*INDEX(Simulations!$H$3:$H$62,MATCH($A259,Simulations!$A$3:$A$62,0))*IF(INDEX(Simulations!$I$3:$I$62,MATCH($A259,Simulations!$A$3:$A$62,0))&gt;0,INDEX(Simulations!$I$3:$I$62,MATCH($A259,Simulations!$A$3:$A$62,0)),1))*$G259*(PI()/2*INDEX(Simulations!$T$3:$T$62,MATCH($A259,Simulations!$A$3:$A$62,0))^2*IF(INDEX(Simulations!$I$3:$I$62,MATCH($A259,Simulations!$A$3:$A$62,0))&gt;0,SQRT(PI()/2)*INDEX(Simulations!$U$3:$U$62,MATCH($A259,Simulations!$A$3:$A$62,0)),1)),$D259/(INDEX(Simulations!$G$3:$G$62,MATCH($A259,Simulations!$A$3:$A$62,0))*INDEX(Simulations!$H$3:$H$62,MATCH($A259,Simulations!$A$3:$A$62,0))*IF(INDEX(Simulations!$I$3:$I$62,MATCH($A259,Simulations!$A$3:$A$62,0))&gt;0,INDEX(Simulations!$I$3:$I$62,MATCH($A259,Simulations!$A$3:$A$62,0)),1))*INDEX(Simulations!$J$3:$J$62,MATCH($A259,Simulations!$A$3:$A$62,0))*IF(INDEX(Simulations!$I$3:$I$62,MATCH($A259,Simulations!$A$3:$A$62,0))&gt;0,2*PI()*INDEX(Simulations!$T$3:$T$62,MATCH($A259,Simulations!$A$3:$A$62,0))^2*INDEX(Simulations!$U$3:$U$62,MATCH($A259,Simulations!$A$3:$A$62,0))/2^1.5*(2/3*LN($G259/INDEX(Simulations!$J$3:$J$62,MATCH($A259,Simulations!$A$3:$A$62,0)))^1.5+SQRT(LN($G259/INDEX(Simulations!$J$3:$J$62,MATCH($A259,Simulations!$A$3:$A$62,0))))+$G259/INDEX(Simulations!$J$3:$J$62,MATCH($A259,Simulations!$A$3:$A$62,0))*SQRT(PI())/2*ERFC(SQRT(LN($G259/INDEX(Simulations!$J$3:$J$62,MATCH($A259,Simulations!$A$3:$A$62,0)))))),PI()*INDEX(Simulations!$T$3:$T$62,MATCH($A259,Simulations!$A$3:$A$62,0))^2/2*(LN($G259/INDEX(Simulations!$J$3:$J$62,MATCH($A259,Simulations!$A$3:$A$62,0)))+1)))))</f>
        <v/>
      </c>
      <c r="T259" s="16" t="str">
        <f aca="false">IF(OR($A259="",ISNA(MATCH($A259,Simulations!$A$3:$A$62,0))),"",IF(N($H259)&lt;=0,0,IF($H259&lt;INDEX(Simulations!$J$3:$J$62,MATCH($A259,Simulations!$A$3:$A$62,0)),$D259/(INDEX(Simulations!$G$3:$G$62,MATCH($A259,Simulations!$A$3:$A$62,0))*INDEX(Simulations!$H$3:$H$62,MATCH($A259,Simulations!$A$3:$A$62,0))*IF(INDEX(Simulations!$I$3:$I$62,MATCH($A259,Simulations!$A$3:$A$62,0))&gt;0,INDEX(Simulations!$I$3:$I$62,MATCH($A259,Simulations!$A$3:$A$62,0)),1))*$H259*(PI()/2*INDEX(Simulations!$T$3:$T$62,MATCH($A259,Simulations!$A$3:$A$62,0))^2*IF(INDEX(Simulations!$I$3:$I$62,MATCH($A259,Simulations!$A$3:$A$62,0))&gt;0,SQRT(PI()/2)*INDEX(Simulations!$U$3:$U$62,MATCH($A259,Simulations!$A$3:$A$62,0)),1)),$D259/(INDEX(Simulations!$G$3:$G$62,MATCH($A259,Simulations!$A$3:$A$62,0))*INDEX(Simulations!$H$3:$H$62,MATCH($A259,Simulations!$A$3:$A$62,0))*IF(INDEX(Simulations!$I$3:$I$62,MATCH($A259,Simulations!$A$3:$A$62,0))&gt;0,INDEX(Simulations!$I$3:$I$62,MATCH($A259,Simulations!$A$3:$A$62,0)),1))*INDEX(Simulations!$J$3:$J$62,MATCH($A259,Simulations!$A$3:$A$62,0))*IF(INDEX(Simulations!$I$3:$I$62,MATCH($A259,Simulations!$A$3:$A$62,0))&gt;0,2*PI()*INDEX(Simulations!$T$3:$T$62,MATCH($A259,Simulations!$A$3:$A$62,0))^2*INDEX(Simulations!$U$3:$U$62,MATCH($A259,Simulations!$A$3:$A$62,0))/2^1.5*(2/3*LN($H259/INDEX(Simulations!$J$3:$J$62,MATCH($A259,Simulations!$A$3:$A$62,0)))^1.5+SQRT(LN($H259/INDEX(Simulations!$J$3:$J$62,MATCH($A259,Simulations!$A$3:$A$62,0))))+$H259/INDEX(Simulations!$J$3:$J$62,MATCH($A259,Simulations!$A$3:$A$62,0))*SQRT(PI())/2*ERFC(SQRT(LN($H259/INDEX(Simulations!$J$3:$J$62,MATCH($A259,Simulations!$A$3:$A$62,0)))))),PI()*INDEX(Simulations!$T$3:$T$62,MATCH($A259,Simulations!$A$3:$A$62,0))^2/2*(LN($H259/INDEX(Simulations!$J$3:$J$62,MATCH($A259,Simulations!$A$3:$A$62,0)))+1)))))</f>
        <v/>
      </c>
      <c r="U259" s="18" t="str">
        <f aca="false">IF(OR(OR($A259="",ISNA(MATCH($A259,Simulations!$A$3:$A$62,0))),N($C259)&lt;=0),"",SQRT(2*$C259*1000000/(INDEX(Simulations!$J$3:$J$62,MATCH($A259,Simulations!$A$3:$A$62,0))*1000))/INDEX(Simulations!$T$3:$T$62,MATCH($A259,Simulations!$A$3:$A$62,0)))</f>
        <v/>
      </c>
      <c r="V259" s="19" t="str">
        <f aca="false">IF($A259="","",IF(ISNA(MATCH($A259,Simulations!$A$3:$A$62,0)),"✖ Sim ID not found on the Simulations sheet",IF($P259&gt;=1,"✖ brightness &gt;= sampling frequency: completely saturated (D too small, c too large)",IF($P259&gt;0.1,"⚠ brightness &gt; 10% of the sampling frequency: focus starts to saturate",IF(N($U259)&gt;0.1,"⚠ diffusion step &gt; 10% of wr: raise the sampling frequency",IF(MAX($E259:$H259)=0,"⚠ no brightness set","✔ OK"))))))</f>
        <v/>
      </c>
    </row>
    <row r="260" customFormat="false" ht="15" hidden="false" customHeight="false" outlineLevel="0" collapsed="false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4"/>
      <c r="O260" s="18" t="str">
        <f aca="false">IF(OR($A260="",ISNA(MATCH($A260,Simulations!$A$3:$A$62,0))),"",IF(INDEX(Simulations!$I$3:$I$62,MATCH($A260,Simulations!$A$3:$A$62,0))&gt;0,$D260/(INDEX(Simulations!$G$3:$G$62,MATCH($A260,Simulations!$A$3:$A$62,0))*INDEX(Simulations!$H$3:$H$62,MATCH($A260,Simulations!$A$3:$A$62,0))*IF(INDEX(Simulations!$I$3:$I$62,MATCH($A260,Simulations!$A$3:$A$62,0))&gt;0,INDEX(Simulations!$I$3:$I$62,MATCH($A260,Simulations!$A$3:$A$62,0)),1))/1E-024/6.022E+023/0.000000001,""))</f>
        <v/>
      </c>
      <c r="P260" s="20" t="str">
        <f aca="false">IF(OR($A260="",ISNA(MATCH($A260,Simulations!$A$3:$A$62,0))),"",MAX($E260:$H260)/INDEX(Simulations!$J$3:$J$62,MATCH($A260,Simulations!$A$3:$A$62,0)))</f>
        <v/>
      </c>
      <c r="Q260" s="16" t="str">
        <f aca="false">IF(OR($A260="",ISNA(MATCH($A260,Simulations!$A$3:$A$62,0))),"",IF(N($E260)&lt;=0,0,IF($E260&lt;INDEX(Simulations!$J$3:$J$62,MATCH($A260,Simulations!$A$3:$A$62,0)),$D260/(INDEX(Simulations!$G$3:$G$62,MATCH($A260,Simulations!$A$3:$A$62,0))*INDEX(Simulations!$H$3:$H$62,MATCH($A260,Simulations!$A$3:$A$62,0))*IF(INDEX(Simulations!$I$3:$I$62,MATCH($A260,Simulations!$A$3:$A$62,0))&gt;0,INDEX(Simulations!$I$3:$I$62,MATCH($A260,Simulations!$A$3:$A$62,0)),1))*$E260*(PI()/2*INDEX(Simulations!$T$3:$T$62,MATCH($A260,Simulations!$A$3:$A$62,0))^2*IF(INDEX(Simulations!$I$3:$I$62,MATCH($A260,Simulations!$A$3:$A$62,0))&gt;0,SQRT(PI()/2)*INDEX(Simulations!$U$3:$U$62,MATCH($A260,Simulations!$A$3:$A$62,0)),1)),$D260/(INDEX(Simulations!$G$3:$G$62,MATCH($A260,Simulations!$A$3:$A$62,0))*INDEX(Simulations!$H$3:$H$62,MATCH($A260,Simulations!$A$3:$A$62,0))*IF(INDEX(Simulations!$I$3:$I$62,MATCH($A260,Simulations!$A$3:$A$62,0))&gt;0,INDEX(Simulations!$I$3:$I$62,MATCH($A260,Simulations!$A$3:$A$62,0)),1))*INDEX(Simulations!$J$3:$J$62,MATCH($A260,Simulations!$A$3:$A$62,0))*IF(INDEX(Simulations!$I$3:$I$62,MATCH($A260,Simulations!$A$3:$A$62,0))&gt;0,2*PI()*INDEX(Simulations!$T$3:$T$62,MATCH($A260,Simulations!$A$3:$A$62,0))^2*INDEX(Simulations!$U$3:$U$62,MATCH($A260,Simulations!$A$3:$A$62,0))/2^1.5*(2/3*LN($E260/INDEX(Simulations!$J$3:$J$62,MATCH($A260,Simulations!$A$3:$A$62,0)))^1.5+SQRT(LN($E260/INDEX(Simulations!$J$3:$J$62,MATCH($A260,Simulations!$A$3:$A$62,0))))+$E260/INDEX(Simulations!$J$3:$J$62,MATCH($A260,Simulations!$A$3:$A$62,0))*SQRT(PI())/2*ERFC(SQRT(LN($E260/INDEX(Simulations!$J$3:$J$62,MATCH($A260,Simulations!$A$3:$A$62,0)))))),PI()*INDEX(Simulations!$T$3:$T$62,MATCH($A260,Simulations!$A$3:$A$62,0))^2/2*(LN($E260/INDEX(Simulations!$J$3:$J$62,MATCH($A260,Simulations!$A$3:$A$62,0)))+1)))))</f>
        <v/>
      </c>
      <c r="R260" s="16" t="str">
        <f aca="false">IF(OR($A260="",ISNA(MATCH($A260,Simulations!$A$3:$A$62,0))),"",IF(N($F260)&lt;=0,0,IF($F260&lt;INDEX(Simulations!$J$3:$J$62,MATCH($A260,Simulations!$A$3:$A$62,0)),$D260/(INDEX(Simulations!$G$3:$G$62,MATCH($A260,Simulations!$A$3:$A$62,0))*INDEX(Simulations!$H$3:$H$62,MATCH($A260,Simulations!$A$3:$A$62,0))*IF(INDEX(Simulations!$I$3:$I$62,MATCH($A260,Simulations!$A$3:$A$62,0))&gt;0,INDEX(Simulations!$I$3:$I$62,MATCH($A260,Simulations!$A$3:$A$62,0)),1))*$F260*(PI()/2*INDEX(Simulations!$T$3:$T$62,MATCH($A260,Simulations!$A$3:$A$62,0))^2*IF(INDEX(Simulations!$I$3:$I$62,MATCH($A260,Simulations!$A$3:$A$62,0))&gt;0,SQRT(PI()/2)*INDEX(Simulations!$U$3:$U$62,MATCH($A260,Simulations!$A$3:$A$62,0)),1)),$D260/(INDEX(Simulations!$G$3:$G$62,MATCH($A260,Simulations!$A$3:$A$62,0))*INDEX(Simulations!$H$3:$H$62,MATCH($A260,Simulations!$A$3:$A$62,0))*IF(INDEX(Simulations!$I$3:$I$62,MATCH($A260,Simulations!$A$3:$A$62,0))&gt;0,INDEX(Simulations!$I$3:$I$62,MATCH($A260,Simulations!$A$3:$A$62,0)),1))*INDEX(Simulations!$J$3:$J$62,MATCH($A260,Simulations!$A$3:$A$62,0))*IF(INDEX(Simulations!$I$3:$I$62,MATCH($A260,Simulations!$A$3:$A$62,0))&gt;0,2*PI()*INDEX(Simulations!$T$3:$T$62,MATCH($A260,Simulations!$A$3:$A$62,0))^2*INDEX(Simulations!$U$3:$U$62,MATCH($A260,Simulations!$A$3:$A$62,0))/2^1.5*(2/3*LN($F260/INDEX(Simulations!$J$3:$J$62,MATCH($A260,Simulations!$A$3:$A$62,0)))^1.5+SQRT(LN($F260/INDEX(Simulations!$J$3:$J$62,MATCH($A260,Simulations!$A$3:$A$62,0))))+$F260/INDEX(Simulations!$J$3:$J$62,MATCH($A260,Simulations!$A$3:$A$62,0))*SQRT(PI())/2*ERFC(SQRT(LN($F260/INDEX(Simulations!$J$3:$J$62,MATCH($A260,Simulations!$A$3:$A$62,0)))))),PI()*INDEX(Simulations!$T$3:$T$62,MATCH($A260,Simulations!$A$3:$A$62,0))^2/2*(LN($F260/INDEX(Simulations!$J$3:$J$62,MATCH($A260,Simulations!$A$3:$A$62,0)))+1)))))</f>
        <v/>
      </c>
      <c r="S260" s="16" t="str">
        <f aca="false">IF(OR($A260="",ISNA(MATCH($A260,Simulations!$A$3:$A$62,0))),"",IF(N($G260)&lt;=0,0,IF($G260&lt;INDEX(Simulations!$J$3:$J$62,MATCH($A260,Simulations!$A$3:$A$62,0)),$D260/(INDEX(Simulations!$G$3:$G$62,MATCH($A260,Simulations!$A$3:$A$62,0))*INDEX(Simulations!$H$3:$H$62,MATCH($A260,Simulations!$A$3:$A$62,0))*IF(INDEX(Simulations!$I$3:$I$62,MATCH($A260,Simulations!$A$3:$A$62,0))&gt;0,INDEX(Simulations!$I$3:$I$62,MATCH($A260,Simulations!$A$3:$A$62,0)),1))*$G260*(PI()/2*INDEX(Simulations!$T$3:$T$62,MATCH($A260,Simulations!$A$3:$A$62,0))^2*IF(INDEX(Simulations!$I$3:$I$62,MATCH($A260,Simulations!$A$3:$A$62,0))&gt;0,SQRT(PI()/2)*INDEX(Simulations!$U$3:$U$62,MATCH($A260,Simulations!$A$3:$A$62,0)),1)),$D260/(INDEX(Simulations!$G$3:$G$62,MATCH($A260,Simulations!$A$3:$A$62,0))*INDEX(Simulations!$H$3:$H$62,MATCH($A260,Simulations!$A$3:$A$62,0))*IF(INDEX(Simulations!$I$3:$I$62,MATCH($A260,Simulations!$A$3:$A$62,0))&gt;0,INDEX(Simulations!$I$3:$I$62,MATCH($A260,Simulations!$A$3:$A$62,0)),1))*INDEX(Simulations!$J$3:$J$62,MATCH($A260,Simulations!$A$3:$A$62,0))*IF(INDEX(Simulations!$I$3:$I$62,MATCH($A260,Simulations!$A$3:$A$62,0))&gt;0,2*PI()*INDEX(Simulations!$T$3:$T$62,MATCH($A260,Simulations!$A$3:$A$62,0))^2*INDEX(Simulations!$U$3:$U$62,MATCH($A260,Simulations!$A$3:$A$62,0))/2^1.5*(2/3*LN($G260/INDEX(Simulations!$J$3:$J$62,MATCH($A260,Simulations!$A$3:$A$62,0)))^1.5+SQRT(LN($G260/INDEX(Simulations!$J$3:$J$62,MATCH($A260,Simulations!$A$3:$A$62,0))))+$G260/INDEX(Simulations!$J$3:$J$62,MATCH($A260,Simulations!$A$3:$A$62,0))*SQRT(PI())/2*ERFC(SQRT(LN($G260/INDEX(Simulations!$J$3:$J$62,MATCH($A260,Simulations!$A$3:$A$62,0)))))),PI()*INDEX(Simulations!$T$3:$T$62,MATCH($A260,Simulations!$A$3:$A$62,0))^2/2*(LN($G260/INDEX(Simulations!$J$3:$J$62,MATCH($A260,Simulations!$A$3:$A$62,0)))+1)))))</f>
        <v/>
      </c>
      <c r="T260" s="16" t="str">
        <f aca="false">IF(OR($A260="",ISNA(MATCH($A260,Simulations!$A$3:$A$62,0))),"",IF(N($H260)&lt;=0,0,IF($H260&lt;INDEX(Simulations!$J$3:$J$62,MATCH($A260,Simulations!$A$3:$A$62,0)),$D260/(INDEX(Simulations!$G$3:$G$62,MATCH($A260,Simulations!$A$3:$A$62,0))*INDEX(Simulations!$H$3:$H$62,MATCH($A260,Simulations!$A$3:$A$62,0))*IF(INDEX(Simulations!$I$3:$I$62,MATCH($A260,Simulations!$A$3:$A$62,0))&gt;0,INDEX(Simulations!$I$3:$I$62,MATCH($A260,Simulations!$A$3:$A$62,0)),1))*$H260*(PI()/2*INDEX(Simulations!$T$3:$T$62,MATCH($A260,Simulations!$A$3:$A$62,0))^2*IF(INDEX(Simulations!$I$3:$I$62,MATCH($A260,Simulations!$A$3:$A$62,0))&gt;0,SQRT(PI()/2)*INDEX(Simulations!$U$3:$U$62,MATCH($A260,Simulations!$A$3:$A$62,0)),1)),$D260/(INDEX(Simulations!$G$3:$G$62,MATCH($A260,Simulations!$A$3:$A$62,0))*INDEX(Simulations!$H$3:$H$62,MATCH($A260,Simulations!$A$3:$A$62,0))*IF(INDEX(Simulations!$I$3:$I$62,MATCH($A260,Simulations!$A$3:$A$62,0))&gt;0,INDEX(Simulations!$I$3:$I$62,MATCH($A260,Simulations!$A$3:$A$62,0)),1))*INDEX(Simulations!$J$3:$J$62,MATCH($A260,Simulations!$A$3:$A$62,0))*IF(INDEX(Simulations!$I$3:$I$62,MATCH($A260,Simulations!$A$3:$A$62,0))&gt;0,2*PI()*INDEX(Simulations!$T$3:$T$62,MATCH($A260,Simulations!$A$3:$A$62,0))^2*INDEX(Simulations!$U$3:$U$62,MATCH($A260,Simulations!$A$3:$A$62,0))/2^1.5*(2/3*LN($H260/INDEX(Simulations!$J$3:$J$62,MATCH($A260,Simulations!$A$3:$A$62,0)))^1.5+SQRT(LN($H260/INDEX(Simulations!$J$3:$J$62,MATCH($A260,Simulations!$A$3:$A$62,0))))+$H260/INDEX(Simulations!$J$3:$J$62,MATCH($A260,Simulations!$A$3:$A$62,0))*SQRT(PI())/2*ERFC(SQRT(LN($H260/INDEX(Simulations!$J$3:$J$62,MATCH($A260,Simulations!$A$3:$A$62,0)))))),PI()*INDEX(Simulations!$T$3:$T$62,MATCH($A260,Simulations!$A$3:$A$62,0))^2/2*(LN($H260/INDEX(Simulations!$J$3:$J$62,MATCH($A260,Simulations!$A$3:$A$62,0)))+1)))))</f>
        <v/>
      </c>
      <c r="U260" s="18" t="str">
        <f aca="false">IF(OR(OR($A260="",ISNA(MATCH($A260,Simulations!$A$3:$A$62,0))),N($C260)&lt;=0),"",SQRT(2*$C260*1000000/(INDEX(Simulations!$J$3:$J$62,MATCH($A260,Simulations!$A$3:$A$62,0))*1000))/INDEX(Simulations!$T$3:$T$62,MATCH($A260,Simulations!$A$3:$A$62,0)))</f>
        <v/>
      </c>
      <c r="V260" s="19" t="str">
        <f aca="false">IF($A260="","",IF(ISNA(MATCH($A260,Simulations!$A$3:$A$62,0)),"✖ Sim ID not found on the Simulations sheet",IF($P260&gt;=1,"✖ brightness &gt;= sampling frequency: completely saturated (D too small, c too large)",IF($P260&gt;0.1,"⚠ brightness &gt; 10% of the sampling frequency: focus starts to saturate",IF(N($U260)&gt;0.1,"⚠ diffusion step &gt; 10% of wr: raise the sampling frequency",IF(MAX($E260:$H260)=0,"⚠ no brightness set","✔ OK"))))))</f>
        <v/>
      </c>
    </row>
    <row r="261" customFormat="false" ht="15" hidden="false" customHeight="false" outlineLevel="0" collapsed="false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4"/>
      <c r="O261" s="18" t="str">
        <f aca="false">IF(OR($A261="",ISNA(MATCH($A261,Simulations!$A$3:$A$62,0))),"",IF(INDEX(Simulations!$I$3:$I$62,MATCH($A261,Simulations!$A$3:$A$62,0))&gt;0,$D261/(INDEX(Simulations!$G$3:$G$62,MATCH($A261,Simulations!$A$3:$A$62,0))*INDEX(Simulations!$H$3:$H$62,MATCH($A261,Simulations!$A$3:$A$62,0))*IF(INDEX(Simulations!$I$3:$I$62,MATCH($A261,Simulations!$A$3:$A$62,0))&gt;0,INDEX(Simulations!$I$3:$I$62,MATCH($A261,Simulations!$A$3:$A$62,0)),1))/1E-024/6.022E+023/0.000000001,""))</f>
        <v/>
      </c>
      <c r="P261" s="20" t="str">
        <f aca="false">IF(OR($A261="",ISNA(MATCH($A261,Simulations!$A$3:$A$62,0))),"",MAX($E261:$H261)/INDEX(Simulations!$J$3:$J$62,MATCH($A261,Simulations!$A$3:$A$62,0)))</f>
        <v/>
      </c>
      <c r="Q261" s="16" t="str">
        <f aca="false">IF(OR($A261="",ISNA(MATCH($A261,Simulations!$A$3:$A$62,0))),"",IF(N($E261)&lt;=0,0,IF($E261&lt;INDEX(Simulations!$J$3:$J$62,MATCH($A261,Simulations!$A$3:$A$62,0)),$D261/(INDEX(Simulations!$G$3:$G$62,MATCH($A261,Simulations!$A$3:$A$62,0))*INDEX(Simulations!$H$3:$H$62,MATCH($A261,Simulations!$A$3:$A$62,0))*IF(INDEX(Simulations!$I$3:$I$62,MATCH($A261,Simulations!$A$3:$A$62,0))&gt;0,INDEX(Simulations!$I$3:$I$62,MATCH($A261,Simulations!$A$3:$A$62,0)),1))*$E261*(PI()/2*INDEX(Simulations!$T$3:$T$62,MATCH($A261,Simulations!$A$3:$A$62,0))^2*IF(INDEX(Simulations!$I$3:$I$62,MATCH($A261,Simulations!$A$3:$A$62,0))&gt;0,SQRT(PI()/2)*INDEX(Simulations!$U$3:$U$62,MATCH($A261,Simulations!$A$3:$A$62,0)),1)),$D261/(INDEX(Simulations!$G$3:$G$62,MATCH($A261,Simulations!$A$3:$A$62,0))*INDEX(Simulations!$H$3:$H$62,MATCH($A261,Simulations!$A$3:$A$62,0))*IF(INDEX(Simulations!$I$3:$I$62,MATCH($A261,Simulations!$A$3:$A$62,0))&gt;0,INDEX(Simulations!$I$3:$I$62,MATCH($A261,Simulations!$A$3:$A$62,0)),1))*INDEX(Simulations!$J$3:$J$62,MATCH($A261,Simulations!$A$3:$A$62,0))*IF(INDEX(Simulations!$I$3:$I$62,MATCH($A261,Simulations!$A$3:$A$62,0))&gt;0,2*PI()*INDEX(Simulations!$T$3:$T$62,MATCH($A261,Simulations!$A$3:$A$62,0))^2*INDEX(Simulations!$U$3:$U$62,MATCH($A261,Simulations!$A$3:$A$62,0))/2^1.5*(2/3*LN($E261/INDEX(Simulations!$J$3:$J$62,MATCH($A261,Simulations!$A$3:$A$62,0)))^1.5+SQRT(LN($E261/INDEX(Simulations!$J$3:$J$62,MATCH($A261,Simulations!$A$3:$A$62,0))))+$E261/INDEX(Simulations!$J$3:$J$62,MATCH($A261,Simulations!$A$3:$A$62,0))*SQRT(PI())/2*ERFC(SQRT(LN($E261/INDEX(Simulations!$J$3:$J$62,MATCH($A261,Simulations!$A$3:$A$62,0)))))),PI()*INDEX(Simulations!$T$3:$T$62,MATCH($A261,Simulations!$A$3:$A$62,0))^2/2*(LN($E261/INDEX(Simulations!$J$3:$J$62,MATCH($A261,Simulations!$A$3:$A$62,0)))+1)))))</f>
        <v/>
      </c>
      <c r="R261" s="16" t="str">
        <f aca="false">IF(OR($A261="",ISNA(MATCH($A261,Simulations!$A$3:$A$62,0))),"",IF(N($F261)&lt;=0,0,IF($F261&lt;INDEX(Simulations!$J$3:$J$62,MATCH($A261,Simulations!$A$3:$A$62,0)),$D261/(INDEX(Simulations!$G$3:$G$62,MATCH($A261,Simulations!$A$3:$A$62,0))*INDEX(Simulations!$H$3:$H$62,MATCH($A261,Simulations!$A$3:$A$62,0))*IF(INDEX(Simulations!$I$3:$I$62,MATCH($A261,Simulations!$A$3:$A$62,0))&gt;0,INDEX(Simulations!$I$3:$I$62,MATCH($A261,Simulations!$A$3:$A$62,0)),1))*$F261*(PI()/2*INDEX(Simulations!$T$3:$T$62,MATCH($A261,Simulations!$A$3:$A$62,0))^2*IF(INDEX(Simulations!$I$3:$I$62,MATCH($A261,Simulations!$A$3:$A$62,0))&gt;0,SQRT(PI()/2)*INDEX(Simulations!$U$3:$U$62,MATCH($A261,Simulations!$A$3:$A$62,0)),1)),$D261/(INDEX(Simulations!$G$3:$G$62,MATCH($A261,Simulations!$A$3:$A$62,0))*INDEX(Simulations!$H$3:$H$62,MATCH($A261,Simulations!$A$3:$A$62,0))*IF(INDEX(Simulations!$I$3:$I$62,MATCH($A261,Simulations!$A$3:$A$62,0))&gt;0,INDEX(Simulations!$I$3:$I$62,MATCH($A261,Simulations!$A$3:$A$62,0)),1))*INDEX(Simulations!$J$3:$J$62,MATCH($A261,Simulations!$A$3:$A$62,0))*IF(INDEX(Simulations!$I$3:$I$62,MATCH($A261,Simulations!$A$3:$A$62,0))&gt;0,2*PI()*INDEX(Simulations!$T$3:$T$62,MATCH($A261,Simulations!$A$3:$A$62,0))^2*INDEX(Simulations!$U$3:$U$62,MATCH($A261,Simulations!$A$3:$A$62,0))/2^1.5*(2/3*LN($F261/INDEX(Simulations!$J$3:$J$62,MATCH($A261,Simulations!$A$3:$A$62,0)))^1.5+SQRT(LN($F261/INDEX(Simulations!$J$3:$J$62,MATCH($A261,Simulations!$A$3:$A$62,0))))+$F261/INDEX(Simulations!$J$3:$J$62,MATCH($A261,Simulations!$A$3:$A$62,0))*SQRT(PI())/2*ERFC(SQRT(LN($F261/INDEX(Simulations!$J$3:$J$62,MATCH($A261,Simulations!$A$3:$A$62,0)))))),PI()*INDEX(Simulations!$T$3:$T$62,MATCH($A261,Simulations!$A$3:$A$62,0))^2/2*(LN($F261/INDEX(Simulations!$J$3:$J$62,MATCH($A261,Simulations!$A$3:$A$62,0)))+1)))))</f>
        <v/>
      </c>
      <c r="S261" s="16" t="str">
        <f aca="false">IF(OR($A261="",ISNA(MATCH($A261,Simulations!$A$3:$A$62,0))),"",IF(N($G261)&lt;=0,0,IF($G261&lt;INDEX(Simulations!$J$3:$J$62,MATCH($A261,Simulations!$A$3:$A$62,0)),$D261/(INDEX(Simulations!$G$3:$G$62,MATCH($A261,Simulations!$A$3:$A$62,0))*INDEX(Simulations!$H$3:$H$62,MATCH($A261,Simulations!$A$3:$A$62,0))*IF(INDEX(Simulations!$I$3:$I$62,MATCH($A261,Simulations!$A$3:$A$62,0))&gt;0,INDEX(Simulations!$I$3:$I$62,MATCH($A261,Simulations!$A$3:$A$62,0)),1))*$G261*(PI()/2*INDEX(Simulations!$T$3:$T$62,MATCH($A261,Simulations!$A$3:$A$62,0))^2*IF(INDEX(Simulations!$I$3:$I$62,MATCH($A261,Simulations!$A$3:$A$62,0))&gt;0,SQRT(PI()/2)*INDEX(Simulations!$U$3:$U$62,MATCH($A261,Simulations!$A$3:$A$62,0)),1)),$D261/(INDEX(Simulations!$G$3:$G$62,MATCH($A261,Simulations!$A$3:$A$62,0))*INDEX(Simulations!$H$3:$H$62,MATCH($A261,Simulations!$A$3:$A$62,0))*IF(INDEX(Simulations!$I$3:$I$62,MATCH($A261,Simulations!$A$3:$A$62,0))&gt;0,INDEX(Simulations!$I$3:$I$62,MATCH($A261,Simulations!$A$3:$A$62,0)),1))*INDEX(Simulations!$J$3:$J$62,MATCH($A261,Simulations!$A$3:$A$62,0))*IF(INDEX(Simulations!$I$3:$I$62,MATCH($A261,Simulations!$A$3:$A$62,0))&gt;0,2*PI()*INDEX(Simulations!$T$3:$T$62,MATCH($A261,Simulations!$A$3:$A$62,0))^2*INDEX(Simulations!$U$3:$U$62,MATCH($A261,Simulations!$A$3:$A$62,0))/2^1.5*(2/3*LN($G261/INDEX(Simulations!$J$3:$J$62,MATCH($A261,Simulations!$A$3:$A$62,0)))^1.5+SQRT(LN($G261/INDEX(Simulations!$J$3:$J$62,MATCH($A261,Simulations!$A$3:$A$62,0))))+$G261/INDEX(Simulations!$J$3:$J$62,MATCH($A261,Simulations!$A$3:$A$62,0))*SQRT(PI())/2*ERFC(SQRT(LN($G261/INDEX(Simulations!$J$3:$J$62,MATCH($A261,Simulations!$A$3:$A$62,0)))))),PI()*INDEX(Simulations!$T$3:$T$62,MATCH($A261,Simulations!$A$3:$A$62,0))^2/2*(LN($G261/INDEX(Simulations!$J$3:$J$62,MATCH($A261,Simulations!$A$3:$A$62,0)))+1)))))</f>
        <v/>
      </c>
      <c r="T261" s="16" t="str">
        <f aca="false">IF(OR($A261="",ISNA(MATCH($A261,Simulations!$A$3:$A$62,0))),"",IF(N($H261)&lt;=0,0,IF($H261&lt;INDEX(Simulations!$J$3:$J$62,MATCH($A261,Simulations!$A$3:$A$62,0)),$D261/(INDEX(Simulations!$G$3:$G$62,MATCH($A261,Simulations!$A$3:$A$62,0))*INDEX(Simulations!$H$3:$H$62,MATCH($A261,Simulations!$A$3:$A$62,0))*IF(INDEX(Simulations!$I$3:$I$62,MATCH($A261,Simulations!$A$3:$A$62,0))&gt;0,INDEX(Simulations!$I$3:$I$62,MATCH($A261,Simulations!$A$3:$A$62,0)),1))*$H261*(PI()/2*INDEX(Simulations!$T$3:$T$62,MATCH($A261,Simulations!$A$3:$A$62,0))^2*IF(INDEX(Simulations!$I$3:$I$62,MATCH($A261,Simulations!$A$3:$A$62,0))&gt;0,SQRT(PI()/2)*INDEX(Simulations!$U$3:$U$62,MATCH($A261,Simulations!$A$3:$A$62,0)),1)),$D261/(INDEX(Simulations!$G$3:$G$62,MATCH($A261,Simulations!$A$3:$A$62,0))*INDEX(Simulations!$H$3:$H$62,MATCH($A261,Simulations!$A$3:$A$62,0))*IF(INDEX(Simulations!$I$3:$I$62,MATCH($A261,Simulations!$A$3:$A$62,0))&gt;0,INDEX(Simulations!$I$3:$I$62,MATCH($A261,Simulations!$A$3:$A$62,0)),1))*INDEX(Simulations!$J$3:$J$62,MATCH($A261,Simulations!$A$3:$A$62,0))*IF(INDEX(Simulations!$I$3:$I$62,MATCH($A261,Simulations!$A$3:$A$62,0))&gt;0,2*PI()*INDEX(Simulations!$T$3:$T$62,MATCH($A261,Simulations!$A$3:$A$62,0))^2*INDEX(Simulations!$U$3:$U$62,MATCH($A261,Simulations!$A$3:$A$62,0))/2^1.5*(2/3*LN($H261/INDEX(Simulations!$J$3:$J$62,MATCH($A261,Simulations!$A$3:$A$62,0)))^1.5+SQRT(LN($H261/INDEX(Simulations!$J$3:$J$62,MATCH($A261,Simulations!$A$3:$A$62,0))))+$H261/INDEX(Simulations!$J$3:$J$62,MATCH($A261,Simulations!$A$3:$A$62,0))*SQRT(PI())/2*ERFC(SQRT(LN($H261/INDEX(Simulations!$J$3:$J$62,MATCH($A261,Simulations!$A$3:$A$62,0)))))),PI()*INDEX(Simulations!$T$3:$T$62,MATCH($A261,Simulations!$A$3:$A$62,0))^2/2*(LN($H261/INDEX(Simulations!$J$3:$J$62,MATCH($A261,Simulations!$A$3:$A$62,0)))+1)))))</f>
        <v/>
      </c>
      <c r="U261" s="18" t="str">
        <f aca="false">IF(OR(OR($A261="",ISNA(MATCH($A261,Simulations!$A$3:$A$62,0))),N($C261)&lt;=0),"",SQRT(2*$C261*1000000/(INDEX(Simulations!$J$3:$J$62,MATCH($A261,Simulations!$A$3:$A$62,0))*1000))/INDEX(Simulations!$T$3:$T$62,MATCH($A261,Simulations!$A$3:$A$62,0)))</f>
        <v/>
      </c>
      <c r="V261" s="19" t="str">
        <f aca="false">IF($A261="","",IF(ISNA(MATCH($A261,Simulations!$A$3:$A$62,0)),"✖ Sim ID not found on the Simulations sheet",IF($P261&gt;=1,"✖ brightness &gt;= sampling frequency: completely saturated (D too small, c too large)",IF($P261&gt;0.1,"⚠ brightness &gt; 10% of the sampling frequency: focus starts to saturate",IF(N($U261)&gt;0.1,"⚠ diffusion step &gt; 10% of wr: raise the sampling frequency",IF(MAX($E261:$H261)=0,"⚠ no brightness set","✔ OK"))))))</f>
        <v/>
      </c>
    </row>
    <row r="262" customFormat="false" ht="15" hidden="false" customHeight="false" outlineLevel="0" collapsed="false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4"/>
      <c r="O262" s="18" t="str">
        <f aca="false">IF(OR($A262="",ISNA(MATCH($A262,Simulations!$A$3:$A$62,0))),"",IF(INDEX(Simulations!$I$3:$I$62,MATCH($A262,Simulations!$A$3:$A$62,0))&gt;0,$D262/(INDEX(Simulations!$G$3:$G$62,MATCH($A262,Simulations!$A$3:$A$62,0))*INDEX(Simulations!$H$3:$H$62,MATCH($A262,Simulations!$A$3:$A$62,0))*IF(INDEX(Simulations!$I$3:$I$62,MATCH($A262,Simulations!$A$3:$A$62,0))&gt;0,INDEX(Simulations!$I$3:$I$62,MATCH($A262,Simulations!$A$3:$A$62,0)),1))/1E-024/6.022E+023/0.000000001,""))</f>
        <v/>
      </c>
      <c r="P262" s="20" t="str">
        <f aca="false">IF(OR($A262="",ISNA(MATCH($A262,Simulations!$A$3:$A$62,0))),"",MAX($E262:$H262)/INDEX(Simulations!$J$3:$J$62,MATCH($A262,Simulations!$A$3:$A$62,0)))</f>
        <v/>
      </c>
      <c r="Q262" s="16" t="str">
        <f aca="false">IF(OR($A262="",ISNA(MATCH($A262,Simulations!$A$3:$A$62,0))),"",IF(N($E262)&lt;=0,0,IF($E262&lt;INDEX(Simulations!$J$3:$J$62,MATCH($A262,Simulations!$A$3:$A$62,0)),$D262/(INDEX(Simulations!$G$3:$G$62,MATCH($A262,Simulations!$A$3:$A$62,0))*INDEX(Simulations!$H$3:$H$62,MATCH($A262,Simulations!$A$3:$A$62,0))*IF(INDEX(Simulations!$I$3:$I$62,MATCH($A262,Simulations!$A$3:$A$62,0))&gt;0,INDEX(Simulations!$I$3:$I$62,MATCH($A262,Simulations!$A$3:$A$62,0)),1))*$E262*(PI()/2*INDEX(Simulations!$T$3:$T$62,MATCH($A262,Simulations!$A$3:$A$62,0))^2*IF(INDEX(Simulations!$I$3:$I$62,MATCH($A262,Simulations!$A$3:$A$62,0))&gt;0,SQRT(PI()/2)*INDEX(Simulations!$U$3:$U$62,MATCH($A262,Simulations!$A$3:$A$62,0)),1)),$D262/(INDEX(Simulations!$G$3:$G$62,MATCH($A262,Simulations!$A$3:$A$62,0))*INDEX(Simulations!$H$3:$H$62,MATCH($A262,Simulations!$A$3:$A$62,0))*IF(INDEX(Simulations!$I$3:$I$62,MATCH($A262,Simulations!$A$3:$A$62,0))&gt;0,INDEX(Simulations!$I$3:$I$62,MATCH($A262,Simulations!$A$3:$A$62,0)),1))*INDEX(Simulations!$J$3:$J$62,MATCH($A262,Simulations!$A$3:$A$62,0))*IF(INDEX(Simulations!$I$3:$I$62,MATCH($A262,Simulations!$A$3:$A$62,0))&gt;0,2*PI()*INDEX(Simulations!$T$3:$T$62,MATCH($A262,Simulations!$A$3:$A$62,0))^2*INDEX(Simulations!$U$3:$U$62,MATCH($A262,Simulations!$A$3:$A$62,0))/2^1.5*(2/3*LN($E262/INDEX(Simulations!$J$3:$J$62,MATCH($A262,Simulations!$A$3:$A$62,0)))^1.5+SQRT(LN($E262/INDEX(Simulations!$J$3:$J$62,MATCH($A262,Simulations!$A$3:$A$62,0))))+$E262/INDEX(Simulations!$J$3:$J$62,MATCH($A262,Simulations!$A$3:$A$62,0))*SQRT(PI())/2*ERFC(SQRT(LN($E262/INDEX(Simulations!$J$3:$J$62,MATCH($A262,Simulations!$A$3:$A$62,0)))))),PI()*INDEX(Simulations!$T$3:$T$62,MATCH($A262,Simulations!$A$3:$A$62,0))^2/2*(LN($E262/INDEX(Simulations!$J$3:$J$62,MATCH($A262,Simulations!$A$3:$A$62,0)))+1)))))</f>
        <v/>
      </c>
      <c r="R262" s="16" t="str">
        <f aca="false">IF(OR($A262="",ISNA(MATCH($A262,Simulations!$A$3:$A$62,0))),"",IF(N($F262)&lt;=0,0,IF($F262&lt;INDEX(Simulations!$J$3:$J$62,MATCH($A262,Simulations!$A$3:$A$62,0)),$D262/(INDEX(Simulations!$G$3:$G$62,MATCH($A262,Simulations!$A$3:$A$62,0))*INDEX(Simulations!$H$3:$H$62,MATCH($A262,Simulations!$A$3:$A$62,0))*IF(INDEX(Simulations!$I$3:$I$62,MATCH($A262,Simulations!$A$3:$A$62,0))&gt;0,INDEX(Simulations!$I$3:$I$62,MATCH($A262,Simulations!$A$3:$A$62,0)),1))*$F262*(PI()/2*INDEX(Simulations!$T$3:$T$62,MATCH($A262,Simulations!$A$3:$A$62,0))^2*IF(INDEX(Simulations!$I$3:$I$62,MATCH($A262,Simulations!$A$3:$A$62,0))&gt;0,SQRT(PI()/2)*INDEX(Simulations!$U$3:$U$62,MATCH($A262,Simulations!$A$3:$A$62,0)),1)),$D262/(INDEX(Simulations!$G$3:$G$62,MATCH($A262,Simulations!$A$3:$A$62,0))*INDEX(Simulations!$H$3:$H$62,MATCH($A262,Simulations!$A$3:$A$62,0))*IF(INDEX(Simulations!$I$3:$I$62,MATCH($A262,Simulations!$A$3:$A$62,0))&gt;0,INDEX(Simulations!$I$3:$I$62,MATCH($A262,Simulations!$A$3:$A$62,0)),1))*INDEX(Simulations!$J$3:$J$62,MATCH($A262,Simulations!$A$3:$A$62,0))*IF(INDEX(Simulations!$I$3:$I$62,MATCH($A262,Simulations!$A$3:$A$62,0))&gt;0,2*PI()*INDEX(Simulations!$T$3:$T$62,MATCH($A262,Simulations!$A$3:$A$62,0))^2*INDEX(Simulations!$U$3:$U$62,MATCH($A262,Simulations!$A$3:$A$62,0))/2^1.5*(2/3*LN($F262/INDEX(Simulations!$J$3:$J$62,MATCH($A262,Simulations!$A$3:$A$62,0)))^1.5+SQRT(LN($F262/INDEX(Simulations!$J$3:$J$62,MATCH($A262,Simulations!$A$3:$A$62,0))))+$F262/INDEX(Simulations!$J$3:$J$62,MATCH($A262,Simulations!$A$3:$A$62,0))*SQRT(PI())/2*ERFC(SQRT(LN($F262/INDEX(Simulations!$J$3:$J$62,MATCH($A262,Simulations!$A$3:$A$62,0)))))),PI()*INDEX(Simulations!$T$3:$T$62,MATCH($A262,Simulations!$A$3:$A$62,0))^2/2*(LN($F262/INDEX(Simulations!$J$3:$J$62,MATCH($A262,Simulations!$A$3:$A$62,0)))+1)))))</f>
        <v/>
      </c>
      <c r="S262" s="16" t="str">
        <f aca="false">IF(OR($A262="",ISNA(MATCH($A262,Simulations!$A$3:$A$62,0))),"",IF(N($G262)&lt;=0,0,IF($G262&lt;INDEX(Simulations!$J$3:$J$62,MATCH($A262,Simulations!$A$3:$A$62,0)),$D262/(INDEX(Simulations!$G$3:$G$62,MATCH($A262,Simulations!$A$3:$A$62,0))*INDEX(Simulations!$H$3:$H$62,MATCH($A262,Simulations!$A$3:$A$62,0))*IF(INDEX(Simulations!$I$3:$I$62,MATCH($A262,Simulations!$A$3:$A$62,0))&gt;0,INDEX(Simulations!$I$3:$I$62,MATCH($A262,Simulations!$A$3:$A$62,0)),1))*$G262*(PI()/2*INDEX(Simulations!$T$3:$T$62,MATCH($A262,Simulations!$A$3:$A$62,0))^2*IF(INDEX(Simulations!$I$3:$I$62,MATCH($A262,Simulations!$A$3:$A$62,0))&gt;0,SQRT(PI()/2)*INDEX(Simulations!$U$3:$U$62,MATCH($A262,Simulations!$A$3:$A$62,0)),1)),$D262/(INDEX(Simulations!$G$3:$G$62,MATCH($A262,Simulations!$A$3:$A$62,0))*INDEX(Simulations!$H$3:$H$62,MATCH($A262,Simulations!$A$3:$A$62,0))*IF(INDEX(Simulations!$I$3:$I$62,MATCH($A262,Simulations!$A$3:$A$62,0))&gt;0,INDEX(Simulations!$I$3:$I$62,MATCH($A262,Simulations!$A$3:$A$62,0)),1))*INDEX(Simulations!$J$3:$J$62,MATCH($A262,Simulations!$A$3:$A$62,0))*IF(INDEX(Simulations!$I$3:$I$62,MATCH($A262,Simulations!$A$3:$A$62,0))&gt;0,2*PI()*INDEX(Simulations!$T$3:$T$62,MATCH($A262,Simulations!$A$3:$A$62,0))^2*INDEX(Simulations!$U$3:$U$62,MATCH($A262,Simulations!$A$3:$A$62,0))/2^1.5*(2/3*LN($G262/INDEX(Simulations!$J$3:$J$62,MATCH($A262,Simulations!$A$3:$A$62,0)))^1.5+SQRT(LN($G262/INDEX(Simulations!$J$3:$J$62,MATCH($A262,Simulations!$A$3:$A$62,0))))+$G262/INDEX(Simulations!$J$3:$J$62,MATCH($A262,Simulations!$A$3:$A$62,0))*SQRT(PI())/2*ERFC(SQRT(LN($G262/INDEX(Simulations!$J$3:$J$62,MATCH($A262,Simulations!$A$3:$A$62,0)))))),PI()*INDEX(Simulations!$T$3:$T$62,MATCH($A262,Simulations!$A$3:$A$62,0))^2/2*(LN($G262/INDEX(Simulations!$J$3:$J$62,MATCH($A262,Simulations!$A$3:$A$62,0)))+1)))))</f>
        <v/>
      </c>
      <c r="T262" s="16" t="str">
        <f aca="false">IF(OR($A262="",ISNA(MATCH($A262,Simulations!$A$3:$A$62,0))),"",IF(N($H262)&lt;=0,0,IF($H262&lt;INDEX(Simulations!$J$3:$J$62,MATCH($A262,Simulations!$A$3:$A$62,0)),$D262/(INDEX(Simulations!$G$3:$G$62,MATCH($A262,Simulations!$A$3:$A$62,0))*INDEX(Simulations!$H$3:$H$62,MATCH($A262,Simulations!$A$3:$A$62,0))*IF(INDEX(Simulations!$I$3:$I$62,MATCH($A262,Simulations!$A$3:$A$62,0))&gt;0,INDEX(Simulations!$I$3:$I$62,MATCH($A262,Simulations!$A$3:$A$62,0)),1))*$H262*(PI()/2*INDEX(Simulations!$T$3:$T$62,MATCH($A262,Simulations!$A$3:$A$62,0))^2*IF(INDEX(Simulations!$I$3:$I$62,MATCH($A262,Simulations!$A$3:$A$62,0))&gt;0,SQRT(PI()/2)*INDEX(Simulations!$U$3:$U$62,MATCH($A262,Simulations!$A$3:$A$62,0)),1)),$D262/(INDEX(Simulations!$G$3:$G$62,MATCH($A262,Simulations!$A$3:$A$62,0))*INDEX(Simulations!$H$3:$H$62,MATCH($A262,Simulations!$A$3:$A$62,0))*IF(INDEX(Simulations!$I$3:$I$62,MATCH($A262,Simulations!$A$3:$A$62,0))&gt;0,INDEX(Simulations!$I$3:$I$62,MATCH($A262,Simulations!$A$3:$A$62,0)),1))*INDEX(Simulations!$J$3:$J$62,MATCH($A262,Simulations!$A$3:$A$62,0))*IF(INDEX(Simulations!$I$3:$I$62,MATCH($A262,Simulations!$A$3:$A$62,0))&gt;0,2*PI()*INDEX(Simulations!$T$3:$T$62,MATCH($A262,Simulations!$A$3:$A$62,0))^2*INDEX(Simulations!$U$3:$U$62,MATCH($A262,Simulations!$A$3:$A$62,0))/2^1.5*(2/3*LN($H262/INDEX(Simulations!$J$3:$J$62,MATCH($A262,Simulations!$A$3:$A$62,0)))^1.5+SQRT(LN($H262/INDEX(Simulations!$J$3:$J$62,MATCH($A262,Simulations!$A$3:$A$62,0))))+$H262/INDEX(Simulations!$J$3:$J$62,MATCH($A262,Simulations!$A$3:$A$62,0))*SQRT(PI())/2*ERFC(SQRT(LN($H262/INDEX(Simulations!$J$3:$J$62,MATCH($A262,Simulations!$A$3:$A$62,0)))))),PI()*INDEX(Simulations!$T$3:$T$62,MATCH($A262,Simulations!$A$3:$A$62,0))^2/2*(LN($H262/INDEX(Simulations!$J$3:$J$62,MATCH($A262,Simulations!$A$3:$A$62,0)))+1)))))</f>
        <v/>
      </c>
      <c r="U262" s="18" t="str">
        <f aca="false">IF(OR(OR($A262="",ISNA(MATCH($A262,Simulations!$A$3:$A$62,0))),N($C262)&lt;=0),"",SQRT(2*$C262*1000000/(INDEX(Simulations!$J$3:$J$62,MATCH($A262,Simulations!$A$3:$A$62,0))*1000))/INDEX(Simulations!$T$3:$T$62,MATCH($A262,Simulations!$A$3:$A$62,0)))</f>
        <v/>
      </c>
      <c r="V262" s="19" t="str">
        <f aca="false">IF($A262="","",IF(ISNA(MATCH($A262,Simulations!$A$3:$A$62,0)),"✖ Sim ID not found on the Simulations sheet",IF($P262&gt;=1,"✖ brightness &gt;= sampling frequency: completely saturated (D too small, c too large)",IF($P262&gt;0.1,"⚠ brightness &gt; 10% of the sampling frequency: focus starts to saturate",IF(N($U262)&gt;0.1,"⚠ diffusion step &gt; 10% of wr: raise the sampling frequency",IF(MAX($E262:$H262)=0,"⚠ no brightness set","✔ OK"))))))</f>
        <v/>
      </c>
    </row>
    <row r="263" customFormat="false" ht="15" hidden="false" customHeight="false" outlineLevel="0" collapsed="false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4"/>
      <c r="O263" s="18" t="str">
        <f aca="false">IF(OR($A263="",ISNA(MATCH($A263,Simulations!$A$3:$A$62,0))),"",IF(INDEX(Simulations!$I$3:$I$62,MATCH($A263,Simulations!$A$3:$A$62,0))&gt;0,$D263/(INDEX(Simulations!$G$3:$G$62,MATCH($A263,Simulations!$A$3:$A$62,0))*INDEX(Simulations!$H$3:$H$62,MATCH($A263,Simulations!$A$3:$A$62,0))*IF(INDEX(Simulations!$I$3:$I$62,MATCH($A263,Simulations!$A$3:$A$62,0))&gt;0,INDEX(Simulations!$I$3:$I$62,MATCH($A263,Simulations!$A$3:$A$62,0)),1))/1E-024/6.022E+023/0.000000001,""))</f>
        <v/>
      </c>
      <c r="P263" s="20" t="str">
        <f aca="false">IF(OR($A263="",ISNA(MATCH($A263,Simulations!$A$3:$A$62,0))),"",MAX($E263:$H263)/INDEX(Simulations!$J$3:$J$62,MATCH($A263,Simulations!$A$3:$A$62,0)))</f>
        <v/>
      </c>
      <c r="Q263" s="16" t="str">
        <f aca="false">IF(OR($A263="",ISNA(MATCH($A263,Simulations!$A$3:$A$62,0))),"",IF(N($E263)&lt;=0,0,IF($E263&lt;INDEX(Simulations!$J$3:$J$62,MATCH($A263,Simulations!$A$3:$A$62,0)),$D263/(INDEX(Simulations!$G$3:$G$62,MATCH($A263,Simulations!$A$3:$A$62,0))*INDEX(Simulations!$H$3:$H$62,MATCH($A263,Simulations!$A$3:$A$62,0))*IF(INDEX(Simulations!$I$3:$I$62,MATCH($A263,Simulations!$A$3:$A$62,0))&gt;0,INDEX(Simulations!$I$3:$I$62,MATCH($A263,Simulations!$A$3:$A$62,0)),1))*$E263*(PI()/2*INDEX(Simulations!$T$3:$T$62,MATCH($A263,Simulations!$A$3:$A$62,0))^2*IF(INDEX(Simulations!$I$3:$I$62,MATCH($A263,Simulations!$A$3:$A$62,0))&gt;0,SQRT(PI()/2)*INDEX(Simulations!$U$3:$U$62,MATCH($A263,Simulations!$A$3:$A$62,0)),1)),$D263/(INDEX(Simulations!$G$3:$G$62,MATCH($A263,Simulations!$A$3:$A$62,0))*INDEX(Simulations!$H$3:$H$62,MATCH($A263,Simulations!$A$3:$A$62,0))*IF(INDEX(Simulations!$I$3:$I$62,MATCH($A263,Simulations!$A$3:$A$62,0))&gt;0,INDEX(Simulations!$I$3:$I$62,MATCH($A263,Simulations!$A$3:$A$62,0)),1))*INDEX(Simulations!$J$3:$J$62,MATCH($A263,Simulations!$A$3:$A$62,0))*IF(INDEX(Simulations!$I$3:$I$62,MATCH($A263,Simulations!$A$3:$A$62,0))&gt;0,2*PI()*INDEX(Simulations!$T$3:$T$62,MATCH($A263,Simulations!$A$3:$A$62,0))^2*INDEX(Simulations!$U$3:$U$62,MATCH($A263,Simulations!$A$3:$A$62,0))/2^1.5*(2/3*LN($E263/INDEX(Simulations!$J$3:$J$62,MATCH($A263,Simulations!$A$3:$A$62,0)))^1.5+SQRT(LN($E263/INDEX(Simulations!$J$3:$J$62,MATCH($A263,Simulations!$A$3:$A$62,0))))+$E263/INDEX(Simulations!$J$3:$J$62,MATCH($A263,Simulations!$A$3:$A$62,0))*SQRT(PI())/2*ERFC(SQRT(LN($E263/INDEX(Simulations!$J$3:$J$62,MATCH($A263,Simulations!$A$3:$A$62,0)))))),PI()*INDEX(Simulations!$T$3:$T$62,MATCH($A263,Simulations!$A$3:$A$62,0))^2/2*(LN($E263/INDEX(Simulations!$J$3:$J$62,MATCH($A263,Simulations!$A$3:$A$62,0)))+1)))))</f>
        <v/>
      </c>
      <c r="R263" s="16" t="str">
        <f aca="false">IF(OR($A263="",ISNA(MATCH($A263,Simulations!$A$3:$A$62,0))),"",IF(N($F263)&lt;=0,0,IF($F263&lt;INDEX(Simulations!$J$3:$J$62,MATCH($A263,Simulations!$A$3:$A$62,0)),$D263/(INDEX(Simulations!$G$3:$G$62,MATCH($A263,Simulations!$A$3:$A$62,0))*INDEX(Simulations!$H$3:$H$62,MATCH($A263,Simulations!$A$3:$A$62,0))*IF(INDEX(Simulations!$I$3:$I$62,MATCH($A263,Simulations!$A$3:$A$62,0))&gt;0,INDEX(Simulations!$I$3:$I$62,MATCH($A263,Simulations!$A$3:$A$62,0)),1))*$F263*(PI()/2*INDEX(Simulations!$T$3:$T$62,MATCH($A263,Simulations!$A$3:$A$62,0))^2*IF(INDEX(Simulations!$I$3:$I$62,MATCH($A263,Simulations!$A$3:$A$62,0))&gt;0,SQRT(PI()/2)*INDEX(Simulations!$U$3:$U$62,MATCH($A263,Simulations!$A$3:$A$62,0)),1)),$D263/(INDEX(Simulations!$G$3:$G$62,MATCH($A263,Simulations!$A$3:$A$62,0))*INDEX(Simulations!$H$3:$H$62,MATCH($A263,Simulations!$A$3:$A$62,0))*IF(INDEX(Simulations!$I$3:$I$62,MATCH($A263,Simulations!$A$3:$A$62,0))&gt;0,INDEX(Simulations!$I$3:$I$62,MATCH($A263,Simulations!$A$3:$A$62,0)),1))*INDEX(Simulations!$J$3:$J$62,MATCH($A263,Simulations!$A$3:$A$62,0))*IF(INDEX(Simulations!$I$3:$I$62,MATCH($A263,Simulations!$A$3:$A$62,0))&gt;0,2*PI()*INDEX(Simulations!$T$3:$T$62,MATCH($A263,Simulations!$A$3:$A$62,0))^2*INDEX(Simulations!$U$3:$U$62,MATCH($A263,Simulations!$A$3:$A$62,0))/2^1.5*(2/3*LN($F263/INDEX(Simulations!$J$3:$J$62,MATCH($A263,Simulations!$A$3:$A$62,0)))^1.5+SQRT(LN($F263/INDEX(Simulations!$J$3:$J$62,MATCH($A263,Simulations!$A$3:$A$62,0))))+$F263/INDEX(Simulations!$J$3:$J$62,MATCH($A263,Simulations!$A$3:$A$62,0))*SQRT(PI())/2*ERFC(SQRT(LN($F263/INDEX(Simulations!$J$3:$J$62,MATCH($A263,Simulations!$A$3:$A$62,0)))))),PI()*INDEX(Simulations!$T$3:$T$62,MATCH($A263,Simulations!$A$3:$A$62,0))^2/2*(LN($F263/INDEX(Simulations!$J$3:$J$62,MATCH($A263,Simulations!$A$3:$A$62,0)))+1)))))</f>
        <v/>
      </c>
      <c r="S263" s="16" t="str">
        <f aca="false">IF(OR($A263="",ISNA(MATCH($A263,Simulations!$A$3:$A$62,0))),"",IF(N($G263)&lt;=0,0,IF($G263&lt;INDEX(Simulations!$J$3:$J$62,MATCH($A263,Simulations!$A$3:$A$62,0)),$D263/(INDEX(Simulations!$G$3:$G$62,MATCH($A263,Simulations!$A$3:$A$62,0))*INDEX(Simulations!$H$3:$H$62,MATCH($A263,Simulations!$A$3:$A$62,0))*IF(INDEX(Simulations!$I$3:$I$62,MATCH($A263,Simulations!$A$3:$A$62,0))&gt;0,INDEX(Simulations!$I$3:$I$62,MATCH($A263,Simulations!$A$3:$A$62,0)),1))*$G263*(PI()/2*INDEX(Simulations!$T$3:$T$62,MATCH($A263,Simulations!$A$3:$A$62,0))^2*IF(INDEX(Simulations!$I$3:$I$62,MATCH($A263,Simulations!$A$3:$A$62,0))&gt;0,SQRT(PI()/2)*INDEX(Simulations!$U$3:$U$62,MATCH($A263,Simulations!$A$3:$A$62,0)),1)),$D263/(INDEX(Simulations!$G$3:$G$62,MATCH($A263,Simulations!$A$3:$A$62,0))*INDEX(Simulations!$H$3:$H$62,MATCH($A263,Simulations!$A$3:$A$62,0))*IF(INDEX(Simulations!$I$3:$I$62,MATCH($A263,Simulations!$A$3:$A$62,0))&gt;0,INDEX(Simulations!$I$3:$I$62,MATCH($A263,Simulations!$A$3:$A$62,0)),1))*INDEX(Simulations!$J$3:$J$62,MATCH($A263,Simulations!$A$3:$A$62,0))*IF(INDEX(Simulations!$I$3:$I$62,MATCH($A263,Simulations!$A$3:$A$62,0))&gt;0,2*PI()*INDEX(Simulations!$T$3:$T$62,MATCH($A263,Simulations!$A$3:$A$62,0))^2*INDEX(Simulations!$U$3:$U$62,MATCH($A263,Simulations!$A$3:$A$62,0))/2^1.5*(2/3*LN($G263/INDEX(Simulations!$J$3:$J$62,MATCH($A263,Simulations!$A$3:$A$62,0)))^1.5+SQRT(LN($G263/INDEX(Simulations!$J$3:$J$62,MATCH($A263,Simulations!$A$3:$A$62,0))))+$G263/INDEX(Simulations!$J$3:$J$62,MATCH($A263,Simulations!$A$3:$A$62,0))*SQRT(PI())/2*ERFC(SQRT(LN($G263/INDEX(Simulations!$J$3:$J$62,MATCH($A263,Simulations!$A$3:$A$62,0)))))),PI()*INDEX(Simulations!$T$3:$T$62,MATCH($A263,Simulations!$A$3:$A$62,0))^2/2*(LN($G263/INDEX(Simulations!$J$3:$J$62,MATCH($A263,Simulations!$A$3:$A$62,0)))+1)))))</f>
        <v/>
      </c>
      <c r="T263" s="16" t="str">
        <f aca="false">IF(OR($A263="",ISNA(MATCH($A263,Simulations!$A$3:$A$62,0))),"",IF(N($H263)&lt;=0,0,IF($H263&lt;INDEX(Simulations!$J$3:$J$62,MATCH($A263,Simulations!$A$3:$A$62,0)),$D263/(INDEX(Simulations!$G$3:$G$62,MATCH($A263,Simulations!$A$3:$A$62,0))*INDEX(Simulations!$H$3:$H$62,MATCH($A263,Simulations!$A$3:$A$62,0))*IF(INDEX(Simulations!$I$3:$I$62,MATCH($A263,Simulations!$A$3:$A$62,0))&gt;0,INDEX(Simulations!$I$3:$I$62,MATCH($A263,Simulations!$A$3:$A$62,0)),1))*$H263*(PI()/2*INDEX(Simulations!$T$3:$T$62,MATCH($A263,Simulations!$A$3:$A$62,0))^2*IF(INDEX(Simulations!$I$3:$I$62,MATCH($A263,Simulations!$A$3:$A$62,0))&gt;0,SQRT(PI()/2)*INDEX(Simulations!$U$3:$U$62,MATCH($A263,Simulations!$A$3:$A$62,0)),1)),$D263/(INDEX(Simulations!$G$3:$G$62,MATCH($A263,Simulations!$A$3:$A$62,0))*INDEX(Simulations!$H$3:$H$62,MATCH($A263,Simulations!$A$3:$A$62,0))*IF(INDEX(Simulations!$I$3:$I$62,MATCH($A263,Simulations!$A$3:$A$62,0))&gt;0,INDEX(Simulations!$I$3:$I$62,MATCH($A263,Simulations!$A$3:$A$62,0)),1))*INDEX(Simulations!$J$3:$J$62,MATCH($A263,Simulations!$A$3:$A$62,0))*IF(INDEX(Simulations!$I$3:$I$62,MATCH($A263,Simulations!$A$3:$A$62,0))&gt;0,2*PI()*INDEX(Simulations!$T$3:$T$62,MATCH($A263,Simulations!$A$3:$A$62,0))^2*INDEX(Simulations!$U$3:$U$62,MATCH($A263,Simulations!$A$3:$A$62,0))/2^1.5*(2/3*LN($H263/INDEX(Simulations!$J$3:$J$62,MATCH($A263,Simulations!$A$3:$A$62,0)))^1.5+SQRT(LN($H263/INDEX(Simulations!$J$3:$J$62,MATCH($A263,Simulations!$A$3:$A$62,0))))+$H263/INDEX(Simulations!$J$3:$J$62,MATCH($A263,Simulations!$A$3:$A$62,0))*SQRT(PI())/2*ERFC(SQRT(LN($H263/INDEX(Simulations!$J$3:$J$62,MATCH($A263,Simulations!$A$3:$A$62,0)))))),PI()*INDEX(Simulations!$T$3:$T$62,MATCH($A263,Simulations!$A$3:$A$62,0))^2/2*(LN($H263/INDEX(Simulations!$J$3:$J$62,MATCH($A263,Simulations!$A$3:$A$62,0)))+1)))))</f>
        <v/>
      </c>
      <c r="U263" s="18" t="str">
        <f aca="false">IF(OR(OR($A263="",ISNA(MATCH($A263,Simulations!$A$3:$A$62,0))),N($C263)&lt;=0),"",SQRT(2*$C263*1000000/(INDEX(Simulations!$J$3:$J$62,MATCH($A263,Simulations!$A$3:$A$62,0))*1000))/INDEX(Simulations!$T$3:$T$62,MATCH($A263,Simulations!$A$3:$A$62,0)))</f>
        <v/>
      </c>
      <c r="V263" s="19" t="str">
        <f aca="false">IF($A263="","",IF(ISNA(MATCH($A263,Simulations!$A$3:$A$62,0)),"✖ Sim ID not found on the Simulations sheet",IF($P263&gt;=1,"✖ brightness &gt;= sampling frequency: completely saturated (D too small, c too large)",IF($P263&gt;0.1,"⚠ brightness &gt; 10% of the sampling frequency: focus starts to saturate",IF(N($U263)&gt;0.1,"⚠ diffusion step &gt; 10% of wr: raise the sampling frequency",IF(MAX($E263:$H263)=0,"⚠ no brightness set","✔ OK"))))))</f>
        <v/>
      </c>
    </row>
    <row r="264" customFormat="false" ht="15" hidden="false" customHeight="false" outlineLevel="0" collapsed="false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4"/>
      <c r="O264" s="18" t="str">
        <f aca="false">IF(OR($A264="",ISNA(MATCH($A264,Simulations!$A$3:$A$62,0))),"",IF(INDEX(Simulations!$I$3:$I$62,MATCH($A264,Simulations!$A$3:$A$62,0))&gt;0,$D264/(INDEX(Simulations!$G$3:$G$62,MATCH($A264,Simulations!$A$3:$A$62,0))*INDEX(Simulations!$H$3:$H$62,MATCH($A264,Simulations!$A$3:$A$62,0))*IF(INDEX(Simulations!$I$3:$I$62,MATCH($A264,Simulations!$A$3:$A$62,0))&gt;0,INDEX(Simulations!$I$3:$I$62,MATCH($A264,Simulations!$A$3:$A$62,0)),1))/1E-024/6.022E+023/0.000000001,""))</f>
        <v/>
      </c>
      <c r="P264" s="20" t="str">
        <f aca="false">IF(OR($A264="",ISNA(MATCH($A264,Simulations!$A$3:$A$62,0))),"",MAX($E264:$H264)/INDEX(Simulations!$J$3:$J$62,MATCH($A264,Simulations!$A$3:$A$62,0)))</f>
        <v/>
      </c>
      <c r="Q264" s="16" t="str">
        <f aca="false">IF(OR($A264="",ISNA(MATCH($A264,Simulations!$A$3:$A$62,0))),"",IF(N($E264)&lt;=0,0,IF($E264&lt;INDEX(Simulations!$J$3:$J$62,MATCH($A264,Simulations!$A$3:$A$62,0)),$D264/(INDEX(Simulations!$G$3:$G$62,MATCH($A264,Simulations!$A$3:$A$62,0))*INDEX(Simulations!$H$3:$H$62,MATCH($A264,Simulations!$A$3:$A$62,0))*IF(INDEX(Simulations!$I$3:$I$62,MATCH($A264,Simulations!$A$3:$A$62,0))&gt;0,INDEX(Simulations!$I$3:$I$62,MATCH($A264,Simulations!$A$3:$A$62,0)),1))*$E264*(PI()/2*INDEX(Simulations!$T$3:$T$62,MATCH($A264,Simulations!$A$3:$A$62,0))^2*IF(INDEX(Simulations!$I$3:$I$62,MATCH($A264,Simulations!$A$3:$A$62,0))&gt;0,SQRT(PI()/2)*INDEX(Simulations!$U$3:$U$62,MATCH($A264,Simulations!$A$3:$A$62,0)),1)),$D264/(INDEX(Simulations!$G$3:$G$62,MATCH($A264,Simulations!$A$3:$A$62,0))*INDEX(Simulations!$H$3:$H$62,MATCH($A264,Simulations!$A$3:$A$62,0))*IF(INDEX(Simulations!$I$3:$I$62,MATCH($A264,Simulations!$A$3:$A$62,0))&gt;0,INDEX(Simulations!$I$3:$I$62,MATCH($A264,Simulations!$A$3:$A$62,0)),1))*INDEX(Simulations!$J$3:$J$62,MATCH($A264,Simulations!$A$3:$A$62,0))*IF(INDEX(Simulations!$I$3:$I$62,MATCH($A264,Simulations!$A$3:$A$62,0))&gt;0,2*PI()*INDEX(Simulations!$T$3:$T$62,MATCH($A264,Simulations!$A$3:$A$62,0))^2*INDEX(Simulations!$U$3:$U$62,MATCH($A264,Simulations!$A$3:$A$62,0))/2^1.5*(2/3*LN($E264/INDEX(Simulations!$J$3:$J$62,MATCH($A264,Simulations!$A$3:$A$62,0)))^1.5+SQRT(LN($E264/INDEX(Simulations!$J$3:$J$62,MATCH($A264,Simulations!$A$3:$A$62,0))))+$E264/INDEX(Simulations!$J$3:$J$62,MATCH($A264,Simulations!$A$3:$A$62,0))*SQRT(PI())/2*ERFC(SQRT(LN($E264/INDEX(Simulations!$J$3:$J$62,MATCH($A264,Simulations!$A$3:$A$62,0)))))),PI()*INDEX(Simulations!$T$3:$T$62,MATCH($A264,Simulations!$A$3:$A$62,0))^2/2*(LN($E264/INDEX(Simulations!$J$3:$J$62,MATCH($A264,Simulations!$A$3:$A$62,0)))+1)))))</f>
        <v/>
      </c>
      <c r="R264" s="16" t="str">
        <f aca="false">IF(OR($A264="",ISNA(MATCH($A264,Simulations!$A$3:$A$62,0))),"",IF(N($F264)&lt;=0,0,IF($F264&lt;INDEX(Simulations!$J$3:$J$62,MATCH($A264,Simulations!$A$3:$A$62,0)),$D264/(INDEX(Simulations!$G$3:$G$62,MATCH($A264,Simulations!$A$3:$A$62,0))*INDEX(Simulations!$H$3:$H$62,MATCH($A264,Simulations!$A$3:$A$62,0))*IF(INDEX(Simulations!$I$3:$I$62,MATCH($A264,Simulations!$A$3:$A$62,0))&gt;0,INDEX(Simulations!$I$3:$I$62,MATCH($A264,Simulations!$A$3:$A$62,0)),1))*$F264*(PI()/2*INDEX(Simulations!$T$3:$T$62,MATCH($A264,Simulations!$A$3:$A$62,0))^2*IF(INDEX(Simulations!$I$3:$I$62,MATCH($A264,Simulations!$A$3:$A$62,0))&gt;0,SQRT(PI()/2)*INDEX(Simulations!$U$3:$U$62,MATCH($A264,Simulations!$A$3:$A$62,0)),1)),$D264/(INDEX(Simulations!$G$3:$G$62,MATCH($A264,Simulations!$A$3:$A$62,0))*INDEX(Simulations!$H$3:$H$62,MATCH($A264,Simulations!$A$3:$A$62,0))*IF(INDEX(Simulations!$I$3:$I$62,MATCH($A264,Simulations!$A$3:$A$62,0))&gt;0,INDEX(Simulations!$I$3:$I$62,MATCH($A264,Simulations!$A$3:$A$62,0)),1))*INDEX(Simulations!$J$3:$J$62,MATCH($A264,Simulations!$A$3:$A$62,0))*IF(INDEX(Simulations!$I$3:$I$62,MATCH($A264,Simulations!$A$3:$A$62,0))&gt;0,2*PI()*INDEX(Simulations!$T$3:$T$62,MATCH($A264,Simulations!$A$3:$A$62,0))^2*INDEX(Simulations!$U$3:$U$62,MATCH($A264,Simulations!$A$3:$A$62,0))/2^1.5*(2/3*LN($F264/INDEX(Simulations!$J$3:$J$62,MATCH($A264,Simulations!$A$3:$A$62,0)))^1.5+SQRT(LN($F264/INDEX(Simulations!$J$3:$J$62,MATCH($A264,Simulations!$A$3:$A$62,0))))+$F264/INDEX(Simulations!$J$3:$J$62,MATCH($A264,Simulations!$A$3:$A$62,0))*SQRT(PI())/2*ERFC(SQRT(LN($F264/INDEX(Simulations!$J$3:$J$62,MATCH($A264,Simulations!$A$3:$A$62,0)))))),PI()*INDEX(Simulations!$T$3:$T$62,MATCH($A264,Simulations!$A$3:$A$62,0))^2/2*(LN($F264/INDEX(Simulations!$J$3:$J$62,MATCH($A264,Simulations!$A$3:$A$62,0)))+1)))))</f>
        <v/>
      </c>
      <c r="S264" s="16" t="str">
        <f aca="false">IF(OR($A264="",ISNA(MATCH($A264,Simulations!$A$3:$A$62,0))),"",IF(N($G264)&lt;=0,0,IF($G264&lt;INDEX(Simulations!$J$3:$J$62,MATCH($A264,Simulations!$A$3:$A$62,0)),$D264/(INDEX(Simulations!$G$3:$G$62,MATCH($A264,Simulations!$A$3:$A$62,0))*INDEX(Simulations!$H$3:$H$62,MATCH($A264,Simulations!$A$3:$A$62,0))*IF(INDEX(Simulations!$I$3:$I$62,MATCH($A264,Simulations!$A$3:$A$62,0))&gt;0,INDEX(Simulations!$I$3:$I$62,MATCH($A264,Simulations!$A$3:$A$62,0)),1))*$G264*(PI()/2*INDEX(Simulations!$T$3:$T$62,MATCH($A264,Simulations!$A$3:$A$62,0))^2*IF(INDEX(Simulations!$I$3:$I$62,MATCH($A264,Simulations!$A$3:$A$62,0))&gt;0,SQRT(PI()/2)*INDEX(Simulations!$U$3:$U$62,MATCH($A264,Simulations!$A$3:$A$62,0)),1)),$D264/(INDEX(Simulations!$G$3:$G$62,MATCH($A264,Simulations!$A$3:$A$62,0))*INDEX(Simulations!$H$3:$H$62,MATCH($A264,Simulations!$A$3:$A$62,0))*IF(INDEX(Simulations!$I$3:$I$62,MATCH($A264,Simulations!$A$3:$A$62,0))&gt;0,INDEX(Simulations!$I$3:$I$62,MATCH($A264,Simulations!$A$3:$A$62,0)),1))*INDEX(Simulations!$J$3:$J$62,MATCH($A264,Simulations!$A$3:$A$62,0))*IF(INDEX(Simulations!$I$3:$I$62,MATCH($A264,Simulations!$A$3:$A$62,0))&gt;0,2*PI()*INDEX(Simulations!$T$3:$T$62,MATCH($A264,Simulations!$A$3:$A$62,0))^2*INDEX(Simulations!$U$3:$U$62,MATCH($A264,Simulations!$A$3:$A$62,0))/2^1.5*(2/3*LN($G264/INDEX(Simulations!$J$3:$J$62,MATCH($A264,Simulations!$A$3:$A$62,0)))^1.5+SQRT(LN($G264/INDEX(Simulations!$J$3:$J$62,MATCH($A264,Simulations!$A$3:$A$62,0))))+$G264/INDEX(Simulations!$J$3:$J$62,MATCH($A264,Simulations!$A$3:$A$62,0))*SQRT(PI())/2*ERFC(SQRT(LN($G264/INDEX(Simulations!$J$3:$J$62,MATCH($A264,Simulations!$A$3:$A$62,0)))))),PI()*INDEX(Simulations!$T$3:$T$62,MATCH($A264,Simulations!$A$3:$A$62,0))^2/2*(LN($G264/INDEX(Simulations!$J$3:$J$62,MATCH($A264,Simulations!$A$3:$A$62,0)))+1)))))</f>
        <v/>
      </c>
      <c r="T264" s="16" t="str">
        <f aca="false">IF(OR($A264="",ISNA(MATCH($A264,Simulations!$A$3:$A$62,0))),"",IF(N($H264)&lt;=0,0,IF($H264&lt;INDEX(Simulations!$J$3:$J$62,MATCH($A264,Simulations!$A$3:$A$62,0)),$D264/(INDEX(Simulations!$G$3:$G$62,MATCH($A264,Simulations!$A$3:$A$62,0))*INDEX(Simulations!$H$3:$H$62,MATCH($A264,Simulations!$A$3:$A$62,0))*IF(INDEX(Simulations!$I$3:$I$62,MATCH($A264,Simulations!$A$3:$A$62,0))&gt;0,INDEX(Simulations!$I$3:$I$62,MATCH($A264,Simulations!$A$3:$A$62,0)),1))*$H264*(PI()/2*INDEX(Simulations!$T$3:$T$62,MATCH($A264,Simulations!$A$3:$A$62,0))^2*IF(INDEX(Simulations!$I$3:$I$62,MATCH($A264,Simulations!$A$3:$A$62,0))&gt;0,SQRT(PI()/2)*INDEX(Simulations!$U$3:$U$62,MATCH($A264,Simulations!$A$3:$A$62,0)),1)),$D264/(INDEX(Simulations!$G$3:$G$62,MATCH($A264,Simulations!$A$3:$A$62,0))*INDEX(Simulations!$H$3:$H$62,MATCH($A264,Simulations!$A$3:$A$62,0))*IF(INDEX(Simulations!$I$3:$I$62,MATCH($A264,Simulations!$A$3:$A$62,0))&gt;0,INDEX(Simulations!$I$3:$I$62,MATCH($A264,Simulations!$A$3:$A$62,0)),1))*INDEX(Simulations!$J$3:$J$62,MATCH($A264,Simulations!$A$3:$A$62,0))*IF(INDEX(Simulations!$I$3:$I$62,MATCH($A264,Simulations!$A$3:$A$62,0))&gt;0,2*PI()*INDEX(Simulations!$T$3:$T$62,MATCH($A264,Simulations!$A$3:$A$62,0))^2*INDEX(Simulations!$U$3:$U$62,MATCH($A264,Simulations!$A$3:$A$62,0))/2^1.5*(2/3*LN($H264/INDEX(Simulations!$J$3:$J$62,MATCH($A264,Simulations!$A$3:$A$62,0)))^1.5+SQRT(LN($H264/INDEX(Simulations!$J$3:$J$62,MATCH($A264,Simulations!$A$3:$A$62,0))))+$H264/INDEX(Simulations!$J$3:$J$62,MATCH($A264,Simulations!$A$3:$A$62,0))*SQRT(PI())/2*ERFC(SQRT(LN($H264/INDEX(Simulations!$J$3:$J$62,MATCH($A264,Simulations!$A$3:$A$62,0)))))),PI()*INDEX(Simulations!$T$3:$T$62,MATCH($A264,Simulations!$A$3:$A$62,0))^2/2*(LN($H264/INDEX(Simulations!$J$3:$J$62,MATCH($A264,Simulations!$A$3:$A$62,0)))+1)))))</f>
        <v/>
      </c>
      <c r="U264" s="18" t="str">
        <f aca="false">IF(OR(OR($A264="",ISNA(MATCH($A264,Simulations!$A$3:$A$62,0))),N($C264)&lt;=0),"",SQRT(2*$C264*1000000/(INDEX(Simulations!$J$3:$J$62,MATCH($A264,Simulations!$A$3:$A$62,0))*1000))/INDEX(Simulations!$T$3:$T$62,MATCH($A264,Simulations!$A$3:$A$62,0)))</f>
        <v/>
      </c>
      <c r="V264" s="19" t="str">
        <f aca="false">IF($A264="","",IF(ISNA(MATCH($A264,Simulations!$A$3:$A$62,0)),"✖ Sim ID not found on the Simulations sheet",IF($P264&gt;=1,"✖ brightness &gt;= sampling frequency: completely saturated (D too small, c too large)",IF($P264&gt;0.1,"⚠ brightness &gt; 10% of the sampling frequency: focus starts to saturate",IF(N($U264)&gt;0.1,"⚠ diffusion step &gt; 10% of wr: raise the sampling frequency",IF(MAX($E264:$H264)=0,"⚠ no brightness set","✔ OK"))))))</f>
        <v/>
      </c>
    </row>
    <row r="265" customFormat="false" ht="15" hidden="false" customHeight="false" outlineLevel="0" collapsed="false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4"/>
      <c r="O265" s="18" t="str">
        <f aca="false">IF(OR($A265="",ISNA(MATCH($A265,Simulations!$A$3:$A$62,0))),"",IF(INDEX(Simulations!$I$3:$I$62,MATCH($A265,Simulations!$A$3:$A$62,0))&gt;0,$D265/(INDEX(Simulations!$G$3:$G$62,MATCH($A265,Simulations!$A$3:$A$62,0))*INDEX(Simulations!$H$3:$H$62,MATCH($A265,Simulations!$A$3:$A$62,0))*IF(INDEX(Simulations!$I$3:$I$62,MATCH($A265,Simulations!$A$3:$A$62,0))&gt;0,INDEX(Simulations!$I$3:$I$62,MATCH($A265,Simulations!$A$3:$A$62,0)),1))/1E-024/6.022E+023/0.000000001,""))</f>
        <v/>
      </c>
      <c r="P265" s="20" t="str">
        <f aca="false">IF(OR($A265="",ISNA(MATCH($A265,Simulations!$A$3:$A$62,0))),"",MAX($E265:$H265)/INDEX(Simulations!$J$3:$J$62,MATCH($A265,Simulations!$A$3:$A$62,0)))</f>
        <v/>
      </c>
      <c r="Q265" s="16" t="str">
        <f aca="false">IF(OR($A265="",ISNA(MATCH($A265,Simulations!$A$3:$A$62,0))),"",IF(N($E265)&lt;=0,0,IF($E265&lt;INDEX(Simulations!$J$3:$J$62,MATCH($A265,Simulations!$A$3:$A$62,0)),$D265/(INDEX(Simulations!$G$3:$G$62,MATCH($A265,Simulations!$A$3:$A$62,0))*INDEX(Simulations!$H$3:$H$62,MATCH($A265,Simulations!$A$3:$A$62,0))*IF(INDEX(Simulations!$I$3:$I$62,MATCH($A265,Simulations!$A$3:$A$62,0))&gt;0,INDEX(Simulations!$I$3:$I$62,MATCH($A265,Simulations!$A$3:$A$62,0)),1))*$E265*(PI()/2*INDEX(Simulations!$T$3:$T$62,MATCH($A265,Simulations!$A$3:$A$62,0))^2*IF(INDEX(Simulations!$I$3:$I$62,MATCH($A265,Simulations!$A$3:$A$62,0))&gt;0,SQRT(PI()/2)*INDEX(Simulations!$U$3:$U$62,MATCH($A265,Simulations!$A$3:$A$62,0)),1)),$D265/(INDEX(Simulations!$G$3:$G$62,MATCH($A265,Simulations!$A$3:$A$62,0))*INDEX(Simulations!$H$3:$H$62,MATCH($A265,Simulations!$A$3:$A$62,0))*IF(INDEX(Simulations!$I$3:$I$62,MATCH($A265,Simulations!$A$3:$A$62,0))&gt;0,INDEX(Simulations!$I$3:$I$62,MATCH($A265,Simulations!$A$3:$A$62,0)),1))*INDEX(Simulations!$J$3:$J$62,MATCH($A265,Simulations!$A$3:$A$62,0))*IF(INDEX(Simulations!$I$3:$I$62,MATCH($A265,Simulations!$A$3:$A$62,0))&gt;0,2*PI()*INDEX(Simulations!$T$3:$T$62,MATCH($A265,Simulations!$A$3:$A$62,0))^2*INDEX(Simulations!$U$3:$U$62,MATCH($A265,Simulations!$A$3:$A$62,0))/2^1.5*(2/3*LN($E265/INDEX(Simulations!$J$3:$J$62,MATCH($A265,Simulations!$A$3:$A$62,0)))^1.5+SQRT(LN($E265/INDEX(Simulations!$J$3:$J$62,MATCH($A265,Simulations!$A$3:$A$62,0))))+$E265/INDEX(Simulations!$J$3:$J$62,MATCH($A265,Simulations!$A$3:$A$62,0))*SQRT(PI())/2*ERFC(SQRT(LN($E265/INDEX(Simulations!$J$3:$J$62,MATCH($A265,Simulations!$A$3:$A$62,0)))))),PI()*INDEX(Simulations!$T$3:$T$62,MATCH($A265,Simulations!$A$3:$A$62,0))^2/2*(LN($E265/INDEX(Simulations!$J$3:$J$62,MATCH($A265,Simulations!$A$3:$A$62,0)))+1)))))</f>
        <v/>
      </c>
      <c r="R265" s="16" t="str">
        <f aca="false">IF(OR($A265="",ISNA(MATCH($A265,Simulations!$A$3:$A$62,0))),"",IF(N($F265)&lt;=0,0,IF($F265&lt;INDEX(Simulations!$J$3:$J$62,MATCH($A265,Simulations!$A$3:$A$62,0)),$D265/(INDEX(Simulations!$G$3:$G$62,MATCH($A265,Simulations!$A$3:$A$62,0))*INDEX(Simulations!$H$3:$H$62,MATCH($A265,Simulations!$A$3:$A$62,0))*IF(INDEX(Simulations!$I$3:$I$62,MATCH($A265,Simulations!$A$3:$A$62,0))&gt;0,INDEX(Simulations!$I$3:$I$62,MATCH($A265,Simulations!$A$3:$A$62,0)),1))*$F265*(PI()/2*INDEX(Simulations!$T$3:$T$62,MATCH($A265,Simulations!$A$3:$A$62,0))^2*IF(INDEX(Simulations!$I$3:$I$62,MATCH($A265,Simulations!$A$3:$A$62,0))&gt;0,SQRT(PI()/2)*INDEX(Simulations!$U$3:$U$62,MATCH($A265,Simulations!$A$3:$A$62,0)),1)),$D265/(INDEX(Simulations!$G$3:$G$62,MATCH($A265,Simulations!$A$3:$A$62,0))*INDEX(Simulations!$H$3:$H$62,MATCH($A265,Simulations!$A$3:$A$62,0))*IF(INDEX(Simulations!$I$3:$I$62,MATCH($A265,Simulations!$A$3:$A$62,0))&gt;0,INDEX(Simulations!$I$3:$I$62,MATCH($A265,Simulations!$A$3:$A$62,0)),1))*INDEX(Simulations!$J$3:$J$62,MATCH($A265,Simulations!$A$3:$A$62,0))*IF(INDEX(Simulations!$I$3:$I$62,MATCH($A265,Simulations!$A$3:$A$62,0))&gt;0,2*PI()*INDEX(Simulations!$T$3:$T$62,MATCH($A265,Simulations!$A$3:$A$62,0))^2*INDEX(Simulations!$U$3:$U$62,MATCH($A265,Simulations!$A$3:$A$62,0))/2^1.5*(2/3*LN($F265/INDEX(Simulations!$J$3:$J$62,MATCH($A265,Simulations!$A$3:$A$62,0)))^1.5+SQRT(LN($F265/INDEX(Simulations!$J$3:$J$62,MATCH($A265,Simulations!$A$3:$A$62,0))))+$F265/INDEX(Simulations!$J$3:$J$62,MATCH($A265,Simulations!$A$3:$A$62,0))*SQRT(PI())/2*ERFC(SQRT(LN($F265/INDEX(Simulations!$J$3:$J$62,MATCH($A265,Simulations!$A$3:$A$62,0)))))),PI()*INDEX(Simulations!$T$3:$T$62,MATCH($A265,Simulations!$A$3:$A$62,0))^2/2*(LN($F265/INDEX(Simulations!$J$3:$J$62,MATCH($A265,Simulations!$A$3:$A$62,0)))+1)))))</f>
        <v/>
      </c>
      <c r="S265" s="16" t="str">
        <f aca="false">IF(OR($A265="",ISNA(MATCH($A265,Simulations!$A$3:$A$62,0))),"",IF(N($G265)&lt;=0,0,IF($G265&lt;INDEX(Simulations!$J$3:$J$62,MATCH($A265,Simulations!$A$3:$A$62,0)),$D265/(INDEX(Simulations!$G$3:$G$62,MATCH($A265,Simulations!$A$3:$A$62,0))*INDEX(Simulations!$H$3:$H$62,MATCH($A265,Simulations!$A$3:$A$62,0))*IF(INDEX(Simulations!$I$3:$I$62,MATCH($A265,Simulations!$A$3:$A$62,0))&gt;0,INDEX(Simulations!$I$3:$I$62,MATCH($A265,Simulations!$A$3:$A$62,0)),1))*$G265*(PI()/2*INDEX(Simulations!$T$3:$T$62,MATCH($A265,Simulations!$A$3:$A$62,0))^2*IF(INDEX(Simulations!$I$3:$I$62,MATCH($A265,Simulations!$A$3:$A$62,0))&gt;0,SQRT(PI()/2)*INDEX(Simulations!$U$3:$U$62,MATCH($A265,Simulations!$A$3:$A$62,0)),1)),$D265/(INDEX(Simulations!$G$3:$G$62,MATCH($A265,Simulations!$A$3:$A$62,0))*INDEX(Simulations!$H$3:$H$62,MATCH($A265,Simulations!$A$3:$A$62,0))*IF(INDEX(Simulations!$I$3:$I$62,MATCH($A265,Simulations!$A$3:$A$62,0))&gt;0,INDEX(Simulations!$I$3:$I$62,MATCH($A265,Simulations!$A$3:$A$62,0)),1))*INDEX(Simulations!$J$3:$J$62,MATCH($A265,Simulations!$A$3:$A$62,0))*IF(INDEX(Simulations!$I$3:$I$62,MATCH($A265,Simulations!$A$3:$A$62,0))&gt;0,2*PI()*INDEX(Simulations!$T$3:$T$62,MATCH($A265,Simulations!$A$3:$A$62,0))^2*INDEX(Simulations!$U$3:$U$62,MATCH($A265,Simulations!$A$3:$A$62,0))/2^1.5*(2/3*LN($G265/INDEX(Simulations!$J$3:$J$62,MATCH($A265,Simulations!$A$3:$A$62,0)))^1.5+SQRT(LN($G265/INDEX(Simulations!$J$3:$J$62,MATCH($A265,Simulations!$A$3:$A$62,0))))+$G265/INDEX(Simulations!$J$3:$J$62,MATCH($A265,Simulations!$A$3:$A$62,0))*SQRT(PI())/2*ERFC(SQRT(LN($G265/INDEX(Simulations!$J$3:$J$62,MATCH($A265,Simulations!$A$3:$A$62,0)))))),PI()*INDEX(Simulations!$T$3:$T$62,MATCH($A265,Simulations!$A$3:$A$62,0))^2/2*(LN($G265/INDEX(Simulations!$J$3:$J$62,MATCH($A265,Simulations!$A$3:$A$62,0)))+1)))))</f>
        <v/>
      </c>
      <c r="T265" s="16" t="str">
        <f aca="false">IF(OR($A265="",ISNA(MATCH($A265,Simulations!$A$3:$A$62,0))),"",IF(N($H265)&lt;=0,0,IF($H265&lt;INDEX(Simulations!$J$3:$J$62,MATCH($A265,Simulations!$A$3:$A$62,0)),$D265/(INDEX(Simulations!$G$3:$G$62,MATCH($A265,Simulations!$A$3:$A$62,0))*INDEX(Simulations!$H$3:$H$62,MATCH($A265,Simulations!$A$3:$A$62,0))*IF(INDEX(Simulations!$I$3:$I$62,MATCH($A265,Simulations!$A$3:$A$62,0))&gt;0,INDEX(Simulations!$I$3:$I$62,MATCH($A265,Simulations!$A$3:$A$62,0)),1))*$H265*(PI()/2*INDEX(Simulations!$T$3:$T$62,MATCH($A265,Simulations!$A$3:$A$62,0))^2*IF(INDEX(Simulations!$I$3:$I$62,MATCH($A265,Simulations!$A$3:$A$62,0))&gt;0,SQRT(PI()/2)*INDEX(Simulations!$U$3:$U$62,MATCH($A265,Simulations!$A$3:$A$62,0)),1)),$D265/(INDEX(Simulations!$G$3:$G$62,MATCH($A265,Simulations!$A$3:$A$62,0))*INDEX(Simulations!$H$3:$H$62,MATCH($A265,Simulations!$A$3:$A$62,0))*IF(INDEX(Simulations!$I$3:$I$62,MATCH($A265,Simulations!$A$3:$A$62,0))&gt;0,INDEX(Simulations!$I$3:$I$62,MATCH($A265,Simulations!$A$3:$A$62,0)),1))*INDEX(Simulations!$J$3:$J$62,MATCH($A265,Simulations!$A$3:$A$62,0))*IF(INDEX(Simulations!$I$3:$I$62,MATCH($A265,Simulations!$A$3:$A$62,0))&gt;0,2*PI()*INDEX(Simulations!$T$3:$T$62,MATCH($A265,Simulations!$A$3:$A$62,0))^2*INDEX(Simulations!$U$3:$U$62,MATCH($A265,Simulations!$A$3:$A$62,0))/2^1.5*(2/3*LN($H265/INDEX(Simulations!$J$3:$J$62,MATCH($A265,Simulations!$A$3:$A$62,0)))^1.5+SQRT(LN($H265/INDEX(Simulations!$J$3:$J$62,MATCH($A265,Simulations!$A$3:$A$62,0))))+$H265/INDEX(Simulations!$J$3:$J$62,MATCH($A265,Simulations!$A$3:$A$62,0))*SQRT(PI())/2*ERFC(SQRT(LN($H265/INDEX(Simulations!$J$3:$J$62,MATCH($A265,Simulations!$A$3:$A$62,0)))))),PI()*INDEX(Simulations!$T$3:$T$62,MATCH($A265,Simulations!$A$3:$A$62,0))^2/2*(LN($H265/INDEX(Simulations!$J$3:$J$62,MATCH($A265,Simulations!$A$3:$A$62,0)))+1)))))</f>
        <v/>
      </c>
      <c r="U265" s="18" t="str">
        <f aca="false">IF(OR(OR($A265="",ISNA(MATCH($A265,Simulations!$A$3:$A$62,0))),N($C265)&lt;=0),"",SQRT(2*$C265*1000000/(INDEX(Simulations!$J$3:$J$62,MATCH($A265,Simulations!$A$3:$A$62,0))*1000))/INDEX(Simulations!$T$3:$T$62,MATCH($A265,Simulations!$A$3:$A$62,0)))</f>
        <v/>
      </c>
      <c r="V265" s="19" t="str">
        <f aca="false">IF($A265="","",IF(ISNA(MATCH($A265,Simulations!$A$3:$A$62,0)),"✖ Sim ID not found on the Simulations sheet",IF($P265&gt;=1,"✖ brightness &gt;= sampling frequency: completely saturated (D too small, c too large)",IF($P265&gt;0.1,"⚠ brightness &gt; 10% of the sampling frequency: focus starts to saturate",IF(N($U265)&gt;0.1,"⚠ diffusion step &gt; 10% of wr: raise the sampling frequency",IF(MAX($E265:$H265)=0,"⚠ no brightness set","✔ OK"))))))</f>
        <v/>
      </c>
    </row>
    <row r="266" customFormat="false" ht="15" hidden="false" customHeight="false" outlineLevel="0" collapsed="false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4"/>
      <c r="O266" s="18" t="str">
        <f aca="false">IF(OR($A266="",ISNA(MATCH($A266,Simulations!$A$3:$A$62,0))),"",IF(INDEX(Simulations!$I$3:$I$62,MATCH($A266,Simulations!$A$3:$A$62,0))&gt;0,$D266/(INDEX(Simulations!$G$3:$G$62,MATCH($A266,Simulations!$A$3:$A$62,0))*INDEX(Simulations!$H$3:$H$62,MATCH($A266,Simulations!$A$3:$A$62,0))*IF(INDEX(Simulations!$I$3:$I$62,MATCH($A266,Simulations!$A$3:$A$62,0))&gt;0,INDEX(Simulations!$I$3:$I$62,MATCH($A266,Simulations!$A$3:$A$62,0)),1))/1E-024/6.022E+023/0.000000001,""))</f>
        <v/>
      </c>
      <c r="P266" s="20" t="str">
        <f aca="false">IF(OR($A266="",ISNA(MATCH($A266,Simulations!$A$3:$A$62,0))),"",MAX($E266:$H266)/INDEX(Simulations!$J$3:$J$62,MATCH($A266,Simulations!$A$3:$A$62,0)))</f>
        <v/>
      </c>
      <c r="Q266" s="16" t="str">
        <f aca="false">IF(OR($A266="",ISNA(MATCH($A266,Simulations!$A$3:$A$62,0))),"",IF(N($E266)&lt;=0,0,IF($E266&lt;INDEX(Simulations!$J$3:$J$62,MATCH($A266,Simulations!$A$3:$A$62,0)),$D266/(INDEX(Simulations!$G$3:$G$62,MATCH($A266,Simulations!$A$3:$A$62,0))*INDEX(Simulations!$H$3:$H$62,MATCH($A266,Simulations!$A$3:$A$62,0))*IF(INDEX(Simulations!$I$3:$I$62,MATCH($A266,Simulations!$A$3:$A$62,0))&gt;0,INDEX(Simulations!$I$3:$I$62,MATCH($A266,Simulations!$A$3:$A$62,0)),1))*$E266*(PI()/2*INDEX(Simulations!$T$3:$T$62,MATCH($A266,Simulations!$A$3:$A$62,0))^2*IF(INDEX(Simulations!$I$3:$I$62,MATCH($A266,Simulations!$A$3:$A$62,0))&gt;0,SQRT(PI()/2)*INDEX(Simulations!$U$3:$U$62,MATCH($A266,Simulations!$A$3:$A$62,0)),1)),$D266/(INDEX(Simulations!$G$3:$G$62,MATCH($A266,Simulations!$A$3:$A$62,0))*INDEX(Simulations!$H$3:$H$62,MATCH($A266,Simulations!$A$3:$A$62,0))*IF(INDEX(Simulations!$I$3:$I$62,MATCH($A266,Simulations!$A$3:$A$62,0))&gt;0,INDEX(Simulations!$I$3:$I$62,MATCH($A266,Simulations!$A$3:$A$62,0)),1))*INDEX(Simulations!$J$3:$J$62,MATCH($A266,Simulations!$A$3:$A$62,0))*IF(INDEX(Simulations!$I$3:$I$62,MATCH($A266,Simulations!$A$3:$A$62,0))&gt;0,2*PI()*INDEX(Simulations!$T$3:$T$62,MATCH($A266,Simulations!$A$3:$A$62,0))^2*INDEX(Simulations!$U$3:$U$62,MATCH($A266,Simulations!$A$3:$A$62,0))/2^1.5*(2/3*LN($E266/INDEX(Simulations!$J$3:$J$62,MATCH($A266,Simulations!$A$3:$A$62,0)))^1.5+SQRT(LN($E266/INDEX(Simulations!$J$3:$J$62,MATCH($A266,Simulations!$A$3:$A$62,0))))+$E266/INDEX(Simulations!$J$3:$J$62,MATCH($A266,Simulations!$A$3:$A$62,0))*SQRT(PI())/2*ERFC(SQRT(LN($E266/INDEX(Simulations!$J$3:$J$62,MATCH($A266,Simulations!$A$3:$A$62,0)))))),PI()*INDEX(Simulations!$T$3:$T$62,MATCH($A266,Simulations!$A$3:$A$62,0))^2/2*(LN($E266/INDEX(Simulations!$J$3:$J$62,MATCH($A266,Simulations!$A$3:$A$62,0)))+1)))))</f>
        <v/>
      </c>
      <c r="R266" s="16" t="str">
        <f aca="false">IF(OR($A266="",ISNA(MATCH($A266,Simulations!$A$3:$A$62,0))),"",IF(N($F266)&lt;=0,0,IF($F266&lt;INDEX(Simulations!$J$3:$J$62,MATCH($A266,Simulations!$A$3:$A$62,0)),$D266/(INDEX(Simulations!$G$3:$G$62,MATCH($A266,Simulations!$A$3:$A$62,0))*INDEX(Simulations!$H$3:$H$62,MATCH($A266,Simulations!$A$3:$A$62,0))*IF(INDEX(Simulations!$I$3:$I$62,MATCH($A266,Simulations!$A$3:$A$62,0))&gt;0,INDEX(Simulations!$I$3:$I$62,MATCH($A266,Simulations!$A$3:$A$62,0)),1))*$F266*(PI()/2*INDEX(Simulations!$T$3:$T$62,MATCH($A266,Simulations!$A$3:$A$62,0))^2*IF(INDEX(Simulations!$I$3:$I$62,MATCH($A266,Simulations!$A$3:$A$62,0))&gt;0,SQRT(PI()/2)*INDEX(Simulations!$U$3:$U$62,MATCH($A266,Simulations!$A$3:$A$62,0)),1)),$D266/(INDEX(Simulations!$G$3:$G$62,MATCH($A266,Simulations!$A$3:$A$62,0))*INDEX(Simulations!$H$3:$H$62,MATCH($A266,Simulations!$A$3:$A$62,0))*IF(INDEX(Simulations!$I$3:$I$62,MATCH($A266,Simulations!$A$3:$A$62,0))&gt;0,INDEX(Simulations!$I$3:$I$62,MATCH($A266,Simulations!$A$3:$A$62,0)),1))*INDEX(Simulations!$J$3:$J$62,MATCH($A266,Simulations!$A$3:$A$62,0))*IF(INDEX(Simulations!$I$3:$I$62,MATCH($A266,Simulations!$A$3:$A$62,0))&gt;0,2*PI()*INDEX(Simulations!$T$3:$T$62,MATCH($A266,Simulations!$A$3:$A$62,0))^2*INDEX(Simulations!$U$3:$U$62,MATCH($A266,Simulations!$A$3:$A$62,0))/2^1.5*(2/3*LN($F266/INDEX(Simulations!$J$3:$J$62,MATCH($A266,Simulations!$A$3:$A$62,0)))^1.5+SQRT(LN($F266/INDEX(Simulations!$J$3:$J$62,MATCH($A266,Simulations!$A$3:$A$62,0))))+$F266/INDEX(Simulations!$J$3:$J$62,MATCH($A266,Simulations!$A$3:$A$62,0))*SQRT(PI())/2*ERFC(SQRT(LN($F266/INDEX(Simulations!$J$3:$J$62,MATCH($A266,Simulations!$A$3:$A$62,0)))))),PI()*INDEX(Simulations!$T$3:$T$62,MATCH($A266,Simulations!$A$3:$A$62,0))^2/2*(LN($F266/INDEX(Simulations!$J$3:$J$62,MATCH($A266,Simulations!$A$3:$A$62,0)))+1)))))</f>
        <v/>
      </c>
      <c r="S266" s="16" t="str">
        <f aca="false">IF(OR($A266="",ISNA(MATCH($A266,Simulations!$A$3:$A$62,0))),"",IF(N($G266)&lt;=0,0,IF($G266&lt;INDEX(Simulations!$J$3:$J$62,MATCH($A266,Simulations!$A$3:$A$62,0)),$D266/(INDEX(Simulations!$G$3:$G$62,MATCH($A266,Simulations!$A$3:$A$62,0))*INDEX(Simulations!$H$3:$H$62,MATCH($A266,Simulations!$A$3:$A$62,0))*IF(INDEX(Simulations!$I$3:$I$62,MATCH($A266,Simulations!$A$3:$A$62,0))&gt;0,INDEX(Simulations!$I$3:$I$62,MATCH($A266,Simulations!$A$3:$A$62,0)),1))*$G266*(PI()/2*INDEX(Simulations!$T$3:$T$62,MATCH($A266,Simulations!$A$3:$A$62,0))^2*IF(INDEX(Simulations!$I$3:$I$62,MATCH($A266,Simulations!$A$3:$A$62,0))&gt;0,SQRT(PI()/2)*INDEX(Simulations!$U$3:$U$62,MATCH($A266,Simulations!$A$3:$A$62,0)),1)),$D266/(INDEX(Simulations!$G$3:$G$62,MATCH($A266,Simulations!$A$3:$A$62,0))*INDEX(Simulations!$H$3:$H$62,MATCH($A266,Simulations!$A$3:$A$62,0))*IF(INDEX(Simulations!$I$3:$I$62,MATCH($A266,Simulations!$A$3:$A$62,0))&gt;0,INDEX(Simulations!$I$3:$I$62,MATCH($A266,Simulations!$A$3:$A$62,0)),1))*INDEX(Simulations!$J$3:$J$62,MATCH($A266,Simulations!$A$3:$A$62,0))*IF(INDEX(Simulations!$I$3:$I$62,MATCH($A266,Simulations!$A$3:$A$62,0))&gt;0,2*PI()*INDEX(Simulations!$T$3:$T$62,MATCH($A266,Simulations!$A$3:$A$62,0))^2*INDEX(Simulations!$U$3:$U$62,MATCH($A266,Simulations!$A$3:$A$62,0))/2^1.5*(2/3*LN($G266/INDEX(Simulations!$J$3:$J$62,MATCH($A266,Simulations!$A$3:$A$62,0)))^1.5+SQRT(LN($G266/INDEX(Simulations!$J$3:$J$62,MATCH($A266,Simulations!$A$3:$A$62,0))))+$G266/INDEX(Simulations!$J$3:$J$62,MATCH($A266,Simulations!$A$3:$A$62,0))*SQRT(PI())/2*ERFC(SQRT(LN($G266/INDEX(Simulations!$J$3:$J$62,MATCH($A266,Simulations!$A$3:$A$62,0)))))),PI()*INDEX(Simulations!$T$3:$T$62,MATCH($A266,Simulations!$A$3:$A$62,0))^2/2*(LN($G266/INDEX(Simulations!$J$3:$J$62,MATCH($A266,Simulations!$A$3:$A$62,0)))+1)))))</f>
        <v/>
      </c>
      <c r="T266" s="16" t="str">
        <f aca="false">IF(OR($A266="",ISNA(MATCH($A266,Simulations!$A$3:$A$62,0))),"",IF(N($H266)&lt;=0,0,IF($H266&lt;INDEX(Simulations!$J$3:$J$62,MATCH($A266,Simulations!$A$3:$A$62,0)),$D266/(INDEX(Simulations!$G$3:$G$62,MATCH($A266,Simulations!$A$3:$A$62,0))*INDEX(Simulations!$H$3:$H$62,MATCH($A266,Simulations!$A$3:$A$62,0))*IF(INDEX(Simulations!$I$3:$I$62,MATCH($A266,Simulations!$A$3:$A$62,0))&gt;0,INDEX(Simulations!$I$3:$I$62,MATCH($A266,Simulations!$A$3:$A$62,0)),1))*$H266*(PI()/2*INDEX(Simulations!$T$3:$T$62,MATCH($A266,Simulations!$A$3:$A$62,0))^2*IF(INDEX(Simulations!$I$3:$I$62,MATCH($A266,Simulations!$A$3:$A$62,0))&gt;0,SQRT(PI()/2)*INDEX(Simulations!$U$3:$U$62,MATCH($A266,Simulations!$A$3:$A$62,0)),1)),$D266/(INDEX(Simulations!$G$3:$G$62,MATCH($A266,Simulations!$A$3:$A$62,0))*INDEX(Simulations!$H$3:$H$62,MATCH($A266,Simulations!$A$3:$A$62,0))*IF(INDEX(Simulations!$I$3:$I$62,MATCH($A266,Simulations!$A$3:$A$62,0))&gt;0,INDEX(Simulations!$I$3:$I$62,MATCH($A266,Simulations!$A$3:$A$62,0)),1))*INDEX(Simulations!$J$3:$J$62,MATCH($A266,Simulations!$A$3:$A$62,0))*IF(INDEX(Simulations!$I$3:$I$62,MATCH($A266,Simulations!$A$3:$A$62,0))&gt;0,2*PI()*INDEX(Simulations!$T$3:$T$62,MATCH($A266,Simulations!$A$3:$A$62,0))^2*INDEX(Simulations!$U$3:$U$62,MATCH($A266,Simulations!$A$3:$A$62,0))/2^1.5*(2/3*LN($H266/INDEX(Simulations!$J$3:$J$62,MATCH($A266,Simulations!$A$3:$A$62,0)))^1.5+SQRT(LN($H266/INDEX(Simulations!$J$3:$J$62,MATCH($A266,Simulations!$A$3:$A$62,0))))+$H266/INDEX(Simulations!$J$3:$J$62,MATCH($A266,Simulations!$A$3:$A$62,0))*SQRT(PI())/2*ERFC(SQRT(LN($H266/INDEX(Simulations!$J$3:$J$62,MATCH($A266,Simulations!$A$3:$A$62,0)))))),PI()*INDEX(Simulations!$T$3:$T$62,MATCH($A266,Simulations!$A$3:$A$62,0))^2/2*(LN($H266/INDEX(Simulations!$J$3:$J$62,MATCH($A266,Simulations!$A$3:$A$62,0)))+1)))))</f>
        <v/>
      </c>
      <c r="U266" s="18" t="str">
        <f aca="false">IF(OR(OR($A266="",ISNA(MATCH($A266,Simulations!$A$3:$A$62,0))),N($C266)&lt;=0),"",SQRT(2*$C266*1000000/(INDEX(Simulations!$J$3:$J$62,MATCH($A266,Simulations!$A$3:$A$62,0))*1000))/INDEX(Simulations!$T$3:$T$62,MATCH($A266,Simulations!$A$3:$A$62,0)))</f>
        <v/>
      </c>
      <c r="V266" s="19" t="str">
        <f aca="false">IF($A266="","",IF(ISNA(MATCH($A266,Simulations!$A$3:$A$62,0)),"✖ Sim ID not found on the Simulations sheet",IF($P266&gt;=1,"✖ brightness &gt;= sampling frequency: completely saturated (D too small, c too large)",IF($P266&gt;0.1,"⚠ brightness &gt; 10% of the sampling frequency: focus starts to saturate",IF(N($U266)&gt;0.1,"⚠ diffusion step &gt; 10% of wr: raise the sampling frequency",IF(MAX($E266:$H266)=0,"⚠ no brightness set","✔ OK"))))))</f>
        <v/>
      </c>
    </row>
    <row r="267" customFormat="false" ht="15" hidden="false" customHeight="false" outlineLevel="0" collapsed="false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4"/>
      <c r="O267" s="18" t="str">
        <f aca="false">IF(OR($A267="",ISNA(MATCH($A267,Simulations!$A$3:$A$62,0))),"",IF(INDEX(Simulations!$I$3:$I$62,MATCH($A267,Simulations!$A$3:$A$62,0))&gt;0,$D267/(INDEX(Simulations!$G$3:$G$62,MATCH($A267,Simulations!$A$3:$A$62,0))*INDEX(Simulations!$H$3:$H$62,MATCH($A267,Simulations!$A$3:$A$62,0))*IF(INDEX(Simulations!$I$3:$I$62,MATCH($A267,Simulations!$A$3:$A$62,0))&gt;0,INDEX(Simulations!$I$3:$I$62,MATCH($A267,Simulations!$A$3:$A$62,0)),1))/1E-024/6.022E+023/0.000000001,""))</f>
        <v/>
      </c>
      <c r="P267" s="20" t="str">
        <f aca="false">IF(OR($A267="",ISNA(MATCH($A267,Simulations!$A$3:$A$62,0))),"",MAX($E267:$H267)/INDEX(Simulations!$J$3:$J$62,MATCH($A267,Simulations!$A$3:$A$62,0)))</f>
        <v/>
      </c>
      <c r="Q267" s="16" t="str">
        <f aca="false">IF(OR($A267="",ISNA(MATCH($A267,Simulations!$A$3:$A$62,0))),"",IF(N($E267)&lt;=0,0,IF($E267&lt;INDEX(Simulations!$J$3:$J$62,MATCH($A267,Simulations!$A$3:$A$62,0)),$D267/(INDEX(Simulations!$G$3:$G$62,MATCH($A267,Simulations!$A$3:$A$62,0))*INDEX(Simulations!$H$3:$H$62,MATCH($A267,Simulations!$A$3:$A$62,0))*IF(INDEX(Simulations!$I$3:$I$62,MATCH($A267,Simulations!$A$3:$A$62,0))&gt;0,INDEX(Simulations!$I$3:$I$62,MATCH($A267,Simulations!$A$3:$A$62,0)),1))*$E267*(PI()/2*INDEX(Simulations!$T$3:$T$62,MATCH($A267,Simulations!$A$3:$A$62,0))^2*IF(INDEX(Simulations!$I$3:$I$62,MATCH($A267,Simulations!$A$3:$A$62,0))&gt;0,SQRT(PI()/2)*INDEX(Simulations!$U$3:$U$62,MATCH($A267,Simulations!$A$3:$A$62,0)),1)),$D267/(INDEX(Simulations!$G$3:$G$62,MATCH($A267,Simulations!$A$3:$A$62,0))*INDEX(Simulations!$H$3:$H$62,MATCH($A267,Simulations!$A$3:$A$62,0))*IF(INDEX(Simulations!$I$3:$I$62,MATCH($A267,Simulations!$A$3:$A$62,0))&gt;0,INDEX(Simulations!$I$3:$I$62,MATCH($A267,Simulations!$A$3:$A$62,0)),1))*INDEX(Simulations!$J$3:$J$62,MATCH($A267,Simulations!$A$3:$A$62,0))*IF(INDEX(Simulations!$I$3:$I$62,MATCH($A267,Simulations!$A$3:$A$62,0))&gt;0,2*PI()*INDEX(Simulations!$T$3:$T$62,MATCH($A267,Simulations!$A$3:$A$62,0))^2*INDEX(Simulations!$U$3:$U$62,MATCH($A267,Simulations!$A$3:$A$62,0))/2^1.5*(2/3*LN($E267/INDEX(Simulations!$J$3:$J$62,MATCH($A267,Simulations!$A$3:$A$62,0)))^1.5+SQRT(LN($E267/INDEX(Simulations!$J$3:$J$62,MATCH($A267,Simulations!$A$3:$A$62,0))))+$E267/INDEX(Simulations!$J$3:$J$62,MATCH($A267,Simulations!$A$3:$A$62,0))*SQRT(PI())/2*ERFC(SQRT(LN($E267/INDEX(Simulations!$J$3:$J$62,MATCH($A267,Simulations!$A$3:$A$62,0)))))),PI()*INDEX(Simulations!$T$3:$T$62,MATCH($A267,Simulations!$A$3:$A$62,0))^2/2*(LN($E267/INDEX(Simulations!$J$3:$J$62,MATCH($A267,Simulations!$A$3:$A$62,0)))+1)))))</f>
        <v/>
      </c>
      <c r="R267" s="16" t="str">
        <f aca="false">IF(OR($A267="",ISNA(MATCH($A267,Simulations!$A$3:$A$62,0))),"",IF(N($F267)&lt;=0,0,IF($F267&lt;INDEX(Simulations!$J$3:$J$62,MATCH($A267,Simulations!$A$3:$A$62,0)),$D267/(INDEX(Simulations!$G$3:$G$62,MATCH($A267,Simulations!$A$3:$A$62,0))*INDEX(Simulations!$H$3:$H$62,MATCH($A267,Simulations!$A$3:$A$62,0))*IF(INDEX(Simulations!$I$3:$I$62,MATCH($A267,Simulations!$A$3:$A$62,0))&gt;0,INDEX(Simulations!$I$3:$I$62,MATCH($A267,Simulations!$A$3:$A$62,0)),1))*$F267*(PI()/2*INDEX(Simulations!$T$3:$T$62,MATCH($A267,Simulations!$A$3:$A$62,0))^2*IF(INDEX(Simulations!$I$3:$I$62,MATCH($A267,Simulations!$A$3:$A$62,0))&gt;0,SQRT(PI()/2)*INDEX(Simulations!$U$3:$U$62,MATCH($A267,Simulations!$A$3:$A$62,0)),1)),$D267/(INDEX(Simulations!$G$3:$G$62,MATCH($A267,Simulations!$A$3:$A$62,0))*INDEX(Simulations!$H$3:$H$62,MATCH($A267,Simulations!$A$3:$A$62,0))*IF(INDEX(Simulations!$I$3:$I$62,MATCH($A267,Simulations!$A$3:$A$62,0))&gt;0,INDEX(Simulations!$I$3:$I$62,MATCH($A267,Simulations!$A$3:$A$62,0)),1))*INDEX(Simulations!$J$3:$J$62,MATCH($A267,Simulations!$A$3:$A$62,0))*IF(INDEX(Simulations!$I$3:$I$62,MATCH($A267,Simulations!$A$3:$A$62,0))&gt;0,2*PI()*INDEX(Simulations!$T$3:$T$62,MATCH($A267,Simulations!$A$3:$A$62,0))^2*INDEX(Simulations!$U$3:$U$62,MATCH($A267,Simulations!$A$3:$A$62,0))/2^1.5*(2/3*LN($F267/INDEX(Simulations!$J$3:$J$62,MATCH($A267,Simulations!$A$3:$A$62,0)))^1.5+SQRT(LN($F267/INDEX(Simulations!$J$3:$J$62,MATCH($A267,Simulations!$A$3:$A$62,0))))+$F267/INDEX(Simulations!$J$3:$J$62,MATCH($A267,Simulations!$A$3:$A$62,0))*SQRT(PI())/2*ERFC(SQRT(LN($F267/INDEX(Simulations!$J$3:$J$62,MATCH($A267,Simulations!$A$3:$A$62,0)))))),PI()*INDEX(Simulations!$T$3:$T$62,MATCH($A267,Simulations!$A$3:$A$62,0))^2/2*(LN($F267/INDEX(Simulations!$J$3:$J$62,MATCH($A267,Simulations!$A$3:$A$62,0)))+1)))))</f>
        <v/>
      </c>
      <c r="S267" s="16" t="str">
        <f aca="false">IF(OR($A267="",ISNA(MATCH($A267,Simulations!$A$3:$A$62,0))),"",IF(N($G267)&lt;=0,0,IF($G267&lt;INDEX(Simulations!$J$3:$J$62,MATCH($A267,Simulations!$A$3:$A$62,0)),$D267/(INDEX(Simulations!$G$3:$G$62,MATCH($A267,Simulations!$A$3:$A$62,0))*INDEX(Simulations!$H$3:$H$62,MATCH($A267,Simulations!$A$3:$A$62,0))*IF(INDEX(Simulations!$I$3:$I$62,MATCH($A267,Simulations!$A$3:$A$62,0))&gt;0,INDEX(Simulations!$I$3:$I$62,MATCH($A267,Simulations!$A$3:$A$62,0)),1))*$G267*(PI()/2*INDEX(Simulations!$T$3:$T$62,MATCH($A267,Simulations!$A$3:$A$62,0))^2*IF(INDEX(Simulations!$I$3:$I$62,MATCH($A267,Simulations!$A$3:$A$62,0))&gt;0,SQRT(PI()/2)*INDEX(Simulations!$U$3:$U$62,MATCH($A267,Simulations!$A$3:$A$62,0)),1)),$D267/(INDEX(Simulations!$G$3:$G$62,MATCH($A267,Simulations!$A$3:$A$62,0))*INDEX(Simulations!$H$3:$H$62,MATCH($A267,Simulations!$A$3:$A$62,0))*IF(INDEX(Simulations!$I$3:$I$62,MATCH($A267,Simulations!$A$3:$A$62,0))&gt;0,INDEX(Simulations!$I$3:$I$62,MATCH($A267,Simulations!$A$3:$A$62,0)),1))*INDEX(Simulations!$J$3:$J$62,MATCH($A267,Simulations!$A$3:$A$62,0))*IF(INDEX(Simulations!$I$3:$I$62,MATCH($A267,Simulations!$A$3:$A$62,0))&gt;0,2*PI()*INDEX(Simulations!$T$3:$T$62,MATCH($A267,Simulations!$A$3:$A$62,0))^2*INDEX(Simulations!$U$3:$U$62,MATCH($A267,Simulations!$A$3:$A$62,0))/2^1.5*(2/3*LN($G267/INDEX(Simulations!$J$3:$J$62,MATCH($A267,Simulations!$A$3:$A$62,0)))^1.5+SQRT(LN($G267/INDEX(Simulations!$J$3:$J$62,MATCH($A267,Simulations!$A$3:$A$62,0))))+$G267/INDEX(Simulations!$J$3:$J$62,MATCH($A267,Simulations!$A$3:$A$62,0))*SQRT(PI())/2*ERFC(SQRT(LN($G267/INDEX(Simulations!$J$3:$J$62,MATCH($A267,Simulations!$A$3:$A$62,0)))))),PI()*INDEX(Simulations!$T$3:$T$62,MATCH($A267,Simulations!$A$3:$A$62,0))^2/2*(LN($G267/INDEX(Simulations!$J$3:$J$62,MATCH($A267,Simulations!$A$3:$A$62,0)))+1)))))</f>
        <v/>
      </c>
      <c r="T267" s="16" t="str">
        <f aca="false">IF(OR($A267="",ISNA(MATCH($A267,Simulations!$A$3:$A$62,0))),"",IF(N($H267)&lt;=0,0,IF($H267&lt;INDEX(Simulations!$J$3:$J$62,MATCH($A267,Simulations!$A$3:$A$62,0)),$D267/(INDEX(Simulations!$G$3:$G$62,MATCH($A267,Simulations!$A$3:$A$62,0))*INDEX(Simulations!$H$3:$H$62,MATCH($A267,Simulations!$A$3:$A$62,0))*IF(INDEX(Simulations!$I$3:$I$62,MATCH($A267,Simulations!$A$3:$A$62,0))&gt;0,INDEX(Simulations!$I$3:$I$62,MATCH($A267,Simulations!$A$3:$A$62,0)),1))*$H267*(PI()/2*INDEX(Simulations!$T$3:$T$62,MATCH($A267,Simulations!$A$3:$A$62,0))^2*IF(INDEX(Simulations!$I$3:$I$62,MATCH($A267,Simulations!$A$3:$A$62,0))&gt;0,SQRT(PI()/2)*INDEX(Simulations!$U$3:$U$62,MATCH($A267,Simulations!$A$3:$A$62,0)),1)),$D267/(INDEX(Simulations!$G$3:$G$62,MATCH($A267,Simulations!$A$3:$A$62,0))*INDEX(Simulations!$H$3:$H$62,MATCH($A267,Simulations!$A$3:$A$62,0))*IF(INDEX(Simulations!$I$3:$I$62,MATCH($A267,Simulations!$A$3:$A$62,0))&gt;0,INDEX(Simulations!$I$3:$I$62,MATCH($A267,Simulations!$A$3:$A$62,0)),1))*INDEX(Simulations!$J$3:$J$62,MATCH($A267,Simulations!$A$3:$A$62,0))*IF(INDEX(Simulations!$I$3:$I$62,MATCH($A267,Simulations!$A$3:$A$62,0))&gt;0,2*PI()*INDEX(Simulations!$T$3:$T$62,MATCH($A267,Simulations!$A$3:$A$62,0))^2*INDEX(Simulations!$U$3:$U$62,MATCH($A267,Simulations!$A$3:$A$62,0))/2^1.5*(2/3*LN($H267/INDEX(Simulations!$J$3:$J$62,MATCH($A267,Simulations!$A$3:$A$62,0)))^1.5+SQRT(LN($H267/INDEX(Simulations!$J$3:$J$62,MATCH($A267,Simulations!$A$3:$A$62,0))))+$H267/INDEX(Simulations!$J$3:$J$62,MATCH($A267,Simulations!$A$3:$A$62,0))*SQRT(PI())/2*ERFC(SQRT(LN($H267/INDEX(Simulations!$J$3:$J$62,MATCH($A267,Simulations!$A$3:$A$62,0)))))),PI()*INDEX(Simulations!$T$3:$T$62,MATCH($A267,Simulations!$A$3:$A$62,0))^2/2*(LN($H267/INDEX(Simulations!$J$3:$J$62,MATCH($A267,Simulations!$A$3:$A$62,0)))+1)))))</f>
        <v/>
      </c>
      <c r="U267" s="18" t="str">
        <f aca="false">IF(OR(OR($A267="",ISNA(MATCH($A267,Simulations!$A$3:$A$62,0))),N($C267)&lt;=0),"",SQRT(2*$C267*1000000/(INDEX(Simulations!$J$3:$J$62,MATCH($A267,Simulations!$A$3:$A$62,0))*1000))/INDEX(Simulations!$T$3:$T$62,MATCH($A267,Simulations!$A$3:$A$62,0)))</f>
        <v/>
      </c>
      <c r="V267" s="19" t="str">
        <f aca="false">IF($A267="","",IF(ISNA(MATCH($A267,Simulations!$A$3:$A$62,0)),"✖ Sim ID not found on the Simulations sheet",IF($P267&gt;=1,"✖ brightness &gt;= sampling frequency: completely saturated (D too small, c too large)",IF($P267&gt;0.1,"⚠ brightness &gt; 10% of the sampling frequency: focus starts to saturate",IF(N($U267)&gt;0.1,"⚠ diffusion step &gt; 10% of wr: raise the sampling frequency",IF(MAX($E267:$H267)=0,"⚠ no brightness set","✔ OK"))))))</f>
        <v/>
      </c>
    </row>
    <row r="268" customFormat="false" ht="15" hidden="false" customHeight="false" outlineLevel="0" collapsed="false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4"/>
      <c r="O268" s="18" t="str">
        <f aca="false">IF(OR($A268="",ISNA(MATCH($A268,Simulations!$A$3:$A$62,0))),"",IF(INDEX(Simulations!$I$3:$I$62,MATCH($A268,Simulations!$A$3:$A$62,0))&gt;0,$D268/(INDEX(Simulations!$G$3:$G$62,MATCH($A268,Simulations!$A$3:$A$62,0))*INDEX(Simulations!$H$3:$H$62,MATCH($A268,Simulations!$A$3:$A$62,0))*IF(INDEX(Simulations!$I$3:$I$62,MATCH($A268,Simulations!$A$3:$A$62,0))&gt;0,INDEX(Simulations!$I$3:$I$62,MATCH($A268,Simulations!$A$3:$A$62,0)),1))/1E-024/6.022E+023/0.000000001,""))</f>
        <v/>
      </c>
      <c r="P268" s="20" t="str">
        <f aca="false">IF(OR($A268="",ISNA(MATCH($A268,Simulations!$A$3:$A$62,0))),"",MAX($E268:$H268)/INDEX(Simulations!$J$3:$J$62,MATCH($A268,Simulations!$A$3:$A$62,0)))</f>
        <v/>
      </c>
      <c r="Q268" s="16" t="str">
        <f aca="false">IF(OR($A268="",ISNA(MATCH($A268,Simulations!$A$3:$A$62,0))),"",IF(N($E268)&lt;=0,0,IF($E268&lt;INDEX(Simulations!$J$3:$J$62,MATCH($A268,Simulations!$A$3:$A$62,0)),$D268/(INDEX(Simulations!$G$3:$G$62,MATCH($A268,Simulations!$A$3:$A$62,0))*INDEX(Simulations!$H$3:$H$62,MATCH($A268,Simulations!$A$3:$A$62,0))*IF(INDEX(Simulations!$I$3:$I$62,MATCH($A268,Simulations!$A$3:$A$62,0))&gt;0,INDEX(Simulations!$I$3:$I$62,MATCH($A268,Simulations!$A$3:$A$62,0)),1))*$E268*(PI()/2*INDEX(Simulations!$T$3:$T$62,MATCH($A268,Simulations!$A$3:$A$62,0))^2*IF(INDEX(Simulations!$I$3:$I$62,MATCH($A268,Simulations!$A$3:$A$62,0))&gt;0,SQRT(PI()/2)*INDEX(Simulations!$U$3:$U$62,MATCH($A268,Simulations!$A$3:$A$62,0)),1)),$D268/(INDEX(Simulations!$G$3:$G$62,MATCH($A268,Simulations!$A$3:$A$62,0))*INDEX(Simulations!$H$3:$H$62,MATCH($A268,Simulations!$A$3:$A$62,0))*IF(INDEX(Simulations!$I$3:$I$62,MATCH($A268,Simulations!$A$3:$A$62,0))&gt;0,INDEX(Simulations!$I$3:$I$62,MATCH($A268,Simulations!$A$3:$A$62,0)),1))*INDEX(Simulations!$J$3:$J$62,MATCH($A268,Simulations!$A$3:$A$62,0))*IF(INDEX(Simulations!$I$3:$I$62,MATCH($A268,Simulations!$A$3:$A$62,0))&gt;0,2*PI()*INDEX(Simulations!$T$3:$T$62,MATCH($A268,Simulations!$A$3:$A$62,0))^2*INDEX(Simulations!$U$3:$U$62,MATCH($A268,Simulations!$A$3:$A$62,0))/2^1.5*(2/3*LN($E268/INDEX(Simulations!$J$3:$J$62,MATCH($A268,Simulations!$A$3:$A$62,0)))^1.5+SQRT(LN($E268/INDEX(Simulations!$J$3:$J$62,MATCH($A268,Simulations!$A$3:$A$62,0))))+$E268/INDEX(Simulations!$J$3:$J$62,MATCH($A268,Simulations!$A$3:$A$62,0))*SQRT(PI())/2*ERFC(SQRT(LN($E268/INDEX(Simulations!$J$3:$J$62,MATCH($A268,Simulations!$A$3:$A$62,0)))))),PI()*INDEX(Simulations!$T$3:$T$62,MATCH($A268,Simulations!$A$3:$A$62,0))^2/2*(LN($E268/INDEX(Simulations!$J$3:$J$62,MATCH($A268,Simulations!$A$3:$A$62,0)))+1)))))</f>
        <v/>
      </c>
      <c r="R268" s="16" t="str">
        <f aca="false">IF(OR($A268="",ISNA(MATCH($A268,Simulations!$A$3:$A$62,0))),"",IF(N($F268)&lt;=0,0,IF($F268&lt;INDEX(Simulations!$J$3:$J$62,MATCH($A268,Simulations!$A$3:$A$62,0)),$D268/(INDEX(Simulations!$G$3:$G$62,MATCH($A268,Simulations!$A$3:$A$62,0))*INDEX(Simulations!$H$3:$H$62,MATCH($A268,Simulations!$A$3:$A$62,0))*IF(INDEX(Simulations!$I$3:$I$62,MATCH($A268,Simulations!$A$3:$A$62,0))&gt;0,INDEX(Simulations!$I$3:$I$62,MATCH($A268,Simulations!$A$3:$A$62,0)),1))*$F268*(PI()/2*INDEX(Simulations!$T$3:$T$62,MATCH($A268,Simulations!$A$3:$A$62,0))^2*IF(INDEX(Simulations!$I$3:$I$62,MATCH($A268,Simulations!$A$3:$A$62,0))&gt;0,SQRT(PI()/2)*INDEX(Simulations!$U$3:$U$62,MATCH($A268,Simulations!$A$3:$A$62,0)),1)),$D268/(INDEX(Simulations!$G$3:$G$62,MATCH($A268,Simulations!$A$3:$A$62,0))*INDEX(Simulations!$H$3:$H$62,MATCH($A268,Simulations!$A$3:$A$62,0))*IF(INDEX(Simulations!$I$3:$I$62,MATCH($A268,Simulations!$A$3:$A$62,0))&gt;0,INDEX(Simulations!$I$3:$I$62,MATCH($A268,Simulations!$A$3:$A$62,0)),1))*INDEX(Simulations!$J$3:$J$62,MATCH($A268,Simulations!$A$3:$A$62,0))*IF(INDEX(Simulations!$I$3:$I$62,MATCH($A268,Simulations!$A$3:$A$62,0))&gt;0,2*PI()*INDEX(Simulations!$T$3:$T$62,MATCH($A268,Simulations!$A$3:$A$62,0))^2*INDEX(Simulations!$U$3:$U$62,MATCH($A268,Simulations!$A$3:$A$62,0))/2^1.5*(2/3*LN($F268/INDEX(Simulations!$J$3:$J$62,MATCH($A268,Simulations!$A$3:$A$62,0)))^1.5+SQRT(LN($F268/INDEX(Simulations!$J$3:$J$62,MATCH($A268,Simulations!$A$3:$A$62,0))))+$F268/INDEX(Simulations!$J$3:$J$62,MATCH($A268,Simulations!$A$3:$A$62,0))*SQRT(PI())/2*ERFC(SQRT(LN($F268/INDEX(Simulations!$J$3:$J$62,MATCH($A268,Simulations!$A$3:$A$62,0)))))),PI()*INDEX(Simulations!$T$3:$T$62,MATCH($A268,Simulations!$A$3:$A$62,0))^2/2*(LN($F268/INDEX(Simulations!$J$3:$J$62,MATCH($A268,Simulations!$A$3:$A$62,0)))+1)))))</f>
        <v/>
      </c>
      <c r="S268" s="16" t="str">
        <f aca="false">IF(OR($A268="",ISNA(MATCH($A268,Simulations!$A$3:$A$62,0))),"",IF(N($G268)&lt;=0,0,IF($G268&lt;INDEX(Simulations!$J$3:$J$62,MATCH($A268,Simulations!$A$3:$A$62,0)),$D268/(INDEX(Simulations!$G$3:$G$62,MATCH($A268,Simulations!$A$3:$A$62,0))*INDEX(Simulations!$H$3:$H$62,MATCH($A268,Simulations!$A$3:$A$62,0))*IF(INDEX(Simulations!$I$3:$I$62,MATCH($A268,Simulations!$A$3:$A$62,0))&gt;0,INDEX(Simulations!$I$3:$I$62,MATCH($A268,Simulations!$A$3:$A$62,0)),1))*$G268*(PI()/2*INDEX(Simulations!$T$3:$T$62,MATCH($A268,Simulations!$A$3:$A$62,0))^2*IF(INDEX(Simulations!$I$3:$I$62,MATCH($A268,Simulations!$A$3:$A$62,0))&gt;0,SQRT(PI()/2)*INDEX(Simulations!$U$3:$U$62,MATCH($A268,Simulations!$A$3:$A$62,0)),1)),$D268/(INDEX(Simulations!$G$3:$G$62,MATCH($A268,Simulations!$A$3:$A$62,0))*INDEX(Simulations!$H$3:$H$62,MATCH($A268,Simulations!$A$3:$A$62,0))*IF(INDEX(Simulations!$I$3:$I$62,MATCH($A268,Simulations!$A$3:$A$62,0))&gt;0,INDEX(Simulations!$I$3:$I$62,MATCH($A268,Simulations!$A$3:$A$62,0)),1))*INDEX(Simulations!$J$3:$J$62,MATCH($A268,Simulations!$A$3:$A$62,0))*IF(INDEX(Simulations!$I$3:$I$62,MATCH($A268,Simulations!$A$3:$A$62,0))&gt;0,2*PI()*INDEX(Simulations!$T$3:$T$62,MATCH($A268,Simulations!$A$3:$A$62,0))^2*INDEX(Simulations!$U$3:$U$62,MATCH($A268,Simulations!$A$3:$A$62,0))/2^1.5*(2/3*LN($G268/INDEX(Simulations!$J$3:$J$62,MATCH($A268,Simulations!$A$3:$A$62,0)))^1.5+SQRT(LN($G268/INDEX(Simulations!$J$3:$J$62,MATCH($A268,Simulations!$A$3:$A$62,0))))+$G268/INDEX(Simulations!$J$3:$J$62,MATCH($A268,Simulations!$A$3:$A$62,0))*SQRT(PI())/2*ERFC(SQRT(LN($G268/INDEX(Simulations!$J$3:$J$62,MATCH($A268,Simulations!$A$3:$A$62,0)))))),PI()*INDEX(Simulations!$T$3:$T$62,MATCH($A268,Simulations!$A$3:$A$62,0))^2/2*(LN($G268/INDEX(Simulations!$J$3:$J$62,MATCH($A268,Simulations!$A$3:$A$62,0)))+1)))))</f>
        <v/>
      </c>
      <c r="T268" s="16" t="str">
        <f aca="false">IF(OR($A268="",ISNA(MATCH($A268,Simulations!$A$3:$A$62,0))),"",IF(N($H268)&lt;=0,0,IF($H268&lt;INDEX(Simulations!$J$3:$J$62,MATCH($A268,Simulations!$A$3:$A$62,0)),$D268/(INDEX(Simulations!$G$3:$G$62,MATCH($A268,Simulations!$A$3:$A$62,0))*INDEX(Simulations!$H$3:$H$62,MATCH($A268,Simulations!$A$3:$A$62,0))*IF(INDEX(Simulations!$I$3:$I$62,MATCH($A268,Simulations!$A$3:$A$62,0))&gt;0,INDEX(Simulations!$I$3:$I$62,MATCH($A268,Simulations!$A$3:$A$62,0)),1))*$H268*(PI()/2*INDEX(Simulations!$T$3:$T$62,MATCH($A268,Simulations!$A$3:$A$62,0))^2*IF(INDEX(Simulations!$I$3:$I$62,MATCH($A268,Simulations!$A$3:$A$62,0))&gt;0,SQRT(PI()/2)*INDEX(Simulations!$U$3:$U$62,MATCH($A268,Simulations!$A$3:$A$62,0)),1)),$D268/(INDEX(Simulations!$G$3:$G$62,MATCH($A268,Simulations!$A$3:$A$62,0))*INDEX(Simulations!$H$3:$H$62,MATCH($A268,Simulations!$A$3:$A$62,0))*IF(INDEX(Simulations!$I$3:$I$62,MATCH($A268,Simulations!$A$3:$A$62,0))&gt;0,INDEX(Simulations!$I$3:$I$62,MATCH($A268,Simulations!$A$3:$A$62,0)),1))*INDEX(Simulations!$J$3:$J$62,MATCH($A268,Simulations!$A$3:$A$62,0))*IF(INDEX(Simulations!$I$3:$I$62,MATCH($A268,Simulations!$A$3:$A$62,0))&gt;0,2*PI()*INDEX(Simulations!$T$3:$T$62,MATCH($A268,Simulations!$A$3:$A$62,0))^2*INDEX(Simulations!$U$3:$U$62,MATCH($A268,Simulations!$A$3:$A$62,0))/2^1.5*(2/3*LN($H268/INDEX(Simulations!$J$3:$J$62,MATCH($A268,Simulations!$A$3:$A$62,0)))^1.5+SQRT(LN($H268/INDEX(Simulations!$J$3:$J$62,MATCH($A268,Simulations!$A$3:$A$62,0))))+$H268/INDEX(Simulations!$J$3:$J$62,MATCH($A268,Simulations!$A$3:$A$62,0))*SQRT(PI())/2*ERFC(SQRT(LN($H268/INDEX(Simulations!$J$3:$J$62,MATCH($A268,Simulations!$A$3:$A$62,0)))))),PI()*INDEX(Simulations!$T$3:$T$62,MATCH($A268,Simulations!$A$3:$A$62,0))^2/2*(LN($H268/INDEX(Simulations!$J$3:$J$62,MATCH($A268,Simulations!$A$3:$A$62,0)))+1)))))</f>
        <v/>
      </c>
      <c r="U268" s="18" t="str">
        <f aca="false">IF(OR(OR($A268="",ISNA(MATCH($A268,Simulations!$A$3:$A$62,0))),N($C268)&lt;=0),"",SQRT(2*$C268*1000000/(INDEX(Simulations!$J$3:$J$62,MATCH($A268,Simulations!$A$3:$A$62,0))*1000))/INDEX(Simulations!$T$3:$T$62,MATCH($A268,Simulations!$A$3:$A$62,0)))</f>
        <v/>
      </c>
      <c r="V268" s="19" t="str">
        <f aca="false">IF($A268="","",IF(ISNA(MATCH($A268,Simulations!$A$3:$A$62,0)),"✖ Sim ID not found on the Simulations sheet",IF($P268&gt;=1,"✖ brightness &gt;= sampling frequency: completely saturated (D too small, c too large)",IF($P268&gt;0.1,"⚠ brightness &gt; 10% of the sampling frequency: focus starts to saturate",IF(N($U268)&gt;0.1,"⚠ diffusion step &gt; 10% of wr: raise the sampling frequency",IF(MAX($E268:$H268)=0,"⚠ no brightness set","✔ OK"))))))</f>
        <v/>
      </c>
    </row>
    <row r="269" customFormat="false" ht="15" hidden="false" customHeight="false" outlineLevel="0" collapsed="false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4"/>
      <c r="O269" s="18" t="str">
        <f aca="false">IF(OR($A269="",ISNA(MATCH($A269,Simulations!$A$3:$A$62,0))),"",IF(INDEX(Simulations!$I$3:$I$62,MATCH($A269,Simulations!$A$3:$A$62,0))&gt;0,$D269/(INDEX(Simulations!$G$3:$G$62,MATCH($A269,Simulations!$A$3:$A$62,0))*INDEX(Simulations!$H$3:$H$62,MATCH($A269,Simulations!$A$3:$A$62,0))*IF(INDEX(Simulations!$I$3:$I$62,MATCH($A269,Simulations!$A$3:$A$62,0))&gt;0,INDEX(Simulations!$I$3:$I$62,MATCH($A269,Simulations!$A$3:$A$62,0)),1))/1E-024/6.022E+023/0.000000001,""))</f>
        <v/>
      </c>
      <c r="P269" s="20" t="str">
        <f aca="false">IF(OR($A269="",ISNA(MATCH($A269,Simulations!$A$3:$A$62,0))),"",MAX($E269:$H269)/INDEX(Simulations!$J$3:$J$62,MATCH($A269,Simulations!$A$3:$A$62,0)))</f>
        <v/>
      </c>
      <c r="Q269" s="16" t="str">
        <f aca="false">IF(OR($A269="",ISNA(MATCH($A269,Simulations!$A$3:$A$62,0))),"",IF(N($E269)&lt;=0,0,IF($E269&lt;INDEX(Simulations!$J$3:$J$62,MATCH($A269,Simulations!$A$3:$A$62,0)),$D269/(INDEX(Simulations!$G$3:$G$62,MATCH($A269,Simulations!$A$3:$A$62,0))*INDEX(Simulations!$H$3:$H$62,MATCH($A269,Simulations!$A$3:$A$62,0))*IF(INDEX(Simulations!$I$3:$I$62,MATCH($A269,Simulations!$A$3:$A$62,0))&gt;0,INDEX(Simulations!$I$3:$I$62,MATCH($A269,Simulations!$A$3:$A$62,0)),1))*$E269*(PI()/2*INDEX(Simulations!$T$3:$T$62,MATCH($A269,Simulations!$A$3:$A$62,0))^2*IF(INDEX(Simulations!$I$3:$I$62,MATCH($A269,Simulations!$A$3:$A$62,0))&gt;0,SQRT(PI()/2)*INDEX(Simulations!$U$3:$U$62,MATCH($A269,Simulations!$A$3:$A$62,0)),1)),$D269/(INDEX(Simulations!$G$3:$G$62,MATCH($A269,Simulations!$A$3:$A$62,0))*INDEX(Simulations!$H$3:$H$62,MATCH($A269,Simulations!$A$3:$A$62,0))*IF(INDEX(Simulations!$I$3:$I$62,MATCH($A269,Simulations!$A$3:$A$62,0))&gt;0,INDEX(Simulations!$I$3:$I$62,MATCH($A269,Simulations!$A$3:$A$62,0)),1))*INDEX(Simulations!$J$3:$J$62,MATCH($A269,Simulations!$A$3:$A$62,0))*IF(INDEX(Simulations!$I$3:$I$62,MATCH($A269,Simulations!$A$3:$A$62,0))&gt;0,2*PI()*INDEX(Simulations!$T$3:$T$62,MATCH($A269,Simulations!$A$3:$A$62,0))^2*INDEX(Simulations!$U$3:$U$62,MATCH($A269,Simulations!$A$3:$A$62,0))/2^1.5*(2/3*LN($E269/INDEX(Simulations!$J$3:$J$62,MATCH($A269,Simulations!$A$3:$A$62,0)))^1.5+SQRT(LN($E269/INDEX(Simulations!$J$3:$J$62,MATCH($A269,Simulations!$A$3:$A$62,0))))+$E269/INDEX(Simulations!$J$3:$J$62,MATCH($A269,Simulations!$A$3:$A$62,0))*SQRT(PI())/2*ERFC(SQRT(LN($E269/INDEX(Simulations!$J$3:$J$62,MATCH($A269,Simulations!$A$3:$A$62,0)))))),PI()*INDEX(Simulations!$T$3:$T$62,MATCH($A269,Simulations!$A$3:$A$62,0))^2/2*(LN($E269/INDEX(Simulations!$J$3:$J$62,MATCH($A269,Simulations!$A$3:$A$62,0)))+1)))))</f>
        <v/>
      </c>
      <c r="R269" s="16" t="str">
        <f aca="false">IF(OR($A269="",ISNA(MATCH($A269,Simulations!$A$3:$A$62,0))),"",IF(N($F269)&lt;=0,0,IF($F269&lt;INDEX(Simulations!$J$3:$J$62,MATCH($A269,Simulations!$A$3:$A$62,0)),$D269/(INDEX(Simulations!$G$3:$G$62,MATCH($A269,Simulations!$A$3:$A$62,0))*INDEX(Simulations!$H$3:$H$62,MATCH($A269,Simulations!$A$3:$A$62,0))*IF(INDEX(Simulations!$I$3:$I$62,MATCH($A269,Simulations!$A$3:$A$62,0))&gt;0,INDEX(Simulations!$I$3:$I$62,MATCH($A269,Simulations!$A$3:$A$62,0)),1))*$F269*(PI()/2*INDEX(Simulations!$T$3:$T$62,MATCH($A269,Simulations!$A$3:$A$62,0))^2*IF(INDEX(Simulations!$I$3:$I$62,MATCH($A269,Simulations!$A$3:$A$62,0))&gt;0,SQRT(PI()/2)*INDEX(Simulations!$U$3:$U$62,MATCH($A269,Simulations!$A$3:$A$62,0)),1)),$D269/(INDEX(Simulations!$G$3:$G$62,MATCH($A269,Simulations!$A$3:$A$62,0))*INDEX(Simulations!$H$3:$H$62,MATCH($A269,Simulations!$A$3:$A$62,0))*IF(INDEX(Simulations!$I$3:$I$62,MATCH($A269,Simulations!$A$3:$A$62,0))&gt;0,INDEX(Simulations!$I$3:$I$62,MATCH($A269,Simulations!$A$3:$A$62,0)),1))*INDEX(Simulations!$J$3:$J$62,MATCH($A269,Simulations!$A$3:$A$62,0))*IF(INDEX(Simulations!$I$3:$I$62,MATCH($A269,Simulations!$A$3:$A$62,0))&gt;0,2*PI()*INDEX(Simulations!$T$3:$T$62,MATCH($A269,Simulations!$A$3:$A$62,0))^2*INDEX(Simulations!$U$3:$U$62,MATCH($A269,Simulations!$A$3:$A$62,0))/2^1.5*(2/3*LN($F269/INDEX(Simulations!$J$3:$J$62,MATCH($A269,Simulations!$A$3:$A$62,0)))^1.5+SQRT(LN($F269/INDEX(Simulations!$J$3:$J$62,MATCH($A269,Simulations!$A$3:$A$62,0))))+$F269/INDEX(Simulations!$J$3:$J$62,MATCH($A269,Simulations!$A$3:$A$62,0))*SQRT(PI())/2*ERFC(SQRT(LN($F269/INDEX(Simulations!$J$3:$J$62,MATCH($A269,Simulations!$A$3:$A$62,0)))))),PI()*INDEX(Simulations!$T$3:$T$62,MATCH($A269,Simulations!$A$3:$A$62,0))^2/2*(LN($F269/INDEX(Simulations!$J$3:$J$62,MATCH($A269,Simulations!$A$3:$A$62,0)))+1)))))</f>
        <v/>
      </c>
      <c r="S269" s="16" t="str">
        <f aca="false">IF(OR($A269="",ISNA(MATCH($A269,Simulations!$A$3:$A$62,0))),"",IF(N($G269)&lt;=0,0,IF($G269&lt;INDEX(Simulations!$J$3:$J$62,MATCH($A269,Simulations!$A$3:$A$62,0)),$D269/(INDEX(Simulations!$G$3:$G$62,MATCH($A269,Simulations!$A$3:$A$62,0))*INDEX(Simulations!$H$3:$H$62,MATCH($A269,Simulations!$A$3:$A$62,0))*IF(INDEX(Simulations!$I$3:$I$62,MATCH($A269,Simulations!$A$3:$A$62,0))&gt;0,INDEX(Simulations!$I$3:$I$62,MATCH($A269,Simulations!$A$3:$A$62,0)),1))*$G269*(PI()/2*INDEX(Simulations!$T$3:$T$62,MATCH($A269,Simulations!$A$3:$A$62,0))^2*IF(INDEX(Simulations!$I$3:$I$62,MATCH($A269,Simulations!$A$3:$A$62,0))&gt;0,SQRT(PI()/2)*INDEX(Simulations!$U$3:$U$62,MATCH($A269,Simulations!$A$3:$A$62,0)),1)),$D269/(INDEX(Simulations!$G$3:$G$62,MATCH($A269,Simulations!$A$3:$A$62,0))*INDEX(Simulations!$H$3:$H$62,MATCH($A269,Simulations!$A$3:$A$62,0))*IF(INDEX(Simulations!$I$3:$I$62,MATCH($A269,Simulations!$A$3:$A$62,0))&gt;0,INDEX(Simulations!$I$3:$I$62,MATCH($A269,Simulations!$A$3:$A$62,0)),1))*INDEX(Simulations!$J$3:$J$62,MATCH($A269,Simulations!$A$3:$A$62,0))*IF(INDEX(Simulations!$I$3:$I$62,MATCH($A269,Simulations!$A$3:$A$62,0))&gt;0,2*PI()*INDEX(Simulations!$T$3:$T$62,MATCH($A269,Simulations!$A$3:$A$62,0))^2*INDEX(Simulations!$U$3:$U$62,MATCH($A269,Simulations!$A$3:$A$62,0))/2^1.5*(2/3*LN($G269/INDEX(Simulations!$J$3:$J$62,MATCH($A269,Simulations!$A$3:$A$62,0)))^1.5+SQRT(LN($G269/INDEX(Simulations!$J$3:$J$62,MATCH($A269,Simulations!$A$3:$A$62,0))))+$G269/INDEX(Simulations!$J$3:$J$62,MATCH($A269,Simulations!$A$3:$A$62,0))*SQRT(PI())/2*ERFC(SQRT(LN($G269/INDEX(Simulations!$J$3:$J$62,MATCH($A269,Simulations!$A$3:$A$62,0)))))),PI()*INDEX(Simulations!$T$3:$T$62,MATCH($A269,Simulations!$A$3:$A$62,0))^2/2*(LN($G269/INDEX(Simulations!$J$3:$J$62,MATCH($A269,Simulations!$A$3:$A$62,0)))+1)))))</f>
        <v/>
      </c>
      <c r="T269" s="16" t="str">
        <f aca="false">IF(OR($A269="",ISNA(MATCH($A269,Simulations!$A$3:$A$62,0))),"",IF(N($H269)&lt;=0,0,IF($H269&lt;INDEX(Simulations!$J$3:$J$62,MATCH($A269,Simulations!$A$3:$A$62,0)),$D269/(INDEX(Simulations!$G$3:$G$62,MATCH($A269,Simulations!$A$3:$A$62,0))*INDEX(Simulations!$H$3:$H$62,MATCH($A269,Simulations!$A$3:$A$62,0))*IF(INDEX(Simulations!$I$3:$I$62,MATCH($A269,Simulations!$A$3:$A$62,0))&gt;0,INDEX(Simulations!$I$3:$I$62,MATCH($A269,Simulations!$A$3:$A$62,0)),1))*$H269*(PI()/2*INDEX(Simulations!$T$3:$T$62,MATCH($A269,Simulations!$A$3:$A$62,0))^2*IF(INDEX(Simulations!$I$3:$I$62,MATCH($A269,Simulations!$A$3:$A$62,0))&gt;0,SQRT(PI()/2)*INDEX(Simulations!$U$3:$U$62,MATCH($A269,Simulations!$A$3:$A$62,0)),1)),$D269/(INDEX(Simulations!$G$3:$G$62,MATCH($A269,Simulations!$A$3:$A$62,0))*INDEX(Simulations!$H$3:$H$62,MATCH($A269,Simulations!$A$3:$A$62,0))*IF(INDEX(Simulations!$I$3:$I$62,MATCH($A269,Simulations!$A$3:$A$62,0))&gt;0,INDEX(Simulations!$I$3:$I$62,MATCH($A269,Simulations!$A$3:$A$62,0)),1))*INDEX(Simulations!$J$3:$J$62,MATCH($A269,Simulations!$A$3:$A$62,0))*IF(INDEX(Simulations!$I$3:$I$62,MATCH($A269,Simulations!$A$3:$A$62,0))&gt;0,2*PI()*INDEX(Simulations!$T$3:$T$62,MATCH($A269,Simulations!$A$3:$A$62,0))^2*INDEX(Simulations!$U$3:$U$62,MATCH($A269,Simulations!$A$3:$A$62,0))/2^1.5*(2/3*LN($H269/INDEX(Simulations!$J$3:$J$62,MATCH($A269,Simulations!$A$3:$A$62,0)))^1.5+SQRT(LN($H269/INDEX(Simulations!$J$3:$J$62,MATCH($A269,Simulations!$A$3:$A$62,0))))+$H269/INDEX(Simulations!$J$3:$J$62,MATCH($A269,Simulations!$A$3:$A$62,0))*SQRT(PI())/2*ERFC(SQRT(LN($H269/INDEX(Simulations!$J$3:$J$62,MATCH($A269,Simulations!$A$3:$A$62,0)))))),PI()*INDEX(Simulations!$T$3:$T$62,MATCH($A269,Simulations!$A$3:$A$62,0))^2/2*(LN($H269/INDEX(Simulations!$J$3:$J$62,MATCH($A269,Simulations!$A$3:$A$62,0)))+1)))))</f>
        <v/>
      </c>
      <c r="U269" s="18" t="str">
        <f aca="false">IF(OR(OR($A269="",ISNA(MATCH($A269,Simulations!$A$3:$A$62,0))),N($C269)&lt;=0),"",SQRT(2*$C269*1000000/(INDEX(Simulations!$J$3:$J$62,MATCH($A269,Simulations!$A$3:$A$62,0))*1000))/INDEX(Simulations!$T$3:$T$62,MATCH($A269,Simulations!$A$3:$A$62,0)))</f>
        <v/>
      </c>
      <c r="V269" s="19" t="str">
        <f aca="false">IF($A269="","",IF(ISNA(MATCH($A269,Simulations!$A$3:$A$62,0)),"✖ Sim ID not found on the Simulations sheet",IF($P269&gt;=1,"✖ brightness &gt;= sampling frequency: completely saturated (D too small, c too large)",IF($P269&gt;0.1,"⚠ brightness &gt; 10% of the sampling frequency: focus starts to saturate",IF(N($U269)&gt;0.1,"⚠ diffusion step &gt; 10% of wr: raise the sampling frequency",IF(MAX($E269:$H269)=0,"⚠ no brightness set","✔ OK"))))))</f>
        <v/>
      </c>
    </row>
    <row r="270" customFormat="false" ht="15" hidden="false" customHeight="false" outlineLevel="0" collapsed="false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4"/>
      <c r="O270" s="18" t="str">
        <f aca="false">IF(OR($A270="",ISNA(MATCH($A270,Simulations!$A$3:$A$62,0))),"",IF(INDEX(Simulations!$I$3:$I$62,MATCH($A270,Simulations!$A$3:$A$62,0))&gt;0,$D270/(INDEX(Simulations!$G$3:$G$62,MATCH($A270,Simulations!$A$3:$A$62,0))*INDEX(Simulations!$H$3:$H$62,MATCH($A270,Simulations!$A$3:$A$62,0))*IF(INDEX(Simulations!$I$3:$I$62,MATCH($A270,Simulations!$A$3:$A$62,0))&gt;0,INDEX(Simulations!$I$3:$I$62,MATCH($A270,Simulations!$A$3:$A$62,0)),1))/1E-024/6.022E+023/0.000000001,""))</f>
        <v/>
      </c>
      <c r="P270" s="20" t="str">
        <f aca="false">IF(OR($A270="",ISNA(MATCH($A270,Simulations!$A$3:$A$62,0))),"",MAX($E270:$H270)/INDEX(Simulations!$J$3:$J$62,MATCH($A270,Simulations!$A$3:$A$62,0)))</f>
        <v/>
      </c>
      <c r="Q270" s="16" t="str">
        <f aca="false">IF(OR($A270="",ISNA(MATCH($A270,Simulations!$A$3:$A$62,0))),"",IF(N($E270)&lt;=0,0,IF($E270&lt;INDEX(Simulations!$J$3:$J$62,MATCH($A270,Simulations!$A$3:$A$62,0)),$D270/(INDEX(Simulations!$G$3:$G$62,MATCH($A270,Simulations!$A$3:$A$62,0))*INDEX(Simulations!$H$3:$H$62,MATCH($A270,Simulations!$A$3:$A$62,0))*IF(INDEX(Simulations!$I$3:$I$62,MATCH($A270,Simulations!$A$3:$A$62,0))&gt;0,INDEX(Simulations!$I$3:$I$62,MATCH($A270,Simulations!$A$3:$A$62,0)),1))*$E270*(PI()/2*INDEX(Simulations!$T$3:$T$62,MATCH($A270,Simulations!$A$3:$A$62,0))^2*IF(INDEX(Simulations!$I$3:$I$62,MATCH($A270,Simulations!$A$3:$A$62,0))&gt;0,SQRT(PI()/2)*INDEX(Simulations!$U$3:$U$62,MATCH($A270,Simulations!$A$3:$A$62,0)),1)),$D270/(INDEX(Simulations!$G$3:$G$62,MATCH($A270,Simulations!$A$3:$A$62,0))*INDEX(Simulations!$H$3:$H$62,MATCH($A270,Simulations!$A$3:$A$62,0))*IF(INDEX(Simulations!$I$3:$I$62,MATCH($A270,Simulations!$A$3:$A$62,0))&gt;0,INDEX(Simulations!$I$3:$I$62,MATCH($A270,Simulations!$A$3:$A$62,0)),1))*INDEX(Simulations!$J$3:$J$62,MATCH($A270,Simulations!$A$3:$A$62,0))*IF(INDEX(Simulations!$I$3:$I$62,MATCH($A270,Simulations!$A$3:$A$62,0))&gt;0,2*PI()*INDEX(Simulations!$T$3:$T$62,MATCH($A270,Simulations!$A$3:$A$62,0))^2*INDEX(Simulations!$U$3:$U$62,MATCH($A270,Simulations!$A$3:$A$62,0))/2^1.5*(2/3*LN($E270/INDEX(Simulations!$J$3:$J$62,MATCH($A270,Simulations!$A$3:$A$62,0)))^1.5+SQRT(LN($E270/INDEX(Simulations!$J$3:$J$62,MATCH($A270,Simulations!$A$3:$A$62,0))))+$E270/INDEX(Simulations!$J$3:$J$62,MATCH($A270,Simulations!$A$3:$A$62,0))*SQRT(PI())/2*ERFC(SQRT(LN($E270/INDEX(Simulations!$J$3:$J$62,MATCH($A270,Simulations!$A$3:$A$62,0)))))),PI()*INDEX(Simulations!$T$3:$T$62,MATCH($A270,Simulations!$A$3:$A$62,0))^2/2*(LN($E270/INDEX(Simulations!$J$3:$J$62,MATCH($A270,Simulations!$A$3:$A$62,0)))+1)))))</f>
        <v/>
      </c>
      <c r="R270" s="16" t="str">
        <f aca="false">IF(OR($A270="",ISNA(MATCH($A270,Simulations!$A$3:$A$62,0))),"",IF(N($F270)&lt;=0,0,IF($F270&lt;INDEX(Simulations!$J$3:$J$62,MATCH($A270,Simulations!$A$3:$A$62,0)),$D270/(INDEX(Simulations!$G$3:$G$62,MATCH($A270,Simulations!$A$3:$A$62,0))*INDEX(Simulations!$H$3:$H$62,MATCH($A270,Simulations!$A$3:$A$62,0))*IF(INDEX(Simulations!$I$3:$I$62,MATCH($A270,Simulations!$A$3:$A$62,0))&gt;0,INDEX(Simulations!$I$3:$I$62,MATCH($A270,Simulations!$A$3:$A$62,0)),1))*$F270*(PI()/2*INDEX(Simulations!$T$3:$T$62,MATCH($A270,Simulations!$A$3:$A$62,0))^2*IF(INDEX(Simulations!$I$3:$I$62,MATCH($A270,Simulations!$A$3:$A$62,0))&gt;0,SQRT(PI()/2)*INDEX(Simulations!$U$3:$U$62,MATCH($A270,Simulations!$A$3:$A$62,0)),1)),$D270/(INDEX(Simulations!$G$3:$G$62,MATCH($A270,Simulations!$A$3:$A$62,0))*INDEX(Simulations!$H$3:$H$62,MATCH($A270,Simulations!$A$3:$A$62,0))*IF(INDEX(Simulations!$I$3:$I$62,MATCH($A270,Simulations!$A$3:$A$62,0))&gt;0,INDEX(Simulations!$I$3:$I$62,MATCH($A270,Simulations!$A$3:$A$62,0)),1))*INDEX(Simulations!$J$3:$J$62,MATCH($A270,Simulations!$A$3:$A$62,0))*IF(INDEX(Simulations!$I$3:$I$62,MATCH($A270,Simulations!$A$3:$A$62,0))&gt;0,2*PI()*INDEX(Simulations!$T$3:$T$62,MATCH($A270,Simulations!$A$3:$A$62,0))^2*INDEX(Simulations!$U$3:$U$62,MATCH($A270,Simulations!$A$3:$A$62,0))/2^1.5*(2/3*LN($F270/INDEX(Simulations!$J$3:$J$62,MATCH($A270,Simulations!$A$3:$A$62,0)))^1.5+SQRT(LN($F270/INDEX(Simulations!$J$3:$J$62,MATCH($A270,Simulations!$A$3:$A$62,0))))+$F270/INDEX(Simulations!$J$3:$J$62,MATCH($A270,Simulations!$A$3:$A$62,0))*SQRT(PI())/2*ERFC(SQRT(LN($F270/INDEX(Simulations!$J$3:$J$62,MATCH($A270,Simulations!$A$3:$A$62,0)))))),PI()*INDEX(Simulations!$T$3:$T$62,MATCH($A270,Simulations!$A$3:$A$62,0))^2/2*(LN($F270/INDEX(Simulations!$J$3:$J$62,MATCH($A270,Simulations!$A$3:$A$62,0)))+1)))))</f>
        <v/>
      </c>
      <c r="S270" s="16" t="str">
        <f aca="false">IF(OR($A270="",ISNA(MATCH($A270,Simulations!$A$3:$A$62,0))),"",IF(N($G270)&lt;=0,0,IF($G270&lt;INDEX(Simulations!$J$3:$J$62,MATCH($A270,Simulations!$A$3:$A$62,0)),$D270/(INDEX(Simulations!$G$3:$G$62,MATCH($A270,Simulations!$A$3:$A$62,0))*INDEX(Simulations!$H$3:$H$62,MATCH($A270,Simulations!$A$3:$A$62,0))*IF(INDEX(Simulations!$I$3:$I$62,MATCH($A270,Simulations!$A$3:$A$62,0))&gt;0,INDEX(Simulations!$I$3:$I$62,MATCH($A270,Simulations!$A$3:$A$62,0)),1))*$G270*(PI()/2*INDEX(Simulations!$T$3:$T$62,MATCH($A270,Simulations!$A$3:$A$62,0))^2*IF(INDEX(Simulations!$I$3:$I$62,MATCH($A270,Simulations!$A$3:$A$62,0))&gt;0,SQRT(PI()/2)*INDEX(Simulations!$U$3:$U$62,MATCH($A270,Simulations!$A$3:$A$62,0)),1)),$D270/(INDEX(Simulations!$G$3:$G$62,MATCH($A270,Simulations!$A$3:$A$62,0))*INDEX(Simulations!$H$3:$H$62,MATCH($A270,Simulations!$A$3:$A$62,0))*IF(INDEX(Simulations!$I$3:$I$62,MATCH($A270,Simulations!$A$3:$A$62,0))&gt;0,INDEX(Simulations!$I$3:$I$62,MATCH($A270,Simulations!$A$3:$A$62,0)),1))*INDEX(Simulations!$J$3:$J$62,MATCH($A270,Simulations!$A$3:$A$62,0))*IF(INDEX(Simulations!$I$3:$I$62,MATCH($A270,Simulations!$A$3:$A$62,0))&gt;0,2*PI()*INDEX(Simulations!$T$3:$T$62,MATCH($A270,Simulations!$A$3:$A$62,0))^2*INDEX(Simulations!$U$3:$U$62,MATCH($A270,Simulations!$A$3:$A$62,0))/2^1.5*(2/3*LN($G270/INDEX(Simulations!$J$3:$J$62,MATCH($A270,Simulations!$A$3:$A$62,0)))^1.5+SQRT(LN($G270/INDEX(Simulations!$J$3:$J$62,MATCH($A270,Simulations!$A$3:$A$62,0))))+$G270/INDEX(Simulations!$J$3:$J$62,MATCH($A270,Simulations!$A$3:$A$62,0))*SQRT(PI())/2*ERFC(SQRT(LN($G270/INDEX(Simulations!$J$3:$J$62,MATCH($A270,Simulations!$A$3:$A$62,0)))))),PI()*INDEX(Simulations!$T$3:$T$62,MATCH($A270,Simulations!$A$3:$A$62,0))^2/2*(LN($G270/INDEX(Simulations!$J$3:$J$62,MATCH($A270,Simulations!$A$3:$A$62,0)))+1)))))</f>
        <v/>
      </c>
      <c r="T270" s="16" t="str">
        <f aca="false">IF(OR($A270="",ISNA(MATCH($A270,Simulations!$A$3:$A$62,0))),"",IF(N($H270)&lt;=0,0,IF($H270&lt;INDEX(Simulations!$J$3:$J$62,MATCH($A270,Simulations!$A$3:$A$62,0)),$D270/(INDEX(Simulations!$G$3:$G$62,MATCH($A270,Simulations!$A$3:$A$62,0))*INDEX(Simulations!$H$3:$H$62,MATCH($A270,Simulations!$A$3:$A$62,0))*IF(INDEX(Simulations!$I$3:$I$62,MATCH($A270,Simulations!$A$3:$A$62,0))&gt;0,INDEX(Simulations!$I$3:$I$62,MATCH($A270,Simulations!$A$3:$A$62,0)),1))*$H270*(PI()/2*INDEX(Simulations!$T$3:$T$62,MATCH($A270,Simulations!$A$3:$A$62,0))^2*IF(INDEX(Simulations!$I$3:$I$62,MATCH($A270,Simulations!$A$3:$A$62,0))&gt;0,SQRT(PI()/2)*INDEX(Simulations!$U$3:$U$62,MATCH($A270,Simulations!$A$3:$A$62,0)),1)),$D270/(INDEX(Simulations!$G$3:$G$62,MATCH($A270,Simulations!$A$3:$A$62,0))*INDEX(Simulations!$H$3:$H$62,MATCH($A270,Simulations!$A$3:$A$62,0))*IF(INDEX(Simulations!$I$3:$I$62,MATCH($A270,Simulations!$A$3:$A$62,0))&gt;0,INDEX(Simulations!$I$3:$I$62,MATCH($A270,Simulations!$A$3:$A$62,0)),1))*INDEX(Simulations!$J$3:$J$62,MATCH($A270,Simulations!$A$3:$A$62,0))*IF(INDEX(Simulations!$I$3:$I$62,MATCH($A270,Simulations!$A$3:$A$62,0))&gt;0,2*PI()*INDEX(Simulations!$T$3:$T$62,MATCH($A270,Simulations!$A$3:$A$62,0))^2*INDEX(Simulations!$U$3:$U$62,MATCH($A270,Simulations!$A$3:$A$62,0))/2^1.5*(2/3*LN($H270/INDEX(Simulations!$J$3:$J$62,MATCH($A270,Simulations!$A$3:$A$62,0)))^1.5+SQRT(LN($H270/INDEX(Simulations!$J$3:$J$62,MATCH($A270,Simulations!$A$3:$A$62,0))))+$H270/INDEX(Simulations!$J$3:$J$62,MATCH($A270,Simulations!$A$3:$A$62,0))*SQRT(PI())/2*ERFC(SQRT(LN($H270/INDEX(Simulations!$J$3:$J$62,MATCH($A270,Simulations!$A$3:$A$62,0)))))),PI()*INDEX(Simulations!$T$3:$T$62,MATCH($A270,Simulations!$A$3:$A$62,0))^2/2*(LN($H270/INDEX(Simulations!$J$3:$J$62,MATCH($A270,Simulations!$A$3:$A$62,0)))+1)))))</f>
        <v/>
      </c>
      <c r="U270" s="18" t="str">
        <f aca="false">IF(OR(OR($A270="",ISNA(MATCH($A270,Simulations!$A$3:$A$62,0))),N($C270)&lt;=0),"",SQRT(2*$C270*1000000/(INDEX(Simulations!$J$3:$J$62,MATCH($A270,Simulations!$A$3:$A$62,0))*1000))/INDEX(Simulations!$T$3:$T$62,MATCH($A270,Simulations!$A$3:$A$62,0)))</f>
        <v/>
      </c>
      <c r="V270" s="19" t="str">
        <f aca="false">IF($A270="","",IF(ISNA(MATCH($A270,Simulations!$A$3:$A$62,0)),"✖ Sim ID not found on the Simulations sheet",IF($P270&gt;=1,"✖ brightness &gt;= sampling frequency: completely saturated (D too small, c too large)",IF($P270&gt;0.1,"⚠ brightness &gt; 10% of the sampling frequency: focus starts to saturate",IF(N($U270)&gt;0.1,"⚠ diffusion step &gt; 10% of wr: raise the sampling frequency",IF(MAX($E270:$H270)=0,"⚠ no brightness set","✔ OK"))))))</f>
        <v/>
      </c>
    </row>
    <row r="271" customFormat="false" ht="15" hidden="false" customHeight="false" outlineLevel="0" collapsed="false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4"/>
      <c r="O271" s="18" t="str">
        <f aca="false">IF(OR($A271="",ISNA(MATCH($A271,Simulations!$A$3:$A$62,0))),"",IF(INDEX(Simulations!$I$3:$I$62,MATCH($A271,Simulations!$A$3:$A$62,0))&gt;0,$D271/(INDEX(Simulations!$G$3:$G$62,MATCH($A271,Simulations!$A$3:$A$62,0))*INDEX(Simulations!$H$3:$H$62,MATCH($A271,Simulations!$A$3:$A$62,0))*IF(INDEX(Simulations!$I$3:$I$62,MATCH($A271,Simulations!$A$3:$A$62,0))&gt;0,INDEX(Simulations!$I$3:$I$62,MATCH($A271,Simulations!$A$3:$A$62,0)),1))/1E-024/6.022E+023/0.000000001,""))</f>
        <v/>
      </c>
      <c r="P271" s="20" t="str">
        <f aca="false">IF(OR($A271="",ISNA(MATCH($A271,Simulations!$A$3:$A$62,0))),"",MAX($E271:$H271)/INDEX(Simulations!$J$3:$J$62,MATCH($A271,Simulations!$A$3:$A$62,0)))</f>
        <v/>
      </c>
      <c r="Q271" s="16" t="str">
        <f aca="false">IF(OR($A271="",ISNA(MATCH($A271,Simulations!$A$3:$A$62,0))),"",IF(N($E271)&lt;=0,0,IF($E271&lt;INDEX(Simulations!$J$3:$J$62,MATCH($A271,Simulations!$A$3:$A$62,0)),$D271/(INDEX(Simulations!$G$3:$G$62,MATCH($A271,Simulations!$A$3:$A$62,0))*INDEX(Simulations!$H$3:$H$62,MATCH($A271,Simulations!$A$3:$A$62,0))*IF(INDEX(Simulations!$I$3:$I$62,MATCH($A271,Simulations!$A$3:$A$62,0))&gt;0,INDEX(Simulations!$I$3:$I$62,MATCH($A271,Simulations!$A$3:$A$62,0)),1))*$E271*(PI()/2*INDEX(Simulations!$T$3:$T$62,MATCH($A271,Simulations!$A$3:$A$62,0))^2*IF(INDEX(Simulations!$I$3:$I$62,MATCH($A271,Simulations!$A$3:$A$62,0))&gt;0,SQRT(PI()/2)*INDEX(Simulations!$U$3:$U$62,MATCH($A271,Simulations!$A$3:$A$62,0)),1)),$D271/(INDEX(Simulations!$G$3:$G$62,MATCH($A271,Simulations!$A$3:$A$62,0))*INDEX(Simulations!$H$3:$H$62,MATCH($A271,Simulations!$A$3:$A$62,0))*IF(INDEX(Simulations!$I$3:$I$62,MATCH($A271,Simulations!$A$3:$A$62,0))&gt;0,INDEX(Simulations!$I$3:$I$62,MATCH($A271,Simulations!$A$3:$A$62,0)),1))*INDEX(Simulations!$J$3:$J$62,MATCH($A271,Simulations!$A$3:$A$62,0))*IF(INDEX(Simulations!$I$3:$I$62,MATCH($A271,Simulations!$A$3:$A$62,0))&gt;0,2*PI()*INDEX(Simulations!$T$3:$T$62,MATCH($A271,Simulations!$A$3:$A$62,0))^2*INDEX(Simulations!$U$3:$U$62,MATCH($A271,Simulations!$A$3:$A$62,0))/2^1.5*(2/3*LN($E271/INDEX(Simulations!$J$3:$J$62,MATCH($A271,Simulations!$A$3:$A$62,0)))^1.5+SQRT(LN($E271/INDEX(Simulations!$J$3:$J$62,MATCH($A271,Simulations!$A$3:$A$62,0))))+$E271/INDEX(Simulations!$J$3:$J$62,MATCH($A271,Simulations!$A$3:$A$62,0))*SQRT(PI())/2*ERFC(SQRT(LN($E271/INDEX(Simulations!$J$3:$J$62,MATCH($A271,Simulations!$A$3:$A$62,0)))))),PI()*INDEX(Simulations!$T$3:$T$62,MATCH($A271,Simulations!$A$3:$A$62,0))^2/2*(LN($E271/INDEX(Simulations!$J$3:$J$62,MATCH($A271,Simulations!$A$3:$A$62,0)))+1)))))</f>
        <v/>
      </c>
      <c r="R271" s="16" t="str">
        <f aca="false">IF(OR($A271="",ISNA(MATCH($A271,Simulations!$A$3:$A$62,0))),"",IF(N($F271)&lt;=0,0,IF($F271&lt;INDEX(Simulations!$J$3:$J$62,MATCH($A271,Simulations!$A$3:$A$62,0)),$D271/(INDEX(Simulations!$G$3:$G$62,MATCH($A271,Simulations!$A$3:$A$62,0))*INDEX(Simulations!$H$3:$H$62,MATCH($A271,Simulations!$A$3:$A$62,0))*IF(INDEX(Simulations!$I$3:$I$62,MATCH($A271,Simulations!$A$3:$A$62,0))&gt;0,INDEX(Simulations!$I$3:$I$62,MATCH($A271,Simulations!$A$3:$A$62,0)),1))*$F271*(PI()/2*INDEX(Simulations!$T$3:$T$62,MATCH($A271,Simulations!$A$3:$A$62,0))^2*IF(INDEX(Simulations!$I$3:$I$62,MATCH($A271,Simulations!$A$3:$A$62,0))&gt;0,SQRT(PI()/2)*INDEX(Simulations!$U$3:$U$62,MATCH($A271,Simulations!$A$3:$A$62,0)),1)),$D271/(INDEX(Simulations!$G$3:$G$62,MATCH($A271,Simulations!$A$3:$A$62,0))*INDEX(Simulations!$H$3:$H$62,MATCH($A271,Simulations!$A$3:$A$62,0))*IF(INDEX(Simulations!$I$3:$I$62,MATCH($A271,Simulations!$A$3:$A$62,0))&gt;0,INDEX(Simulations!$I$3:$I$62,MATCH($A271,Simulations!$A$3:$A$62,0)),1))*INDEX(Simulations!$J$3:$J$62,MATCH($A271,Simulations!$A$3:$A$62,0))*IF(INDEX(Simulations!$I$3:$I$62,MATCH($A271,Simulations!$A$3:$A$62,0))&gt;0,2*PI()*INDEX(Simulations!$T$3:$T$62,MATCH($A271,Simulations!$A$3:$A$62,0))^2*INDEX(Simulations!$U$3:$U$62,MATCH($A271,Simulations!$A$3:$A$62,0))/2^1.5*(2/3*LN($F271/INDEX(Simulations!$J$3:$J$62,MATCH($A271,Simulations!$A$3:$A$62,0)))^1.5+SQRT(LN($F271/INDEX(Simulations!$J$3:$J$62,MATCH($A271,Simulations!$A$3:$A$62,0))))+$F271/INDEX(Simulations!$J$3:$J$62,MATCH($A271,Simulations!$A$3:$A$62,0))*SQRT(PI())/2*ERFC(SQRT(LN($F271/INDEX(Simulations!$J$3:$J$62,MATCH($A271,Simulations!$A$3:$A$62,0)))))),PI()*INDEX(Simulations!$T$3:$T$62,MATCH($A271,Simulations!$A$3:$A$62,0))^2/2*(LN($F271/INDEX(Simulations!$J$3:$J$62,MATCH($A271,Simulations!$A$3:$A$62,0)))+1)))))</f>
        <v/>
      </c>
      <c r="S271" s="16" t="str">
        <f aca="false">IF(OR($A271="",ISNA(MATCH($A271,Simulations!$A$3:$A$62,0))),"",IF(N($G271)&lt;=0,0,IF($G271&lt;INDEX(Simulations!$J$3:$J$62,MATCH($A271,Simulations!$A$3:$A$62,0)),$D271/(INDEX(Simulations!$G$3:$G$62,MATCH($A271,Simulations!$A$3:$A$62,0))*INDEX(Simulations!$H$3:$H$62,MATCH($A271,Simulations!$A$3:$A$62,0))*IF(INDEX(Simulations!$I$3:$I$62,MATCH($A271,Simulations!$A$3:$A$62,0))&gt;0,INDEX(Simulations!$I$3:$I$62,MATCH($A271,Simulations!$A$3:$A$62,0)),1))*$G271*(PI()/2*INDEX(Simulations!$T$3:$T$62,MATCH($A271,Simulations!$A$3:$A$62,0))^2*IF(INDEX(Simulations!$I$3:$I$62,MATCH($A271,Simulations!$A$3:$A$62,0))&gt;0,SQRT(PI()/2)*INDEX(Simulations!$U$3:$U$62,MATCH($A271,Simulations!$A$3:$A$62,0)),1)),$D271/(INDEX(Simulations!$G$3:$G$62,MATCH($A271,Simulations!$A$3:$A$62,0))*INDEX(Simulations!$H$3:$H$62,MATCH($A271,Simulations!$A$3:$A$62,0))*IF(INDEX(Simulations!$I$3:$I$62,MATCH($A271,Simulations!$A$3:$A$62,0))&gt;0,INDEX(Simulations!$I$3:$I$62,MATCH($A271,Simulations!$A$3:$A$62,0)),1))*INDEX(Simulations!$J$3:$J$62,MATCH($A271,Simulations!$A$3:$A$62,0))*IF(INDEX(Simulations!$I$3:$I$62,MATCH($A271,Simulations!$A$3:$A$62,0))&gt;0,2*PI()*INDEX(Simulations!$T$3:$T$62,MATCH($A271,Simulations!$A$3:$A$62,0))^2*INDEX(Simulations!$U$3:$U$62,MATCH($A271,Simulations!$A$3:$A$62,0))/2^1.5*(2/3*LN($G271/INDEX(Simulations!$J$3:$J$62,MATCH($A271,Simulations!$A$3:$A$62,0)))^1.5+SQRT(LN($G271/INDEX(Simulations!$J$3:$J$62,MATCH($A271,Simulations!$A$3:$A$62,0))))+$G271/INDEX(Simulations!$J$3:$J$62,MATCH($A271,Simulations!$A$3:$A$62,0))*SQRT(PI())/2*ERFC(SQRT(LN($G271/INDEX(Simulations!$J$3:$J$62,MATCH($A271,Simulations!$A$3:$A$62,0)))))),PI()*INDEX(Simulations!$T$3:$T$62,MATCH($A271,Simulations!$A$3:$A$62,0))^2/2*(LN($G271/INDEX(Simulations!$J$3:$J$62,MATCH($A271,Simulations!$A$3:$A$62,0)))+1)))))</f>
        <v/>
      </c>
      <c r="T271" s="16" t="str">
        <f aca="false">IF(OR($A271="",ISNA(MATCH($A271,Simulations!$A$3:$A$62,0))),"",IF(N($H271)&lt;=0,0,IF($H271&lt;INDEX(Simulations!$J$3:$J$62,MATCH($A271,Simulations!$A$3:$A$62,0)),$D271/(INDEX(Simulations!$G$3:$G$62,MATCH($A271,Simulations!$A$3:$A$62,0))*INDEX(Simulations!$H$3:$H$62,MATCH($A271,Simulations!$A$3:$A$62,0))*IF(INDEX(Simulations!$I$3:$I$62,MATCH($A271,Simulations!$A$3:$A$62,0))&gt;0,INDEX(Simulations!$I$3:$I$62,MATCH($A271,Simulations!$A$3:$A$62,0)),1))*$H271*(PI()/2*INDEX(Simulations!$T$3:$T$62,MATCH($A271,Simulations!$A$3:$A$62,0))^2*IF(INDEX(Simulations!$I$3:$I$62,MATCH($A271,Simulations!$A$3:$A$62,0))&gt;0,SQRT(PI()/2)*INDEX(Simulations!$U$3:$U$62,MATCH($A271,Simulations!$A$3:$A$62,0)),1)),$D271/(INDEX(Simulations!$G$3:$G$62,MATCH($A271,Simulations!$A$3:$A$62,0))*INDEX(Simulations!$H$3:$H$62,MATCH($A271,Simulations!$A$3:$A$62,0))*IF(INDEX(Simulations!$I$3:$I$62,MATCH($A271,Simulations!$A$3:$A$62,0))&gt;0,INDEX(Simulations!$I$3:$I$62,MATCH($A271,Simulations!$A$3:$A$62,0)),1))*INDEX(Simulations!$J$3:$J$62,MATCH($A271,Simulations!$A$3:$A$62,0))*IF(INDEX(Simulations!$I$3:$I$62,MATCH($A271,Simulations!$A$3:$A$62,0))&gt;0,2*PI()*INDEX(Simulations!$T$3:$T$62,MATCH($A271,Simulations!$A$3:$A$62,0))^2*INDEX(Simulations!$U$3:$U$62,MATCH($A271,Simulations!$A$3:$A$62,0))/2^1.5*(2/3*LN($H271/INDEX(Simulations!$J$3:$J$62,MATCH($A271,Simulations!$A$3:$A$62,0)))^1.5+SQRT(LN($H271/INDEX(Simulations!$J$3:$J$62,MATCH($A271,Simulations!$A$3:$A$62,0))))+$H271/INDEX(Simulations!$J$3:$J$62,MATCH($A271,Simulations!$A$3:$A$62,0))*SQRT(PI())/2*ERFC(SQRT(LN($H271/INDEX(Simulations!$J$3:$J$62,MATCH($A271,Simulations!$A$3:$A$62,0)))))),PI()*INDEX(Simulations!$T$3:$T$62,MATCH($A271,Simulations!$A$3:$A$62,0))^2/2*(LN($H271/INDEX(Simulations!$J$3:$J$62,MATCH($A271,Simulations!$A$3:$A$62,0)))+1)))))</f>
        <v/>
      </c>
      <c r="U271" s="18" t="str">
        <f aca="false">IF(OR(OR($A271="",ISNA(MATCH($A271,Simulations!$A$3:$A$62,0))),N($C271)&lt;=0),"",SQRT(2*$C271*1000000/(INDEX(Simulations!$J$3:$J$62,MATCH($A271,Simulations!$A$3:$A$62,0))*1000))/INDEX(Simulations!$T$3:$T$62,MATCH($A271,Simulations!$A$3:$A$62,0)))</f>
        <v/>
      </c>
      <c r="V271" s="19" t="str">
        <f aca="false">IF($A271="","",IF(ISNA(MATCH($A271,Simulations!$A$3:$A$62,0)),"✖ Sim ID not found on the Simulations sheet",IF($P271&gt;=1,"✖ brightness &gt;= sampling frequency: completely saturated (D too small, c too large)",IF($P271&gt;0.1,"⚠ brightness &gt; 10% of the sampling frequency: focus starts to saturate",IF(N($U271)&gt;0.1,"⚠ diffusion step &gt; 10% of wr: raise the sampling frequency",IF(MAX($E271:$H271)=0,"⚠ no brightness set","✔ OK"))))))</f>
        <v/>
      </c>
    </row>
    <row r="272" customFormat="false" ht="15" hidden="false" customHeight="false" outlineLevel="0" collapsed="false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4"/>
      <c r="O272" s="18" t="str">
        <f aca="false">IF(OR($A272="",ISNA(MATCH($A272,Simulations!$A$3:$A$62,0))),"",IF(INDEX(Simulations!$I$3:$I$62,MATCH($A272,Simulations!$A$3:$A$62,0))&gt;0,$D272/(INDEX(Simulations!$G$3:$G$62,MATCH($A272,Simulations!$A$3:$A$62,0))*INDEX(Simulations!$H$3:$H$62,MATCH($A272,Simulations!$A$3:$A$62,0))*IF(INDEX(Simulations!$I$3:$I$62,MATCH($A272,Simulations!$A$3:$A$62,0))&gt;0,INDEX(Simulations!$I$3:$I$62,MATCH($A272,Simulations!$A$3:$A$62,0)),1))/1E-024/6.022E+023/0.000000001,""))</f>
        <v/>
      </c>
      <c r="P272" s="20" t="str">
        <f aca="false">IF(OR($A272="",ISNA(MATCH($A272,Simulations!$A$3:$A$62,0))),"",MAX($E272:$H272)/INDEX(Simulations!$J$3:$J$62,MATCH($A272,Simulations!$A$3:$A$62,0)))</f>
        <v/>
      </c>
      <c r="Q272" s="16" t="str">
        <f aca="false">IF(OR($A272="",ISNA(MATCH($A272,Simulations!$A$3:$A$62,0))),"",IF(N($E272)&lt;=0,0,IF($E272&lt;INDEX(Simulations!$J$3:$J$62,MATCH($A272,Simulations!$A$3:$A$62,0)),$D272/(INDEX(Simulations!$G$3:$G$62,MATCH($A272,Simulations!$A$3:$A$62,0))*INDEX(Simulations!$H$3:$H$62,MATCH($A272,Simulations!$A$3:$A$62,0))*IF(INDEX(Simulations!$I$3:$I$62,MATCH($A272,Simulations!$A$3:$A$62,0))&gt;0,INDEX(Simulations!$I$3:$I$62,MATCH($A272,Simulations!$A$3:$A$62,0)),1))*$E272*(PI()/2*INDEX(Simulations!$T$3:$T$62,MATCH($A272,Simulations!$A$3:$A$62,0))^2*IF(INDEX(Simulations!$I$3:$I$62,MATCH($A272,Simulations!$A$3:$A$62,0))&gt;0,SQRT(PI()/2)*INDEX(Simulations!$U$3:$U$62,MATCH($A272,Simulations!$A$3:$A$62,0)),1)),$D272/(INDEX(Simulations!$G$3:$G$62,MATCH($A272,Simulations!$A$3:$A$62,0))*INDEX(Simulations!$H$3:$H$62,MATCH($A272,Simulations!$A$3:$A$62,0))*IF(INDEX(Simulations!$I$3:$I$62,MATCH($A272,Simulations!$A$3:$A$62,0))&gt;0,INDEX(Simulations!$I$3:$I$62,MATCH($A272,Simulations!$A$3:$A$62,0)),1))*INDEX(Simulations!$J$3:$J$62,MATCH($A272,Simulations!$A$3:$A$62,0))*IF(INDEX(Simulations!$I$3:$I$62,MATCH($A272,Simulations!$A$3:$A$62,0))&gt;0,2*PI()*INDEX(Simulations!$T$3:$T$62,MATCH($A272,Simulations!$A$3:$A$62,0))^2*INDEX(Simulations!$U$3:$U$62,MATCH($A272,Simulations!$A$3:$A$62,0))/2^1.5*(2/3*LN($E272/INDEX(Simulations!$J$3:$J$62,MATCH($A272,Simulations!$A$3:$A$62,0)))^1.5+SQRT(LN($E272/INDEX(Simulations!$J$3:$J$62,MATCH($A272,Simulations!$A$3:$A$62,0))))+$E272/INDEX(Simulations!$J$3:$J$62,MATCH($A272,Simulations!$A$3:$A$62,0))*SQRT(PI())/2*ERFC(SQRT(LN($E272/INDEX(Simulations!$J$3:$J$62,MATCH($A272,Simulations!$A$3:$A$62,0)))))),PI()*INDEX(Simulations!$T$3:$T$62,MATCH($A272,Simulations!$A$3:$A$62,0))^2/2*(LN($E272/INDEX(Simulations!$J$3:$J$62,MATCH($A272,Simulations!$A$3:$A$62,0)))+1)))))</f>
        <v/>
      </c>
      <c r="R272" s="16" t="str">
        <f aca="false">IF(OR($A272="",ISNA(MATCH($A272,Simulations!$A$3:$A$62,0))),"",IF(N($F272)&lt;=0,0,IF($F272&lt;INDEX(Simulations!$J$3:$J$62,MATCH($A272,Simulations!$A$3:$A$62,0)),$D272/(INDEX(Simulations!$G$3:$G$62,MATCH($A272,Simulations!$A$3:$A$62,0))*INDEX(Simulations!$H$3:$H$62,MATCH($A272,Simulations!$A$3:$A$62,0))*IF(INDEX(Simulations!$I$3:$I$62,MATCH($A272,Simulations!$A$3:$A$62,0))&gt;0,INDEX(Simulations!$I$3:$I$62,MATCH($A272,Simulations!$A$3:$A$62,0)),1))*$F272*(PI()/2*INDEX(Simulations!$T$3:$T$62,MATCH($A272,Simulations!$A$3:$A$62,0))^2*IF(INDEX(Simulations!$I$3:$I$62,MATCH($A272,Simulations!$A$3:$A$62,0))&gt;0,SQRT(PI()/2)*INDEX(Simulations!$U$3:$U$62,MATCH($A272,Simulations!$A$3:$A$62,0)),1)),$D272/(INDEX(Simulations!$G$3:$G$62,MATCH($A272,Simulations!$A$3:$A$62,0))*INDEX(Simulations!$H$3:$H$62,MATCH($A272,Simulations!$A$3:$A$62,0))*IF(INDEX(Simulations!$I$3:$I$62,MATCH($A272,Simulations!$A$3:$A$62,0))&gt;0,INDEX(Simulations!$I$3:$I$62,MATCH($A272,Simulations!$A$3:$A$62,0)),1))*INDEX(Simulations!$J$3:$J$62,MATCH($A272,Simulations!$A$3:$A$62,0))*IF(INDEX(Simulations!$I$3:$I$62,MATCH($A272,Simulations!$A$3:$A$62,0))&gt;0,2*PI()*INDEX(Simulations!$T$3:$T$62,MATCH($A272,Simulations!$A$3:$A$62,0))^2*INDEX(Simulations!$U$3:$U$62,MATCH($A272,Simulations!$A$3:$A$62,0))/2^1.5*(2/3*LN($F272/INDEX(Simulations!$J$3:$J$62,MATCH($A272,Simulations!$A$3:$A$62,0)))^1.5+SQRT(LN($F272/INDEX(Simulations!$J$3:$J$62,MATCH($A272,Simulations!$A$3:$A$62,0))))+$F272/INDEX(Simulations!$J$3:$J$62,MATCH($A272,Simulations!$A$3:$A$62,0))*SQRT(PI())/2*ERFC(SQRT(LN($F272/INDEX(Simulations!$J$3:$J$62,MATCH($A272,Simulations!$A$3:$A$62,0)))))),PI()*INDEX(Simulations!$T$3:$T$62,MATCH($A272,Simulations!$A$3:$A$62,0))^2/2*(LN($F272/INDEX(Simulations!$J$3:$J$62,MATCH($A272,Simulations!$A$3:$A$62,0)))+1)))))</f>
        <v/>
      </c>
      <c r="S272" s="16" t="str">
        <f aca="false">IF(OR($A272="",ISNA(MATCH($A272,Simulations!$A$3:$A$62,0))),"",IF(N($G272)&lt;=0,0,IF($G272&lt;INDEX(Simulations!$J$3:$J$62,MATCH($A272,Simulations!$A$3:$A$62,0)),$D272/(INDEX(Simulations!$G$3:$G$62,MATCH($A272,Simulations!$A$3:$A$62,0))*INDEX(Simulations!$H$3:$H$62,MATCH($A272,Simulations!$A$3:$A$62,0))*IF(INDEX(Simulations!$I$3:$I$62,MATCH($A272,Simulations!$A$3:$A$62,0))&gt;0,INDEX(Simulations!$I$3:$I$62,MATCH($A272,Simulations!$A$3:$A$62,0)),1))*$G272*(PI()/2*INDEX(Simulations!$T$3:$T$62,MATCH($A272,Simulations!$A$3:$A$62,0))^2*IF(INDEX(Simulations!$I$3:$I$62,MATCH($A272,Simulations!$A$3:$A$62,0))&gt;0,SQRT(PI()/2)*INDEX(Simulations!$U$3:$U$62,MATCH($A272,Simulations!$A$3:$A$62,0)),1)),$D272/(INDEX(Simulations!$G$3:$G$62,MATCH($A272,Simulations!$A$3:$A$62,0))*INDEX(Simulations!$H$3:$H$62,MATCH($A272,Simulations!$A$3:$A$62,0))*IF(INDEX(Simulations!$I$3:$I$62,MATCH($A272,Simulations!$A$3:$A$62,0))&gt;0,INDEX(Simulations!$I$3:$I$62,MATCH($A272,Simulations!$A$3:$A$62,0)),1))*INDEX(Simulations!$J$3:$J$62,MATCH($A272,Simulations!$A$3:$A$62,0))*IF(INDEX(Simulations!$I$3:$I$62,MATCH($A272,Simulations!$A$3:$A$62,0))&gt;0,2*PI()*INDEX(Simulations!$T$3:$T$62,MATCH($A272,Simulations!$A$3:$A$62,0))^2*INDEX(Simulations!$U$3:$U$62,MATCH($A272,Simulations!$A$3:$A$62,0))/2^1.5*(2/3*LN($G272/INDEX(Simulations!$J$3:$J$62,MATCH($A272,Simulations!$A$3:$A$62,0)))^1.5+SQRT(LN($G272/INDEX(Simulations!$J$3:$J$62,MATCH($A272,Simulations!$A$3:$A$62,0))))+$G272/INDEX(Simulations!$J$3:$J$62,MATCH($A272,Simulations!$A$3:$A$62,0))*SQRT(PI())/2*ERFC(SQRT(LN($G272/INDEX(Simulations!$J$3:$J$62,MATCH($A272,Simulations!$A$3:$A$62,0)))))),PI()*INDEX(Simulations!$T$3:$T$62,MATCH($A272,Simulations!$A$3:$A$62,0))^2/2*(LN($G272/INDEX(Simulations!$J$3:$J$62,MATCH($A272,Simulations!$A$3:$A$62,0)))+1)))))</f>
        <v/>
      </c>
      <c r="T272" s="16" t="str">
        <f aca="false">IF(OR($A272="",ISNA(MATCH($A272,Simulations!$A$3:$A$62,0))),"",IF(N($H272)&lt;=0,0,IF($H272&lt;INDEX(Simulations!$J$3:$J$62,MATCH($A272,Simulations!$A$3:$A$62,0)),$D272/(INDEX(Simulations!$G$3:$G$62,MATCH($A272,Simulations!$A$3:$A$62,0))*INDEX(Simulations!$H$3:$H$62,MATCH($A272,Simulations!$A$3:$A$62,0))*IF(INDEX(Simulations!$I$3:$I$62,MATCH($A272,Simulations!$A$3:$A$62,0))&gt;0,INDEX(Simulations!$I$3:$I$62,MATCH($A272,Simulations!$A$3:$A$62,0)),1))*$H272*(PI()/2*INDEX(Simulations!$T$3:$T$62,MATCH($A272,Simulations!$A$3:$A$62,0))^2*IF(INDEX(Simulations!$I$3:$I$62,MATCH($A272,Simulations!$A$3:$A$62,0))&gt;0,SQRT(PI()/2)*INDEX(Simulations!$U$3:$U$62,MATCH($A272,Simulations!$A$3:$A$62,0)),1)),$D272/(INDEX(Simulations!$G$3:$G$62,MATCH($A272,Simulations!$A$3:$A$62,0))*INDEX(Simulations!$H$3:$H$62,MATCH($A272,Simulations!$A$3:$A$62,0))*IF(INDEX(Simulations!$I$3:$I$62,MATCH($A272,Simulations!$A$3:$A$62,0))&gt;0,INDEX(Simulations!$I$3:$I$62,MATCH($A272,Simulations!$A$3:$A$62,0)),1))*INDEX(Simulations!$J$3:$J$62,MATCH($A272,Simulations!$A$3:$A$62,0))*IF(INDEX(Simulations!$I$3:$I$62,MATCH($A272,Simulations!$A$3:$A$62,0))&gt;0,2*PI()*INDEX(Simulations!$T$3:$T$62,MATCH($A272,Simulations!$A$3:$A$62,0))^2*INDEX(Simulations!$U$3:$U$62,MATCH($A272,Simulations!$A$3:$A$62,0))/2^1.5*(2/3*LN($H272/INDEX(Simulations!$J$3:$J$62,MATCH($A272,Simulations!$A$3:$A$62,0)))^1.5+SQRT(LN($H272/INDEX(Simulations!$J$3:$J$62,MATCH($A272,Simulations!$A$3:$A$62,0))))+$H272/INDEX(Simulations!$J$3:$J$62,MATCH($A272,Simulations!$A$3:$A$62,0))*SQRT(PI())/2*ERFC(SQRT(LN($H272/INDEX(Simulations!$J$3:$J$62,MATCH($A272,Simulations!$A$3:$A$62,0)))))),PI()*INDEX(Simulations!$T$3:$T$62,MATCH($A272,Simulations!$A$3:$A$62,0))^2/2*(LN($H272/INDEX(Simulations!$J$3:$J$62,MATCH($A272,Simulations!$A$3:$A$62,0)))+1)))))</f>
        <v/>
      </c>
      <c r="U272" s="18" t="str">
        <f aca="false">IF(OR(OR($A272="",ISNA(MATCH($A272,Simulations!$A$3:$A$62,0))),N($C272)&lt;=0),"",SQRT(2*$C272*1000000/(INDEX(Simulations!$J$3:$J$62,MATCH($A272,Simulations!$A$3:$A$62,0))*1000))/INDEX(Simulations!$T$3:$T$62,MATCH($A272,Simulations!$A$3:$A$62,0)))</f>
        <v/>
      </c>
      <c r="V272" s="19" t="str">
        <f aca="false">IF($A272="","",IF(ISNA(MATCH($A272,Simulations!$A$3:$A$62,0)),"✖ Sim ID not found on the Simulations sheet",IF($P272&gt;=1,"✖ brightness &gt;= sampling frequency: completely saturated (D too small, c too large)",IF($P272&gt;0.1,"⚠ brightness &gt; 10% of the sampling frequency: focus starts to saturate",IF(N($U272)&gt;0.1,"⚠ diffusion step &gt; 10% of wr: raise the sampling frequency",IF(MAX($E272:$H272)=0,"⚠ no brightness set","✔ OK"))))))</f>
        <v/>
      </c>
    </row>
    <row r="273" customFormat="false" ht="15" hidden="false" customHeight="false" outlineLevel="0" collapsed="false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4"/>
      <c r="O273" s="18" t="str">
        <f aca="false">IF(OR($A273="",ISNA(MATCH($A273,Simulations!$A$3:$A$62,0))),"",IF(INDEX(Simulations!$I$3:$I$62,MATCH($A273,Simulations!$A$3:$A$62,0))&gt;0,$D273/(INDEX(Simulations!$G$3:$G$62,MATCH($A273,Simulations!$A$3:$A$62,0))*INDEX(Simulations!$H$3:$H$62,MATCH($A273,Simulations!$A$3:$A$62,0))*IF(INDEX(Simulations!$I$3:$I$62,MATCH($A273,Simulations!$A$3:$A$62,0))&gt;0,INDEX(Simulations!$I$3:$I$62,MATCH($A273,Simulations!$A$3:$A$62,0)),1))/1E-024/6.022E+023/0.000000001,""))</f>
        <v/>
      </c>
      <c r="P273" s="20" t="str">
        <f aca="false">IF(OR($A273="",ISNA(MATCH($A273,Simulations!$A$3:$A$62,0))),"",MAX($E273:$H273)/INDEX(Simulations!$J$3:$J$62,MATCH($A273,Simulations!$A$3:$A$62,0)))</f>
        <v/>
      </c>
      <c r="Q273" s="16" t="str">
        <f aca="false">IF(OR($A273="",ISNA(MATCH($A273,Simulations!$A$3:$A$62,0))),"",IF(N($E273)&lt;=0,0,IF($E273&lt;INDEX(Simulations!$J$3:$J$62,MATCH($A273,Simulations!$A$3:$A$62,0)),$D273/(INDEX(Simulations!$G$3:$G$62,MATCH($A273,Simulations!$A$3:$A$62,0))*INDEX(Simulations!$H$3:$H$62,MATCH($A273,Simulations!$A$3:$A$62,0))*IF(INDEX(Simulations!$I$3:$I$62,MATCH($A273,Simulations!$A$3:$A$62,0))&gt;0,INDEX(Simulations!$I$3:$I$62,MATCH($A273,Simulations!$A$3:$A$62,0)),1))*$E273*(PI()/2*INDEX(Simulations!$T$3:$T$62,MATCH($A273,Simulations!$A$3:$A$62,0))^2*IF(INDEX(Simulations!$I$3:$I$62,MATCH($A273,Simulations!$A$3:$A$62,0))&gt;0,SQRT(PI()/2)*INDEX(Simulations!$U$3:$U$62,MATCH($A273,Simulations!$A$3:$A$62,0)),1)),$D273/(INDEX(Simulations!$G$3:$G$62,MATCH($A273,Simulations!$A$3:$A$62,0))*INDEX(Simulations!$H$3:$H$62,MATCH($A273,Simulations!$A$3:$A$62,0))*IF(INDEX(Simulations!$I$3:$I$62,MATCH($A273,Simulations!$A$3:$A$62,0))&gt;0,INDEX(Simulations!$I$3:$I$62,MATCH($A273,Simulations!$A$3:$A$62,0)),1))*INDEX(Simulations!$J$3:$J$62,MATCH($A273,Simulations!$A$3:$A$62,0))*IF(INDEX(Simulations!$I$3:$I$62,MATCH($A273,Simulations!$A$3:$A$62,0))&gt;0,2*PI()*INDEX(Simulations!$T$3:$T$62,MATCH($A273,Simulations!$A$3:$A$62,0))^2*INDEX(Simulations!$U$3:$U$62,MATCH($A273,Simulations!$A$3:$A$62,0))/2^1.5*(2/3*LN($E273/INDEX(Simulations!$J$3:$J$62,MATCH($A273,Simulations!$A$3:$A$62,0)))^1.5+SQRT(LN($E273/INDEX(Simulations!$J$3:$J$62,MATCH($A273,Simulations!$A$3:$A$62,0))))+$E273/INDEX(Simulations!$J$3:$J$62,MATCH($A273,Simulations!$A$3:$A$62,0))*SQRT(PI())/2*ERFC(SQRT(LN($E273/INDEX(Simulations!$J$3:$J$62,MATCH($A273,Simulations!$A$3:$A$62,0)))))),PI()*INDEX(Simulations!$T$3:$T$62,MATCH($A273,Simulations!$A$3:$A$62,0))^2/2*(LN($E273/INDEX(Simulations!$J$3:$J$62,MATCH($A273,Simulations!$A$3:$A$62,0)))+1)))))</f>
        <v/>
      </c>
      <c r="R273" s="16" t="str">
        <f aca="false">IF(OR($A273="",ISNA(MATCH($A273,Simulations!$A$3:$A$62,0))),"",IF(N($F273)&lt;=0,0,IF($F273&lt;INDEX(Simulations!$J$3:$J$62,MATCH($A273,Simulations!$A$3:$A$62,0)),$D273/(INDEX(Simulations!$G$3:$G$62,MATCH($A273,Simulations!$A$3:$A$62,0))*INDEX(Simulations!$H$3:$H$62,MATCH($A273,Simulations!$A$3:$A$62,0))*IF(INDEX(Simulations!$I$3:$I$62,MATCH($A273,Simulations!$A$3:$A$62,0))&gt;0,INDEX(Simulations!$I$3:$I$62,MATCH($A273,Simulations!$A$3:$A$62,0)),1))*$F273*(PI()/2*INDEX(Simulations!$T$3:$T$62,MATCH($A273,Simulations!$A$3:$A$62,0))^2*IF(INDEX(Simulations!$I$3:$I$62,MATCH($A273,Simulations!$A$3:$A$62,0))&gt;0,SQRT(PI()/2)*INDEX(Simulations!$U$3:$U$62,MATCH($A273,Simulations!$A$3:$A$62,0)),1)),$D273/(INDEX(Simulations!$G$3:$G$62,MATCH($A273,Simulations!$A$3:$A$62,0))*INDEX(Simulations!$H$3:$H$62,MATCH($A273,Simulations!$A$3:$A$62,0))*IF(INDEX(Simulations!$I$3:$I$62,MATCH($A273,Simulations!$A$3:$A$62,0))&gt;0,INDEX(Simulations!$I$3:$I$62,MATCH($A273,Simulations!$A$3:$A$62,0)),1))*INDEX(Simulations!$J$3:$J$62,MATCH($A273,Simulations!$A$3:$A$62,0))*IF(INDEX(Simulations!$I$3:$I$62,MATCH($A273,Simulations!$A$3:$A$62,0))&gt;0,2*PI()*INDEX(Simulations!$T$3:$T$62,MATCH($A273,Simulations!$A$3:$A$62,0))^2*INDEX(Simulations!$U$3:$U$62,MATCH($A273,Simulations!$A$3:$A$62,0))/2^1.5*(2/3*LN($F273/INDEX(Simulations!$J$3:$J$62,MATCH($A273,Simulations!$A$3:$A$62,0)))^1.5+SQRT(LN($F273/INDEX(Simulations!$J$3:$J$62,MATCH($A273,Simulations!$A$3:$A$62,0))))+$F273/INDEX(Simulations!$J$3:$J$62,MATCH($A273,Simulations!$A$3:$A$62,0))*SQRT(PI())/2*ERFC(SQRT(LN($F273/INDEX(Simulations!$J$3:$J$62,MATCH($A273,Simulations!$A$3:$A$62,0)))))),PI()*INDEX(Simulations!$T$3:$T$62,MATCH($A273,Simulations!$A$3:$A$62,0))^2/2*(LN($F273/INDEX(Simulations!$J$3:$J$62,MATCH($A273,Simulations!$A$3:$A$62,0)))+1)))))</f>
        <v/>
      </c>
      <c r="S273" s="16" t="str">
        <f aca="false">IF(OR($A273="",ISNA(MATCH($A273,Simulations!$A$3:$A$62,0))),"",IF(N($G273)&lt;=0,0,IF($G273&lt;INDEX(Simulations!$J$3:$J$62,MATCH($A273,Simulations!$A$3:$A$62,0)),$D273/(INDEX(Simulations!$G$3:$G$62,MATCH($A273,Simulations!$A$3:$A$62,0))*INDEX(Simulations!$H$3:$H$62,MATCH($A273,Simulations!$A$3:$A$62,0))*IF(INDEX(Simulations!$I$3:$I$62,MATCH($A273,Simulations!$A$3:$A$62,0))&gt;0,INDEX(Simulations!$I$3:$I$62,MATCH($A273,Simulations!$A$3:$A$62,0)),1))*$G273*(PI()/2*INDEX(Simulations!$T$3:$T$62,MATCH($A273,Simulations!$A$3:$A$62,0))^2*IF(INDEX(Simulations!$I$3:$I$62,MATCH($A273,Simulations!$A$3:$A$62,0))&gt;0,SQRT(PI()/2)*INDEX(Simulations!$U$3:$U$62,MATCH($A273,Simulations!$A$3:$A$62,0)),1)),$D273/(INDEX(Simulations!$G$3:$G$62,MATCH($A273,Simulations!$A$3:$A$62,0))*INDEX(Simulations!$H$3:$H$62,MATCH($A273,Simulations!$A$3:$A$62,0))*IF(INDEX(Simulations!$I$3:$I$62,MATCH($A273,Simulations!$A$3:$A$62,0))&gt;0,INDEX(Simulations!$I$3:$I$62,MATCH($A273,Simulations!$A$3:$A$62,0)),1))*INDEX(Simulations!$J$3:$J$62,MATCH($A273,Simulations!$A$3:$A$62,0))*IF(INDEX(Simulations!$I$3:$I$62,MATCH($A273,Simulations!$A$3:$A$62,0))&gt;0,2*PI()*INDEX(Simulations!$T$3:$T$62,MATCH($A273,Simulations!$A$3:$A$62,0))^2*INDEX(Simulations!$U$3:$U$62,MATCH($A273,Simulations!$A$3:$A$62,0))/2^1.5*(2/3*LN($G273/INDEX(Simulations!$J$3:$J$62,MATCH($A273,Simulations!$A$3:$A$62,0)))^1.5+SQRT(LN($G273/INDEX(Simulations!$J$3:$J$62,MATCH($A273,Simulations!$A$3:$A$62,0))))+$G273/INDEX(Simulations!$J$3:$J$62,MATCH($A273,Simulations!$A$3:$A$62,0))*SQRT(PI())/2*ERFC(SQRT(LN($G273/INDEX(Simulations!$J$3:$J$62,MATCH($A273,Simulations!$A$3:$A$62,0)))))),PI()*INDEX(Simulations!$T$3:$T$62,MATCH($A273,Simulations!$A$3:$A$62,0))^2/2*(LN($G273/INDEX(Simulations!$J$3:$J$62,MATCH($A273,Simulations!$A$3:$A$62,0)))+1)))))</f>
        <v/>
      </c>
      <c r="T273" s="16" t="str">
        <f aca="false">IF(OR($A273="",ISNA(MATCH($A273,Simulations!$A$3:$A$62,0))),"",IF(N($H273)&lt;=0,0,IF($H273&lt;INDEX(Simulations!$J$3:$J$62,MATCH($A273,Simulations!$A$3:$A$62,0)),$D273/(INDEX(Simulations!$G$3:$G$62,MATCH($A273,Simulations!$A$3:$A$62,0))*INDEX(Simulations!$H$3:$H$62,MATCH($A273,Simulations!$A$3:$A$62,0))*IF(INDEX(Simulations!$I$3:$I$62,MATCH($A273,Simulations!$A$3:$A$62,0))&gt;0,INDEX(Simulations!$I$3:$I$62,MATCH($A273,Simulations!$A$3:$A$62,0)),1))*$H273*(PI()/2*INDEX(Simulations!$T$3:$T$62,MATCH($A273,Simulations!$A$3:$A$62,0))^2*IF(INDEX(Simulations!$I$3:$I$62,MATCH($A273,Simulations!$A$3:$A$62,0))&gt;0,SQRT(PI()/2)*INDEX(Simulations!$U$3:$U$62,MATCH($A273,Simulations!$A$3:$A$62,0)),1)),$D273/(INDEX(Simulations!$G$3:$G$62,MATCH($A273,Simulations!$A$3:$A$62,0))*INDEX(Simulations!$H$3:$H$62,MATCH($A273,Simulations!$A$3:$A$62,0))*IF(INDEX(Simulations!$I$3:$I$62,MATCH($A273,Simulations!$A$3:$A$62,0))&gt;0,INDEX(Simulations!$I$3:$I$62,MATCH($A273,Simulations!$A$3:$A$62,0)),1))*INDEX(Simulations!$J$3:$J$62,MATCH($A273,Simulations!$A$3:$A$62,0))*IF(INDEX(Simulations!$I$3:$I$62,MATCH($A273,Simulations!$A$3:$A$62,0))&gt;0,2*PI()*INDEX(Simulations!$T$3:$T$62,MATCH($A273,Simulations!$A$3:$A$62,0))^2*INDEX(Simulations!$U$3:$U$62,MATCH($A273,Simulations!$A$3:$A$62,0))/2^1.5*(2/3*LN($H273/INDEX(Simulations!$J$3:$J$62,MATCH($A273,Simulations!$A$3:$A$62,0)))^1.5+SQRT(LN($H273/INDEX(Simulations!$J$3:$J$62,MATCH($A273,Simulations!$A$3:$A$62,0))))+$H273/INDEX(Simulations!$J$3:$J$62,MATCH($A273,Simulations!$A$3:$A$62,0))*SQRT(PI())/2*ERFC(SQRT(LN($H273/INDEX(Simulations!$J$3:$J$62,MATCH($A273,Simulations!$A$3:$A$62,0)))))),PI()*INDEX(Simulations!$T$3:$T$62,MATCH($A273,Simulations!$A$3:$A$62,0))^2/2*(LN($H273/INDEX(Simulations!$J$3:$J$62,MATCH($A273,Simulations!$A$3:$A$62,0)))+1)))))</f>
        <v/>
      </c>
      <c r="U273" s="18" t="str">
        <f aca="false">IF(OR(OR($A273="",ISNA(MATCH($A273,Simulations!$A$3:$A$62,0))),N($C273)&lt;=0),"",SQRT(2*$C273*1000000/(INDEX(Simulations!$J$3:$J$62,MATCH($A273,Simulations!$A$3:$A$62,0))*1000))/INDEX(Simulations!$T$3:$T$62,MATCH($A273,Simulations!$A$3:$A$62,0)))</f>
        <v/>
      </c>
      <c r="V273" s="19" t="str">
        <f aca="false">IF($A273="","",IF(ISNA(MATCH($A273,Simulations!$A$3:$A$62,0)),"✖ Sim ID not found on the Simulations sheet",IF($P273&gt;=1,"✖ brightness &gt;= sampling frequency: completely saturated (D too small, c too large)",IF($P273&gt;0.1,"⚠ brightness &gt; 10% of the sampling frequency: focus starts to saturate",IF(N($U273)&gt;0.1,"⚠ diffusion step &gt; 10% of wr: raise the sampling frequency",IF(MAX($E273:$H273)=0,"⚠ no brightness set","✔ OK"))))))</f>
        <v/>
      </c>
    </row>
    <row r="274" customFormat="false" ht="15" hidden="false" customHeight="false" outlineLevel="0" collapsed="false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4"/>
      <c r="O274" s="18" t="str">
        <f aca="false">IF(OR($A274="",ISNA(MATCH($A274,Simulations!$A$3:$A$62,0))),"",IF(INDEX(Simulations!$I$3:$I$62,MATCH($A274,Simulations!$A$3:$A$62,0))&gt;0,$D274/(INDEX(Simulations!$G$3:$G$62,MATCH($A274,Simulations!$A$3:$A$62,0))*INDEX(Simulations!$H$3:$H$62,MATCH($A274,Simulations!$A$3:$A$62,0))*IF(INDEX(Simulations!$I$3:$I$62,MATCH($A274,Simulations!$A$3:$A$62,0))&gt;0,INDEX(Simulations!$I$3:$I$62,MATCH($A274,Simulations!$A$3:$A$62,0)),1))/1E-024/6.022E+023/0.000000001,""))</f>
        <v/>
      </c>
      <c r="P274" s="20" t="str">
        <f aca="false">IF(OR($A274="",ISNA(MATCH($A274,Simulations!$A$3:$A$62,0))),"",MAX($E274:$H274)/INDEX(Simulations!$J$3:$J$62,MATCH($A274,Simulations!$A$3:$A$62,0)))</f>
        <v/>
      </c>
      <c r="Q274" s="16" t="str">
        <f aca="false">IF(OR($A274="",ISNA(MATCH($A274,Simulations!$A$3:$A$62,0))),"",IF(N($E274)&lt;=0,0,IF($E274&lt;INDEX(Simulations!$J$3:$J$62,MATCH($A274,Simulations!$A$3:$A$62,0)),$D274/(INDEX(Simulations!$G$3:$G$62,MATCH($A274,Simulations!$A$3:$A$62,0))*INDEX(Simulations!$H$3:$H$62,MATCH($A274,Simulations!$A$3:$A$62,0))*IF(INDEX(Simulations!$I$3:$I$62,MATCH($A274,Simulations!$A$3:$A$62,0))&gt;0,INDEX(Simulations!$I$3:$I$62,MATCH($A274,Simulations!$A$3:$A$62,0)),1))*$E274*(PI()/2*INDEX(Simulations!$T$3:$T$62,MATCH($A274,Simulations!$A$3:$A$62,0))^2*IF(INDEX(Simulations!$I$3:$I$62,MATCH($A274,Simulations!$A$3:$A$62,0))&gt;0,SQRT(PI()/2)*INDEX(Simulations!$U$3:$U$62,MATCH($A274,Simulations!$A$3:$A$62,0)),1)),$D274/(INDEX(Simulations!$G$3:$G$62,MATCH($A274,Simulations!$A$3:$A$62,0))*INDEX(Simulations!$H$3:$H$62,MATCH($A274,Simulations!$A$3:$A$62,0))*IF(INDEX(Simulations!$I$3:$I$62,MATCH($A274,Simulations!$A$3:$A$62,0))&gt;0,INDEX(Simulations!$I$3:$I$62,MATCH($A274,Simulations!$A$3:$A$62,0)),1))*INDEX(Simulations!$J$3:$J$62,MATCH($A274,Simulations!$A$3:$A$62,0))*IF(INDEX(Simulations!$I$3:$I$62,MATCH($A274,Simulations!$A$3:$A$62,0))&gt;0,2*PI()*INDEX(Simulations!$T$3:$T$62,MATCH($A274,Simulations!$A$3:$A$62,0))^2*INDEX(Simulations!$U$3:$U$62,MATCH($A274,Simulations!$A$3:$A$62,0))/2^1.5*(2/3*LN($E274/INDEX(Simulations!$J$3:$J$62,MATCH($A274,Simulations!$A$3:$A$62,0)))^1.5+SQRT(LN($E274/INDEX(Simulations!$J$3:$J$62,MATCH($A274,Simulations!$A$3:$A$62,0))))+$E274/INDEX(Simulations!$J$3:$J$62,MATCH($A274,Simulations!$A$3:$A$62,0))*SQRT(PI())/2*ERFC(SQRT(LN($E274/INDEX(Simulations!$J$3:$J$62,MATCH($A274,Simulations!$A$3:$A$62,0)))))),PI()*INDEX(Simulations!$T$3:$T$62,MATCH($A274,Simulations!$A$3:$A$62,0))^2/2*(LN($E274/INDEX(Simulations!$J$3:$J$62,MATCH($A274,Simulations!$A$3:$A$62,0)))+1)))))</f>
        <v/>
      </c>
      <c r="R274" s="16" t="str">
        <f aca="false">IF(OR($A274="",ISNA(MATCH($A274,Simulations!$A$3:$A$62,0))),"",IF(N($F274)&lt;=0,0,IF($F274&lt;INDEX(Simulations!$J$3:$J$62,MATCH($A274,Simulations!$A$3:$A$62,0)),$D274/(INDEX(Simulations!$G$3:$G$62,MATCH($A274,Simulations!$A$3:$A$62,0))*INDEX(Simulations!$H$3:$H$62,MATCH($A274,Simulations!$A$3:$A$62,0))*IF(INDEX(Simulations!$I$3:$I$62,MATCH($A274,Simulations!$A$3:$A$62,0))&gt;0,INDEX(Simulations!$I$3:$I$62,MATCH($A274,Simulations!$A$3:$A$62,0)),1))*$F274*(PI()/2*INDEX(Simulations!$T$3:$T$62,MATCH($A274,Simulations!$A$3:$A$62,0))^2*IF(INDEX(Simulations!$I$3:$I$62,MATCH($A274,Simulations!$A$3:$A$62,0))&gt;0,SQRT(PI()/2)*INDEX(Simulations!$U$3:$U$62,MATCH($A274,Simulations!$A$3:$A$62,0)),1)),$D274/(INDEX(Simulations!$G$3:$G$62,MATCH($A274,Simulations!$A$3:$A$62,0))*INDEX(Simulations!$H$3:$H$62,MATCH($A274,Simulations!$A$3:$A$62,0))*IF(INDEX(Simulations!$I$3:$I$62,MATCH($A274,Simulations!$A$3:$A$62,0))&gt;0,INDEX(Simulations!$I$3:$I$62,MATCH($A274,Simulations!$A$3:$A$62,0)),1))*INDEX(Simulations!$J$3:$J$62,MATCH($A274,Simulations!$A$3:$A$62,0))*IF(INDEX(Simulations!$I$3:$I$62,MATCH($A274,Simulations!$A$3:$A$62,0))&gt;0,2*PI()*INDEX(Simulations!$T$3:$T$62,MATCH($A274,Simulations!$A$3:$A$62,0))^2*INDEX(Simulations!$U$3:$U$62,MATCH($A274,Simulations!$A$3:$A$62,0))/2^1.5*(2/3*LN($F274/INDEX(Simulations!$J$3:$J$62,MATCH($A274,Simulations!$A$3:$A$62,0)))^1.5+SQRT(LN($F274/INDEX(Simulations!$J$3:$J$62,MATCH($A274,Simulations!$A$3:$A$62,0))))+$F274/INDEX(Simulations!$J$3:$J$62,MATCH($A274,Simulations!$A$3:$A$62,0))*SQRT(PI())/2*ERFC(SQRT(LN($F274/INDEX(Simulations!$J$3:$J$62,MATCH($A274,Simulations!$A$3:$A$62,0)))))),PI()*INDEX(Simulations!$T$3:$T$62,MATCH($A274,Simulations!$A$3:$A$62,0))^2/2*(LN($F274/INDEX(Simulations!$J$3:$J$62,MATCH($A274,Simulations!$A$3:$A$62,0)))+1)))))</f>
        <v/>
      </c>
      <c r="S274" s="16" t="str">
        <f aca="false">IF(OR($A274="",ISNA(MATCH($A274,Simulations!$A$3:$A$62,0))),"",IF(N($G274)&lt;=0,0,IF($G274&lt;INDEX(Simulations!$J$3:$J$62,MATCH($A274,Simulations!$A$3:$A$62,0)),$D274/(INDEX(Simulations!$G$3:$G$62,MATCH($A274,Simulations!$A$3:$A$62,0))*INDEX(Simulations!$H$3:$H$62,MATCH($A274,Simulations!$A$3:$A$62,0))*IF(INDEX(Simulations!$I$3:$I$62,MATCH($A274,Simulations!$A$3:$A$62,0))&gt;0,INDEX(Simulations!$I$3:$I$62,MATCH($A274,Simulations!$A$3:$A$62,0)),1))*$G274*(PI()/2*INDEX(Simulations!$T$3:$T$62,MATCH($A274,Simulations!$A$3:$A$62,0))^2*IF(INDEX(Simulations!$I$3:$I$62,MATCH($A274,Simulations!$A$3:$A$62,0))&gt;0,SQRT(PI()/2)*INDEX(Simulations!$U$3:$U$62,MATCH($A274,Simulations!$A$3:$A$62,0)),1)),$D274/(INDEX(Simulations!$G$3:$G$62,MATCH($A274,Simulations!$A$3:$A$62,0))*INDEX(Simulations!$H$3:$H$62,MATCH($A274,Simulations!$A$3:$A$62,0))*IF(INDEX(Simulations!$I$3:$I$62,MATCH($A274,Simulations!$A$3:$A$62,0))&gt;0,INDEX(Simulations!$I$3:$I$62,MATCH($A274,Simulations!$A$3:$A$62,0)),1))*INDEX(Simulations!$J$3:$J$62,MATCH($A274,Simulations!$A$3:$A$62,0))*IF(INDEX(Simulations!$I$3:$I$62,MATCH($A274,Simulations!$A$3:$A$62,0))&gt;0,2*PI()*INDEX(Simulations!$T$3:$T$62,MATCH($A274,Simulations!$A$3:$A$62,0))^2*INDEX(Simulations!$U$3:$U$62,MATCH($A274,Simulations!$A$3:$A$62,0))/2^1.5*(2/3*LN($G274/INDEX(Simulations!$J$3:$J$62,MATCH($A274,Simulations!$A$3:$A$62,0)))^1.5+SQRT(LN($G274/INDEX(Simulations!$J$3:$J$62,MATCH($A274,Simulations!$A$3:$A$62,0))))+$G274/INDEX(Simulations!$J$3:$J$62,MATCH($A274,Simulations!$A$3:$A$62,0))*SQRT(PI())/2*ERFC(SQRT(LN($G274/INDEX(Simulations!$J$3:$J$62,MATCH($A274,Simulations!$A$3:$A$62,0)))))),PI()*INDEX(Simulations!$T$3:$T$62,MATCH($A274,Simulations!$A$3:$A$62,0))^2/2*(LN($G274/INDEX(Simulations!$J$3:$J$62,MATCH($A274,Simulations!$A$3:$A$62,0)))+1)))))</f>
        <v/>
      </c>
      <c r="T274" s="16" t="str">
        <f aca="false">IF(OR($A274="",ISNA(MATCH($A274,Simulations!$A$3:$A$62,0))),"",IF(N($H274)&lt;=0,0,IF($H274&lt;INDEX(Simulations!$J$3:$J$62,MATCH($A274,Simulations!$A$3:$A$62,0)),$D274/(INDEX(Simulations!$G$3:$G$62,MATCH($A274,Simulations!$A$3:$A$62,0))*INDEX(Simulations!$H$3:$H$62,MATCH($A274,Simulations!$A$3:$A$62,0))*IF(INDEX(Simulations!$I$3:$I$62,MATCH($A274,Simulations!$A$3:$A$62,0))&gt;0,INDEX(Simulations!$I$3:$I$62,MATCH($A274,Simulations!$A$3:$A$62,0)),1))*$H274*(PI()/2*INDEX(Simulations!$T$3:$T$62,MATCH($A274,Simulations!$A$3:$A$62,0))^2*IF(INDEX(Simulations!$I$3:$I$62,MATCH($A274,Simulations!$A$3:$A$62,0))&gt;0,SQRT(PI()/2)*INDEX(Simulations!$U$3:$U$62,MATCH($A274,Simulations!$A$3:$A$62,0)),1)),$D274/(INDEX(Simulations!$G$3:$G$62,MATCH($A274,Simulations!$A$3:$A$62,0))*INDEX(Simulations!$H$3:$H$62,MATCH($A274,Simulations!$A$3:$A$62,0))*IF(INDEX(Simulations!$I$3:$I$62,MATCH($A274,Simulations!$A$3:$A$62,0))&gt;0,INDEX(Simulations!$I$3:$I$62,MATCH($A274,Simulations!$A$3:$A$62,0)),1))*INDEX(Simulations!$J$3:$J$62,MATCH($A274,Simulations!$A$3:$A$62,0))*IF(INDEX(Simulations!$I$3:$I$62,MATCH($A274,Simulations!$A$3:$A$62,0))&gt;0,2*PI()*INDEX(Simulations!$T$3:$T$62,MATCH($A274,Simulations!$A$3:$A$62,0))^2*INDEX(Simulations!$U$3:$U$62,MATCH($A274,Simulations!$A$3:$A$62,0))/2^1.5*(2/3*LN($H274/INDEX(Simulations!$J$3:$J$62,MATCH($A274,Simulations!$A$3:$A$62,0)))^1.5+SQRT(LN($H274/INDEX(Simulations!$J$3:$J$62,MATCH($A274,Simulations!$A$3:$A$62,0))))+$H274/INDEX(Simulations!$J$3:$J$62,MATCH($A274,Simulations!$A$3:$A$62,0))*SQRT(PI())/2*ERFC(SQRT(LN($H274/INDEX(Simulations!$J$3:$J$62,MATCH($A274,Simulations!$A$3:$A$62,0)))))),PI()*INDEX(Simulations!$T$3:$T$62,MATCH($A274,Simulations!$A$3:$A$62,0))^2/2*(LN($H274/INDEX(Simulations!$J$3:$J$62,MATCH($A274,Simulations!$A$3:$A$62,0)))+1)))))</f>
        <v/>
      </c>
      <c r="U274" s="18" t="str">
        <f aca="false">IF(OR(OR($A274="",ISNA(MATCH($A274,Simulations!$A$3:$A$62,0))),N($C274)&lt;=0),"",SQRT(2*$C274*1000000/(INDEX(Simulations!$J$3:$J$62,MATCH($A274,Simulations!$A$3:$A$62,0))*1000))/INDEX(Simulations!$T$3:$T$62,MATCH($A274,Simulations!$A$3:$A$62,0)))</f>
        <v/>
      </c>
      <c r="V274" s="19" t="str">
        <f aca="false">IF($A274="","",IF(ISNA(MATCH($A274,Simulations!$A$3:$A$62,0)),"✖ Sim ID not found on the Simulations sheet",IF($P274&gt;=1,"✖ brightness &gt;= sampling frequency: completely saturated (D too small, c too large)",IF($P274&gt;0.1,"⚠ brightness &gt; 10% of the sampling frequency: focus starts to saturate",IF(N($U274)&gt;0.1,"⚠ diffusion step &gt; 10% of wr: raise the sampling frequency",IF(MAX($E274:$H274)=0,"⚠ no brightness set","✔ OK"))))))</f>
        <v/>
      </c>
    </row>
    <row r="275" customFormat="false" ht="15" hidden="false" customHeight="false" outlineLevel="0" collapsed="false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4"/>
      <c r="O275" s="18" t="str">
        <f aca="false">IF(OR($A275="",ISNA(MATCH($A275,Simulations!$A$3:$A$62,0))),"",IF(INDEX(Simulations!$I$3:$I$62,MATCH($A275,Simulations!$A$3:$A$62,0))&gt;0,$D275/(INDEX(Simulations!$G$3:$G$62,MATCH($A275,Simulations!$A$3:$A$62,0))*INDEX(Simulations!$H$3:$H$62,MATCH($A275,Simulations!$A$3:$A$62,0))*IF(INDEX(Simulations!$I$3:$I$62,MATCH($A275,Simulations!$A$3:$A$62,0))&gt;0,INDEX(Simulations!$I$3:$I$62,MATCH($A275,Simulations!$A$3:$A$62,0)),1))/1E-024/6.022E+023/0.000000001,""))</f>
        <v/>
      </c>
      <c r="P275" s="20" t="str">
        <f aca="false">IF(OR($A275="",ISNA(MATCH($A275,Simulations!$A$3:$A$62,0))),"",MAX($E275:$H275)/INDEX(Simulations!$J$3:$J$62,MATCH($A275,Simulations!$A$3:$A$62,0)))</f>
        <v/>
      </c>
      <c r="Q275" s="16" t="str">
        <f aca="false">IF(OR($A275="",ISNA(MATCH($A275,Simulations!$A$3:$A$62,0))),"",IF(N($E275)&lt;=0,0,IF($E275&lt;INDEX(Simulations!$J$3:$J$62,MATCH($A275,Simulations!$A$3:$A$62,0)),$D275/(INDEX(Simulations!$G$3:$G$62,MATCH($A275,Simulations!$A$3:$A$62,0))*INDEX(Simulations!$H$3:$H$62,MATCH($A275,Simulations!$A$3:$A$62,0))*IF(INDEX(Simulations!$I$3:$I$62,MATCH($A275,Simulations!$A$3:$A$62,0))&gt;0,INDEX(Simulations!$I$3:$I$62,MATCH($A275,Simulations!$A$3:$A$62,0)),1))*$E275*(PI()/2*INDEX(Simulations!$T$3:$T$62,MATCH($A275,Simulations!$A$3:$A$62,0))^2*IF(INDEX(Simulations!$I$3:$I$62,MATCH($A275,Simulations!$A$3:$A$62,0))&gt;0,SQRT(PI()/2)*INDEX(Simulations!$U$3:$U$62,MATCH($A275,Simulations!$A$3:$A$62,0)),1)),$D275/(INDEX(Simulations!$G$3:$G$62,MATCH($A275,Simulations!$A$3:$A$62,0))*INDEX(Simulations!$H$3:$H$62,MATCH($A275,Simulations!$A$3:$A$62,0))*IF(INDEX(Simulations!$I$3:$I$62,MATCH($A275,Simulations!$A$3:$A$62,0))&gt;0,INDEX(Simulations!$I$3:$I$62,MATCH($A275,Simulations!$A$3:$A$62,0)),1))*INDEX(Simulations!$J$3:$J$62,MATCH($A275,Simulations!$A$3:$A$62,0))*IF(INDEX(Simulations!$I$3:$I$62,MATCH($A275,Simulations!$A$3:$A$62,0))&gt;0,2*PI()*INDEX(Simulations!$T$3:$T$62,MATCH($A275,Simulations!$A$3:$A$62,0))^2*INDEX(Simulations!$U$3:$U$62,MATCH($A275,Simulations!$A$3:$A$62,0))/2^1.5*(2/3*LN($E275/INDEX(Simulations!$J$3:$J$62,MATCH($A275,Simulations!$A$3:$A$62,0)))^1.5+SQRT(LN($E275/INDEX(Simulations!$J$3:$J$62,MATCH($A275,Simulations!$A$3:$A$62,0))))+$E275/INDEX(Simulations!$J$3:$J$62,MATCH($A275,Simulations!$A$3:$A$62,0))*SQRT(PI())/2*ERFC(SQRT(LN($E275/INDEX(Simulations!$J$3:$J$62,MATCH($A275,Simulations!$A$3:$A$62,0)))))),PI()*INDEX(Simulations!$T$3:$T$62,MATCH($A275,Simulations!$A$3:$A$62,0))^2/2*(LN($E275/INDEX(Simulations!$J$3:$J$62,MATCH($A275,Simulations!$A$3:$A$62,0)))+1)))))</f>
        <v/>
      </c>
      <c r="R275" s="16" t="str">
        <f aca="false">IF(OR($A275="",ISNA(MATCH($A275,Simulations!$A$3:$A$62,0))),"",IF(N($F275)&lt;=0,0,IF($F275&lt;INDEX(Simulations!$J$3:$J$62,MATCH($A275,Simulations!$A$3:$A$62,0)),$D275/(INDEX(Simulations!$G$3:$G$62,MATCH($A275,Simulations!$A$3:$A$62,0))*INDEX(Simulations!$H$3:$H$62,MATCH($A275,Simulations!$A$3:$A$62,0))*IF(INDEX(Simulations!$I$3:$I$62,MATCH($A275,Simulations!$A$3:$A$62,0))&gt;0,INDEX(Simulations!$I$3:$I$62,MATCH($A275,Simulations!$A$3:$A$62,0)),1))*$F275*(PI()/2*INDEX(Simulations!$T$3:$T$62,MATCH($A275,Simulations!$A$3:$A$62,0))^2*IF(INDEX(Simulations!$I$3:$I$62,MATCH($A275,Simulations!$A$3:$A$62,0))&gt;0,SQRT(PI()/2)*INDEX(Simulations!$U$3:$U$62,MATCH($A275,Simulations!$A$3:$A$62,0)),1)),$D275/(INDEX(Simulations!$G$3:$G$62,MATCH($A275,Simulations!$A$3:$A$62,0))*INDEX(Simulations!$H$3:$H$62,MATCH($A275,Simulations!$A$3:$A$62,0))*IF(INDEX(Simulations!$I$3:$I$62,MATCH($A275,Simulations!$A$3:$A$62,0))&gt;0,INDEX(Simulations!$I$3:$I$62,MATCH($A275,Simulations!$A$3:$A$62,0)),1))*INDEX(Simulations!$J$3:$J$62,MATCH($A275,Simulations!$A$3:$A$62,0))*IF(INDEX(Simulations!$I$3:$I$62,MATCH($A275,Simulations!$A$3:$A$62,0))&gt;0,2*PI()*INDEX(Simulations!$T$3:$T$62,MATCH($A275,Simulations!$A$3:$A$62,0))^2*INDEX(Simulations!$U$3:$U$62,MATCH($A275,Simulations!$A$3:$A$62,0))/2^1.5*(2/3*LN($F275/INDEX(Simulations!$J$3:$J$62,MATCH($A275,Simulations!$A$3:$A$62,0)))^1.5+SQRT(LN($F275/INDEX(Simulations!$J$3:$J$62,MATCH($A275,Simulations!$A$3:$A$62,0))))+$F275/INDEX(Simulations!$J$3:$J$62,MATCH($A275,Simulations!$A$3:$A$62,0))*SQRT(PI())/2*ERFC(SQRT(LN($F275/INDEX(Simulations!$J$3:$J$62,MATCH($A275,Simulations!$A$3:$A$62,0)))))),PI()*INDEX(Simulations!$T$3:$T$62,MATCH($A275,Simulations!$A$3:$A$62,0))^2/2*(LN($F275/INDEX(Simulations!$J$3:$J$62,MATCH($A275,Simulations!$A$3:$A$62,0)))+1)))))</f>
        <v/>
      </c>
      <c r="S275" s="16" t="str">
        <f aca="false">IF(OR($A275="",ISNA(MATCH($A275,Simulations!$A$3:$A$62,0))),"",IF(N($G275)&lt;=0,0,IF($G275&lt;INDEX(Simulations!$J$3:$J$62,MATCH($A275,Simulations!$A$3:$A$62,0)),$D275/(INDEX(Simulations!$G$3:$G$62,MATCH($A275,Simulations!$A$3:$A$62,0))*INDEX(Simulations!$H$3:$H$62,MATCH($A275,Simulations!$A$3:$A$62,0))*IF(INDEX(Simulations!$I$3:$I$62,MATCH($A275,Simulations!$A$3:$A$62,0))&gt;0,INDEX(Simulations!$I$3:$I$62,MATCH($A275,Simulations!$A$3:$A$62,0)),1))*$G275*(PI()/2*INDEX(Simulations!$T$3:$T$62,MATCH($A275,Simulations!$A$3:$A$62,0))^2*IF(INDEX(Simulations!$I$3:$I$62,MATCH($A275,Simulations!$A$3:$A$62,0))&gt;0,SQRT(PI()/2)*INDEX(Simulations!$U$3:$U$62,MATCH($A275,Simulations!$A$3:$A$62,0)),1)),$D275/(INDEX(Simulations!$G$3:$G$62,MATCH($A275,Simulations!$A$3:$A$62,0))*INDEX(Simulations!$H$3:$H$62,MATCH($A275,Simulations!$A$3:$A$62,0))*IF(INDEX(Simulations!$I$3:$I$62,MATCH($A275,Simulations!$A$3:$A$62,0))&gt;0,INDEX(Simulations!$I$3:$I$62,MATCH($A275,Simulations!$A$3:$A$62,0)),1))*INDEX(Simulations!$J$3:$J$62,MATCH($A275,Simulations!$A$3:$A$62,0))*IF(INDEX(Simulations!$I$3:$I$62,MATCH($A275,Simulations!$A$3:$A$62,0))&gt;0,2*PI()*INDEX(Simulations!$T$3:$T$62,MATCH($A275,Simulations!$A$3:$A$62,0))^2*INDEX(Simulations!$U$3:$U$62,MATCH($A275,Simulations!$A$3:$A$62,0))/2^1.5*(2/3*LN($G275/INDEX(Simulations!$J$3:$J$62,MATCH($A275,Simulations!$A$3:$A$62,0)))^1.5+SQRT(LN($G275/INDEX(Simulations!$J$3:$J$62,MATCH($A275,Simulations!$A$3:$A$62,0))))+$G275/INDEX(Simulations!$J$3:$J$62,MATCH($A275,Simulations!$A$3:$A$62,0))*SQRT(PI())/2*ERFC(SQRT(LN($G275/INDEX(Simulations!$J$3:$J$62,MATCH($A275,Simulations!$A$3:$A$62,0)))))),PI()*INDEX(Simulations!$T$3:$T$62,MATCH($A275,Simulations!$A$3:$A$62,0))^2/2*(LN($G275/INDEX(Simulations!$J$3:$J$62,MATCH($A275,Simulations!$A$3:$A$62,0)))+1)))))</f>
        <v/>
      </c>
      <c r="T275" s="16" t="str">
        <f aca="false">IF(OR($A275="",ISNA(MATCH($A275,Simulations!$A$3:$A$62,0))),"",IF(N($H275)&lt;=0,0,IF($H275&lt;INDEX(Simulations!$J$3:$J$62,MATCH($A275,Simulations!$A$3:$A$62,0)),$D275/(INDEX(Simulations!$G$3:$G$62,MATCH($A275,Simulations!$A$3:$A$62,0))*INDEX(Simulations!$H$3:$H$62,MATCH($A275,Simulations!$A$3:$A$62,0))*IF(INDEX(Simulations!$I$3:$I$62,MATCH($A275,Simulations!$A$3:$A$62,0))&gt;0,INDEX(Simulations!$I$3:$I$62,MATCH($A275,Simulations!$A$3:$A$62,0)),1))*$H275*(PI()/2*INDEX(Simulations!$T$3:$T$62,MATCH($A275,Simulations!$A$3:$A$62,0))^2*IF(INDEX(Simulations!$I$3:$I$62,MATCH($A275,Simulations!$A$3:$A$62,0))&gt;0,SQRT(PI()/2)*INDEX(Simulations!$U$3:$U$62,MATCH($A275,Simulations!$A$3:$A$62,0)),1)),$D275/(INDEX(Simulations!$G$3:$G$62,MATCH($A275,Simulations!$A$3:$A$62,0))*INDEX(Simulations!$H$3:$H$62,MATCH($A275,Simulations!$A$3:$A$62,0))*IF(INDEX(Simulations!$I$3:$I$62,MATCH($A275,Simulations!$A$3:$A$62,0))&gt;0,INDEX(Simulations!$I$3:$I$62,MATCH($A275,Simulations!$A$3:$A$62,0)),1))*INDEX(Simulations!$J$3:$J$62,MATCH($A275,Simulations!$A$3:$A$62,0))*IF(INDEX(Simulations!$I$3:$I$62,MATCH($A275,Simulations!$A$3:$A$62,0))&gt;0,2*PI()*INDEX(Simulations!$T$3:$T$62,MATCH($A275,Simulations!$A$3:$A$62,0))^2*INDEX(Simulations!$U$3:$U$62,MATCH($A275,Simulations!$A$3:$A$62,0))/2^1.5*(2/3*LN($H275/INDEX(Simulations!$J$3:$J$62,MATCH($A275,Simulations!$A$3:$A$62,0)))^1.5+SQRT(LN($H275/INDEX(Simulations!$J$3:$J$62,MATCH($A275,Simulations!$A$3:$A$62,0))))+$H275/INDEX(Simulations!$J$3:$J$62,MATCH($A275,Simulations!$A$3:$A$62,0))*SQRT(PI())/2*ERFC(SQRT(LN($H275/INDEX(Simulations!$J$3:$J$62,MATCH($A275,Simulations!$A$3:$A$62,0)))))),PI()*INDEX(Simulations!$T$3:$T$62,MATCH($A275,Simulations!$A$3:$A$62,0))^2/2*(LN($H275/INDEX(Simulations!$J$3:$J$62,MATCH($A275,Simulations!$A$3:$A$62,0)))+1)))))</f>
        <v/>
      </c>
      <c r="U275" s="18" t="str">
        <f aca="false">IF(OR(OR($A275="",ISNA(MATCH($A275,Simulations!$A$3:$A$62,0))),N($C275)&lt;=0),"",SQRT(2*$C275*1000000/(INDEX(Simulations!$J$3:$J$62,MATCH($A275,Simulations!$A$3:$A$62,0))*1000))/INDEX(Simulations!$T$3:$T$62,MATCH($A275,Simulations!$A$3:$A$62,0)))</f>
        <v/>
      </c>
      <c r="V275" s="19" t="str">
        <f aca="false">IF($A275="","",IF(ISNA(MATCH($A275,Simulations!$A$3:$A$62,0)),"✖ Sim ID not found on the Simulations sheet",IF($P275&gt;=1,"✖ brightness &gt;= sampling frequency: completely saturated (D too small, c too large)",IF($P275&gt;0.1,"⚠ brightness &gt; 10% of the sampling frequency: focus starts to saturate",IF(N($U275)&gt;0.1,"⚠ diffusion step &gt; 10% of wr: raise the sampling frequency",IF(MAX($E275:$H275)=0,"⚠ no brightness set","✔ OK"))))))</f>
        <v/>
      </c>
    </row>
    <row r="276" customFormat="false" ht="15" hidden="false" customHeight="false" outlineLevel="0" collapsed="false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4"/>
      <c r="O276" s="18" t="str">
        <f aca="false">IF(OR($A276="",ISNA(MATCH($A276,Simulations!$A$3:$A$62,0))),"",IF(INDEX(Simulations!$I$3:$I$62,MATCH($A276,Simulations!$A$3:$A$62,0))&gt;0,$D276/(INDEX(Simulations!$G$3:$G$62,MATCH($A276,Simulations!$A$3:$A$62,0))*INDEX(Simulations!$H$3:$H$62,MATCH($A276,Simulations!$A$3:$A$62,0))*IF(INDEX(Simulations!$I$3:$I$62,MATCH($A276,Simulations!$A$3:$A$62,0))&gt;0,INDEX(Simulations!$I$3:$I$62,MATCH($A276,Simulations!$A$3:$A$62,0)),1))/1E-024/6.022E+023/0.000000001,""))</f>
        <v/>
      </c>
      <c r="P276" s="20" t="str">
        <f aca="false">IF(OR($A276="",ISNA(MATCH($A276,Simulations!$A$3:$A$62,0))),"",MAX($E276:$H276)/INDEX(Simulations!$J$3:$J$62,MATCH($A276,Simulations!$A$3:$A$62,0)))</f>
        <v/>
      </c>
      <c r="Q276" s="16" t="str">
        <f aca="false">IF(OR($A276="",ISNA(MATCH($A276,Simulations!$A$3:$A$62,0))),"",IF(N($E276)&lt;=0,0,IF($E276&lt;INDEX(Simulations!$J$3:$J$62,MATCH($A276,Simulations!$A$3:$A$62,0)),$D276/(INDEX(Simulations!$G$3:$G$62,MATCH($A276,Simulations!$A$3:$A$62,0))*INDEX(Simulations!$H$3:$H$62,MATCH($A276,Simulations!$A$3:$A$62,0))*IF(INDEX(Simulations!$I$3:$I$62,MATCH($A276,Simulations!$A$3:$A$62,0))&gt;0,INDEX(Simulations!$I$3:$I$62,MATCH($A276,Simulations!$A$3:$A$62,0)),1))*$E276*(PI()/2*INDEX(Simulations!$T$3:$T$62,MATCH($A276,Simulations!$A$3:$A$62,0))^2*IF(INDEX(Simulations!$I$3:$I$62,MATCH($A276,Simulations!$A$3:$A$62,0))&gt;0,SQRT(PI()/2)*INDEX(Simulations!$U$3:$U$62,MATCH($A276,Simulations!$A$3:$A$62,0)),1)),$D276/(INDEX(Simulations!$G$3:$G$62,MATCH($A276,Simulations!$A$3:$A$62,0))*INDEX(Simulations!$H$3:$H$62,MATCH($A276,Simulations!$A$3:$A$62,0))*IF(INDEX(Simulations!$I$3:$I$62,MATCH($A276,Simulations!$A$3:$A$62,0))&gt;0,INDEX(Simulations!$I$3:$I$62,MATCH($A276,Simulations!$A$3:$A$62,0)),1))*INDEX(Simulations!$J$3:$J$62,MATCH($A276,Simulations!$A$3:$A$62,0))*IF(INDEX(Simulations!$I$3:$I$62,MATCH($A276,Simulations!$A$3:$A$62,0))&gt;0,2*PI()*INDEX(Simulations!$T$3:$T$62,MATCH($A276,Simulations!$A$3:$A$62,0))^2*INDEX(Simulations!$U$3:$U$62,MATCH($A276,Simulations!$A$3:$A$62,0))/2^1.5*(2/3*LN($E276/INDEX(Simulations!$J$3:$J$62,MATCH($A276,Simulations!$A$3:$A$62,0)))^1.5+SQRT(LN($E276/INDEX(Simulations!$J$3:$J$62,MATCH($A276,Simulations!$A$3:$A$62,0))))+$E276/INDEX(Simulations!$J$3:$J$62,MATCH($A276,Simulations!$A$3:$A$62,0))*SQRT(PI())/2*ERFC(SQRT(LN($E276/INDEX(Simulations!$J$3:$J$62,MATCH($A276,Simulations!$A$3:$A$62,0)))))),PI()*INDEX(Simulations!$T$3:$T$62,MATCH($A276,Simulations!$A$3:$A$62,0))^2/2*(LN($E276/INDEX(Simulations!$J$3:$J$62,MATCH($A276,Simulations!$A$3:$A$62,0)))+1)))))</f>
        <v/>
      </c>
      <c r="R276" s="16" t="str">
        <f aca="false">IF(OR($A276="",ISNA(MATCH($A276,Simulations!$A$3:$A$62,0))),"",IF(N($F276)&lt;=0,0,IF($F276&lt;INDEX(Simulations!$J$3:$J$62,MATCH($A276,Simulations!$A$3:$A$62,0)),$D276/(INDEX(Simulations!$G$3:$G$62,MATCH($A276,Simulations!$A$3:$A$62,0))*INDEX(Simulations!$H$3:$H$62,MATCH($A276,Simulations!$A$3:$A$62,0))*IF(INDEX(Simulations!$I$3:$I$62,MATCH($A276,Simulations!$A$3:$A$62,0))&gt;0,INDEX(Simulations!$I$3:$I$62,MATCH($A276,Simulations!$A$3:$A$62,0)),1))*$F276*(PI()/2*INDEX(Simulations!$T$3:$T$62,MATCH($A276,Simulations!$A$3:$A$62,0))^2*IF(INDEX(Simulations!$I$3:$I$62,MATCH($A276,Simulations!$A$3:$A$62,0))&gt;0,SQRT(PI()/2)*INDEX(Simulations!$U$3:$U$62,MATCH($A276,Simulations!$A$3:$A$62,0)),1)),$D276/(INDEX(Simulations!$G$3:$G$62,MATCH($A276,Simulations!$A$3:$A$62,0))*INDEX(Simulations!$H$3:$H$62,MATCH($A276,Simulations!$A$3:$A$62,0))*IF(INDEX(Simulations!$I$3:$I$62,MATCH($A276,Simulations!$A$3:$A$62,0))&gt;0,INDEX(Simulations!$I$3:$I$62,MATCH($A276,Simulations!$A$3:$A$62,0)),1))*INDEX(Simulations!$J$3:$J$62,MATCH($A276,Simulations!$A$3:$A$62,0))*IF(INDEX(Simulations!$I$3:$I$62,MATCH($A276,Simulations!$A$3:$A$62,0))&gt;0,2*PI()*INDEX(Simulations!$T$3:$T$62,MATCH($A276,Simulations!$A$3:$A$62,0))^2*INDEX(Simulations!$U$3:$U$62,MATCH($A276,Simulations!$A$3:$A$62,0))/2^1.5*(2/3*LN($F276/INDEX(Simulations!$J$3:$J$62,MATCH($A276,Simulations!$A$3:$A$62,0)))^1.5+SQRT(LN($F276/INDEX(Simulations!$J$3:$J$62,MATCH($A276,Simulations!$A$3:$A$62,0))))+$F276/INDEX(Simulations!$J$3:$J$62,MATCH($A276,Simulations!$A$3:$A$62,0))*SQRT(PI())/2*ERFC(SQRT(LN($F276/INDEX(Simulations!$J$3:$J$62,MATCH($A276,Simulations!$A$3:$A$62,0)))))),PI()*INDEX(Simulations!$T$3:$T$62,MATCH($A276,Simulations!$A$3:$A$62,0))^2/2*(LN($F276/INDEX(Simulations!$J$3:$J$62,MATCH($A276,Simulations!$A$3:$A$62,0)))+1)))))</f>
        <v/>
      </c>
      <c r="S276" s="16" t="str">
        <f aca="false">IF(OR($A276="",ISNA(MATCH($A276,Simulations!$A$3:$A$62,0))),"",IF(N($G276)&lt;=0,0,IF($G276&lt;INDEX(Simulations!$J$3:$J$62,MATCH($A276,Simulations!$A$3:$A$62,0)),$D276/(INDEX(Simulations!$G$3:$G$62,MATCH($A276,Simulations!$A$3:$A$62,0))*INDEX(Simulations!$H$3:$H$62,MATCH($A276,Simulations!$A$3:$A$62,0))*IF(INDEX(Simulations!$I$3:$I$62,MATCH($A276,Simulations!$A$3:$A$62,0))&gt;0,INDEX(Simulations!$I$3:$I$62,MATCH($A276,Simulations!$A$3:$A$62,0)),1))*$G276*(PI()/2*INDEX(Simulations!$T$3:$T$62,MATCH($A276,Simulations!$A$3:$A$62,0))^2*IF(INDEX(Simulations!$I$3:$I$62,MATCH($A276,Simulations!$A$3:$A$62,0))&gt;0,SQRT(PI()/2)*INDEX(Simulations!$U$3:$U$62,MATCH($A276,Simulations!$A$3:$A$62,0)),1)),$D276/(INDEX(Simulations!$G$3:$G$62,MATCH($A276,Simulations!$A$3:$A$62,0))*INDEX(Simulations!$H$3:$H$62,MATCH($A276,Simulations!$A$3:$A$62,0))*IF(INDEX(Simulations!$I$3:$I$62,MATCH($A276,Simulations!$A$3:$A$62,0))&gt;0,INDEX(Simulations!$I$3:$I$62,MATCH($A276,Simulations!$A$3:$A$62,0)),1))*INDEX(Simulations!$J$3:$J$62,MATCH($A276,Simulations!$A$3:$A$62,0))*IF(INDEX(Simulations!$I$3:$I$62,MATCH($A276,Simulations!$A$3:$A$62,0))&gt;0,2*PI()*INDEX(Simulations!$T$3:$T$62,MATCH($A276,Simulations!$A$3:$A$62,0))^2*INDEX(Simulations!$U$3:$U$62,MATCH($A276,Simulations!$A$3:$A$62,0))/2^1.5*(2/3*LN($G276/INDEX(Simulations!$J$3:$J$62,MATCH($A276,Simulations!$A$3:$A$62,0)))^1.5+SQRT(LN($G276/INDEX(Simulations!$J$3:$J$62,MATCH($A276,Simulations!$A$3:$A$62,0))))+$G276/INDEX(Simulations!$J$3:$J$62,MATCH($A276,Simulations!$A$3:$A$62,0))*SQRT(PI())/2*ERFC(SQRT(LN($G276/INDEX(Simulations!$J$3:$J$62,MATCH($A276,Simulations!$A$3:$A$62,0)))))),PI()*INDEX(Simulations!$T$3:$T$62,MATCH($A276,Simulations!$A$3:$A$62,0))^2/2*(LN($G276/INDEX(Simulations!$J$3:$J$62,MATCH($A276,Simulations!$A$3:$A$62,0)))+1)))))</f>
        <v/>
      </c>
      <c r="T276" s="16" t="str">
        <f aca="false">IF(OR($A276="",ISNA(MATCH($A276,Simulations!$A$3:$A$62,0))),"",IF(N($H276)&lt;=0,0,IF($H276&lt;INDEX(Simulations!$J$3:$J$62,MATCH($A276,Simulations!$A$3:$A$62,0)),$D276/(INDEX(Simulations!$G$3:$G$62,MATCH($A276,Simulations!$A$3:$A$62,0))*INDEX(Simulations!$H$3:$H$62,MATCH($A276,Simulations!$A$3:$A$62,0))*IF(INDEX(Simulations!$I$3:$I$62,MATCH($A276,Simulations!$A$3:$A$62,0))&gt;0,INDEX(Simulations!$I$3:$I$62,MATCH($A276,Simulations!$A$3:$A$62,0)),1))*$H276*(PI()/2*INDEX(Simulations!$T$3:$T$62,MATCH($A276,Simulations!$A$3:$A$62,0))^2*IF(INDEX(Simulations!$I$3:$I$62,MATCH($A276,Simulations!$A$3:$A$62,0))&gt;0,SQRT(PI()/2)*INDEX(Simulations!$U$3:$U$62,MATCH($A276,Simulations!$A$3:$A$62,0)),1)),$D276/(INDEX(Simulations!$G$3:$G$62,MATCH($A276,Simulations!$A$3:$A$62,0))*INDEX(Simulations!$H$3:$H$62,MATCH($A276,Simulations!$A$3:$A$62,0))*IF(INDEX(Simulations!$I$3:$I$62,MATCH($A276,Simulations!$A$3:$A$62,0))&gt;0,INDEX(Simulations!$I$3:$I$62,MATCH($A276,Simulations!$A$3:$A$62,0)),1))*INDEX(Simulations!$J$3:$J$62,MATCH($A276,Simulations!$A$3:$A$62,0))*IF(INDEX(Simulations!$I$3:$I$62,MATCH($A276,Simulations!$A$3:$A$62,0))&gt;0,2*PI()*INDEX(Simulations!$T$3:$T$62,MATCH($A276,Simulations!$A$3:$A$62,0))^2*INDEX(Simulations!$U$3:$U$62,MATCH($A276,Simulations!$A$3:$A$62,0))/2^1.5*(2/3*LN($H276/INDEX(Simulations!$J$3:$J$62,MATCH($A276,Simulations!$A$3:$A$62,0)))^1.5+SQRT(LN($H276/INDEX(Simulations!$J$3:$J$62,MATCH($A276,Simulations!$A$3:$A$62,0))))+$H276/INDEX(Simulations!$J$3:$J$62,MATCH($A276,Simulations!$A$3:$A$62,0))*SQRT(PI())/2*ERFC(SQRT(LN($H276/INDEX(Simulations!$J$3:$J$62,MATCH($A276,Simulations!$A$3:$A$62,0)))))),PI()*INDEX(Simulations!$T$3:$T$62,MATCH($A276,Simulations!$A$3:$A$62,0))^2/2*(LN($H276/INDEX(Simulations!$J$3:$J$62,MATCH($A276,Simulations!$A$3:$A$62,0)))+1)))))</f>
        <v/>
      </c>
      <c r="U276" s="18" t="str">
        <f aca="false">IF(OR(OR($A276="",ISNA(MATCH($A276,Simulations!$A$3:$A$62,0))),N($C276)&lt;=0),"",SQRT(2*$C276*1000000/(INDEX(Simulations!$J$3:$J$62,MATCH($A276,Simulations!$A$3:$A$62,0))*1000))/INDEX(Simulations!$T$3:$T$62,MATCH($A276,Simulations!$A$3:$A$62,0)))</f>
        <v/>
      </c>
      <c r="V276" s="19" t="str">
        <f aca="false">IF($A276="","",IF(ISNA(MATCH($A276,Simulations!$A$3:$A$62,0)),"✖ Sim ID not found on the Simulations sheet",IF($P276&gt;=1,"✖ brightness &gt;= sampling frequency: completely saturated (D too small, c too large)",IF($P276&gt;0.1,"⚠ brightness &gt; 10% of the sampling frequency: focus starts to saturate",IF(N($U276)&gt;0.1,"⚠ diffusion step &gt; 10% of wr: raise the sampling frequency",IF(MAX($E276:$H276)=0,"⚠ no brightness set","✔ OK"))))))</f>
        <v/>
      </c>
    </row>
    <row r="277" customFormat="false" ht="15" hidden="false" customHeight="false" outlineLevel="0" collapsed="false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4"/>
      <c r="O277" s="18" t="str">
        <f aca="false">IF(OR($A277="",ISNA(MATCH($A277,Simulations!$A$3:$A$62,0))),"",IF(INDEX(Simulations!$I$3:$I$62,MATCH($A277,Simulations!$A$3:$A$62,0))&gt;0,$D277/(INDEX(Simulations!$G$3:$G$62,MATCH($A277,Simulations!$A$3:$A$62,0))*INDEX(Simulations!$H$3:$H$62,MATCH($A277,Simulations!$A$3:$A$62,0))*IF(INDEX(Simulations!$I$3:$I$62,MATCH($A277,Simulations!$A$3:$A$62,0))&gt;0,INDEX(Simulations!$I$3:$I$62,MATCH($A277,Simulations!$A$3:$A$62,0)),1))/1E-024/6.022E+023/0.000000001,""))</f>
        <v/>
      </c>
      <c r="P277" s="20" t="str">
        <f aca="false">IF(OR($A277="",ISNA(MATCH($A277,Simulations!$A$3:$A$62,0))),"",MAX($E277:$H277)/INDEX(Simulations!$J$3:$J$62,MATCH($A277,Simulations!$A$3:$A$62,0)))</f>
        <v/>
      </c>
      <c r="Q277" s="16" t="str">
        <f aca="false">IF(OR($A277="",ISNA(MATCH($A277,Simulations!$A$3:$A$62,0))),"",IF(N($E277)&lt;=0,0,IF($E277&lt;INDEX(Simulations!$J$3:$J$62,MATCH($A277,Simulations!$A$3:$A$62,0)),$D277/(INDEX(Simulations!$G$3:$G$62,MATCH($A277,Simulations!$A$3:$A$62,0))*INDEX(Simulations!$H$3:$H$62,MATCH($A277,Simulations!$A$3:$A$62,0))*IF(INDEX(Simulations!$I$3:$I$62,MATCH($A277,Simulations!$A$3:$A$62,0))&gt;0,INDEX(Simulations!$I$3:$I$62,MATCH($A277,Simulations!$A$3:$A$62,0)),1))*$E277*(PI()/2*INDEX(Simulations!$T$3:$T$62,MATCH($A277,Simulations!$A$3:$A$62,0))^2*IF(INDEX(Simulations!$I$3:$I$62,MATCH($A277,Simulations!$A$3:$A$62,0))&gt;0,SQRT(PI()/2)*INDEX(Simulations!$U$3:$U$62,MATCH($A277,Simulations!$A$3:$A$62,0)),1)),$D277/(INDEX(Simulations!$G$3:$G$62,MATCH($A277,Simulations!$A$3:$A$62,0))*INDEX(Simulations!$H$3:$H$62,MATCH($A277,Simulations!$A$3:$A$62,0))*IF(INDEX(Simulations!$I$3:$I$62,MATCH($A277,Simulations!$A$3:$A$62,0))&gt;0,INDEX(Simulations!$I$3:$I$62,MATCH($A277,Simulations!$A$3:$A$62,0)),1))*INDEX(Simulations!$J$3:$J$62,MATCH($A277,Simulations!$A$3:$A$62,0))*IF(INDEX(Simulations!$I$3:$I$62,MATCH($A277,Simulations!$A$3:$A$62,0))&gt;0,2*PI()*INDEX(Simulations!$T$3:$T$62,MATCH($A277,Simulations!$A$3:$A$62,0))^2*INDEX(Simulations!$U$3:$U$62,MATCH($A277,Simulations!$A$3:$A$62,0))/2^1.5*(2/3*LN($E277/INDEX(Simulations!$J$3:$J$62,MATCH($A277,Simulations!$A$3:$A$62,0)))^1.5+SQRT(LN($E277/INDEX(Simulations!$J$3:$J$62,MATCH($A277,Simulations!$A$3:$A$62,0))))+$E277/INDEX(Simulations!$J$3:$J$62,MATCH($A277,Simulations!$A$3:$A$62,0))*SQRT(PI())/2*ERFC(SQRT(LN($E277/INDEX(Simulations!$J$3:$J$62,MATCH($A277,Simulations!$A$3:$A$62,0)))))),PI()*INDEX(Simulations!$T$3:$T$62,MATCH($A277,Simulations!$A$3:$A$62,0))^2/2*(LN($E277/INDEX(Simulations!$J$3:$J$62,MATCH($A277,Simulations!$A$3:$A$62,0)))+1)))))</f>
        <v/>
      </c>
      <c r="R277" s="16" t="str">
        <f aca="false">IF(OR($A277="",ISNA(MATCH($A277,Simulations!$A$3:$A$62,0))),"",IF(N($F277)&lt;=0,0,IF($F277&lt;INDEX(Simulations!$J$3:$J$62,MATCH($A277,Simulations!$A$3:$A$62,0)),$D277/(INDEX(Simulations!$G$3:$G$62,MATCH($A277,Simulations!$A$3:$A$62,0))*INDEX(Simulations!$H$3:$H$62,MATCH($A277,Simulations!$A$3:$A$62,0))*IF(INDEX(Simulations!$I$3:$I$62,MATCH($A277,Simulations!$A$3:$A$62,0))&gt;0,INDEX(Simulations!$I$3:$I$62,MATCH($A277,Simulations!$A$3:$A$62,0)),1))*$F277*(PI()/2*INDEX(Simulations!$T$3:$T$62,MATCH($A277,Simulations!$A$3:$A$62,0))^2*IF(INDEX(Simulations!$I$3:$I$62,MATCH($A277,Simulations!$A$3:$A$62,0))&gt;0,SQRT(PI()/2)*INDEX(Simulations!$U$3:$U$62,MATCH($A277,Simulations!$A$3:$A$62,0)),1)),$D277/(INDEX(Simulations!$G$3:$G$62,MATCH($A277,Simulations!$A$3:$A$62,0))*INDEX(Simulations!$H$3:$H$62,MATCH($A277,Simulations!$A$3:$A$62,0))*IF(INDEX(Simulations!$I$3:$I$62,MATCH($A277,Simulations!$A$3:$A$62,0))&gt;0,INDEX(Simulations!$I$3:$I$62,MATCH($A277,Simulations!$A$3:$A$62,0)),1))*INDEX(Simulations!$J$3:$J$62,MATCH($A277,Simulations!$A$3:$A$62,0))*IF(INDEX(Simulations!$I$3:$I$62,MATCH($A277,Simulations!$A$3:$A$62,0))&gt;0,2*PI()*INDEX(Simulations!$T$3:$T$62,MATCH($A277,Simulations!$A$3:$A$62,0))^2*INDEX(Simulations!$U$3:$U$62,MATCH($A277,Simulations!$A$3:$A$62,0))/2^1.5*(2/3*LN($F277/INDEX(Simulations!$J$3:$J$62,MATCH($A277,Simulations!$A$3:$A$62,0)))^1.5+SQRT(LN($F277/INDEX(Simulations!$J$3:$J$62,MATCH($A277,Simulations!$A$3:$A$62,0))))+$F277/INDEX(Simulations!$J$3:$J$62,MATCH($A277,Simulations!$A$3:$A$62,0))*SQRT(PI())/2*ERFC(SQRT(LN($F277/INDEX(Simulations!$J$3:$J$62,MATCH($A277,Simulations!$A$3:$A$62,0)))))),PI()*INDEX(Simulations!$T$3:$T$62,MATCH($A277,Simulations!$A$3:$A$62,0))^2/2*(LN($F277/INDEX(Simulations!$J$3:$J$62,MATCH($A277,Simulations!$A$3:$A$62,0)))+1)))))</f>
        <v/>
      </c>
      <c r="S277" s="16" t="str">
        <f aca="false">IF(OR($A277="",ISNA(MATCH($A277,Simulations!$A$3:$A$62,0))),"",IF(N($G277)&lt;=0,0,IF($G277&lt;INDEX(Simulations!$J$3:$J$62,MATCH($A277,Simulations!$A$3:$A$62,0)),$D277/(INDEX(Simulations!$G$3:$G$62,MATCH($A277,Simulations!$A$3:$A$62,0))*INDEX(Simulations!$H$3:$H$62,MATCH($A277,Simulations!$A$3:$A$62,0))*IF(INDEX(Simulations!$I$3:$I$62,MATCH($A277,Simulations!$A$3:$A$62,0))&gt;0,INDEX(Simulations!$I$3:$I$62,MATCH($A277,Simulations!$A$3:$A$62,0)),1))*$G277*(PI()/2*INDEX(Simulations!$T$3:$T$62,MATCH($A277,Simulations!$A$3:$A$62,0))^2*IF(INDEX(Simulations!$I$3:$I$62,MATCH($A277,Simulations!$A$3:$A$62,0))&gt;0,SQRT(PI()/2)*INDEX(Simulations!$U$3:$U$62,MATCH($A277,Simulations!$A$3:$A$62,0)),1)),$D277/(INDEX(Simulations!$G$3:$G$62,MATCH($A277,Simulations!$A$3:$A$62,0))*INDEX(Simulations!$H$3:$H$62,MATCH($A277,Simulations!$A$3:$A$62,0))*IF(INDEX(Simulations!$I$3:$I$62,MATCH($A277,Simulations!$A$3:$A$62,0))&gt;0,INDEX(Simulations!$I$3:$I$62,MATCH($A277,Simulations!$A$3:$A$62,0)),1))*INDEX(Simulations!$J$3:$J$62,MATCH($A277,Simulations!$A$3:$A$62,0))*IF(INDEX(Simulations!$I$3:$I$62,MATCH($A277,Simulations!$A$3:$A$62,0))&gt;0,2*PI()*INDEX(Simulations!$T$3:$T$62,MATCH($A277,Simulations!$A$3:$A$62,0))^2*INDEX(Simulations!$U$3:$U$62,MATCH($A277,Simulations!$A$3:$A$62,0))/2^1.5*(2/3*LN($G277/INDEX(Simulations!$J$3:$J$62,MATCH($A277,Simulations!$A$3:$A$62,0)))^1.5+SQRT(LN($G277/INDEX(Simulations!$J$3:$J$62,MATCH($A277,Simulations!$A$3:$A$62,0))))+$G277/INDEX(Simulations!$J$3:$J$62,MATCH($A277,Simulations!$A$3:$A$62,0))*SQRT(PI())/2*ERFC(SQRT(LN($G277/INDEX(Simulations!$J$3:$J$62,MATCH($A277,Simulations!$A$3:$A$62,0)))))),PI()*INDEX(Simulations!$T$3:$T$62,MATCH($A277,Simulations!$A$3:$A$62,0))^2/2*(LN($G277/INDEX(Simulations!$J$3:$J$62,MATCH($A277,Simulations!$A$3:$A$62,0)))+1)))))</f>
        <v/>
      </c>
      <c r="T277" s="16" t="str">
        <f aca="false">IF(OR($A277="",ISNA(MATCH($A277,Simulations!$A$3:$A$62,0))),"",IF(N($H277)&lt;=0,0,IF($H277&lt;INDEX(Simulations!$J$3:$J$62,MATCH($A277,Simulations!$A$3:$A$62,0)),$D277/(INDEX(Simulations!$G$3:$G$62,MATCH($A277,Simulations!$A$3:$A$62,0))*INDEX(Simulations!$H$3:$H$62,MATCH($A277,Simulations!$A$3:$A$62,0))*IF(INDEX(Simulations!$I$3:$I$62,MATCH($A277,Simulations!$A$3:$A$62,0))&gt;0,INDEX(Simulations!$I$3:$I$62,MATCH($A277,Simulations!$A$3:$A$62,0)),1))*$H277*(PI()/2*INDEX(Simulations!$T$3:$T$62,MATCH($A277,Simulations!$A$3:$A$62,0))^2*IF(INDEX(Simulations!$I$3:$I$62,MATCH($A277,Simulations!$A$3:$A$62,0))&gt;0,SQRT(PI()/2)*INDEX(Simulations!$U$3:$U$62,MATCH($A277,Simulations!$A$3:$A$62,0)),1)),$D277/(INDEX(Simulations!$G$3:$G$62,MATCH($A277,Simulations!$A$3:$A$62,0))*INDEX(Simulations!$H$3:$H$62,MATCH($A277,Simulations!$A$3:$A$62,0))*IF(INDEX(Simulations!$I$3:$I$62,MATCH($A277,Simulations!$A$3:$A$62,0))&gt;0,INDEX(Simulations!$I$3:$I$62,MATCH($A277,Simulations!$A$3:$A$62,0)),1))*INDEX(Simulations!$J$3:$J$62,MATCH($A277,Simulations!$A$3:$A$62,0))*IF(INDEX(Simulations!$I$3:$I$62,MATCH($A277,Simulations!$A$3:$A$62,0))&gt;0,2*PI()*INDEX(Simulations!$T$3:$T$62,MATCH($A277,Simulations!$A$3:$A$62,0))^2*INDEX(Simulations!$U$3:$U$62,MATCH($A277,Simulations!$A$3:$A$62,0))/2^1.5*(2/3*LN($H277/INDEX(Simulations!$J$3:$J$62,MATCH($A277,Simulations!$A$3:$A$62,0)))^1.5+SQRT(LN($H277/INDEX(Simulations!$J$3:$J$62,MATCH($A277,Simulations!$A$3:$A$62,0))))+$H277/INDEX(Simulations!$J$3:$J$62,MATCH($A277,Simulations!$A$3:$A$62,0))*SQRT(PI())/2*ERFC(SQRT(LN($H277/INDEX(Simulations!$J$3:$J$62,MATCH($A277,Simulations!$A$3:$A$62,0)))))),PI()*INDEX(Simulations!$T$3:$T$62,MATCH($A277,Simulations!$A$3:$A$62,0))^2/2*(LN($H277/INDEX(Simulations!$J$3:$J$62,MATCH($A277,Simulations!$A$3:$A$62,0)))+1)))))</f>
        <v/>
      </c>
      <c r="U277" s="18" t="str">
        <f aca="false">IF(OR(OR($A277="",ISNA(MATCH($A277,Simulations!$A$3:$A$62,0))),N($C277)&lt;=0),"",SQRT(2*$C277*1000000/(INDEX(Simulations!$J$3:$J$62,MATCH($A277,Simulations!$A$3:$A$62,0))*1000))/INDEX(Simulations!$T$3:$T$62,MATCH($A277,Simulations!$A$3:$A$62,0)))</f>
        <v/>
      </c>
      <c r="V277" s="19" t="str">
        <f aca="false">IF($A277="","",IF(ISNA(MATCH($A277,Simulations!$A$3:$A$62,0)),"✖ Sim ID not found on the Simulations sheet",IF($P277&gt;=1,"✖ brightness &gt;= sampling frequency: completely saturated (D too small, c too large)",IF($P277&gt;0.1,"⚠ brightness &gt; 10% of the sampling frequency: focus starts to saturate",IF(N($U277)&gt;0.1,"⚠ diffusion step &gt; 10% of wr: raise the sampling frequency",IF(MAX($E277:$H277)=0,"⚠ no brightness set","✔ OK"))))))</f>
        <v/>
      </c>
    </row>
    <row r="278" customFormat="false" ht="15" hidden="false" customHeight="false" outlineLevel="0" collapsed="false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4"/>
      <c r="O278" s="18" t="str">
        <f aca="false">IF(OR($A278="",ISNA(MATCH($A278,Simulations!$A$3:$A$62,0))),"",IF(INDEX(Simulations!$I$3:$I$62,MATCH($A278,Simulations!$A$3:$A$62,0))&gt;0,$D278/(INDEX(Simulations!$G$3:$G$62,MATCH($A278,Simulations!$A$3:$A$62,0))*INDEX(Simulations!$H$3:$H$62,MATCH($A278,Simulations!$A$3:$A$62,0))*IF(INDEX(Simulations!$I$3:$I$62,MATCH($A278,Simulations!$A$3:$A$62,0))&gt;0,INDEX(Simulations!$I$3:$I$62,MATCH($A278,Simulations!$A$3:$A$62,0)),1))/1E-024/6.022E+023/0.000000001,""))</f>
        <v/>
      </c>
      <c r="P278" s="20" t="str">
        <f aca="false">IF(OR($A278="",ISNA(MATCH($A278,Simulations!$A$3:$A$62,0))),"",MAX($E278:$H278)/INDEX(Simulations!$J$3:$J$62,MATCH($A278,Simulations!$A$3:$A$62,0)))</f>
        <v/>
      </c>
      <c r="Q278" s="16" t="str">
        <f aca="false">IF(OR($A278="",ISNA(MATCH($A278,Simulations!$A$3:$A$62,0))),"",IF(N($E278)&lt;=0,0,IF($E278&lt;INDEX(Simulations!$J$3:$J$62,MATCH($A278,Simulations!$A$3:$A$62,0)),$D278/(INDEX(Simulations!$G$3:$G$62,MATCH($A278,Simulations!$A$3:$A$62,0))*INDEX(Simulations!$H$3:$H$62,MATCH($A278,Simulations!$A$3:$A$62,0))*IF(INDEX(Simulations!$I$3:$I$62,MATCH($A278,Simulations!$A$3:$A$62,0))&gt;0,INDEX(Simulations!$I$3:$I$62,MATCH($A278,Simulations!$A$3:$A$62,0)),1))*$E278*(PI()/2*INDEX(Simulations!$T$3:$T$62,MATCH($A278,Simulations!$A$3:$A$62,0))^2*IF(INDEX(Simulations!$I$3:$I$62,MATCH($A278,Simulations!$A$3:$A$62,0))&gt;0,SQRT(PI()/2)*INDEX(Simulations!$U$3:$U$62,MATCH($A278,Simulations!$A$3:$A$62,0)),1)),$D278/(INDEX(Simulations!$G$3:$G$62,MATCH($A278,Simulations!$A$3:$A$62,0))*INDEX(Simulations!$H$3:$H$62,MATCH($A278,Simulations!$A$3:$A$62,0))*IF(INDEX(Simulations!$I$3:$I$62,MATCH($A278,Simulations!$A$3:$A$62,0))&gt;0,INDEX(Simulations!$I$3:$I$62,MATCH($A278,Simulations!$A$3:$A$62,0)),1))*INDEX(Simulations!$J$3:$J$62,MATCH($A278,Simulations!$A$3:$A$62,0))*IF(INDEX(Simulations!$I$3:$I$62,MATCH($A278,Simulations!$A$3:$A$62,0))&gt;0,2*PI()*INDEX(Simulations!$T$3:$T$62,MATCH($A278,Simulations!$A$3:$A$62,0))^2*INDEX(Simulations!$U$3:$U$62,MATCH($A278,Simulations!$A$3:$A$62,0))/2^1.5*(2/3*LN($E278/INDEX(Simulations!$J$3:$J$62,MATCH($A278,Simulations!$A$3:$A$62,0)))^1.5+SQRT(LN($E278/INDEX(Simulations!$J$3:$J$62,MATCH($A278,Simulations!$A$3:$A$62,0))))+$E278/INDEX(Simulations!$J$3:$J$62,MATCH($A278,Simulations!$A$3:$A$62,0))*SQRT(PI())/2*ERFC(SQRT(LN($E278/INDEX(Simulations!$J$3:$J$62,MATCH($A278,Simulations!$A$3:$A$62,0)))))),PI()*INDEX(Simulations!$T$3:$T$62,MATCH($A278,Simulations!$A$3:$A$62,0))^2/2*(LN($E278/INDEX(Simulations!$J$3:$J$62,MATCH($A278,Simulations!$A$3:$A$62,0)))+1)))))</f>
        <v/>
      </c>
      <c r="R278" s="16" t="str">
        <f aca="false">IF(OR($A278="",ISNA(MATCH($A278,Simulations!$A$3:$A$62,0))),"",IF(N($F278)&lt;=0,0,IF($F278&lt;INDEX(Simulations!$J$3:$J$62,MATCH($A278,Simulations!$A$3:$A$62,0)),$D278/(INDEX(Simulations!$G$3:$G$62,MATCH($A278,Simulations!$A$3:$A$62,0))*INDEX(Simulations!$H$3:$H$62,MATCH($A278,Simulations!$A$3:$A$62,0))*IF(INDEX(Simulations!$I$3:$I$62,MATCH($A278,Simulations!$A$3:$A$62,0))&gt;0,INDEX(Simulations!$I$3:$I$62,MATCH($A278,Simulations!$A$3:$A$62,0)),1))*$F278*(PI()/2*INDEX(Simulations!$T$3:$T$62,MATCH($A278,Simulations!$A$3:$A$62,0))^2*IF(INDEX(Simulations!$I$3:$I$62,MATCH($A278,Simulations!$A$3:$A$62,0))&gt;0,SQRT(PI()/2)*INDEX(Simulations!$U$3:$U$62,MATCH($A278,Simulations!$A$3:$A$62,0)),1)),$D278/(INDEX(Simulations!$G$3:$G$62,MATCH($A278,Simulations!$A$3:$A$62,0))*INDEX(Simulations!$H$3:$H$62,MATCH($A278,Simulations!$A$3:$A$62,0))*IF(INDEX(Simulations!$I$3:$I$62,MATCH($A278,Simulations!$A$3:$A$62,0))&gt;0,INDEX(Simulations!$I$3:$I$62,MATCH($A278,Simulations!$A$3:$A$62,0)),1))*INDEX(Simulations!$J$3:$J$62,MATCH($A278,Simulations!$A$3:$A$62,0))*IF(INDEX(Simulations!$I$3:$I$62,MATCH($A278,Simulations!$A$3:$A$62,0))&gt;0,2*PI()*INDEX(Simulations!$T$3:$T$62,MATCH($A278,Simulations!$A$3:$A$62,0))^2*INDEX(Simulations!$U$3:$U$62,MATCH($A278,Simulations!$A$3:$A$62,0))/2^1.5*(2/3*LN($F278/INDEX(Simulations!$J$3:$J$62,MATCH($A278,Simulations!$A$3:$A$62,0)))^1.5+SQRT(LN($F278/INDEX(Simulations!$J$3:$J$62,MATCH($A278,Simulations!$A$3:$A$62,0))))+$F278/INDEX(Simulations!$J$3:$J$62,MATCH($A278,Simulations!$A$3:$A$62,0))*SQRT(PI())/2*ERFC(SQRT(LN($F278/INDEX(Simulations!$J$3:$J$62,MATCH($A278,Simulations!$A$3:$A$62,0)))))),PI()*INDEX(Simulations!$T$3:$T$62,MATCH($A278,Simulations!$A$3:$A$62,0))^2/2*(LN($F278/INDEX(Simulations!$J$3:$J$62,MATCH($A278,Simulations!$A$3:$A$62,0)))+1)))))</f>
        <v/>
      </c>
      <c r="S278" s="16" t="str">
        <f aca="false">IF(OR($A278="",ISNA(MATCH($A278,Simulations!$A$3:$A$62,0))),"",IF(N($G278)&lt;=0,0,IF($G278&lt;INDEX(Simulations!$J$3:$J$62,MATCH($A278,Simulations!$A$3:$A$62,0)),$D278/(INDEX(Simulations!$G$3:$G$62,MATCH($A278,Simulations!$A$3:$A$62,0))*INDEX(Simulations!$H$3:$H$62,MATCH($A278,Simulations!$A$3:$A$62,0))*IF(INDEX(Simulations!$I$3:$I$62,MATCH($A278,Simulations!$A$3:$A$62,0))&gt;0,INDEX(Simulations!$I$3:$I$62,MATCH($A278,Simulations!$A$3:$A$62,0)),1))*$G278*(PI()/2*INDEX(Simulations!$T$3:$T$62,MATCH($A278,Simulations!$A$3:$A$62,0))^2*IF(INDEX(Simulations!$I$3:$I$62,MATCH($A278,Simulations!$A$3:$A$62,0))&gt;0,SQRT(PI()/2)*INDEX(Simulations!$U$3:$U$62,MATCH($A278,Simulations!$A$3:$A$62,0)),1)),$D278/(INDEX(Simulations!$G$3:$G$62,MATCH($A278,Simulations!$A$3:$A$62,0))*INDEX(Simulations!$H$3:$H$62,MATCH($A278,Simulations!$A$3:$A$62,0))*IF(INDEX(Simulations!$I$3:$I$62,MATCH($A278,Simulations!$A$3:$A$62,0))&gt;0,INDEX(Simulations!$I$3:$I$62,MATCH($A278,Simulations!$A$3:$A$62,0)),1))*INDEX(Simulations!$J$3:$J$62,MATCH($A278,Simulations!$A$3:$A$62,0))*IF(INDEX(Simulations!$I$3:$I$62,MATCH($A278,Simulations!$A$3:$A$62,0))&gt;0,2*PI()*INDEX(Simulations!$T$3:$T$62,MATCH($A278,Simulations!$A$3:$A$62,0))^2*INDEX(Simulations!$U$3:$U$62,MATCH($A278,Simulations!$A$3:$A$62,0))/2^1.5*(2/3*LN($G278/INDEX(Simulations!$J$3:$J$62,MATCH($A278,Simulations!$A$3:$A$62,0)))^1.5+SQRT(LN($G278/INDEX(Simulations!$J$3:$J$62,MATCH($A278,Simulations!$A$3:$A$62,0))))+$G278/INDEX(Simulations!$J$3:$J$62,MATCH($A278,Simulations!$A$3:$A$62,0))*SQRT(PI())/2*ERFC(SQRT(LN($G278/INDEX(Simulations!$J$3:$J$62,MATCH($A278,Simulations!$A$3:$A$62,0)))))),PI()*INDEX(Simulations!$T$3:$T$62,MATCH($A278,Simulations!$A$3:$A$62,0))^2/2*(LN($G278/INDEX(Simulations!$J$3:$J$62,MATCH($A278,Simulations!$A$3:$A$62,0)))+1)))))</f>
        <v/>
      </c>
      <c r="T278" s="16" t="str">
        <f aca="false">IF(OR($A278="",ISNA(MATCH($A278,Simulations!$A$3:$A$62,0))),"",IF(N($H278)&lt;=0,0,IF($H278&lt;INDEX(Simulations!$J$3:$J$62,MATCH($A278,Simulations!$A$3:$A$62,0)),$D278/(INDEX(Simulations!$G$3:$G$62,MATCH($A278,Simulations!$A$3:$A$62,0))*INDEX(Simulations!$H$3:$H$62,MATCH($A278,Simulations!$A$3:$A$62,0))*IF(INDEX(Simulations!$I$3:$I$62,MATCH($A278,Simulations!$A$3:$A$62,0))&gt;0,INDEX(Simulations!$I$3:$I$62,MATCH($A278,Simulations!$A$3:$A$62,0)),1))*$H278*(PI()/2*INDEX(Simulations!$T$3:$T$62,MATCH($A278,Simulations!$A$3:$A$62,0))^2*IF(INDEX(Simulations!$I$3:$I$62,MATCH($A278,Simulations!$A$3:$A$62,0))&gt;0,SQRT(PI()/2)*INDEX(Simulations!$U$3:$U$62,MATCH($A278,Simulations!$A$3:$A$62,0)),1)),$D278/(INDEX(Simulations!$G$3:$G$62,MATCH($A278,Simulations!$A$3:$A$62,0))*INDEX(Simulations!$H$3:$H$62,MATCH($A278,Simulations!$A$3:$A$62,0))*IF(INDEX(Simulations!$I$3:$I$62,MATCH($A278,Simulations!$A$3:$A$62,0))&gt;0,INDEX(Simulations!$I$3:$I$62,MATCH($A278,Simulations!$A$3:$A$62,0)),1))*INDEX(Simulations!$J$3:$J$62,MATCH($A278,Simulations!$A$3:$A$62,0))*IF(INDEX(Simulations!$I$3:$I$62,MATCH($A278,Simulations!$A$3:$A$62,0))&gt;0,2*PI()*INDEX(Simulations!$T$3:$T$62,MATCH($A278,Simulations!$A$3:$A$62,0))^2*INDEX(Simulations!$U$3:$U$62,MATCH($A278,Simulations!$A$3:$A$62,0))/2^1.5*(2/3*LN($H278/INDEX(Simulations!$J$3:$J$62,MATCH($A278,Simulations!$A$3:$A$62,0)))^1.5+SQRT(LN($H278/INDEX(Simulations!$J$3:$J$62,MATCH($A278,Simulations!$A$3:$A$62,0))))+$H278/INDEX(Simulations!$J$3:$J$62,MATCH($A278,Simulations!$A$3:$A$62,0))*SQRT(PI())/2*ERFC(SQRT(LN($H278/INDEX(Simulations!$J$3:$J$62,MATCH($A278,Simulations!$A$3:$A$62,0)))))),PI()*INDEX(Simulations!$T$3:$T$62,MATCH($A278,Simulations!$A$3:$A$62,0))^2/2*(LN($H278/INDEX(Simulations!$J$3:$J$62,MATCH($A278,Simulations!$A$3:$A$62,0)))+1)))))</f>
        <v/>
      </c>
      <c r="U278" s="18" t="str">
        <f aca="false">IF(OR(OR($A278="",ISNA(MATCH($A278,Simulations!$A$3:$A$62,0))),N($C278)&lt;=0),"",SQRT(2*$C278*1000000/(INDEX(Simulations!$J$3:$J$62,MATCH($A278,Simulations!$A$3:$A$62,0))*1000))/INDEX(Simulations!$T$3:$T$62,MATCH($A278,Simulations!$A$3:$A$62,0)))</f>
        <v/>
      </c>
      <c r="V278" s="19" t="str">
        <f aca="false">IF($A278="","",IF(ISNA(MATCH($A278,Simulations!$A$3:$A$62,0)),"✖ Sim ID not found on the Simulations sheet",IF($P278&gt;=1,"✖ brightness &gt;= sampling frequency: completely saturated (D too small, c too large)",IF($P278&gt;0.1,"⚠ brightness &gt; 10% of the sampling frequency: focus starts to saturate",IF(N($U278)&gt;0.1,"⚠ diffusion step &gt; 10% of wr: raise the sampling frequency",IF(MAX($E278:$H278)=0,"⚠ no brightness set","✔ OK"))))))</f>
        <v/>
      </c>
    </row>
    <row r="279" customFormat="false" ht="15" hidden="false" customHeight="false" outlineLevel="0" collapsed="false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4"/>
      <c r="O279" s="18" t="str">
        <f aca="false">IF(OR($A279="",ISNA(MATCH($A279,Simulations!$A$3:$A$62,0))),"",IF(INDEX(Simulations!$I$3:$I$62,MATCH($A279,Simulations!$A$3:$A$62,0))&gt;0,$D279/(INDEX(Simulations!$G$3:$G$62,MATCH($A279,Simulations!$A$3:$A$62,0))*INDEX(Simulations!$H$3:$H$62,MATCH($A279,Simulations!$A$3:$A$62,0))*IF(INDEX(Simulations!$I$3:$I$62,MATCH($A279,Simulations!$A$3:$A$62,0))&gt;0,INDEX(Simulations!$I$3:$I$62,MATCH($A279,Simulations!$A$3:$A$62,0)),1))/1E-024/6.022E+023/0.000000001,""))</f>
        <v/>
      </c>
      <c r="P279" s="20" t="str">
        <f aca="false">IF(OR($A279="",ISNA(MATCH($A279,Simulations!$A$3:$A$62,0))),"",MAX($E279:$H279)/INDEX(Simulations!$J$3:$J$62,MATCH($A279,Simulations!$A$3:$A$62,0)))</f>
        <v/>
      </c>
      <c r="Q279" s="16" t="str">
        <f aca="false">IF(OR($A279="",ISNA(MATCH($A279,Simulations!$A$3:$A$62,0))),"",IF(N($E279)&lt;=0,0,IF($E279&lt;INDEX(Simulations!$J$3:$J$62,MATCH($A279,Simulations!$A$3:$A$62,0)),$D279/(INDEX(Simulations!$G$3:$G$62,MATCH($A279,Simulations!$A$3:$A$62,0))*INDEX(Simulations!$H$3:$H$62,MATCH($A279,Simulations!$A$3:$A$62,0))*IF(INDEX(Simulations!$I$3:$I$62,MATCH($A279,Simulations!$A$3:$A$62,0))&gt;0,INDEX(Simulations!$I$3:$I$62,MATCH($A279,Simulations!$A$3:$A$62,0)),1))*$E279*(PI()/2*INDEX(Simulations!$T$3:$T$62,MATCH($A279,Simulations!$A$3:$A$62,0))^2*IF(INDEX(Simulations!$I$3:$I$62,MATCH($A279,Simulations!$A$3:$A$62,0))&gt;0,SQRT(PI()/2)*INDEX(Simulations!$U$3:$U$62,MATCH($A279,Simulations!$A$3:$A$62,0)),1)),$D279/(INDEX(Simulations!$G$3:$G$62,MATCH($A279,Simulations!$A$3:$A$62,0))*INDEX(Simulations!$H$3:$H$62,MATCH($A279,Simulations!$A$3:$A$62,0))*IF(INDEX(Simulations!$I$3:$I$62,MATCH($A279,Simulations!$A$3:$A$62,0))&gt;0,INDEX(Simulations!$I$3:$I$62,MATCH($A279,Simulations!$A$3:$A$62,0)),1))*INDEX(Simulations!$J$3:$J$62,MATCH($A279,Simulations!$A$3:$A$62,0))*IF(INDEX(Simulations!$I$3:$I$62,MATCH($A279,Simulations!$A$3:$A$62,0))&gt;0,2*PI()*INDEX(Simulations!$T$3:$T$62,MATCH($A279,Simulations!$A$3:$A$62,0))^2*INDEX(Simulations!$U$3:$U$62,MATCH($A279,Simulations!$A$3:$A$62,0))/2^1.5*(2/3*LN($E279/INDEX(Simulations!$J$3:$J$62,MATCH($A279,Simulations!$A$3:$A$62,0)))^1.5+SQRT(LN($E279/INDEX(Simulations!$J$3:$J$62,MATCH($A279,Simulations!$A$3:$A$62,0))))+$E279/INDEX(Simulations!$J$3:$J$62,MATCH($A279,Simulations!$A$3:$A$62,0))*SQRT(PI())/2*ERFC(SQRT(LN($E279/INDEX(Simulations!$J$3:$J$62,MATCH($A279,Simulations!$A$3:$A$62,0)))))),PI()*INDEX(Simulations!$T$3:$T$62,MATCH($A279,Simulations!$A$3:$A$62,0))^2/2*(LN($E279/INDEX(Simulations!$J$3:$J$62,MATCH($A279,Simulations!$A$3:$A$62,0)))+1)))))</f>
        <v/>
      </c>
      <c r="R279" s="16" t="str">
        <f aca="false">IF(OR($A279="",ISNA(MATCH($A279,Simulations!$A$3:$A$62,0))),"",IF(N($F279)&lt;=0,0,IF($F279&lt;INDEX(Simulations!$J$3:$J$62,MATCH($A279,Simulations!$A$3:$A$62,0)),$D279/(INDEX(Simulations!$G$3:$G$62,MATCH($A279,Simulations!$A$3:$A$62,0))*INDEX(Simulations!$H$3:$H$62,MATCH($A279,Simulations!$A$3:$A$62,0))*IF(INDEX(Simulations!$I$3:$I$62,MATCH($A279,Simulations!$A$3:$A$62,0))&gt;0,INDEX(Simulations!$I$3:$I$62,MATCH($A279,Simulations!$A$3:$A$62,0)),1))*$F279*(PI()/2*INDEX(Simulations!$T$3:$T$62,MATCH($A279,Simulations!$A$3:$A$62,0))^2*IF(INDEX(Simulations!$I$3:$I$62,MATCH($A279,Simulations!$A$3:$A$62,0))&gt;0,SQRT(PI()/2)*INDEX(Simulations!$U$3:$U$62,MATCH($A279,Simulations!$A$3:$A$62,0)),1)),$D279/(INDEX(Simulations!$G$3:$G$62,MATCH($A279,Simulations!$A$3:$A$62,0))*INDEX(Simulations!$H$3:$H$62,MATCH($A279,Simulations!$A$3:$A$62,0))*IF(INDEX(Simulations!$I$3:$I$62,MATCH($A279,Simulations!$A$3:$A$62,0))&gt;0,INDEX(Simulations!$I$3:$I$62,MATCH($A279,Simulations!$A$3:$A$62,0)),1))*INDEX(Simulations!$J$3:$J$62,MATCH($A279,Simulations!$A$3:$A$62,0))*IF(INDEX(Simulations!$I$3:$I$62,MATCH($A279,Simulations!$A$3:$A$62,0))&gt;0,2*PI()*INDEX(Simulations!$T$3:$T$62,MATCH($A279,Simulations!$A$3:$A$62,0))^2*INDEX(Simulations!$U$3:$U$62,MATCH($A279,Simulations!$A$3:$A$62,0))/2^1.5*(2/3*LN($F279/INDEX(Simulations!$J$3:$J$62,MATCH($A279,Simulations!$A$3:$A$62,0)))^1.5+SQRT(LN($F279/INDEX(Simulations!$J$3:$J$62,MATCH($A279,Simulations!$A$3:$A$62,0))))+$F279/INDEX(Simulations!$J$3:$J$62,MATCH($A279,Simulations!$A$3:$A$62,0))*SQRT(PI())/2*ERFC(SQRT(LN($F279/INDEX(Simulations!$J$3:$J$62,MATCH($A279,Simulations!$A$3:$A$62,0)))))),PI()*INDEX(Simulations!$T$3:$T$62,MATCH($A279,Simulations!$A$3:$A$62,0))^2/2*(LN($F279/INDEX(Simulations!$J$3:$J$62,MATCH($A279,Simulations!$A$3:$A$62,0)))+1)))))</f>
        <v/>
      </c>
      <c r="S279" s="16" t="str">
        <f aca="false">IF(OR($A279="",ISNA(MATCH($A279,Simulations!$A$3:$A$62,0))),"",IF(N($G279)&lt;=0,0,IF($G279&lt;INDEX(Simulations!$J$3:$J$62,MATCH($A279,Simulations!$A$3:$A$62,0)),$D279/(INDEX(Simulations!$G$3:$G$62,MATCH($A279,Simulations!$A$3:$A$62,0))*INDEX(Simulations!$H$3:$H$62,MATCH($A279,Simulations!$A$3:$A$62,0))*IF(INDEX(Simulations!$I$3:$I$62,MATCH($A279,Simulations!$A$3:$A$62,0))&gt;0,INDEX(Simulations!$I$3:$I$62,MATCH($A279,Simulations!$A$3:$A$62,0)),1))*$G279*(PI()/2*INDEX(Simulations!$T$3:$T$62,MATCH($A279,Simulations!$A$3:$A$62,0))^2*IF(INDEX(Simulations!$I$3:$I$62,MATCH($A279,Simulations!$A$3:$A$62,0))&gt;0,SQRT(PI()/2)*INDEX(Simulations!$U$3:$U$62,MATCH($A279,Simulations!$A$3:$A$62,0)),1)),$D279/(INDEX(Simulations!$G$3:$G$62,MATCH($A279,Simulations!$A$3:$A$62,0))*INDEX(Simulations!$H$3:$H$62,MATCH($A279,Simulations!$A$3:$A$62,0))*IF(INDEX(Simulations!$I$3:$I$62,MATCH($A279,Simulations!$A$3:$A$62,0))&gt;0,INDEX(Simulations!$I$3:$I$62,MATCH($A279,Simulations!$A$3:$A$62,0)),1))*INDEX(Simulations!$J$3:$J$62,MATCH($A279,Simulations!$A$3:$A$62,0))*IF(INDEX(Simulations!$I$3:$I$62,MATCH($A279,Simulations!$A$3:$A$62,0))&gt;0,2*PI()*INDEX(Simulations!$T$3:$T$62,MATCH($A279,Simulations!$A$3:$A$62,0))^2*INDEX(Simulations!$U$3:$U$62,MATCH($A279,Simulations!$A$3:$A$62,0))/2^1.5*(2/3*LN($G279/INDEX(Simulations!$J$3:$J$62,MATCH($A279,Simulations!$A$3:$A$62,0)))^1.5+SQRT(LN($G279/INDEX(Simulations!$J$3:$J$62,MATCH($A279,Simulations!$A$3:$A$62,0))))+$G279/INDEX(Simulations!$J$3:$J$62,MATCH($A279,Simulations!$A$3:$A$62,0))*SQRT(PI())/2*ERFC(SQRT(LN($G279/INDEX(Simulations!$J$3:$J$62,MATCH($A279,Simulations!$A$3:$A$62,0)))))),PI()*INDEX(Simulations!$T$3:$T$62,MATCH($A279,Simulations!$A$3:$A$62,0))^2/2*(LN($G279/INDEX(Simulations!$J$3:$J$62,MATCH($A279,Simulations!$A$3:$A$62,0)))+1)))))</f>
        <v/>
      </c>
      <c r="T279" s="16" t="str">
        <f aca="false">IF(OR($A279="",ISNA(MATCH($A279,Simulations!$A$3:$A$62,0))),"",IF(N($H279)&lt;=0,0,IF($H279&lt;INDEX(Simulations!$J$3:$J$62,MATCH($A279,Simulations!$A$3:$A$62,0)),$D279/(INDEX(Simulations!$G$3:$G$62,MATCH($A279,Simulations!$A$3:$A$62,0))*INDEX(Simulations!$H$3:$H$62,MATCH($A279,Simulations!$A$3:$A$62,0))*IF(INDEX(Simulations!$I$3:$I$62,MATCH($A279,Simulations!$A$3:$A$62,0))&gt;0,INDEX(Simulations!$I$3:$I$62,MATCH($A279,Simulations!$A$3:$A$62,0)),1))*$H279*(PI()/2*INDEX(Simulations!$T$3:$T$62,MATCH($A279,Simulations!$A$3:$A$62,0))^2*IF(INDEX(Simulations!$I$3:$I$62,MATCH($A279,Simulations!$A$3:$A$62,0))&gt;0,SQRT(PI()/2)*INDEX(Simulations!$U$3:$U$62,MATCH($A279,Simulations!$A$3:$A$62,0)),1)),$D279/(INDEX(Simulations!$G$3:$G$62,MATCH($A279,Simulations!$A$3:$A$62,0))*INDEX(Simulations!$H$3:$H$62,MATCH($A279,Simulations!$A$3:$A$62,0))*IF(INDEX(Simulations!$I$3:$I$62,MATCH($A279,Simulations!$A$3:$A$62,0))&gt;0,INDEX(Simulations!$I$3:$I$62,MATCH($A279,Simulations!$A$3:$A$62,0)),1))*INDEX(Simulations!$J$3:$J$62,MATCH($A279,Simulations!$A$3:$A$62,0))*IF(INDEX(Simulations!$I$3:$I$62,MATCH($A279,Simulations!$A$3:$A$62,0))&gt;0,2*PI()*INDEX(Simulations!$T$3:$T$62,MATCH($A279,Simulations!$A$3:$A$62,0))^2*INDEX(Simulations!$U$3:$U$62,MATCH($A279,Simulations!$A$3:$A$62,0))/2^1.5*(2/3*LN($H279/INDEX(Simulations!$J$3:$J$62,MATCH($A279,Simulations!$A$3:$A$62,0)))^1.5+SQRT(LN($H279/INDEX(Simulations!$J$3:$J$62,MATCH($A279,Simulations!$A$3:$A$62,0))))+$H279/INDEX(Simulations!$J$3:$J$62,MATCH($A279,Simulations!$A$3:$A$62,0))*SQRT(PI())/2*ERFC(SQRT(LN($H279/INDEX(Simulations!$J$3:$J$62,MATCH($A279,Simulations!$A$3:$A$62,0)))))),PI()*INDEX(Simulations!$T$3:$T$62,MATCH($A279,Simulations!$A$3:$A$62,0))^2/2*(LN($H279/INDEX(Simulations!$J$3:$J$62,MATCH($A279,Simulations!$A$3:$A$62,0)))+1)))))</f>
        <v/>
      </c>
      <c r="U279" s="18" t="str">
        <f aca="false">IF(OR(OR($A279="",ISNA(MATCH($A279,Simulations!$A$3:$A$62,0))),N($C279)&lt;=0),"",SQRT(2*$C279*1000000/(INDEX(Simulations!$J$3:$J$62,MATCH($A279,Simulations!$A$3:$A$62,0))*1000))/INDEX(Simulations!$T$3:$T$62,MATCH($A279,Simulations!$A$3:$A$62,0)))</f>
        <v/>
      </c>
      <c r="V279" s="19" t="str">
        <f aca="false">IF($A279="","",IF(ISNA(MATCH($A279,Simulations!$A$3:$A$62,0)),"✖ Sim ID not found on the Simulations sheet",IF($P279&gt;=1,"✖ brightness &gt;= sampling frequency: completely saturated (D too small, c too large)",IF($P279&gt;0.1,"⚠ brightness &gt; 10% of the sampling frequency: focus starts to saturate",IF(N($U279)&gt;0.1,"⚠ diffusion step &gt; 10% of wr: raise the sampling frequency",IF(MAX($E279:$H279)=0,"⚠ no brightness set","✔ OK"))))))</f>
        <v/>
      </c>
    </row>
    <row r="280" customFormat="false" ht="15" hidden="false" customHeight="false" outlineLevel="0" collapsed="false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4"/>
      <c r="O280" s="18" t="str">
        <f aca="false">IF(OR($A280="",ISNA(MATCH($A280,Simulations!$A$3:$A$62,0))),"",IF(INDEX(Simulations!$I$3:$I$62,MATCH($A280,Simulations!$A$3:$A$62,0))&gt;0,$D280/(INDEX(Simulations!$G$3:$G$62,MATCH($A280,Simulations!$A$3:$A$62,0))*INDEX(Simulations!$H$3:$H$62,MATCH($A280,Simulations!$A$3:$A$62,0))*IF(INDEX(Simulations!$I$3:$I$62,MATCH($A280,Simulations!$A$3:$A$62,0))&gt;0,INDEX(Simulations!$I$3:$I$62,MATCH($A280,Simulations!$A$3:$A$62,0)),1))/1E-024/6.022E+023/0.000000001,""))</f>
        <v/>
      </c>
      <c r="P280" s="20" t="str">
        <f aca="false">IF(OR($A280="",ISNA(MATCH($A280,Simulations!$A$3:$A$62,0))),"",MAX($E280:$H280)/INDEX(Simulations!$J$3:$J$62,MATCH($A280,Simulations!$A$3:$A$62,0)))</f>
        <v/>
      </c>
      <c r="Q280" s="16" t="str">
        <f aca="false">IF(OR($A280="",ISNA(MATCH($A280,Simulations!$A$3:$A$62,0))),"",IF(N($E280)&lt;=0,0,IF($E280&lt;INDEX(Simulations!$J$3:$J$62,MATCH($A280,Simulations!$A$3:$A$62,0)),$D280/(INDEX(Simulations!$G$3:$G$62,MATCH($A280,Simulations!$A$3:$A$62,0))*INDEX(Simulations!$H$3:$H$62,MATCH($A280,Simulations!$A$3:$A$62,0))*IF(INDEX(Simulations!$I$3:$I$62,MATCH($A280,Simulations!$A$3:$A$62,0))&gt;0,INDEX(Simulations!$I$3:$I$62,MATCH($A280,Simulations!$A$3:$A$62,0)),1))*$E280*(PI()/2*INDEX(Simulations!$T$3:$T$62,MATCH($A280,Simulations!$A$3:$A$62,0))^2*IF(INDEX(Simulations!$I$3:$I$62,MATCH($A280,Simulations!$A$3:$A$62,0))&gt;0,SQRT(PI()/2)*INDEX(Simulations!$U$3:$U$62,MATCH($A280,Simulations!$A$3:$A$62,0)),1)),$D280/(INDEX(Simulations!$G$3:$G$62,MATCH($A280,Simulations!$A$3:$A$62,0))*INDEX(Simulations!$H$3:$H$62,MATCH($A280,Simulations!$A$3:$A$62,0))*IF(INDEX(Simulations!$I$3:$I$62,MATCH($A280,Simulations!$A$3:$A$62,0))&gt;0,INDEX(Simulations!$I$3:$I$62,MATCH($A280,Simulations!$A$3:$A$62,0)),1))*INDEX(Simulations!$J$3:$J$62,MATCH($A280,Simulations!$A$3:$A$62,0))*IF(INDEX(Simulations!$I$3:$I$62,MATCH($A280,Simulations!$A$3:$A$62,0))&gt;0,2*PI()*INDEX(Simulations!$T$3:$T$62,MATCH($A280,Simulations!$A$3:$A$62,0))^2*INDEX(Simulations!$U$3:$U$62,MATCH($A280,Simulations!$A$3:$A$62,0))/2^1.5*(2/3*LN($E280/INDEX(Simulations!$J$3:$J$62,MATCH($A280,Simulations!$A$3:$A$62,0)))^1.5+SQRT(LN($E280/INDEX(Simulations!$J$3:$J$62,MATCH($A280,Simulations!$A$3:$A$62,0))))+$E280/INDEX(Simulations!$J$3:$J$62,MATCH($A280,Simulations!$A$3:$A$62,0))*SQRT(PI())/2*ERFC(SQRT(LN($E280/INDEX(Simulations!$J$3:$J$62,MATCH($A280,Simulations!$A$3:$A$62,0)))))),PI()*INDEX(Simulations!$T$3:$T$62,MATCH($A280,Simulations!$A$3:$A$62,0))^2/2*(LN($E280/INDEX(Simulations!$J$3:$J$62,MATCH($A280,Simulations!$A$3:$A$62,0)))+1)))))</f>
        <v/>
      </c>
      <c r="R280" s="16" t="str">
        <f aca="false">IF(OR($A280="",ISNA(MATCH($A280,Simulations!$A$3:$A$62,0))),"",IF(N($F280)&lt;=0,0,IF($F280&lt;INDEX(Simulations!$J$3:$J$62,MATCH($A280,Simulations!$A$3:$A$62,0)),$D280/(INDEX(Simulations!$G$3:$G$62,MATCH($A280,Simulations!$A$3:$A$62,0))*INDEX(Simulations!$H$3:$H$62,MATCH($A280,Simulations!$A$3:$A$62,0))*IF(INDEX(Simulations!$I$3:$I$62,MATCH($A280,Simulations!$A$3:$A$62,0))&gt;0,INDEX(Simulations!$I$3:$I$62,MATCH($A280,Simulations!$A$3:$A$62,0)),1))*$F280*(PI()/2*INDEX(Simulations!$T$3:$T$62,MATCH($A280,Simulations!$A$3:$A$62,0))^2*IF(INDEX(Simulations!$I$3:$I$62,MATCH($A280,Simulations!$A$3:$A$62,0))&gt;0,SQRT(PI()/2)*INDEX(Simulations!$U$3:$U$62,MATCH($A280,Simulations!$A$3:$A$62,0)),1)),$D280/(INDEX(Simulations!$G$3:$G$62,MATCH($A280,Simulations!$A$3:$A$62,0))*INDEX(Simulations!$H$3:$H$62,MATCH($A280,Simulations!$A$3:$A$62,0))*IF(INDEX(Simulations!$I$3:$I$62,MATCH($A280,Simulations!$A$3:$A$62,0))&gt;0,INDEX(Simulations!$I$3:$I$62,MATCH($A280,Simulations!$A$3:$A$62,0)),1))*INDEX(Simulations!$J$3:$J$62,MATCH($A280,Simulations!$A$3:$A$62,0))*IF(INDEX(Simulations!$I$3:$I$62,MATCH($A280,Simulations!$A$3:$A$62,0))&gt;0,2*PI()*INDEX(Simulations!$T$3:$T$62,MATCH($A280,Simulations!$A$3:$A$62,0))^2*INDEX(Simulations!$U$3:$U$62,MATCH($A280,Simulations!$A$3:$A$62,0))/2^1.5*(2/3*LN($F280/INDEX(Simulations!$J$3:$J$62,MATCH($A280,Simulations!$A$3:$A$62,0)))^1.5+SQRT(LN($F280/INDEX(Simulations!$J$3:$J$62,MATCH($A280,Simulations!$A$3:$A$62,0))))+$F280/INDEX(Simulations!$J$3:$J$62,MATCH($A280,Simulations!$A$3:$A$62,0))*SQRT(PI())/2*ERFC(SQRT(LN($F280/INDEX(Simulations!$J$3:$J$62,MATCH($A280,Simulations!$A$3:$A$62,0)))))),PI()*INDEX(Simulations!$T$3:$T$62,MATCH($A280,Simulations!$A$3:$A$62,0))^2/2*(LN($F280/INDEX(Simulations!$J$3:$J$62,MATCH($A280,Simulations!$A$3:$A$62,0)))+1)))))</f>
        <v/>
      </c>
      <c r="S280" s="16" t="str">
        <f aca="false">IF(OR($A280="",ISNA(MATCH($A280,Simulations!$A$3:$A$62,0))),"",IF(N($G280)&lt;=0,0,IF($G280&lt;INDEX(Simulations!$J$3:$J$62,MATCH($A280,Simulations!$A$3:$A$62,0)),$D280/(INDEX(Simulations!$G$3:$G$62,MATCH($A280,Simulations!$A$3:$A$62,0))*INDEX(Simulations!$H$3:$H$62,MATCH($A280,Simulations!$A$3:$A$62,0))*IF(INDEX(Simulations!$I$3:$I$62,MATCH($A280,Simulations!$A$3:$A$62,0))&gt;0,INDEX(Simulations!$I$3:$I$62,MATCH($A280,Simulations!$A$3:$A$62,0)),1))*$G280*(PI()/2*INDEX(Simulations!$T$3:$T$62,MATCH($A280,Simulations!$A$3:$A$62,0))^2*IF(INDEX(Simulations!$I$3:$I$62,MATCH($A280,Simulations!$A$3:$A$62,0))&gt;0,SQRT(PI()/2)*INDEX(Simulations!$U$3:$U$62,MATCH($A280,Simulations!$A$3:$A$62,0)),1)),$D280/(INDEX(Simulations!$G$3:$G$62,MATCH($A280,Simulations!$A$3:$A$62,0))*INDEX(Simulations!$H$3:$H$62,MATCH($A280,Simulations!$A$3:$A$62,0))*IF(INDEX(Simulations!$I$3:$I$62,MATCH($A280,Simulations!$A$3:$A$62,0))&gt;0,INDEX(Simulations!$I$3:$I$62,MATCH($A280,Simulations!$A$3:$A$62,0)),1))*INDEX(Simulations!$J$3:$J$62,MATCH($A280,Simulations!$A$3:$A$62,0))*IF(INDEX(Simulations!$I$3:$I$62,MATCH($A280,Simulations!$A$3:$A$62,0))&gt;0,2*PI()*INDEX(Simulations!$T$3:$T$62,MATCH($A280,Simulations!$A$3:$A$62,0))^2*INDEX(Simulations!$U$3:$U$62,MATCH($A280,Simulations!$A$3:$A$62,0))/2^1.5*(2/3*LN($G280/INDEX(Simulations!$J$3:$J$62,MATCH($A280,Simulations!$A$3:$A$62,0)))^1.5+SQRT(LN($G280/INDEX(Simulations!$J$3:$J$62,MATCH($A280,Simulations!$A$3:$A$62,0))))+$G280/INDEX(Simulations!$J$3:$J$62,MATCH($A280,Simulations!$A$3:$A$62,0))*SQRT(PI())/2*ERFC(SQRT(LN($G280/INDEX(Simulations!$J$3:$J$62,MATCH($A280,Simulations!$A$3:$A$62,0)))))),PI()*INDEX(Simulations!$T$3:$T$62,MATCH($A280,Simulations!$A$3:$A$62,0))^2/2*(LN($G280/INDEX(Simulations!$J$3:$J$62,MATCH($A280,Simulations!$A$3:$A$62,0)))+1)))))</f>
        <v/>
      </c>
      <c r="T280" s="16" t="str">
        <f aca="false">IF(OR($A280="",ISNA(MATCH($A280,Simulations!$A$3:$A$62,0))),"",IF(N($H280)&lt;=0,0,IF($H280&lt;INDEX(Simulations!$J$3:$J$62,MATCH($A280,Simulations!$A$3:$A$62,0)),$D280/(INDEX(Simulations!$G$3:$G$62,MATCH($A280,Simulations!$A$3:$A$62,0))*INDEX(Simulations!$H$3:$H$62,MATCH($A280,Simulations!$A$3:$A$62,0))*IF(INDEX(Simulations!$I$3:$I$62,MATCH($A280,Simulations!$A$3:$A$62,0))&gt;0,INDEX(Simulations!$I$3:$I$62,MATCH($A280,Simulations!$A$3:$A$62,0)),1))*$H280*(PI()/2*INDEX(Simulations!$T$3:$T$62,MATCH($A280,Simulations!$A$3:$A$62,0))^2*IF(INDEX(Simulations!$I$3:$I$62,MATCH($A280,Simulations!$A$3:$A$62,0))&gt;0,SQRT(PI()/2)*INDEX(Simulations!$U$3:$U$62,MATCH($A280,Simulations!$A$3:$A$62,0)),1)),$D280/(INDEX(Simulations!$G$3:$G$62,MATCH($A280,Simulations!$A$3:$A$62,0))*INDEX(Simulations!$H$3:$H$62,MATCH($A280,Simulations!$A$3:$A$62,0))*IF(INDEX(Simulations!$I$3:$I$62,MATCH($A280,Simulations!$A$3:$A$62,0))&gt;0,INDEX(Simulations!$I$3:$I$62,MATCH($A280,Simulations!$A$3:$A$62,0)),1))*INDEX(Simulations!$J$3:$J$62,MATCH($A280,Simulations!$A$3:$A$62,0))*IF(INDEX(Simulations!$I$3:$I$62,MATCH($A280,Simulations!$A$3:$A$62,0))&gt;0,2*PI()*INDEX(Simulations!$T$3:$T$62,MATCH($A280,Simulations!$A$3:$A$62,0))^2*INDEX(Simulations!$U$3:$U$62,MATCH($A280,Simulations!$A$3:$A$62,0))/2^1.5*(2/3*LN($H280/INDEX(Simulations!$J$3:$J$62,MATCH($A280,Simulations!$A$3:$A$62,0)))^1.5+SQRT(LN($H280/INDEX(Simulations!$J$3:$J$62,MATCH($A280,Simulations!$A$3:$A$62,0))))+$H280/INDEX(Simulations!$J$3:$J$62,MATCH($A280,Simulations!$A$3:$A$62,0))*SQRT(PI())/2*ERFC(SQRT(LN($H280/INDEX(Simulations!$J$3:$J$62,MATCH($A280,Simulations!$A$3:$A$62,0)))))),PI()*INDEX(Simulations!$T$3:$T$62,MATCH($A280,Simulations!$A$3:$A$62,0))^2/2*(LN($H280/INDEX(Simulations!$J$3:$J$62,MATCH($A280,Simulations!$A$3:$A$62,0)))+1)))))</f>
        <v/>
      </c>
      <c r="U280" s="18" t="str">
        <f aca="false">IF(OR(OR($A280="",ISNA(MATCH($A280,Simulations!$A$3:$A$62,0))),N($C280)&lt;=0),"",SQRT(2*$C280*1000000/(INDEX(Simulations!$J$3:$J$62,MATCH($A280,Simulations!$A$3:$A$62,0))*1000))/INDEX(Simulations!$T$3:$T$62,MATCH($A280,Simulations!$A$3:$A$62,0)))</f>
        <v/>
      </c>
      <c r="V280" s="19" t="str">
        <f aca="false">IF($A280="","",IF(ISNA(MATCH($A280,Simulations!$A$3:$A$62,0)),"✖ Sim ID not found on the Simulations sheet",IF($P280&gt;=1,"✖ brightness &gt;= sampling frequency: completely saturated (D too small, c too large)",IF($P280&gt;0.1,"⚠ brightness &gt; 10% of the sampling frequency: focus starts to saturate",IF(N($U280)&gt;0.1,"⚠ diffusion step &gt; 10% of wr: raise the sampling frequency",IF(MAX($E280:$H280)=0,"⚠ no brightness set","✔ OK"))))))</f>
        <v/>
      </c>
    </row>
    <row r="281" customFormat="false" ht="15" hidden="false" customHeight="false" outlineLevel="0" collapsed="false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4"/>
      <c r="O281" s="18" t="str">
        <f aca="false">IF(OR($A281="",ISNA(MATCH($A281,Simulations!$A$3:$A$62,0))),"",IF(INDEX(Simulations!$I$3:$I$62,MATCH($A281,Simulations!$A$3:$A$62,0))&gt;0,$D281/(INDEX(Simulations!$G$3:$G$62,MATCH($A281,Simulations!$A$3:$A$62,0))*INDEX(Simulations!$H$3:$H$62,MATCH($A281,Simulations!$A$3:$A$62,0))*IF(INDEX(Simulations!$I$3:$I$62,MATCH($A281,Simulations!$A$3:$A$62,0))&gt;0,INDEX(Simulations!$I$3:$I$62,MATCH($A281,Simulations!$A$3:$A$62,0)),1))/1E-024/6.022E+023/0.000000001,""))</f>
        <v/>
      </c>
      <c r="P281" s="20" t="str">
        <f aca="false">IF(OR($A281="",ISNA(MATCH($A281,Simulations!$A$3:$A$62,0))),"",MAX($E281:$H281)/INDEX(Simulations!$J$3:$J$62,MATCH($A281,Simulations!$A$3:$A$62,0)))</f>
        <v/>
      </c>
      <c r="Q281" s="16" t="str">
        <f aca="false">IF(OR($A281="",ISNA(MATCH($A281,Simulations!$A$3:$A$62,0))),"",IF(N($E281)&lt;=0,0,IF($E281&lt;INDEX(Simulations!$J$3:$J$62,MATCH($A281,Simulations!$A$3:$A$62,0)),$D281/(INDEX(Simulations!$G$3:$G$62,MATCH($A281,Simulations!$A$3:$A$62,0))*INDEX(Simulations!$H$3:$H$62,MATCH($A281,Simulations!$A$3:$A$62,0))*IF(INDEX(Simulations!$I$3:$I$62,MATCH($A281,Simulations!$A$3:$A$62,0))&gt;0,INDEX(Simulations!$I$3:$I$62,MATCH($A281,Simulations!$A$3:$A$62,0)),1))*$E281*(PI()/2*INDEX(Simulations!$T$3:$T$62,MATCH($A281,Simulations!$A$3:$A$62,0))^2*IF(INDEX(Simulations!$I$3:$I$62,MATCH($A281,Simulations!$A$3:$A$62,0))&gt;0,SQRT(PI()/2)*INDEX(Simulations!$U$3:$U$62,MATCH($A281,Simulations!$A$3:$A$62,0)),1)),$D281/(INDEX(Simulations!$G$3:$G$62,MATCH($A281,Simulations!$A$3:$A$62,0))*INDEX(Simulations!$H$3:$H$62,MATCH($A281,Simulations!$A$3:$A$62,0))*IF(INDEX(Simulations!$I$3:$I$62,MATCH($A281,Simulations!$A$3:$A$62,0))&gt;0,INDEX(Simulations!$I$3:$I$62,MATCH($A281,Simulations!$A$3:$A$62,0)),1))*INDEX(Simulations!$J$3:$J$62,MATCH($A281,Simulations!$A$3:$A$62,0))*IF(INDEX(Simulations!$I$3:$I$62,MATCH($A281,Simulations!$A$3:$A$62,0))&gt;0,2*PI()*INDEX(Simulations!$T$3:$T$62,MATCH($A281,Simulations!$A$3:$A$62,0))^2*INDEX(Simulations!$U$3:$U$62,MATCH($A281,Simulations!$A$3:$A$62,0))/2^1.5*(2/3*LN($E281/INDEX(Simulations!$J$3:$J$62,MATCH($A281,Simulations!$A$3:$A$62,0)))^1.5+SQRT(LN($E281/INDEX(Simulations!$J$3:$J$62,MATCH($A281,Simulations!$A$3:$A$62,0))))+$E281/INDEX(Simulations!$J$3:$J$62,MATCH($A281,Simulations!$A$3:$A$62,0))*SQRT(PI())/2*ERFC(SQRT(LN($E281/INDEX(Simulations!$J$3:$J$62,MATCH($A281,Simulations!$A$3:$A$62,0)))))),PI()*INDEX(Simulations!$T$3:$T$62,MATCH($A281,Simulations!$A$3:$A$62,0))^2/2*(LN($E281/INDEX(Simulations!$J$3:$J$62,MATCH($A281,Simulations!$A$3:$A$62,0)))+1)))))</f>
        <v/>
      </c>
      <c r="R281" s="16" t="str">
        <f aca="false">IF(OR($A281="",ISNA(MATCH($A281,Simulations!$A$3:$A$62,0))),"",IF(N($F281)&lt;=0,0,IF($F281&lt;INDEX(Simulations!$J$3:$J$62,MATCH($A281,Simulations!$A$3:$A$62,0)),$D281/(INDEX(Simulations!$G$3:$G$62,MATCH($A281,Simulations!$A$3:$A$62,0))*INDEX(Simulations!$H$3:$H$62,MATCH($A281,Simulations!$A$3:$A$62,0))*IF(INDEX(Simulations!$I$3:$I$62,MATCH($A281,Simulations!$A$3:$A$62,0))&gt;0,INDEX(Simulations!$I$3:$I$62,MATCH($A281,Simulations!$A$3:$A$62,0)),1))*$F281*(PI()/2*INDEX(Simulations!$T$3:$T$62,MATCH($A281,Simulations!$A$3:$A$62,0))^2*IF(INDEX(Simulations!$I$3:$I$62,MATCH($A281,Simulations!$A$3:$A$62,0))&gt;0,SQRT(PI()/2)*INDEX(Simulations!$U$3:$U$62,MATCH($A281,Simulations!$A$3:$A$62,0)),1)),$D281/(INDEX(Simulations!$G$3:$G$62,MATCH($A281,Simulations!$A$3:$A$62,0))*INDEX(Simulations!$H$3:$H$62,MATCH($A281,Simulations!$A$3:$A$62,0))*IF(INDEX(Simulations!$I$3:$I$62,MATCH($A281,Simulations!$A$3:$A$62,0))&gt;0,INDEX(Simulations!$I$3:$I$62,MATCH($A281,Simulations!$A$3:$A$62,0)),1))*INDEX(Simulations!$J$3:$J$62,MATCH($A281,Simulations!$A$3:$A$62,0))*IF(INDEX(Simulations!$I$3:$I$62,MATCH($A281,Simulations!$A$3:$A$62,0))&gt;0,2*PI()*INDEX(Simulations!$T$3:$T$62,MATCH($A281,Simulations!$A$3:$A$62,0))^2*INDEX(Simulations!$U$3:$U$62,MATCH($A281,Simulations!$A$3:$A$62,0))/2^1.5*(2/3*LN($F281/INDEX(Simulations!$J$3:$J$62,MATCH($A281,Simulations!$A$3:$A$62,0)))^1.5+SQRT(LN($F281/INDEX(Simulations!$J$3:$J$62,MATCH($A281,Simulations!$A$3:$A$62,0))))+$F281/INDEX(Simulations!$J$3:$J$62,MATCH($A281,Simulations!$A$3:$A$62,0))*SQRT(PI())/2*ERFC(SQRT(LN($F281/INDEX(Simulations!$J$3:$J$62,MATCH($A281,Simulations!$A$3:$A$62,0)))))),PI()*INDEX(Simulations!$T$3:$T$62,MATCH($A281,Simulations!$A$3:$A$62,0))^2/2*(LN($F281/INDEX(Simulations!$J$3:$J$62,MATCH($A281,Simulations!$A$3:$A$62,0)))+1)))))</f>
        <v/>
      </c>
      <c r="S281" s="16" t="str">
        <f aca="false">IF(OR($A281="",ISNA(MATCH($A281,Simulations!$A$3:$A$62,0))),"",IF(N($G281)&lt;=0,0,IF($G281&lt;INDEX(Simulations!$J$3:$J$62,MATCH($A281,Simulations!$A$3:$A$62,0)),$D281/(INDEX(Simulations!$G$3:$G$62,MATCH($A281,Simulations!$A$3:$A$62,0))*INDEX(Simulations!$H$3:$H$62,MATCH($A281,Simulations!$A$3:$A$62,0))*IF(INDEX(Simulations!$I$3:$I$62,MATCH($A281,Simulations!$A$3:$A$62,0))&gt;0,INDEX(Simulations!$I$3:$I$62,MATCH($A281,Simulations!$A$3:$A$62,0)),1))*$G281*(PI()/2*INDEX(Simulations!$T$3:$T$62,MATCH($A281,Simulations!$A$3:$A$62,0))^2*IF(INDEX(Simulations!$I$3:$I$62,MATCH($A281,Simulations!$A$3:$A$62,0))&gt;0,SQRT(PI()/2)*INDEX(Simulations!$U$3:$U$62,MATCH($A281,Simulations!$A$3:$A$62,0)),1)),$D281/(INDEX(Simulations!$G$3:$G$62,MATCH($A281,Simulations!$A$3:$A$62,0))*INDEX(Simulations!$H$3:$H$62,MATCH($A281,Simulations!$A$3:$A$62,0))*IF(INDEX(Simulations!$I$3:$I$62,MATCH($A281,Simulations!$A$3:$A$62,0))&gt;0,INDEX(Simulations!$I$3:$I$62,MATCH($A281,Simulations!$A$3:$A$62,0)),1))*INDEX(Simulations!$J$3:$J$62,MATCH($A281,Simulations!$A$3:$A$62,0))*IF(INDEX(Simulations!$I$3:$I$62,MATCH($A281,Simulations!$A$3:$A$62,0))&gt;0,2*PI()*INDEX(Simulations!$T$3:$T$62,MATCH($A281,Simulations!$A$3:$A$62,0))^2*INDEX(Simulations!$U$3:$U$62,MATCH($A281,Simulations!$A$3:$A$62,0))/2^1.5*(2/3*LN($G281/INDEX(Simulations!$J$3:$J$62,MATCH($A281,Simulations!$A$3:$A$62,0)))^1.5+SQRT(LN($G281/INDEX(Simulations!$J$3:$J$62,MATCH($A281,Simulations!$A$3:$A$62,0))))+$G281/INDEX(Simulations!$J$3:$J$62,MATCH($A281,Simulations!$A$3:$A$62,0))*SQRT(PI())/2*ERFC(SQRT(LN($G281/INDEX(Simulations!$J$3:$J$62,MATCH($A281,Simulations!$A$3:$A$62,0)))))),PI()*INDEX(Simulations!$T$3:$T$62,MATCH($A281,Simulations!$A$3:$A$62,0))^2/2*(LN($G281/INDEX(Simulations!$J$3:$J$62,MATCH($A281,Simulations!$A$3:$A$62,0)))+1)))))</f>
        <v/>
      </c>
      <c r="T281" s="16" t="str">
        <f aca="false">IF(OR($A281="",ISNA(MATCH($A281,Simulations!$A$3:$A$62,0))),"",IF(N($H281)&lt;=0,0,IF($H281&lt;INDEX(Simulations!$J$3:$J$62,MATCH($A281,Simulations!$A$3:$A$62,0)),$D281/(INDEX(Simulations!$G$3:$G$62,MATCH($A281,Simulations!$A$3:$A$62,0))*INDEX(Simulations!$H$3:$H$62,MATCH($A281,Simulations!$A$3:$A$62,0))*IF(INDEX(Simulations!$I$3:$I$62,MATCH($A281,Simulations!$A$3:$A$62,0))&gt;0,INDEX(Simulations!$I$3:$I$62,MATCH($A281,Simulations!$A$3:$A$62,0)),1))*$H281*(PI()/2*INDEX(Simulations!$T$3:$T$62,MATCH($A281,Simulations!$A$3:$A$62,0))^2*IF(INDEX(Simulations!$I$3:$I$62,MATCH($A281,Simulations!$A$3:$A$62,0))&gt;0,SQRT(PI()/2)*INDEX(Simulations!$U$3:$U$62,MATCH($A281,Simulations!$A$3:$A$62,0)),1)),$D281/(INDEX(Simulations!$G$3:$G$62,MATCH($A281,Simulations!$A$3:$A$62,0))*INDEX(Simulations!$H$3:$H$62,MATCH($A281,Simulations!$A$3:$A$62,0))*IF(INDEX(Simulations!$I$3:$I$62,MATCH($A281,Simulations!$A$3:$A$62,0))&gt;0,INDEX(Simulations!$I$3:$I$62,MATCH($A281,Simulations!$A$3:$A$62,0)),1))*INDEX(Simulations!$J$3:$J$62,MATCH($A281,Simulations!$A$3:$A$62,0))*IF(INDEX(Simulations!$I$3:$I$62,MATCH($A281,Simulations!$A$3:$A$62,0))&gt;0,2*PI()*INDEX(Simulations!$T$3:$T$62,MATCH($A281,Simulations!$A$3:$A$62,0))^2*INDEX(Simulations!$U$3:$U$62,MATCH($A281,Simulations!$A$3:$A$62,0))/2^1.5*(2/3*LN($H281/INDEX(Simulations!$J$3:$J$62,MATCH($A281,Simulations!$A$3:$A$62,0)))^1.5+SQRT(LN($H281/INDEX(Simulations!$J$3:$J$62,MATCH($A281,Simulations!$A$3:$A$62,0))))+$H281/INDEX(Simulations!$J$3:$J$62,MATCH($A281,Simulations!$A$3:$A$62,0))*SQRT(PI())/2*ERFC(SQRT(LN($H281/INDEX(Simulations!$J$3:$J$62,MATCH($A281,Simulations!$A$3:$A$62,0)))))),PI()*INDEX(Simulations!$T$3:$T$62,MATCH($A281,Simulations!$A$3:$A$62,0))^2/2*(LN($H281/INDEX(Simulations!$J$3:$J$62,MATCH($A281,Simulations!$A$3:$A$62,0)))+1)))))</f>
        <v/>
      </c>
      <c r="U281" s="18" t="str">
        <f aca="false">IF(OR(OR($A281="",ISNA(MATCH($A281,Simulations!$A$3:$A$62,0))),N($C281)&lt;=0),"",SQRT(2*$C281*1000000/(INDEX(Simulations!$J$3:$J$62,MATCH($A281,Simulations!$A$3:$A$62,0))*1000))/INDEX(Simulations!$T$3:$T$62,MATCH($A281,Simulations!$A$3:$A$62,0)))</f>
        <v/>
      </c>
      <c r="V281" s="19" t="str">
        <f aca="false">IF($A281="","",IF(ISNA(MATCH($A281,Simulations!$A$3:$A$62,0)),"✖ Sim ID not found on the Simulations sheet",IF($P281&gt;=1,"✖ brightness &gt;= sampling frequency: completely saturated (D too small, c too large)",IF($P281&gt;0.1,"⚠ brightness &gt; 10% of the sampling frequency: focus starts to saturate",IF(N($U281)&gt;0.1,"⚠ diffusion step &gt; 10% of wr: raise the sampling frequency",IF(MAX($E281:$H281)=0,"⚠ no brightness set","✔ OK"))))))</f>
        <v/>
      </c>
    </row>
    <row r="282" customFormat="false" ht="15" hidden="false" customHeight="false" outlineLevel="0" collapsed="false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4"/>
      <c r="O282" s="18" t="str">
        <f aca="false">IF(OR($A282="",ISNA(MATCH($A282,Simulations!$A$3:$A$62,0))),"",IF(INDEX(Simulations!$I$3:$I$62,MATCH($A282,Simulations!$A$3:$A$62,0))&gt;0,$D282/(INDEX(Simulations!$G$3:$G$62,MATCH($A282,Simulations!$A$3:$A$62,0))*INDEX(Simulations!$H$3:$H$62,MATCH($A282,Simulations!$A$3:$A$62,0))*IF(INDEX(Simulations!$I$3:$I$62,MATCH($A282,Simulations!$A$3:$A$62,0))&gt;0,INDEX(Simulations!$I$3:$I$62,MATCH($A282,Simulations!$A$3:$A$62,0)),1))/1E-024/6.022E+023/0.000000001,""))</f>
        <v/>
      </c>
      <c r="P282" s="20" t="str">
        <f aca="false">IF(OR($A282="",ISNA(MATCH($A282,Simulations!$A$3:$A$62,0))),"",MAX($E282:$H282)/INDEX(Simulations!$J$3:$J$62,MATCH($A282,Simulations!$A$3:$A$62,0)))</f>
        <v/>
      </c>
      <c r="Q282" s="16" t="str">
        <f aca="false">IF(OR($A282="",ISNA(MATCH($A282,Simulations!$A$3:$A$62,0))),"",IF(N($E282)&lt;=0,0,IF($E282&lt;INDEX(Simulations!$J$3:$J$62,MATCH($A282,Simulations!$A$3:$A$62,0)),$D282/(INDEX(Simulations!$G$3:$G$62,MATCH($A282,Simulations!$A$3:$A$62,0))*INDEX(Simulations!$H$3:$H$62,MATCH($A282,Simulations!$A$3:$A$62,0))*IF(INDEX(Simulations!$I$3:$I$62,MATCH($A282,Simulations!$A$3:$A$62,0))&gt;0,INDEX(Simulations!$I$3:$I$62,MATCH($A282,Simulations!$A$3:$A$62,0)),1))*$E282*(PI()/2*INDEX(Simulations!$T$3:$T$62,MATCH($A282,Simulations!$A$3:$A$62,0))^2*IF(INDEX(Simulations!$I$3:$I$62,MATCH($A282,Simulations!$A$3:$A$62,0))&gt;0,SQRT(PI()/2)*INDEX(Simulations!$U$3:$U$62,MATCH($A282,Simulations!$A$3:$A$62,0)),1)),$D282/(INDEX(Simulations!$G$3:$G$62,MATCH($A282,Simulations!$A$3:$A$62,0))*INDEX(Simulations!$H$3:$H$62,MATCH($A282,Simulations!$A$3:$A$62,0))*IF(INDEX(Simulations!$I$3:$I$62,MATCH($A282,Simulations!$A$3:$A$62,0))&gt;0,INDEX(Simulations!$I$3:$I$62,MATCH($A282,Simulations!$A$3:$A$62,0)),1))*INDEX(Simulations!$J$3:$J$62,MATCH($A282,Simulations!$A$3:$A$62,0))*IF(INDEX(Simulations!$I$3:$I$62,MATCH($A282,Simulations!$A$3:$A$62,0))&gt;0,2*PI()*INDEX(Simulations!$T$3:$T$62,MATCH($A282,Simulations!$A$3:$A$62,0))^2*INDEX(Simulations!$U$3:$U$62,MATCH($A282,Simulations!$A$3:$A$62,0))/2^1.5*(2/3*LN($E282/INDEX(Simulations!$J$3:$J$62,MATCH($A282,Simulations!$A$3:$A$62,0)))^1.5+SQRT(LN($E282/INDEX(Simulations!$J$3:$J$62,MATCH($A282,Simulations!$A$3:$A$62,0))))+$E282/INDEX(Simulations!$J$3:$J$62,MATCH($A282,Simulations!$A$3:$A$62,0))*SQRT(PI())/2*ERFC(SQRT(LN($E282/INDEX(Simulations!$J$3:$J$62,MATCH($A282,Simulations!$A$3:$A$62,0)))))),PI()*INDEX(Simulations!$T$3:$T$62,MATCH($A282,Simulations!$A$3:$A$62,0))^2/2*(LN($E282/INDEX(Simulations!$J$3:$J$62,MATCH($A282,Simulations!$A$3:$A$62,0)))+1)))))</f>
        <v/>
      </c>
      <c r="R282" s="16" t="str">
        <f aca="false">IF(OR($A282="",ISNA(MATCH($A282,Simulations!$A$3:$A$62,0))),"",IF(N($F282)&lt;=0,0,IF($F282&lt;INDEX(Simulations!$J$3:$J$62,MATCH($A282,Simulations!$A$3:$A$62,0)),$D282/(INDEX(Simulations!$G$3:$G$62,MATCH($A282,Simulations!$A$3:$A$62,0))*INDEX(Simulations!$H$3:$H$62,MATCH($A282,Simulations!$A$3:$A$62,0))*IF(INDEX(Simulations!$I$3:$I$62,MATCH($A282,Simulations!$A$3:$A$62,0))&gt;0,INDEX(Simulations!$I$3:$I$62,MATCH($A282,Simulations!$A$3:$A$62,0)),1))*$F282*(PI()/2*INDEX(Simulations!$T$3:$T$62,MATCH($A282,Simulations!$A$3:$A$62,0))^2*IF(INDEX(Simulations!$I$3:$I$62,MATCH($A282,Simulations!$A$3:$A$62,0))&gt;0,SQRT(PI()/2)*INDEX(Simulations!$U$3:$U$62,MATCH($A282,Simulations!$A$3:$A$62,0)),1)),$D282/(INDEX(Simulations!$G$3:$G$62,MATCH($A282,Simulations!$A$3:$A$62,0))*INDEX(Simulations!$H$3:$H$62,MATCH($A282,Simulations!$A$3:$A$62,0))*IF(INDEX(Simulations!$I$3:$I$62,MATCH($A282,Simulations!$A$3:$A$62,0))&gt;0,INDEX(Simulations!$I$3:$I$62,MATCH($A282,Simulations!$A$3:$A$62,0)),1))*INDEX(Simulations!$J$3:$J$62,MATCH($A282,Simulations!$A$3:$A$62,0))*IF(INDEX(Simulations!$I$3:$I$62,MATCH($A282,Simulations!$A$3:$A$62,0))&gt;0,2*PI()*INDEX(Simulations!$T$3:$T$62,MATCH($A282,Simulations!$A$3:$A$62,0))^2*INDEX(Simulations!$U$3:$U$62,MATCH($A282,Simulations!$A$3:$A$62,0))/2^1.5*(2/3*LN($F282/INDEX(Simulations!$J$3:$J$62,MATCH($A282,Simulations!$A$3:$A$62,0)))^1.5+SQRT(LN($F282/INDEX(Simulations!$J$3:$J$62,MATCH($A282,Simulations!$A$3:$A$62,0))))+$F282/INDEX(Simulations!$J$3:$J$62,MATCH($A282,Simulations!$A$3:$A$62,0))*SQRT(PI())/2*ERFC(SQRT(LN($F282/INDEX(Simulations!$J$3:$J$62,MATCH($A282,Simulations!$A$3:$A$62,0)))))),PI()*INDEX(Simulations!$T$3:$T$62,MATCH($A282,Simulations!$A$3:$A$62,0))^2/2*(LN($F282/INDEX(Simulations!$J$3:$J$62,MATCH($A282,Simulations!$A$3:$A$62,0)))+1)))))</f>
        <v/>
      </c>
      <c r="S282" s="16" t="str">
        <f aca="false">IF(OR($A282="",ISNA(MATCH($A282,Simulations!$A$3:$A$62,0))),"",IF(N($G282)&lt;=0,0,IF($G282&lt;INDEX(Simulations!$J$3:$J$62,MATCH($A282,Simulations!$A$3:$A$62,0)),$D282/(INDEX(Simulations!$G$3:$G$62,MATCH($A282,Simulations!$A$3:$A$62,0))*INDEX(Simulations!$H$3:$H$62,MATCH($A282,Simulations!$A$3:$A$62,0))*IF(INDEX(Simulations!$I$3:$I$62,MATCH($A282,Simulations!$A$3:$A$62,0))&gt;0,INDEX(Simulations!$I$3:$I$62,MATCH($A282,Simulations!$A$3:$A$62,0)),1))*$G282*(PI()/2*INDEX(Simulations!$T$3:$T$62,MATCH($A282,Simulations!$A$3:$A$62,0))^2*IF(INDEX(Simulations!$I$3:$I$62,MATCH($A282,Simulations!$A$3:$A$62,0))&gt;0,SQRT(PI()/2)*INDEX(Simulations!$U$3:$U$62,MATCH($A282,Simulations!$A$3:$A$62,0)),1)),$D282/(INDEX(Simulations!$G$3:$G$62,MATCH($A282,Simulations!$A$3:$A$62,0))*INDEX(Simulations!$H$3:$H$62,MATCH($A282,Simulations!$A$3:$A$62,0))*IF(INDEX(Simulations!$I$3:$I$62,MATCH($A282,Simulations!$A$3:$A$62,0))&gt;0,INDEX(Simulations!$I$3:$I$62,MATCH($A282,Simulations!$A$3:$A$62,0)),1))*INDEX(Simulations!$J$3:$J$62,MATCH($A282,Simulations!$A$3:$A$62,0))*IF(INDEX(Simulations!$I$3:$I$62,MATCH($A282,Simulations!$A$3:$A$62,0))&gt;0,2*PI()*INDEX(Simulations!$T$3:$T$62,MATCH($A282,Simulations!$A$3:$A$62,0))^2*INDEX(Simulations!$U$3:$U$62,MATCH($A282,Simulations!$A$3:$A$62,0))/2^1.5*(2/3*LN($G282/INDEX(Simulations!$J$3:$J$62,MATCH($A282,Simulations!$A$3:$A$62,0)))^1.5+SQRT(LN($G282/INDEX(Simulations!$J$3:$J$62,MATCH($A282,Simulations!$A$3:$A$62,0))))+$G282/INDEX(Simulations!$J$3:$J$62,MATCH($A282,Simulations!$A$3:$A$62,0))*SQRT(PI())/2*ERFC(SQRT(LN($G282/INDEX(Simulations!$J$3:$J$62,MATCH($A282,Simulations!$A$3:$A$62,0)))))),PI()*INDEX(Simulations!$T$3:$T$62,MATCH($A282,Simulations!$A$3:$A$62,0))^2/2*(LN($G282/INDEX(Simulations!$J$3:$J$62,MATCH($A282,Simulations!$A$3:$A$62,0)))+1)))))</f>
        <v/>
      </c>
      <c r="T282" s="16" t="str">
        <f aca="false">IF(OR($A282="",ISNA(MATCH($A282,Simulations!$A$3:$A$62,0))),"",IF(N($H282)&lt;=0,0,IF($H282&lt;INDEX(Simulations!$J$3:$J$62,MATCH($A282,Simulations!$A$3:$A$62,0)),$D282/(INDEX(Simulations!$G$3:$G$62,MATCH($A282,Simulations!$A$3:$A$62,0))*INDEX(Simulations!$H$3:$H$62,MATCH($A282,Simulations!$A$3:$A$62,0))*IF(INDEX(Simulations!$I$3:$I$62,MATCH($A282,Simulations!$A$3:$A$62,0))&gt;0,INDEX(Simulations!$I$3:$I$62,MATCH($A282,Simulations!$A$3:$A$62,0)),1))*$H282*(PI()/2*INDEX(Simulations!$T$3:$T$62,MATCH($A282,Simulations!$A$3:$A$62,0))^2*IF(INDEX(Simulations!$I$3:$I$62,MATCH($A282,Simulations!$A$3:$A$62,0))&gt;0,SQRT(PI()/2)*INDEX(Simulations!$U$3:$U$62,MATCH($A282,Simulations!$A$3:$A$62,0)),1)),$D282/(INDEX(Simulations!$G$3:$G$62,MATCH($A282,Simulations!$A$3:$A$62,0))*INDEX(Simulations!$H$3:$H$62,MATCH($A282,Simulations!$A$3:$A$62,0))*IF(INDEX(Simulations!$I$3:$I$62,MATCH($A282,Simulations!$A$3:$A$62,0))&gt;0,INDEX(Simulations!$I$3:$I$62,MATCH($A282,Simulations!$A$3:$A$62,0)),1))*INDEX(Simulations!$J$3:$J$62,MATCH($A282,Simulations!$A$3:$A$62,0))*IF(INDEX(Simulations!$I$3:$I$62,MATCH($A282,Simulations!$A$3:$A$62,0))&gt;0,2*PI()*INDEX(Simulations!$T$3:$T$62,MATCH($A282,Simulations!$A$3:$A$62,0))^2*INDEX(Simulations!$U$3:$U$62,MATCH($A282,Simulations!$A$3:$A$62,0))/2^1.5*(2/3*LN($H282/INDEX(Simulations!$J$3:$J$62,MATCH($A282,Simulations!$A$3:$A$62,0)))^1.5+SQRT(LN($H282/INDEX(Simulations!$J$3:$J$62,MATCH($A282,Simulations!$A$3:$A$62,0))))+$H282/INDEX(Simulations!$J$3:$J$62,MATCH($A282,Simulations!$A$3:$A$62,0))*SQRT(PI())/2*ERFC(SQRT(LN($H282/INDEX(Simulations!$J$3:$J$62,MATCH($A282,Simulations!$A$3:$A$62,0)))))),PI()*INDEX(Simulations!$T$3:$T$62,MATCH($A282,Simulations!$A$3:$A$62,0))^2/2*(LN($H282/INDEX(Simulations!$J$3:$J$62,MATCH($A282,Simulations!$A$3:$A$62,0)))+1)))))</f>
        <v/>
      </c>
      <c r="U282" s="18" t="str">
        <f aca="false">IF(OR(OR($A282="",ISNA(MATCH($A282,Simulations!$A$3:$A$62,0))),N($C282)&lt;=0),"",SQRT(2*$C282*1000000/(INDEX(Simulations!$J$3:$J$62,MATCH($A282,Simulations!$A$3:$A$62,0))*1000))/INDEX(Simulations!$T$3:$T$62,MATCH($A282,Simulations!$A$3:$A$62,0)))</f>
        <v/>
      </c>
      <c r="V282" s="19" t="str">
        <f aca="false">IF($A282="","",IF(ISNA(MATCH($A282,Simulations!$A$3:$A$62,0)),"✖ Sim ID not found on the Simulations sheet",IF($P282&gt;=1,"✖ brightness &gt;= sampling frequency: completely saturated (D too small, c too large)",IF($P282&gt;0.1,"⚠ brightness &gt; 10% of the sampling frequency: focus starts to saturate",IF(N($U282)&gt;0.1,"⚠ diffusion step &gt; 10% of wr: raise the sampling frequency",IF(MAX($E282:$H282)=0,"⚠ no brightness set","✔ OK"))))))</f>
        <v/>
      </c>
    </row>
    <row r="283" customFormat="false" ht="15" hidden="false" customHeight="false" outlineLevel="0" collapsed="false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4"/>
      <c r="O283" s="18" t="str">
        <f aca="false">IF(OR($A283="",ISNA(MATCH($A283,Simulations!$A$3:$A$62,0))),"",IF(INDEX(Simulations!$I$3:$I$62,MATCH($A283,Simulations!$A$3:$A$62,0))&gt;0,$D283/(INDEX(Simulations!$G$3:$G$62,MATCH($A283,Simulations!$A$3:$A$62,0))*INDEX(Simulations!$H$3:$H$62,MATCH($A283,Simulations!$A$3:$A$62,0))*IF(INDEX(Simulations!$I$3:$I$62,MATCH($A283,Simulations!$A$3:$A$62,0))&gt;0,INDEX(Simulations!$I$3:$I$62,MATCH($A283,Simulations!$A$3:$A$62,0)),1))/1E-024/6.022E+023/0.000000001,""))</f>
        <v/>
      </c>
      <c r="P283" s="20" t="str">
        <f aca="false">IF(OR($A283="",ISNA(MATCH($A283,Simulations!$A$3:$A$62,0))),"",MAX($E283:$H283)/INDEX(Simulations!$J$3:$J$62,MATCH($A283,Simulations!$A$3:$A$62,0)))</f>
        <v/>
      </c>
      <c r="Q283" s="16" t="str">
        <f aca="false">IF(OR($A283="",ISNA(MATCH($A283,Simulations!$A$3:$A$62,0))),"",IF(N($E283)&lt;=0,0,IF($E283&lt;INDEX(Simulations!$J$3:$J$62,MATCH($A283,Simulations!$A$3:$A$62,0)),$D283/(INDEX(Simulations!$G$3:$G$62,MATCH($A283,Simulations!$A$3:$A$62,0))*INDEX(Simulations!$H$3:$H$62,MATCH($A283,Simulations!$A$3:$A$62,0))*IF(INDEX(Simulations!$I$3:$I$62,MATCH($A283,Simulations!$A$3:$A$62,0))&gt;0,INDEX(Simulations!$I$3:$I$62,MATCH($A283,Simulations!$A$3:$A$62,0)),1))*$E283*(PI()/2*INDEX(Simulations!$T$3:$T$62,MATCH($A283,Simulations!$A$3:$A$62,0))^2*IF(INDEX(Simulations!$I$3:$I$62,MATCH($A283,Simulations!$A$3:$A$62,0))&gt;0,SQRT(PI()/2)*INDEX(Simulations!$U$3:$U$62,MATCH($A283,Simulations!$A$3:$A$62,0)),1)),$D283/(INDEX(Simulations!$G$3:$G$62,MATCH($A283,Simulations!$A$3:$A$62,0))*INDEX(Simulations!$H$3:$H$62,MATCH($A283,Simulations!$A$3:$A$62,0))*IF(INDEX(Simulations!$I$3:$I$62,MATCH($A283,Simulations!$A$3:$A$62,0))&gt;0,INDEX(Simulations!$I$3:$I$62,MATCH($A283,Simulations!$A$3:$A$62,0)),1))*INDEX(Simulations!$J$3:$J$62,MATCH($A283,Simulations!$A$3:$A$62,0))*IF(INDEX(Simulations!$I$3:$I$62,MATCH($A283,Simulations!$A$3:$A$62,0))&gt;0,2*PI()*INDEX(Simulations!$T$3:$T$62,MATCH($A283,Simulations!$A$3:$A$62,0))^2*INDEX(Simulations!$U$3:$U$62,MATCH($A283,Simulations!$A$3:$A$62,0))/2^1.5*(2/3*LN($E283/INDEX(Simulations!$J$3:$J$62,MATCH($A283,Simulations!$A$3:$A$62,0)))^1.5+SQRT(LN($E283/INDEX(Simulations!$J$3:$J$62,MATCH($A283,Simulations!$A$3:$A$62,0))))+$E283/INDEX(Simulations!$J$3:$J$62,MATCH($A283,Simulations!$A$3:$A$62,0))*SQRT(PI())/2*ERFC(SQRT(LN($E283/INDEX(Simulations!$J$3:$J$62,MATCH($A283,Simulations!$A$3:$A$62,0)))))),PI()*INDEX(Simulations!$T$3:$T$62,MATCH($A283,Simulations!$A$3:$A$62,0))^2/2*(LN($E283/INDEX(Simulations!$J$3:$J$62,MATCH($A283,Simulations!$A$3:$A$62,0)))+1)))))</f>
        <v/>
      </c>
      <c r="R283" s="16" t="str">
        <f aca="false">IF(OR($A283="",ISNA(MATCH($A283,Simulations!$A$3:$A$62,0))),"",IF(N($F283)&lt;=0,0,IF($F283&lt;INDEX(Simulations!$J$3:$J$62,MATCH($A283,Simulations!$A$3:$A$62,0)),$D283/(INDEX(Simulations!$G$3:$G$62,MATCH($A283,Simulations!$A$3:$A$62,0))*INDEX(Simulations!$H$3:$H$62,MATCH($A283,Simulations!$A$3:$A$62,0))*IF(INDEX(Simulations!$I$3:$I$62,MATCH($A283,Simulations!$A$3:$A$62,0))&gt;0,INDEX(Simulations!$I$3:$I$62,MATCH($A283,Simulations!$A$3:$A$62,0)),1))*$F283*(PI()/2*INDEX(Simulations!$T$3:$T$62,MATCH($A283,Simulations!$A$3:$A$62,0))^2*IF(INDEX(Simulations!$I$3:$I$62,MATCH($A283,Simulations!$A$3:$A$62,0))&gt;0,SQRT(PI()/2)*INDEX(Simulations!$U$3:$U$62,MATCH($A283,Simulations!$A$3:$A$62,0)),1)),$D283/(INDEX(Simulations!$G$3:$G$62,MATCH($A283,Simulations!$A$3:$A$62,0))*INDEX(Simulations!$H$3:$H$62,MATCH($A283,Simulations!$A$3:$A$62,0))*IF(INDEX(Simulations!$I$3:$I$62,MATCH($A283,Simulations!$A$3:$A$62,0))&gt;0,INDEX(Simulations!$I$3:$I$62,MATCH($A283,Simulations!$A$3:$A$62,0)),1))*INDEX(Simulations!$J$3:$J$62,MATCH($A283,Simulations!$A$3:$A$62,0))*IF(INDEX(Simulations!$I$3:$I$62,MATCH($A283,Simulations!$A$3:$A$62,0))&gt;0,2*PI()*INDEX(Simulations!$T$3:$T$62,MATCH($A283,Simulations!$A$3:$A$62,0))^2*INDEX(Simulations!$U$3:$U$62,MATCH($A283,Simulations!$A$3:$A$62,0))/2^1.5*(2/3*LN($F283/INDEX(Simulations!$J$3:$J$62,MATCH($A283,Simulations!$A$3:$A$62,0)))^1.5+SQRT(LN($F283/INDEX(Simulations!$J$3:$J$62,MATCH($A283,Simulations!$A$3:$A$62,0))))+$F283/INDEX(Simulations!$J$3:$J$62,MATCH($A283,Simulations!$A$3:$A$62,0))*SQRT(PI())/2*ERFC(SQRT(LN($F283/INDEX(Simulations!$J$3:$J$62,MATCH($A283,Simulations!$A$3:$A$62,0)))))),PI()*INDEX(Simulations!$T$3:$T$62,MATCH($A283,Simulations!$A$3:$A$62,0))^2/2*(LN($F283/INDEX(Simulations!$J$3:$J$62,MATCH($A283,Simulations!$A$3:$A$62,0)))+1)))))</f>
        <v/>
      </c>
      <c r="S283" s="16" t="str">
        <f aca="false">IF(OR($A283="",ISNA(MATCH($A283,Simulations!$A$3:$A$62,0))),"",IF(N($G283)&lt;=0,0,IF($G283&lt;INDEX(Simulations!$J$3:$J$62,MATCH($A283,Simulations!$A$3:$A$62,0)),$D283/(INDEX(Simulations!$G$3:$G$62,MATCH($A283,Simulations!$A$3:$A$62,0))*INDEX(Simulations!$H$3:$H$62,MATCH($A283,Simulations!$A$3:$A$62,0))*IF(INDEX(Simulations!$I$3:$I$62,MATCH($A283,Simulations!$A$3:$A$62,0))&gt;0,INDEX(Simulations!$I$3:$I$62,MATCH($A283,Simulations!$A$3:$A$62,0)),1))*$G283*(PI()/2*INDEX(Simulations!$T$3:$T$62,MATCH($A283,Simulations!$A$3:$A$62,0))^2*IF(INDEX(Simulations!$I$3:$I$62,MATCH($A283,Simulations!$A$3:$A$62,0))&gt;0,SQRT(PI()/2)*INDEX(Simulations!$U$3:$U$62,MATCH($A283,Simulations!$A$3:$A$62,0)),1)),$D283/(INDEX(Simulations!$G$3:$G$62,MATCH($A283,Simulations!$A$3:$A$62,0))*INDEX(Simulations!$H$3:$H$62,MATCH($A283,Simulations!$A$3:$A$62,0))*IF(INDEX(Simulations!$I$3:$I$62,MATCH($A283,Simulations!$A$3:$A$62,0))&gt;0,INDEX(Simulations!$I$3:$I$62,MATCH($A283,Simulations!$A$3:$A$62,0)),1))*INDEX(Simulations!$J$3:$J$62,MATCH($A283,Simulations!$A$3:$A$62,0))*IF(INDEX(Simulations!$I$3:$I$62,MATCH($A283,Simulations!$A$3:$A$62,0))&gt;0,2*PI()*INDEX(Simulations!$T$3:$T$62,MATCH($A283,Simulations!$A$3:$A$62,0))^2*INDEX(Simulations!$U$3:$U$62,MATCH($A283,Simulations!$A$3:$A$62,0))/2^1.5*(2/3*LN($G283/INDEX(Simulations!$J$3:$J$62,MATCH($A283,Simulations!$A$3:$A$62,0)))^1.5+SQRT(LN($G283/INDEX(Simulations!$J$3:$J$62,MATCH($A283,Simulations!$A$3:$A$62,0))))+$G283/INDEX(Simulations!$J$3:$J$62,MATCH($A283,Simulations!$A$3:$A$62,0))*SQRT(PI())/2*ERFC(SQRT(LN($G283/INDEX(Simulations!$J$3:$J$62,MATCH($A283,Simulations!$A$3:$A$62,0)))))),PI()*INDEX(Simulations!$T$3:$T$62,MATCH($A283,Simulations!$A$3:$A$62,0))^2/2*(LN($G283/INDEX(Simulations!$J$3:$J$62,MATCH($A283,Simulations!$A$3:$A$62,0)))+1)))))</f>
        <v/>
      </c>
      <c r="T283" s="16" t="str">
        <f aca="false">IF(OR($A283="",ISNA(MATCH($A283,Simulations!$A$3:$A$62,0))),"",IF(N($H283)&lt;=0,0,IF($H283&lt;INDEX(Simulations!$J$3:$J$62,MATCH($A283,Simulations!$A$3:$A$62,0)),$D283/(INDEX(Simulations!$G$3:$G$62,MATCH($A283,Simulations!$A$3:$A$62,0))*INDEX(Simulations!$H$3:$H$62,MATCH($A283,Simulations!$A$3:$A$62,0))*IF(INDEX(Simulations!$I$3:$I$62,MATCH($A283,Simulations!$A$3:$A$62,0))&gt;0,INDEX(Simulations!$I$3:$I$62,MATCH($A283,Simulations!$A$3:$A$62,0)),1))*$H283*(PI()/2*INDEX(Simulations!$T$3:$T$62,MATCH($A283,Simulations!$A$3:$A$62,0))^2*IF(INDEX(Simulations!$I$3:$I$62,MATCH($A283,Simulations!$A$3:$A$62,0))&gt;0,SQRT(PI()/2)*INDEX(Simulations!$U$3:$U$62,MATCH($A283,Simulations!$A$3:$A$62,0)),1)),$D283/(INDEX(Simulations!$G$3:$G$62,MATCH($A283,Simulations!$A$3:$A$62,0))*INDEX(Simulations!$H$3:$H$62,MATCH($A283,Simulations!$A$3:$A$62,0))*IF(INDEX(Simulations!$I$3:$I$62,MATCH($A283,Simulations!$A$3:$A$62,0))&gt;0,INDEX(Simulations!$I$3:$I$62,MATCH($A283,Simulations!$A$3:$A$62,0)),1))*INDEX(Simulations!$J$3:$J$62,MATCH($A283,Simulations!$A$3:$A$62,0))*IF(INDEX(Simulations!$I$3:$I$62,MATCH($A283,Simulations!$A$3:$A$62,0))&gt;0,2*PI()*INDEX(Simulations!$T$3:$T$62,MATCH($A283,Simulations!$A$3:$A$62,0))^2*INDEX(Simulations!$U$3:$U$62,MATCH($A283,Simulations!$A$3:$A$62,0))/2^1.5*(2/3*LN($H283/INDEX(Simulations!$J$3:$J$62,MATCH($A283,Simulations!$A$3:$A$62,0)))^1.5+SQRT(LN($H283/INDEX(Simulations!$J$3:$J$62,MATCH($A283,Simulations!$A$3:$A$62,0))))+$H283/INDEX(Simulations!$J$3:$J$62,MATCH($A283,Simulations!$A$3:$A$62,0))*SQRT(PI())/2*ERFC(SQRT(LN($H283/INDEX(Simulations!$J$3:$J$62,MATCH($A283,Simulations!$A$3:$A$62,0)))))),PI()*INDEX(Simulations!$T$3:$T$62,MATCH($A283,Simulations!$A$3:$A$62,0))^2/2*(LN($H283/INDEX(Simulations!$J$3:$J$62,MATCH($A283,Simulations!$A$3:$A$62,0)))+1)))))</f>
        <v/>
      </c>
      <c r="U283" s="18" t="str">
        <f aca="false">IF(OR(OR($A283="",ISNA(MATCH($A283,Simulations!$A$3:$A$62,0))),N($C283)&lt;=0),"",SQRT(2*$C283*1000000/(INDEX(Simulations!$J$3:$J$62,MATCH($A283,Simulations!$A$3:$A$62,0))*1000))/INDEX(Simulations!$T$3:$T$62,MATCH($A283,Simulations!$A$3:$A$62,0)))</f>
        <v/>
      </c>
      <c r="V283" s="19" t="str">
        <f aca="false">IF($A283="","",IF(ISNA(MATCH($A283,Simulations!$A$3:$A$62,0)),"✖ Sim ID not found on the Simulations sheet",IF($P283&gt;=1,"✖ brightness &gt;= sampling frequency: completely saturated (D too small, c too large)",IF($P283&gt;0.1,"⚠ brightness &gt; 10% of the sampling frequency: focus starts to saturate",IF(N($U283)&gt;0.1,"⚠ diffusion step &gt; 10% of wr: raise the sampling frequency",IF(MAX($E283:$H283)=0,"⚠ no brightness set","✔ OK"))))))</f>
        <v/>
      </c>
    </row>
    <row r="284" customFormat="false" ht="15" hidden="false" customHeight="false" outlineLevel="0" collapsed="false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4"/>
      <c r="O284" s="18" t="str">
        <f aca="false">IF(OR($A284="",ISNA(MATCH($A284,Simulations!$A$3:$A$62,0))),"",IF(INDEX(Simulations!$I$3:$I$62,MATCH($A284,Simulations!$A$3:$A$62,0))&gt;0,$D284/(INDEX(Simulations!$G$3:$G$62,MATCH($A284,Simulations!$A$3:$A$62,0))*INDEX(Simulations!$H$3:$H$62,MATCH($A284,Simulations!$A$3:$A$62,0))*IF(INDEX(Simulations!$I$3:$I$62,MATCH($A284,Simulations!$A$3:$A$62,0))&gt;0,INDEX(Simulations!$I$3:$I$62,MATCH($A284,Simulations!$A$3:$A$62,0)),1))/1E-024/6.022E+023/0.000000001,""))</f>
        <v/>
      </c>
      <c r="P284" s="20" t="str">
        <f aca="false">IF(OR($A284="",ISNA(MATCH($A284,Simulations!$A$3:$A$62,0))),"",MAX($E284:$H284)/INDEX(Simulations!$J$3:$J$62,MATCH($A284,Simulations!$A$3:$A$62,0)))</f>
        <v/>
      </c>
      <c r="Q284" s="16" t="str">
        <f aca="false">IF(OR($A284="",ISNA(MATCH($A284,Simulations!$A$3:$A$62,0))),"",IF(N($E284)&lt;=0,0,IF($E284&lt;INDEX(Simulations!$J$3:$J$62,MATCH($A284,Simulations!$A$3:$A$62,0)),$D284/(INDEX(Simulations!$G$3:$G$62,MATCH($A284,Simulations!$A$3:$A$62,0))*INDEX(Simulations!$H$3:$H$62,MATCH($A284,Simulations!$A$3:$A$62,0))*IF(INDEX(Simulations!$I$3:$I$62,MATCH($A284,Simulations!$A$3:$A$62,0))&gt;0,INDEX(Simulations!$I$3:$I$62,MATCH($A284,Simulations!$A$3:$A$62,0)),1))*$E284*(PI()/2*INDEX(Simulations!$T$3:$T$62,MATCH($A284,Simulations!$A$3:$A$62,0))^2*IF(INDEX(Simulations!$I$3:$I$62,MATCH($A284,Simulations!$A$3:$A$62,0))&gt;0,SQRT(PI()/2)*INDEX(Simulations!$U$3:$U$62,MATCH($A284,Simulations!$A$3:$A$62,0)),1)),$D284/(INDEX(Simulations!$G$3:$G$62,MATCH($A284,Simulations!$A$3:$A$62,0))*INDEX(Simulations!$H$3:$H$62,MATCH($A284,Simulations!$A$3:$A$62,0))*IF(INDEX(Simulations!$I$3:$I$62,MATCH($A284,Simulations!$A$3:$A$62,0))&gt;0,INDEX(Simulations!$I$3:$I$62,MATCH($A284,Simulations!$A$3:$A$62,0)),1))*INDEX(Simulations!$J$3:$J$62,MATCH($A284,Simulations!$A$3:$A$62,0))*IF(INDEX(Simulations!$I$3:$I$62,MATCH($A284,Simulations!$A$3:$A$62,0))&gt;0,2*PI()*INDEX(Simulations!$T$3:$T$62,MATCH($A284,Simulations!$A$3:$A$62,0))^2*INDEX(Simulations!$U$3:$U$62,MATCH($A284,Simulations!$A$3:$A$62,0))/2^1.5*(2/3*LN($E284/INDEX(Simulations!$J$3:$J$62,MATCH($A284,Simulations!$A$3:$A$62,0)))^1.5+SQRT(LN($E284/INDEX(Simulations!$J$3:$J$62,MATCH($A284,Simulations!$A$3:$A$62,0))))+$E284/INDEX(Simulations!$J$3:$J$62,MATCH($A284,Simulations!$A$3:$A$62,0))*SQRT(PI())/2*ERFC(SQRT(LN($E284/INDEX(Simulations!$J$3:$J$62,MATCH($A284,Simulations!$A$3:$A$62,0)))))),PI()*INDEX(Simulations!$T$3:$T$62,MATCH($A284,Simulations!$A$3:$A$62,0))^2/2*(LN($E284/INDEX(Simulations!$J$3:$J$62,MATCH($A284,Simulations!$A$3:$A$62,0)))+1)))))</f>
        <v/>
      </c>
      <c r="R284" s="16" t="str">
        <f aca="false">IF(OR($A284="",ISNA(MATCH($A284,Simulations!$A$3:$A$62,0))),"",IF(N($F284)&lt;=0,0,IF($F284&lt;INDEX(Simulations!$J$3:$J$62,MATCH($A284,Simulations!$A$3:$A$62,0)),$D284/(INDEX(Simulations!$G$3:$G$62,MATCH($A284,Simulations!$A$3:$A$62,0))*INDEX(Simulations!$H$3:$H$62,MATCH($A284,Simulations!$A$3:$A$62,0))*IF(INDEX(Simulations!$I$3:$I$62,MATCH($A284,Simulations!$A$3:$A$62,0))&gt;0,INDEX(Simulations!$I$3:$I$62,MATCH($A284,Simulations!$A$3:$A$62,0)),1))*$F284*(PI()/2*INDEX(Simulations!$T$3:$T$62,MATCH($A284,Simulations!$A$3:$A$62,0))^2*IF(INDEX(Simulations!$I$3:$I$62,MATCH($A284,Simulations!$A$3:$A$62,0))&gt;0,SQRT(PI()/2)*INDEX(Simulations!$U$3:$U$62,MATCH($A284,Simulations!$A$3:$A$62,0)),1)),$D284/(INDEX(Simulations!$G$3:$G$62,MATCH($A284,Simulations!$A$3:$A$62,0))*INDEX(Simulations!$H$3:$H$62,MATCH($A284,Simulations!$A$3:$A$62,0))*IF(INDEX(Simulations!$I$3:$I$62,MATCH($A284,Simulations!$A$3:$A$62,0))&gt;0,INDEX(Simulations!$I$3:$I$62,MATCH($A284,Simulations!$A$3:$A$62,0)),1))*INDEX(Simulations!$J$3:$J$62,MATCH($A284,Simulations!$A$3:$A$62,0))*IF(INDEX(Simulations!$I$3:$I$62,MATCH($A284,Simulations!$A$3:$A$62,0))&gt;0,2*PI()*INDEX(Simulations!$T$3:$T$62,MATCH($A284,Simulations!$A$3:$A$62,0))^2*INDEX(Simulations!$U$3:$U$62,MATCH($A284,Simulations!$A$3:$A$62,0))/2^1.5*(2/3*LN($F284/INDEX(Simulations!$J$3:$J$62,MATCH($A284,Simulations!$A$3:$A$62,0)))^1.5+SQRT(LN($F284/INDEX(Simulations!$J$3:$J$62,MATCH($A284,Simulations!$A$3:$A$62,0))))+$F284/INDEX(Simulations!$J$3:$J$62,MATCH($A284,Simulations!$A$3:$A$62,0))*SQRT(PI())/2*ERFC(SQRT(LN($F284/INDEX(Simulations!$J$3:$J$62,MATCH($A284,Simulations!$A$3:$A$62,0)))))),PI()*INDEX(Simulations!$T$3:$T$62,MATCH($A284,Simulations!$A$3:$A$62,0))^2/2*(LN($F284/INDEX(Simulations!$J$3:$J$62,MATCH($A284,Simulations!$A$3:$A$62,0)))+1)))))</f>
        <v/>
      </c>
      <c r="S284" s="16" t="str">
        <f aca="false">IF(OR($A284="",ISNA(MATCH($A284,Simulations!$A$3:$A$62,0))),"",IF(N($G284)&lt;=0,0,IF($G284&lt;INDEX(Simulations!$J$3:$J$62,MATCH($A284,Simulations!$A$3:$A$62,0)),$D284/(INDEX(Simulations!$G$3:$G$62,MATCH($A284,Simulations!$A$3:$A$62,0))*INDEX(Simulations!$H$3:$H$62,MATCH($A284,Simulations!$A$3:$A$62,0))*IF(INDEX(Simulations!$I$3:$I$62,MATCH($A284,Simulations!$A$3:$A$62,0))&gt;0,INDEX(Simulations!$I$3:$I$62,MATCH($A284,Simulations!$A$3:$A$62,0)),1))*$G284*(PI()/2*INDEX(Simulations!$T$3:$T$62,MATCH($A284,Simulations!$A$3:$A$62,0))^2*IF(INDEX(Simulations!$I$3:$I$62,MATCH($A284,Simulations!$A$3:$A$62,0))&gt;0,SQRT(PI()/2)*INDEX(Simulations!$U$3:$U$62,MATCH($A284,Simulations!$A$3:$A$62,0)),1)),$D284/(INDEX(Simulations!$G$3:$G$62,MATCH($A284,Simulations!$A$3:$A$62,0))*INDEX(Simulations!$H$3:$H$62,MATCH($A284,Simulations!$A$3:$A$62,0))*IF(INDEX(Simulations!$I$3:$I$62,MATCH($A284,Simulations!$A$3:$A$62,0))&gt;0,INDEX(Simulations!$I$3:$I$62,MATCH($A284,Simulations!$A$3:$A$62,0)),1))*INDEX(Simulations!$J$3:$J$62,MATCH($A284,Simulations!$A$3:$A$62,0))*IF(INDEX(Simulations!$I$3:$I$62,MATCH($A284,Simulations!$A$3:$A$62,0))&gt;0,2*PI()*INDEX(Simulations!$T$3:$T$62,MATCH($A284,Simulations!$A$3:$A$62,0))^2*INDEX(Simulations!$U$3:$U$62,MATCH($A284,Simulations!$A$3:$A$62,0))/2^1.5*(2/3*LN($G284/INDEX(Simulations!$J$3:$J$62,MATCH($A284,Simulations!$A$3:$A$62,0)))^1.5+SQRT(LN($G284/INDEX(Simulations!$J$3:$J$62,MATCH($A284,Simulations!$A$3:$A$62,0))))+$G284/INDEX(Simulations!$J$3:$J$62,MATCH($A284,Simulations!$A$3:$A$62,0))*SQRT(PI())/2*ERFC(SQRT(LN($G284/INDEX(Simulations!$J$3:$J$62,MATCH($A284,Simulations!$A$3:$A$62,0)))))),PI()*INDEX(Simulations!$T$3:$T$62,MATCH($A284,Simulations!$A$3:$A$62,0))^2/2*(LN($G284/INDEX(Simulations!$J$3:$J$62,MATCH($A284,Simulations!$A$3:$A$62,0)))+1)))))</f>
        <v/>
      </c>
      <c r="T284" s="16" t="str">
        <f aca="false">IF(OR($A284="",ISNA(MATCH($A284,Simulations!$A$3:$A$62,0))),"",IF(N($H284)&lt;=0,0,IF($H284&lt;INDEX(Simulations!$J$3:$J$62,MATCH($A284,Simulations!$A$3:$A$62,0)),$D284/(INDEX(Simulations!$G$3:$G$62,MATCH($A284,Simulations!$A$3:$A$62,0))*INDEX(Simulations!$H$3:$H$62,MATCH($A284,Simulations!$A$3:$A$62,0))*IF(INDEX(Simulations!$I$3:$I$62,MATCH($A284,Simulations!$A$3:$A$62,0))&gt;0,INDEX(Simulations!$I$3:$I$62,MATCH($A284,Simulations!$A$3:$A$62,0)),1))*$H284*(PI()/2*INDEX(Simulations!$T$3:$T$62,MATCH($A284,Simulations!$A$3:$A$62,0))^2*IF(INDEX(Simulations!$I$3:$I$62,MATCH($A284,Simulations!$A$3:$A$62,0))&gt;0,SQRT(PI()/2)*INDEX(Simulations!$U$3:$U$62,MATCH($A284,Simulations!$A$3:$A$62,0)),1)),$D284/(INDEX(Simulations!$G$3:$G$62,MATCH($A284,Simulations!$A$3:$A$62,0))*INDEX(Simulations!$H$3:$H$62,MATCH($A284,Simulations!$A$3:$A$62,0))*IF(INDEX(Simulations!$I$3:$I$62,MATCH($A284,Simulations!$A$3:$A$62,0))&gt;0,INDEX(Simulations!$I$3:$I$62,MATCH($A284,Simulations!$A$3:$A$62,0)),1))*INDEX(Simulations!$J$3:$J$62,MATCH($A284,Simulations!$A$3:$A$62,0))*IF(INDEX(Simulations!$I$3:$I$62,MATCH($A284,Simulations!$A$3:$A$62,0))&gt;0,2*PI()*INDEX(Simulations!$T$3:$T$62,MATCH($A284,Simulations!$A$3:$A$62,0))^2*INDEX(Simulations!$U$3:$U$62,MATCH($A284,Simulations!$A$3:$A$62,0))/2^1.5*(2/3*LN($H284/INDEX(Simulations!$J$3:$J$62,MATCH($A284,Simulations!$A$3:$A$62,0)))^1.5+SQRT(LN($H284/INDEX(Simulations!$J$3:$J$62,MATCH($A284,Simulations!$A$3:$A$62,0))))+$H284/INDEX(Simulations!$J$3:$J$62,MATCH($A284,Simulations!$A$3:$A$62,0))*SQRT(PI())/2*ERFC(SQRT(LN($H284/INDEX(Simulations!$J$3:$J$62,MATCH($A284,Simulations!$A$3:$A$62,0)))))),PI()*INDEX(Simulations!$T$3:$T$62,MATCH($A284,Simulations!$A$3:$A$62,0))^2/2*(LN($H284/INDEX(Simulations!$J$3:$J$62,MATCH($A284,Simulations!$A$3:$A$62,0)))+1)))))</f>
        <v/>
      </c>
      <c r="U284" s="18" t="str">
        <f aca="false">IF(OR(OR($A284="",ISNA(MATCH($A284,Simulations!$A$3:$A$62,0))),N($C284)&lt;=0),"",SQRT(2*$C284*1000000/(INDEX(Simulations!$J$3:$J$62,MATCH($A284,Simulations!$A$3:$A$62,0))*1000))/INDEX(Simulations!$T$3:$T$62,MATCH($A284,Simulations!$A$3:$A$62,0)))</f>
        <v/>
      </c>
      <c r="V284" s="19" t="str">
        <f aca="false">IF($A284="","",IF(ISNA(MATCH($A284,Simulations!$A$3:$A$62,0)),"✖ Sim ID not found on the Simulations sheet",IF($P284&gt;=1,"✖ brightness &gt;= sampling frequency: completely saturated (D too small, c too large)",IF($P284&gt;0.1,"⚠ brightness &gt; 10% of the sampling frequency: focus starts to saturate",IF(N($U284)&gt;0.1,"⚠ diffusion step &gt; 10% of wr: raise the sampling frequency",IF(MAX($E284:$H284)=0,"⚠ no brightness set","✔ OK"))))))</f>
        <v/>
      </c>
    </row>
    <row r="285" customFormat="false" ht="15" hidden="false" customHeight="false" outlineLevel="0" collapsed="false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4"/>
      <c r="O285" s="18" t="str">
        <f aca="false">IF(OR($A285="",ISNA(MATCH($A285,Simulations!$A$3:$A$62,0))),"",IF(INDEX(Simulations!$I$3:$I$62,MATCH($A285,Simulations!$A$3:$A$62,0))&gt;0,$D285/(INDEX(Simulations!$G$3:$G$62,MATCH($A285,Simulations!$A$3:$A$62,0))*INDEX(Simulations!$H$3:$H$62,MATCH($A285,Simulations!$A$3:$A$62,0))*IF(INDEX(Simulations!$I$3:$I$62,MATCH($A285,Simulations!$A$3:$A$62,0))&gt;0,INDEX(Simulations!$I$3:$I$62,MATCH($A285,Simulations!$A$3:$A$62,0)),1))/1E-024/6.022E+023/0.000000001,""))</f>
        <v/>
      </c>
      <c r="P285" s="20" t="str">
        <f aca="false">IF(OR($A285="",ISNA(MATCH($A285,Simulations!$A$3:$A$62,0))),"",MAX($E285:$H285)/INDEX(Simulations!$J$3:$J$62,MATCH($A285,Simulations!$A$3:$A$62,0)))</f>
        <v/>
      </c>
      <c r="Q285" s="16" t="str">
        <f aca="false">IF(OR($A285="",ISNA(MATCH($A285,Simulations!$A$3:$A$62,0))),"",IF(N($E285)&lt;=0,0,IF($E285&lt;INDEX(Simulations!$J$3:$J$62,MATCH($A285,Simulations!$A$3:$A$62,0)),$D285/(INDEX(Simulations!$G$3:$G$62,MATCH($A285,Simulations!$A$3:$A$62,0))*INDEX(Simulations!$H$3:$H$62,MATCH($A285,Simulations!$A$3:$A$62,0))*IF(INDEX(Simulations!$I$3:$I$62,MATCH($A285,Simulations!$A$3:$A$62,0))&gt;0,INDEX(Simulations!$I$3:$I$62,MATCH($A285,Simulations!$A$3:$A$62,0)),1))*$E285*(PI()/2*INDEX(Simulations!$T$3:$T$62,MATCH($A285,Simulations!$A$3:$A$62,0))^2*IF(INDEX(Simulations!$I$3:$I$62,MATCH($A285,Simulations!$A$3:$A$62,0))&gt;0,SQRT(PI()/2)*INDEX(Simulations!$U$3:$U$62,MATCH($A285,Simulations!$A$3:$A$62,0)),1)),$D285/(INDEX(Simulations!$G$3:$G$62,MATCH($A285,Simulations!$A$3:$A$62,0))*INDEX(Simulations!$H$3:$H$62,MATCH($A285,Simulations!$A$3:$A$62,0))*IF(INDEX(Simulations!$I$3:$I$62,MATCH($A285,Simulations!$A$3:$A$62,0))&gt;0,INDEX(Simulations!$I$3:$I$62,MATCH($A285,Simulations!$A$3:$A$62,0)),1))*INDEX(Simulations!$J$3:$J$62,MATCH($A285,Simulations!$A$3:$A$62,0))*IF(INDEX(Simulations!$I$3:$I$62,MATCH($A285,Simulations!$A$3:$A$62,0))&gt;0,2*PI()*INDEX(Simulations!$T$3:$T$62,MATCH($A285,Simulations!$A$3:$A$62,0))^2*INDEX(Simulations!$U$3:$U$62,MATCH($A285,Simulations!$A$3:$A$62,0))/2^1.5*(2/3*LN($E285/INDEX(Simulations!$J$3:$J$62,MATCH($A285,Simulations!$A$3:$A$62,0)))^1.5+SQRT(LN($E285/INDEX(Simulations!$J$3:$J$62,MATCH($A285,Simulations!$A$3:$A$62,0))))+$E285/INDEX(Simulations!$J$3:$J$62,MATCH($A285,Simulations!$A$3:$A$62,0))*SQRT(PI())/2*ERFC(SQRT(LN($E285/INDEX(Simulations!$J$3:$J$62,MATCH($A285,Simulations!$A$3:$A$62,0)))))),PI()*INDEX(Simulations!$T$3:$T$62,MATCH($A285,Simulations!$A$3:$A$62,0))^2/2*(LN($E285/INDEX(Simulations!$J$3:$J$62,MATCH($A285,Simulations!$A$3:$A$62,0)))+1)))))</f>
        <v/>
      </c>
      <c r="R285" s="16" t="str">
        <f aca="false">IF(OR($A285="",ISNA(MATCH($A285,Simulations!$A$3:$A$62,0))),"",IF(N($F285)&lt;=0,0,IF($F285&lt;INDEX(Simulations!$J$3:$J$62,MATCH($A285,Simulations!$A$3:$A$62,0)),$D285/(INDEX(Simulations!$G$3:$G$62,MATCH($A285,Simulations!$A$3:$A$62,0))*INDEX(Simulations!$H$3:$H$62,MATCH($A285,Simulations!$A$3:$A$62,0))*IF(INDEX(Simulations!$I$3:$I$62,MATCH($A285,Simulations!$A$3:$A$62,0))&gt;0,INDEX(Simulations!$I$3:$I$62,MATCH($A285,Simulations!$A$3:$A$62,0)),1))*$F285*(PI()/2*INDEX(Simulations!$T$3:$T$62,MATCH($A285,Simulations!$A$3:$A$62,0))^2*IF(INDEX(Simulations!$I$3:$I$62,MATCH($A285,Simulations!$A$3:$A$62,0))&gt;0,SQRT(PI()/2)*INDEX(Simulations!$U$3:$U$62,MATCH($A285,Simulations!$A$3:$A$62,0)),1)),$D285/(INDEX(Simulations!$G$3:$G$62,MATCH($A285,Simulations!$A$3:$A$62,0))*INDEX(Simulations!$H$3:$H$62,MATCH($A285,Simulations!$A$3:$A$62,0))*IF(INDEX(Simulations!$I$3:$I$62,MATCH($A285,Simulations!$A$3:$A$62,0))&gt;0,INDEX(Simulations!$I$3:$I$62,MATCH($A285,Simulations!$A$3:$A$62,0)),1))*INDEX(Simulations!$J$3:$J$62,MATCH($A285,Simulations!$A$3:$A$62,0))*IF(INDEX(Simulations!$I$3:$I$62,MATCH($A285,Simulations!$A$3:$A$62,0))&gt;0,2*PI()*INDEX(Simulations!$T$3:$T$62,MATCH($A285,Simulations!$A$3:$A$62,0))^2*INDEX(Simulations!$U$3:$U$62,MATCH($A285,Simulations!$A$3:$A$62,0))/2^1.5*(2/3*LN($F285/INDEX(Simulations!$J$3:$J$62,MATCH($A285,Simulations!$A$3:$A$62,0)))^1.5+SQRT(LN($F285/INDEX(Simulations!$J$3:$J$62,MATCH($A285,Simulations!$A$3:$A$62,0))))+$F285/INDEX(Simulations!$J$3:$J$62,MATCH($A285,Simulations!$A$3:$A$62,0))*SQRT(PI())/2*ERFC(SQRT(LN($F285/INDEX(Simulations!$J$3:$J$62,MATCH($A285,Simulations!$A$3:$A$62,0)))))),PI()*INDEX(Simulations!$T$3:$T$62,MATCH($A285,Simulations!$A$3:$A$62,0))^2/2*(LN($F285/INDEX(Simulations!$J$3:$J$62,MATCH($A285,Simulations!$A$3:$A$62,0)))+1)))))</f>
        <v/>
      </c>
      <c r="S285" s="16" t="str">
        <f aca="false">IF(OR($A285="",ISNA(MATCH($A285,Simulations!$A$3:$A$62,0))),"",IF(N($G285)&lt;=0,0,IF($G285&lt;INDEX(Simulations!$J$3:$J$62,MATCH($A285,Simulations!$A$3:$A$62,0)),$D285/(INDEX(Simulations!$G$3:$G$62,MATCH($A285,Simulations!$A$3:$A$62,0))*INDEX(Simulations!$H$3:$H$62,MATCH($A285,Simulations!$A$3:$A$62,0))*IF(INDEX(Simulations!$I$3:$I$62,MATCH($A285,Simulations!$A$3:$A$62,0))&gt;0,INDEX(Simulations!$I$3:$I$62,MATCH($A285,Simulations!$A$3:$A$62,0)),1))*$G285*(PI()/2*INDEX(Simulations!$T$3:$T$62,MATCH($A285,Simulations!$A$3:$A$62,0))^2*IF(INDEX(Simulations!$I$3:$I$62,MATCH($A285,Simulations!$A$3:$A$62,0))&gt;0,SQRT(PI()/2)*INDEX(Simulations!$U$3:$U$62,MATCH($A285,Simulations!$A$3:$A$62,0)),1)),$D285/(INDEX(Simulations!$G$3:$G$62,MATCH($A285,Simulations!$A$3:$A$62,0))*INDEX(Simulations!$H$3:$H$62,MATCH($A285,Simulations!$A$3:$A$62,0))*IF(INDEX(Simulations!$I$3:$I$62,MATCH($A285,Simulations!$A$3:$A$62,0))&gt;0,INDEX(Simulations!$I$3:$I$62,MATCH($A285,Simulations!$A$3:$A$62,0)),1))*INDEX(Simulations!$J$3:$J$62,MATCH($A285,Simulations!$A$3:$A$62,0))*IF(INDEX(Simulations!$I$3:$I$62,MATCH($A285,Simulations!$A$3:$A$62,0))&gt;0,2*PI()*INDEX(Simulations!$T$3:$T$62,MATCH($A285,Simulations!$A$3:$A$62,0))^2*INDEX(Simulations!$U$3:$U$62,MATCH($A285,Simulations!$A$3:$A$62,0))/2^1.5*(2/3*LN($G285/INDEX(Simulations!$J$3:$J$62,MATCH($A285,Simulations!$A$3:$A$62,0)))^1.5+SQRT(LN($G285/INDEX(Simulations!$J$3:$J$62,MATCH($A285,Simulations!$A$3:$A$62,0))))+$G285/INDEX(Simulations!$J$3:$J$62,MATCH($A285,Simulations!$A$3:$A$62,0))*SQRT(PI())/2*ERFC(SQRT(LN($G285/INDEX(Simulations!$J$3:$J$62,MATCH($A285,Simulations!$A$3:$A$62,0)))))),PI()*INDEX(Simulations!$T$3:$T$62,MATCH($A285,Simulations!$A$3:$A$62,0))^2/2*(LN($G285/INDEX(Simulations!$J$3:$J$62,MATCH($A285,Simulations!$A$3:$A$62,0)))+1)))))</f>
        <v/>
      </c>
      <c r="T285" s="16" t="str">
        <f aca="false">IF(OR($A285="",ISNA(MATCH($A285,Simulations!$A$3:$A$62,0))),"",IF(N($H285)&lt;=0,0,IF($H285&lt;INDEX(Simulations!$J$3:$J$62,MATCH($A285,Simulations!$A$3:$A$62,0)),$D285/(INDEX(Simulations!$G$3:$G$62,MATCH($A285,Simulations!$A$3:$A$62,0))*INDEX(Simulations!$H$3:$H$62,MATCH($A285,Simulations!$A$3:$A$62,0))*IF(INDEX(Simulations!$I$3:$I$62,MATCH($A285,Simulations!$A$3:$A$62,0))&gt;0,INDEX(Simulations!$I$3:$I$62,MATCH($A285,Simulations!$A$3:$A$62,0)),1))*$H285*(PI()/2*INDEX(Simulations!$T$3:$T$62,MATCH($A285,Simulations!$A$3:$A$62,0))^2*IF(INDEX(Simulations!$I$3:$I$62,MATCH($A285,Simulations!$A$3:$A$62,0))&gt;0,SQRT(PI()/2)*INDEX(Simulations!$U$3:$U$62,MATCH($A285,Simulations!$A$3:$A$62,0)),1)),$D285/(INDEX(Simulations!$G$3:$G$62,MATCH($A285,Simulations!$A$3:$A$62,0))*INDEX(Simulations!$H$3:$H$62,MATCH($A285,Simulations!$A$3:$A$62,0))*IF(INDEX(Simulations!$I$3:$I$62,MATCH($A285,Simulations!$A$3:$A$62,0))&gt;0,INDEX(Simulations!$I$3:$I$62,MATCH($A285,Simulations!$A$3:$A$62,0)),1))*INDEX(Simulations!$J$3:$J$62,MATCH($A285,Simulations!$A$3:$A$62,0))*IF(INDEX(Simulations!$I$3:$I$62,MATCH($A285,Simulations!$A$3:$A$62,0))&gt;0,2*PI()*INDEX(Simulations!$T$3:$T$62,MATCH($A285,Simulations!$A$3:$A$62,0))^2*INDEX(Simulations!$U$3:$U$62,MATCH($A285,Simulations!$A$3:$A$62,0))/2^1.5*(2/3*LN($H285/INDEX(Simulations!$J$3:$J$62,MATCH($A285,Simulations!$A$3:$A$62,0)))^1.5+SQRT(LN($H285/INDEX(Simulations!$J$3:$J$62,MATCH($A285,Simulations!$A$3:$A$62,0))))+$H285/INDEX(Simulations!$J$3:$J$62,MATCH($A285,Simulations!$A$3:$A$62,0))*SQRT(PI())/2*ERFC(SQRT(LN($H285/INDEX(Simulations!$J$3:$J$62,MATCH($A285,Simulations!$A$3:$A$62,0)))))),PI()*INDEX(Simulations!$T$3:$T$62,MATCH($A285,Simulations!$A$3:$A$62,0))^2/2*(LN($H285/INDEX(Simulations!$J$3:$J$62,MATCH($A285,Simulations!$A$3:$A$62,0)))+1)))))</f>
        <v/>
      </c>
      <c r="U285" s="18" t="str">
        <f aca="false">IF(OR(OR($A285="",ISNA(MATCH($A285,Simulations!$A$3:$A$62,0))),N($C285)&lt;=0),"",SQRT(2*$C285*1000000/(INDEX(Simulations!$J$3:$J$62,MATCH($A285,Simulations!$A$3:$A$62,0))*1000))/INDEX(Simulations!$T$3:$T$62,MATCH($A285,Simulations!$A$3:$A$62,0)))</f>
        <v/>
      </c>
      <c r="V285" s="19" t="str">
        <f aca="false">IF($A285="","",IF(ISNA(MATCH($A285,Simulations!$A$3:$A$62,0)),"✖ Sim ID not found on the Simulations sheet",IF($P285&gt;=1,"✖ brightness &gt;= sampling frequency: completely saturated (D too small, c too large)",IF($P285&gt;0.1,"⚠ brightness &gt; 10% of the sampling frequency: focus starts to saturate",IF(N($U285)&gt;0.1,"⚠ diffusion step &gt; 10% of wr: raise the sampling frequency",IF(MAX($E285:$H285)=0,"⚠ no brightness set","✔ OK"))))))</f>
        <v/>
      </c>
    </row>
    <row r="286" customFormat="false" ht="15" hidden="false" customHeight="false" outlineLevel="0" collapsed="false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4"/>
      <c r="O286" s="18" t="str">
        <f aca="false">IF(OR($A286="",ISNA(MATCH($A286,Simulations!$A$3:$A$62,0))),"",IF(INDEX(Simulations!$I$3:$I$62,MATCH($A286,Simulations!$A$3:$A$62,0))&gt;0,$D286/(INDEX(Simulations!$G$3:$G$62,MATCH($A286,Simulations!$A$3:$A$62,0))*INDEX(Simulations!$H$3:$H$62,MATCH($A286,Simulations!$A$3:$A$62,0))*IF(INDEX(Simulations!$I$3:$I$62,MATCH($A286,Simulations!$A$3:$A$62,0))&gt;0,INDEX(Simulations!$I$3:$I$62,MATCH($A286,Simulations!$A$3:$A$62,0)),1))/1E-024/6.022E+023/0.000000001,""))</f>
        <v/>
      </c>
      <c r="P286" s="20" t="str">
        <f aca="false">IF(OR($A286="",ISNA(MATCH($A286,Simulations!$A$3:$A$62,0))),"",MAX($E286:$H286)/INDEX(Simulations!$J$3:$J$62,MATCH($A286,Simulations!$A$3:$A$62,0)))</f>
        <v/>
      </c>
      <c r="Q286" s="16" t="str">
        <f aca="false">IF(OR($A286="",ISNA(MATCH($A286,Simulations!$A$3:$A$62,0))),"",IF(N($E286)&lt;=0,0,IF($E286&lt;INDEX(Simulations!$J$3:$J$62,MATCH($A286,Simulations!$A$3:$A$62,0)),$D286/(INDEX(Simulations!$G$3:$G$62,MATCH($A286,Simulations!$A$3:$A$62,0))*INDEX(Simulations!$H$3:$H$62,MATCH($A286,Simulations!$A$3:$A$62,0))*IF(INDEX(Simulations!$I$3:$I$62,MATCH($A286,Simulations!$A$3:$A$62,0))&gt;0,INDEX(Simulations!$I$3:$I$62,MATCH($A286,Simulations!$A$3:$A$62,0)),1))*$E286*(PI()/2*INDEX(Simulations!$T$3:$T$62,MATCH($A286,Simulations!$A$3:$A$62,0))^2*IF(INDEX(Simulations!$I$3:$I$62,MATCH($A286,Simulations!$A$3:$A$62,0))&gt;0,SQRT(PI()/2)*INDEX(Simulations!$U$3:$U$62,MATCH($A286,Simulations!$A$3:$A$62,0)),1)),$D286/(INDEX(Simulations!$G$3:$G$62,MATCH($A286,Simulations!$A$3:$A$62,0))*INDEX(Simulations!$H$3:$H$62,MATCH($A286,Simulations!$A$3:$A$62,0))*IF(INDEX(Simulations!$I$3:$I$62,MATCH($A286,Simulations!$A$3:$A$62,0))&gt;0,INDEX(Simulations!$I$3:$I$62,MATCH($A286,Simulations!$A$3:$A$62,0)),1))*INDEX(Simulations!$J$3:$J$62,MATCH($A286,Simulations!$A$3:$A$62,0))*IF(INDEX(Simulations!$I$3:$I$62,MATCH($A286,Simulations!$A$3:$A$62,0))&gt;0,2*PI()*INDEX(Simulations!$T$3:$T$62,MATCH($A286,Simulations!$A$3:$A$62,0))^2*INDEX(Simulations!$U$3:$U$62,MATCH($A286,Simulations!$A$3:$A$62,0))/2^1.5*(2/3*LN($E286/INDEX(Simulations!$J$3:$J$62,MATCH($A286,Simulations!$A$3:$A$62,0)))^1.5+SQRT(LN($E286/INDEX(Simulations!$J$3:$J$62,MATCH($A286,Simulations!$A$3:$A$62,0))))+$E286/INDEX(Simulations!$J$3:$J$62,MATCH($A286,Simulations!$A$3:$A$62,0))*SQRT(PI())/2*ERFC(SQRT(LN($E286/INDEX(Simulations!$J$3:$J$62,MATCH($A286,Simulations!$A$3:$A$62,0)))))),PI()*INDEX(Simulations!$T$3:$T$62,MATCH($A286,Simulations!$A$3:$A$62,0))^2/2*(LN($E286/INDEX(Simulations!$J$3:$J$62,MATCH($A286,Simulations!$A$3:$A$62,0)))+1)))))</f>
        <v/>
      </c>
      <c r="R286" s="16" t="str">
        <f aca="false">IF(OR($A286="",ISNA(MATCH($A286,Simulations!$A$3:$A$62,0))),"",IF(N($F286)&lt;=0,0,IF($F286&lt;INDEX(Simulations!$J$3:$J$62,MATCH($A286,Simulations!$A$3:$A$62,0)),$D286/(INDEX(Simulations!$G$3:$G$62,MATCH($A286,Simulations!$A$3:$A$62,0))*INDEX(Simulations!$H$3:$H$62,MATCH($A286,Simulations!$A$3:$A$62,0))*IF(INDEX(Simulations!$I$3:$I$62,MATCH($A286,Simulations!$A$3:$A$62,0))&gt;0,INDEX(Simulations!$I$3:$I$62,MATCH($A286,Simulations!$A$3:$A$62,0)),1))*$F286*(PI()/2*INDEX(Simulations!$T$3:$T$62,MATCH($A286,Simulations!$A$3:$A$62,0))^2*IF(INDEX(Simulations!$I$3:$I$62,MATCH($A286,Simulations!$A$3:$A$62,0))&gt;0,SQRT(PI()/2)*INDEX(Simulations!$U$3:$U$62,MATCH($A286,Simulations!$A$3:$A$62,0)),1)),$D286/(INDEX(Simulations!$G$3:$G$62,MATCH($A286,Simulations!$A$3:$A$62,0))*INDEX(Simulations!$H$3:$H$62,MATCH($A286,Simulations!$A$3:$A$62,0))*IF(INDEX(Simulations!$I$3:$I$62,MATCH($A286,Simulations!$A$3:$A$62,0))&gt;0,INDEX(Simulations!$I$3:$I$62,MATCH($A286,Simulations!$A$3:$A$62,0)),1))*INDEX(Simulations!$J$3:$J$62,MATCH($A286,Simulations!$A$3:$A$62,0))*IF(INDEX(Simulations!$I$3:$I$62,MATCH($A286,Simulations!$A$3:$A$62,0))&gt;0,2*PI()*INDEX(Simulations!$T$3:$T$62,MATCH($A286,Simulations!$A$3:$A$62,0))^2*INDEX(Simulations!$U$3:$U$62,MATCH($A286,Simulations!$A$3:$A$62,0))/2^1.5*(2/3*LN($F286/INDEX(Simulations!$J$3:$J$62,MATCH($A286,Simulations!$A$3:$A$62,0)))^1.5+SQRT(LN($F286/INDEX(Simulations!$J$3:$J$62,MATCH($A286,Simulations!$A$3:$A$62,0))))+$F286/INDEX(Simulations!$J$3:$J$62,MATCH($A286,Simulations!$A$3:$A$62,0))*SQRT(PI())/2*ERFC(SQRT(LN($F286/INDEX(Simulations!$J$3:$J$62,MATCH($A286,Simulations!$A$3:$A$62,0)))))),PI()*INDEX(Simulations!$T$3:$T$62,MATCH($A286,Simulations!$A$3:$A$62,0))^2/2*(LN($F286/INDEX(Simulations!$J$3:$J$62,MATCH($A286,Simulations!$A$3:$A$62,0)))+1)))))</f>
        <v/>
      </c>
      <c r="S286" s="16" t="str">
        <f aca="false">IF(OR($A286="",ISNA(MATCH($A286,Simulations!$A$3:$A$62,0))),"",IF(N($G286)&lt;=0,0,IF($G286&lt;INDEX(Simulations!$J$3:$J$62,MATCH($A286,Simulations!$A$3:$A$62,0)),$D286/(INDEX(Simulations!$G$3:$G$62,MATCH($A286,Simulations!$A$3:$A$62,0))*INDEX(Simulations!$H$3:$H$62,MATCH($A286,Simulations!$A$3:$A$62,0))*IF(INDEX(Simulations!$I$3:$I$62,MATCH($A286,Simulations!$A$3:$A$62,0))&gt;0,INDEX(Simulations!$I$3:$I$62,MATCH($A286,Simulations!$A$3:$A$62,0)),1))*$G286*(PI()/2*INDEX(Simulations!$T$3:$T$62,MATCH($A286,Simulations!$A$3:$A$62,0))^2*IF(INDEX(Simulations!$I$3:$I$62,MATCH($A286,Simulations!$A$3:$A$62,0))&gt;0,SQRT(PI()/2)*INDEX(Simulations!$U$3:$U$62,MATCH($A286,Simulations!$A$3:$A$62,0)),1)),$D286/(INDEX(Simulations!$G$3:$G$62,MATCH($A286,Simulations!$A$3:$A$62,0))*INDEX(Simulations!$H$3:$H$62,MATCH($A286,Simulations!$A$3:$A$62,0))*IF(INDEX(Simulations!$I$3:$I$62,MATCH($A286,Simulations!$A$3:$A$62,0))&gt;0,INDEX(Simulations!$I$3:$I$62,MATCH($A286,Simulations!$A$3:$A$62,0)),1))*INDEX(Simulations!$J$3:$J$62,MATCH($A286,Simulations!$A$3:$A$62,0))*IF(INDEX(Simulations!$I$3:$I$62,MATCH($A286,Simulations!$A$3:$A$62,0))&gt;0,2*PI()*INDEX(Simulations!$T$3:$T$62,MATCH($A286,Simulations!$A$3:$A$62,0))^2*INDEX(Simulations!$U$3:$U$62,MATCH($A286,Simulations!$A$3:$A$62,0))/2^1.5*(2/3*LN($G286/INDEX(Simulations!$J$3:$J$62,MATCH($A286,Simulations!$A$3:$A$62,0)))^1.5+SQRT(LN($G286/INDEX(Simulations!$J$3:$J$62,MATCH($A286,Simulations!$A$3:$A$62,0))))+$G286/INDEX(Simulations!$J$3:$J$62,MATCH($A286,Simulations!$A$3:$A$62,0))*SQRT(PI())/2*ERFC(SQRT(LN($G286/INDEX(Simulations!$J$3:$J$62,MATCH($A286,Simulations!$A$3:$A$62,0)))))),PI()*INDEX(Simulations!$T$3:$T$62,MATCH($A286,Simulations!$A$3:$A$62,0))^2/2*(LN($G286/INDEX(Simulations!$J$3:$J$62,MATCH($A286,Simulations!$A$3:$A$62,0)))+1)))))</f>
        <v/>
      </c>
      <c r="T286" s="16" t="str">
        <f aca="false">IF(OR($A286="",ISNA(MATCH($A286,Simulations!$A$3:$A$62,0))),"",IF(N($H286)&lt;=0,0,IF($H286&lt;INDEX(Simulations!$J$3:$J$62,MATCH($A286,Simulations!$A$3:$A$62,0)),$D286/(INDEX(Simulations!$G$3:$G$62,MATCH($A286,Simulations!$A$3:$A$62,0))*INDEX(Simulations!$H$3:$H$62,MATCH($A286,Simulations!$A$3:$A$62,0))*IF(INDEX(Simulations!$I$3:$I$62,MATCH($A286,Simulations!$A$3:$A$62,0))&gt;0,INDEX(Simulations!$I$3:$I$62,MATCH($A286,Simulations!$A$3:$A$62,0)),1))*$H286*(PI()/2*INDEX(Simulations!$T$3:$T$62,MATCH($A286,Simulations!$A$3:$A$62,0))^2*IF(INDEX(Simulations!$I$3:$I$62,MATCH($A286,Simulations!$A$3:$A$62,0))&gt;0,SQRT(PI()/2)*INDEX(Simulations!$U$3:$U$62,MATCH($A286,Simulations!$A$3:$A$62,0)),1)),$D286/(INDEX(Simulations!$G$3:$G$62,MATCH($A286,Simulations!$A$3:$A$62,0))*INDEX(Simulations!$H$3:$H$62,MATCH($A286,Simulations!$A$3:$A$62,0))*IF(INDEX(Simulations!$I$3:$I$62,MATCH($A286,Simulations!$A$3:$A$62,0))&gt;0,INDEX(Simulations!$I$3:$I$62,MATCH($A286,Simulations!$A$3:$A$62,0)),1))*INDEX(Simulations!$J$3:$J$62,MATCH($A286,Simulations!$A$3:$A$62,0))*IF(INDEX(Simulations!$I$3:$I$62,MATCH($A286,Simulations!$A$3:$A$62,0))&gt;0,2*PI()*INDEX(Simulations!$T$3:$T$62,MATCH($A286,Simulations!$A$3:$A$62,0))^2*INDEX(Simulations!$U$3:$U$62,MATCH($A286,Simulations!$A$3:$A$62,0))/2^1.5*(2/3*LN($H286/INDEX(Simulations!$J$3:$J$62,MATCH($A286,Simulations!$A$3:$A$62,0)))^1.5+SQRT(LN($H286/INDEX(Simulations!$J$3:$J$62,MATCH($A286,Simulations!$A$3:$A$62,0))))+$H286/INDEX(Simulations!$J$3:$J$62,MATCH($A286,Simulations!$A$3:$A$62,0))*SQRT(PI())/2*ERFC(SQRT(LN($H286/INDEX(Simulations!$J$3:$J$62,MATCH($A286,Simulations!$A$3:$A$62,0)))))),PI()*INDEX(Simulations!$T$3:$T$62,MATCH($A286,Simulations!$A$3:$A$62,0))^2/2*(LN($H286/INDEX(Simulations!$J$3:$J$62,MATCH($A286,Simulations!$A$3:$A$62,0)))+1)))))</f>
        <v/>
      </c>
      <c r="U286" s="18" t="str">
        <f aca="false">IF(OR(OR($A286="",ISNA(MATCH($A286,Simulations!$A$3:$A$62,0))),N($C286)&lt;=0),"",SQRT(2*$C286*1000000/(INDEX(Simulations!$J$3:$J$62,MATCH($A286,Simulations!$A$3:$A$62,0))*1000))/INDEX(Simulations!$T$3:$T$62,MATCH($A286,Simulations!$A$3:$A$62,0)))</f>
        <v/>
      </c>
      <c r="V286" s="19" t="str">
        <f aca="false">IF($A286="","",IF(ISNA(MATCH($A286,Simulations!$A$3:$A$62,0)),"✖ Sim ID not found on the Simulations sheet",IF($P286&gt;=1,"✖ brightness &gt;= sampling frequency: completely saturated (D too small, c too large)",IF($P286&gt;0.1,"⚠ brightness &gt; 10% of the sampling frequency: focus starts to saturate",IF(N($U286)&gt;0.1,"⚠ diffusion step &gt; 10% of wr: raise the sampling frequency",IF(MAX($E286:$H286)=0,"⚠ no brightness set","✔ OK"))))))</f>
        <v/>
      </c>
    </row>
    <row r="287" customFormat="false" ht="15" hidden="false" customHeight="false" outlineLevel="0" collapsed="false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4"/>
      <c r="O287" s="18" t="str">
        <f aca="false">IF(OR($A287="",ISNA(MATCH($A287,Simulations!$A$3:$A$62,0))),"",IF(INDEX(Simulations!$I$3:$I$62,MATCH($A287,Simulations!$A$3:$A$62,0))&gt;0,$D287/(INDEX(Simulations!$G$3:$G$62,MATCH($A287,Simulations!$A$3:$A$62,0))*INDEX(Simulations!$H$3:$H$62,MATCH($A287,Simulations!$A$3:$A$62,0))*IF(INDEX(Simulations!$I$3:$I$62,MATCH($A287,Simulations!$A$3:$A$62,0))&gt;0,INDEX(Simulations!$I$3:$I$62,MATCH($A287,Simulations!$A$3:$A$62,0)),1))/1E-024/6.022E+023/0.000000001,""))</f>
        <v/>
      </c>
      <c r="P287" s="20" t="str">
        <f aca="false">IF(OR($A287="",ISNA(MATCH($A287,Simulations!$A$3:$A$62,0))),"",MAX($E287:$H287)/INDEX(Simulations!$J$3:$J$62,MATCH($A287,Simulations!$A$3:$A$62,0)))</f>
        <v/>
      </c>
      <c r="Q287" s="16" t="str">
        <f aca="false">IF(OR($A287="",ISNA(MATCH($A287,Simulations!$A$3:$A$62,0))),"",IF(N($E287)&lt;=0,0,IF($E287&lt;INDEX(Simulations!$J$3:$J$62,MATCH($A287,Simulations!$A$3:$A$62,0)),$D287/(INDEX(Simulations!$G$3:$G$62,MATCH($A287,Simulations!$A$3:$A$62,0))*INDEX(Simulations!$H$3:$H$62,MATCH($A287,Simulations!$A$3:$A$62,0))*IF(INDEX(Simulations!$I$3:$I$62,MATCH($A287,Simulations!$A$3:$A$62,0))&gt;0,INDEX(Simulations!$I$3:$I$62,MATCH($A287,Simulations!$A$3:$A$62,0)),1))*$E287*(PI()/2*INDEX(Simulations!$T$3:$T$62,MATCH($A287,Simulations!$A$3:$A$62,0))^2*IF(INDEX(Simulations!$I$3:$I$62,MATCH($A287,Simulations!$A$3:$A$62,0))&gt;0,SQRT(PI()/2)*INDEX(Simulations!$U$3:$U$62,MATCH($A287,Simulations!$A$3:$A$62,0)),1)),$D287/(INDEX(Simulations!$G$3:$G$62,MATCH($A287,Simulations!$A$3:$A$62,0))*INDEX(Simulations!$H$3:$H$62,MATCH($A287,Simulations!$A$3:$A$62,0))*IF(INDEX(Simulations!$I$3:$I$62,MATCH($A287,Simulations!$A$3:$A$62,0))&gt;0,INDEX(Simulations!$I$3:$I$62,MATCH($A287,Simulations!$A$3:$A$62,0)),1))*INDEX(Simulations!$J$3:$J$62,MATCH($A287,Simulations!$A$3:$A$62,0))*IF(INDEX(Simulations!$I$3:$I$62,MATCH($A287,Simulations!$A$3:$A$62,0))&gt;0,2*PI()*INDEX(Simulations!$T$3:$T$62,MATCH($A287,Simulations!$A$3:$A$62,0))^2*INDEX(Simulations!$U$3:$U$62,MATCH($A287,Simulations!$A$3:$A$62,0))/2^1.5*(2/3*LN($E287/INDEX(Simulations!$J$3:$J$62,MATCH($A287,Simulations!$A$3:$A$62,0)))^1.5+SQRT(LN($E287/INDEX(Simulations!$J$3:$J$62,MATCH($A287,Simulations!$A$3:$A$62,0))))+$E287/INDEX(Simulations!$J$3:$J$62,MATCH($A287,Simulations!$A$3:$A$62,0))*SQRT(PI())/2*ERFC(SQRT(LN($E287/INDEX(Simulations!$J$3:$J$62,MATCH($A287,Simulations!$A$3:$A$62,0)))))),PI()*INDEX(Simulations!$T$3:$T$62,MATCH($A287,Simulations!$A$3:$A$62,0))^2/2*(LN($E287/INDEX(Simulations!$J$3:$J$62,MATCH($A287,Simulations!$A$3:$A$62,0)))+1)))))</f>
        <v/>
      </c>
      <c r="R287" s="16" t="str">
        <f aca="false">IF(OR($A287="",ISNA(MATCH($A287,Simulations!$A$3:$A$62,0))),"",IF(N($F287)&lt;=0,0,IF($F287&lt;INDEX(Simulations!$J$3:$J$62,MATCH($A287,Simulations!$A$3:$A$62,0)),$D287/(INDEX(Simulations!$G$3:$G$62,MATCH($A287,Simulations!$A$3:$A$62,0))*INDEX(Simulations!$H$3:$H$62,MATCH($A287,Simulations!$A$3:$A$62,0))*IF(INDEX(Simulations!$I$3:$I$62,MATCH($A287,Simulations!$A$3:$A$62,0))&gt;0,INDEX(Simulations!$I$3:$I$62,MATCH($A287,Simulations!$A$3:$A$62,0)),1))*$F287*(PI()/2*INDEX(Simulations!$T$3:$T$62,MATCH($A287,Simulations!$A$3:$A$62,0))^2*IF(INDEX(Simulations!$I$3:$I$62,MATCH($A287,Simulations!$A$3:$A$62,0))&gt;0,SQRT(PI()/2)*INDEX(Simulations!$U$3:$U$62,MATCH($A287,Simulations!$A$3:$A$62,0)),1)),$D287/(INDEX(Simulations!$G$3:$G$62,MATCH($A287,Simulations!$A$3:$A$62,0))*INDEX(Simulations!$H$3:$H$62,MATCH($A287,Simulations!$A$3:$A$62,0))*IF(INDEX(Simulations!$I$3:$I$62,MATCH($A287,Simulations!$A$3:$A$62,0))&gt;0,INDEX(Simulations!$I$3:$I$62,MATCH($A287,Simulations!$A$3:$A$62,0)),1))*INDEX(Simulations!$J$3:$J$62,MATCH($A287,Simulations!$A$3:$A$62,0))*IF(INDEX(Simulations!$I$3:$I$62,MATCH($A287,Simulations!$A$3:$A$62,0))&gt;0,2*PI()*INDEX(Simulations!$T$3:$T$62,MATCH($A287,Simulations!$A$3:$A$62,0))^2*INDEX(Simulations!$U$3:$U$62,MATCH($A287,Simulations!$A$3:$A$62,0))/2^1.5*(2/3*LN($F287/INDEX(Simulations!$J$3:$J$62,MATCH($A287,Simulations!$A$3:$A$62,0)))^1.5+SQRT(LN($F287/INDEX(Simulations!$J$3:$J$62,MATCH($A287,Simulations!$A$3:$A$62,0))))+$F287/INDEX(Simulations!$J$3:$J$62,MATCH($A287,Simulations!$A$3:$A$62,0))*SQRT(PI())/2*ERFC(SQRT(LN($F287/INDEX(Simulations!$J$3:$J$62,MATCH($A287,Simulations!$A$3:$A$62,0)))))),PI()*INDEX(Simulations!$T$3:$T$62,MATCH($A287,Simulations!$A$3:$A$62,0))^2/2*(LN($F287/INDEX(Simulations!$J$3:$J$62,MATCH($A287,Simulations!$A$3:$A$62,0)))+1)))))</f>
        <v/>
      </c>
      <c r="S287" s="16" t="str">
        <f aca="false">IF(OR($A287="",ISNA(MATCH($A287,Simulations!$A$3:$A$62,0))),"",IF(N($G287)&lt;=0,0,IF($G287&lt;INDEX(Simulations!$J$3:$J$62,MATCH($A287,Simulations!$A$3:$A$62,0)),$D287/(INDEX(Simulations!$G$3:$G$62,MATCH($A287,Simulations!$A$3:$A$62,0))*INDEX(Simulations!$H$3:$H$62,MATCH($A287,Simulations!$A$3:$A$62,0))*IF(INDEX(Simulations!$I$3:$I$62,MATCH($A287,Simulations!$A$3:$A$62,0))&gt;0,INDEX(Simulations!$I$3:$I$62,MATCH($A287,Simulations!$A$3:$A$62,0)),1))*$G287*(PI()/2*INDEX(Simulations!$T$3:$T$62,MATCH($A287,Simulations!$A$3:$A$62,0))^2*IF(INDEX(Simulations!$I$3:$I$62,MATCH($A287,Simulations!$A$3:$A$62,0))&gt;0,SQRT(PI()/2)*INDEX(Simulations!$U$3:$U$62,MATCH($A287,Simulations!$A$3:$A$62,0)),1)),$D287/(INDEX(Simulations!$G$3:$G$62,MATCH($A287,Simulations!$A$3:$A$62,0))*INDEX(Simulations!$H$3:$H$62,MATCH($A287,Simulations!$A$3:$A$62,0))*IF(INDEX(Simulations!$I$3:$I$62,MATCH($A287,Simulations!$A$3:$A$62,0))&gt;0,INDEX(Simulations!$I$3:$I$62,MATCH($A287,Simulations!$A$3:$A$62,0)),1))*INDEX(Simulations!$J$3:$J$62,MATCH($A287,Simulations!$A$3:$A$62,0))*IF(INDEX(Simulations!$I$3:$I$62,MATCH($A287,Simulations!$A$3:$A$62,0))&gt;0,2*PI()*INDEX(Simulations!$T$3:$T$62,MATCH($A287,Simulations!$A$3:$A$62,0))^2*INDEX(Simulations!$U$3:$U$62,MATCH($A287,Simulations!$A$3:$A$62,0))/2^1.5*(2/3*LN($G287/INDEX(Simulations!$J$3:$J$62,MATCH($A287,Simulations!$A$3:$A$62,0)))^1.5+SQRT(LN($G287/INDEX(Simulations!$J$3:$J$62,MATCH($A287,Simulations!$A$3:$A$62,0))))+$G287/INDEX(Simulations!$J$3:$J$62,MATCH($A287,Simulations!$A$3:$A$62,0))*SQRT(PI())/2*ERFC(SQRT(LN($G287/INDEX(Simulations!$J$3:$J$62,MATCH($A287,Simulations!$A$3:$A$62,0)))))),PI()*INDEX(Simulations!$T$3:$T$62,MATCH($A287,Simulations!$A$3:$A$62,0))^2/2*(LN($G287/INDEX(Simulations!$J$3:$J$62,MATCH($A287,Simulations!$A$3:$A$62,0)))+1)))))</f>
        <v/>
      </c>
      <c r="T287" s="16" t="str">
        <f aca="false">IF(OR($A287="",ISNA(MATCH($A287,Simulations!$A$3:$A$62,0))),"",IF(N($H287)&lt;=0,0,IF($H287&lt;INDEX(Simulations!$J$3:$J$62,MATCH($A287,Simulations!$A$3:$A$62,0)),$D287/(INDEX(Simulations!$G$3:$G$62,MATCH($A287,Simulations!$A$3:$A$62,0))*INDEX(Simulations!$H$3:$H$62,MATCH($A287,Simulations!$A$3:$A$62,0))*IF(INDEX(Simulations!$I$3:$I$62,MATCH($A287,Simulations!$A$3:$A$62,0))&gt;0,INDEX(Simulations!$I$3:$I$62,MATCH($A287,Simulations!$A$3:$A$62,0)),1))*$H287*(PI()/2*INDEX(Simulations!$T$3:$T$62,MATCH($A287,Simulations!$A$3:$A$62,0))^2*IF(INDEX(Simulations!$I$3:$I$62,MATCH($A287,Simulations!$A$3:$A$62,0))&gt;0,SQRT(PI()/2)*INDEX(Simulations!$U$3:$U$62,MATCH($A287,Simulations!$A$3:$A$62,0)),1)),$D287/(INDEX(Simulations!$G$3:$G$62,MATCH($A287,Simulations!$A$3:$A$62,0))*INDEX(Simulations!$H$3:$H$62,MATCH($A287,Simulations!$A$3:$A$62,0))*IF(INDEX(Simulations!$I$3:$I$62,MATCH($A287,Simulations!$A$3:$A$62,0))&gt;0,INDEX(Simulations!$I$3:$I$62,MATCH($A287,Simulations!$A$3:$A$62,0)),1))*INDEX(Simulations!$J$3:$J$62,MATCH($A287,Simulations!$A$3:$A$62,0))*IF(INDEX(Simulations!$I$3:$I$62,MATCH($A287,Simulations!$A$3:$A$62,0))&gt;0,2*PI()*INDEX(Simulations!$T$3:$T$62,MATCH($A287,Simulations!$A$3:$A$62,0))^2*INDEX(Simulations!$U$3:$U$62,MATCH($A287,Simulations!$A$3:$A$62,0))/2^1.5*(2/3*LN($H287/INDEX(Simulations!$J$3:$J$62,MATCH($A287,Simulations!$A$3:$A$62,0)))^1.5+SQRT(LN($H287/INDEX(Simulations!$J$3:$J$62,MATCH($A287,Simulations!$A$3:$A$62,0))))+$H287/INDEX(Simulations!$J$3:$J$62,MATCH($A287,Simulations!$A$3:$A$62,0))*SQRT(PI())/2*ERFC(SQRT(LN($H287/INDEX(Simulations!$J$3:$J$62,MATCH($A287,Simulations!$A$3:$A$62,0)))))),PI()*INDEX(Simulations!$T$3:$T$62,MATCH($A287,Simulations!$A$3:$A$62,0))^2/2*(LN($H287/INDEX(Simulations!$J$3:$J$62,MATCH($A287,Simulations!$A$3:$A$62,0)))+1)))))</f>
        <v/>
      </c>
      <c r="U287" s="18" t="str">
        <f aca="false">IF(OR(OR($A287="",ISNA(MATCH($A287,Simulations!$A$3:$A$62,0))),N($C287)&lt;=0),"",SQRT(2*$C287*1000000/(INDEX(Simulations!$J$3:$J$62,MATCH($A287,Simulations!$A$3:$A$62,0))*1000))/INDEX(Simulations!$T$3:$T$62,MATCH($A287,Simulations!$A$3:$A$62,0)))</f>
        <v/>
      </c>
      <c r="V287" s="19" t="str">
        <f aca="false">IF($A287="","",IF(ISNA(MATCH($A287,Simulations!$A$3:$A$62,0)),"✖ Sim ID not found on the Simulations sheet",IF($P287&gt;=1,"✖ brightness &gt;= sampling frequency: completely saturated (D too small, c too large)",IF($P287&gt;0.1,"⚠ brightness &gt; 10% of the sampling frequency: focus starts to saturate",IF(N($U287)&gt;0.1,"⚠ diffusion step &gt; 10% of wr: raise the sampling frequency",IF(MAX($E287:$H287)=0,"⚠ no brightness set","✔ OK"))))))</f>
        <v/>
      </c>
    </row>
    <row r="288" customFormat="false" ht="15" hidden="false" customHeight="false" outlineLevel="0" collapsed="false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4"/>
      <c r="O288" s="18" t="str">
        <f aca="false">IF(OR($A288="",ISNA(MATCH($A288,Simulations!$A$3:$A$62,0))),"",IF(INDEX(Simulations!$I$3:$I$62,MATCH($A288,Simulations!$A$3:$A$62,0))&gt;0,$D288/(INDEX(Simulations!$G$3:$G$62,MATCH($A288,Simulations!$A$3:$A$62,0))*INDEX(Simulations!$H$3:$H$62,MATCH($A288,Simulations!$A$3:$A$62,0))*IF(INDEX(Simulations!$I$3:$I$62,MATCH($A288,Simulations!$A$3:$A$62,0))&gt;0,INDEX(Simulations!$I$3:$I$62,MATCH($A288,Simulations!$A$3:$A$62,0)),1))/1E-024/6.022E+023/0.000000001,""))</f>
        <v/>
      </c>
      <c r="P288" s="20" t="str">
        <f aca="false">IF(OR($A288="",ISNA(MATCH($A288,Simulations!$A$3:$A$62,0))),"",MAX($E288:$H288)/INDEX(Simulations!$J$3:$J$62,MATCH($A288,Simulations!$A$3:$A$62,0)))</f>
        <v/>
      </c>
      <c r="Q288" s="16" t="str">
        <f aca="false">IF(OR($A288="",ISNA(MATCH($A288,Simulations!$A$3:$A$62,0))),"",IF(N($E288)&lt;=0,0,IF($E288&lt;INDEX(Simulations!$J$3:$J$62,MATCH($A288,Simulations!$A$3:$A$62,0)),$D288/(INDEX(Simulations!$G$3:$G$62,MATCH($A288,Simulations!$A$3:$A$62,0))*INDEX(Simulations!$H$3:$H$62,MATCH($A288,Simulations!$A$3:$A$62,0))*IF(INDEX(Simulations!$I$3:$I$62,MATCH($A288,Simulations!$A$3:$A$62,0))&gt;0,INDEX(Simulations!$I$3:$I$62,MATCH($A288,Simulations!$A$3:$A$62,0)),1))*$E288*(PI()/2*INDEX(Simulations!$T$3:$T$62,MATCH($A288,Simulations!$A$3:$A$62,0))^2*IF(INDEX(Simulations!$I$3:$I$62,MATCH($A288,Simulations!$A$3:$A$62,0))&gt;0,SQRT(PI()/2)*INDEX(Simulations!$U$3:$U$62,MATCH($A288,Simulations!$A$3:$A$62,0)),1)),$D288/(INDEX(Simulations!$G$3:$G$62,MATCH($A288,Simulations!$A$3:$A$62,0))*INDEX(Simulations!$H$3:$H$62,MATCH($A288,Simulations!$A$3:$A$62,0))*IF(INDEX(Simulations!$I$3:$I$62,MATCH($A288,Simulations!$A$3:$A$62,0))&gt;0,INDEX(Simulations!$I$3:$I$62,MATCH($A288,Simulations!$A$3:$A$62,0)),1))*INDEX(Simulations!$J$3:$J$62,MATCH($A288,Simulations!$A$3:$A$62,0))*IF(INDEX(Simulations!$I$3:$I$62,MATCH($A288,Simulations!$A$3:$A$62,0))&gt;0,2*PI()*INDEX(Simulations!$T$3:$T$62,MATCH($A288,Simulations!$A$3:$A$62,0))^2*INDEX(Simulations!$U$3:$U$62,MATCH($A288,Simulations!$A$3:$A$62,0))/2^1.5*(2/3*LN($E288/INDEX(Simulations!$J$3:$J$62,MATCH($A288,Simulations!$A$3:$A$62,0)))^1.5+SQRT(LN($E288/INDEX(Simulations!$J$3:$J$62,MATCH($A288,Simulations!$A$3:$A$62,0))))+$E288/INDEX(Simulations!$J$3:$J$62,MATCH($A288,Simulations!$A$3:$A$62,0))*SQRT(PI())/2*ERFC(SQRT(LN($E288/INDEX(Simulations!$J$3:$J$62,MATCH($A288,Simulations!$A$3:$A$62,0)))))),PI()*INDEX(Simulations!$T$3:$T$62,MATCH($A288,Simulations!$A$3:$A$62,0))^2/2*(LN($E288/INDEX(Simulations!$J$3:$J$62,MATCH($A288,Simulations!$A$3:$A$62,0)))+1)))))</f>
        <v/>
      </c>
      <c r="R288" s="16" t="str">
        <f aca="false">IF(OR($A288="",ISNA(MATCH($A288,Simulations!$A$3:$A$62,0))),"",IF(N($F288)&lt;=0,0,IF($F288&lt;INDEX(Simulations!$J$3:$J$62,MATCH($A288,Simulations!$A$3:$A$62,0)),$D288/(INDEX(Simulations!$G$3:$G$62,MATCH($A288,Simulations!$A$3:$A$62,0))*INDEX(Simulations!$H$3:$H$62,MATCH($A288,Simulations!$A$3:$A$62,0))*IF(INDEX(Simulations!$I$3:$I$62,MATCH($A288,Simulations!$A$3:$A$62,0))&gt;0,INDEX(Simulations!$I$3:$I$62,MATCH($A288,Simulations!$A$3:$A$62,0)),1))*$F288*(PI()/2*INDEX(Simulations!$T$3:$T$62,MATCH($A288,Simulations!$A$3:$A$62,0))^2*IF(INDEX(Simulations!$I$3:$I$62,MATCH($A288,Simulations!$A$3:$A$62,0))&gt;0,SQRT(PI()/2)*INDEX(Simulations!$U$3:$U$62,MATCH($A288,Simulations!$A$3:$A$62,0)),1)),$D288/(INDEX(Simulations!$G$3:$G$62,MATCH($A288,Simulations!$A$3:$A$62,0))*INDEX(Simulations!$H$3:$H$62,MATCH($A288,Simulations!$A$3:$A$62,0))*IF(INDEX(Simulations!$I$3:$I$62,MATCH($A288,Simulations!$A$3:$A$62,0))&gt;0,INDEX(Simulations!$I$3:$I$62,MATCH($A288,Simulations!$A$3:$A$62,0)),1))*INDEX(Simulations!$J$3:$J$62,MATCH($A288,Simulations!$A$3:$A$62,0))*IF(INDEX(Simulations!$I$3:$I$62,MATCH($A288,Simulations!$A$3:$A$62,0))&gt;0,2*PI()*INDEX(Simulations!$T$3:$T$62,MATCH($A288,Simulations!$A$3:$A$62,0))^2*INDEX(Simulations!$U$3:$U$62,MATCH($A288,Simulations!$A$3:$A$62,0))/2^1.5*(2/3*LN($F288/INDEX(Simulations!$J$3:$J$62,MATCH($A288,Simulations!$A$3:$A$62,0)))^1.5+SQRT(LN($F288/INDEX(Simulations!$J$3:$J$62,MATCH($A288,Simulations!$A$3:$A$62,0))))+$F288/INDEX(Simulations!$J$3:$J$62,MATCH($A288,Simulations!$A$3:$A$62,0))*SQRT(PI())/2*ERFC(SQRT(LN($F288/INDEX(Simulations!$J$3:$J$62,MATCH($A288,Simulations!$A$3:$A$62,0)))))),PI()*INDEX(Simulations!$T$3:$T$62,MATCH($A288,Simulations!$A$3:$A$62,0))^2/2*(LN($F288/INDEX(Simulations!$J$3:$J$62,MATCH($A288,Simulations!$A$3:$A$62,0)))+1)))))</f>
        <v/>
      </c>
      <c r="S288" s="16" t="str">
        <f aca="false">IF(OR($A288="",ISNA(MATCH($A288,Simulations!$A$3:$A$62,0))),"",IF(N($G288)&lt;=0,0,IF($G288&lt;INDEX(Simulations!$J$3:$J$62,MATCH($A288,Simulations!$A$3:$A$62,0)),$D288/(INDEX(Simulations!$G$3:$G$62,MATCH($A288,Simulations!$A$3:$A$62,0))*INDEX(Simulations!$H$3:$H$62,MATCH($A288,Simulations!$A$3:$A$62,0))*IF(INDEX(Simulations!$I$3:$I$62,MATCH($A288,Simulations!$A$3:$A$62,0))&gt;0,INDEX(Simulations!$I$3:$I$62,MATCH($A288,Simulations!$A$3:$A$62,0)),1))*$G288*(PI()/2*INDEX(Simulations!$T$3:$T$62,MATCH($A288,Simulations!$A$3:$A$62,0))^2*IF(INDEX(Simulations!$I$3:$I$62,MATCH($A288,Simulations!$A$3:$A$62,0))&gt;0,SQRT(PI()/2)*INDEX(Simulations!$U$3:$U$62,MATCH($A288,Simulations!$A$3:$A$62,0)),1)),$D288/(INDEX(Simulations!$G$3:$G$62,MATCH($A288,Simulations!$A$3:$A$62,0))*INDEX(Simulations!$H$3:$H$62,MATCH($A288,Simulations!$A$3:$A$62,0))*IF(INDEX(Simulations!$I$3:$I$62,MATCH($A288,Simulations!$A$3:$A$62,0))&gt;0,INDEX(Simulations!$I$3:$I$62,MATCH($A288,Simulations!$A$3:$A$62,0)),1))*INDEX(Simulations!$J$3:$J$62,MATCH($A288,Simulations!$A$3:$A$62,0))*IF(INDEX(Simulations!$I$3:$I$62,MATCH($A288,Simulations!$A$3:$A$62,0))&gt;0,2*PI()*INDEX(Simulations!$T$3:$T$62,MATCH($A288,Simulations!$A$3:$A$62,0))^2*INDEX(Simulations!$U$3:$U$62,MATCH($A288,Simulations!$A$3:$A$62,0))/2^1.5*(2/3*LN($G288/INDEX(Simulations!$J$3:$J$62,MATCH($A288,Simulations!$A$3:$A$62,0)))^1.5+SQRT(LN($G288/INDEX(Simulations!$J$3:$J$62,MATCH($A288,Simulations!$A$3:$A$62,0))))+$G288/INDEX(Simulations!$J$3:$J$62,MATCH($A288,Simulations!$A$3:$A$62,0))*SQRT(PI())/2*ERFC(SQRT(LN($G288/INDEX(Simulations!$J$3:$J$62,MATCH($A288,Simulations!$A$3:$A$62,0)))))),PI()*INDEX(Simulations!$T$3:$T$62,MATCH($A288,Simulations!$A$3:$A$62,0))^2/2*(LN($G288/INDEX(Simulations!$J$3:$J$62,MATCH($A288,Simulations!$A$3:$A$62,0)))+1)))))</f>
        <v/>
      </c>
      <c r="T288" s="16" t="str">
        <f aca="false">IF(OR($A288="",ISNA(MATCH($A288,Simulations!$A$3:$A$62,0))),"",IF(N($H288)&lt;=0,0,IF($H288&lt;INDEX(Simulations!$J$3:$J$62,MATCH($A288,Simulations!$A$3:$A$62,0)),$D288/(INDEX(Simulations!$G$3:$G$62,MATCH($A288,Simulations!$A$3:$A$62,0))*INDEX(Simulations!$H$3:$H$62,MATCH($A288,Simulations!$A$3:$A$62,0))*IF(INDEX(Simulations!$I$3:$I$62,MATCH($A288,Simulations!$A$3:$A$62,0))&gt;0,INDEX(Simulations!$I$3:$I$62,MATCH($A288,Simulations!$A$3:$A$62,0)),1))*$H288*(PI()/2*INDEX(Simulations!$T$3:$T$62,MATCH($A288,Simulations!$A$3:$A$62,0))^2*IF(INDEX(Simulations!$I$3:$I$62,MATCH($A288,Simulations!$A$3:$A$62,0))&gt;0,SQRT(PI()/2)*INDEX(Simulations!$U$3:$U$62,MATCH($A288,Simulations!$A$3:$A$62,0)),1)),$D288/(INDEX(Simulations!$G$3:$G$62,MATCH($A288,Simulations!$A$3:$A$62,0))*INDEX(Simulations!$H$3:$H$62,MATCH($A288,Simulations!$A$3:$A$62,0))*IF(INDEX(Simulations!$I$3:$I$62,MATCH($A288,Simulations!$A$3:$A$62,0))&gt;0,INDEX(Simulations!$I$3:$I$62,MATCH($A288,Simulations!$A$3:$A$62,0)),1))*INDEX(Simulations!$J$3:$J$62,MATCH($A288,Simulations!$A$3:$A$62,0))*IF(INDEX(Simulations!$I$3:$I$62,MATCH($A288,Simulations!$A$3:$A$62,0))&gt;0,2*PI()*INDEX(Simulations!$T$3:$T$62,MATCH($A288,Simulations!$A$3:$A$62,0))^2*INDEX(Simulations!$U$3:$U$62,MATCH($A288,Simulations!$A$3:$A$62,0))/2^1.5*(2/3*LN($H288/INDEX(Simulations!$J$3:$J$62,MATCH($A288,Simulations!$A$3:$A$62,0)))^1.5+SQRT(LN($H288/INDEX(Simulations!$J$3:$J$62,MATCH($A288,Simulations!$A$3:$A$62,0))))+$H288/INDEX(Simulations!$J$3:$J$62,MATCH($A288,Simulations!$A$3:$A$62,0))*SQRT(PI())/2*ERFC(SQRT(LN($H288/INDEX(Simulations!$J$3:$J$62,MATCH($A288,Simulations!$A$3:$A$62,0)))))),PI()*INDEX(Simulations!$T$3:$T$62,MATCH($A288,Simulations!$A$3:$A$62,0))^2/2*(LN($H288/INDEX(Simulations!$J$3:$J$62,MATCH($A288,Simulations!$A$3:$A$62,0)))+1)))))</f>
        <v/>
      </c>
      <c r="U288" s="18" t="str">
        <f aca="false">IF(OR(OR($A288="",ISNA(MATCH($A288,Simulations!$A$3:$A$62,0))),N($C288)&lt;=0),"",SQRT(2*$C288*1000000/(INDEX(Simulations!$J$3:$J$62,MATCH($A288,Simulations!$A$3:$A$62,0))*1000))/INDEX(Simulations!$T$3:$T$62,MATCH($A288,Simulations!$A$3:$A$62,0)))</f>
        <v/>
      </c>
      <c r="V288" s="19" t="str">
        <f aca="false">IF($A288="","",IF(ISNA(MATCH($A288,Simulations!$A$3:$A$62,0)),"✖ Sim ID not found on the Simulations sheet",IF($P288&gt;=1,"✖ brightness &gt;= sampling frequency: completely saturated (D too small, c too large)",IF($P288&gt;0.1,"⚠ brightness &gt; 10% of the sampling frequency: focus starts to saturate",IF(N($U288)&gt;0.1,"⚠ diffusion step &gt; 10% of wr: raise the sampling frequency",IF(MAX($E288:$H288)=0,"⚠ no brightness set","✔ OK"))))))</f>
        <v/>
      </c>
    </row>
    <row r="289" customFormat="false" ht="15" hidden="false" customHeight="false" outlineLevel="0" collapsed="false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4"/>
      <c r="O289" s="18" t="str">
        <f aca="false">IF(OR($A289="",ISNA(MATCH($A289,Simulations!$A$3:$A$62,0))),"",IF(INDEX(Simulations!$I$3:$I$62,MATCH($A289,Simulations!$A$3:$A$62,0))&gt;0,$D289/(INDEX(Simulations!$G$3:$G$62,MATCH($A289,Simulations!$A$3:$A$62,0))*INDEX(Simulations!$H$3:$H$62,MATCH($A289,Simulations!$A$3:$A$62,0))*IF(INDEX(Simulations!$I$3:$I$62,MATCH($A289,Simulations!$A$3:$A$62,0))&gt;0,INDEX(Simulations!$I$3:$I$62,MATCH($A289,Simulations!$A$3:$A$62,0)),1))/1E-024/6.022E+023/0.000000001,""))</f>
        <v/>
      </c>
      <c r="P289" s="20" t="str">
        <f aca="false">IF(OR($A289="",ISNA(MATCH($A289,Simulations!$A$3:$A$62,0))),"",MAX($E289:$H289)/INDEX(Simulations!$J$3:$J$62,MATCH($A289,Simulations!$A$3:$A$62,0)))</f>
        <v/>
      </c>
      <c r="Q289" s="16" t="str">
        <f aca="false">IF(OR($A289="",ISNA(MATCH($A289,Simulations!$A$3:$A$62,0))),"",IF(N($E289)&lt;=0,0,IF($E289&lt;INDEX(Simulations!$J$3:$J$62,MATCH($A289,Simulations!$A$3:$A$62,0)),$D289/(INDEX(Simulations!$G$3:$G$62,MATCH($A289,Simulations!$A$3:$A$62,0))*INDEX(Simulations!$H$3:$H$62,MATCH($A289,Simulations!$A$3:$A$62,0))*IF(INDEX(Simulations!$I$3:$I$62,MATCH($A289,Simulations!$A$3:$A$62,0))&gt;0,INDEX(Simulations!$I$3:$I$62,MATCH($A289,Simulations!$A$3:$A$62,0)),1))*$E289*(PI()/2*INDEX(Simulations!$T$3:$T$62,MATCH($A289,Simulations!$A$3:$A$62,0))^2*IF(INDEX(Simulations!$I$3:$I$62,MATCH($A289,Simulations!$A$3:$A$62,0))&gt;0,SQRT(PI()/2)*INDEX(Simulations!$U$3:$U$62,MATCH($A289,Simulations!$A$3:$A$62,0)),1)),$D289/(INDEX(Simulations!$G$3:$G$62,MATCH($A289,Simulations!$A$3:$A$62,0))*INDEX(Simulations!$H$3:$H$62,MATCH($A289,Simulations!$A$3:$A$62,0))*IF(INDEX(Simulations!$I$3:$I$62,MATCH($A289,Simulations!$A$3:$A$62,0))&gt;0,INDEX(Simulations!$I$3:$I$62,MATCH($A289,Simulations!$A$3:$A$62,0)),1))*INDEX(Simulations!$J$3:$J$62,MATCH($A289,Simulations!$A$3:$A$62,0))*IF(INDEX(Simulations!$I$3:$I$62,MATCH($A289,Simulations!$A$3:$A$62,0))&gt;0,2*PI()*INDEX(Simulations!$T$3:$T$62,MATCH($A289,Simulations!$A$3:$A$62,0))^2*INDEX(Simulations!$U$3:$U$62,MATCH($A289,Simulations!$A$3:$A$62,0))/2^1.5*(2/3*LN($E289/INDEX(Simulations!$J$3:$J$62,MATCH($A289,Simulations!$A$3:$A$62,0)))^1.5+SQRT(LN($E289/INDEX(Simulations!$J$3:$J$62,MATCH($A289,Simulations!$A$3:$A$62,0))))+$E289/INDEX(Simulations!$J$3:$J$62,MATCH($A289,Simulations!$A$3:$A$62,0))*SQRT(PI())/2*ERFC(SQRT(LN($E289/INDEX(Simulations!$J$3:$J$62,MATCH($A289,Simulations!$A$3:$A$62,0)))))),PI()*INDEX(Simulations!$T$3:$T$62,MATCH($A289,Simulations!$A$3:$A$62,0))^2/2*(LN($E289/INDEX(Simulations!$J$3:$J$62,MATCH($A289,Simulations!$A$3:$A$62,0)))+1)))))</f>
        <v/>
      </c>
      <c r="R289" s="16" t="str">
        <f aca="false">IF(OR($A289="",ISNA(MATCH($A289,Simulations!$A$3:$A$62,0))),"",IF(N($F289)&lt;=0,0,IF($F289&lt;INDEX(Simulations!$J$3:$J$62,MATCH($A289,Simulations!$A$3:$A$62,0)),$D289/(INDEX(Simulations!$G$3:$G$62,MATCH($A289,Simulations!$A$3:$A$62,0))*INDEX(Simulations!$H$3:$H$62,MATCH($A289,Simulations!$A$3:$A$62,0))*IF(INDEX(Simulations!$I$3:$I$62,MATCH($A289,Simulations!$A$3:$A$62,0))&gt;0,INDEX(Simulations!$I$3:$I$62,MATCH($A289,Simulations!$A$3:$A$62,0)),1))*$F289*(PI()/2*INDEX(Simulations!$T$3:$T$62,MATCH($A289,Simulations!$A$3:$A$62,0))^2*IF(INDEX(Simulations!$I$3:$I$62,MATCH($A289,Simulations!$A$3:$A$62,0))&gt;0,SQRT(PI()/2)*INDEX(Simulations!$U$3:$U$62,MATCH($A289,Simulations!$A$3:$A$62,0)),1)),$D289/(INDEX(Simulations!$G$3:$G$62,MATCH($A289,Simulations!$A$3:$A$62,0))*INDEX(Simulations!$H$3:$H$62,MATCH($A289,Simulations!$A$3:$A$62,0))*IF(INDEX(Simulations!$I$3:$I$62,MATCH($A289,Simulations!$A$3:$A$62,0))&gt;0,INDEX(Simulations!$I$3:$I$62,MATCH($A289,Simulations!$A$3:$A$62,0)),1))*INDEX(Simulations!$J$3:$J$62,MATCH($A289,Simulations!$A$3:$A$62,0))*IF(INDEX(Simulations!$I$3:$I$62,MATCH($A289,Simulations!$A$3:$A$62,0))&gt;0,2*PI()*INDEX(Simulations!$T$3:$T$62,MATCH($A289,Simulations!$A$3:$A$62,0))^2*INDEX(Simulations!$U$3:$U$62,MATCH($A289,Simulations!$A$3:$A$62,0))/2^1.5*(2/3*LN($F289/INDEX(Simulations!$J$3:$J$62,MATCH($A289,Simulations!$A$3:$A$62,0)))^1.5+SQRT(LN($F289/INDEX(Simulations!$J$3:$J$62,MATCH($A289,Simulations!$A$3:$A$62,0))))+$F289/INDEX(Simulations!$J$3:$J$62,MATCH($A289,Simulations!$A$3:$A$62,0))*SQRT(PI())/2*ERFC(SQRT(LN($F289/INDEX(Simulations!$J$3:$J$62,MATCH($A289,Simulations!$A$3:$A$62,0)))))),PI()*INDEX(Simulations!$T$3:$T$62,MATCH($A289,Simulations!$A$3:$A$62,0))^2/2*(LN($F289/INDEX(Simulations!$J$3:$J$62,MATCH($A289,Simulations!$A$3:$A$62,0)))+1)))))</f>
        <v/>
      </c>
      <c r="S289" s="16" t="str">
        <f aca="false">IF(OR($A289="",ISNA(MATCH($A289,Simulations!$A$3:$A$62,0))),"",IF(N($G289)&lt;=0,0,IF($G289&lt;INDEX(Simulations!$J$3:$J$62,MATCH($A289,Simulations!$A$3:$A$62,0)),$D289/(INDEX(Simulations!$G$3:$G$62,MATCH($A289,Simulations!$A$3:$A$62,0))*INDEX(Simulations!$H$3:$H$62,MATCH($A289,Simulations!$A$3:$A$62,0))*IF(INDEX(Simulations!$I$3:$I$62,MATCH($A289,Simulations!$A$3:$A$62,0))&gt;0,INDEX(Simulations!$I$3:$I$62,MATCH($A289,Simulations!$A$3:$A$62,0)),1))*$G289*(PI()/2*INDEX(Simulations!$T$3:$T$62,MATCH($A289,Simulations!$A$3:$A$62,0))^2*IF(INDEX(Simulations!$I$3:$I$62,MATCH($A289,Simulations!$A$3:$A$62,0))&gt;0,SQRT(PI()/2)*INDEX(Simulations!$U$3:$U$62,MATCH($A289,Simulations!$A$3:$A$62,0)),1)),$D289/(INDEX(Simulations!$G$3:$G$62,MATCH($A289,Simulations!$A$3:$A$62,0))*INDEX(Simulations!$H$3:$H$62,MATCH($A289,Simulations!$A$3:$A$62,0))*IF(INDEX(Simulations!$I$3:$I$62,MATCH($A289,Simulations!$A$3:$A$62,0))&gt;0,INDEX(Simulations!$I$3:$I$62,MATCH($A289,Simulations!$A$3:$A$62,0)),1))*INDEX(Simulations!$J$3:$J$62,MATCH($A289,Simulations!$A$3:$A$62,0))*IF(INDEX(Simulations!$I$3:$I$62,MATCH($A289,Simulations!$A$3:$A$62,0))&gt;0,2*PI()*INDEX(Simulations!$T$3:$T$62,MATCH($A289,Simulations!$A$3:$A$62,0))^2*INDEX(Simulations!$U$3:$U$62,MATCH($A289,Simulations!$A$3:$A$62,0))/2^1.5*(2/3*LN($G289/INDEX(Simulations!$J$3:$J$62,MATCH($A289,Simulations!$A$3:$A$62,0)))^1.5+SQRT(LN($G289/INDEX(Simulations!$J$3:$J$62,MATCH($A289,Simulations!$A$3:$A$62,0))))+$G289/INDEX(Simulations!$J$3:$J$62,MATCH($A289,Simulations!$A$3:$A$62,0))*SQRT(PI())/2*ERFC(SQRT(LN($G289/INDEX(Simulations!$J$3:$J$62,MATCH($A289,Simulations!$A$3:$A$62,0)))))),PI()*INDEX(Simulations!$T$3:$T$62,MATCH($A289,Simulations!$A$3:$A$62,0))^2/2*(LN($G289/INDEX(Simulations!$J$3:$J$62,MATCH($A289,Simulations!$A$3:$A$62,0)))+1)))))</f>
        <v/>
      </c>
      <c r="T289" s="16" t="str">
        <f aca="false">IF(OR($A289="",ISNA(MATCH($A289,Simulations!$A$3:$A$62,0))),"",IF(N($H289)&lt;=0,0,IF($H289&lt;INDEX(Simulations!$J$3:$J$62,MATCH($A289,Simulations!$A$3:$A$62,0)),$D289/(INDEX(Simulations!$G$3:$G$62,MATCH($A289,Simulations!$A$3:$A$62,0))*INDEX(Simulations!$H$3:$H$62,MATCH($A289,Simulations!$A$3:$A$62,0))*IF(INDEX(Simulations!$I$3:$I$62,MATCH($A289,Simulations!$A$3:$A$62,0))&gt;0,INDEX(Simulations!$I$3:$I$62,MATCH($A289,Simulations!$A$3:$A$62,0)),1))*$H289*(PI()/2*INDEX(Simulations!$T$3:$T$62,MATCH($A289,Simulations!$A$3:$A$62,0))^2*IF(INDEX(Simulations!$I$3:$I$62,MATCH($A289,Simulations!$A$3:$A$62,0))&gt;0,SQRT(PI()/2)*INDEX(Simulations!$U$3:$U$62,MATCH($A289,Simulations!$A$3:$A$62,0)),1)),$D289/(INDEX(Simulations!$G$3:$G$62,MATCH($A289,Simulations!$A$3:$A$62,0))*INDEX(Simulations!$H$3:$H$62,MATCH($A289,Simulations!$A$3:$A$62,0))*IF(INDEX(Simulations!$I$3:$I$62,MATCH($A289,Simulations!$A$3:$A$62,0))&gt;0,INDEX(Simulations!$I$3:$I$62,MATCH($A289,Simulations!$A$3:$A$62,0)),1))*INDEX(Simulations!$J$3:$J$62,MATCH($A289,Simulations!$A$3:$A$62,0))*IF(INDEX(Simulations!$I$3:$I$62,MATCH($A289,Simulations!$A$3:$A$62,0))&gt;0,2*PI()*INDEX(Simulations!$T$3:$T$62,MATCH($A289,Simulations!$A$3:$A$62,0))^2*INDEX(Simulations!$U$3:$U$62,MATCH($A289,Simulations!$A$3:$A$62,0))/2^1.5*(2/3*LN($H289/INDEX(Simulations!$J$3:$J$62,MATCH($A289,Simulations!$A$3:$A$62,0)))^1.5+SQRT(LN($H289/INDEX(Simulations!$J$3:$J$62,MATCH($A289,Simulations!$A$3:$A$62,0))))+$H289/INDEX(Simulations!$J$3:$J$62,MATCH($A289,Simulations!$A$3:$A$62,0))*SQRT(PI())/2*ERFC(SQRT(LN($H289/INDEX(Simulations!$J$3:$J$62,MATCH($A289,Simulations!$A$3:$A$62,0)))))),PI()*INDEX(Simulations!$T$3:$T$62,MATCH($A289,Simulations!$A$3:$A$62,0))^2/2*(LN($H289/INDEX(Simulations!$J$3:$J$62,MATCH($A289,Simulations!$A$3:$A$62,0)))+1)))))</f>
        <v/>
      </c>
      <c r="U289" s="18" t="str">
        <f aca="false">IF(OR(OR($A289="",ISNA(MATCH($A289,Simulations!$A$3:$A$62,0))),N($C289)&lt;=0),"",SQRT(2*$C289*1000000/(INDEX(Simulations!$J$3:$J$62,MATCH($A289,Simulations!$A$3:$A$62,0))*1000))/INDEX(Simulations!$T$3:$T$62,MATCH($A289,Simulations!$A$3:$A$62,0)))</f>
        <v/>
      </c>
      <c r="V289" s="19" t="str">
        <f aca="false">IF($A289="","",IF(ISNA(MATCH($A289,Simulations!$A$3:$A$62,0)),"✖ Sim ID not found on the Simulations sheet",IF($P289&gt;=1,"✖ brightness &gt;= sampling frequency: completely saturated (D too small, c too large)",IF($P289&gt;0.1,"⚠ brightness &gt; 10% of the sampling frequency: focus starts to saturate",IF(N($U289)&gt;0.1,"⚠ diffusion step &gt; 10% of wr: raise the sampling frequency",IF(MAX($E289:$H289)=0,"⚠ no brightness set","✔ OK"))))))</f>
        <v/>
      </c>
    </row>
    <row r="290" customFormat="false" ht="15" hidden="false" customHeight="false" outlineLevel="0" collapsed="false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4"/>
      <c r="O290" s="18" t="str">
        <f aca="false">IF(OR($A290="",ISNA(MATCH($A290,Simulations!$A$3:$A$62,0))),"",IF(INDEX(Simulations!$I$3:$I$62,MATCH($A290,Simulations!$A$3:$A$62,0))&gt;0,$D290/(INDEX(Simulations!$G$3:$G$62,MATCH($A290,Simulations!$A$3:$A$62,0))*INDEX(Simulations!$H$3:$H$62,MATCH($A290,Simulations!$A$3:$A$62,0))*IF(INDEX(Simulations!$I$3:$I$62,MATCH($A290,Simulations!$A$3:$A$62,0))&gt;0,INDEX(Simulations!$I$3:$I$62,MATCH($A290,Simulations!$A$3:$A$62,0)),1))/1E-024/6.022E+023/0.000000001,""))</f>
        <v/>
      </c>
      <c r="P290" s="20" t="str">
        <f aca="false">IF(OR($A290="",ISNA(MATCH($A290,Simulations!$A$3:$A$62,0))),"",MAX($E290:$H290)/INDEX(Simulations!$J$3:$J$62,MATCH($A290,Simulations!$A$3:$A$62,0)))</f>
        <v/>
      </c>
      <c r="Q290" s="16" t="str">
        <f aca="false">IF(OR($A290="",ISNA(MATCH($A290,Simulations!$A$3:$A$62,0))),"",IF(N($E290)&lt;=0,0,IF($E290&lt;INDEX(Simulations!$J$3:$J$62,MATCH($A290,Simulations!$A$3:$A$62,0)),$D290/(INDEX(Simulations!$G$3:$G$62,MATCH($A290,Simulations!$A$3:$A$62,0))*INDEX(Simulations!$H$3:$H$62,MATCH($A290,Simulations!$A$3:$A$62,0))*IF(INDEX(Simulations!$I$3:$I$62,MATCH($A290,Simulations!$A$3:$A$62,0))&gt;0,INDEX(Simulations!$I$3:$I$62,MATCH($A290,Simulations!$A$3:$A$62,0)),1))*$E290*(PI()/2*INDEX(Simulations!$T$3:$T$62,MATCH($A290,Simulations!$A$3:$A$62,0))^2*IF(INDEX(Simulations!$I$3:$I$62,MATCH($A290,Simulations!$A$3:$A$62,0))&gt;0,SQRT(PI()/2)*INDEX(Simulations!$U$3:$U$62,MATCH($A290,Simulations!$A$3:$A$62,0)),1)),$D290/(INDEX(Simulations!$G$3:$G$62,MATCH($A290,Simulations!$A$3:$A$62,0))*INDEX(Simulations!$H$3:$H$62,MATCH($A290,Simulations!$A$3:$A$62,0))*IF(INDEX(Simulations!$I$3:$I$62,MATCH($A290,Simulations!$A$3:$A$62,0))&gt;0,INDEX(Simulations!$I$3:$I$62,MATCH($A290,Simulations!$A$3:$A$62,0)),1))*INDEX(Simulations!$J$3:$J$62,MATCH($A290,Simulations!$A$3:$A$62,0))*IF(INDEX(Simulations!$I$3:$I$62,MATCH($A290,Simulations!$A$3:$A$62,0))&gt;0,2*PI()*INDEX(Simulations!$T$3:$T$62,MATCH($A290,Simulations!$A$3:$A$62,0))^2*INDEX(Simulations!$U$3:$U$62,MATCH($A290,Simulations!$A$3:$A$62,0))/2^1.5*(2/3*LN($E290/INDEX(Simulations!$J$3:$J$62,MATCH($A290,Simulations!$A$3:$A$62,0)))^1.5+SQRT(LN($E290/INDEX(Simulations!$J$3:$J$62,MATCH($A290,Simulations!$A$3:$A$62,0))))+$E290/INDEX(Simulations!$J$3:$J$62,MATCH($A290,Simulations!$A$3:$A$62,0))*SQRT(PI())/2*ERFC(SQRT(LN($E290/INDEX(Simulations!$J$3:$J$62,MATCH($A290,Simulations!$A$3:$A$62,0)))))),PI()*INDEX(Simulations!$T$3:$T$62,MATCH($A290,Simulations!$A$3:$A$62,0))^2/2*(LN($E290/INDEX(Simulations!$J$3:$J$62,MATCH($A290,Simulations!$A$3:$A$62,0)))+1)))))</f>
        <v/>
      </c>
      <c r="R290" s="16" t="str">
        <f aca="false">IF(OR($A290="",ISNA(MATCH($A290,Simulations!$A$3:$A$62,0))),"",IF(N($F290)&lt;=0,0,IF($F290&lt;INDEX(Simulations!$J$3:$J$62,MATCH($A290,Simulations!$A$3:$A$62,0)),$D290/(INDEX(Simulations!$G$3:$G$62,MATCH($A290,Simulations!$A$3:$A$62,0))*INDEX(Simulations!$H$3:$H$62,MATCH($A290,Simulations!$A$3:$A$62,0))*IF(INDEX(Simulations!$I$3:$I$62,MATCH($A290,Simulations!$A$3:$A$62,0))&gt;0,INDEX(Simulations!$I$3:$I$62,MATCH($A290,Simulations!$A$3:$A$62,0)),1))*$F290*(PI()/2*INDEX(Simulations!$T$3:$T$62,MATCH($A290,Simulations!$A$3:$A$62,0))^2*IF(INDEX(Simulations!$I$3:$I$62,MATCH($A290,Simulations!$A$3:$A$62,0))&gt;0,SQRT(PI()/2)*INDEX(Simulations!$U$3:$U$62,MATCH($A290,Simulations!$A$3:$A$62,0)),1)),$D290/(INDEX(Simulations!$G$3:$G$62,MATCH($A290,Simulations!$A$3:$A$62,0))*INDEX(Simulations!$H$3:$H$62,MATCH($A290,Simulations!$A$3:$A$62,0))*IF(INDEX(Simulations!$I$3:$I$62,MATCH($A290,Simulations!$A$3:$A$62,0))&gt;0,INDEX(Simulations!$I$3:$I$62,MATCH($A290,Simulations!$A$3:$A$62,0)),1))*INDEX(Simulations!$J$3:$J$62,MATCH($A290,Simulations!$A$3:$A$62,0))*IF(INDEX(Simulations!$I$3:$I$62,MATCH($A290,Simulations!$A$3:$A$62,0))&gt;0,2*PI()*INDEX(Simulations!$T$3:$T$62,MATCH($A290,Simulations!$A$3:$A$62,0))^2*INDEX(Simulations!$U$3:$U$62,MATCH($A290,Simulations!$A$3:$A$62,0))/2^1.5*(2/3*LN($F290/INDEX(Simulations!$J$3:$J$62,MATCH($A290,Simulations!$A$3:$A$62,0)))^1.5+SQRT(LN($F290/INDEX(Simulations!$J$3:$J$62,MATCH($A290,Simulations!$A$3:$A$62,0))))+$F290/INDEX(Simulations!$J$3:$J$62,MATCH($A290,Simulations!$A$3:$A$62,0))*SQRT(PI())/2*ERFC(SQRT(LN($F290/INDEX(Simulations!$J$3:$J$62,MATCH($A290,Simulations!$A$3:$A$62,0)))))),PI()*INDEX(Simulations!$T$3:$T$62,MATCH($A290,Simulations!$A$3:$A$62,0))^2/2*(LN($F290/INDEX(Simulations!$J$3:$J$62,MATCH($A290,Simulations!$A$3:$A$62,0)))+1)))))</f>
        <v/>
      </c>
      <c r="S290" s="16" t="str">
        <f aca="false">IF(OR($A290="",ISNA(MATCH($A290,Simulations!$A$3:$A$62,0))),"",IF(N($G290)&lt;=0,0,IF($G290&lt;INDEX(Simulations!$J$3:$J$62,MATCH($A290,Simulations!$A$3:$A$62,0)),$D290/(INDEX(Simulations!$G$3:$G$62,MATCH($A290,Simulations!$A$3:$A$62,0))*INDEX(Simulations!$H$3:$H$62,MATCH($A290,Simulations!$A$3:$A$62,0))*IF(INDEX(Simulations!$I$3:$I$62,MATCH($A290,Simulations!$A$3:$A$62,0))&gt;0,INDEX(Simulations!$I$3:$I$62,MATCH($A290,Simulations!$A$3:$A$62,0)),1))*$G290*(PI()/2*INDEX(Simulations!$T$3:$T$62,MATCH($A290,Simulations!$A$3:$A$62,0))^2*IF(INDEX(Simulations!$I$3:$I$62,MATCH($A290,Simulations!$A$3:$A$62,0))&gt;0,SQRT(PI()/2)*INDEX(Simulations!$U$3:$U$62,MATCH($A290,Simulations!$A$3:$A$62,0)),1)),$D290/(INDEX(Simulations!$G$3:$G$62,MATCH($A290,Simulations!$A$3:$A$62,0))*INDEX(Simulations!$H$3:$H$62,MATCH($A290,Simulations!$A$3:$A$62,0))*IF(INDEX(Simulations!$I$3:$I$62,MATCH($A290,Simulations!$A$3:$A$62,0))&gt;0,INDEX(Simulations!$I$3:$I$62,MATCH($A290,Simulations!$A$3:$A$62,0)),1))*INDEX(Simulations!$J$3:$J$62,MATCH($A290,Simulations!$A$3:$A$62,0))*IF(INDEX(Simulations!$I$3:$I$62,MATCH($A290,Simulations!$A$3:$A$62,0))&gt;0,2*PI()*INDEX(Simulations!$T$3:$T$62,MATCH($A290,Simulations!$A$3:$A$62,0))^2*INDEX(Simulations!$U$3:$U$62,MATCH($A290,Simulations!$A$3:$A$62,0))/2^1.5*(2/3*LN($G290/INDEX(Simulations!$J$3:$J$62,MATCH($A290,Simulations!$A$3:$A$62,0)))^1.5+SQRT(LN($G290/INDEX(Simulations!$J$3:$J$62,MATCH($A290,Simulations!$A$3:$A$62,0))))+$G290/INDEX(Simulations!$J$3:$J$62,MATCH($A290,Simulations!$A$3:$A$62,0))*SQRT(PI())/2*ERFC(SQRT(LN($G290/INDEX(Simulations!$J$3:$J$62,MATCH($A290,Simulations!$A$3:$A$62,0)))))),PI()*INDEX(Simulations!$T$3:$T$62,MATCH($A290,Simulations!$A$3:$A$62,0))^2/2*(LN($G290/INDEX(Simulations!$J$3:$J$62,MATCH($A290,Simulations!$A$3:$A$62,0)))+1)))))</f>
        <v/>
      </c>
      <c r="T290" s="16" t="str">
        <f aca="false">IF(OR($A290="",ISNA(MATCH($A290,Simulations!$A$3:$A$62,0))),"",IF(N($H290)&lt;=0,0,IF($H290&lt;INDEX(Simulations!$J$3:$J$62,MATCH($A290,Simulations!$A$3:$A$62,0)),$D290/(INDEX(Simulations!$G$3:$G$62,MATCH($A290,Simulations!$A$3:$A$62,0))*INDEX(Simulations!$H$3:$H$62,MATCH($A290,Simulations!$A$3:$A$62,0))*IF(INDEX(Simulations!$I$3:$I$62,MATCH($A290,Simulations!$A$3:$A$62,0))&gt;0,INDEX(Simulations!$I$3:$I$62,MATCH($A290,Simulations!$A$3:$A$62,0)),1))*$H290*(PI()/2*INDEX(Simulations!$T$3:$T$62,MATCH($A290,Simulations!$A$3:$A$62,0))^2*IF(INDEX(Simulations!$I$3:$I$62,MATCH($A290,Simulations!$A$3:$A$62,0))&gt;0,SQRT(PI()/2)*INDEX(Simulations!$U$3:$U$62,MATCH($A290,Simulations!$A$3:$A$62,0)),1)),$D290/(INDEX(Simulations!$G$3:$G$62,MATCH($A290,Simulations!$A$3:$A$62,0))*INDEX(Simulations!$H$3:$H$62,MATCH($A290,Simulations!$A$3:$A$62,0))*IF(INDEX(Simulations!$I$3:$I$62,MATCH($A290,Simulations!$A$3:$A$62,0))&gt;0,INDEX(Simulations!$I$3:$I$62,MATCH($A290,Simulations!$A$3:$A$62,0)),1))*INDEX(Simulations!$J$3:$J$62,MATCH($A290,Simulations!$A$3:$A$62,0))*IF(INDEX(Simulations!$I$3:$I$62,MATCH($A290,Simulations!$A$3:$A$62,0))&gt;0,2*PI()*INDEX(Simulations!$T$3:$T$62,MATCH($A290,Simulations!$A$3:$A$62,0))^2*INDEX(Simulations!$U$3:$U$62,MATCH($A290,Simulations!$A$3:$A$62,0))/2^1.5*(2/3*LN($H290/INDEX(Simulations!$J$3:$J$62,MATCH($A290,Simulations!$A$3:$A$62,0)))^1.5+SQRT(LN($H290/INDEX(Simulations!$J$3:$J$62,MATCH($A290,Simulations!$A$3:$A$62,0))))+$H290/INDEX(Simulations!$J$3:$J$62,MATCH($A290,Simulations!$A$3:$A$62,0))*SQRT(PI())/2*ERFC(SQRT(LN($H290/INDEX(Simulations!$J$3:$J$62,MATCH($A290,Simulations!$A$3:$A$62,0)))))),PI()*INDEX(Simulations!$T$3:$T$62,MATCH($A290,Simulations!$A$3:$A$62,0))^2/2*(LN($H290/INDEX(Simulations!$J$3:$J$62,MATCH($A290,Simulations!$A$3:$A$62,0)))+1)))))</f>
        <v/>
      </c>
      <c r="U290" s="18" t="str">
        <f aca="false">IF(OR(OR($A290="",ISNA(MATCH($A290,Simulations!$A$3:$A$62,0))),N($C290)&lt;=0),"",SQRT(2*$C290*1000000/(INDEX(Simulations!$J$3:$J$62,MATCH($A290,Simulations!$A$3:$A$62,0))*1000))/INDEX(Simulations!$T$3:$T$62,MATCH($A290,Simulations!$A$3:$A$62,0)))</f>
        <v/>
      </c>
      <c r="V290" s="19" t="str">
        <f aca="false">IF($A290="","",IF(ISNA(MATCH($A290,Simulations!$A$3:$A$62,0)),"✖ Sim ID not found on the Simulations sheet",IF($P290&gt;=1,"✖ brightness &gt;= sampling frequency: completely saturated (D too small, c too large)",IF($P290&gt;0.1,"⚠ brightness &gt; 10% of the sampling frequency: focus starts to saturate",IF(N($U290)&gt;0.1,"⚠ diffusion step &gt; 10% of wr: raise the sampling frequency",IF(MAX($E290:$H290)=0,"⚠ no brightness set","✔ OK"))))))</f>
        <v/>
      </c>
    </row>
    <row r="291" customFormat="false" ht="15" hidden="false" customHeight="false" outlineLevel="0" collapsed="false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4"/>
      <c r="O291" s="18" t="str">
        <f aca="false">IF(OR($A291="",ISNA(MATCH($A291,Simulations!$A$3:$A$62,0))),"",IF(INDEX(Simulations!$I$3:$I$62,MATCH($A291,Simulations!$A$3:$A$62,0))&gt;0,$D291/(INDEX(Simulations!$G$3:$G$62,MATCH($A291,Simulations!$A$3:$A$62,0))*INDEX(Simulations!$H$3:$H$62,MATCH($A291,Simulations!$A$3:$A$62,0))*IF(INDEX(Simulations!$I$3:$I$62,MATCH($A291,Simulations!$A$3:$A$62,0))&gt;0,INDEX(Simulations!$I$3:$I$62,MATCH($A291,Simulations!$A$3:$A$62,0)),1))/1E-024/6.022E+023/0.000000001,""))</f>
        <v/>
      </c>
      <c r="P291" s="20" t="str">
        <f aca="false">IF(OR($A291="",ISNA(MATCH($A291,Simulations!$A$3:$A$62,0))),"",MAX($E291:$H291)/INDEX(Simulations!$J$3:$J$62,MATCH($A291,Simulations!$A$3:$A$62,0)))</f>
        <v/>
      </c>
      <c r="Q291" s="16" t="str">
        <f aca="false">IF(OR($A291="",ISNA(MATCH($A291,Simulations!$A$3:$A$62,0))),"",IF(N($E291)&lt;=0,0,IF($E291&lt;INDEX(Simulations!$J$3:$J$62,MATCH($A291,Simulations!$A$3:$A$62,0)),$D291/(INDEX(Simulations!$G$3:$G$62,MATCH($A291,Simulations!$A$3:$A$62,0))*INDEX(Simulations!$H$3:$H$62,MATCH($A291,Simulations!$A$3:$A$62,0))*IF(INDEX(Simulations!$I$3:$I$62,MATCH($A291,Simulations!$A$3:$A$62,0))&gt;0,INDEX(Simulations!$I$3:$I$62,MATCH($A291,Simulations!$A$3:$A$62,0)),1))*$E291*(PI()/2*INDEX(Simulations!$T$3:$T$62,MATCH($A291,Simulations!$A$3:$A$62,0))^2*IF(INDEX(Simulations!$I$3:$I$62,MATCH($A291,Simulations!$A$3:$A$62,0))&gt;0,SQRT(PI()/2)*INDEX(Simulations!$U$3:$U$62,MATCH($A291,Simulations!$A$3:$A$62,0)),1)),$D291/(INDEX(Simulations!$G$3:$G$62,MATCH($A291,Simulations!$A$3:$A$62,0))*INDEX(Simulations!$H$3:$H$62,MATCH($A291,Simulations!$A$3:$A$62,0))*IF(INDEX(Simulations!$I$3:$I$62,MATCH($A291,Simulations!$A$3:$A$62,0))&gt;0,INDEX(Simulations!$I$3:$I$62,MATCH($A291,Simulations!$A$3:$A$62,0)),1))*INDEX(Simulations!$J$3:$J$62,MATCH($A291,Simulations!$A$3:$A$62,0))*IF(INDEX(Simulations!$I$3:$I$62,MATCH($A291,Simulations!$A$3:$A$62,0))&gt;0,2*PI()*INDEX(Simulations!$T$3:$T$62,MATCH($A291,Simulations!$A$3:$A$62,0))^2*INDEX(Simulations!$U$3:$U$62,MATCH($A291,Simulations!$A$3:$A$62,0))/2^1.5*(2/3*LN($E291/INDEX(Simulations!$J$3:$J$62,MATCH($A291,Simulations!$A$3:$A$62,0)))^1.5+SQRT(LN($E291/INDEX(Simulations!$J$3:$J$62,MATCH($A291,Simulations!$A$3:$A$62,0))))+$E291/INDEX(Simulations!$J$3:$J$62,MATCH($A291,Simulations!$A$3:$A$62,0))*SQRT(PI())/2*ERFC(SQRT(LN($E291/INDEX(Simulations!$J$3:$J$62,MATCH($A291,Simulations!$A$3:$A$62,0)))))),PI()*INDEX(Simulations!$T$3:$T$62,MATCH($A291,Simulations!$A$3:$A$62,0))^2/2*(LN($E291/INDEX(Simulations!$J$3:$J$62,MATCH($A291,Simulations!$A$3:$A$62,0)))+1)))))</f>
        <v/>
      </c>
      <c r="R291" s="16" t="str">
        <f aca="false">IF(OR($A291="",ISNA(MATCH($A291,Simulations!$A$3:$A$62,0))),"",IF(N($F291)&lt;=0,0,IF($F291&lt;INDEX(Simulations!$J$3:$J$62,MATCH($A291,Simulations!$A$3:$A$62,0)),$D291/(INDEX(Simulations!$G$3:$G$62,MATCH($A291,Simulations!$A$3:$A$62,0))*INDEX(Simulations!$H$3:$H$62,MATCH($A291,Simulations!$A$3:$A$62,0))*IF(INDEX(Simulations!$I$3:$I$62,MATCH($A291,Simulations!$A$3:$A$62,0))&gt;0,INDEX(Simulations!$I$3:$I$62,MATCH($A291,Simulations!$A$3:$A$62,0)),1))*$F291*(PI()/2*INDEX(Simulations!$T$3:$T$62,MATCH($A291,Simulations!$A$3:$A$62,0))^2*IF(INDEX(Simulations!$I$3:$I$62,MATCH($A291,Simulations!$A$3:$A$62,0))&gt;0,SQRT(PI()/2)*INDEX(Simulations!$U$3:$U$62,MATCH($A291,Simulations!$A$3:$A$62,0)),1)),$D291/(INDEX(Simulations!$G$3:$G$62,MATCH($A291,Simulations!$A$3:$A$62,0))*INDEX(Simulations!$H$3:$H$62,MATCH($A291,Simulations!$A$3:$A$62,0))*IF(INDEX(Simulations!$I$3:$I$62,MATCH($A291,Simulations!$A$3:$A$62,0))&gt;0,INDEX(Simulations!$I$3:$I$62,MATCH($A291,Simulations!$A$3:$A$62,0)),1))*INDEX(Simulations!$J$3:$J$62,MATCH($A291,Simulations!$A$3:$A$62,0))*IF(INDEX(Simulations!$I$3:$I$62,MATCH($A291,Simulations!$A$3:$A$62,0))&gt;0,2*PI()*INDEX(Simulations!$T$3:$T$62,MATCH($A291,Simulations!$A$3:$A$62,0))^2*INDEX(Simulations!$U$3:$U$62,MATCH($A291,Simulations!$A$3:$A$62,0))/2^1.5*(2/3*LN($F291/INDEX(Simulations!$J$3:$J$62,MATCH($A291,Simulations!$A$3:$A$62,0)))^1.5+SQRT(LN($F291/INDEX(Simulations!$J$3:$J$62,MATCH($A291,Simulations!$A$3:$A$62,0))))+$F291/INDEX(Simulations!$J$3:$J$62,MATCH($A291,Simulations!$A$3:$A$62,0))*SQRT(PI())/2*ERFC(SQRT(LN($F291/INDEX(Simulations!$J$3:$J$62,MATCH($A291,Simulations!$A$3:$A$62,0)))))),PI()*INDEX(Simulations!$T$3:$T$62,MATCH($A291,Simulations!$A$3:$A$62,0))^2/2*(LN($F291/INDEX(Simulations!$J$3:$J$62,MATCH($A291,Simulations!$A$3:$A$62,0)))+1)))))</f>
        <v/>
      </c>
      <c r="S291" s="16" t="str">
        <f aca="false">IF(OR($A291="",ISNA(MATCH($A291,Simulations!$A$3:$A$62,0))),"",IF(N($G291)&lt;=0,0,IF($G291&lt;INDEX(Simulations!$J$3:$J$62,MATCH($A291,Simulations!$A$3:$A$62,0)),$D291/(INDEX(Simulations!$G$3:$G$62,MATCH($A291,Simulations!$A$3:$A$62,0))*INDEX(Simulations!$H$3:$H$62,MATCH($A291,Simulations!$A$3:$A$62,0))*IF(INDEX(Simulations!$I$3:$I$62,MATCH($A291,Simulations!$A$3:$A$62,0))&gt;0,INDEX(Simulations!$I$3:$I$62,MATCH($A291,Simulations!$A$3:$A$62,0)),1))*$G291*(PI()/2*INDEX(Simulations!$T$3:$T$62,MATCH($A291,Simulations!$A$3:$A$62,0))^2*IF(INDEX(Simulations!$I$3:$I$62,MATCH($A291,Simulations!$A$3:$A$62,0))&gt;0,SQRT(PI()/2)*INDEX(Simulations!$U$3:$U$62,MATCH($A291,Simulations!$A$3:$A$62,0)),1)),$D291/(INDEX(Simulations!$G$3:$G$62,MATCH($A291,Simulations!$A$3:$A$62,0))*INDEX(Simulations!$H$3:$H$62,MATCH($A291,Simulations!$A$3:$A$62,0))*IF(INDEX(Simulations!$I$3:$I$62,MATCH($A291,Simulations!$A$3:$A$62,0))&gt;0,INDEX(Simulations!$I$3:$I$62,MATCH($A291,Simulations!$A$3:$A$62,0)),1))*INDEX(Simulations!$J$3:$J$62,MATCH($A291,Simulations!$A$3:$A$62,0))*IF(INDEX(Simulations!$I$3:$I$62,MATCH($A291,Simulations!$A$3:$A$62,0))&gt;0,2*PI()*INDEX(Simulations!$T$3:$T$62,MATCH($A291,Simulations!$A$3:$A$62,0))^2*INDEX(Simulations!$U$3:$U$62,MATCH($A291,Simulations!$A$3:$A$62,0))/2^1.5*(2/3*LN($G291/INDEX(Simulations!$J$3:$J$62,MATCH($A291,Simulations!$A$3:$A$62,0)))^1.5+SQRT(LN($G291/INDEX(Simulations!$J$3:$J$62,MATCH($A291,Simulations!$A$3:$A$62,0))))+$G291/INDEX(Simulations!$J$3:$J$62,MATCH($A291,Simulations!$A$3:$A$62,0))*SQRT(PI())/2*ERFC(SQRT(LN($G291/INDEX(Simulations!$J$3:$J$62,MATCH($A291,Simulations!$A$3:$A$62,0)))))),PI()*INDEX(Simulations!$T$3:$T$62,MATCH($A291,Simulations!$A$3:$A$62,0))^2/2*(LN($G291/INDEX(Simulations!$J$3:$J$62,MATCH($A291,Simulations!$A$3:$A$62,0)))+1)))))</f>
        <v/>
      </c>
      <c r="T291" s="16" t="str">
        <f aca="false">IF(OR($A291="",ISNA(MATCH($A291,Simulations!$A$3:$A$62,0))),"",IF(N($H291)&lt;=0,0,IF($H291&lt;INDEX(Simulations!$J$3:$J$62,MATCH($A291,Simulations!$A$3:$A$62,0)),$D291/(INDEX(Simulations!$G$3:$G$62,MATCH($A291,Simulations!$A$3:$A$62,0))*INDEX(Simulations!$H$3:$H$62,MATCH($A291,Simulations!$A$3:$A$62,0))*IF(INDEX(Simulations!$I$3:$I$62,MATCH($A291,Simulations!$A$3:$A$62,0))&gt;0,INDEX(Simulations!$I$3:$I$62,MATCH($A291,Simulations!$A$3:$A$62,0)),1))*$H291*(PI()/2*INDEX(Simulations!$T$3:$T$62,MATCH($A291,Simulations!$A$3:$A$62,0))^2*IF(INDEX(Simulations!$I$3:$I$62,MATCH($A291,Simulations!$A$3:$A$62,0))&gt;0,SQRT(PI()/2)*INDEX(Simulations!$U$3:$U$62,MATCH($A291,Simulations!$A$3:$A$62,0)),1)),$D291/(INDEX(Simulations!$G$3:$G$62,MATCH($A291,Simulations!$A$3:$A$62,0))*INDEX(Simulations!$H$3:$H$62,MATCH($A291,Simulations!$A$3:$A$62,0))*IF(INDEX(Simulations!$I$3:$I$62,MATCH($A291,Simulations!$A$3:$A$62,0))&gt;0,INDEX(Simulations!$I$3:$I$62,MATCH($A291,Simulations!$A$3:$A$62,0)),1))*INDEX(Simulations!$J$3:$J$62,MATCH($A291,Simulations!$A$3:$A$62,0))*IF(INDEX(Simulations!$I$3:$I$62,MATCH($A291,Simulations!$A$3:$A$62,0))&gt;0,2*PI()*INDEX(Simulations!$T$3:$T$62,MATCH($A291,Simulations!$A$3:$A$62,0))^2*INDEX(Simulations!$U$3:$U$62,MATCH($A291,Simulations!$A$3:$A$62,0))/2^1.5*(2/3*LN($H291/INDEX(Simulations!$J$3:$J$62,MATCH($A291,Simulations!$A$3:$A$62,0)))^1.5+SQRT(LN($H291/INDEX(Simulations!$J$3:$J$62,MATCH($A291,Simulations!$A$3:$A$62,0))))+$H291/INDEX(Simulations!$J$3:$J$62,MATCH($A291,Simulations!$A$3:$A$62,0))*SQRT(PI())/2*ERFC(SQRT(LN($H291/INDEX(Simulations!$J$3:$J$62,MATCH($A291,Simulations!$A$3:$A$62,0)))))),PI()*INDEX(Simulations!$T$3:$T$62,MATCH($A291,Simulations!$A$3:$A$62,0))^2/2*(LN($H291/INDEX(Simulations!$J$3:$J$62,MATCH($A291,Simulations!$A$3:$A$62,0)))+1)))))</f>
        <v/>
      </c>
      <c r="U291" s="18" t="str">
        <f aca="false">IF(OR(OR($A291="",ISNA(MATCH($A291,Simulations!$A$3:$A$62,0))),N($C291)&lt;=0),"",SQRT(2*$C291*1000000/(INDEX(Simulations!$J$3:$J$62,MATCH($A291,Simulations!$A$3:$A$62,0))*1000))/INDEX(Simulations!$T$3:$T$62,MATCH($A291,Simulations!$A$3:$A$62,0)))</f>
        <v/>
      </c>
      <c r="V291" s="19" t="str">
        <f aca="false">IF($A291="","",IF(ISNA(MATCH($A291,Simulations!$A$3:$A$62,0)),"✖ Sim ID not found on the Simulations sheet",IF($P291&gt;=1,"✖ brightness &gt;= sampling frequency: completely saturated (D too small, c too large)",IF($P291&gt;0.1,"⚠ brightness &gt; 10% of the sampling frequency: focus starts to saturate",IF(N($U291)&gt;0.1,"⚠ diffusion step &gt; 10% of wr: raise the sampling frequency",IF(MAX($E291:$H291)=0,"⚠ no brightness set","✔ OK"))))))</f>
        <v/>
      </c>
    </row>
    <row r="292" customFormat="false" ht="15" hidden="false" customHeight="false" outlineLevel="0" collapsed="false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4"/>
      <c r="O292" s="18" t="str">
        <f aca="false">IF(OR($A292="",ISNA(MATCH($A292,Simulations!$A$3:$A$62,0))),"",IF(INDEX(Simulations!$I$3:$I$62,MATCH($A292,Simulations!$A$3:$A$62,0))&gt;0,$D292/(INDEX(Simulations!$G$3:$G$62,MATCH($A292,Simulations!$A$3:$A$62,0))*INDEX(Simulations!$H$3:$H$62,MATCH($A292,Simulations!$A$3:$A$62,0))*IF(INDEX(Simulations!$I$3:$I$62,MATCH($A292,Simulations!$A$3:$A$62,0))&gt;0,INDEX(Simulations!$I$3:$I$62,MATCH($A292,Simulations!$A$3:$A$62,0)),1))/1E-024/6.022E+023/0.000000001,""))</f>
        <v/>
      </c>
      <c r="P292" s="20" t="str">
        <f aca="false">IF(OR($A292="",ISNA(MATCH($A292,Simulations!$A$3:$A$62,0))),"",MAX($E292:$H292)/INDEX(Simulations!$J$3:$J$62,MATCH($A292,Simulations!$A$3:$A$62,0)))</f>
        <v/>
      </c>
      <c r="Q292" s="16" t="str">
        <f aca="false">IF(OR($A292="",ISNA(MATCH($A292,Simulations!$A$3:$A$62,0))),"",IF(N($E292)&lt;=0,0,IF($E292&lt;INDEX(Simulations!$J$3:$J$62,MATCH($A292,Simulations!$A$3:$A$62,0)),$D292/(INDEX(Simulations!$G$3:$G$62,MATCH($A292,Simulations!$A$3:$A$62,0))*INDEX(Simulations!$H$3:$H$62,MATCH($A292,Simulations!$A$3:$A$62,0))*IF(INDEX(Simulations!$I$3:$I$62,MATCH($A292,Simulations!$A$3:$A$62,0))&gt;0,INDEX(Simulations!$I$3:$I$62,MATCH($A292,Simulations!$A$3:$A$62,0)),1))*$E292*(PI()/2*INDEX(Simulations!$T$3:$T$62,MATCH($A292,Simulations!$A$3:$A$62,0))^2*IF(INDEX(Simulations!$I$3:$I$62,MATCH($A292,Simulations!$A$3:$A$62,0))&gt;0,SQRT(PI()/2)*INDEX(Simulations!$U$3:$U$62,MATCH($A292,Simulations!$A$3:$A$62,0)),1)),$D292/(INDEX(Simulations!$G$3:$G$62,MATCH($A292,Simulations!$A$3:$A$62,0))*INDEX(Simulations!$H$3:$H$62,MATCH($A292,Simulations!$A$3:$A$62,0))*IF(INDEX(Simulations!$I$3:$I$62,MATCH($A292,Simulations!$A$3:$A$62,0))&gt;0,INDEX(Simulations!$I$3:$I$62,MATCH($A292,Simulations!$A$3:$A$62,0)),1))*INDEX(Simulations!$J$3:$J$62,MATCH($A292,Simulations!$A$3:$A$62,0))*IF(INDEX(Simulations!$I$3:$I$62,MATCH($A292,Simulations!$A$3:$A$62,0))&gt;0,2*PI()*INDEX(Simulations!$T$3:$T$62,MATCH($A292,Simulations!$A$3:$A$62,0))^2*INDEX(Simulations!$U$3:$U$62,MATCH($A292,Simulations!$A$3:$A$62,0))/2^1.5*(2/3*LN($E292/INDEX(Simulations!$J$3:$J$62,MATCH($A292,Simulations!$A$3:$A$62,0)))^1.5+SQRT(LN($E292/INDEX(Simulations!$J$3:$J$62,MATCH($A292,Simulations!$A$3:$A$62,0))))+$E292/INDEX(Simulations!$J$3:$J$62,MATCH($A292,Simulations!$A$3:$A$62,0))*SQRT(PI())/2*ERFC(SQRT(LN($E292/INDEX(Simulations!$J$3:$J$62,MATCH($A292,Simulations!$A$3:$A$62,0)))))),PI()*INDEX(Simulations!$T$3:$T$62,MATCH($A292,Simulations!$A$3:$A$62,0))^2/2*(LN($E292/INDEX(Simulations!$J$3:$J$62,MATCH($A292,Simulations!$A$3:$A$62,0)))+1)))))</f>
        <v/>
      </c>
      <c r="R292" s="16" t="str">
        <f aca="false">IF(OR($A292="",ISNA(MATCH($A292,Simulations!$A$3:$A$62,0))),"",IF(N($F292)&lt;=0,0,IF($F292&lt;INDEX(Simulations!$J$3:$J$62,MATCH($A292,Simulations!$A$3:$A$62,0)),$D292/(INDEX(Simulations!$G$3:$G$62,MATCH($A292,Simulations!$A$3:$A$62,0))*INDEX(Simulations!$H$3:$H$62,MATCH($A292,Simulations!$A$3:$A$62,0))*IF(INDEX(Simulations!$I$3:$I$62,MATCH($A292,Simulations!$A$3:$A$62,0))&gt;0,INDEX(Simulations!$I$3:$I$62,MATCH($A292,Simulations!$A$3:$A$62,0)),1))*$F292*(PI()/2*INDEX(Simulations!$T$3:$T$62,MATCH($A292,Simulations!$A$3:$A$62,0))^2*IF(INDEX(Simulations!$I$3:$I$62,MATCH($A292,Simulations!$A$3:$A$62,0))&gt;0,SQRT(PI()/2)*INDEX(Simulations!$U$3:$U$62,MATCH($A292,Simulations!$A$3:$A$62,0)),1)),$D292/(INDEX(Simulations!$G$3:$G$62,MATCH($A292,Simulations!$A$3:$A$62,0))*INDEX(Simulations!$H$3:$H$62,MATCH($A292,Simulations!$A$3:$A$62,0))*IF(INDEX(Simulations!$I$3:$I$62,MATCH($A292,Simulations!$A$3:$A$62,0))&gt;0,INDEX(Simulations!$I$3:$I$62,MATCH($A292,Simulations!$A$3:$A$62,0)),1))*INDEX(Simulations!$J$3:$J$62,MATCH($A292,Simulations!$A$3:$A$62,0))*IF(INDEX(Simulations!$I$3:$I$62,MATCH($A292,Simulations!$A$3:$A$62,0))&gt;0,2*PI()*INDEX(Simulations!$T$3:$T$62,MATCH($A292,Simulations!$A$3:$A$62,0))^2*INDEX(Simulations!$U$3:$U$62,MATCH($A292,Simulations!$A$3:$A$62,0))/2^1.5*(2/3*LN($F292/INDEX(Simulations!$J$3:$J$62,MATCH($A292,Simulations!$A$3:$A$62,0)))^1.5+SQRT(LN($F292/INDEX(Simulations!$J$3:$J$62,MATCH($A292,Simulations!$A$3:$A$62,0))))+$F292/INDEX(Simulations!$J$3:$J$62,MATCH($A292,Simulations!$A$3:$A$62,0))*SQRT(PI())/2*ERFC(SQRT(LN($F292/INDEX(Simulations!$J$3:$J$62,MATCH($A292,Simulations!$A$3:$A$62,0)))))),PI()*INDEX(Simulations!$T$3:$T$62,MATCH($A292,Simulations!$A$3:$A$62,0))^2/2*(LN($F292/INDEX(Simulations!$J$3:$J$62,MATCH($A292,Simulations!$A$3:$A$62,0)))+1)))))</f>
        <v/>
      </c>
      <c r="S292" s="16" t="str">
        <f aca="false">IF(OR($A292="",ISNA(MATCH($A292,Simulations!$A$3:$A$62,0))),"",IF(N($G292)&lt;=0,0,IF($G292&lt;INDEX(Simulations!$J$3:$J$62,MATCH($A292,Simulations!$A$3:$A$62,0)),$D292/(INDEX(Simulations!$G$3:$G$62,MATCH($A292,Simulations!$A$3:$A$62,0))*INDEX(Simulations!$H$3:$H$62,MATCH($A292,Simulations!$A$3:$A$62,0))*IF(INDEX(Simulations!$I$3:$I$62,MATCH($A292,Simulations!$A$3:$A$62,0))&gt;0,INDEX(Simulations!$I$3:$I$62,MATCH($A292,Simulations!$A$3:$A$62,0)),1))*$G292*(PI()/2*INDEX(Simulations!$T$3:$T$62,MATCH($A292,Simulations!$A$3:$A$62,0))^2*IF(INDEX(Simulations!$I$3:$I$62,MATCH($A292,Simulations!$A$3:$A$62,0))&gt;0,SQRT(PI()/2)*INDEX(Simulations!$U$3:$U$62,MATCH($A292,Simulations!$A$3:$A$62,0)),1)),$D292/(INDEX(Simulations!$G$3:$G$62,MATCH($A292,Simulations!$A$3:$A$62,0))*INDEX(Simulations!$H$3:$H$62,MATCH($A292,Simulations!$A$3:$A$62,0))*IF(INDEX(Simulations!$I$3:$I$62,MATCH($A292,Simulations!$A$3:$A$62,0))&gt;0,INDEX(Simulations!$I$3:$I$62,MATCH($A292,Simulations!$A$3:$A$62,0)),1))*INDEX(Simulations!$J$3:$J$62,MATCH($A292,Simulations!$A$3:$A$62,0))*IF(INDEX(Simulations!$I$3:$I$62,MATCH($A292,Simulations!$A$3:$A$62,0))&gt;0,2*PI()*INDEX(Simulations!$T$3:$T$62,MATCH($A292,Simulations!$A$3:$A$62,0))^2*INDEX(Simulations!$U$3:$U$62,MATCH($A292,Simulations!$A$3:$A$62,0))/2^1.5*(2/3*LN($G292/INDEX(Simulations!$J$3:$J$62,MATCH($A292,Simulations!$A$3:$A$62,0)))^1.5+SQRT(LN($G292/INDEX(Simulations!$J$3:$J$62,MATCH($A292,Simulations!$A$3:$A$62,0))))+$G292/INDEX(Simulations!$J$3:$J$62,MATCH($A292,Simulations!$A$3:$A$62,0))*SQRT(PI())/2*ERFC(SQRT(LN($G292/INDEX(Simulations!$J$3:$J$62,MATCH($A292,Simulations!$A$3:$A$62,0)))))),PI()*INDEX(Simulations!$T$3:$T$62,MATCH($A292,Simulations!$A$3:$A$62,0))^2/2*(LN($G292/INDEX(Simulations!$J$3:$J$62,MATCH($A292,Simulations!$A$3:$A$62,0)))+1)))))</f>
        <v/>
      </c>
      <c r="T292" s="16" t="str">
        <f aca="false">IF(OR($A292="",ISNA(MATCH($A292,Simulations!$A$3:$A$62,0))),"",IF(N($H292)&lt;=0,0,IF($H292&lt;INDEX(Simulations!$J$3:$J$62,MATCH($A292,Simulations!$A$3:$A$62,0)),$D292/(INDEX(Simulations!$G$3:$G$62,MATCH($A292,Simulations!$A$3:$A$62,0))*INDEX(Simulations!$H$3:$H$62,MATCH($A292,Simulations!$A$3:$A$62,0))*IF(INDEX(Simulations!$I$3:$I$62,MATCH($A292,Simulations!$A$3:$A$62,0))&gt;0,INDEX(Simulations!$I$3:$I$62,MATCH($A292,Simulations!$A$3:$A$62,0)),1))*$H292*(PI()/2*INDEX(Simulations!$T$3:$T$62,MATCH($A292,Simulations!$A$3:$A$62,0))^2*IF(INDEX(Simulations!$I$3:$I$62,MATCH($A292,Simulations!$A$3:$A$62,0))&gt;0,SQRT(PI()/2)*INDEX(Simulations!$U$3:$U$62,MATCH($A292,Simulations!$A$3:$A$62,0)),1)),$D292/(INDEX(Simulations!$G$3:$G$62,MATCH($A292,Simulations!$A$3:$A$62,0))*INDEX(Simulations!$H$3:$H$62,MATCH($A292,Simulations!$A$3:$A$62,0))*IF(INDEX(Simulations!$I$3:$I$62,MATCH($A292,Simulations!$A$3:$A$62,0))&gt;0,INDEX(Simulations!$I$3:$I$62,MATCH($A292,Simulations!$A$3:$A$62,0)),1))*INDEX(Simulations!$J$3:$J$62,MATCH($A292,Simulations!$A$3:$A$62,0))*IF(INDEX(Simulations!$I$3:$I$62,MATCH($A292,Simulations!$A$3:$A$62,0))&gt;0,2*PI()*INDEX(Simulations!$T$3:$T$62,MATCH($A292,Simulations!$A$3:$A$62,0))^2*INDEX(Simulations!$U$3:$U$62,MATCH($A292,Simulations!$A$3:$A$62,0))/2^1.5*(2/3*LN($H292/INDEX(Simulations!$J$3:$J$62,MATCH($A292,Simulations!$A$3:$A$62,0)))^1.5+SQRT(LN($H292/INDEX(Simulations!$J$3:$J$62,MATCH($A292,Simulations!$A$3:$A$62,0))))+$H292/INDEX(Simulations!$J$3:$J$62,MATCH($A292,Simulations!$A$3:$A$62,0))*SQRT(PI())/2*ERFC(SQRT(LN($H292/INDEX(Simulations!$J$3:$J$62,MATCH($A292,Simulations!$A$3:$A$62,0)))))),PI()*INDEX(Simulations!$T$3:$T$62,MATCH($A292,Simulations!$A$3:$A$62,0))^2/2*(LN($H292/INDEX(Simulations!$J$3:$J$62,MATCH($A292,Simulations!$A$3:$A$62,0)))+1)))))</f>
        <v/>
      </c>
      <c r="U292" s="18" t="str">
        <f aca="false">IF(OR(OR($A292="",ISNA(MATCH($A292,Simulations!$A$3:$A$62,0))),N($C292)&lt;=0),"",SQRT(2*$C292*1000000/(INDEX(Simulations!$J$3:$J$62,MATCH($A292,Simulations!$A$3:$A$62,0))*1000))/INDEX(Simulations!$T$3:$T$62,MATCH($A292,Simulations!$A$3:$A$62,0)))</f>
        <v/>
      </c>
      <c r="V292" s="19" t="str">
        <f aca="false">IF($A292="","",IF(ISNA(MATCH($A292,Simulations!$A$3:$A$62,0)),"✖ Sim ID not found on the Simulations sheet",IF($P292&gt;=1,"✖ brightness &gt;= sampling frequency: completely saturated (D too small, c too large)",IF($P292&gt;0.1,"⚠ brightness &gt; 10% of the sampling frequency: focus starts to saturate",IF(N($U292)&gt;0.1,"⚠ diffusion step &gt; 10% of wr: raise the sampling frequency",IF(MAX($E292:$H292)=0,"⚠ no brightness set","✔ OK"))))))</f>
        <v/>
      </c>
    </row>
    <row r="293" customFormat="false" ht="15" hidden="false" customHeight="false" outlineLevel="0" collapsed="false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4"/>
      <c r="O293" s="18" t="str">
        <f aca="false">IF(OR($A293="",ISNA(MATCH($A293,Simulations!$A$3:$A$62,0))),"",IF(INDEX(Simulations!$I$3:$I$62,MATCH($A293,Simulations!$A$3:$A$62,0))&gt;0,$D293/(INDEX(Simulations!$G$3:$G$62,MATCH($A293,Simulations!$A$3:$A$62,0))*INDEX(Simulations!$H$3:$H$62,MATCH($A293,Simulations!$A$3:$A$62,0))*IF(INDEX(Simulations!$I$3:$I$62,MATCH($A293,Simulations!$A$3:$A$62,0))&gt;0,INDEX(Simulations!$I$3:$I$62,MATCH($A293,Simulations!$A$3:$A$62,0)),1))/1E-024/6.022E+023/0.000000001,""))</f>
        <v/>
      </c>
      <c r="P293" s="20" t="str">
        <f aca="false">IF(OR($A293="",ISNA(MATCH($A293,Simulations!$A$3:$A$62,0))),"",MAX($E293:$H293)/INDEX(Simulations!$J$3:$J$62,MATCH($A293,Simulations!$A$3:$A$62,0)))</f>
        <v/>
      </c>
      <c r="Q293" s="16" t="str">
        <f aca="false">IF(OR($A293="",ISNA(MATCH($A293,Simulations!$A$3:$A$62,0))),"",IF(N($E293)&lt;=0,0,IF($E293&lt;INDEX(Simulations!$J$3:$J$62,MATCH($A293,Simulations!$A$3:$A$62,0)),$D293/(INDEX(Simulations!$G$3:$G$62,MATCH($A293,Simulations!$A$3:$A$62,0))*INDEX(Simulations!$H$3:$H$62,MATCH($A293,Simulations!$A$3:$A$62,0))*IF(INDEX(Simulations!$I$3:$I$62,MATCH($A293,Simulations!$A$3:$A$62,0))&gt;0,INDEX(Simulations!$I$3:$I$62,MATCH($A293,Simulations!$A$3:$A$62,0)),1))*$E293*(PI()/2*INDEX(Simulations!$T$3:$T$62,MATCH($A293,Simulations!$A$3:$A$62,0))^2*IF(INDEX(Simulations!$I$3:$I$62,MATCH($A293,Simulations!$A$3:$A$62,0))&gt;0,SQRT(PI()/2)*INDEX(Simulations!$U$3:$U$62,MATCH($A293,Simulations!$A$3:$A$62,0)),1)),$D293/(INDEX(Simulations!$G$3:$G$62,MATCH($A293,Simulations!$A$3:$A$62,0))*INDEX(Simulations!$H$3:$H$62,MATCH($A293,Simulations!$A$3:$A$62,0))*IF(INDEX(Simulations!$I$3:$I$62,MATCH($A293,Simulations!$A$3:$A$62,0))&gt;0,INDEX(Simulations!$I$3:$I$62,MATCH($A293,Simulations!$A$3:$A$62,0)),1))*INDEX(Simulations!$J$3:$J$62,MATCH($A293,Simulations!$A$3:$A$62,0))*IF(INDEX(Simulations!$I$3:$I$62,MATCH($A293,Simulations!$A$3:$A$62,0))&gt;0,2*PI()*INDEX(Simulations!$T$3:$T$62,MATCH($A293,Simulations!$A$3:$A$62,0))^2*INDEX(Simulations!$U$3:$U$62,MATCH($A293,Simulations!$A$3:$A$62,0))/2^1.5*(2/3*LN($E293/INDEX(Simulations!$J$3:$J$62,MATCH($A293,Simulations!$A$3:$A$62,0)))^1.5+SQRT(LN($E293/INDEX(Simulations!$J$3:$J$62,MATCH($A293,Simulations!$A$3:$A$62,0))))+$E293/INDEX(Simulations!$J$3:$J$62,MATCH($A293,Simulations!$A$3:$A$62,0))*SQRT(PI())/2*ERFC(SQRT(LN($E293/INDEX(Simulations!$J$3:$J$62,MATCH($A293,Simulations!$A$3:$A$62,0)))))),PI()*INDEX(Simulations!$T$3:$T$62,MATCH($A293,Simulations!$A$3:$A$62,0))^2/2*(LN($E293/INDEX(Simulations!$J$3:$J$62,MATCH($A293,Simulations!$A$3:$A$62,0)))+1)))))</f>
        <v/>
      </c>
      <c r="R293" s="16" t="str">
        <f aca="false">IF(OR($A293="",ISNA(MATCH($A293,Simulations!$A$3:$A$62,0))),"",IF(N($F293)&lt;=0,0,IF($F293&lt;INDEX(Simulations!$J$3:$J$62,MATCH($A293,Simulations!$A$3:$A$62,0)),$D293/(INDEX(Simulations!$G$3:$G$62,MATCH($A293,Simulations!$A$3:$A$62,0))*INDEX(Simulations!$H$3:$H$62,MATCH($A293,Simulations!$A$3:$A$62,0))*IF(INDEX(Simulations!$I$3:$I$62,MATCH($A293,Simulations!$A$3:$A$62,0))&gt;0,INDEX(Simulations!$I$3:$I$62,MATCH($A293,Simulations!$A$3:$A$62,0)),1))*$F293*(PI()/2*INDEX(Simulations!$T$3:$T$62,MATCH($A293,Simulations!$A$3:$A$62,0))^2*IF(INDEX(Simulations!$I$3:$I$62,MATCH($A293,Simulations!$A$3:$A$62,0))&gt;0,SQRT(PI()/2)*INDEX(Simulations!$U$3:$U$62,MATCH($A293,Simulations!$A$3:$A$62,0)),1)),$D293/(INDEX(Simulations!$G$3:$G$62,MATCH($A293,Simulations!$A$3:$A$62,0))*INDEX(Simulations!$H$3:$H$62,MATCH($A293,Simulations!$A$3:$A$62,0))*IF(INDEX(Simulations!$I$3:$I$62,MATCH($A293,Simulations!$A$3:$A$62,0))&gt;0,INDEX(Simulations!$I$3:$I$62,MATCH($A293,Simulations!$A$3:$A$62,0)),1))*INDEX(Simulations!$J$3:$J$62,MATCH($A293,Simulations!$A$3:$A$62,0))*IF(INDEX(Simulations!$I$3:$I$62,MATCH($A293,Simulations!$A$3:$A$62,0))&gt;0,2*PI()*INDEX(Simulations!$T$3:$T$62,MATCH($A293,Simulations!$A$3:$A$62,0))^2*INDEX(Simulations!$U$3:$U$62,MATCH($A293,Simulations!$A$3:$A$62,0))/2^1.5*(2/3*LN($F293/INDEX(Simulations!$J$3:$J$62,MATCH($A293,Simulations!$A$3:$A$62,0)))^1.5+SQRT(LN($F293/INDEX(Simulations!$J$3:$J$62,MATCH($A293,Simulations!$A$3:$A$62,0))))+$F293/INDEX(Simulations!$J$3:$J$62,MATCH($A293,Simulations!$A$3:$A$62,0))*SQRT(PI())/2*ERFC(SQRT(LN($F293/INDEX(Simulations!$J$3:$J$62,MATCH($A293,Simulations!$A$3:$A$62,0)))))),PI()*INDEX(Simulations!$T$3:$T$62,MATCH($A293,Simulations!$A$3:$A$62,0))^2/2*(LN($F293/INDEX(Simulations!$J$3:$J$62,MATCH($A293,Simulations!$A$3:$A$62,0)))+1)))))</f>
        <v/>
      </c>
      <c r="S293" s="16" t="str">
        <f aca="false">IF(OR($A293="",ISNA(MATCH($A293,Simulations!$A$3:$A$62,0))),"",IF(N($G293)&lt;=0,0,IF($G293&lt;INDEX(Simulations!$J$3:$J$62,MATCH($A293,Simulations!$A$3:$A$62,0)),$D293/(INDEX(Simulations!$G$3:$G$62,MATCH($A293,Simulations!$A$3:$A$62,0))*INDEX(Simulations!$H$3:$H$62,MATCH($A293,Simulations!$A$3:$A$62,0))*IF(INDEX(Simulations!$I$3:$I$62,MATCH($A293,Simulations!$A$3:$A$62,0))&gt;0,INDEX(Simulations!$I$3:$I$62,MATCH($A293,Simulations!$A$3:$A$62,0)),1))*$G293*(PI()/2*INDEX(Simulations!$T$3:$T$62,MATCH($A293,Simulations!$A$3:$A$62,0))^2*IF(INDEX(Simulations!$I$3:$I$62,MATCH($A293,Simulations!$A$3:$A$62,0))&gt;0,SQRT(PI()/2)*INDEX(Simulations!$U$3:$U$62,MATCH($A293,Simulations!$A$3:$A$62,0)),1)),$D293/(INDEX(Simulations!$G$3:$G$62,MATCH($A293,Simulations!$A$3:$A$62,0))*INDEX(Simulations!$H$3:$H$62,MATCH($A293,Simulations!$A$3:$A$62,0))*IF(INDEX(Simulations!$I$3:$I$62,MATCH($A293,Simulations!$A$3:$A$62,0))&gt;0,INDEX(Simulations!$I$3:$I$62,MATCH($A293,Simulations!$A$3:$A$62,0)),1))*INDEX(Simulations!$J$3:$J$62,MATCH($A293,Simulations!$A$3:$A$62,0))*IF(INDEX(Simulations!$I$3:$I$62,MATCH($A293,Simulations!$A$3:$A$62,0))&gt;0,2*PI()*INDEX(Simulations!$T$3:$T$62,MATCH($A293,Simulations!$A$3:$A$62,0))^2*INDEX(Simulations!$U$3:$U$62,MATCH($A293,Simulations!$A$3:$A$62,0))/2^1.5*(2/3*LN($G293/INDEX(Simulations!$J$3:$J$62,MATCH($A293,Simulations!$A$3:$A$62,0)))^1.5+SQRT(LN($G293/INDEX(Simulations!$J$3:$J$62,MATCH($A293,Simulations!$A$3:$A$62,0))))+$G293/INDEX(Simulations!$J$3:$J$62,MATCH($A293,Simulations!$A$3:$A$62,0))*SQRT(PI())/2*ERFC(SQRT(LN($G293/INDEX(Simulations!$J$3:$J$62,MATCH($A293,Simulations!$A$3:$A$62,0)))))),PI()*INDEX(Simulations!$T$3:$T$62,MATCH($A293,Simulations!$A$3:$A$62,0))^2/2*(LN($G293/INDEX(Simulations!$J$3:$J$62,MATCH($A293,Simulations!$A$3:$A$62,0)))+1)))))</f>
        <v/>
      </c>
      <c r="T293" s="16" t="str">
        <f aca="false">IF(OR($A293="",ISNA(MATCH($A293,Simulations!$A$3:$A$62,0))),"",IF(N($H293)&lt;=0,0,IF($H293&lt;INDEX(Simulations!$J$3:$J$62,MATCH($A293,Simulations!$A$3:$A$62,0)),$D293/(INDEX(Simulations!$G$3:$G$62,MATCH($A293,Simulations!$A$3:$A$62,0))*INDEX(Simulations!$H$3:$H$62,MATCH($A293,Simulations!$A$3:$A$62,0))*IF(INDEX(Simulations!$I$3:$I$62,MATCH($A293,Simulations!$A$3:$A$62,0))&gt;0,INDEX(Simulations!$I$3:$I$62,MATCH($A293,Simulations!$A$3:$A$62,0)),1))*$H293*(PI()/2*INDEX(Simulations!$T$3:$T$62,MATCH($A293,Simulations!$A$3:$A$62,0))^2*IF(INDEX(Simulations!$I$3:$I$62,MATCH($A293,Simulations!$A$3:$A$62,0))&gt;0,SQRT(PI()/2)*INDEX(Simulations!$U$3:$U$62,MATCH($A293,Simulations!$A$3:$A$62,0)),1)),$D293/(INDEX(Simulations!$G$3:$G$62,MATCH($A293,Simulations!$A$3:$A$62,0))*INDEX(Simulations!$H$3:$H$62,MATCH($A293,Simulations!$A$3:$A$62,0))*IF(INDEX(Simulations!$I$3:$I$62,MATCH($A293,Simulations!$A$3:$A$62,0))&gt;0,INDEX(Simulations!$I$3:$I$62,MATCH($A293,Simulations!$A$3:$A$62,0)),1))*INDEX(Simulations!$J$3:$J$62,MATCH($A293,Simulations!$A$3:$A$62,0))*IF(INDEX(Simulations!$I$3:$I$62,MATCH($A293,Simulations!$A$3:$A$62,0))&gt;0,2*PI()*INDEX(Simulations!$T$3:$T$62,MATCH($A293,Simulations!$A$3:$A$62,0))^2*INDEX(Simulations!$U$3:$U$62,MATCH($A293,Simulations!$A$3:$A$62,0))/2^1.5*(2/3*LN($H293/INDEX(Simulations!$J$3:$J$62,MATCH($A293,Simulations!$A$3:$A$62,0)))^1.5+SQRT(LN($H293/INDEX(Simulations!$J$3:$J$62,MATCH($A293,Simulations!$A$3:$A$62,0))))+$H293/INDEX(Simulations!$J$3:$J$62,MATCH($A293,Simulations!$A$3:$A$62,0))*SQRT(PI())/2*ERFC(SQRT(LN($H293/INDEX(Simulations!$J$3:$J$62,MATCH($A293,Simulations!$A$3:$A$62,0)))))),PI()*INDEX(Simulations!$T$3:$T$62,MATCH($A293,Simulations!$A$3:$A$62,0))^2/2*(LN($H293/INDEX(Simulations!$J$3:$J$62,MATCH($A293,Simulations!$A$3:$A$62,0)))+1)))))</f>
        <v/>
      </c>
      <c r="U293" s="18" t="str">
        <f aca="false">IF(OR(OR($A293="",ISNA(MATCH($A293,Simulations!$A$3:$A$62,0))),N($C293)&lt;=0),"",SQRT(2*$C293*1000000/(INDEX(Simulations!$J$3:$J$62,MATCH($A293,Simulations!$A$3:$A$62,0))*1000))/INDEX(Simulations!$T$3:$T$62,MATCH($A293,Simulations!$A$3:$A$62,0)))</f>
        <v/>
      </c>
      <c r="V293" s="19" t="str">
        <f aca="false">IF($A293="","",IF(ISNA(MATCH($A293,Simulations!$A$3:$A$62,0)),"✖ Sim ID not found on the Simulations sheet",IF($P293&gt;=1,"✖ brightness &gt;= sampling frequency: completely saturated (D too small, c too large)",IF($P293&gt;0.1,"⚠ brightness &gt; 10% of the sampling frequency: focus starts to saturate",IF(N($U293)&gt;0.1,"⚠ diffusion step &gt; 10% of wr: raise the sampling frequency",IF(MAX($E293:$H293)=0,"⚠ no brightness set","✔ OK"))))))</f>
        <v/>
      </c>
    </row>
    <row r="294" customFormat="false" ht="15" hidden="false" customHeight="false" outlineLevel="0" collapsed="false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4"/>
      <c r="O294" s="18" t="str">
        <f aca="false">IF(OR($A294="",ISNA(MATCH($A294,Simulations!$A$3:$A$62,0))),"",IF(INDEX(Simulations!$I$3:$I$62,MATCH($A294,Simulations!$A$3:$A$62,0))&gt;0,$D294/(INDEX(Simulations!$G$3:$G$62,MATCH($A294,Simulations!$A$3:$A$62,0))*INDEX(Simulations!$H$3:$H$62,MATCH($A294,Simulations!$A$3:$A$62,0))*IF(INDEX(Simulations!$I$3:$I$62,MATCH($A294,Simulations!$A$3:$A$62,0))&gt;0,INDEX(Simulations!$I$3:$I$62,MATCH($A294,Simulations!$A$3:$A$62,0)),1))/1E-024/6.022E+023/0.000000001,""))</f>
        <v/>
      </c>
      <c r="P294" s="20" t="str">
        <f aca="false">IF(OR($A294="",ISNA(MATCH($A294,Simulations!$A$3:$A$62,0))),"",MAX($E294:$H294)/INDEX(Simulations!$J$3:$J$62,MATCH($A294,Simulations!$A$3:$A$62,0)))</f>
        <v/>
      </c>
      <c r="Q294" s="16" t="str">
        <f aca="false">IF(OR($A294="",ISNA(MATCH($A294,Simulations!$A$3:$A$62,0))),"",IF(N($E294)&lt;=0,0,IF($E294&lt;INDEX(Simulations!$J$3:$J$62,MATCH($A294,Simulations!$A$3:$A$62,0)),$D294/(INDEX(Simulations!$G$3:$G$62,MATCH($A294,Simulations!$A$3:$A$62,0))*INDEX(Simulations!$H$3:$H$62,MATCH($A294,Simulations!$A$3:$A$62,0))*IF(INDEX(Simulations!$I$3:$I$62,MATCH($A294,Simulations!$A$3:$A$62,0))&gt;0,INDEX(Simulations!$I$3:$I$62,MATCH($A294,Simulations!$A$3:$A$62,0)),1))*$E294*(PI()/2*INDEX(Simulations!$T$3:$T$62,MATCH($A294,Simulations!$A$3:$A$62,0))^2*IF(INDEX(Simulations!$I$3:$I$62,MATCH($A294,Simulations!$A$3:$A$62,0))&gt;0,SQRT(PI()/2)*INDEX(Simulations!$U$3:$U$62,MATCH($A294,Simulations!$A$3:$A$62,0)),1)),$D294/(INDEX(Simulations!$G$3:$G$62,MATCH($A294,Simulations!$A$3:$A$62,0))*INDEX(Simulations!$H$3:$H$62,MATCH($A294,Simulations!$A$3:$A$62,0))*IF(INDEX(Simulations!$I$3:$I$62,MATCH($A294,Simulations!$A$3:$A$62,0))&gt;0,INDEX(Simulations!$I$3:$I$62,MATCH($A294,Simulations!$A$3:$A$62,0)),1))*INDEX(Simulations!$J$3:$J$62,MATCH($A294,Simulations!$A$3:$A$62,0))*IF(INDEX(Simulations!$I$3:$I$62,MATCH($A294,Simulations!$A$3:$A$62,0))&gt;0,2*PI()*INDEX(Simulations!$T$3:$T$62,MATCH($A294,Simulations!$A$3:$A$62,0))^2*INDEX(Simulations!$U$3:$U$62,MATCH($A294,Simulations!$A$3:$A$62,0))/2^1.5*(2/3*LN($E294/INDEX(Simulations!$J$3:$J$62,MATCH($A294,Simulations!$A$3:$A$62,0)))^1.5+SQRT(LN($E294/INDEX(Simulations!$J$3:$J$62,MATCH($A294,Simulations!$A$3:$A$62,0))))+$E294/INDEX(Simulations!$J$3:$J$62,MATCH($A294,Simulations!$A$3:$A$62,0))*SQRT(PI())/2*ERFC(SQRT(LN($E294/INDEX(Simulations!$J$3:$J$62,MATCH($A294,Simulations!$A$3:$A$62,0)))))),PI()*INDEX(Simulations!$T$3:$T$62,MATCH($A294,Simulations!$A$3:$A$62,0))^2/2*(LN($E294/INDEX(Simulations!$J$3:$J$62,MATCH($A294,Simulations!$A$3:$A$62,0)))+1)))))</f>
        <v/>
      </c>
      <c r="R294" s="16" t="str">
        <f aca="false">IF(OR($A294="",ISNA(MATCH($A294,Simulations!$A$3:$A$62,0))),"",IF(N($F294)&lt;=0,0,IF($F294&lt;INDEX(Simulations!$J$3:$J$62,MATCH($A294,Simulations!$A$3:$A$62,0)),$D294/(INDEX(Simulations!$G$3:$G$62,MATCH($A294,Simulations!$A$3:$A$62,0))*INDEX(Simulations!$H$3:$H$62,MATCH($A294,Simulations!$A$3:$A$62,0))*IF(INDEX(Simulations!$I$3:$I$62,MATCH($A294,Simulations!$A$3:$A$62,0))&gt;0,INDEX(Simulations!$I$3:$I$62,MATCH($A294,Simulations!$A$3:$A$62,0)),1))*$F294*(PI()/2*INDEX(Simulations!$T$3:$T$62,MATCH($A294,Simulations!$A$3:$A$62,0))^2*IF(INDEX(Simulations!$I$3:$I$62,MATCH($A294,Simulations!$A$3:$A$62,0))&gt;0,SQRT(PI()/2)*INDEX(Simulations!$U$3:$U$62,MATCH($A294,Simulations!$A$3:$A$62,0)),1)),$D294/(INDEX(Simulations!$G$3:$G$62,MATCH($A294,Simulations!$A$3:$A$62,0))*INDEX(Simulations!$H$3:$H$62,MATCH($A294,Simulations!$A$3:$A$62,0))*IF(INDEX(Simulations!$I$3:$I$62,MATCH($A294,Simulations!$A$3:$A$62,0))&gt;0,INDEX(Simulations!$I$3:$I$62,MATCH($A294,Simulations!$A$3:$A$62,0)),1))*INDEX(Simulations!$J$3:$J$62,MATCH($A294,Simulations!$A$3:$A$62,0))*IF(INDEX(Simulations!$I$3:$I$62,MATCH($A294,Simulations!$A$3:$A$62,0))&gt;0,2*PI()*INDEX(Simulations!$T$3:$T$62,MATCH($A294,Simulations!$A$3:$A$62,0))^2*INDEX(Simulations!$U$3:$U$62,MATCH($A294,Simulations!$A$3:$A$62,0))/2^1.5*(2/3*LN($F294/INDEX(Simulations!$J$3:$J$62,MATCH($A294,Simulations!$A$3:$A$62,0)))^1.5+SQRT(LN($F294/INDEX(Simulations!$J$3:$J$62,MATCH($A294,Simulations!$A$3:$A$62,0))))+$F294/INDEX(Simulations!$J$3:$J$62,MATCH($A294,Simulations!$A$3:$A$62,0))*SQRT(PI())/2*ERFC(SQRT(LN($F294/INDEX(Simulations!$J$3:$J$62,MATCH($A294,Simulations!$A$3:$A$62,0)))))),PI()*INDEX(Simulations!$T$3:$T$62,MATCH($A294,Simulations!$A$3:$A$62,0))^2/2*(LN($F294/INDEX(Simulations!$J$3:$J$62,MATCH($A294,Simulations!$A$3:$A$62,0)))+1)))))</f>
        <v/>
      </c>
      <c r="S294" s="16" t="str">
        <f aca="false">IF(OR($A294="",ISNA(MATCH($A294,Simulations!$A$3:$A$62,0))),"",IF(N($G294)&lt;=0,0,IF($G294&lt;INDEX(Simulations!$J$3:$J$62,MATCH($A294,Simulations!$A$3:$A$62,0)),$D294/(INDEX(Simulations!$G$3:$G$62,MATCH($A294,Simulations!$A$3:$A$62,0))*INDEX(Simulations!$H$3:$H$62,MATCH($A294,Simulations!$A$3:$A$62,0))*IF(INDEX(Simulations!$I$3:$I$62,MATCH($A294,Simulations!$A$3:$A$62,0))&gt;0,INDEX(Simulations!$I$3:$I$62,MATCH($A294,Simulations!$A$3:$A$62,0)),1))*$G294*(PI()/2*INDEX(Simulations!$T$3:$T$62,MATCH($A294,Simulations!$A$3:$A$62,0))^2*IF(INDEX(Simulations!$I$3:$I$62,MATCH($A294,Simulations!$A$3:$A$62,0))&gt;0,SQRT(PI()/2)*INDEX(Simulations!$U$3:$U$62,MATCH($A294,Simulations!$A$3:$A$62,0)),1)),$D294/(INDEX(Simulations!$G$3:$G$62,MATCH($A294,Simulations!$A$3:$A$62,0))*INDEX(Simulations!$H$3:$H$62,MATCH($A294,Simulations!$A$3:$A$62,0))*IF(INDEX(Simulations!$I$3:$I$62,MATCH($A294,Simulations!$A$3:$A$62,0))&gt;0,INDEX(Simulations!$I$3:$I$62,MATCH($A294,Simulations!$A$3:$A$62,0)),1))*INDEX(Simulations!$J$3:$J$62,MATCH($A294,Simulations!$A$3:$A$62,0))*IF(INDEX(Simulations!$I$3:$I$62,MATCH($A294,Simulations!$A$3:$A$62,0))&gt;0,2*PI()*INDEX(Simulations!$T$3:$T$62,MATCH($A294,Simulations!$A$3:$A$62,0))^2*INDEX(Simulations!$U$3:$U$62,MATCH($A294,Simulations!$A$3:$A$62,0))/2^1.5*(2/3*LN($G294/INDEX(Simulations!$J$3:$J$62,MATCH($A294,Simulations!$A$3:$A$62,0)))^1.5+SQRT(LN($G294/INDEX(Simulations!$J$3:$J$62,MATCH($A294,Simulations!$A$3:$A$62,0))))+$G294/INDEX(Simulations!$J$3:$J$62,MATCH($A294,Simulations!$A$3:$A$62,0))*SQRT(PI())/2*ERFC(SQRT(LN($G294/INDEX(Simulations!$J$3:$J$62,MATCH($A294,Simulations!$A$3:$A$62,0)))))),PI()*INDEX(Simulations!$T$3:$T$62,MATCH($A294,Simulations!$A$3:$A$62,0))^2/2*(LN($G294/INDEX(Simulations!$J$3:$J$62,MATCH($A294,Simulations!$A$3:$A$62,0)))+1)))))</f>
        <v/>
      </c>
      <c r="T294" s="16" t="str">
        <f aca="false">IF(OR($A294="",ISNA(MATCH($A294,Simulations!$A$3:$A$62,0))),"",IF(N($H294)&lt;=0,0,IF($H294&lt;INDEX(Simulations!$J$3:$J$62,MATCH($A294,Simulations!$A$3:$A$62,0)),$D294/(INDEX(Simulations!$G$3:$G$62,MATCH($A294,Simulations!$A$3:$A$62,0))*INDEX(Simulations!$H$3:$H$62,MATCH($A294,Simulations!$A$3:$A$62,0))*IF(INDEX(Simulations!$I$3:$I$62,MATCH($A294,Simulations!$A$3:$A$62,0))&gt;0,INDEX(Simulations!$I$3:$I$62,MATCH($A294,Simulations!$A$3:$A$62,0)),1))*$H294*(PI()/2*INDEX(Simulations!$T$3:$T$62,MATCH($A294,Simulations!$A$3:$A$62,0))^2*IF(INDEX(Simulations!$I$3:$I$62,MATCH($A294,Simulations!$A$3:$A$62,0))&gt;0,SQRT(PI()/2)*INDEX(Simulations!$U$3:$U$62,MATCH($A294,Simulations!$A$3:$A$62,0)),1)),$D294/(INDEX(Simulations!$G$3:$G$62,MATCH($A294,Simulations!$A$3:$A$62,0))*INDEX(Simulations!$H$3:$H$62,MATCH($A294,Simulations!$A$3:$A$62,0))*IF(INDEX(Simulations!$I$3:$I$62,MATCH($A294,Simulations!$A$3:$A$62,0))&gt;0,INDEX(Simulations!$I$3:$I$62,MATCH($A294,Simulations!$A$3:$A$62,0)),1))*INDEX(Simulations!$J$3:$J$62,MATCH($A294,Simulations!$A$3:$A$62,0))*IF(INDEX(Simulations!$I$3:$I$62,MATCH($A294,Simulations!$A$3:$A$62,0))&gt;0,2*PI()*INDEX(Simulations!$T$3:$T$62,MATCH($A294,Simulations!$A$3:$A$62,0))^2*INDEX(Simulations!$U$3:$U$62,MATCH($A294,Simulations!$A$3:$A$62,0))/2^1.5*(2/3*LN($H294/INDEX(Simulations!$J$3:$J$62,MATCH($A294,Simulations!$A$3:$A$62,0)))^1.5+SQRT(LN($H294/INDEX(Simulations!$J$3:$J$62,MATCH($A294,Simulations!$A$3:$A$62,0))))+$H294/INDEX(Simulations!$J$3:$J$62,MATCH($A294,Simulations!$A$3:$A$62,0))*SQRT(PI())/2*ERFC(SQRT(LN($H294/INDEX(Simulations!$J$3:$J$62,MATCH($A294,Simulations!$A$3:$A$62,0)))))),PI()*INDEX(Simulations!$T$3:$T$62,MATCH($A294,Simulations!$A$3:$A$62,0))^2/2*(LN($H294/INDEX(Simulations!$J$3:$J$62,MATCH($A294,Simulations!$A$3:$A$62,0)))+1)))))</f>
        <v/>
      </c>
      <c r="U294" s="18" t="str">
        <f aca="false">IF(OR(OR($A294="",ISNA(MATCH($A294,Simulations!$A$3:$A$62,0))),N($C294)&lt;=0),"",SQRT(2*$C294*1000000/(INDEX(Simulations!$J$3:$J$62,MATCH($A294,Simulations!$A$3:$A$62,0))*1000))/INDEX(Simulations!$T$3:$T$62,MATCH($A294,Simulations!$A$3:$A$62,0)))</f>
        <v/>
      </c>
      <c r="V294" s="19" t="str">
        <f aca="false">IF($A294="","",IF(ISNA(MATCH($A294,Simulations!$A$3:$A$62,0)),"✖ Sim ID not found on the Simulations sheet",IF($P294&gt;=1,"✖ brightness &gt;= sampling frequency: completely saturated (D too small, c too large)",IF($P294&gt;0.1,"⚠ brightness &gt; 10% of the sampling frequency: focus starts to saturate",IF(N($U294)&gt;0.1,"⚠ diffusion step &gt; 10% of wr: raise the sampling frequency",IF(MAX($E294:$H294)=0,"⚠ no brightness set","✔ OK"))))))</f>
        <v/>
      </c>
    </row>
    <row r="295" customFormat="false" ht="15" hidden="false" customHeight="false" outlineLevel="0" collapsed="false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4"/>
      <c r="O295" s="18" t="str">
        <f aca="false">IF(OR($A295="",ISNA(MATCH($A295,Simulations!$A$3:$A$62,0))),"",IF(INDEX(Simulations!$I$3:$I$62,MATCH($A295,Simulations!$A$3:$A$62,0))&gt;0,$D295/(INDEX(Simulations!$G$3:$G$62,MATCH($A295,Simulations!$A$3:$A$62,0))*INDEX(Simulations!$H$3:$H$62,MATCH($A295,Simulations!$A$3:$A$62,0))*IF(INDEX(Simulations!$I$3:$I$62,MATCH($A295,Simulations!$A$3:$A$62,0))&gt;0,INDEX(Simulations!$I$3:$I$62,MATCH($A295,Simulations!$A$3:$A$62,0)),1))/1E-024/6.022E+023/0.000000001,""))</f>
        <v/>
      </c>
      <c r="P295" s="20" t="str">
        <f aca="false">IF(OR($A295="",ISNA(MATCH($A295,Simulations!$A$3:$A$62,0))),"",MAX($E295:$H295)/INDEX(Simulations!$J$3:$J$62,MATCH($A295,Simulations!$A$3:$A$62,0)))</f>
        <v/>
      </c>
      <c r="Q295" s="16" t="str">
        <f aca="false">IF(OR($A295="",ISNA(MATCH($A295,Simulations!$A$3:$A$62,0))),"",IF(N($E295)&lt;=0,0,IF($E295&lt;INDEX(Simulations!$J$3:$J$62,MATCH($A295,Simulations!$A$3:$A$62,0)),$D295/(INDEX(Simulations!$G$3:$G$62,MATCH($A295,Simulations!$A$3:$A$62,0))*INDEX(Simulations!$H$3:$H$62,MATCH($A295,Simulations!$A$3:$A$62,0))*IF(INDEX(Simulations!$I$3:$I$62,MATCH($A295,Simulations!$A$3:$A$62,0))&gt;0,INDEX(Simulations!$I$3:$I$62,MATCH($A295,Simulations!$A$3:$A$62,0)),1))*$E295*(PI()/2*INDEX(Simulations!$T$3:$T$62,MATCH($A295,Simulations!$A$3:$A$62,0))^2*IF(INDEX(Simulations!$I$3:$I$62,MATCH($A295,Simulations!$A$3:$A$62,0))&gt;0,SQRT(PI()/2)*INDEX(Simulations!$U$3:$U$62,MATCH($A295,Simulations!$A$3:$A$62,0)),1)),$D295/(INDEX(Simulations!$G$3:$G$62,MATCH($A295,Simulations!$A$3:$A$62,0))*INDEX(Simulations!$H$3:$H$62,MATCH($A295,Simulations!$A$3:$A$62,0))*IF(INDEX(Simulations!$I$3:$I$62,MATCH($A295,Simulations!$A$3:$A$62,0))&gt;0,INDEX(Simulations!$I$3:$I$62,MATCH($A295,Simulations!$A$3:$A$62,0)),1))*INDEX(Simulations!$J$3:$J$62,MATCH($A295,Simulations!$A$3:$A$62,0))*IF(INDEX(Simulations!$I$3:$I$62,MATCH($A295,Simulations!$A$3:$A$62,0))&gt;0,2*PI()*INDEX(Simulations!$T$3:$T$62,MATCH($A295,Simulations!$A$3:$A$62,0))^2*INDEX(Simulations!$U$3:$U$62,MATCH($A295,Simulations!$A$3:$A$62,0))/2^1.5*(2/3*LN($E295/INDEX(Simulations!$J$3:$J$62,MATCH($A295,Simulations!$A$3:$A$62,0)))^1.5+SQRT(LN($E295/INDEX(Simulations!$J$3:$J$62,MATCH($A295,Simulations!$A$3:$A$62,0))))+$E295/INDEX(Simulations!$J$3:$J$62,MATCH($A295,Simulations!$A$3:$A$62,0))*SQRT(PI())/2*ERFC(SQRT(LN($E295/INDEX(Simulations!$J$3:$J$62,MATCH($A295,Simulations!$A$3:$A$62,0)))))),PI()*INDEX(Simulations!$T$3:$T$62,MATCH($A295,Simulations!$A$3:$A$62,0))^2/2*(LN($E295/INDEX(Simulations!$J$3:$J$62,MATCH($A295,Simulations!$A$3:$A$62,0)))+1)))))</f>
        <v/>
      </c>
      <c r="R295" s="16" t="str">
        <f aca="false">IF(OR($A295="",ISNA(MATCH($A295,Simulations!$A$3:$A$62,0))),"",IF(N($F295)&lt;=0,0,IF($F295&lt;INDEX(Simulations!$J$3:$J$62,MATCH($A295,Simulations!$A$3:$A$62,0)),$D295/(INDEX(Simulations!$G$3:$G$62,MATCH($A295,Simulations!$A$3:$A$62,0))*INDEX(Simulations!$H$3:$H$62,MATCH($A295,Simulations!$A$3:$A$62,0))*IF(INDEX(Simulations!$I$3:$I$62,MATCH($A295,Simulations!$A$3:$A$62,0))&gt;0,INDEX(Simulations!$I$3:$I$62,MATCH($A295,Simulations!$A$3:$A$62,0)),1))*$F295*(PI()/2*INDEX(Simulations!$T$3:$T$62,MATCH($A295,Simulations!$A$3:$A$62,0))^2*IF(INDEX(Simulations!$I$3:$I$62,MATCH($A295,Simulations!$A$3:$A$62,0))&gt;0,SQRT(PI()/2)*INDEX(Simulations!$U$3:$U$62,MATCH($A295,Simulations!$A$3:$A$62,0)),1)),$D295/(INDEX(Simulations!$G$3:$G$62,MATCH($A295,Simulations!$A$3:$A$62,0))*INDEX(Simulations!$H$3:$H$62,MATCH($A295,Simulations!$A$3:$A$62,0))*IF(INDEX(Simulations!$I$3:$I$62,MATCH($A295,Simulations!$A$3:$A$62,0))&gt;0,INDEX(Simulations!$I$3:$I$62,MATCH($A295,Simulations!$A$3:$A$62,0)),1))*INDEX(Simulations!$J$3:$J$62,MATCH($A295,Simulations!$A$3:$A$62,0))*IF(INDEX(Simulations!$I$3:$I$62,MATCH($A295,Simulations!$A$3:$A$62,0))&gt;0,2*PI()*INDEX(Simulations!$T$3:$T$62,MATCH($A295,Simulations!$A$3:$A$62,0))^2*INDEX(Simulations!$U$3:$U$62,MATCH($A295,Simulations!$A$3:$A$62,0))/2^1.5*(2/3*LN($F295/INDEX(Simulations!$J$3:$J$62,MATCH($A295,Simulations!$A$3:$A$62,0)))^1.5+SQRT(LN($F295/INDEX(Simulations!$J$3:$J$62,MATCH($A295,Simulations!$A$3:$A$62,0))))+$F295/INDEX(Simulations!$J$3:$J$62,MATCH($A295,Simulations!$A$3:$A$62,0))*SQRT(PI())/2*ERFC(SQRT(LN($F295/INDEX(Simulations!$J$3:$J$62,MATCH($A295,Simulations!$A$3:$A$62,0)))))),PI()*INDEX(Simulations!$T$3:$T$62,MATCH($A295,Simulations!$A$3:$A$62,0))^2/2*(LN($F295/INDEX(Simulations!$J$3:$J$62,MATCH($A295,Simulations!$A$3:$A$62,0)))+1)))))</f>
        <v/>
      </c>
      <c r="S295" s="16" t="str">
        <f aca="false">IF(OR($A295="",ISNA(MATCH($A295,Simulations!$A$3:$A$62,0))),"",IF(N($G295)&lt;=0,0,IF($G295&lt;INDEX(Simulations!$J$3:$J$62,MATCH($A295,Simulations!$A$3:$A$62,0)),$D295/(INDEX(Simulations!$G$3:$G$62,MATCH($A295,Simulations!$A$3:$A$62,0))*INDEX(Simulations!$H$3:$H$62,MATCH($A295,Simulations!$A$3:$A$62,0))*IF(INDEX(Simulations!$I$3:$I$62,MATCH($A295,Simulations!$A$3:$A$62,0))&gt;0,INDEX(Simulations!$I$3:$I$62,MATCH($A295,Simulations!$A$3:$A$62,0)),1))*$G295*(PI()/2*INDEX(Simulations!$T$3:$T$62,MATCH($A295,Simulations!$A$3:$A$62,0))^2*IF(INDEX(Simulations!$I$3:$I$62,MATCH($A295,Simulations!$A$3:$A$62,0))&gt;0,SQRT(PI()/2)*INDEX(Simulations!$U$3:$U$62,MATCH($A295,Simulations!$A$3:$A$62,0)),1)),$D295/(INDEX(Simulations!$G$3:$G$62,MATCH($A295,Simulations!$A$3:$A$62,0))*INDEX(Simulations!$H$3:$H$62,MATCH($A295,Simulations!$A$3:$A$62,0))*IF(INDEX(Simulations!$I$3:$I$62,MATCH($A295,Simulations!$A$3:$A$62,0))&gt;0,INDEX(Simulations!$I$3:$I$62,MATCH($A295,Simulations!$A$3:$A$62,0)),1))*INDEX(Simulations!$J$3:$J$62,MATCH($A295,Simulations!$A$3:$A$62,0))*IF(INDEX(Simulations!$I$3:$I$62,MATCH($A295,Simulations!$A$3:$A$62,0))&gt;0,2*PI()*INDEX(Simulations!$T$3:$T$62,MATCH($A295,Simulations!$A$3:$A$62,0))^2*INDEX(Simulations!$U$3:$U$62,MATCH($A295,Simulations!$A$3:$A$62,0))/2^1.5*(2/3*LN($G295/INDEX(Simulations!$J$3:$J$62,MATCH($A295,Simulations!$A$3:$A$62,0)))^1.5+SQRT(LN($G295/INDEX(Simulations!$J$3:$J$62,MATCH($A295,Simulations!$A$3:$A$62,0))))+$G295/INDEX(Simulations!$J$3:$J$62,MATCH($A295,Simulations!$A$3:$A$62,0))*SQRT(PI())/2*ERFC(SQRT(LN($G295/INDEX(Simulations!$J$3:$J$62,MATCH($A295,Simulations!$A$3:$A$62,0)))))),PI()*INDEX(Simulations!$T$3:$T$62,MATCH($A295,Simulations!$A$3:$A$62,0))^2/2*(LN($G295/INDEX(Simulations!$J$3:$J$62,MATCH($A295,Simulations!$A$3:$A$62,0)))+1)))))</f>
        <v/>
      </c>
      <c r="T295" s="16" t="str">
        <f aca="false">IF(OR($A295="",ISNA(MATCH($A295,Simulations!$A$3:$A$62,0))),"",IF(N($H295)&lt;=0,0,IF($H295&lt;INDEX(Simulations!$J$3:$J$62,MATCH($A295,Simulations!$A$3:$A$62,0)),$D295/(INDEX(Simulations!$G$3:$G$62,MATCH($A295,Simulations!$A$3:$A$62,0))*INDEX(Simulations!$H$3:$H$62,MATCH($A295,Simulations!$A$3:$A$62,0))*IF(INDEX(Simulations!$I$3:$I$62,MATCH($A295,Simulations!$A$3:$A$62,0))&gt;0,INDEX(Simulations!$I$3:$I$62,MATCH($A295,Simulations!$A$3:$A$62,0)),1))*$H295*(PI()/2*INDEX(Simulations!$T$3:$T$62,MATCH($A295,Simulations!$A$3:$A$62,0))^2*IF(INDEX(Simulations!$I$3:$I$62,MATCH($A295,Simulations!$A$3:$A$62,0))&gt;0,SQRT(PI()/2)*INDEX(Simulations!$U$3:$U$62,MATCH($A295,Simulations!$A$3:$A$62,0)),1)),$D295/(INDEX(Simulations!$G$3:$G$62,MATCH($A295,Simulations!$A$3:$A$62,0))*INDEX(Simulations!$H$3:$H$62,MATCH($A295,Simulations!$A$3:$A$62,0))*IF(INDEX(Simulations!$I$3:$I$62,MATCH($A295,Simulations!$A$3:$A$62,0))&gt;0,INDEX(Simulations!$I$3:$I$62,MATCH($A295,Simulations!$A$3:$A$62,0)),1))*INDEX(Simulations!$J$3:$J$62,MATCH($A295,Simulations!$A$3:$A$62,0))*IF(INDEX(Simulations!$I$3:$I$62,MATCH($A295,Simulations!$A$3:$A$62,0))&gt;0,2*PI()*INDEX(Simulations!$T$3:$T$62,MATCH($A295,Simulations!$A$3:$A$62,0))^2*INDEX(Simulations!$U$3:$U$62,MATCH($A295,Simulations!$A$3:$A$62,0))/2^1.5*(2/3*LN($H295/INDEX(Simulations!$J$3:$J$62,MATCH($A295,Simulations!$A$3:$A$62,0)))^1.5+SQRT(LN($H295/INDEX(Simulations!$J$3:$J$62,MATCH($A295,Simulations!$A$3:$A$62,0))))+$H295/INDEX(Simulations!$J$3:$J$62,MATCH($A295,Simulations!$A$3:$A$62,0))*SQRT(PI())/2*ERFC(SQRT(LN($H295/INDEX(Simulations!$J$3:$J$62,MATCH($A295,Simulations!$A$3:$A$62,0)))))),PI()*INDEX(Simulations!$T$3:$T$62,MATCH($A295,Simulations!$A$3:$A$62,0))^2/2*(LN($H295/INDEX(Simulations!$J$3:$J$62,MATCH($A295,Simulations!$A$3:$A$62,0)))+1)))))</f>
        <v/>
      </c>
      <c r="U295" s="18" t="str">
        <f aca="false">IF(OR(OR($A295="",ISNA(MATCH($A295,Simulations!$A$3:$A$62,0))),N($C295)&lt;=0),"",SQRT(2*$C295*1000000/(INDEX(Simulations!$J$3:$J$62,MATCH($A295,Simulations!$A$3:$A$62,0))*1000))/INDEX(Simulations!$T$3:$T$62,MATCH($A295,Simulations!$A$3:$A$62,0)))</f>
        <v/>
      </c>
      <c r="V295" s="19" t="str">
        <f aca="false">IF($A295="","",IF(ISNA(MATCH($A295,Simulations!$A$3:$A$62,0)),"✖ Sim ID not found on the Simulations sheet",IF($P295&gt;=1,"✖ brightness &gt;= sampling frequency: completely saturated (D too small, c too large)",IF($P295&gt;0.1,"⚠ brightness &gt; 10% of the sampling frequency: focus starts to saturate",IF(N($U295)&gt;0.1,"⚠ diffusion step &gt; 10% of wr: raise the sampling frequency",IF(MAX($E295:$H295)=0,"⚠ no brightness set","✔ OK"))))))</f>
        <v/>
      </c>
    </row>
    <row r="296" customFormat="false" ht="15" hidden="false" customHeight="false" outlineLevel="0" collapsed="false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4"/>
      <c r="O296" s="18" t="str">
        <f aca="false">IF(OR($A296="",ISNA(MATCH($A296,Simulations!$A$3:$A$62,0))),"",IF(INDEX(Simulations!$I$3:$I$62,MATCH($A296,Simulations!$A$3:$A$62,0))&gt;0,$D296/(INDEX(Simulations!$G$3:$G$62,MATCH($A296,Simulations!$A$3:$A$62,0))*INDEX(Simulations!$H$3:$H$62,MATCH($A296,Simulations!$A$3:$A$62,0))*IF(INDEX(Simulations!$I$3:$I$62,MATCH($A296,Simulations!$A$3:$A$62,0))&gt;0,INDEX(Simulations!$I$3:$I$62,MATCH($A296,Simulations!$A$3:$A$62,0)),1))/1E-024/6.022E+023/0.000000001,""))</f>
        <v/>
      </c>
      <c r="P296" s="20" t="str">
        <f aca="false">IF(OR($A296="",ISNA(MATCH($A296,Simulations!$A$3:$A$62,0))),"",MAX($E296:$H296)/INDEX(Simulations!$J$3:$J$62,MATCH($A296,Simulations!$A$3:$A$62,0)))</f>
        <v/>
      </c>
      <c r="Q296" s="16" t="str">
        <f aca="false">IF(OR($A296="",ISNA(MATCH($A296,Simulations!$A$3:$A$62,0))),"",IF(N($E296)&lt;=0,0,IF($E296&lt;INDEX(Simulations!$J$3:$J$62,MATCH($A296,Simulations!$A$3:$A$62,0)),$D296/(INDEX(Simulations!$G$3:$G$62,MATCH($A296,Simulations!$A$3:$A$62,0))*INDEX(Simulations!$H$3:$H$62,MATCH($A296,Simulations!$A$3:$A$62,0))*IF(INDEX(Simulations!$I$3:$I$62,MATCH($A296,Simulations!$A$3:$A$62,0))&gt;0,INDEX(Simulations!$I$3:$I$62,MATCH($A296,Simulations!$A$3:$A$62,0)),1))*$E296*(PI()/2*INDEX(Simulations!$T$3:$T$62,MATCH($A296,Simulations!$A$3:$A$62,0))^2*IF(INDEX(Simulations!$I$3:$I$62,MATCH($A296,Simulations!$A$3:$A$62,0))&gt;0,SQRT(PI()/2)*INDEX(Simulations!$U$3:$U$62,MATCH($A296,Simulations!$A$3:$A$62,0)),1)),$D296/(INDEX(Simulations!$G$3:$G$62,MATCH($A296,Simulations!$A$3:$A$62,0))*INDEX(Simulations!$H$3:$H$62,MATCH($A296,Simulations!$A$3:$A$62,0))*IF(INDEX(Simulations!$I$3:$I$62,MATCH($A296,Simulations!$A$3:$A$62,0))&gt;0,INDEX(Simulations!$I$3:$I$62,MATCH($A296,Simulations!$A$3:$A$62,0)),1))*INDEX(Simulations!$J$3:$J$62,MATCH($A296,Simulations!$A$3:$A$62,0))*IF(INDEX(Simulations!$I$3:$I$62,MATCH($A296,Simulations!$A$3:$A$62,0))&gt;0,2*PI()*INDEX(Simulations!$T$3:$T$62,MATCH($A296,Simulations!$A$3:$A$62,0))^2*INDEX(Simulations!$U$3:$U$62,MATCH($A296,Simulations!$A$3:$A$62,0))/2^1.5*(2/3*LN($E296/INDEX(Simulations!$J$3:$J$62,MATCH($A296,Simulations!$A$3:$A$62,0)))^1.5+SQRT(LN($E296/INDEX(Simulations!$J$3:$J$62,MATCH($A296,Simulations!$A$3:$A$62,0))))+$E296/INDEX(Simulations!$J$3:$J$62,MATCH($A296,Simulations!$A$3:$A$62,0))*SQRT(PI())/2*ERFC(SQRT(LN($E296/INDEX(Simulations!$J$3:$J$62,MATCH($A296,Simulations!$A$3:$A$62,0)))))),PI()*INDEX(Simulations!$T$3:$T$62,MATCH($A296,Simulations!$A$3:$A$62,0))^2/2*(LN($E296/INDEX(Simulations!$J$3:$J$62,MATCH($A296,Simulations!$A$3:$A$62,0)))+1)))))</f>
        <v/>
      </c>
      <c r="R296" s="16" t="str">
        <f aca="false">IF(OR($A296="",ISNA(MATCH($A296,Simulations!$A$3:$A$62,0))),"",IF(N($F296)&lt;=0,0,IF($F296&lt;INDEX(Simulations!$J$3:$J$62,MATCH($A296,Simulations!$A$3:$A$62,0)),$D296/(INDEX(Simulations!$G$3:$G$62,MATCH($A296,Simulations!$A$3:$A$62,0))*INDEX(Simulations!$H$3:$H$62,MATCH($A296,Simulations!$A$3:$A$62,0))*IF(INDEX(Simulations!$I$3:$I$62,MATCH($A296,Simulations!$A$3:$A$62,0))&gt;0,INDEX(Simulations!$I$3:$I$62,MATCH($A296,Simulations!$A$3:$A$62,0)),1))*$F296*(PI()/2*INDEX(Simulations!$T$3:$T$62,MATCH($A296,Simulations!$A$3:$A$62,0))^2*IF(INDEX(Simulations!$I$3:$I$62,MATCH($A296,Simulations!$A$3:$A$62,0))&gt;0,SQRT(PI()/2)*INDEX(Simulations!$U$3:$U$62,MATCH($A296,Simulations!$A$3:$A$62,0)),1)),$D296/(INDEX(Simulations!$G$3:$G$62,MATCH($A296,Simulations!$A$3:$A$62,0))*INDEX(Simulations!$H$3:$H$62,MATCH($A296,Simulations!$A$3:$A$62,0))*IF(INDEX(Simulations!$I$3:$I$62,MATCH($A296,Simulations!$A$3:$A$62,0))&gt;0,INDEX(Simulations!$I$3:$I$62,MATCH($A296,Simulations!$A$3:$A$62,0)),1))*INDEX(Simulations!$J$3:$J$62,MATCH($A296,Simulations!$A$3:$A$62,0))*IF(INDEX(Simulations!$I$3:$I$62,MATCH($A296,Simulations!$A$3:$A$62,0))&gt;0,2*PI()*INDEX(Simulations!$T$3:$T$62,MATCH($A296,Simulations!$A$3:$A$62,0))^2*INDEX(Simulations!$U$3:$U$62,MATCH($A296,Simulations!$A$3:$A$62,0))/2^1.5*(2/3*LN($F296/INDEX(Simulations!$J$3:$J$62,MATCH($A296,Simulations!$A$3:$A$62,0)))^1.5+SQRT(LN($F296/INDEX(Simulations!$J$3:$J$62,MATCH($A296,Simulations!$A$3:$A$62,0))))+$F296/INDEX(Simulations!$J$3:$J$62,MATCH($A296,Simulations!$A$3:$A$62,0))*SQRT(PI())/2*ERFC(SQRT(LN($F296/INDEX(Simulations!$J$3:$J$62,MATCH($A296,Simulations!$A$3:$A$62,0)))))),PI()*INDEX(Simulations!$T$3:$T$62,MATCH($A296,Simulations!$A$3:$A$62,0))^2/2*(LN($F296/INDEX(Simulations!$J$3:$J$62,MATCH($A296,Simulations!$A$3:$A$62,0)))+1)))))</f>
        <v/>
      </c>
      <c r="S296" s="16" t="str">
        <f aca="false">IF(OR($A296="",ISNA(MATCH($A296,Simulations!$A$3:$A$62,0))),"",IF(N($G296)&lt;=0,0,IF($G296&lt;INDEX(Simulations!$J$3:$J$62,MATCH($A296,Simulations!$A$3:$A$62,0)),$D296/(INDEX(Simulations!$G$3:$G$62,MATCH($A296,Simulations!$A$3:$A$62,0))*INDEX(Simulations!$H$3:$H$62,MATCH($A296,Simulations!$A$3:$A$62,0))*IF(INDEX(Simulations!$I$3:$I$62,MATCH($A296,Simulations!$A$3:$A$62,0))&gt;0,INDEX(Simulations!$I$3:$I$62,MATCH($A296,Simulations!$A$3:$A$62,0)),1))*$G296*(PI()/2*INDEX(Simulations!$T$3:$T$62,MATCH($A296,Simulations!$A$3:$A$62,0))^2*IF(INDEX(Simulations!$I$3:$I$62,MATCH($A296,Simulations!$A$3:$A$62,0))&gt;0,SQRT(PI()/2)*INDEX(Simulations!$U$3:$U$62,MATCH($A296,Simulations!$A$3:$A$62,0)),1)),$D296/(INDEX(Simulations!$G$3:$G$62,MATCH($A296,Simulations!$A$3:$A$62,0))*INDEX(Simulations!$H$3:$H$62,MATCH($A296,Simulations!$A$3:$A$62,0))*IF(INDEX(Simulations!$I$3:$I$62,MATCH($A296,Simulations!$A$3:$A$62,0))&gt;0,INDEX(Simulations!$I$3:$I$62,MATCH($A296,Simulations!$A$3:$A$62,0)),1))*INDEX(Simulations!$J$3:$J$62,MATCH($A296,Simulations!$A$3:$A$62,0))*IF(INDEX(Simulations!$I$3:$I$62,MATCH($A296,Simulations!$A$3:$A$62,0))&gt;0,2*PI()*INDEX(Simulations!$T$3:$T$62,MATCH($A296,Simulations!$A$3:$A$62,0))^2*INDEX(Simulations!$U$3:$U$62,MATCH($A296,Simulations!$A$3:$A$62,0))/2^1.5*(2/3*LN($G296/INDEX(Simulations!$J$3:$J$62,MATCH($A296,Simulations!$A$3:$A$62,0)))^1.5+SQRT(LN($G296/INDEX(Simulations!$J$3:$J$62,MATCH($A296,Simulations!$A$3:$A$62,0))))+$G296/INDEX(Simulations!$J$3:$J$62,MATCH($A296,Simulations!$A$3:$A$62,0))*SQRT(PI())/2*ERFC(SQRT(LN($G296/INDEX(Simulations!$J$3:$J$62,MATCH($A296,Simulations!$A$3:$A$62,0)))))),PI()*INDEX(Simulations!$T$3:$T$62,MATCH($A296,Simulations!$A$3:$A$62,0))^2/2*(LN($G296/INDEX(Simulations!$J$3:$J$62,MATCH($A296,Simulations!$A$3:$A$62,0)))+1)))))</f>
        <v/>
      </c>
      <c r="T296" s="16" t="str">
        <f aca="false">IF(OR($A296="",ISNA(MATCH($A296,Simulations!$A$3:$A$62,0))),"",IF(N($H296)&lt;=0,0,IF($H296&lt;INDEX(Simulations!$J$3:$J$62,MATCH($A296,Simulations!$A$3:$A$62,0)),$D296/(INDEX(Simulations!$G$3:$G$62,MATCH($A296,Simulations!$A$3:$A$62,0))*INDEX(Simulations!$H$3:$H$62,MATCH($A296,Simulations!$A$3:$A$62,0))*IF(INDEX(Simulations!$I$3:$I$62,MATCH($A296,Simulations!$A$3:$A$62,0))&gt;0,INDEX(Simulations!$I$3:$I$62,MATCH($A296,Simulations!$A$3:$A$62,0)),1))*$H296*(PI()/2*INDEX(Simulations!$T$3:$T$62,MATCH($A296,Simulations!$A$3:$A$62,0))^2*IF(INDEX(Simulations!$I$3:$I$62,MATCH($A296,Simulations!$A$3:$A$62,0))&gt;0,SQRT(PI()/2)*INDEX(Simulations!$U$3:$U$62,MATCH($A296,Simulations!$A$3:$A$62,0)),1)),$D296/(INDEX(Simulations!$G$3:$G$62,MATCH($A296,Simulations!$A$3:$A$62,0))*INDEX(Simulations!$H$3:$H$62,MATCH($A296,Simulations!$A$3:$A$62,0))*IF(INDEX(Simulations!$I$3:$I$62,MATCH($A296,Simulations!$A$3:$A$62,0))&gt;0,INDEX(Simulations!$I$3:$I$62,MATCH($A296,Simulations!$A$3:$A$62,0)),1))*INDEX(Simulations!$J$3:$J$62,MATCH($A296,Simulations!$A$3:$A$62,0))*IF(INDEX(Simulations!$I$3:$I$62,MATCH($A296,Simulations!$A$3:$A$62,0))&gt;0,2*PI()*INDEX(Simulations!$T$3:$T$62,MATCH($A296,Simulations!$A$3:$A$62,0))^2*INDEX(Simulations!$U$3:$U$62,MATCH($A296,Simulations!$A$3:$A$62,0))/2^1.5*(2/3*LN($H296/INDEX(Simulations!$J$3:$J$62,MATCH($A296,Simulations!$A$3:$A$62,0)))^1.5+SQRT(LN($H296/INDEX(Simulations!$J$3:$J$62,MATCH($A296,Simulations!$A$3:$A$62,0))))+$H296/INDEX(Simulations!$J$3:$J$62,MATCH($A296,Simulations!$A$3:$A$62,0))*SQRT(PI())/2*ERFC(SQRT(LN($H296/INDEX(Simulations!$J$3:$J$62,MATCH($A296,Simulations!$A$3:$A$62,0)))))),PI()*INDEX(Simulations!$T$3:$T$62,MATCH($A296,Simulations!$A$3:$A$62,0))^2/2*(LN($H296/INDEX(Simulations!$J$3:$J$62,MATCH($A296,Simulations!$A$3:$A$62,0)))+1)))))</f>
        <v/>
      </c>
      <c r="U296" s="18" t="str">
        <f aca="false">IF(OR(OR($A296="",ISNA(MATCH($A296,Simulations!$A$3:$A$62,0))),N($C296)&lt;=0),"",SQRT(2*$C296*1000000/(INDEX(Simulations!$J$3:$J$62,MATCH($A296,Simulations!$A$3:$A$62,0))*1000))/INDEX(Simulations!$T$3:$T$62,MATCH($A296,Simulations!$A$3:$A$62,0)))</f>
        <v/>
      </c>
      <c r="V296" s="19" t="str">
        <f aca="false">IF($A296="","",IF(ISNA(MATCH($A296,Simulations!$A$3:$A$62,0)),"✖ Sim ID not found on the Simulations sheet",IF($P296&gt;=1,"✖ brightness &gt;= sampling frequency: completely saturated (D too small, c too large)",IF($P296&gt;0.1,"⚠ brightness &gt; 10% of the sampling frequency: focus starts to saturate",IF(N($U296)&gt;0.1,"⚠ diffusion step &gt; 10% of wr: raise the sampling frequency",IF(MAX($E296:$H296)=0,"⚠ no brightness set","✔ OK"))))))</f>
        <v/>
      </c>
    </row>
    <row r="297" customFormat="false" ht="15" hidden="false" customHeight="false" outlineLevel="0" collapsed="false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4"/>
      <c r="O297" s="18" t="str">
        <f aca="false">IF(OR($A297="",ISNA(MATCH($A297,Simulations!$A$3:$A$62,0))),"",IF(INDEX(Simulations!$I$3:$I$62,MATCH($A297,Simulations!$A$3:$A$62,0))&gt;0,$D297/(INDEX(Simulations!$G$3:$G$62,MATCH($A297,Simulations!$A$3:$A$62,0))*INDEX(Simulations!$H$3:$H$62,MATCH($A297,Simulations!$A$3:$A$62,0))*IF(INDEX(Simulations!$I$3:$I$62,MATCH($A297,Simulations!$A$3:$A$62,0))&gt;0,INDEX(Simulations!$I$3:$I$62,MATCH($A297,Simulations!$A$3:$A$62,0)),1))/1E-024/6.022E+023/0.000000001,""))</f>
        <v/>
      </c>
      <c r="P297" s="20" t="str">
        <f aca="false">IF(OR($A297="",ISNA(MATCH($A297,Simulations!$A$3:$A$62,0))),"",MAX($E297:$H297)/INDEX(Simulations!$J$3:$J$62,MATCH($A297,Simulations!$A$3:$A$62,0)))</f>
        <v/>
      </c>
      <c r="Q297" s="16" t="str">
        <f aca="false">IF(OR($A297="",ISNA(MATCH($A297,Simulations!$A$3:$A$62,0))),"",IF(N($E297)&lt;=0,0,IF($E297&lt;INDEX(Simulations!$J$3:$J$62,MATCH($A297,Simulations!$A$3:$A$62,0)),$D297/(INDEX(Simulations!$G$3:$G$62,MATCH($A297,Simulations!$A$3:$A$62,0))*INDEX(Simulations!$H$3:$H$62,MATCH($A297,Simulations!$A$3:$A$62,0))*IF(INDEX(Simulations!$I$3:$I$62,MATCH($A297,Simulations!$A$3:$A$62,0))&gt;0,INDEX(Simulations!$I$3:$I$62,MATCH($A297,Simulations!$A$3:$A$62,0)),1))*$E297*(PI()/2*INDEX(Simulations!$T$3:$T$62,MATCH($A297,Simulations!$A$3:$A$62,0))^2*IF(INDEX(Simulations!$I$3:$I$62,MATCH($A297,Simulations!$A$3:$A$62,0))&gt;0,SQRT(PI()/2)*INDEX(Simulations!$U$3:$U$62,MATCH($A297,Simulations!$A$3:$A$62,0)),1)),$D297/(INDEX(Simulations!$G$3:$G$62,MATCH($A297,Simulations!$A$3:$A$62,0))*INDEX(Simulations!$H$3:$H$62,MATCH($A297,Simulations!$A$3:$A$62,0))*IF(INDEX(Simulations!$I$3:$I$62,MATCH($A297,Simulations!$A$3:$A$62,0))&gt;0,INDEX(Simulations!$I$3:$I$62,MATCH($A297,Simulations!$A$3:$A$62,0)),1))*INDEX(Simulations!$J$3:$J$62,MATCH($A297,Simulations!$A$3:$A$62,0))*IF(INDEX(Simulations!$I$3:$I$62,MATCH($A297,Simulations!$A$3:$A$62,0))&gt;0,2*PI()*INDEX(Simulations!$T$3:$T$62,MATCH($A297,Simulations!$A$3:$A$62,0))^2*INDEX(Simulations!$U$3:$U$62,MATCH($A297,Simulations!$A$3:$A$62,0))/2^1.5*(2/3*LN($E297/INDEX(Simulations!$J$3:$J$62,MATCH($A297,Simulations!$A$3:$A$62,0)))^1.5+SQRT(LN($E297/INDEX(Simulations!$J$3:$J$62,MATCH($A297,Simulations!$A$3:$A$62,0))))+$E297/INDEX(Simulations!$J$3:$J$62,MATCH($A297,Simulations!$A$3:$A$62,0))*SQRT(PI())/2*ERFC(SQRT(LN($E297/INDEX(Simulations!$J$3:$J$62,MATCH($A297,Simulations!$A$3:$A$62,0)))))),PI()*INDEX(Simulations!$T$3:$T$62,MATCH($A297,Simulations!$A$3:$A$62,0))^2/2*(LN($E297/INDEX(Simulations!$J$3:$J$62,MATCH($A297,Simulations!$A$3:$A$62,0)))+1)))))</f>
        <v/>
      </c>
      <c r="R297" s="16" t="str">
        <f aca="false">IF(OR($A297="",ISNA(MATCH($A297,Simulations!$A$3:$A$62,0))),"",IF(N($F297)&lt;=0,0,IF($F297&lt;INDEX(Simulations!$J$3:$J$62,MATCH($A297,Simulations!$A$3:$A$62,0)),$D297/(INDEX(Simulations!$G$3:$G$62,MATCH($A297,Simulations!$A$3:$A$62,0))*INDEX(Simulations!$H$3:$H$62,MATCH($A297,Simulations!$A$3:$A$62,0))*IF(INDEX(Simulations!$I$3:$I$62,MATCH($A297,Simulations!$A$3:$A$62,0))&gt;0,INDEX(Simulations!$I$3:$I$62,MATCH($A297,Simulations!$A$3:$A$62,0)),1))*$F297*(PI()/2*INDEX(Simulations!$T$3:$T$62,MATCH($A297,Simulations!$A$3:$A$62,0))^2*IF(INDEX(Simulations!$I$3:$I$62,MATCH($A297,Simulations!$A$3:$A$62,0))&gt;0,SQRT(PI()/2)*INDEX(Simulations!$U$3:$U$62,MATCH($A297,Simulations!$A$3:$A$62,0)),1)),$D297/(INDEX(Simulations!$G$3:$G$62,MATCH($A297,Simulations!$A$3:$A$62,0))*INDEX(Simulations!$H$3:$H$62,MATCH($A297,Simulations!$A$3:$A$62,0))*IF(INDEX(Simulations!$I$3:$I$62,MATCH($A297,Simulations!$A$3:$A$62,0))&gt;0,INDEX(Simulations!$I$3:$I$62,MATCH($A297,Simulations!$A$3:$A$62,0)),1))*INDEX(Simulations!$J$3:$J$62,MATCH($A297,Simulations!$A$3:$A$62,0))*IF(INDEX(Simulations!$I$3:$I$62,MATCH($A297,Simulations!$A$3:$A$62,0))&gt;0,2*PI()*INDEX(Simulations!$T$3:$T$62,MATCH($A297,Simulations!$A$3:$A$62,0))^2*INDEX(Simulations!$U$3:$U$62,MATCH($A297,Simulations!$A$3:$A$62,0))/2^1.5*(2/3*LN($F297/INDEX(Simulations!$J$3:$J$62,MATCH($A297,Simulations!$A$3:$A$62,0)))^1.5+SQRT(LN($F297/INDEX(Simulations!$J$3:$J$62,MATCH($A297,Simulations!$A$3:$A$62,0))))+$F297/INDEX(Simulations!$J$3:$J$62,MATCH($A297,Simulations!$A$3:$A$62,0))*SQRT(PI())/2*ERFC(SQRT(LN($F297/INDEX(Simulations!$J$3:$J$62,MATCH($A297,Simulations!$A$3:$A$62,0)))))),PI()*INDEX(Simulations!$T$3:$T$62,MATCH($A297,Simulations!$A$3:$A$62,0))^2/2*(LN($F297/INDEX(Simulations!$J$3:$J$62,MATCH($A297,Simulations!$A$3:$A$62,0)))+1)))))</f>
        <v/>
      </c>
      <c r="S297" s="16" t="str">
        <f aca="false">IF(OR($A297="",ISNA(MATCH($A297,Simulations!$A$3:$A$62,0))),"",IF(N($G297)&lt;=0,0,IF($G297&lt;INDEX(Simulations!$J$3:$J$62,MATCH($A297,Simulations!$A$3:$A$62,0)),$D297/(INDEX(Simulations!$G$3:$G$62,MATCH($A297,Simulations!$A$3:$A$62,0))*INDEX(Simulations!$H$3:$H$62,MATCH($A297,Simulations!$A$3:$A$62,0))*IF(INDEX(Simulations!$I$3:$I$62,MATCH($A297,Simulations!$A$3:$A$62,0))&gt;0,INDEX(Simulations!$I$3:$I$62,MATCH($A297,Simulations!$A$3:$A$62,0)),1))*$G297*(PI()/2*INDEX(Simulations!$T$3:$T$62,MATCH($A297,Simulations!$A$3:$A$62,0))^2*IF(INDEX(Simulations!$I$3:$I$62,MATCH($A297,Simulations!$A$3:$A$62,0))&gt;0,SQRT(PI()/2)*INDEX(Simulations!$U$3:$U$62,MATCH($A297,Simulations!$A$3:$A$62,0)),1)),$D297/(INDEX(Simulations!$G$3:$G$62,MATCH($A297,Simulations!$A$3:$A$62,0))*INDEX(Simulations!$H$3:$H$62,MATCH($A297,Simulations!$A$3:$A$62,0))*IF(INDEX(Simulations!$I$3:$I$62,MATCH($A297,Simulations!$A$3:$A$62,0))&gt;0,INDEX(Simulations!$I$3:$I$62,MATCH($A297,Simulations!$A$3:$A$62,0)),1))*INDEX(Simulations!$J$3:$J$62,MATCH($A297,Simulations!$A$3:$A$62,0))*IF(INDEX(Simulations!$I$3:$I$62,MATCH($A297,Simulations!$A$3:$A$62,0))&gt;0,2*PI()*INDEX(Simulations!$T$3:$T$62,MATCH($A297,Simulations!$A$3:$A$62,0))^2*INDEX(Simulations!$U$3:$U$62,MATCH($A297,Simulations!$A$3:$A$62,0))/2^1.5*(2/3*LN($G297/INDEX(Simulations!$J$3:$J$62,MATCH($A297,Simulations!$A$3:$A$62,0)))^1.5+SQRT(LN($G297/INDEX(Simulations!$J$3:$J$62,MATCH($A297,Simulations!$A$3:$A$62,0))))+$G297/INDEX(Simulations!$J$3:$J$62,MATCH($A297,Simulations!$A$3:$A$62,0))*SQRT(PI())/2*ERFC(SQRT(LN($G297/INDEX(Simulations!$J$3:$J$62,MATCH($A297,Simulations!$A$3:$A$62,0)))))),PI()*INDEX(Simulations!$T$3:$T$62,MATCH($A297,Simulations!$A$3:$A$62,0))^2/2*(LN($G297/INDEX(Simulations!$J$3:$J$62,MATCH($A297,Simulations!$A$3:$A$62,0)))+1)))))</f>
        <v/>
      </c>
      <c r="T297" s="16" t="str">
        <f aca="false">IF(OR($A297="",ISNA(MATCH($A297,Simulations!$A$3:$A$62,0))),"",IF(N($H297)&lt;=0,0,IF($H297&lt;INDEX(Simulations!$J$3:$J$62,MATCH($A297,Simulations!$A$3:$A$62,0)),$D297/(INDEX(Simulations!$G$3:$G$62,MATCH($A297,Simulations!$A$3:$A$62,0))*INDEX(Simulations!$H$3:$H$62,MATCH($A297,Simulations!$A$3:$A$62,0))*IF(INDEX(Simulations!$I$3:$I$62,MATCH($A297,Simulations!$A$3:$A$62,0))&gt;0,INDEX(Simulations!$I$3:$I$62,MATCH($A297,Simulations!$A$3:$A$62,0)),1))*$H297*(PI()/2*INDEX(Simulations!$T$3:$T$62,MATCH($A297,Simulations!$A$3:$A$62,0))^2*IF(INDEX(Simulations!$I$3:$I$62,MATCH($A297,Simulations!$A$3:$A$62,0))&gt;0,SQRT(PI()/2)*INDEX(Simulations!$U$3:$U$62,MATCH($A297,Simulations!$A$3:$A$62,0)),1)),$D297/(INDEX(Simulations!$G$3:$G$62,MATCH($A297,Simulations!$A$3:$A$62,0))*INDEX(Simulations!$H$3:$H$62,MATCH($A297,Simulations!$A$3:$A$62,0))*IF(INDEX(Simulations!$I$3:$I$62,MATCH($A297,Simulations!$A$3:$A$62,0))&gt;0,INDEX(Simulations!$I$3:$I$62,MATCH($A297,Simulations!$A$3:$A$62,0)),1))*INDEX(Simulations!$J$3:$J$62,MATCH($A297,Simulations!$A$3:$A$62,0))*IF(INDEX(Simulations!$I$3:$I$62,MATCH($A297,Simulations!$A$3:$A$62,0))&gt;0,2*PI()*INDEX(Simulations!$T$3:$T$62,MATCH($A297,Simulations!$A$3:$A$62,0))^2*INDEX(Simulations!$U$3:$U$62,MATCH($A297,Simulations!$A$3:$A$62,0))/2^1.5*(2/3*LN($H297/INDEX(Simulations!$J$3:$J$62,MATCH($A297,Simulations!$A$3:$A$62,0)))^1.5+SQRT(LN($H297/INDEX(Simulations!$J$3:$J$62,MATCH($A297,Simulations!$A$3:$A$62,0))))+$H297/INDEX(Simulations!$J$3:$J$62,MATCH($A297,Simulations!$A$3:$A$62,0))*SQRT(PI())/2*ERFC(SQRT(LN($H297/INDEX(Simulations!$J$3:$J$62,MATCH($A297,Simulations!$A$3:$A$62,0)))))),PI()*INDEX(Simulations!$T$3:$T$62,MATCH($A297,Simulations!$A$3:$A$62,0))^2/2*(LN($H297/INDEX(Simulations!$J$3:$J$62,MATCH($A297,Simulations!$A$3:$A$62,0)))+1)))))</f>
        <v/>
      </c>
      <c r="U297" s="18" t="str">
        <f aca="false">IF(OR(OR($A297="",ISNA(MATCH($A297,Simulations!$A$3:$A$62,0))),N($C297)&lt;=0),"",SQRT(2*$C297*1000000/(INDEX(Simulations!$J$3:$J$62,MATCH($A297,Simulations!$A$3:$A$62,0))*1000))/INDEX(Simulations!$T$3:$T$62,MATCH($A297,Simulations!$A$3:$A$62,0)))</f>
        <v/>
      </c>
      <c r="V297" s="19" t="str">
        <f aca="false">IF($A297="","",IF(ISNA(MATCH($A297,Simulations!$A$3:$A$62,0)),"✖ Sim ID not found on the Simulations sheet",IF($P297&gt;=1,"✖ brightness &gt;= sampling frequency: completely saturated (D too small, c too large)",IF($P297&gt;0.1,"⚠ brightness &gt; 10% of the sampling frequency: focus starts to saturate",IF(N($U297)&gt;0.1,"⚠ diffusion step &gt; 10% of wr: raise the sampling frequency",IF(MAX($E297:$H297)=0,"⚠ no brightness set","✔ OK"))))))</f>
        <v/>
      </c>
    </row>
    <row r="298" customFormat="false" ht="15" hidden="false" customHeight="false" outlineLevel="0" collapsed="false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4"/>
      <c r="O298" s="18" t="str">
        <f aca="false">IF(OR($A298="",ISNA(MATCH($A298,Simulations!$A$3:$A$62,0))),"",IF(INDEX(Simulations!$I$3:$I$62,MATCH($A298,Simulations!$A$3:$A$62,0))&gt;0,$D298/(INDEX(Simulations!$G$3:$G$62,MATCH($A298,Simulations!$A$3:$A$62,0))*INDEX(Simulations!$H$3:$H$62,MATCH($A298,Simulations!$A$3:$A$62,0))*IF(INDEX(Simulations!$I$3:$I$62,MATCH($A298,Simulations!$A$3:$A$62,0))&gt;0,INDEX(Simulations!$I$3:$I$62,MATCH($A298,Simulations!$A$3:$A$62,0)),1))/1E-024/6.022E+023/0.000000001,""))</f>
        <v/>
      </c>
      <c r="P298" s="20" t="str">
        <f aca="false">IF(OR($A298="",ISNA(MATCH($A298,Simulations!$A$3:$A$62,0))),"",MAX($E298:$H298)/INDEX(Simulations!$J$3:$J$62,MATCH($A298,Simulations!$A$3:$A$62,0)))</f>
        <v/>
      </c>
      <c r="Q298" s="16" t="str">
        <f aca="false">IF(OR($A298="",ISNA(MATCH($A298,Simulations!$A$3:$A$62,0))),"",IF(N($E298)&lt;=0,0,IF($E298&lt;INDEX(Simulations!$J$3:$J$62,MATCH($A298,Simulations!$A$3:$A$62,0)),$D298/(INDEX(Simulations!$G$3:$G$62,MATCH($A298,Simulations!$A$3:$A$62,0))*INDEX(Simulations!$H$3:$H$62,MATCH($A298,Simulations!$A$3:$A$62,0))*IF(INDEX(Simulations!$I$3:$I$62,MATCH($A298,Simulations!$A$3:$A$62,0))&gt;0,INDEX(Simulations!$I$3:$I$62,MATCH($A298,Simulations!$A$3:$A$62,0)),1))*$E298*(PI()/2*INDEX(Simulations!$T$3:$T$62,MATCH($A298,Simulations!$A$3:$A$62,0))^2*IF(INDEX(Simulations!$I$3:$I$62,MATCH($A298,Simulations!$A$3:$A$62,0))&gt;0,SQRT(PI()/2)*INDEX(Simulations!$U$3:$U$62,MATCH($A298,Simulations!$A$3:$A$62,0)),1)),$D298/(INDEX(Simulations!$G$3:$G$62,MATCH($A298,Simulations!$A$3:$A$62,0))*INDEX(Simulations!$H$3:$H$62,MATCH($A298,Simulations!$A$3:$A$62,0))*IF(INDEX(Simulations!$I$3:$I$62,MATCH($A298,Simulations!$A$3:$A$62,0))&gt;0,INDEX(Simulations!$I$3:$I$62,MATCH($A298,Simulations!$A$3:$A$62,0)),1))*INDEX(Simulations!$J$3:$J$62,MATCH($A298,Simulations!$A$3:$A$62,0))*IF(INDEX(Simulations!$I$3:$I$62,MATCH($A298,Simulations!$A$3:$A$62,0))&gt;0,2*PI()*INDEX(Simulations!$T$3:$T$62,MATCH($A298,Simulations!$A$3:$A$62,0))^2*INDEX(Simulations!$U$3:$U$62,MATCH($A298,Simulations!$A$3:$A$62,0))/2^1.5*(2/3*LN($E298/INDEX(Simulations!$J$3:$J$62,MATCH($A298,Simulations!$A$3:$A$62,0)))^1.5+SQRT(LN($E298/INDEX(Simulations!$J$3:$J$62,MATCH($A298,Simulations!$A$3:$A$62,0))))+$E298/INDEX(Simulations!$J$3:$J$62,MATCH($A298,Simulations!$A$3:$A$62,0))*SQRT(PI())/2*ERFC(SQRT(LN($E298/INDEX(Simulations!$J$3:$J$62,MATCH($A298,Simulations!$A$3:$A$62,0)))))),PI()*INDEX(Simulations!$T$3:$T$62,MATCH($A298,Simulations!$A$3:$A$62,0))^2/2*(LN($E298/INDEX(Simulations!$J$3:$J$62,MATCH($A298,Simulations!$A$3:$A$62,0)))+1)))))</f>
        <v/>
      </c>
      <c r="R298" s="16" t="str">
        <f aca="false">IF(OR($A298="",ISNA(MATCH($A298,Simulations!$A$3:$A$62,0))),"",IF(N($F298)&lt;=0,0,IF($F298&lt;INDEX(Simulations!$J$3:$J$62,MATCH($A298,Simulations!$A$3:$A$62,0)),$D298/(INDEX(Simulations!$G$3:$G$62,MATCH($A298,Simulations!$A$3:$A$62,0))*INDEX(Simulations!$H$3:$H$62,MATCH($A298,Simulations!$A$3:$A$62,0))*IF(INDEX(Simulations!$I$3:$I$62,MATCH($A298,Simulations!$A$3:$A$62,0))&gt;0,INDEX(Simulations!$I$3:$I$62,MATCH($A298,Simulations!$A$3:$A$62,0)),1))*$F298*(PI()/2*INDEX(Simulations!$T$3:$T$62,MATCH($A298,Simulations!$A$3:$A$62,0))^2*IF(INDEX(Simulations!$I$3:$I$62,MATCH($A298,Simulations!$A$3:$A$62,0))&gt;0,SQRT(PI()/2)*INDEX(Simulations!$U$3:$U$62,MATCH($A298,Simulations!$A$3:$A$62,0)),1)),$D298/(INDEX(Simulations!$G$3:$G$62,MATCH($A298,Simulations!$A$3:$A$62,0))*INDEX(Simulations!$H$3:$H$62,MATCH($A298,Simulations!$A$3:$A$62,0))*IF(INDEX(Simulations!$I$3:$I$62,MATCH($A298,Simulations!$A$3:$A$62,0))&gt;0,INDEX(Simulations!$I$3:$I$62,MATCH($A298,Simulations!$A$3:$A$62,0)),1))*INDEX(Simulations!$J$3:$J$62,MATCH($A298,Simulations!$A$3:$A$62,0))*IF(INDEX(Simulations!$I$3:$I$62,MATCH($A298,Simulations!$A$3:$A$62,0))&gt;0,2*PI()*INDEX(Simulations!$T$3:$T$62,MATCH($A298,Simulations!$A$3:$A$62,0))^2*INDEX(Simulations!$U$3:$U$62,MATCH($A298,Simulations!$A$3:$A$62,0))/2^1.5*(2/3*LN($F298/INDEX(Simulations!$J$3:$J$62,MATCH($A298,Simulations!$A$3:$A$62,0)))^1.5+SQRT(LN($F298/INDEX(Simulations!$J$3:$J$62,MATCH($A298,Simulations!$A$3:$A$62,0))))+$F298/INDEX(Simulations!$J$3:$J$62,MATCH($A298,Simulations!$A$3:$A$62,0))*SQRT(PI())/2*ERFC(SQRT(LN($F298/INDEX(Simulations!$J$3:$J$62,MATCH($A298,Simulations!$A$3:$A$62,0)))))),PI()*INDEX(Simulations!$T$3:$T$62,MATCH($A298,Simulations!$A$3:$A$62,0))^2/2*(LN($F298/INDEX(Simulations!$J$3:$J$62,MATCH($A298,Simulations!$A$3:$A$62,0)))+1)))))</f>
        <v/>
      </c>
      <c r="S298" s="16" t="str">
        <f aca="false">IF(OR($A298="",ISNA(MATCH($A298,Simulations!$A$3:$A$62,0))),"",IF(N($G298)&lt;=0,0,IF($G298&lt;INDEX(Simulations!$J$3:$J$62,MATCH($A298,Simulations!$A$3:$A$62,0)),$D298/(INDEX(Simulations!$G$3:$G$62,MATCH($A298,Simulations!$A$3:$A$62,0))*INDEX(Simulations!$H$3:$H$62,MATCH($A298,Simulations!$A$3:$A$62,0))*IF(INDEX(Simulations!$I$3:$I$62,MATCH($A298,Simulations!$A$3:$A$62,0))&gt;0,INDEX(Simulations!$I$3:$I$62,MATCH($A298,Simulations!$A$3:$A$62,0)),1))*$G298*(PI()/2*INDEX(Simulations!$T$3:$T$62,MATCH($A298,Simulations!$A$3:$A$62,0))^2*IF(INDEX(Simulations!$I$3:$I$62,MATCH($A298,Simulations!$A$3:$A$62,0))&gt;0,SQRT(PI()/2)*INDEX(Simulations!$U$3:$U$62,MATCH($A298,Simulations!$A$3:$A$62,0)),1)),$D298/(INDEX(Simulations!$G$3:$G$62,MATCH($A298,Simulations!$A$3:$A$62,0))*INDEX(Simulations!$H$3:$H$62,MATCH($A298,Simulations!$A$3:$A$62,0))*IF(INDEX(Simulations!$I$3:$I$62,MATCH($A298,Simulations!$A$3:$A$62,0))&gt;0,INDEX(Simulations!$I$3:$I$62,MATCH($A298,Simulations!$A$3:$A$62,0)),1))*INDEX(Simulations!$J$3:$J$62,MATCH($A298,Simulations!$A$3:$A$62,0))*IF(INDEX(Simulations!$I$3:$I$62,MATCH($A298,Simulations!$A$3:$A$62,0))&gt;0,2*PI()*INDEX(Simulations!$T$3:$T$62,MATCH($A298,Simulations!$A$3:$A$62,0))^2*INDEX(Simulations!$U$3:$U$62,MATCH($A298,Simulations!$A$3:$A$62,0))/2^1.5*(2/3*LN($G298/INDEX(Simulations!$J$3:$J$62,MATCH($A298,Simulations!$A$3:$A$62,0)))^1.5+SQRT(LN($G298/INDEX(Simulations!$J$3:$J$62,MATCH($A298,Simulations!$A$3:$A$62,0))))+$G298/INDEX(Simulations!$J$3:$J$62,MATCH($A298,Simulations!$A$3:$A$62,0))*SQRT(PI())/2*ERFC(SQRT(LN($G298/INDEX(Simulations!$J$3:$J$62,MATCH($A298,Simulations!$A$3:$A$62,0)))))),PI()*INDEX(Simulations!$T$3:$T$62,MATCH($A298,Simulations!$A$3:$A$62,0))^2/2*(LN($G298/INDEX(Simulations!$J$3:$J$62,MATCH($A298,Simulations!$A$3:$A$62,0)))+1)))))</f>
        <v/>
      </c>
      <c r="T298" s="16" t="str">
        <f aca="false">IF(OR($A298="",ISNA(MATCH($A298,Simulations!$A$3:$A$62,0))),"",IF(N($H298)&lt;=0,0,IF($H298&lt;INDEX(Simulations!$J$3:$J$62,MATCH($A298,Simulations!$A$3:$A$62,0)),$D298/(INDEX(Simulations!$G$3:$G$62,MATCH($A298,Simulations!$A$3:$A$62,0))*INDEX(Simulations!$H$3:$H$62,MATCH($A298,Simulations!$A$3:$A$62,0))*IF(INDEX(Simulations!$I$3:$I$62,MATCH($A298,Simulations!$A$3:$A$62,0))&gt;0,INDEX(Simulations!$I$3:$I$62,MATCH($A298,Simulations!$A$3:$A$62,0)),1))*$H298*(PI()/2*INDEX(Simulations!$T$3:$T$62,MATCH($A298,Simulations!$A$3:$A$62,0))^2*IF(INDEX(Simulations!$I$3:$I$62,MATCH($A298,Simulations!$A$3:$A$62,0))&gt;0,SQRT(PI()/2)*INDEX(Simulations!$U$3:$U$62,MATCH($A298,Simulations!$A$3:$A$62,0)),1)),$D298/(INDEX(Simulations!$G$3:$G$62,MATCH($A298,Simulations!$A$3:$A$62,0))*INDEX(Simulations!$H$3:$H$62,MATCH($A298,Simulations!$A$3:$A$62,0))*IF(INDEX(Simulations!$I$3:$I$62,MATCH($A298,Simulations!$A$3:$A$62,0))&gt;0,INDEX(Simulations!$I$3:$I$62,MATCH($A298,Simulations!$A$3:$A$62,0)),1))*INDEX(Simulations!$J$3:$J$62,MATCH($A298,Simulations!$A$3:$A$62,0))*IF(INDEX(Simulations!$I$3:$I$62,MATCH($A298,Simulations!$A$3:$A$62,0))&gt;0,2*PI()*INDEX(Simulations!$T$3:$T$62,MATCH($A298,Simulations!$A$3:$A$62,0))^2*INDEX(Simulations!$U$3:$U$62,MATCH($A298,Simulations!$A$3:$A$62,0))/2^1.5*(2/3*LN($H298/INDEX(Simulations!$J$3:$J$62,MATCH($A298,Simulations!$A$3:$A$62,0)))^1.5+SQRT(LN($H298/INDEX(Simulations!$J$3:$J$62,MATCH($A298,Simulations!$A$3:$A$62,0))))+$H298/INDEX(Simulations!$J$3:$J$62,MATCH($A298,Simulations!$A$3:$A$62,0))*SQRT(PI())/2*ERFC(SQRT(LN($H298/INDEX(Simulations!$J$3:$J$62,MATCH($A298,Simulations!$A$3:$A$62,0)))))),PI()*INDEX(Simulations!$T$3:$T$62,MATCH($A298,Simulations!$A$3:$A$62,0))^2/2*(LN($H298/INDEX(Simulations!$J$3:$J$62,MATCH($A298,Simulations!$A$3:$A$62,0)))+1)))))</f>
        <v/>
      </c>
      <c r="U298" s="18" t="str">
        <f aca="false">IF(OR(OR($A298="",ISNA(MATCH($A298,Simulations!$A$3:$A$62,0))),N($C298)&lt;=0),"",SQRT(2*$C298*1000000/(INDEX(Simulations!$J$3:$J$62,MATCH($A298,Simulations!$A$3:$A$62,0))*1000))/INDEX(Simulations!$T$3:$T$62,MATCH($A298,Simulations!$A$3:$A$62,0)))</f>
        <v/>
      </c>
      <c r="V298" s="19" t="str">
        <f aca="false">IF($A298="","",IF(ISNA(MATCH($A298,Simulations!$A$3:$A$62,0)),"✖ Sim ID not found on the Simulations sheet",IF($P298&gt;=1,"✖ brightness &gt;= sampling frequency: completely saturated (D too small, c too large)",IF($P298&gt;0.1,"⚠ brightness &gt; 10% of the sampling frequency: focus starts to saturate",IF(N($U298)&gt;0.1,"⚠ diffusion step &gt; 10% of wr: raise the sampling frequency",IF(MAX($E298:$H298)=0,"⚠ no brightness set","✔ OK"))))))</f>
        <v/>
      </c>
    </row>
    <row r="299" customFormat="false" ht="15" hidden="false" customHeight="false" outlineLevel="0" collapsed="false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4"/>
      <c r="O299" s="18" t="str">
        <f aca="false">IF(OR($A299="",ISNA(MATCH($A299,Simulations!$A$3:$A$62,0))),"",IF(INDEX(Simulations!$I$3:$I$62,MATCH($A299,Simulations!$A$3:$A$62,0))&gt;0,$D299/(INDEX(Simulations!$G$3:$G$62,MATCH($A299,Simulations!$A$3:$A$62,0))*INDEX(Simulations!$H$3:$H$62,MATCH($A299,Simulations!$A$3:$A$62,0))*IF(INDEX(Simulations!$I$3:$I$62,MATCH($A299,Simulations!$A$3:$A$62,0))&gt;0,INDEX(Simulations!$I$3:$I$62,MATCH($A299,Simulations!$A$3:$A$62,0)),1))/1E-024/6.022E+023/0.000000001,""))</f>
        <v/>
      </c>
      <c r="P299" s="20" t="str">
        <f aca="false">IF(OR($A299="",ISNA(MATCH($A299,Simulations!$A$3:$A$62,0))),"",MAX($E299:$H299)/INDEX(Simulations!$J$3:$J$62,MATCH($A299,Simulations!$A$3:$A$62,0)))</f>
        <v/>
      </c>
      <c r="Q299" s="16" t="str">
        <f aca="false">IF(OR($A299="",ISNA(MATCH($A299,Simulations!$A$3:$A$62,0))),"",IF(N($E299)&lt;=0,0,IF($E299&lt;INDEX(Simulations!$J$3:$J$62,MATCH($A299,Simulations!$A$3:$A$62,0)),$D299/(INDEX(Simulations!$G$3:$G$62,MATCH($A299,Simulations!$A$3:$A$62,0))*INDEX(Simulations!$H$3:$H$62,MATCH($A299,Simulations!$A$3:$A$62,0))*IF(INDEX(Simulations!$I$3:$I$62,MATCH($A299,Simulations!$A$3:$A$62,0))&gt;0,INDEX(Simulations!$I$3:$I$62,MATCH($A299,Simulations!$A$3:$A$62,0)),1))*$E299*(PI()/2*INDEX(Simulations!$T$3:$T$62,MATCH($A299,Simulations!$A$3:$A$62,0))^2*IF(INDEX(Simulations!$I$3:$I$62,MATCH($A299,Simulations!$A$3:$A$62,0))&gt;0,SQRT(PI()/2)*INDEX(Simulations!$U$3:$U$62,MATCH($A299,Simulations!$A$3:$A$62,0)),1)),$D299/(INDEX(Simulations!$G$3:$G$62,MATCH($A299,Simulations!$A$3:$A$62,0))*INDEX(Simulations!$H$3:$H$62,MATCH($A299,Simulations!$A$3:$A$62,0))*IF(INDEX(Simulations!$I$3:$I$62,MATCH($A299,Simulations!$A$3:$A$62,0))&gt;0,INDEX(Simulations!$I$3:$I$62,MATCH($A299,Simulations!$A$3:$A$62,0)),1))*INDEX(Simulations!$J$3:$J$62,MATCH($A299,Simulations!$A$3:$A$62,0))*IF(INDEX(Simulations!$I$3:$I$62,MATCH($A299,Simulations!$A$3:$A$62,0))&gt;0,2*PI()*INDEX(Simulations!$T$3:$T$62,MATCH($A299,Simulations!$A$3:$A$62,0))^2*INDEX(Simulations!$U$3:$U$62,MATCH($A299,Simulations!$A$3:$A$62,0))/2^1.5*(2/3*LN($E299/INDEX(Simulations!$J$3:$J$62,MATCH($A299,Simulations!$A$3:$A$62,0)))^1.5+SQRT(LN($E299/INDEX(Simulations!$J$3:$J$62,MATCH($A299,Simulations!$A$3:$A$62,0))))+$E299/INDEX(Simulations!$J$3:$J$62,MATCH($A299,Simulations!$A$3:$A$62,0))*SQRT(PI())/2*ERFC(SQRT(LN($E299/INDEX(Simulations!$J$3:$J$62,MATCH($A299,Simulations!$A$3:$A$62,0)))))),PI()*INDEX(Simulations!$T$3:$T$62,MATCH($A299,Simulations!$A$3:$A$62,0))^2/2*(LN($E299/INDEX(Simulations!$J$3:$J$62,MATCH($A299,Simulations!$A$3:$A$62,0)))+1)))))</f>
        <v/>
      </c>
      <c r="R299" s="16" t="str">
        <f aca="false">IF(OR($A299="",ISNA(MATCH($A299,Simulations!$A$3:$A$62,0))),"",IF(N($F299)&lt;=0,0,IF($F299&lt;INDEX(Simulations!$J$3:$J$62,MATCH($A299,Simulations!$A$3:$A$62,0)),$D299/(INDEX(Simulations!$G$3:$G$62,MATCH($A299,Simulations!$A$3:$A$62,0))*INDEX(Simulations!$H$3:$H$62,MATCH($A299,Simulations!$A$3:$A$62,0))*IF(INDEX(Simulations!$I$3:$I$62,MATCH($A299,Simulations!$A$3:$A$62,0))&gt;0,INDEX(Simulations!$I$3:$I$62,MATCH($A299,Simulations!$A$3:$A$62,0)),1))*$F299*(PI()/2*INDEX(Simulations!$T$3:$T$62,MATCH($A299,Simulations!$A$3:$A$62,0))^2*IF(INDEX(Simulations!$I$3:$I$62,MATCH($A299,Simulations!$A$3:$A$62,0))&gt;0,SQRT(PI()/2)*INDEX(Simulations!$U$3:$U$62,MATCH($A299,Simulations!$A$3:$A$62,0)),1)),$D299/(INDEX(Simulations!$G$3:$G$62,MATCH($A299,Simulations!$A$3:$A$62,0))*INDEX(Simulations!$H$3:$H$62,MATCH($A299,Simulations!$A$3:$A$62,0))*IF(INDEX(Simulations!$I$3:$I$62,MATCH($A299,Simulations!$A$3:$A$62,0))&gt;0,INDEX(Simulations!$I$3:$I$62,MATCH($A299,Simulations!$A$3:$A$62,0)),1))*INDEX(Simulations!$J$3:$J$62,MATCH($A299,Simulations!$A$3:$A$62,0))*IF(INDEX(Simulations!$I$3:$I$62,MATCH($A299,Simulations!$A$3:$A$62,0))&gt;0,2*PI()*INDEX(Simulations!$T$3:$T$62,MATCH($A299,Simulations!$A$3:$A$62,0))^2*INDEX(Simulations!$U$3:$U$62,MATCH($A299,Simulations!$A$3:$A$62,0))/2^1.5*(2/3*LN($F299/INDEX(Simulations!$J$3:$J$62,MATCH($A299,Simulations!$A$3:$A$62,0)))^1.5+SQRT(LN($F299/INDEX(Simulations!$J$3:$J$62,MATCH($A299,Simulations!$A$3:$A$62,0))))+$F299/INDEX(Simulations!$J$3:$J$62,MATCH($A299,Simulations!$A$3:$A$62,0))*SQRT(PI())/2*ERFC(SQRT(LN($F299/INDEX(Simulations!$J$3:$J$62,MATCH($A299,Simulations!$A$3:$A$62,0)))))),PI()*INDEX(Simulations!$T$3:$T$62,MATCH($A299,Simulations!$A$3:$A$62,0))^2/2*(LN($F299/INDEX(Simulations!$J$3:$J$62,MATCH($A299,Simulations!$A$3:$A$62,0)))+1)))))</f>
        <v/>
      </c>
      <c r="S299" s="16" t="str">
        <f aca="false">IF(OR($A299="",ISNA(MATCH($A299,Simulations!$A$3:$A$62,0))),"",IF(N($G299)&lt;=0,0,IF($G299&lt;INDEX(Simulations!$J$3:$J$62,MATCH($A299,Simulations!$A$3:$A$62,0)),$D299/(INDEX(Simulations!$G$3:$G$62,MATCH($A299,Simulations!$A$3:$A$62,0))*INDEX(Simulations!$H$3:$H$62,MATCH($A299,Simulations!$A$3:$A$62,0))*IF(INDEX(Simulations!$I$3:$I$62,MATCH($A299,Simulations!$A$3:$A$62,0))&gt;0,INDEX(Simulations!$I$3:$I$62,MATCH($A299,Simulations!$A$3:$A$62,0)),1))*$G299*(PI()/2*INDEX(Simulations!$T$3:$T$62,MATCH($A299,Simulations!$A$3:$A$62,0))^2*IF(INDEX(Simulations!$I$3:$I$62,MATCH($A299,Simulations!$A$3:$A$62,0))&gt;0,SQRT(PI()/2)*INDEX(Simulations!$U$3:$U$62,MATCH($A299,Simulations!$A$3:$A$62,0)),1)),$D299/(INDEX(Simulations!$G$3:$G$62,MATCH($A299,Simulations!$A$3:$A$62,0))*INDEX(Simulations!$H$3:$H$62,MATCH($A299,Simulations!$A$3:$A$62,0))*IF(INDEX(Simulations!$I$3:$I$62,MATCH($A299,Simulations!$A$3:$A$62,0))&gt;0,INDEX(Simulations!$I$3:$I$62,MATCH($A299,Simulations!$A$3:$A$62,0)),1))*INDEX(Simulations!$J$3:$J$62,MATCH($A299,Simulations!$A$3:$A$62,0))*IF(INDEX(Simulations!$I$3:$I$62,MATCH($A299,Simulations!$A$3:$A$62,0))&gt;0,2*PI()*INDEX(Simulations!$T$3:$T$62,MATCH($A299,Simulations!$A$3:$A$62,0))^2*INDEX(Simulations!$U$3:$U$62,MATCH($A299,Simulations!$A$3:$A$62,0))/2^1.5*(2/3*LN($G299/INDEX(Simulations!$J$3:$J$62,MATCH($A299,Simulations!$A$3:$A$62,0)))^1.5+SQRT(LN($G299/INDEX(Simulations!$J$3:$J$62,MATCH($A299,Simulations!$A$3:$A$62,0))))+$G299/INDEX(Simulations!$J$3:$J$62,MATCH($A299,Simulations!$A$3:$A$62,0))*SQRT(PI())/2*ERFC(SQRT(LN($G299/INDEX(Simulations!$J$3:$J$62,MATCH($A299,Simulations!$A$3:$A$62,0)))))),PI()*INDEX(Simulations!$T$3:$T$62,MATCH($A299,Simulations!$A$3:$A$62,0))^2/2*(LN($G299/INDEX(Simulations!$J$3:$J$62,MATCH($A299,Simulations!$A$3:$A$62,0)))+1)))))</f>
        <v/>
      </c>
      <c r="T299" s="16" t="str">
        <f aca="false">IF(OR($A299="",ISNA(MATCH($A299,Simulations!$A$3:$A$62,0))),"",IF(N($H299)&lt;=0,0,IF($H299&lt;INDEX(Simulations!$J$3:$J$62,MATCH($A299,Simulations!$A$3:$A$62,0)),$D299/(INDEX(Simulations!$G$3:$G$62,MATCH($A299,Simulations!$A$3:$A$62,0))*INDEX(Simulations!$H$3:$H$62,MATCH($A299,Simulations!$A$3:$A$62,0))*IF(INDEX(Simulations!$I$3:$I$62,MATCH($A299,Simulations!$A$3:$A$62,0))&gt;0,INDEX(Simulations!$I$3:$I$62,MATCH($A299,Simulations!$A$3:$A$62,0)),1))*$H299*(PI()/2*INDEX(Simulations!$T$3:$T$62,MATCH($A299,Simulations!$A$3:$A$62,0))^2*IF(INDEX(Simulations!$I$3:$I$62,MATCH($A299,Simulations!$A$3:$A$62,0))&gt;0,SQRT(PI()/2)*INDEX(Simulations!$U$3:$U$62,MATCH($A299,Simulations!$A$3:$A$62,0)),1)),$D299/(INDEX(Simulations!$G$3:$G$62,MATCH($A299,Simulations!$A$3:$A$62,0))*INDEX(Simulations!$H$3:$H$62,MATCH($A299,Simulations!$A$3:$A$62,0))*IF(INDEX(Simulations!$I$3:$I$62,MATCH($A299,Simulations!$A$3:$A$62,0))&gt;0,INDEX(Simulations!$I$3:$I$62,MATCH($A299,Simulations!$A$3:$A$62,0)),1))*INDEX(Simulations!$J$3:$J$62,MATCH($A299,Simulations!$A$3:$A$62,0))*IF(INDEX(Simulations!$I$3:$I$62,MATCH($A299,Simulations!$A$3:$A$62,0))&gt;0,2*PI()*INDEX(Simulations!$T$3:$T$62,MATCH($A299,Simulations!$A$3:$A$62,0))^2*INDEX(Simulations!$U$3:$U$62,MATCH($A299,Simulations!$A$3:$A$62,0))/2^1.5*(2/3*LN($H299/INDEX(Simulations!$J$3:$J$62,MATCH($A299,Simulations!$A$3:$A$62,0)))^1.5+SQRT(LN($H299/INDEX(Simulations!$J$3:$J$62,MATCH($A299,Simulations!$A$3:$A$62,0))))+$H299/INDEX(Simulations!$J$3:$J$62,MATCH($A299,Simulations!$A$3:$A$62,0))*SQRT(PI())/2*ERFC(SQRT(LN($H299/INDEX(Simulations!$J$3:$J$62,MATCH($A299,Simulations!$A$3:$A$62,0)))))),PI()*INDEX(Simulations!$T$3:$T$62,MATCH($A299,Simulations!$A$3:$A$62,0))^2/2*(LN($H299/INDEX(Simulations!$J$3:$J$62,MATCH($A299,Simulations!$A$3:$A$62,0)))+1)))))</f>
        <v/>
      </c>
      <c r="U299" s="18" t="str">
        <f aca="false">IF(OR(OR($A299="",ISNA(MATCH($A299,Simulations!$A$3:$A$62,0))),N($C299)&lt;=0),"",SQRT(2*$C299*1000000/(INDEX(Simulations!$J$3:$J$62,MATCH($A299,Simulations!$A$3:$A$62,0))*1000))/INDEX(Simulations!$T$3:$T$62,MATCH($A299,Simulations!$A$3:$A$62,0)))</f>
        <v/>
      </c>
      <c r="V299" s="19" t="str">
        <f aca="false">IF($A299="","",IF(ISNA(MATCH($A299,Simulations!$A$3:$A$62,0)),"✖ Sim ID not found on the Simulations sheet",IF($P299&gt;=1,"✖ brightness &gt;= sampling frequency: completely saturated (D too small, c too large)",IF($P299&gt;0.1,"⚠ brightness &gt; 10% of the sampling frequency: focus starts to saturate",IF(N($U299)&gt;0.1,"⚠ diffusion step &gt; 10% of wr: raise the sampling frequency",IF(MAX($E299:$H299)=0,"⚠ no brightness set","✔ OK"))))))</f>
        <v/>
      </c>
    </row>
    <row r="300" customFormat="false" ht="15" hidden="false" customHeight="false" outlineLevel="0" collapsed="false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4"/>
      <c r="O300" s="18" t="str">
        <f aca="false">IF(OR($A300="",ISNA(MATCH($A300,Simulations!$A$3:$A$62,0))),"",IF(INDEX(Simulations!$I$3:$I$62,MATCH($A300,Simulations!$A$3:$A$62,0))&gt;0,$D300/(INDEX(Simulations!$G$3:$G$62,MATCH($A300,Simulations!$A$3:$A$62,0))*INDEX(Simulations!$H$3:$H$62,MATCH($A300,Simulations!$A$3:$A$62,0))*IF(INDEX(Simulations!$I$3:$I$62,MATCH($A300,Simulations!$A$3:$A$62,0))&gt;0,INDEX(Simulations!$I$3:$I$62,MATCH($A300,Simulations!$A$3:$A$62,0)),1))/1E-024/6.022E+023/0.000000001,""))</f>
        <v/>
      </c>
      <c r="P300" s="20" t="str">
        <f aca="false">IF(OR($A300="",ISNA(MATCH($A300,Simulations!$A$3:$A$62,0))),"",MAX($E300:$H300)/INDEX(Simulations!$J$3:$J$62,MATCH($A300,Simulations!$A$3:$A$62,0)))</f>
        <v/>
      </c>
      <c r="Q300" s="16" t="str">
        <f aca="false">IF(OR($A300="",ISNA(MATCH($A300,Simulations!$A$3:$A$62,0))),"",IF(N($E300)&lt;=0,0,IF($E300&lt;INDEX(Simulations!$J$3:$J$62,MATCH($A300,Simulations!$A$3:$A$62,0)),$D300/(INDEX(Simulations!$G$3:$G$62,MATCH($A300,Simulations!$A$3:$A$62,0))*INDEX(Simulations!$H$3:$H$62,MATCH($A300,Simulations!$A$3:$A$62,0))*IF(INDEX(Simulations!$I$3:$I$62,MATCH($A300,Simulations!$A$3:$A$62,0))&gt;0,INDEX(Simulations!$I$3:$I$62,MATCH($A300,Simulations!$A$3:$A$62,0)),1))*$E300*(PI()/2*INDEX(Simulations!$T$3:$T$62,MATCH($A300,Simulations!$A$3:$A$62,0))^2*IF(INDEX(Simulations!$I$3:$I$62,MATCH($A300,Simulations!$A$3:$A$62,0))&gt;0,SQRT(PI()/2)*INDEX(Simulations!$U$3:$U$62,MATCH($A300,Simulations!$A$3:$A$62,0)),1)),$D300/(INDEX(Simulations!$G$3:$G$62,MATCH($A300,Simulations!$A$3:$A$62,0))*INDEX(Simulations!$H$3:$H$62,MATCH($A300,Simulations!$A$3:$A$62,0))*IF(INDEX(Simulations!$I$3:$I$62,MATCH($A300,Simulations!$A$3:$A$62,0))&gt;0,INDEX(Simulations!$I$3:$I$62,MATCH($A300,Simulations!$A$3:$A$62,0)),1))*INDEX(Simulations!$J$3:$J$62,MATCH($A300,Simulations!$A$3:$A$62,0))*IF(INDEX(Simulations!$I$3:$I$62,MATCH($A300,Simulations!$A$3:$A$62,0))&gt;0,2*PI()*INDEX(Simulations!$T$3:$T$62,MATCH($A300,Simulations!$A$3:$A$62,0))^2*INDEX(Simulations!$U$3:$U$62,MATCH($A300,Simulations!$A$3:$A$62,0))/2^1.5*(2/3*LN($E300/INDEX(Simulations!$J$3:$J$62,MATCH($A300,Simulations!$A$3:$A$62,0)))^1.5+SQRT(LN($E300/INDEX(Simulations!$J$3:$J$62,MATCH($A300,Simulations!$A$3:$A$62,0))))+$E300/INDEX(Simulations!$J$3:$J$62,MATCH($A300,Simulations!$A$3:$A$62,0))*SQRT(PI())/2*ERFC(SQRT(LN($E300/INDEX(Simulations!$J$3:$J$62,MATCH($A300,Simulations!$A$3:$A$62,0)))))),PI()*INDEX(Simulations!$T$3:$T$62,MATCH($A300,Simulations!$A$3:$A$62,0))^2/2*(LN($E300/INDEX(Simulations!$J$3:$J$62,MATCH($A300,Simulations!$A$3:$A$62,0)))+1)))))</f>
        <v/>
      </c>
      <c r="R300" s="16" t="str">
        <f aca="false">IF(OR($A300="",ISNA(MATCH($A300,Simulations!$A$3:$A$62,0))),"",IF(N($F300)&lt;=0,0,IF($F300&lt;INDEX(Simulations!$J$3:$J$62,MATCH($A300,Simulations!$A$3:$A$62,0)),$D300/(INDEX(Simulations!$G$3:$G$62,MATCH($A300,Simulations!$A$3:$A$62,0))*INDEX(Simulations!$H$3:$H$62,MATCH($A300,Simulations!$A$3:$A$62,0))*IF(INDEX(Simulations!$I$3:$I$62,MATCH($A300,Simulations!$A$3:$A$62,0))&gt;0,INDEX(Simulations!$I$3:$I$62,MATCH($A300,Simulations!$A$3:$A$62,0)),1))*$F300*(PI()/2*INDEX(Simulations!$T$3:$T$62,MATCH($A300,Simulations!$A$3:$A$62,0))^2*IF(INDEX(Simulations!$I$3:$I$62,MATCH($A300,Simulations!$A$3:$A$62,0))&gt;0,SQRT(PI()/2)*INDEX(Simulations!$U$3:$U$62,MATCH($A300,Simulations!$A$3:$A$62,0)),1)),$D300/(INDEX(Simulations!$G$3:$G$62,MATCH($A300,Simulations!$A$3:$A$62,0))*INDEX(Simulations!$H$3:$H$62,MATCH($A300,Simulations!$A$3:$A$62,0))*IF(INDEX(Simulations!$I$3:$I$62,MATCH($A300,Simulations!$A$3:$A$62,0))&gt;0,INDEX(Simulations!$I$3:$I$62,MATCH($A300,Simulations!$A$3:$A$62,0)),1))*INDEX(Simulations!$J$3:$J$62,MATCH($A300,Simulations!$A$3:$A$62,0))*IF(INDEX(Simulations!$I$3:$I$62,MATCH($A300,Simulations!$A$3:$A$62,0))&gt;0,2*PI()*INDEX(Simulations!$T$3:$T$62,MATCH($A300,Simulations!$A$3:$A$62,0))^2*INDEX(Simulations!$U$3:$U$62,MATCH($A300,Simulations!$A$3:$A$62,0))/2^1.5*(2/3*LN($F300/INDEX(Simulations!$J$3:$J$62,MATCH($A300,Simulations!$A$3:$A$62,0)))^1.5+SQRT(LN($F300/INDEX(Simulations!$J$3:$J$62,MATCH($A300,Simulations!$A$3:$A$62,0))))+$F300/INDEX(Simulations!$J$3:$J$62,MATCH($A300,Simulations!$A$3:$A$62,0))*SQRT(PI())/2*ERFC(SQRT(LN($F300/INDEX(Simulations!$J$3:$J$62,MATCH($A300,Simulations!$A$3:$A$62,0)))))),PI()*INDEX(Simulations!$T$3:$T$62,MATCH($A300,Simulations!$A$3:$A$62,0))^2/2*(LN($F300/INDEX(Simulations!$J$3:$J$62,MATCH($A300,Simulations!$A$3:$A$62,0)))+1)))))</f>
        <v/>
      </c>
      <c r="S300" s="16" t="str">
        <f aca="false">IF(OR($A300="",ISNA(MATCH($A300,Simulations!$A$3:$A$62,0))),"",IF(N($G300)&lt;=0,0,IF($G300&lt;INDEX(Simulations!$J$3:$J$62,MATCH($A300,Simulations!$A$3:$A$62,0)),$D300/(INDEX(Simulations!$G$3:$G$62,MATCH($A300,Simulations!$A$3:$A$62,0))*INDEX(Simulations!$H$3:$H$62,MATCH($A300,Simulations!$A$3:$A$62,0))*IF(INDEX(Simulations!$I$3:$I$62,MATCH($A300,Simulations!$A$3:$A$62,0))&gt;0,INDEX(Simulations!$I$3:$I$62,MATCH($A300,Simulations!$A$3:$A$62,0)),1))*$G300*(PI()/2*INDEX(Simulations!$T$3:$T$62,MATCH($A300,Simulations!$A$3:$A$62,0))^2*IF(INDEX(Simulations!$I$3:$I$62,MATCH($A300,Simulations!$A$3:$A$62,0))&gt;0,SQRT(PI()/2)*INDEX(Simulations!$U$3:$U$62,MATCH($A300,Simulations!$A$3:$A$62,0)),1)),$D300/(INDEX(Simulations!$G$3:$G$62,MATCH($A300,Simulations!$A$3:$A$62,0))*INDEX(Simulations!$H$3:$H$62,MATCH($A300,Simulations!$A$3:$A$62,0))*IF(INDEX(Simulations!$I$3:$I$62,MATCH($A300,Simulations!$A$3:$A$62,0))&gt;0,INDEX(Simulations!$I$3:$I$62,MATCH($A300,Simulations!$A$3:$A$62,0)),1))*INDEX(Simulations!$J$3:$J$62,MATCH($A300,Simulations!$A$3:$A$62,0))*IF(INDEX(Simulations!$I$3:$I$62,MATCH($A300,Simulations!$A$3:$A$62,0))&gt;0,2*PI()*INDEX(Simulations!$T$3:$T$62,MATCH($A300,Simulations!$A$3:$A$62,0))^2*INDEX(Simulations!$U$3:$U$62,MATCH($A300,Simulations!$A$3:$A$62,0))/2^1.5*(2/3*LN($G300/INDEX(Simulations!$J$3:$J$62,MATCH($A300,Simulations!$A$3:$A$62,0)))^1.5+SQRT(LN($G300/INDEX(Simulations!$J$3:$J$62,MATCH($A300,Simulations!$A$3:$A$62,0))))+$G300/INDEX(Simulations!$J$3:$J$62,MATCH($A300,Simulations!$A$3:$A$62,0))*SQRT(PI())/2*ERFC(SQRT(LN($G300/INDEX(Simulations!$J$3:$J$62,MATCH($A300,Simulations!$A$3:$A$62,0)))))),PI()*INDEX(Simulations!$T$3:$T$62,MATCH($A300,Simulations!$A$3:$A$62,0))^2/2*(LN($G300/INDEX(Simulations!$J$3:$J$62,MATCH($A300,Simulations!$A$3:$A$62,0)))+1)))))</f>
        <v/>
      </c>
      <c r="T300" s="16" t="str">
        <f aca="false">IF(OR($A300="",ISNA(MATCH($A300,Simulations!$A$3:$A$62,0))),"",IF(N($H300)&lt;=0,0,IF($H300&lt;INDEX(Simulations!$J$3:$J$62,MATCH($A300,Simulations!$A$3:$A$62,0)),$D300/(INDEX(Simulations!$G$3:$G$62,MATCH($A300,Simulations!$A$3:$A$62,0))*INDEX(Simulations!$H$3:$H$62,MATCH($A300,Simulations!$A$3:$A$62,0))*IF(INDEX(Simulations!$I$3:$I$62,MATCH($A300,Simulations!$A$3:$A$62,0))&gt;0,INDEX(Simulations!$I$3:$I$62,MATCH($A300,Simulations!$A$3:$A$62,0)),1))*$H300*(PI()/2*INDEX(Simulations!$T$3:$T$62,MATCH($A300,Simulations!$A$3:$A$62,0))^2*IF(INDEX(Simulations!$I$3:$I$62,MATCH($A300,Simulations!$A$3:$A$62,0))&gt;0,SQRT(PI()/2)*INDEX(Simulations!$U$3:$U$62,MATCH($A300,Simulations!$A$3:$A$62,0)),1)),$D300/(INDEX(Simulations!$G$3:$G$62,MATCH($A300,Simulations!$A$3:$A$62,0))*INDEX(Simulations!$H$3:$H$62,MATCH($A300,Simulations!$A$3:$A$62,0))*IF(INDEX(Simulations!$I$3:$I$62,MATCH($A300,Simulations!$A$3:$A$62,0))&gt;0,INDEX(Simulations!$I$3:$I$62,MATCH($A300,Simulations!$A$3:$A$62,0)),1))*INDEX(Simulations!$J$3:$J$62,MATCH($A300,Simulations!$A$3:$A$62,0))*IF(INDEX(Simulations!$I$3:$I$62,MATCH($A300,Simulations!$A$3:$A$62,0))&gt;0,2*PI()*INDEX(Simulations!$T$3:$T$62,MATCH($A300,Simulations!$A$3:$A$62,0))^2*INDEX(Simulations!$U$3:$U$62,MATCH($A300,Simulations!$A$3:$A$62,0))/2^1.5*(2/3*LN($H300/INDEX(Simulations!$J$3:$J$62,MATCH($A300,Simulations!$A$3:$A$62,0)))^1.5+SQRT(LN($H300/INDEX(Simulations!$J$3:$J$62,MATCH($A300,Simulations!$A$3:$A$62,0))))+$H300/INDEX(Simulations!$J$3:$J$62,MATCH($A300,Simulations!$A$3:$A$62,0))*SQRT(PI())/2*ERFC(SQRT(LN($H300/INDEX(Simulations!$J$3:$J$62,MATCH($A300,Simulations!$A$3:$A$62,0)))))),PI()*INDEX(Simulations!$T$3:$T$62,MATCH($A300,Simulations!$A$3:$A$62,0))^2/2*(LN($H300/INDEX(Simulations!$J$3:$J$62,MATCH($A300,Simulations!$A$3:$A$62,0)))+1)))))</f>
        <v/>
      </c>
      <c r="U300" s="18" t="str">
        <f aca="false">IF(OR(OR($A300="",ISNA(MATCH($A300,Simulations!$A$3:$A$62,0))),N($C300)&lt;=0),"",SQRT(2*$C300*1000000/(INDEX(Simulations!$J$3:$J$62,MATCH($A300,Simulations!$A$3:$A$62,0))*1000))/INDEX(Simulations!$T$3:$T$62,MATCH($A300,Simulations!$A$3:$A$62,0)))</f>
        <v/>
      </c>
      <c r="V300" s="19" t="str">
        <f aca="false">IF($A300="","",IF(ISNA(MATCH($A300,Simulations!$A$3:$A$62,0)),"✖ Sim ID not found on the Simulations sheet",IF($P300&gt;=1,"✖ brightness &gt;= sampling frequency: completely saturated (D too small, c too large)",IF($P300&gt;0.1,"⚠ brightness &gt; 10% of the sampling frequency: focus starts to saturate",IF(N($U300)&gt;0.1,"⚠ diffusion step &gt; 10% of wr: raise the sampling frequency",IF(MAX($E300:$H300)=0,"⚠ no brightness set","✔ OK"))))))</f>
        <v/>
      </c>
    </row>
    <row r="301" customFormat="false" ht="15" hidden="false" customHeight="false" outlineLevel="0" collapsed="false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4"/>
      <c r="O301" s="18" t="str">
        <f aca="false">IF(OR($A301="",ISNA(MATCH($A301,Simulations!$A$3:$A$62,0))),"",IF(INDEX(Simulations!$I$3:$I$62,MATCH($A301,Simulations!$A$3:$A$62,0))&gt;0,$D301/(INDEX(Simulations!$G$3:$G$62,MATCH($A301,Simulations!$A$3:$A$62,0))*INDEX(Simulations!$H$3:$H$62,MATCH($A301,Simulations!$A$3:$A$62,0))*IF(INDEX(Simulations!$I$3:$I$62,MATCH($A301,Simulations!$A$3:$A$62,0))&gt;0,INDEX(Simulations!$I$3:$I$62,MATCH($A301,Simulations!$A$3:$A$62,0)),1))/1E-024/6.022E+023/0.000000001,""))</f>
        <v/>
      </c>
      <c r="P301" s="20" t="str">
        <f aca="false">IF(OR($A301="",ISNA(MATCH($A301,Simulations!$A$3:$A$62,0))),"",MAX($E301:$H301)/INDEX(Simulations!$J$3:$J$62,MATCH($A301,Simulations!$A$3:$A$62,0)))</f>
        <v/>
      </c>
      <c r="Q301" s="16" t="str">
        <f aca="false">IF(OR($A301="",ISNA(MATCH($A301,Simulations!$A$3:$A$62,0))),"",IF(N($E301)&lt;=0,0,IF($E301&lt;INDEX(Simulations!$J$3:$J$62,MATCH($A301,Simulations!$A$3:$A$62,0)),$D301/(INDEX(Simulations!$G$3:$G$62,MATCH($A301,Simulations!$A$3:$A$62,0))*INDEX(Simulations!$H$3:$H$62,MATCH($A301,Simulations!$A$3:$A$62,0))*IF(INDEX(Simulations!$I$3:$I$62,MATCH($A301,Simulations!$A$3:$A$62,0))&gt;0,INDEX(Simulations!$I$3:$I$62,MATCH($A301,Simulations!$A$3:$A$62,0)),1))*$E301*(PI()/2*INDEX(Simulations!$T$3:$T$62,MATCH($A301,Simulations!$A$3:$A$62,0))^2*IF(INDEX(Simulations!$I$3:$I$62,MATCH($A301,Simulations!$A$3:$A$62,0))&gt;0,SQRT(PI()/2)*INDEX(Simulations!$U$3:$U$62,MATCH($A301,Simulations!$A$3:$A$62,0)),1)),$D301/(INDEX(Simulations!$G$3:$G$62,MATCH($A301,Simulations!$A$3:$A$62,0))*INDEX(Simulations!$H$3:$H$62,MATCH($A301,Simulations!$A$3:$A$62,0))*IF(INDEX(Simulations!$I$3:$I$62,MATCH($A301,Simulations!$A$3:$A$62,0))&gt;0,INDEX(Simulations!$I$3:$I$62,MATCH($A301,Simulations!$A$3:$A$62,0)),1))*INDEX(Simulations!$J$3:$J$62,MATCH($A301,Simulations!$A$3:$A$62,0))*IF(INDEX(Simulations!$I$3:$I$62,MATCH($A301,Simulations!$A$3:$A$62,0))&gt;0,2*PI()*INDEX(Simulations!$T$3:$T$62,MATCH($A301,Simulations!$A$3:$A$62,0))^2*INDEX(Simulations!$U$3:$U$62,MATCH($A301,Simulations!$A$3:$A$62,0))/2^1.5*(2/3*LN($E301/INDEX(Simulations!$J$3:$J$62,MATCH($A301,Simulations!$A$3:$A$62,0)))^1.5+SQRT(LN($E301/INDEX(Simulations!$J$3:$J$62,MATCH($A301,Simulations!$A$3:$A$62,0))))+$E301/INDEX(Simulations!$J$3:$J$62,MATCH($A301,Simulations!$A$3:$A$62,0))*SQRT(PI())/2*ERFC(SQRT(LN($E301/INDEX(Simulations!$J$3:$J$62,MATCH($A301,Simulations!$A$3:$A$62,0)))))),PI()*INDEX(Simulations!$T$3:$T$62,MATCH($A301,Simulations!$A$3:$A$62,0))^2/2*(LN($E301/INDEX(Simulations!$J$3:$J$62,MATCH($A301,Simulations!$A$3:$A$62,0)))+1)))))</f>
        <v/>
      </c>
      <c r="R301" s="16" t="str">
        <f aca="false">IF(OR($A301="",ISNA(MATCH($A301,Simulations!$A$3:$A$62,0))),"",IF(N($F301)&lt;=0,0,IF($F301&lt;INDEX(Simulations!$J$3:$J$62,MATCH($A301,Simulations!$A$3:$A$62,0)),$D301/(INDEX(Simulations!$G$3:$G$62,MATCH($A301,Simulations!$A$3:$A$62,0))*INDEX(Simulations!$H$3:$H$62,MATCH($A301,Simulations!$A$3:$A$62,0))*IF(INDEX(Simulations!$I$3:$I$62,MATCH($A301,Simulations!$A$3:$A$62,0))&gt;0,INDEX(Simulations!$I$3:$I$62,MATCH($A301,Simulations!$A$3:$A$62,0)),1))*$F301*(PI()/2*INDEX(Simulations!$T$3:$T$62,MATCH($A301,Simulations!$A$3:$A$62,0))^2*IF(INDEX(Simulations!$I$3:$I$62,MATCH($A301,Simulations!$A$3:$A$62,0))&gt;0,SQRT(PI()/2)*INDEX(Simulations!$U$3:$U$62,MATCH($A301,Simulations!$A$3:$A$62,0)),1)),$D301/(INDEX(Simulations!$G$3:$G$62,MATCH($A301,Simulations!$A$3:$A$62,0))*INDEX(Simulations!$H$3:$H$62,MATCH($A301,Simulations!$A$3:$A$62,0))*IF(INDEX(Simulations!$I$3:$I$62,MATCH($A301,Simulations!$A$3:$A$62,0))&gt;0,INDEX(Simulations!$I$3:$I$62,MATCH($A301,Simulations!$A$3:$A$62,0)),1))*INDEX(Simulations!$J$3:$J$62,MATCH($A301,Simulations!$A$3:$A$62,0))*IF(INDEX(Simulations!$I$3:$I$62,MATCH($A301,Simulations!$A$3:$A$62,0))&gt;0,2*PI()*INDEX(Simulations!$T$3:$T$62,MATCH($A301,Simulations!$A$3:$A$62,0))^2*INDEX(Simulations!$U$3:$U$62,MATCH($A301,Simulations!$A$3:$A$62,0))/2^1.5*(2/3*LN($F301/INDEX(Simulations!$J$3:$J$62,MATCH($A301,Simulations!$A$3:$A$62,0)))^1.5+SQRT(LN($F301/INDEX(Simulations!$J$3:$J$62,MATCH($A301,Simulations!$A$3:$A$62,0))))+$F301/INDEX(Simulations!$J$3:$J$62,MATCH($A301,Simulations!$A$3:$A$62,0))*SQRT(PI())/2*ERFC(SQRT(LN($F301/INDEX(Simulations!$J$3:$J$62,MATCH($A301,Simulations!$A$3:$A$62,0)))))),PI()*INDEX(Simulations!$T$3:$T$62,MATCH($A301,Simulations!$A$3:$A$62,0))^2/2*(LN($F301/INDEX(Simulations!$J$3:$J$62,MATCH($A301,Simulations!$A$3:$A$62,0)))+1)))))</f>
        <v/>
      </c>
      <c r="S301" s="16" t="str">
        <f aca="false">IF(OR($A301="",ISNA(MATCH($A301,Simulations!$A$3:$A$62,0))),"",IF(N($G301)&lt;=0,0,IF($G301&lt;INDEX(Simulations!$J$3:$J$62,MATCH($A301,Simulations!$A$3:$A$62,0)),$D301/(INDEX(Simulations!$G$3:$G$62,MATCH($A301,Simulations!$A$3:$A$62,0))*INDEX(Simulations!$H$3:$H$62,MATCH($A301,Simulations!$A$3:$A$62,0))*IF(INDEX(Simulations!$I$3:$I$62,MATCH($A301,Simulations!$A$3:$A$62,0))&gt;0,INDEX(Simulations!$I$3:$I$62,MATCH($A301,Simulations!$A$3:$A$62,0)),1))*$G301*(PI()/2*INDEX(Simulations!$T$3:$T$62,MATCH($A301,Simulations!$A$3:$A$62,0))^2*IF(INDEX(Simulations!$I$3:$I$62,MATCH($A301,Simulations!$A$3:$A$62,0))&gt;0,SQRT(PI()/2)*INDEX(Simulations!$U$3:$U$62,MATCH($A301,Simulations!$A$3:$A$62,0)),1)),$D301/(INDEX(Simulations!$G$3:$G$62,MATCH($A301,Simulations!$A$3:$A$62,0))*INDEX(Simulations!$H$3:$H$62,MATCH($A301,Simulations!$A$3:$A$62,0))*IF(INDEX(Simulations!$I$3:$I$62,MATCH($A301,Simulations!$A$3:$A$62,0))&gt;0,INDEX(Simulations!$I$3:$I$62,MATCH($A301,Simulations!$A$3:$A$62,0)),1))*INDEX(Simulations!$J$3:$J$62,MATCH($A301,Simulations!$A$3:$A$62,0))*IF(INDEX(Simulations!$I$3:$I$62,MATCH($A301,Simulations!$A$3:$A$62,0))&gt;0,2*PI()*INDEX(Simulations!$T$3:$T$62,MATCH($A301,Simulations!$A$3:$A$62,0))^2*INDEX(Simulations!$U$3:$U$62,MATCH($A301,Simulations!$A$3:$A$62,0))/2^1.5*(2/3*LN($G301/INDEX(Simulations!$J$3:$J$62,MATCH($A301,Simulations!$A$3:$A$62,0)))^1.5+SQRT(LN($G301/INDEX(Simulations!$J$3:$J$62,MATCH($A301,Simulations!$A$3:$A$62,0))))+$G301/INDEX(Simulations!$J$3:$J$62,MATCH($A301,Simulations!$A$3:$A$62,0))*SQRT(PI())/2*ERFC(SQRT(LN($G301/INDEX(Simulations!$J$3:$J$62,MATCH($A301,Simulations!$A$3:$A$62,0)))))),PI()*INDEX(Simulations!$T$3:$T$62,MATCH($A301,Simulations!$A$3:$A$62,0))^2/2*(LN($G301/INDEX(Simulations!$J$3:$J$62,MATCH($A301,Simulations!$A$3:$A$62,0)))+1)))))</f>
        <v/>
      </c>
      <c r="T301" s="16" t="str">
        <f aca="false">IF(OR($A301="",ISNA(MATCH($A301,Simulations!$A$3:$A$62,0))),"",IF(N($H301)&lt;=0,0,IF($H301&lt;INDEX(Simulations!$J$3:$J$62,MATCH($A301,Simulations!$A$3:$A$62,0)),$D301/(INDEX(Simulations!$G$3:$G$62,MATCH($A301,Simulations!$A$3:$A$62,0))*INDEX(Simulations!$H$3:$H$62,MATCH($A301,Simulations!$A$3:$A$62,0))*IF(INDEX(Simulations!$I$3:$I$62,MATCH($A301,Simulations!$A$3:$A$62,0))&gt;0,INDEX(Simulations!$I$3:$I$62,MATCH($A301,Simulations!$A$3:$A$62,0)),1))*$H301*(PI()/2*INDEX(Simulations!$T$3:$T$62,MATCH($A301,Simulations!$A$3:$A$62,0))^2*IF(INDEX(Simulations!$I$3:$I$62,MATCH($A301,Simulations!$A$3:$A$62,0))&gt;0,SQRT(PI()/2)*INDEX(Simulations!$U$3:$U$62,MATCH($A301,Simulations!$A$3:$A$62,0)),1)),$D301/(INDEX(Simulations!$G$3:$G$62,MATCH($A301,Simulations!$A$3:$A$62,0))*INDEX(Simulations!$H$3:$H$62,MATCH($A301,Simulations!$A$3:$A$62,0))*IF(INDEX(Simulations!$I$3:$I$62,MATCH($A301,Simulations!$A$3:$A$62,0))&gt;0,INDEX(Simulations!$I$3:$I$62,MATCH($A301,Simulations!$A$3:$A$62,0)),1))*INDEX(Simulations!$J$3:$J$62,MATCH($A301,Simulations!$A$3:$A$62,0))*IF(INDEX(Simulations!$I$3:$I$62,MATCH($A301,Simulations!$A$3:$A$62,0))&gt;0,2*PI()*INDEX(Simulations!$T$3:$T$62,MATCH($A301,Simulations!$A$3:$A$62,0))^2*INDEX(Simulations!$U$3:$U$62,MATCH($A301,Simulations!$A$3:$A$62,0))/2^1.5*(2/3*LN($H301/INDEX(Simulations!$J$3:$J$62,MATCH($A301,Simulations!$A$3:$A$62,0)))^1.5+SQRT(LN($H301/INDEX(Simulations!$J$3:$J$62,MATCH($A301,Simulations!$A$3:$A$62,0))))+$H301/INDEX(Simulations!$J$3:$J$62,MATCH($A301,Simulations!$A$3:$A$62,0))*SQRT(PI())/2*ERFC(SQRT(LN($H301/INDEX(Simulations!$J$3:$J$62,MATCH($A301,Simulations!$A$3:$A$62,0)))))),PI()*INDEX(Simulations!$T$3:$T$62,MATCH($A301,Simulations!$A$3:$A$62,0))^2/2*(LN($H301/INDEX(Simulations!$J$3:$J$62,MATCH($A301,Simulations!$A$3:$A$62,0)))+1)))))</f>
        <v/>
      </c>
      <c r="U301" s="18" t="str">
        <f aca="false">IF(OR(OR($A301="",ISNA(MATCH($A301,Simulations!$A$3:$A$62,0))),N($C301)&lt;=0),"",SQRT(2*$C301*1000000/(INDEX(Simulations!$J$3:$J$62,MATCH($A301,Simulations!$A$3:$A$62,0))*1000))/INDEX(Simulations!$T$3:$T$62,MATCH($A301,Simulations!$A$3:$A$62,0)))</f>
        <v/>
      </c>
      <c r="V301" s="19" t="str">
        <f aca="false">IF($A301="","",IF(ISNA(MATCH($A301,Simulations!$A$3:$A$62,0)),"✖ Sim ID not found on the Simulations sheet",IF($P301&gt;=1,"✖ brightness &gt;= sampling frequency: completely saturated (D too small, c too large)",IF($P301&gt;0.1,"⚠ brightness &gt; 10% of the sampling frequency: focus starts to saturate",IF(N($U301)&gt;0.1,"⚠ diffusion step &gt; 10% of wr: raise the sampling frequency",IF(MAX($E301:$H301)=0,"⚠ no brightness set","✔ OK"))))))</f>
        <v/>
      </c>
    </row>
    <row r="302" customFormat="false" ht="15" hidden="false" customHeight="false" outlineLevel="0" collapsed="false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4"/>
      <c r="O302" s="18" t="str">
        <f aca="false">IF(OR($A302="",ISNA(MATCH($A302,Simulations!$A$3:$A$62,0))),"",IF(INDEX(Simulations!$I$3:$I$62,MATCH($A302,Simulations!$A$3:$A$62,0))&gt;0,$D302/(INDEX(Simulations!$G$3:$G$62,MATCH($A302,Simulations!$A$3:$A$62,0))*INDEX(Simulations!$H$3:$H$62,MATCH($A302,Simulations!$A$3:$A$62,0))*IF(INDEX(Simulations!$I$3:$I$62,MATCH($A302,Simulations!$A$3:$A$62,0))&gt;0,INDEX(Simulations!$I$3:$I$62,MATCH($A302,Simulations!$A$3:$A$62,0)),1))/1E-024/6.022E+023/0.000000001,""))</f>
        <v/>
      </c>
      <c r="P302" s="20" t="str">
        <f aca="false">IF(OR($A302="",ISNA(MATCH($A302,Simulations!$A$3:$A$62,0))),"",MAX($E302:$H302)/INDEX(Simulations!$J$3:$J$62,MATCH($A302,Simulations!$A$3:$A$62,0)))</f>
        <v/>
      </c>
      <c r="Q302" s="16" t="str">
        <f aca="false">IF(OR($A302="",ISNA(MATCH($A302,Simulations!$A$3:$A$62,0))),"",IF(N($E302)&lt;=0,0,IF($E302&lt;INDEX(Simulations!$J$3:$J$62,MATCH($A302,Simulations!$A$3:$A$62,0)),$D302/(INDEX(Simulations!$G$3:$G$62,MATCH($A302,Simulations!$A$3:$A$62,0))*INDEX(Simulations!$H$3:$H$62,MATCH($A302,Simulations!$A$3:$A$62,0))*IF(INDEX(Simulations!$I$3:$I$62,MATCH($A302,Simulations!$A$3:$A$62,0))&gt;0,INDEX(Simulations!$I$3:$I$62,MATCH($A302,Simulations!$A$3:$A$62,0)),1))*$E302*(PI()/2*INDEX(Simulations!$T$3:$T$62,MATCH($A302,Simulations!$A$3:$A$62,0))^2*IF(INDEX(Simulations!$I$3:$I$62,MATCH($A302,Simulations!$A$3:$A$62,0))&gt;0,SQRT(PI()/2)*INDEX(Simulations!$U$3:$U$62,MATCH($A302,Simulations!$A$3:$A$62,0)),1)),$D302/(INDEX(Simulations!$G$3:$G$62,MATCH($A302,Simulations!$A$3:$A$62,0))*INDEX(Simulations!$H$3:$H$62,MATCH($A302,Simulations!$A$3:$A$62,0))*IF(INDEX(Simulations!$I$3:$I$62,MATCH($A302,Simulations!$A$3:$A$62,0))&gt;0,INDEX(Simulations!$I$3:$I$62,MATCH($A302,Simulations!$A$3:$A$62,0)),1))*INDEX(Simulations!$J$3:$J$62,MATCH($A302,Simulations!$A$3:$A$62,0))*IF(INDEX(Simulations!$I$3:$I$62,MATCH($A302,Simulations!$A$3:$A$62,0))&gt;0,2*PI()*INDEX(Simulations!$T$3:$T$62,MATCH($A302,Simulations!$A$3:$A$62,0))^2*INDEX(Simulations!$U$3:$U$62,MATCH($A302,Simulations!$A$3:$A$62,0))/2^1.5*(2/3*LN($E302/INDEX(Simulations!$J$3:$J$62,MATCH($A302,Simulations!$A$3:$A$62,0)))^1.5+SQRT(LN($E302/INDEX(Simulations!$J$3:$J$62,MATCH($A302,Simulations!$A$3:$A$62,0))))+$E302/INDEX(Simulations!$J$3:$J$62,MATCH($A302,Simulations!$A$3:$A$62,0))*SQRT(PI())/2*ERFC(SQRT(LN($E302/INDEX(Simulations!$J$3:$J$62,MATCH($A302,Simulations!$A$3:$A$62,0)))))),PI()*INDEX(Simulations!$T$3:$T$62,MATCH($A302,Simulations!$A$3:$A$62,0))^2/2*(LN($E302/INDEX(Simulations!$J$3:$J$62,MATCH($A302,Simulations!$A$3:$A$62,0)))+1)))))</f>
        <v/>
      </c>
      <c r="R302" s="16" t="str">
        <f aca="false">IF(OR($A302="",ISNA(MATCH($A302,Simulations!$A$3:$A$62,0))),"",IF(N($F302)&lt;=0,0,IF($F302&lt;INDEX(Simulations!$J$3:$J$62,MATCH($A302,Simulations!$A$3:$A$62,0)),$D302/(INDEX(Simulations!$G$3:$G$62,MATCH($A302,Simulations!$A$3:$A$62,0))*INDEX(Simulations!$H$3:$H$62,MATCH($A302,Simulations!$A$3:$A$62,0))*IF(INDEX(Simulations!$I$3:$I$62,MATCH($A302,Simulations!$A$3:$A$62,0))&gt;0,INDEX(Simulations!$I$3:$I$62,MATCH($A302,Simulations!$A$3:$A$62,0)),1))*$F302*(PI()/2*INDEX(Simulations!$T$3:$T$62,MATCH($A302,Simulations!$A$3:$A$62,0))^2*IF(INDEX(Simulations!$I$3:$I$62,MATCH($A302,Simulations!$A$3:$A$62,0))&gt;0,SQRT(PI()/2)*INDEX(Simulations!$U$3:$U$62,MATCH($A302,Simulations!$A$3:$A$62,0)),1)),$D302/(INDEX(Simulations!$G$3:$G$62,MATCH($A302,Simulations!$A$3:$A$62,0))*INDEX(Simulations!$H$3:$H$62,MATCH($A302,Simulations!$A$3:$A$62,0))*IF(INDEX(Simulations!$I$3:$I$62,MATCH($A302,Simulations!$A$3:$A$62,0))&gt;0,INDEX(Simulations!$I$3:$I$62,MATCH($A302,Simulations!$A$3:$A$62,0)),1))*INDEX(Simulations!$J$3:$J$62,MATCH($A302,Simulations!$A$3:$A$62,0))*IF(INDEX(Simulations!$I$3:$I$62,MATCH($A302,Simulations!$A$3:$A$62,0))&gt;0,2*PI()*INDEX(Simulations!$T$3:$T$62,MATCH($A302,Simulations!$A$3:$A$62,0))^2*INDEX(Simulations!$U$3:$U$62,MATCH($A302,Simulations!$A$3:$A$62,0))/2^1.5*(2/3*LN($F302/INDEX(Simulations!$J$3:$J$62,MATCH($A302,Simulations!$A$3:$A$62,0)))^1.5+SQRT(LN($F302/INDEX(Simulations!$J$3:$J$62,MATCH($A302,Simulations!$A$3:$A$62,0))))+$F302/INDEX(Simulations!$J$3:$J$62,MATCH($A302,Simulations!$A$3:$A$62,0))*SQRT(PI())/2*ERFC(SQRT(LN($F302/INDEX(Simulations!$J$3:$J$62,MATCH($A302,Simulations!$A$3:$A$62,0)))))),PI()*INDEX(Simulations!$T$3:$T$62,MATCH($A302,Simulations!$A$3:$A$62,0))^2/2*(LN($F302/INDEX(Simulations!$J$3:$J$62,MATCH($A302,Simulations!$A$3:$A$62,0)))+1)))))</f>
        <v/>
      </c>
      <c r="S302" s="16" t="str">
        <f aca="false">IF(OR($A302="",ISNA(MATCH($A302,Simulations!$A$3:$A$62,0))),"",IF(N($G302)&lt;=0,0,IF($G302&lt;INDEX(Simulations!$J$3:$J$62,MATCH($A302,Simulations!$A$3:$A$62,0)),$D302/(INDEX(Simulations!$G$3:$G$62,MATCH($A302,Simulations!$A$3:$A$62,0))*INDEX(Simulations!$H$3:$H$62,MATCH($A302,Simulations!$A$3:$A$62,0))*IF(INDEX(Simulations!$I$3:$I$62,MATCH($A302,Simulations!$A$3:$A$62,0))&gt;0,INDEX(Simulations!$I$3:$I$62,MATCH($A302,Simulations!$A$3:$A$62,0)),1))*$G302*(PI()/2*INDEX(Simulations!$T$3:$T$62,MATCH($A302,Simulations!$A$3:$A$62,0))^2*IF(INDEX(Simulations!$I$3:$I$62,MATCH($A302,Simulations!$A$3:$A$62,0))&gt;0,SQRT(PI()/2)*INDEX(Simulations!$U$3:$U$62,MATCH($A302,Simulations!$A$3:$A$62,0)),1)),$D302/(INDEX(Simulations!$G$3:$G$62,MATCH($A302,Simulations!$A$3:$A$62,0))*INDEX(Simulations!$H$3:$H$62,MATCH($A302,Simulations!$A$3:$A$62,0))*IF(INDEX(Simulations!$I$3:$I$62,MATCH($A302,Simulations!$A$3:$A$62,0))&gt;0,INDEX(Simulations!$I$3:$I$62,MATCH($A302,Simulations!$A$3:$A$62,0)),1))*INDEX(Simulations!$J$3:$J$62,MATCH($A302,Simulations!$A$3:$A$62,0))*IF(INDEX(Simulations!$I$3:$I$62,MATCH($A302,Simulations!$A$3:$A$62,0))&gt;0,2*PI()*INDEX(Simulations!$T$3:$T$62,MATCH($A302,Simulations!$A$3:$A$62,0))^2*INDEX(Simulations!$U$3:$U$62,MATCH($A302,Simulations!$A$3:$A$62,0))/2^1.5*(2/3*LN($G302/INDEX(Simulations!$J$3:$J$62,MATCH($A302,Simulations!$A$3:$A$62,0)))^1.5+SQRT(LN($G302/INDEX(Simulations!$J$3:$J$62,MATCH($A302,Simulations!$A$3:$A$62,0))))+$G302/INDEX(Simulations!$J$3:$J$62,MATCH($A302,Simulations!$A$3:$A$62,0))*SQRT(PI())/2*ERFC(SQRT(LN($G302/INDEX(Simulations!$J$3:$J$62,MATCH($A302,Simulations!$A$3:$A$62,0)))))),PI()*INDEX(Simulations!$T$3:$T$62,MATCH($A302,Simulations!$A$3:$A$62,0))^2/2*(LN($G302/INDEX(Simulations!$J$3:$J$62,MATCH($A302,Simulations!$A$3:$A$62,0)))+1)))))</f>
        <v/>
      </c>
      <c r="T302" s="16" t="str">
        <f aca="false">IF(OR($A302="",ISNA(MATCH($A302,Simulations!$A$3:$A$62,0))),"",IF(N($H302)&lt;=0,0,IF($H302&lt;INDEX(Simulations!$J$3:$J$62,MATCH($A302,Simulations!$A$3:$A$62,0)),$D302/(INDEX(Simulations!$G$3:$G$62,MATCH($A302,Simulations!$A$3:$A$62,0))*INDEX(Simulations!$H$3:$H$62,MATCH($A302,Simulations!$A$3:$A$62,0))*IF(INDEX(Simulations!$I$3:$I$62,MATCH($A302,Simulations!$A$3:$A$62,0))&gt;0,INDEX(Simulations!$I$3:$I$62,MATCH($A302,Simulations!$A$3:$A$62,0)),1))*$H302*(PI()/2*INDEX(Simulations!$T$3:$T$62,MATCH($A302,Simulations!$A$3:$A$62,0))^2*IF(INDEX(Simulations!$I$3:$I$62,MATCH($A302,Simulations!$A$3:$A$62,0))&gt;0,SQRT(PI()/2)*INDEX(Simulations!$U$3:$U$62,MATCH($A302,Simulations!$A$3:$A$62,0)),1)),$D302/(INDEX(Simulations!$G$3:$G$62,MATCH($A302,Simulations!$A$3:$A$62,0))*INDEX(Simulations!$H$3:$H$62,MATCH($A302,Simulations!$A$3:$A$62,0))*IF(INDEX(Simulations!$I$3:$I$62,MATCH($A302,Simulations!$A$3:$A$62,0))&gt;0,INDEX(Simulations!$I$3:$I$62,MATCH($A302,Simulations!$A$3:$A$62,0)),1))*INDEX(Simulations!$J$3:$J$62,MATCH($A302,Simulations!$A$3:$A$62,0))*IF(INDEX(Simulations!$I$3:$I$62,MATCH($A302,Simulations!$A$3:$A$62,0))&gt;0,2*PI()*INDEX(Simulations!$T$3:$T$62,MATCH($A302,Simulations!$A$3:$A$62,0))^2*INDEX(Simulations!$U$3:$U$62,MATCH($A302,Simulations!$A$3:$A$62,0))/2^1.5*(2/3*LN($H302/INDEX(Simulations!$J$3:$J$62,MATCH($A302,Simulations!$A$3:$A$62,0)))^1.5+SQRT(LN($H302/INDEX(Simulations!$J$3:$J$62,MATCH($A302,Simulations!$A$3:$A$62,0))))+$H302/INDEX(Simulations!$J$3:$J$62,MATCH($A302,Simulations!$A$3:$A$62,0))*SQRT(PI())/2*ERFC(SQRT(LN($H302/INDEX(Simulations!$J$3:$J$62,MATCH($A302,Simulations!$A$3:$A$62,0)))))),PI()*INDEX(Simulations!$T$3:$T$62,MATCH($A302,Simulations!$A$3:$A$62,0))^2/2*(LN($H302/INDEX(Simulations!$J$3:$J$62,MATCH($A302,Simulations!$A$3:$A$62,0)))+1)))))</f>
        <v/>
      </c>
      <c r="U302" s="18" t="str">
        <f aca="false">IF(OR(OR($A302="",ISNA(MATCH($A302,Simulations!$A$3:$A$62,0))),N($C302)&lt;=0),"",SQRT(2*$C302*1000000/(INDEX(Simulations!$J$3:$J$62,MATCH($A302,Simulations!$A$3:$A$62,0))*1000))/INDEX(Simulations!$T$3:$T$62,MATCH($A302,Simulations!$A$3:$A$62,0)))</f>
        <v/>
      </c>
      <c r="V302" s="19" t="str">
        <f aca="false">IF($A302="","",IF(ISNA(MATCH($A302,Simulations!$A$3:$A$62,0)),"✖ Sim ID not found on the Simulations sheet",IF($P302&gt;=1,"✖ brightness &gt;= sampling frequency: completely saturated (D too small, c too large)",IF($P302&gt;0.1,"⚠ brightness &gt; 10% of the sampling frequency: focus starts to saturate",IF(N($U302)&gt;0.1,"⚠ diffusion step &gt; 10% of wr: raise the sampling frequency",IF(MAX($E302:$H302)=0,"⚠ no brightness set","✔ OK"))))))</f>
        <v/>
      </c>
    </row>
  </sheetData>
  <autoFilter ref="A2:V302"/>
  <mergeCells count="6">
    <mergeCell ref="A1:B1"/>
    <mergeCell ref="C1:D1"/>
    <mergeCell ref="E1:H1"/>
    <mergeCell ref="I1:L1"/>
    <mergeCell ref="M1:N1"/>
    <mergeCell ref="O1:V1"/>
  </mergeCells>
  <conditionalFormatting sqref="V3:V302">
    <cfRule type="expression" priority="2" aboveAverage="0" equalAverage="0" bottom="0" percent="0" rank="0" text="" dxfId="10">
      <formula>LEFT($V3,1)="✖"</formula>
    </cfRule>
    <cfRule type="expression" priority="3" aboveAverage="0" equalAverage="0" bottom="0" percent="0" rank="0" text="" dxfId="11">
      <formula>LEFT($V3,1)="⚠"</formula>
    </cfRule>
    <cfRule type="expression" priority="4" aboveAverage="0" equalAverage="0" bottom="0" percent="0" rank="0" text="" dxfId="12">
      <formula>LEFT($V3,1)="✔"</formula>
    </cfRule>
  </conditionalFormatting>
  <conditionalFormatting sqref="P3:P302">
    <cfRule type="expression" priority="5" aboveAverage="0" equalAverage="0" bottom="0" percent="0" rank="0" text="" dxfId="17">
      <formula>AND(ISNUMBER($P3),$P3&gt;=1)</formula>
    </cfRule>
    <cfRule type="expression" priority="6" aboveAverage="0" equalAverage="0" bottom="0" percent="0" rank="0" text="" dxfId="18">
      <formula>AND(ISNUMBER($P3),$P3&gt;0.1,$P3&lt;1)</formula>
    </cfRule>
  </conditionalFormatting>
  <dataValidations count="3">
    <dataValidation allowBlank="true" errorStyle="stop" operator="between" showDropDown="false" showErrorMessage="false" showInputMessage="false" sqref="A3:A302" type="list">
      <formula1>Simulations!$A$3:$A$62</formula1>
      <formula2>0</formula2>
    </dataValidation>
    <dataValidation allowBlank="true" errorStyle="stop" operator="between" showDropDown="false" showErrorMessage="false" showInputMessage="false" sqref="M3:M302" type="list">
      <formula1>Lists!$D$2:$D$4</formula1>
      <formula2>0</formula2>
    </dataValidation>
    <dataValidation allowBlank="true" error="Must be &gt;= 0" errorStyle="stop" operator="greaterThanOrEqual" showDropDown="false" showErrorMessage="false" showInputMessage="false" sqref="C3:L302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21" t="s">
        <v>32</v>
      </c>
      <c r="B1" s="21" t="s">
        <v>41</v>
      </c>
      <c r="C1" s="21" t="s">
        <v>138</v>
      </c>
      <c r="D1" s="21" t="s">
        <v>125</v>
      </c>
      <c r="E1" s="21" t="s">
        <v>51</v>
      </c>
    </row>
    <row r="2" customFormat="false" ht="15" hidden="false" customHeight="false" outlineLevel="0" collapsed="false">
      <c r="A2" s="22" t="s">
        <v>71</v>
      </c>
      <c r="B2" s="22" t="s">
        <v>72</v>
      </c>
      <c r="C2" s="22" t="s">
        <v>139</v>
      </c>
      <c r="D2" s="22" t="s">
        <v>131</v>
      </c>
      <c r="E2" s="22" t="s">
        <v>74</v>
      </c>
    </row>
    <row r="3" customFormat="false" ht="15" hidden="false" customHeight="false" outlineLevel="0" collapsed="false">
      <c r="A3" s="22" t="s">
        <v>79</v>
      </c>
      <c r="B3" s="22" t="s">
        <v>140</v>
      </c>
      <c r="C3" s="22" t="s">
        <v>73</v>
      </c>
      <c r="D3" s="22" t="s">
        <v>141</v>
      </c>
      <c r="E3" s="22" t="s">
        <v>142</v>
      </c>
    </row>
    <row r="4" customFormat="false" ht="15" hidden="false" customHeight="false" outlineLevel="0" collapsed="false">
      <c r="A4" s="22" t="s">
        <v>143</v>
      </c>
      <c r="B4" s="22" t="s">
        <v>144</v>
      </c>
      <c r="D4" s="22" t="s">
        <v>145</v>
      </c>
      <c r="E4" s="22" t="s">
        <v>146</v>
      </c>
    </row>
    <row r="5" customFormat="false" ht="15" hidden="false" customHeight="false" outlineLevel="0" collapsed="false">
      <c r="A5" s="22" t="s">
        <v>147</v>
      </c>
      <c r="B5" s="22" t="s">
        <v>148</v>
      </c>
    </row>
    <row r="6" customFormat="false" ht="15" hidden="false" customHeight="false" outlineLevel="0" collapsed="false">
      <c r="A6" s="22" t="s">
        <v>149</v>
      </c>
    </row>
    <row r="7" customFormat="false" ht="15" hidden="false" customHeight="false" outlineLevel="0" collapsed="false">
      <c r="A7" s="22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2026-10-14T07:40:10Z</dcterms:created>
  <dc:creator>openpyxl</dc:creator>
  <dc:description/>
  <dc:language>en-US</dc:language>
  <cp:lastModifiedBy/>
  <dcterms:modified xsi:type="dcterms:W3CDTF">2026-10-14T07:40:11Z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